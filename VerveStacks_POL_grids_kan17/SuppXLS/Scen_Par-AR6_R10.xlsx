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"/>
    </mc:Choice>
  </mc:AlternateContent>
  <xr:revisionPtr revIDLastSave="0" documentId="13_ncr:1_{6DB75224-3F2A-455C-B5CD-0492A73E91AA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I15" i="1"/>
  <c r="O24" i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O15" i="1" l="1"/>
  <c r="Z23" i="1" s="1"/>
  <c r="L15" i="1"/>
  <c r="W23" i="1" s="1"/>
  <c r="K15" i="1"/>
  <c r="V23" i="1" s="1"/>
  <c r="J15" i="1"/>
  <c r="U23" i="1" s="1"/>
  <c r="N15" i="1"/>
  <c r="Y23" i="1" s="1"/>
  <c r="M15" i="1"/>
  <c r="X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U20" i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<sst xmlns="http://schemas.openxmlformats.org/spreadsheetml/2006/main" count="1587" uniqueCount="126">
  <si>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</si>
  <si>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</si>
  <si>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</si>
  <si>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</si>
  <si>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</si>
  <si>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</si>
  <si>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</si>
  <si>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</si>
  <si>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</si>
  <si>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</si>
  <si>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</si>
  <si>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</si>
  <si>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</si>
  <si>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</si>
  <si>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</si>
  <si>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</si>
  <si>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</si>
  <si>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</si>
  <si>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</si>
  <si>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</si>
  <si>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</si>
  <si>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</si>
  <si>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</si>
  <si>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</si>
  <si>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</si>
  <si>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</si>
  <si>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</si>
  <si>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</si>
  <si>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</si>
  <si>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</si>
  <si>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</si>
  <si>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</si>
  <si>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</si>
  <si>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</si>
  <si>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</si>
  <si>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</si>
  <si>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</si>
  <si>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</si>
  <si>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</si>
  <si>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</si>
  <si>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</si>
  <si>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</si>
  <si>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</si>
  <si>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</si>
  <si>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</si>
  <si>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</si>
  <si>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</si>
  <si>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</si>
  <si>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</si>
  <si>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</si>
  <si>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</si>
  <si>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</si>
  <si>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</si>
  <si>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</si>
  <si>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</si>
  <si>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</si>
  <si>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</si>
  <si>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</si>
  <si>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</si>
  <si>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</si>
  <si>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</si>
  <si>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</si>
  <si>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</si>
  <si>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</si>
  <si>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</si>
  <si>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</si>
  <si>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</si>
  <si>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</si>
  <si>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</si>
  <si>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</si>
  <si>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</si>
  <si>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</si>
  <si>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</si>
  <si>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</si>
  <si>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</si>
  <si>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</si>
  <si>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</si>
  <si>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</si>
  <si>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</si>
  <si>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</si>
  <si>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</si>
  <si>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</si>
  <si>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</si>
  <si>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</si>
  <si>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</si>
  <si>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</si>
  <si>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</si>
  <si>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</si>
  <si>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</si>
  <si>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</si>
  <si>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</si>
  <si>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</si>
  <si>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</si>
  <si>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</si>
  <si>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</si>
  <si>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</si>
  <si>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</si>
  <si>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</si>
  <si>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</si>
  <si>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</si>
  <si>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</si>
  <si>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</si>
  <si>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</si>
  <si>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</si>
  <si>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</si>
  <si>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</si>
  <si>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</si>
  <si>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</si>
  <si>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</si>
  <si>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</si>
  <si>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</si>
  <si>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</si>
  <si>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</si>
  <si>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</si>
  <si>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</si>
  <si>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</si>
  <si>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</si>
  <si>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</si>
  <si>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POL</t>
  </si>
  <si>
    <t>Pipeline gas, coal &amp; forest resources</t>
  </si>
  <si>
    <t>~tfm_ins-ts</t>
  </si>
  <si>
    <t>lo</t>
  </si>
  <si>
    <t>cap_bnd</t>
  </si>
  <si>
    <t>HET</t>
  </si>
  <si>
    <t>1-8</t>
  </si>
  <si>
    <t>chp_heat_twh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</si>
</sst>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177.03</c:v>
                </c:pt>
                <c:pt idx="1">
                  <c:v>185.88150000000002</c:v>
                </c:pt>
                <c:pt idx="2">
                  <c:v>207.12509999999997</c:v>
                </c:pt>
                <c:pt idx="3">
                  <c:v>228.36870000000002</c:v>
                </c:pt>
                <c:pt idx="4">
                  <c:v>251.3826</c:v>
                </c:pt>
                <c:pt idx="5">
                  <c:v>281.47770000000003</c:v>
                </c:pt>
                <c:pt idx="6">
                  <c:v>306.26190000000003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5" x14ac:dyDescent="0.25"/>
  <cols>
    <col min="1" max="1" width="15.85546875" bestFit="1" customWidth="1"/>
    <col min="2" max="6" width="10.5703125" customWidth="1"/>
    <col min="7" max="7" width="35.42578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39" x14ac:dyDescent="0.25">
      <c r="G1" s="21" t="s">
        <v>124</v>
      </c>
    </row>
    <row r="2" spans="1:39" x14ac:dyDescent="0.2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2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2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2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25">
      <c r="K6" s="10">
        <v>0</v>
      </c>
      <c r="L6" s="10" t="s">
        <v>9</v>
      </c>
    </row>
    <row r="7" spans="1:39" x14ac:dyDescent="0.25">
      <c r="B7" s="14" t="s">
        <v>94</v>
      </c>
    </row>
    <row r="8" spans="1:39" ht="15.75" thickBot="1" x14ac:dyDescent="0.3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2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2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5.75" thickBot="1" x14ac:dyDescent="0.3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177.03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3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2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5.75" thickBot="1" x14ac:dyDescent="0.3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177.03</v>
      </c>
      <c r="U14" s="8">
        <f t="shared" ref="U14:Z14" si="4">$S$11*J14</f>
        <v>185.88150000000002</v>
      </c>
      <c r="V14" s="8">
        <f t="shared" si="4"/>
        <v>207.12509999999997</v>
      </c>
      <c r="W14" s="8">
        <f t="shared" si="4"/>
        <v>228.36870000000002</v>
      </c>
      <c r="X14" s="8">
        <f t="shared" si="4"/>
        <v>251.3826</v>
      </c>
      <c r="Y14" s="8">
        <f t="shared" si="4"/>
        <v>281.47770000000003</v>
      </c>
      <c r="Z14" s="8">
        <f t="shared" si="4"/>
        <v>306.26190000000003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5.75" thickTop="1" x14ac:dyDescent="0.2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</v>
      </c>
      <c r="K15" s="11">
        <f>SUMIFS(ar6_r10!$F$2:$F$999,ar6_r10!$A$2:$A$999,$H$14,ar6_r10!$C$2:$C$999,Veda!K$17,ar6_r10!$M$2:$M$999,Veda!$G15)</f>
        <v>0</v>
      </c>
      <c r="L15" s="11">
        <f>SUMIFS(ar6_r10!$F$2:$F$999,ar6_r10!$A$2:$A$999,$H$14,ar6_r10!$C$2:$C$999,Veda!L$17,ar6_r10!$M$2:$M$999,Veda!$G15)</f>
        <v>0</v>
      </c>
      <c r="M15" s="11">
        <f>SUMIFS(ar6_r10!$F$2:$F$999,ar6_r10!$A$2:$A$999,$H$14,ar6_r10!$C$2:$C$999,Veda!M$17,ar6_r10!$M$2:$M$999,Veda!$G15)</f>
        <v>0</v>
      </c>
      <c r="N15" s="11">
        <f>SUMIFS(ar6_r10!$F$2:$F$999,ar6_r10!$A$2:$A$999,$H$14,ar6_r10!$C$2:$C$999,Veda!N$17,ar6_r10!$M$2:$M$999,Veda!$G15)</f>
        <v>0</v>
      </c>
      <c r="O15" s="11">
        <f>SUMIFS(ar6_r10!$F$2:$F$999,ar6_r10!$A$2:$A$999,$H$14,ar6_r10!$C$2:$C$999,Veda!O$17,ar6_r10!$M$2:$M$999,Veda!$G15)</f>
        <v>0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35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3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2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2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65.501099999999994</v>
      </c>
      <c r="U19" s="6">
        <f t="shared" si="7"/>
        <v>65.058525000000003</v>
      </c>
      <c r="V19" s="6">
        <f t="shared" si="7"/>
        <v>70.422533999999999</v>
      </c>
      <c r="W19" s="6">
        <f t="shared" si="7"/>
        <v>75.361671000000015</v>
      </c>
      <c r="X19" s="6">
        <f t="shared" si="7"/>
        <v>75.414779999999993</v>
      </c>
      <c r="Y19" s="6">
        <f t="shared" si="7"/>
        <v>81.628533000000004</v>
      </c>
      <c r="Z19" s="6">
        <f t="shared" si="7"/>
        <v>91.878570000000011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2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104.4477</v>
      </c>
      <c r="U20" s="6">
        <f t="shared" si="7"/>
        <v>109.670085</v>
      </c>
      <c r="V20" s="6">
        <f t="shared" si="7"/>
        <v>122.20380899999998</v>
      </c>
      <c r="W20" s="6">
        <f t="shared" si="7"/>
        <v>132.453846</v>
      </c>
      <c r="X20" s="6">
        <f t="shared" si="7"/>
        <v>145.801908</v>
      </c>
      <c r="Y20" s="6">
        <f t="shared" si="7"/>
        <v>157.62751200000002</v>
      </c>
      <c r="Z20" s="6">
        <f t="shared" si="7"/>
        <v>165.38142600000003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2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5.3109000000000002</v>
      </c>
      <c r="U21" s="6">
        <f t="shared" ref="U21:Z21" si="8">T21</f>
        <v>5.3109000000000002</v>
      </c>
      <c r="V21" s="6">
        <f t="shared" si="8"/>
        <v>5.3109000000000002</v>
      </c>
      <c r="W21" s="6">
        <f t="shared" si="8"/>
        <v>5.3109000000000002</v>
      </c>
      <c r="X21" s="6">
        <f t="shared" si="8"/>
        <v>5.3109000000000002</v>
      </c>
      <c r="Y21" s="6">
        <f t="shared" si="8"/>
        <v>5.3109000000000002</v>
      </c>
      <c r="Z21" s="6">
        <f t="shared" si="8"/>
        <v>5.3109000000000002</v>
      </c>
      <c r="AA21" t="s">
        <v>17</v>
      </c>
      <c r="AC21" s="2" t="s">
        <v>20</v>
      </c>
      <c r="AJ21" s="10">
        <f t="shared" si="5"/>
        <v>3</v>
      </c>
    </row>
    <row r="22" spans="1:36" x14ac:dyDescent="0.25">
      <c r="S22" s="10" t="s">
        <v>25</v>
      </c>
      <c r="T22" s="6">
        <f t="shared" ref="T22:Z22" si="9">T14-SUM(T19:T21)</f>
        <v>1.7702999999999918</v>
      </c>
      <c r="U22" s="6">
        <f t="shared" si="9"/>
        <v>5.8419900000000098</v>
      </c>
      <c r="V22" s="6">
        <f t="shared" si="9"/>
        <v>9.1878570000000082</v>
      </c>
      <c r="W22" s="6">
        <f t="shared" si="9"/>
        <v>15.242283000000015</v>
      </c>
      <c r="X22" s="6">
        <f t="shared" si="9"/>
        <v>24.855012000000016</v>
      </c>
      <c r="Y22" s="6">
        <f t="shared" si="9"/>
        <v>36.910754999999995</v>
      </c>
      <c r="Z22" s="6">
        <f t="shared" si="9"/>
        <v>43.691003999999964</v>
      </c>
      <c r="AA22" t="s">
        <v>17</v>
      </c>
      <c r="AJ22" s="10">
        <f t="shared" si="5"/>
        <v>3</v>
      </c>
    </row>
    <row r="23" spans="1:36" x14ac:dyDescent="0.25">
      <c r="S23" s="23" t="s">
        <v>123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3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25">
      <c r="AJ25" s="10">
        <f t="shared" si="5"/>
        <v>4</v>
      </c>
    </row>
    <row r="26" spans="1:36" ht="17.649999999999999" customHeight="1" thickBot="1" x14ac:dyDescent="0.35">
      <c r="S26" s="5" t="s">
        <v>12</v>
      </c>
      <c r="AJ26" s="10">
        <f t="shared" si="5"/>
        <v>4</v>
      </c>
    </row>
    <row r="27" spans="1:36" ht="15" customHeight="1" thickTop="1" thickBot="1" x14ac:dyDescent="0.3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3">
      <c r="Q28" s="3">
        <f>SUMIFS(iea_data!G3:G9999,iea_data!$B$3:$B$9999,Veda!$S$10)</f>
        <v>15.24</v>
      </c>
      <c r="S28" t="s">
        <v>31</v>
      </c>
      <c r="T28" s="3">
        <f>Q28</f>
        <v>15.24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3">
      <c r="Q29" s="3">
        <f>SUMIFS(iea_data!H3:H9999,iea_data!$B$3:$B$9999,Veda!$S$10)</f>
        <v>-16.91</v>
      </c>
      <c r="S29" t="s">
        <v>34</v>
      </c>
      <c r="T29" s="3">
        <f>-1*Q29</f>
        <v>16.91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25">
      <c r="AJ30" s="10">
        <f t="shared" si="5"/>
        <v>5</v>
      </c>
    </row>
    <row r="31" spans="1:36" x14ac:dyDescent="0.25">
      <c r="AJ31" s="10">
        <f t="shared" si="5"/>
        <v>5</v>
      </c>
    </row>
    <row r="32" spans="1:36" x14ac:dyDescent="0.25">
      <c r="AJ32" s="10">
        <f t="shared" si="5"/>
        <v>5</v>
      </c>
    </row>
    <row r="33" spans="7:36" x14ac:dyDescent="0.25">
      <c r="AJ33" s="10">
        <f t="shared" si="5"/>
        <v>5</v>
      </c>
    </row>
    <row r="34" spans="7:36" x14ac:dyDescent="0.25">
      <c r="AJ34" s="10">
        <f t="shared" si="5"/>
        <v>6</v>
      </c>
    </row>
    <row r="35" spans="7:36" x14ac:dyDescent="0.25">
      <c r="AJ35" s="10">
        <f t="shared" si="5"/>
        <v>6</v>
      </c>
    </row>
    <row r="36" spans="7:36" x14ac:dyDescent="0.25">
      <c r="G36" s="2" t="s">
        <v>9</v>
      </c>
      <c r="AJ36" s="10">
        <f t="shared" si="5"/>
        <v>6</v>
      </c>
    </row>
    <row r="37" spans="7:36" x14ac:dyDescent="0.2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2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2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2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25">
      <c r="AJ41" s="10">
        <f t="shared" si="5"/>
        <v>7</v>
      </c>
    </row>
    <row r="42" spans="7:36" x14ac:dyDescent="0.25">
      <c r="AJ42" s="10">
        <f t="shared" si="5"/>
        <v>7</v>
      </c>
    </row>
    <row r="43" spans="7:36" x14ac:dyDescent="0.25">
      <c r="G43" t="s">
        <v>101</v>
      </c>
      <c r="AJ43" s="10">
        <f t="shared" si="5"/>
        <v>7</v>
      </c>
    </row>
    <row r="44" spans="7:36" x14ac:dyDescent="0.2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25">
      <c r="G45" t="s">
        <v>77</v>
      </c>
      <c r="H45" t="str">
        <f>G45</f>
        <v>Gas</v>
      </c>
      <c r="I45">
        <f t="shared" ref="I45:O48" si="13">AVERAGE($R45:$S45)*I37</f>
        <v>33.4</v>
      </c>
      <c r="J45">
        <f t="shared" si="13"/>
        <v>35.738</v>
      </c>
      <c r="K45">
        <f t="shared" si="13"/>
        <v>41.415999999999997</v>
      </c>
      <c r="L45">
        <f t="shared" si="13"/>
        <v>38.409999999999997</v>
      </c>
      <c r="M45">
        <f t="shared" si="13"/>
        <v>41.75</v>
      </c>
      <c r="N45">
        <f t="shared" si="13"/>
        <v>39.077999999999996</v>
      </c>
      <c r="O45">
        <f t="shared" si="13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7:36" x14ac:dyDescent="0.25">
      <c r="G46" t="s">
        <v>78</v>
      </c>
      <c r="H46" t="str">
        <f t="shared" ref="H46:H48" si="14">G46</f>
        <v>Coal</v>
      </c>
      <c r="I46">
        <f t="shared" si="13"/>
        <v>12.2</v>
      </c>
      <c r="J46">
        <f t="shared" si="13"/>
        <v>12.443999999999999</v>
      </c>
      <c r="K46">
        <f t="shared" si="13"/>
        <v>12.932</v>
      </c>
      <c r="L46">
        <f t="shared" si="13"/>
        <v>13.054</v>
      </c>
      <c r="M46">
        <f t="shared" si="13"/>
        <v>13.176</v>
      </c>
      <c r="N46">
        <f t="shared" si="13"/>
        <v>13.42</v>
      </c>
      <c r="O46">
        <f t="shared" si="13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7:36" x14ac:dyDescent="0.2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25">
      <c r="G48" t="s">
        <v>80</v>
      </c>
      <c r="H48" t="str">
        <f t="shared" si="14"/>
        <v>Bioenergy</v>
      </c>
      <c r="I48">
        <f t="shared" si="13"/>
        <v>26</v>
      </c>
      <c r="O48">
        <f>VLOOKUP($H$14,$AK$9:$AM$15,3,FALSE)*I48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5"/>
        <v>8</v>
      </c>
    </row>
    <row r="49" spans="36:36" x14ac:dyDescent="0.25">
      <c r="AJ49" s="10">
        <f t="shared" si="5"/>
        <v>9</v>
      </c>
    </row>
    <row r="50" spans="36:36" x14ac:dyDescent="0.25">
      <c r="AJ50" s="10">
        <f t="shared" si="5"/>
        <v>9</v>
      </c>
    </row>
    <row r="51" spans="36:36" x14ac:dyDescent="0.25">
      <c r="AJ51" s="10">
        <f t="shared" si="5"/>
        <v>9</v>
      </c>
    </row>
    <row r="52" spans="36:36" x14ac:dyDescent="0.25">
      <c r="AJ52" s="10">
        <f t="shared" si="5"/>
        <v>9</v>
      </c>
    </row>
    <row r="53" spans="36:36" x14ac:dyDescent="0.25">
      <c r="AJ53" s="10">
        <f t="shared" si="5"/>
        <v>9</v>
      </c>
    </row>
    <row r="54" spans="36:36" x14ac:dyDescent="0.25">
      <c r="AJ54" s="10">
        <f t="shared" si="5"/>
        <v>10</v>
      </c>
    </row>
    <row r="55" spans="36:36" x14ac:dyDescent="0.25">
      <c r="AJ55" s="10">
        <f t="shared" si="5"/>
        <v>10</v>
      </c>
    </row>
    <row r="56" spans="36:36" x14ac:dyDescent="0.25">
      <c r="AJ56" s="10">
        <f t="shared" si="5"/>
        <v>10</v>
      </c>
    </row>
    <row r="57" spans="36:36" x14ac:dyDescent="0.25">
      <c r="AJ57" s="10">
        <f t="shared" si="5"/>
        <v>10</v>
      </c>
    </row>
    <row r="58" spans="36:36" x14ac:dyDescent="0.25">
      <c r="AJ58" s="10">
        <f t="shared" si="5"/>
        <v>10</v>
      </c>
    </row>
    <row r="59" spans="36:36" x14ac:dyDescent="0.25">
      <c r="AJ59" s="10">
        <f t="shared" si="5"/>
        <v>11</v>
      </c>
    </row>
    <row r="60" spans="36:36" x14ac:dyDescent="0.25">
      <c r="AJ60" s="10">
        <f t="shared" si="5"/>
        <v>11</v>
      </c>
    </row>
    <row r="61" spans="36:36" x14ac:dyDescent="0.25">
      <c r="AJ61" s="10">
        <f t="shared" si="5"/>
        <v>11</v>
      </c>
    </row>
    <row r="62" spans="36:36" x14ac:dyDescent="0.25">
      <c r="AJ62" s="10">
        <f t="shared" si="5"/>
        <v>11</v>
      </c>
    </row>
    <row r="63" spans="36:36" x14ac:dyDescent="0.25">
      <c r="AJ63" s="10">
        <f t="shared" si="5"/>
        <v>11</v>
      </c>
    </row>
    <row r="64" spans="36:36" x14ac:dyDescent="0.25">
      <c r="AJ64" s="10">
        <f t="shared" si="5"/>
        <v>12</v>
      </c>
    </row>
    <row r="65" spans="36:36" x14ac:dyDescent="0.25">
      <c r="AJ65" s="10">
        <f t="shared" si="5"/>
        <v>12</v>
      </c>
    </row>
    <row r="66" spans="36:36" x14ac:dyDescent="0.25">
      <c r="AJ66" s="10">
        <f t="shared" si="5"/>
        <v>12</v>
      </c>
    </row>
    <row r="67" spans="36:36" x14ac:dyDescent="0.25">
      <c r="AJ67" s="10">
        <f t="shared" si="5"/>
        <v>12</v>
      </c>
    </row>
    <row r="68" spans="36:36" x14ac:dyDescent="0.25">
      <c r="AJ68" s="10">
        <f t="shared" si="5"/>
        <v>12</v>
      </c>
    </row>
    <row r="69" spans="36:36" x14ac:dyDescent="0.25">
      <c r="AJ69" s="10">
        <f t="shared" si="5"/>
        <v>13</v>
      </c>
    </row>
    <row r="70" spans="36:36" x14ac:dyDescent="0.25">
      <c r="AJ70" s="10">
        <f t="shared" si="5"/>
        <v>13</v>
      </c>
    </row>
    <row r="71" spans="36:36" x14ac:dyDescent="0.25">
      <c r="AJ71" s="10">
        <f t="shared" si="5"/>
        <v>13</v>
      </c>
    </row>
    <row r="72" spans="36:36" x14ac:dyDescent="0.25">
      <c r="AJ72" s="10">
        <f t="shared" si="5"/>
        <v>13</v>
      </c>
    </row>
    <row r="73" spans="36:36" x14ac:dyDescent="0.25">
      <c r="AJ73" s="10">
        <f t="shared" si="5"/>
        <v>13</v>
      </c>
    </row>
    <row r="74" spans="36:36" x14ac:dyDescent="0.25">
      <c r="AJ74" s="10">
        <f t="shared" si="5"/>
        <v>14</v>
      </c>
    </row>
    <row r="75" spans="36:36" x14ac:dyDescent="0.25">
      <c r="AJ75" s="10">
        <f t="shared" si="5"/>
        <v>14</v>
      </c>
    </row>
    <row r="76" spans="36:36" x14ac:dyDescent="0.25">
      <c r="AJ76" s="10">
        <f t="shared" si="5"/>
        <v>14</v>
      </c>
    </row>
    <row r="77" spans="36:36" x14ac:dyDescent="0.25">
      <c r="AJ77" s="10">
        <f t="shared" si="5"/>
        <v>14</v>
      </c>
    </row>
    <row r="78" spans="36:36" x14ac:dyDescent="0.25">
      <c r="AJ78" s="10">
        <f t="shared" si="5"/>
        <v>14</v>
      </c>
    </row>
    <row r="82" spans="1:6" ht="15.75" thickBot="1" x14ac:dyDescent="0.3">
      <c r="A82" s="12" t="s">
        <v>120</v>
      </c>
    </row>
    <row r="83" spans="1:6" ht="15.75" thickBot="1" x14ac:dyDescent="0.3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25">
      <c r="A84" s="17" t="s">
        <v>34</v>
      </c>
      <c r="B84" s="17" t="s">
        <v>121</v>
      </c>
      <c r="C84" s="18">
        <v>1.4550000000000001</v>
      </c>
      <c r="D84" s="18">
        <v>1.881</v>
      </c>
      <c r="E84" s="18">
        <v>1.881</v>
      </c>
      <c r="F84" s="17" t="s">
        <v>122</v>
      </c>
    </row>
    <row r="85" spans="1:6" x14ac:dyDescent="0.25">
      <c r="A85" s="19" t="s">
        <v>31</v>
      </c>
      <c r="B85" s="19" t="s">
        <v>121</v>
      </c>
      <c r="C85" s="20">
        <v>1.8</v>
      </c>
      <c r="D85" s="20">
        <v>3.3</v>
      </c>
      <c r="E85" s="20">
        <v>3.3</v>
      </c>
      <c r="F85" s="19" t="s">
        <v>122</v>
      </c>
    </row>
    <row r="89" spans="1:6" x14ac:dyDescent="0.25">
      <c r="A89" t="s">
        <v>120</v>
      </c>
    </row>
    <row r="90" spans="1:6" x14ac:dyDescent="0.2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25">
      <c r="A91" t="s">
        <v>34</v>
      </c>
      <c r="B91" t="s">
        <v>121</v>
      </c>
      <c r="C91">
        <v>1.4550000000000001</v>
      </c>
      <c r="D91">
        <v>1.881</v>
      </c>
      <c r="E91">
        <v>1.881</v>
      </c>
      <c r="F91" t="s">
        <v>122</v>
      </c>
    </row>
    <row r="92" spans="1:6" x14ac:dyDescent="0.25">
      <c r="A92" t="s">
        <v>31</v>
      </c>
      <c r="B92" t="s">
        <v>121</v>
      </c>
      <c r="C92">
        <v>1.8</v>
      </c>
      <c r="D92">
        <v>3.3</v>
      </c>
      <c r="E92">
        <v>3.3</v>
      </c>
      <c r="F92" t="s">
        <v>122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7109375" bestFit="1" customWidth="1"/>
  </cols>
  <sheetData>
    <row r="1" spans="1:10" ht="22.15" customHeight="1" x14ac:dyDescent="0.25"/>
    <row r="9" spans="1:10" x14ac:dyDescent="0.25">
      <c r="A9" t="s">
        <v>59</v>
      </c>
    </row>
    <row r="10" spans="1:10" x14ac:dyDescent="0.2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25">
      <c r="A11" t="s">
        <v>118</v>
      </c>
      <c r="B11">
        <v>27.4</v>
      </c>
      <c r="C11">
        <v>39.4</v>
      </c>
      <c r="D11">
        <v>10.7</v>
      </c>
      <c r="E11">
        <v>13.7</v>
      </c>
      <c r="F11">
        <v>48</v>
      </c>
      <c r="G11">
        <v>58</v>
      </c>
      <c r="H11">
        <v>22</v>
      </c>
      <c r="I11">
        <v>30</v>
      </c>
      <c r="J11" t="s">
        <v>119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  <col min="10" max="10" width="11.5703125" bestFit="1" customWidth="1"/>
  </cols>
  <sheetData>
    <row r="1" spans="1:11" ht="22.15" customHeight="1" x14ac:dyDescent="0.25"/>
    <row r="9" spans="1:11" x14ac:dyDescent="0.25">
      <c r="A9" t="s">
        <v>57</v>
      </c>
    </row>
    <row r="10" spans="1:11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125</v>
      </c>
      <c r="K10" t="s">
        <v>117</v>
      </c>
    </row>
    <row r="11" spans="1:11" x14ac:dyDescent="0.25">
      <c r="A11" t="s">
        <v>118</v>
      </c>
      <c r="B11">
        <v>2000</v>
      </c>
      <c r="C11">
        <v>75.849999999999994</v>
      </c>
      <c r="D11">
        <v>53.54</v>
      </c>
      <c r="E11">
        <v>4.3099999999999996</v>
      </c>
      <c r="F11">
        <v>0.02</v>
      </c>
      <c r="G11">
        <v>3.29</v>
      </c>
      <c r="H11">
        <v>-9.66</v>
      </c>
      <c r="I11">
        <v>143.16999999999999</v>
      </c>
      <c r="J11">
        <v>0</v>
      </c>
      <c r="K11">
        <v>0</v>
      </c>
    </row>
    <row r="12" spans="1:11" x14ac:dyDescent="0.25">
      <c r="A12" t="s">
        <v>118</v>
      </c>
      <c r="B12">
        <v>2001</v>
      </c>
      <c r="C12">
        <v>74.36</v>
      </c>
      <c r="D12">
        <v>55.12</v>
      </c>
      <c r="E12">
        <v>4.2699999999999996</v>
      </c>
      <c r="F12">
        <v>0.02</v>
      </c>
      <c r="G12">
        <v>4.3099999999999996</v>
      </c>
      <c r="H12">
        <v>-11.04</v>
      </c>
      <c r="I12">
        <v>143.72</v>
      </c>
      <c r="J12">
        <v>0</v>
      </c>
      <c r="K12">
        <v>0</v>
      </c>
    </row>
    <row r="13" spans="1:11" x14ac:dyDescent="0.25">
      <c r="A13" t="s">
        <v>118</v>
      </c>
      <c r="B13">
        <v>2002</v>
      </c>
      <c r="C13">
        <v>73.3</v>
      </c>
      <c r="D13">
        <v>54.71</v>
      </c>
      <c r="E13">
        <v>4.29</v>
      </c>
      <c r="F13">
        <v>0.02</v>
      </c>
      <c r="G13">
        <v>4.47</v>
      </c>
      <c r="H13">
        <v>-11.54</v>
      </c>
      <c r="I13">
        <v>142.5</v>
      </c>
      <c r="J13">
        <v>0</v>
      </c>
      <c r="K13">
        <v>0</v>
      </c>
    </row>
    <row r="14" spans="1:11" x14ac:dyDescent="0.25">
      <c r="A14" t="s">
        <v>118</v>
      </c>
      <c r="B14">
        <v>2003</v>
      </c>
      <c r="C14">
        <v>75.86</v>
      </c>
      <c r="D14">
        <v>56.23</v>
      </c>
      <c r="E14">
        <v>4.37</v>
      </c>
      <c r="F14">
        <v>0.02</v>
      </c>
      <c r="G14">
        <v>4.99</v>
      </c>
      <c r="H14">
        <v>-15.15</v>
      </c>
      <c r="I14">
        <v>150.01</v>
      </c>
      <c r="J14">
        <v>0</v>
      </c>
      <c r="K14">
        <v>0</v>
      </c>
    </row>
    <row r="15" spans="1:11" x14ac:dyDescent="0.25">
      <c r="A15" t="s">
        <v>118</v>
      </c>
      <c r="B15">
        <v>2004</v>
      </c>
      <c r="C15">
        <v>78.180000000000007</v>
      </c>
      <c r="D15">
        <v>57.95</v>
      </c>
      <c r="E15">
        <v>3.88</v>
      </c>
      <c r="F15">
        <v>0.02</v>
      </c>
      <c r="G15">
        <v>5.31</v>
      </c>
      <c r="H15">
        <v>-14.6</v>
      </c>
      <c r="I15">
        <v>152.55000000000001</v>
      </c>
      <c r="J15">
        <v>0</v>
      </c>
      <c r="K15">
        <v>0</v>
      </c>
    </row>
    <row r="16" spans="1:11" x14ac:dyDescent="0.25">
      <c r="A16" t="s">
        <v>118</v>
      </c>
      <c r="B16">
        <v>2005</v>
      </c>
      <c r="C16">
        <v>77.150000000000006</v>
      </c>
      <c r="D16">
        <v>60.1</v>
      </c>
      <c r="E16">
        <v>3.55</v>
      </c>
      <c r="F16">
        <v>0.02</v>
      </c>
      <c r="G16">
        <v>5</v>
      </c>
      <c r="H16">
        <v>-16.190000000000001</v>
      </c>
      <c r="I16">
        <v>155.36000000000001</v>
      </c>
      <c r="J16">
        <v>0</v>
      </c>
      <c r="K16">
        <v>0</v>
      </c>
    </row>
    <row r="17" spans="1:11" x14ac:dyDescent="0.25">
      <c r="A17" t="s">
        <v>118</v>
      </c>
      <c r="B17">
        <v>2006</v>
      </c>
      <c r="C17">
        <v>78.91</v>
      </c>
      <c r="D17">
        <v>64.7</v>
      </c>
      <c r="E17">
        <v>3.1</v>
      </c>
      <c r="F17">
        <v>0.02</v>
      </c>
      <c r="G17">
        <v>4.79</v>
      </c>
      <c r="H17">
        <v>-15.78</v>
      </c>
      <c r="I17">
        <v>160.76</v>
      </c>
      <c r="J17">
        <v>0</v>
      </c>
      <c r="K17">
        <v>0</v>
      </c>
    </row>
    <row r="18" spans="1:11" x14ac:dyDescent="0.25">
      <c r="A18" t="s">
        <v>118</v>
      </c>
      <c r="B18">
        <v>2007</v>
      </c>
      <c r="C18">
        <v>82.1</v>
      </c>
      <c r="D18">
        <v>65.06</v>
      </c>
      <c r="E18">
        <v>3.25</v>
      </c>
      <c r="F18">
        <v>0.02</v>
      </c>
      <c r="G18">
        <v>7.76</v>
      </c>
      <c r="H18">
        <v>-13.11</v>
      </c>
      <c r="I18">
        <v>158.76</v>
      </c>
      <c r="J18">
        <v>0</v>
      </c>
      <c r="K18">
        <v>0</v>
      </c>
    </row>
    <row r="19" spans="1:11" x14ac:dyDescent="0.25">
      <c r="A19" t="s">
        <v>118</v>
      </c>
      <c r="B19">
        <v>2008</v>
      </c>
      <c r="C19">
        <v>78.39</v>
      </c>
      <c r="D19">
        <v>69.83</v>
      </c>
      <c r="E19">
        <v>3.17</v>
      </c>
      <c r="F19">
        <v>0.02</v>
      </c>
      <c r="G19">
        <v>9.0299999999999994</v>
      </c>
      <c r="H19">
        <v>-9.6999999999999993</v>
      </c>
      <c r="I19">
        <v>154.71</v>
      </c>
      <c r="J19">
        <v>0</v>
      </c>
      <c r="K19">
        <v>0</v>
      </c>
    </row>
    <row r="20" spans="1:11" x14ac:dyDescent="0.25">
      <c r="A20" t="s">
        <v>118</v>
      </c>
      <c r="B20">
        <v>2009</v>
      </c>
      <c r="C20">
        <v>73.959999999999994</v>
      </c>
      <c r="D20">
        <v>69.69</v>
      </c>
      <c r="E20">
        <v>2.86</v>
      </c>
      <c r="F20">
        <v>0.02</v>
      </c>
      <c r="G20">
        <v>7.4</v>
      </c>
      <c r="H20">
        <v>-9.59</v>
      </c>
      <c r="I20">
        <v>151.12</v>
      </c>
      <c r="J20">
        <v>0</v>
      </c>
      <c r="K20">
        <v>0</v>
      </c>
    </row>
    <row r="21" spans="1:11" x14ac:dyDescent="0.25">
      <c r="A21" t="s">
        <v>118</v>
      </c>
      <c r="B21">
        <v>2010</v>
      </c>
      <c r="C21">
        <v>76.11</v>
      </c>
      <c r="D21">
        <v>73.900000000000006</v>
      </c>
      <c r="E21">
        <v>2.96</v>
      </c>
      <c r="F21">
        <v>0.02</v>
      </c>
      <c r="G21">
        <v>6.31</v>
      </c>
      <c r="H21">
        <v>-7.66</v>
      </c>
      <c r="I21">
        <v>157.09</v>
      </c>
      <c r="J21">
        <v>0</v>
      </c>
      <c r="K21">
        <v>0</v>
      </c>
    </row>
    <row r="22" spans="1:11" x14ac:dyDescent="0.25">
      <c r="A22" t="s">
        <v>118</v>
      </c>
      <c r="B22">
        <v>2011</v>
      </c>
      <c r="C22">
        <v>78.38</v>
      </c>
      <c r="D22">
        <v>74.040000000000006</v>
      </c>
      <c r="E22">
        <v>2.96</v>
      </c>
      <c r="F22">
        <v>0.02</v>
      </c>
      <c r="G22">
        <v>6.78</v>
      </c>
      <c r="H22">
        <v>-12.02</v>
      </c>
      <c r="I22">
        <v>163.12</v>
      </c>
      <c r="J22">
        <v>0</v>
      </c>
      <c r="K22">
        <v>0</v>
      </c>
    </row>
    <row r="23" spans="1:11" x14ac:dyDescent="0.25">
      <c r="A23" t="s">
        <v>118</v>
      </c>
      <c r="B23">
        <v>2012</v>
      </c>
      <c r="C23">
        <v>79.09</v>
      </c>
      <c r="D23">
        <v>74.260000000000005</v>
      </c>
      <c r="E23">
        <v>2.87</v>
      </c>
      <c r="F23">
        <v>0.02</v>
      </c>
      <c r="G23">
        <v>9.8000000000000007</v>
      </c>
      <c r="H23">
        <v>-12.64</v>
      </c>
      <c r="I23">
        <v>161.71</v>
      </c>
      <c r="J23">
        <v>0</v>
      </c>
      <c r="K23">
        <v>0</v>
      </c>
    </row>
    <row r="24" spans="1:11" x14ac:dyDescent="0.25">
      <c r="A24" t="s">
        <v>118</v>
      </c>
      <c r="B24">
        <v>2013</v>
      </c>
      <c r="C24">
        <v>80.930000000000007</v>
      </c>
      <c r="D24">
        <v>73.11</v>
      </c>
      <c r="E24">
        <v>2.85</v>
      </c>
      <c r="F24">
        <v>0.02</v>
      </c>
      <c r="G24">
        <v>7.8</v>
      </c>
      <c r="H24">
        <v>-12.32</v>
      </c>
      <c r="I24">
        <v>164.02</v>
      </c>
      <c r="J24">
        <v>0</v>
      </c>
      <c r="K24">
        <v>0</v>
      </c>
    </row>
    <row r="25" spans="1:11" x14ac:dyDescent="0.25">
      <c r="A25" t="s">
        <v>118</v>
      </c>
      <c r="B25">
        <v>2014</v>
      </c>
      <c r="C25">
        <v>80.56</v>
      </c>
      <c r="D25">
        <v>74.75</v>
      </c>
      <c r="E25">
        <v>2.7</v>
      </c>
      <c r="F25">
        <v>0.02</v>
      </c>
      <c r="G25">
        <v>13.51</v>
      </c>
      <c r="H25">
        <v>-11.34</v>
      </c>
      <c r="I25">
        <v>158.51</v>
      </c>
      <c r="J25">
        <v>0</v>
      </c>
      <c r="K25">
        <v>0</v>
      </c>
    </row>
    <row r="26" spans="1:11" x14ac:dyDescent="0.25">
      <c r="A26" t="s">
        <v>118</v>
      </c>
      <c r="B26">
        <v>2015</v>
      </c>
      <c r="C26">
        <v>82.98</v>
      </c>
      <c r="D26">
        <v>75.23</v>
      </c>
      <c r="E26">
        <v>2.8</v>
      </c>
      <c r="F26">
        <v>0.02</v>
      </c>
      <c r="G26">
        <v>14.46</v>
      </c>
      <c r="H26">
        <v>-14.79</v>
      </c>
      <c r="I26">
        <v>164.34</v>
      </c>
      <c r="J26">
        <v>0</v>
      </c>
      <c r="K26">
        <v>0</v>
      </c>
    </row>
    <row r="27" spans="1:11" x14ac:dyDescent="0.25">
      <c r="A27" t="s">
        <v>118</v>
      </c>
      <c r="B27">
        <v>2016</v>
      </c>
      <c r="C27">
        <v>84</v>
      </c>
      <c r="D27">
        <v>78.34</v>
      </c>
      <c r="E27">
        <v>2.96</v>
      </c>
      <c r="F27">
        <v>0.02</v>
      </c>
      <c r="G27">
        <v>14.02</v>
      </c>
      <c r="H27">
        <v>-12.02</v>
      </c>
      <c r="I27">
        <v>166.15</v>
      </c>
      <c r="J27">
        <v>0</v>
      </c>
      <c r="K27">
        <v>0</v>
      </c>
    </row>
    <row r="28" spans="1:11" x14ac:dyDescent="0.25">
      <c r="A28" t="s">
        <v>118</v>
      </c>
      <c r="B28">
        <v>2017</v>
      </c>
      <c r="C28">
        <v>88.21</v>
      </c>
      <c r="D28">
        <v>77.91</v>
      </c>
      <c r="E28">
        <v>3.06</v>
      </c>
      <c r="F28">
        <v>0.03</v>
      </c>
      <c r="G28">
        <v>13.27</v>
      </c>
      <c r="H28">
        <v>-10.98</v>
      </c>
      <c r="I28">
        <v>169.99</v>
      </c>
      <c r="J28">
        <v>0</v>
      </c>
      <c r="K28">
        <v>0</v>
      </c>
    </row>
    <row r="29" spans="1:11" x14ac:dyDescent="0.25">
      <c r="A29" t="s">
        <v>118</v>
      </c>
      <c r="B29">
        <v>2018</v>
      </c>
      <c r="C29">
        <v>88.27</v>
      </c>
      <c r="D29">
        <v>80.569999999999993</v>
      </c>
      <c r="E29">
        <v>3.2</v>
      </c>
      <c r="F29">
        <v>0.03</v>
      </c>
      <c r="G29">
        <v>13.82</v>
      </c>
      <c r="H29">
        <v>-8.1199999999999992</v>
      </c>
      <c r="I29">
        <v>169.62</v>
      </c>
      <c r="J29">
        <v>0</v>
      </c>
      <c r="K29">
        <v>0</v>
      </c>
    </row>
    <row r="30" spans="1:11" x14ac:dyDescent="0.25">
      <c r="A30" t="s">
        <v>118</v>
      </c>
      <c r="B30">
        <v>2019</v>
      </c>
      <c r="C30">
        <v>86.39</v>
      </c>
      <c r="D30">
        <v>80.31</v>
      </c>
      <c r="E30">
        <v>3.15</v>
      </c>
      <c r="F30">
        <v>0.03</v>
      </c>
      <c r="G30">
        <v>17.87</v>
      </c>
      <c r="H30">
        <v>-7.25</v>
      </c>
      <c r="I30">
        <v>163.28</v>
      </c>
      <c r="J30">
        <v>0</v>
      </c>
      <c r="K30">
        <v>0</v>
      </c>
    </row>
    <row r="31" spans="1:11" x14ac:dyDescent="0.25">
      <c r="A31" t="s">
        <v>118</v>
      </c>
      <c r="B31">
        <v>2020</v>
      </c>
      <c r="C31">
        <v>84.93</v>
      </c>
      <c r="D31">
        <v>78.86</v>
      </c>
      <c r="E31">
        <v>2.89</v>
      </c>
      <c r="F31">
        <v>7.0000000000000007E-2</v>
      </c>
      <c r="G31">
        <v>20.62</v>
      </c>
      <c r="H31">
        <v>-7.36</v>
      </c>
      <c r="I31">
        <v>157.22</v>
      </c>
      <c r="J31">
        <v>0</v>
      </c>
      <c r="K31">
        <v>0</v>
      </c>
    </row>
    <row r="32" spans="1:11" x14ac:dyDescent="0.25">
      <c r="A32" t="s">
        <v>118</v>
      </c>
      <c r="B32">
        <v>2021</v>
      </c>
      <c r="C32">
        <v>87.3</v>
      </c>
      <c r="D32">
        <v>83.98</v>
      </c>
      <c r="E32">
        <v>3.22</v>
      </c>
      <c r="F32">
        <v>0.06</v>
      </c>
      <c r="G32">
        <v>15.1</v>
      </c>
      <c r="H32">
        <v>-14.21</v>
      </c>
      <c r="I32">
        <v>178.87</v>
      </c>
      <c r="J32">
        <v>0</v>
      </c>
      <c r="K32">
        <v>0</v>
      </c>
    </row>
    <row r="33" spans="1:11" x14ac:dyDescent="0.25">
      <c r="A33" t="s">
        <v>118</v>
      </c>
      <c r="B33">
        <v>2022</v>
      </c>
      <c r="C33">
        <v>83.2</v>
      </c>
      <c r="D33">
        <v>84.78</v>
      </c>
      <c r="E33">
        <v>3.32</v>
      </c>
      <c r="F33">
        <v>0.17</v>
      </c>
      <c r="G33">
        <v>15.24</v>
      </c>
      <c r="H33">
        <v>-16.91</v>
      </c>
      <c r="I33">
        <v>178.7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5" x14ac:dyDescent="0.25"/>
  <cols>
    <col min="1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58</v>
      </c>
    </row>
    <row r="10" spans="1:13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2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2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2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2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2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2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2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2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2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2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2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2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2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2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2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2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2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2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2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2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2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2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2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2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2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2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2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2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2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2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2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2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2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2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2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2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2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2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2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2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2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2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2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2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2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2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2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2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2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2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2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2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2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2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2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2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2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2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2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2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2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2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2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2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2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25">
      <c r="A81" t="s">
        <v>0</v>
      </c>
      <c r="B81" t="s">
        <v>113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25">
      <c r="A82" t="s">
        <v>0</v>
      </c>
      <c r="B82" t="s">
        <v>113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25">
      <c r="A83" t="s">
        <v>0</v>
      </c>
      <c r="B83" t="s">
        <v>113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25">
      <c r="A84" t="s">
        <v>0</v>
      </c>
      <c r="B84" t="s">
        <v>113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25">
      <c r="A85" t="s">
        <v>0</v>
      </c>
      <c r="B85" t="s">
        <v>113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25">
      <c r="A86" t="s">
        <v>0</v>
      </c>
      <c r="B86" t="s">
        <v>113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25">
      <c r="A87" t="s">
        <v>0</v>
      </c>
      <c r="B87" t="s">
        <v>113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25">
      <c r="A88" t="s">
        <v>2</v>
      </c>
      <c r="B88" t="s">
        <v>113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25">
      <c r="A89" t="s">
        <v>2</v>
      </c>
      <c r="B89" t="s">
        <v>113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25">
      <c r="A90" t="s">
        <v>2</v>
      </c>
      <c r="B90" t="s">
        <v>113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25">
      <c r="A91" t="s">
        <v>2</v>
      </c>
      <c r="B91" t="s">
        <v>113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25">
      <c r="A92" t="s">
        <v>2</v>
      </c>
      <c r="B92" t="s">
        <v>113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25">
      <c r="A93" t="s">
        <v>2</v>
      </c>
      <c r="B93" t="s">
        <v>113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25">
      <c r="A94" t="s">
        <v>2</v>
      </c>
      <c r="B94" t="s">
        <v>113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25">
      <c r="A95" t="s">
        <v>5</v>
      </c>
      <c r="B95" t="s">
        <v>113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25">
      <c r="A96" t="s">
        <v>5</v>
      </c>
      <c r="B96" t="s">
        <v>113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25">
      <c r="A97" t="s">
        <v>5</v>
      </c>
      <c r="B97" t="s">
        <v>113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25">
      <c r="A98" t="s">
        <v>5</v>
      </c>
      <c r="B98" t="s">
        <v>113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25">
      <c r="A99" t="s">
        <v>5</v>
      </c>
      <c r="B99" t="s">
        <v>113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25">
      <c r="A100" t="s">
        <v>5</v>
      </c>
      <c r="B100" t="s">
        <v>113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25">
      <c r="A101" t="s">
        <v>5</v>
      </c>
      <c r="B101" t="s">
        <v>113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25">
      <c r="A102" t="s">
        <v>7</v>
      </c>
      <c r="B102" t="s">
        <v>113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25">
      <c r="A103" t="s">
        <v>7</v>
      </c>
      <c r="B103" t="s">
        <v>113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25">
      <c r="A104" t="s">
        <v>7</v>
      </c>
      <c r="B104" t="s">
        <v>113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25">
      <c r="A105" t="s">
        <v>7</v>
      </c>
      <c r="B105" t="s">
        <v>113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25">
      <c r="A106" t="s">
        <v>7</v>
      </c>
      <c r="B106" t="s">
        <v>113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25">
      <c r="A107" t="s">
        <v>7</v>
      </c>
      <c r="B107" t="s">
        <v>113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25">
      <c r="A108" t="s">
        <v>7</v>
      </c>
      <c r="B108" t="s">
        <v>113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25">
      <c r="A109" t="s">
        <v>9</v>
      </c>
      <c r="B109" t="s">
        <v>113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25">
      <c r="A110" t="s">
        <v>9</v>
      </c>
      <c r="B110" t="s">
        <v>113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25">
      <c r="A111" t="s">
        <v>9</v>
      </c>
      <c r="B111" t="s">
        <v>113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25">
      <c r="A112" t="s">
        <v>9</v>
      </c>
      <c r="B112" t="s">
        <v>113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25">
      <c r="A113" t="s">
        <v>9</v>
      </c>
      <c r="B113" t="s">
        <v>113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25">
      <c r="A114" t="s">
        <v>9</v>
      </c>
      <c r="B114" t="s">
        <v>113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25">
      <c r="A115" t="s">
        <v>9</v>
      </c>
      <c r="B115" t="s">
        <v>113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25">
      <c r="A116" t="s">
        <v>0</v>
      </c>
      <c r="B116" t="s">
        <v>113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25">
      <c r="A117" t="s">
        <v>0</v>
      </c>
      <c r="B117" t="s">
        <v>113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25">
      <c r="A118" t="s">
        <v>0</v>
      </c>
      <c r="B118" t="s">
        <v>113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25">
      <c r="A119" t="s">
        <v>0</v>
      </c>
      <c r="B119" t="s">
        <v>113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25">
      <c r="A120" t="s">
        <v>0</v>
      </c>
      <c r="B120" t="s">
        <v>113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25">
      <c r="A121" t="s">
        <v>0</v>
      </c>
      <c r="B121" t="s">
        <v>113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25">
      <c r="A122" t="s">
        <v>0</v>
      </c>
      <c r="B122" t="s">
        <v>113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25">
      <c r="A123" t="s">
        <v>2</v>
      </c>
      <c r="B123" t="s">
        <v>113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25">
      <c r="A124" t="s">
        <v>2</v>
      </c>
      <c r="B124" t="s">
        <v>113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25">
      <c r="A125" t="s">
        <v>2</v>
      </c>
      <c r="B125" t="s">
        <v>113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25">
      <c r="A126" t="s">
        <v>2</v>
      </c>
      <c r="B126" t="s">
        <v>113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25">
      <c r="A127" t="s">
        <v>2</v>
      </c>
      <c r="B127" t="s">
        <v>113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25">
      <c r="A128" t="s">
        <v>2</v>
      </c>
      <c r="B128" t="s">
        <v>113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25">
      <c r="A129" t="s">
        <v>2</v>
      </c>
      <c r="B129" t="s">
        <v>113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25">
      <c r="A130" t="s">
        <v>5</v>
      </c>
      <c r="B130" t="s">
        <v>113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25">
      <c r="A131" t="s">
        <v>5</v>
      </c>
      <c r="B131" t="s">
        <v>113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25">
      <c r="A132" t="s">
        <v>5</v>
      </c>
      <c r="B132" t="s">
        <v>113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25">
      <c r="A133" t="s">
        <v>5</v>
      </c>
      <c r="B133" t="s">
        <v>113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25">
      <c r="A134" t="s">
        <v>5</v>
      </c>
      <c r="B134" t="s">
        <v>113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25">
      <c r="A135" t="s">
        <v>5</v>
      </c>
      <c r="B135" t="s">
        <v>113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25">
      <c r="A136" t="s">
        <v>5</v>
      </c>
      <c r="B136" t="s">
        <v>113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25">
      <c r="A137" t="s">
        <v>7</v>
      </c>
      <c r="B137" t="s">
        <v>113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25">
      <c r="A138" t="s">
        <v>7</v>
      </c>
      <c r="B138" t="s">
        <v>113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25">
      <c r="A139" t="s">
        <v>7</v>
      </c>
      <c r="B139" t="s">
        <v>113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25">
      <c r="A140" t="s">
        <v>7</v>
      </c>
      <c r="B140" t="s">
        <v>113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25">
      <c r="A141" t="s">
        <v>7</v>
      </c>
      <c r="B141" t="s">
        <v>113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25">
      <c r="A142" t="s">
        <v>7</v>
      </c>
      <c r="B142" t="s">
        <v>113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25">
      <c r="A143" t="s">
        <v>7</v>
      </c>
      <c r="B143" t="s">
        <v>113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25">
      <c r="A144" t="s">
        <v>9</v>
      </c>
      <c r="B144" t="s">
        <v>113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25">
      <c r="A145" t="s">
        <v>9</v>
      </c>
      <c r="B145" t="s">
        <v>113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25">
      <c r="A146" t="s">
        <v>9</v>
      </c>
      <c r="B146" t="s">
        <v>113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25">
      <c r="A147" t="s">
        <v>9</v>
      </c>
      <c r="B147" t="s">
        <v>113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25">
      <c r="A148" t="s">
        <v>9</v>
      </c>
      <c r="B148" t="s">
        <v>113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25">
      <c r="A149" t="s">
        <v>9</v>
      </c>
      <c r="B149" t="s">
        <v>113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25">
      <c r="A150" t="s">
        <v>9</v>
      </c>
      <c r="B150" t="s">
        <v>113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25">
      <c r="A151" t="s">
        <v>0</v>
      </c>
      <c r="B151" t="s">
        <v>113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25">
      <c r="A152" t="s">
        <v>0</v>
      </c>
      <c r="B152" t="s">
        <v>113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25">
      <c r="A153" t="s">
        <v>0</v>
      </c>
      <c r="B153" t="s">
        <v>113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25">
      <c r="A154" t="s">
        <v>0</v>
      </c>
      <c r="B154" t="s">
        <v>113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25">
      <c r="A155" t="s">
        <v>0</v>
      </c>
      <c r="B155" t="s">
        <v>113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25">
      <c r="A156" t="s">
        <v>0</v>
      </c>
      <c r="B156" t="s">
        <v>113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25">
      <c r="A157" t="s">
        <v>0</v>
      </c>
      <c r="B157" t="s">
        <v>113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25">
      <c r="A158" t="s">
        <v>2</v>
      </c>
      <c r="B158" t="s">
        <v>113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25">
      <c r="A159" t="s">
        <v>2</v>
      </c>
      <c r="B159" t="s">
        <v>113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25">
      <c r="A160" t="s">
        <v>2</v>
      </c>
      <c r="B160" t="s">
        <v>113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25">
      <c r="A161" t="s">
        <v>2</v>
      </c>
      <c r="B161" t="s">
        <v>113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25">
      <c r="A162" t="s">
        <v>2</v>
      </c>
      <c r="B162" t="s">
        <v>113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25">
      <c r="A163" t="s">
        <v>2</v>
      </c>
      <c r="B163" t="s">
        <v>113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25">
      <c r="A164" t="s">
        <v>2</v>
      </c>
      <c r="B164" t="s">
        <v>113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25">
      <c r="A165" t="s">
        <v>5</v>
      </c>
      <c r="B165" t="s">
        <v>113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25">
      <c r="A166" t="s">
        <v>5</v>
      </c>
      <c r="B166" t="s">
        <v>113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25">
      <c r="A167" t="s">
        <v>5</v>
      </c>
      <c r="B167" t="s">
        <v>113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25">
      <c r="A168" t="s">
        <v>5</v>
      </c>
      <c r="B168" t="s">
        <v>113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25">
      <c r="A169" t="s">
        <v>5</v>
      </c>
      <c r="B169" t="s">
        <v>113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25">
      <c r="A170" t="s">
        <v>5</v>
      </c>
      <c r="B170" t="s">
        <v>113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25">
      <c r="A171" t="s">
        <v>5</v>
      </c>
      <c r="B171" t="s">
        <v>113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25">
      <c r="A172" t="s">
        <v>7</v>
      </c>
      <c r="B172" t="s">
        <v>113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25">
      <c r="A173" t="s">
        <v>7</v>
      </c>
      <c r="B173" t="s">
        <v>113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25">
      <c r="A174" t="s">
        <v>7</v>
      </c>
      <c r="B174" t="s">
        <v>113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25">
      <c r="A175" t="s">
        <v>7</v>
      </c>
      <c r="B175" t="s">
        <v>113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25">
      <c r="A176" t="s">
        <v>7</v>
      </c>
      <c r="B176" t="s">
        <v>113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25">
      <c r="A177" t="s">
        <v>7</v>
      </c>
      <c r="B177" t="s">
        <v>113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25">
      <c r="A178" t="s">
        <v>7</v>
      </c>
      <c r="B178" t="s">
        <v>113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25">
      <c r="A179" t="s">
        <v>9</v>
      </c>
      <c r="B179" t="s">
        <v>113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25">
      <c r="A180" t="s">
        <v>9</v>
      </c>
      <c r="B180" t="s">
        <v>113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25">
      <c r="A181" t="s">
        <v>9</v>
      </c>
      <c r="B181" t="s">
        <v>113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25">
      <c r="A182" t="s">
        <v>9</v>
      </c>
      <c r="B182" t="s">
        <v>113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25">
      <c r="A183" t="s">
        <v>9</v>
      </c>
      <c r="B183" t="s">
        <v>113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25">
      <c r="A184" t="s">
        <v>9</v>
      </c>
      <c r="B184" t="s">
        <v>113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25">
      <c r="A185" t="s">
        <v>9</v>
      </c>
      <c r="B185" t="s">
        <v>113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25">
      <c r="A186" t="s">
        <v>0</v>
      </c>
      <c r="B186" t="s">
        <v>113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25">
      <c r="A187" t="s">
        <v>0</v>
      </c>
      <c r="B187" t="s">
        <v>113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25">
      <c r="A188" t="s">
        <v>0</v>
      </c>
      <c r="B188" t="s">
        <v>113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25">
      <c r="A189" t="s">
        <v>0</v>
      </c>
      <c r="B189" t="s">
        <v>113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25">
      <c r="A190" t="s">
        <v>0</v>
      </c>
      <c r="B190" t="s">
        <v>113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25">
      <c r="A191" t="s">
        <v>0</v>
      </c>
      <c r="B191" t="s">
        <v>113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25">
      <c r="A192" t="s">
        <v>0</v>
      </c>
      <c r="B192" t="s">
        <v>113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25">
      <c r="A193" t="s">
        <v>2</v>
      </c>
      <c r="B193" t="s">
        <v>113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25">
      <c r="A194" t="s">
        <v>2</v>
      </c>
      <c r="B194" t="s">
        <v>113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25">
      <c r="A195" t="s">
        <v>2</v>
      </c>
      <c r="B195" t="s">
        <v>113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25">
      <c r="A196" t="s">
        <v>2</v>
      </c>
      <c r="B196" t="s">
        <v>113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25">
      <c r="A197" t="s">
        <v>2</v>
      </c>
      <c r="B197" t="s">
        <v>113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25">
      <c r="A198" t="s">
        <v>2</v>
      </c>
      <c r="B198" t="s">
        <v>113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25">
      <c r="A199" t="s">
        <v>2</v>
      </c>
      <c r="B199" t="s">
        <v>113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25">
      <c r="A200" t="s">
        <v>5</v>
      </c>
      <c r="B200" t="s">
        <v>113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25">
      <c r="A201" t="s">
        <v>5</v>
      </c>
      <c r="B201" t="s">
        <v>113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25">
      <c r="A202" t="s">
        <v>5</v>
      </c>
      <c r="B202" t="s">
        <v>113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25">
      <c r="A203" t="s">
        <v>5</v>
      </c>
      <c r="B203" t="s">
        <v>113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25">
      <c r="A204" t="s">
        <v>5</v>
      </c>
      <c r="B204" t="s">
        <v>113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25">
      <c r="A205" t="s">
        <v>5</v>
      </c>
      <c r="B205" t="s">
        <v>113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25">
      <c r="A206" t="s">
        <v>5</v>
      </c>
      <c r="B206" t="s">
        <v>113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25">
      <c r="A207" t="s">
        <v>7</v>
      </c>
      <c r="B207" t="s">
        <v>113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25">
      <c r="A208" t="s">
        <v>7</v>
      </c>
      <c r="B208" t="s">
        <v>113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25">
      <c r="A209" t="s">
        <v>7</v>
      </c>
      <c r="B209" t="s">
        <v>113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25">
      <c r="A210" t="s">
        <v>7</v>
      </c>
      <c r="B210" t="s">
        <v>113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25">
      <c r="A211" t="s">
        <v>7</v>
      </c>
      <c r="B211" t="s">
        <v>113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25">
      <c r="A212" t="s">
        <v>7</v>
      </c>
      <c r="B212" t="s">
        <v>113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25">
      <c r="A213" t="s">
        <v>7</v>
      </c>
      <c r="B213" t="s">
        <v>113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25">
      <c r="A214" t="s">
        <v>9</v>
      </c>
      <c r="B214" t="s">
        <v>113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25">
      <c r="A215" t="s">
        <v>9</v>
      </c>
      <c r="B215" t="s">
        <v>113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25">
      <c r="A216" t="s">
        <v>9</v>
      </c>
      <c r="B216" t="s">
        <v>113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25">
      <c r="A217" t="s">
        <v>9</v>
      </c>
      <c r="B217" t="s">
        <v>113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25">
      <c r="A218" t="s">
        <v>9</v>
      </c>
      <c r="B218" t="s">
        <v>113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25">
      <c r="A219" t="s">
        <v>9</v>
      </c>
      <c r="B219" t="s">
        <v>113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25">
      <c r="A220" t="s">
        <v>9</v>
      </c>
      <c r="B220" t="s">
        <v>113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25">
      <c r="A221" t="s">
        <v>0</v>
      </c>
      <c r="B221" t="s">
        <v>113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69</v>
      </c>
    </row>
    <row r="222" spans="1:13" x14ac:dyDescent="0.25">
      <c r="A222" t="s">
        <v>0</v>
      </c>
      <c r="B222" t="s">
        <v>113</v>
      </c>
      <c r="C222">
        <v>2025</v>
      </c>
      <c r="D222">
        <v>34</v>
      </c>
      <c r="E222" t="e">
        <v>#NUM!</v>
      </c>
      <c r="F222">
        <v>2.42</v>
      </c>
      <c r="H222">
        <v>1.18</v>
      </c>
      <c r="I222" t="e">
        <v>#NUM!</v>
      </c>
      <c r="J222">
        <v>2.0099999999999998</v>
      </c>
      <c r="K222">
        <v>2.75</v>
      </c>
      <c r="L222" t="s">
        <v>1</v>
      </c>
      <c r="M222" t="s">
        <v>69</v>
      </c>
    </row>
    <row r="223" spans="1:13" x14ac:dyDescent="0.25">
      <c r="A223" t="s">
        <v>0</v>
      </c>
      <c r="B223" t="s">
        <v>113</v>
      </c>
      <c r="C223">
        <v>2030</v>
      </c>
      <c r="D223">
        <v>34</v>
      </c>
      <c r="E223" t="e">
        <v>#NUM!</v>
      </c>
      <c r="F223">
        <v>3.1</v>
      </c>
      <c r="H223">
        <v>1.71</v>
      </c>
      <c r="I223" t="e">
        <v>#NUM!</v>
      </c>
      <c r="J223">
        <v>2.38</v>
      </c>
      <c r="K223">
        <v>3.46</v>
      </c>
      <c r="L223" t="s">
        <v>1</v>
      </c>
      <c r="M223" t="s">
        <v>69</v>
      </c>
    </row>
    <row r="224" spans="1:13" x14ac:dyDescent="0.25">
      <c r="A224" t="s">
        <v>0</v>
      </c>
      <c r="B224" t="s">
        <v>113</v>
      </c>
      <c r="C224">
        <v>2035</v>
      </c>
      <c r="D224">
        <v>34</v>
      </c>
      <c r="E224" t="e">
        <v>#NUM!</v>
      </c>
      <c r="F224">
        <v>3.54</v>
      </c>
      <c r="H224">
        <v>1.91</v>
      </c>
      <c r="I224" t="e">
        <v>#NUM!</v>
      </c>
      <c r="J224">
        <v>2.66</v>
      </c>
      <c r="K224">
        <v>4.16</v>
      </c>
      <c r="L224" t="s">
        <v>1</v>
      </c>
      <c r="M224" t="s">
        <v>69</v>
      </c>
    </row>
    <row r="225" spans="1:13" x14ac:dyDescent="0.25">
      <c r="A225" t="s">
        <v>0</v>
      </c>
      <c r="B225" t="s">
        <v>113</v>
      </c>
      <c r="C225">
        <v>2040</v>
      </c>
      <c r="D225">
        <v>34</v>
      </c>
      <c r="E225" t="e">
        <v>#NUM!</v>
      </c>
      <c r="F225">
        <v>4.0999999999999996</v>
      </c>
      <c r="H225">
        <v>2.27</v>
      </c>
      <c r="I225" t="e">
        <v>#NUM!</v>
      </c>
      <c r="J225">
        <v>2.96</v>
      </c>
      <c r="K225">
        <v>4.5199999999999996</v>
      </c>
      <c r="L225" t="s">
        <v>1</v>
      </c>
      <c r="M225" t="s">
        <v>69</v>
      </c>
    </row>
    <row r="226" spans="1:13" x14ac:dyDescent="0.25">
      <c r="A226" t="s">
        <v>0</v>
      </c>
      <c r="B226" t="s">
        <v>113</v>
      </c>
      <c r="C226">
        <v>2045</v>
      </c>
      <c r="D226">
        <v>34</v>
      </c>
      <c r="E226" t="e">
        <v>#NUM!</v>
      </c>
      <c r="F226">
        <v>3.86</v>
      </c>
      <c r="H226">
        <v>2.54</v>
      </c>
      <c r="I226" t="e">
        <v>#NUM!</v>
      </c>
      <c r="J226">
        <v>3.3</v>
      </c>
      <c r="K226">
        <v>4.8899999999999997</v>
      </c>
      <c r="L226" t="s">
        <v>1</v>
      </c>
      <c r="M226" t="s">
        <v>69</v>
      </c>
    </row>
    <row r="227" spans="1:13" x14ac:dyDescent="0.25">
      <c r="A227" t="s">
        <v>0</v>
      </c>
      <c r="B227" t="s">
        <v>113</v>
      </c>
      <c r="C227">
        <v>2050</v>
      </c>
      <c r="D227">
        <v>34</v>
      </c>
      <c r="E227" t="e">
        <v>#NUM!</v>
      </c>
      <c r="F227">
        <v>3.59</v>
      </c>
      <c r="H227">
        <v>2.73</v>
      </c>
      <c r="I227" t="e">
        <v>#NUM!</v>
      </c>
      <c r="J227">
        <v>3.07</v>
      </c>
      <c r="K227">
        <v>4.0599999999999996</v>
      </c>
      <c r="L227" t="s">
        <v>1</v>
      </c>
      <c r="M227" t="s">
        <v>69</v>
      </c>
    </row>
    <row r="228" spans="1:13" x14ac:dyDescent="0.25">
      <c r="A228" t="s">
        <v>2</v>
      </c>
      <c r="B228" t="s">
        <v>113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69</v>
      </c>
    </row>
    <row r="229" spans="1:13" x14ac:dyDescent="0.25">
      <c r="A229" t="s">
        <v>2</v>
      </c>
      <c r="B229" t="s">
        <v>113</v>
      </c>
      <c r="C229">
        <v>2025</v>
      </c>
      <c r="D229">
        <v>44</v>
      </c>
      <c r="E229" t="e">
        <v>#NUM!</v>
      </c>
      <c r="F229">
        <v>1.22</v>
      </c>
      <c r="H229">
        <v>0</v>
      </c>
      <c r="I229" t="e">
        <v>#NUM!</v>
      </c>
      <c r="J229">
        <v>1.1299999999999999</v>
      </c>
      <c r="K229">
        <v>1.35</v>
      </c>
      <c r="L229" t="s">
        <v>3</v>
      </c>
      <c r="M229" t="s">
        <v>69</v>
      </c>
    </row>
    <row r="230" spans="1:13" x14ac:dyDescent="0.25">
      <c r="A230" t="s">
        <v>2</v>
      </c>
      <c r="B230" t="s">
        <v>113</v>
      </c>
      <c r="C230">
        <v>2030</v>
      </c>
      <c r="D230">
        <v>44</v>
      </c>
      <c r="E230" t="e">
        <v>#NUM!</v>
      </c>
      <c r="F230">
        <v>1.5</v>
      </c>
      <c r="H230">
        <v>0</v>
      </c>
      <c r="I230" t="e">
        <v>#NUM!</v>
      </c>
      <c r="J230">
        <v>1.31</v>
      </c>
      <c r="K230">
        <v>1.83</v>
      </c>
      <c r="L230" t="s">
        <v>3</v>
      </c>
      <c r="M230" t="s">
        <v>69</v>
      </c>
    </row>
    <row r="231" spans="1:13" x14ac:dyDescent="0.25">
      <c r="A231" t="s">
        <v>2</v>
      </c>
      <c r="B231" t="s">
        <v>113</v>
      </c>
      <c r="C231">
        <v>2035</v>
      </c>
      <c r="D231">
        <v>44</v>
      </c>
      <c r="E231" t="e">
        <v>#NUM!</v>
      </c>
      <c r="F231">
        <v>2.12</v>
      </c>
      <c r="H231">
        <v>0</v>
      </c>
      <c r="I231" t="e">
        <v>#NUM!</v>
      </c>
      <c r="J231">
        <v>1.68</v>
      </c>
      <c r="K231">
        <v>2.46</v>
      </c>
      <c r="L231" t="s">
        <v>3</v>
      </c>
      <c r="M231" t="s">
        <v>69</v>
      </c>
    </row>
    <row r="232" spans="1:13" x14ac:dyDescent="0.25">
      <c r="A232" t="s">
        <v>2</v>
      </c>
      <c r="B232" t="s">
        <v>113</v>
      </c>
      <c r="C232">
        <v>2040</v>
      </c>
      <c r="D232">
        <v>44</v>
      </c>
      <c r="E232" t="e">
        <v>#NUM!</v>
      </c>
      <c r="F232">
        <v>2.5</v>
      </c>
      <c r="H232">
        <v>0</v>
      </c>
      <c r="I232" t="e">
        <v>#NUM!</v>
      </c>
      <c r="J232">
        <v>2</v>
      </c>
      <c r="K232">
        <v>2.94</v>
      </c>
      <c r="L232" t="s">
        <v>3</v>
      </c>
      <c r="M232" t="s">
        <v>69</v>
      </c>
    </row>
    <row r="233" spans="1:13" x14ac:dyDescent="0.25">
      <c r="A233" t="s">
        <v>2</v>
      </c>
      <c r="B233" t="s">
        <v>113</v>
      </c>
      <c r="C233">
        <v>2045</v>
      </c>
      <c r="D233">
        <v>44</v>
      </c>
      <c r="E233" t="e">
        <v>#NUM!</v>
      </c>
      <c r="F233">
        <v>2.79</v>
      </c>
      <c r="H233">
        <v>0</v>
      </c>
      <c r="I233" t="e">
        <v>#NUM!</v>
      </c>
      <c r="J233">
        <v>2.08</v>
      </c>
      <c r="K233">
        <v>3.44</v>
      </c>
      <c r="L233" t="s">
        <v>3</v>
      </c>
      <c r="M233" t="s">
        <v>69</v>
      </c>
    </row>
    <row r="234" spans="1:13" x14ac:dyDescent="0.25">
      <c r="A234" t="s">
        <v>2</v>
      </c>
      <c r="B234" t="s">
        <v>113</v>
      </c>
      <c r="C234">
        <v>2050</v>
      </c>
      <c r="D234">
        <v>44</v>
      </c>
      <c r="E234" t="e">
        <v>#NUM!</v>
      </c>
      <c r="F234">
        <v>2.95</v>
      </c>
      <c r="H234">
        <v>0</v>
      </c>
      <c r="I234" t="e">
        <v>#NUM!</v>
      </c>
      <c r="J234">
        <v>2.4900000000000002</v>
      </c>
      <c r="K234">
        <v>3.78</v>
      </c>
      <c r="L234" t="s">
        <v>3</v>
      </c>
      <c r="M234" t="s">
        <v>69</v>
      </c>
    </row>
    <row r="235" spans="1:13" x14ac:dyDescent="0.25">
      <c r="A235" t="s">
        <v>5</v>
      </c>
      <c r="B235" t="s">
        <v>113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69</v>
      </c>
    </row>
    <row r="236" spans="1:13" x14ac:dyDescent="0.25">
      <c r="A236" t="s">
        <v>5</v>
      </c>
      <c r="B236" t="s">
        <v>113</v>
      </c>
      <c r="C236">
        <v>2025</v>
      </c>
      <c r="D236">
        <v>112</v>
      </c>
      <c r="E236" t="e">
        <v>#NUM!</v>
      </c>
      <c r="F236">
        <v>1.41</v>
      </c>
      <c r="H236">
        <v>0.98</v>
      </c>
      <c r="I236" t="e">
        <v>#NUM!</v>
      </c>
      <c r="J236">
        <v>1.23</v>
      </c>
      <c r="K236">
        <v>1.96</v>
      </c>
      <c r="L236" t="s">
        <v>6</v>
      </c>
      <c r="M236" t="s">
        <v>69</v>
      </c>
    </row>
    <row r="237" spans="1:13" x14ac:dyDescent="0.25">
      <c r="A237" t="s">
        <v>5</v>
      </c>
      <c r="B237" t="s">
        <v>113</v>
      </c>
      <c r="C237">
        <v>2030</v>
      </c>
      <c r="D237">
        <v>112</v>
      </c>
      <c r="E237" t="e">
        <v>#NUM!</v>
      </c>
      <c r="F237">
        <v>2.04</v>
      </c>
      <c r="H237">
        <v>1.05</v>
      </c>
      <c r="I237" t="e">
        <v>#NUM!</v>
      </c>
      <c r="J237">
        <v>1.52</v>
      </c>
      <c r="K237">
        <v>2.5499999999999998</v>
      </c>
      <c r="L237" t="s">
        <v>6</v>
      </c>
      <c r="M237" t="s">
        <v>69</v>
      </c>
    </row>
    <row r="238" spans="1:13" x14ac:dyDescent="0.25">
      <c r="A238" t="s">
        <v>5</v>
      </c>
      <c r="B238" t="s">
        <v>113</v>
      </c>
      <c r="C238">
        <v>2035</v>
      </c>
      <c r="D238">
        <v>112</v>
      </c>
      <c r="E238" t="e">
        <v>#NUM!</v>
      </c>
      <c r="F238">
        <v>2.4</v>
      </c>
      <c r="H238">
        <v>1.05</v>
      </c>
      <c r="I238" t="e">
        <v>#NUM!</v>
      </c>
      <c r="J238">
        <v>1.71</v>
      </c>
      <c r="K238">
        <v>3.14</v>
      </c>
      <c r="L238" t="s">
        <v>6</v>
      </c>
      <c r="M238" t="s">
        <v>69</v>
      </c>
    </row>
    <row r="239" spans="1:13" x14ac:dyDescent="0.25">
      <c r="A239" t="s">
        <v>5</v>
      </c>
      <c r="B239" t="s">
        <v>113</v>
      </c>
      <c r="C239">
        <v>2040</v>
      </c>
      <c r="D239">
        <v>112</v>
      </c>
      <c r="E239" t="e">
        <v>#NUM!</v>
      </c>
      <c r="F239">
        <v>2.6</v>
      </c>
      <c r="H239">
        <v>1.06</v>
      </c>
      <c r="I239" t="e">
        <v>#NUM!</v>
      </c>
      <c r="J239">
        <v>1.85</v>
      </c>
      <c r="K239">
        <v>3.74</v>
      </c>
      <c r="L239" t="s">
        <v>6</v>
      </c>
      <c r="M239" t="s">
        <v>69</v>
      </c>
    </row>
    <row r="240" spans="1:13" x14ac:dyDescent="0.25">
      <c r="A240" t="s">
        <v>5</v>
      </c>
      <c r="B240" t="s">
        <v>113</v>
      </c>
      <c r="C240">
        <v>2045</v>
      </c>
      <c r="D240">
        <v>112</v>
      </c>
      <c r="E240" t="e">
        <v>#NUM!</v>
      </c>
      <c r="F240">
        <v>2.85</v>
      </c>
      <c r="H240">
        <v>1.08</v>
      </c>
      <c r="I240" t="e">
        <v>#NUM!</v>
      </c>
      <c r="J240">
        <v>2</v>
      </c>
      <c r="K240">
        <v>4.28</v>
      </c>
      <c r="L240" t="s">
        <v>6</v>
      </c>
      <c r="M240" t="s">
        <v>69</v>
      </c>
    </row>
    <row r="241" spans="1:13" x14ac:dyDescent="0.25">
      <c r="A241" t="s">
        <v>5</v>
      </c>
      <c r="B241" t="s">
        <v>113</v>
      </c>
      <c r="C241">
        <v>2050</v>
      </c>
      <c r="D241">
        <v>112</v>
      </c>
      <c r="E241" t="e">
        <v>#NUM!</v>
      </c>
      <c r="F241">
        <v>2.97</v>
      </c>
      <c r="H241">
        <v>0</v>
      </c>
      <c r="I241" t="e">
        <v>#NUM!</v>
      </c>
      <c r="J241">
        <v>2.15</v>
      </c>
      <c r="K241">
        <v>4.51</v>
      </c>
      <c r="L241" t="s">
        <v>6</v>
      </c>
      <c r="M241" t="s">
        <v>69</v>
      </c>
    </row>
    <row r="242" spans="1:13" x14ac:dyDescent="0.25">
      <c r="A242" t="s">
        <v>7</v>
      </c>
      <c r="B242" t="s">
        <v>113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69</v>
      </c>
    </row>
    <row r="243" spans="1:13" x14ac:dyDescent="0.25">
      <c r="A243" t="s">
        <v>7</v>
      </c>
      <c r="B243" t="s">
        <v>113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69</v>
      </c>
    </row>
    <row r="244" spans="1:13" x14ac:dyDescent="0.25">
      <c r="A244" t="s">
        <v>7</v>
      </c>
      <c r="B244" t="s">
        <v>113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69</v>
      </c>
    </row>
    <row r="245" spans="1:13" x14ac:dyDescent="0.25">
      <c r="A245" t="s">
        <v>7</v>
      </c>
      <c r="B245" t="s">
        <v>113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69</v>
      </c>
    </row>
    <row r="246" spans="1:13" x14ac:dyDescent="0.25">
      <c r="A246" t="s">
        <v>7</v>
      </c>
      <c r="B246" t="s">
        <v>113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69</v>
      </c>
    </row>
    <row r="247" spans="1:13" x14ac:dyDescent="0.25">
      <c r="A247" t="s">
        <v>7</v>
      </c>
      <c r="B247" t="s">
        <v>113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69</v>
      </c>
    </row>
    <row r="248" spans="1:13" x14ac:dyDescent="0.25">
      <c r="A248" t="s">
        <v>7</v>
      </c>
      <c r="B248" t="s">
        <v>113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69</v>
      </c>
    </row>
    <row r="249" spans="1:13" x14ac:dyDescent="0.25">
      <c r="A249" t="s">
        <v>9</v>
      </c>
      <c r="B249" t="s">
        <v>113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69</v>
      </c>
    </row>
    <row r="250" spans="1:13" x14ac:dyDescent="0.25">
      <c r="A250" t="s">
        <v>9</v>
      </c>
      <c r="B250" t="s">
        <v>113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69</v>
      </c>
    </row>
    <row r="251" spans="1:13" x14ac:dyDescent="0.25">
      <c r="A251" t="s">
        <v>9</v>
      </c>
      <c r="B251" t="s">
        <v>113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69</v>
      </c>
    </row>
    <row r="252" spans="1:13" x14ac:dyDescent="0.25">
      <c r="A252" t="s">
        <v>9</v>
      </c>
      <c r="B252" t="s">
        <v>113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69</v>
      </c>
    </row>
    <row r="253" spans="1:13" x14ac:dyDescent="0.25">
      <c r="A253" t="s">
        <v>9</v>
      </c>
      <c r="B253" t="s">
        <v>113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69</v>
      </c>
    </row>
    <row r="254" spans="1:13" x14ac:dyDescent="0.25">
      <c r="A254" t="s">
        <v>9</v>
      </c>
      <c r="B254" t="s">
        <v>113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69</v>
      </c>
    </row>
    <row r="255" spans="1:13" x14ac:dyDescent="0.25">
      <c r="A255" t="s">
        <v>9</v>
      </c>
      <c r="B255" t="s">
        <v>113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69</v>
      </c>
    </row>
    <row r="256" spans="1:13" x14ac:dyDescent="0.25">
      <c r="A256" t="s">
        <v>0</v>
      </c>
      <c r="B256" t="s">
        <v>113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70</v>
      </c>
    </row>
    <row r="257" spans="1:13" x14ac:dyDescent="0.25">
      <c r="A257" t="s">
        <v>0</v>
      </c>
      <c r="B257" t="s">
        <v>113</v>
      </c>
      <c r="C257">
        <v>2025</v>
      </c>
      <c r="D257">
        <v>50</v>
      </c>
      <c r="E257" t="e">
        <v>#NUM!</v>
      </c>
      <c r="F257">
        <v>1.1000000000000001</v>
      </c>
      <c r="H257">
        <v>-4.33</v>
      </c>
      <c r="I257" t="e">
        <v>#NUM!</v>
      </c>
      <c r="J257">
        <v>0.81</v>
      </c>
      <c r="K257">
        <v>1.5</v>
      </c>
      <c r="L257" t="s">
        <v>1</v>
      </c>
      <c r="M257" t="s">
        <v>70</v>
      </c>
    </row>
    <row r="258" spans="1:13" x14ac:dyDescent="0.25">
      <c r="A258" t="s">
        <v>0</v>
      </c>
      <c r="B258" t="s">
        <v>113</v>
      </c>
      <c r="C258">
        <v>2030</v>
      </c>
      <c r="D258">
        <v>50</v>
      </c>
      <c r="E258" t="e">
        <v>#NUM!</v>
      </c>
      <c r="F258">
        <v>1.77</v>
      </c>
      <c r="H258">
        <v>-6.1</v>
      </c>
      <c r="I258" t="e">
        <v>#NUM!</v>
      </c>
      <c r="J258">
        <v>1.27</v>
      </c>
      <c r="K258">
        <v>2.54</v>
      </c>
      <c r="L258" t="s">
        <v>1</v>
      </c>
      <c r="M258" t="s">
        <v>70</v>
      </c>
    </row>
    <row r="259" spans="1:13" x14ac:dyDescent="0.25">
      <c r="A259" t="s">
        <v>0</v>
      </c>
      <c r="B259" t="s">
        <v>113</v>
      </c>
      <c r="C259">
        <v>2035</v>
      </c>
      <c r="D259">
        <v>50</v>
      </c>
      <c r="E259" t="e">
        <v>#NUM!</v>
      </c>
      <c r="F259">
        <v>1.87</v>
      </c>
      <c r="H259">
        <v>-6.86</v>
      </c>
      <c r="I259" t="e">
        <v>#NUM!</v>
      </c>
      <c r="J259">
        <v>1.1499999999999999</v>
      </c>
      <c r="K259">
        <v>2.77</v>
      </c>
      <c r="L259" t="s">
        <v>1</v>
      </c>
      <c r="M259" t="s">
        <v>70</v>
      </c>
    </row>
    <row r="260" spans="1:13" x14ac:dyDescent="0.25">
      <c r="A260" t="s">
        <v>0</v>
      </c>
      <c r="B260" t="s">
        <v>113</v>
      </c>
      <c r="C260">
        <v>2040</v>
      </c>
      <c r="D260">
        <v>50</v>
      </c>
      <c r="E260" t="e">
        <v>#NUM!</v>
      </c>
      <c r="F260">
        <v>1.96</v>
      </c>
      <c r="H260">
        <v>-9.2100000000000009</v>
      </c>
      <c r="I260" t="e">
        <v>#NUM!</v>
      </c>
      <c r="J260">
        <v>1.31</v>
      </c>
      <c r="K260">
        <v>3.39</v>
      </c>
      <c r="L260" t="s">
        <v>1</v>
      </c>
      <c r="M260" t="s">
        <v>70</v>
      </c>
    </row>
    <row r="261" spans="1:13" x14ac:dyDescent="0.25">
      <c r="A261" t="s">
        <v>0</v>
      </c>
      <c r="B261" t="s">
        <v>113</v>
      </c>
      <c r="C261">
        <v>2045</v>
      </c>
      <c r="D261">
        <v>50</v>
      </c>
      <c r="E261" t="e">
        <v>#NUM!</v>
      </c>
      <c r="F261">
        <v>2.13</v>
      </c>
      <c r="H261">
        <v>-6.95</v>
      </c>
      <c r="I261" t="e">
        <v>#NUM!</v>
      </c>
      <c r="J261">
        <v>1.6</v>
      </c>
      <c r="K261">
        <v>3.41</v>
      </c>
      <c r="L261" t="s">
        <v>1</v>
      </c>
      <c r="M261" t="s">
        <v>70</v>
      </c>
    </row>
    <row r="262" spans="1:13" x14ac:dyDescent="0.25">
      <c r="A262" t="s">
        <v>0</v>
      </c>
      <c r="B262" t="s">
        <v>113</v>
      </c>
      <c r="C262">
        <v>2050</v>
      </c>
      <c r="D262">
        <v>50</v>
      </c>
      <c r="E262" t="e">
        <v>#NUM!</v>
      </c>
      <c r="F262">
        <v>2</v>
      </c>
      <c r="H262">
        <v>-10.07</v>
      </c>
      <c r="I262" t="e">
        <v>#NUM!</v>
      </c>
      <c r="J262">
        <v>1.55</v>
      </c>
      <c r="K262">
        <v>4.63</v>
      </c>
      <c r="L262" t="s">
        <v>1</v>
      </c>
      <c r="M262" t="s">
        <v>70</v>
      </c>
    </row>
    <row r="263" spans="1:13" x14ac:dyDescent="0.25">
      <c r="A263" t="s">
        <v>2</v>
      </c>
      <c r="B263" t="s">
        <v>113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70</v>
      </c>
    </row>
    <row r="264" spans="1:13" x14ac:dyDescent="0.25">
      <c r="A264" t="s">
        <v>2</v>
      </c>
      <c r="B264" t="s">
        <v>113</v>
      </c>
      <c r="C264">
        <v>2025</v>
      </c>
      <c r="D264">
        <v>52</v>
      </c>
      <c r="E264" t="e">
        <v>#NUM!</v>
      </c>
      <c r="F264">
        <v>0.61</v>
      </c>
      <c r="H264">
        <v>0</v>
      </c>
      <c r="I264" t="e">
        <v>#NUM!</v>
      </c>
      <c r="J264">
        <v>0.53</v>
      </c>
      <c r="K264">
        <v>0.89</v>
      </c>
      <c r="L264" t="s">
        <v>3</v>
      </c>
      <c r="M264" t="s">
        <v>70</v>
      </c>
    </row>
    <row r="265" spans="1:13" x14ac:dyDescent="0.25">
      <c r="A265" t="s">
        <v>2</v>
      </c>
      <c r="B265" t="s">
        <v>113</v>
      </c>
      <c r="C265">
        <v>2030</v>
      </c>
      <c r="D265">
        <v>63</v>
      </c>
      <c r="E265" t="e">
        <v>#NUM!</v>
      </c>
      <c r="F265">
        <v>1.07</v>
      </c>
      <c r="H265">
        <v>0</v>
      </c>
      <c r="I265" t="e">
        <v>#NUM!</v>
      </c>
      <c r="J265">
        <v>0.6</v>
      </c>
      <c r="K265">
        <v>1.55</v>
      </c>
      <c r="L265" t="s">
        <v>3</v>
      </c>
      <c r="M265" t="s">
        <v>70</v>
      </c>
    </row>
    <row r="266" spans="1:13" x14ac:dyDescent="0.25">
      <c r="A266" t="s">
        <v>2</v>
      </c>
      <c r="B266" t="s">
        <v>113</v>
      </c>
      <c r="C266">
        <v>2035</v>
      </c>
      <c r="D266">
        <v>52</v>
      </c>
      <c r="E266" t="e">
        <v>#NUM!</v>
      </c>
      <c r="F266">
        <v>1.0900000000000001</v>
      </c>
      <c r="H266">
        <v>0</v>
      </c>
      <c r="I266" t="e">
        <v>#NUM!</v>
      </c>
      <c r="J266">
        <v>0.6</v>
      </c>
      <c r="K266">
        <v>1.76</v>
      </c>
      <c r="L266" t="s">
        <v>3</v>
      </c>
      <c r="M266" t="s">
        <v>70</v>
      </c>
    </row>
    <row r="267" spans="1:13" x14ac:dyDescent="0.25">
      <c r="A267" t="s">
        <v>2</v>
      </c>
      <c r="B267" t="s">
        <v>113</v>
      </c>
      <c r="C267">
        <v>2040</v>
      </c>
      <c r="D267">
        <v>63</v>
      </c>
      <c r="E267" t="e">
        <v>#NUM!</v>
      </c>
      <c r="F267">
        <v>1.25</v>
      </c>
      <c r="H267">
        <v>0</v>
      </c>
      <c r="I267" t="e">
        <v>#NUM!</v>
      </c>
      <c r="J267">
        <v>0.87</v>
      </c>
      <c r="K267">
        <v>1.91</v>
      </c>
      <c r="L267" t="s">
        <v>3</v>
      </c>
      <c r="M267" t="s">
        <v>70</v>
      </c>
    </row>
    <row r="268" spans="1:13" x14ac:dyDescent="0.25">
      <c r="A268" t="s">
        <v>2</v>
      </c>
      <c r="B268" t="s">
        <v>113</v>
      </c>
      <c r="C268">
        <v>2045</v>
      </c>
      <c r="D268">
        <v>52</v>
      </c>
      <c r="E268" t="e">
        <v>#NUM!</v>
      </c>
      <c r="F268">
        <v>1.35</v>
      </c>
      <c r="H268">
        <v>0</v>
      </c>
      <c r="I268" t="e">
        <v>#NUM!</v>
      </c>
      <c r="J268">
        <v>0.78</v>
      </c>
      <c r="K268">
        <v>1.89</v>
      </c>
      <c r="L268" t="s">
        <v>3</v>
      </c>
      <c r="M268" t="s">
        <v>70</v>
      </c>
    </row>
    <row r="269" spans="1:13" x14ac:dyDescent="0.25">
      <c r="A269" t="s">
        <v>2</v>
      </c>
      <c r="B269" t="s">
        <v>113</v>
      </c>
      <c r="C269">
        <v>2050</v>
      </c>
      <c r="D269">
        <v>63</v>
      </c>
      <c r="E269" t="e">
        <v>#NUM!</v>
      </c>
      <c r="F269">
        <v>1.62</v>
      </c>
      <c r="H269">
        <v>-2.31</v>
      </c>
      <c r="I269" t="e">
        <v>#NUM!</v>
      </c>
      <c r="J269">
        <v>0.61</v>
      </c>
      <c r="K269">
        <v>2.16</v>
      </c>
      <c r="L269" t="s">
        <v>3</v>
      </c>
      <c r="M269" t="s">
        <v>70</v>
      </c>
    </row>
    <row r="270" spans="1:13" x14ac:dyDescent="0.25">
      <c r="A270" t="s">
        <v>5</v>
      </c>
      <c r="B270" t="s">
        <v>113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70</v>
      </c>
    </row>
    <row r="271" spans="1:13" x14ac:dyDescent="0.25">
      <c r="A271" t="s">
        <v>5</v>
      </c>
      <c r="B271" t="s">
        <v>113</v>
      </c>
      <c r="C271">
        <v>2025</v>
      </c>
      <c r="D271">
        <v>163</v>
      </c>
      <c r="E271" t="e">
        <v>#NUM!</v>
      </c>
      <c r="F271">
        <v>0.75</v>
      </c>
      <c r="H271">
        <v>0.46</v>
      </c>
      <c r="I271" t="e">
        <v>#NUM!</v>
      </c>
      <c r="J271">
        <v>0.54</v>
      </c>
      <c r="K271">
        <v>1.24</v>
      </c>
      <c r="L271" t="s">
        <v>6</v>
      </c>
      <c r="M271" t="s">
        <v>70</v>
      </c>
    </row>
    <row r="272" spans="1:13" x14ac:dyDescent="0.25">
      <c r="A272" t="s">
        <v>5</v>
      </c>
      <c r="B272" t="s">
        <v>113</v>
      </c>
      <c r="C272">
        <v>2030</v>
      </c>
      <c r="D272">
        <v>166</v>
      </c>
      <c r="E272" t="e">
        <v>#NUM!</v>
      </c>
      <c r="F272">
        <v>1.1499999999999999</v>
      </c>
      <c r="H272">
        <v>0.51</v>
      </c>
      <c r="I272" t="e">
        <v>#NUM!</v>
      </c>
      <c r="J272">
        <v>0.74</v>
      </c>
      <c r="K272">
        <v>1.65</v>
      </c>
      <c r="L272" t="s">
        <v>6</v>
      </c>
      <c r="M272" t="s">
        <v>70</v>
      </c>
    </row>
    <row r="273" spans="1:13" x14ac:dyDescent="0.25">
      <c r="A273" t="s">
        <v>5</v>
      </c>
      <c r="B273" t="s">
        <v>113</v>
      </c>
      <c r="C273">
        <v>2035</v>
      </c>
      <c r="D273">
        <v>163</v>
      </c>
      <c r="E273" t="e">
        <v>#NUM!</v>
      </c>
      <c r="F273">
        <v>1.21</v>
      </c>
      <c r="H273">
        <v>-0.95</v>
      </c>
      <c r="I273" t="e">
        <v>#NUM!</v>
      </c>
      <c r="J273">
        <v>0.88</v>
      </c>
      <c r="K273">
        <v>2.11</v>
      </c>
      <c r="L273" t="s">
        <v>6</v>
      </c>
      <c r="M273" t="s">
        <v>70</v>
      </c>
    </row>
    <row r="274" spans="1:13" x14ac:dyDescent="0.25">
      <c r="A274" t="s">
        <v>5</v>
      </c>
      <c r="B274" t="s">
        <v>113</v>
      </c>
      <c r="C274">
        <v>2040</v>
      </c>
      <c r="D274">
        <v>166</v>
      </c>
      <c r="E274" t="e">
        <v>#NUM!</v>
      </c>
      <c r="F274">
        <v>1.28</v>
      </c>
      <c r="H274">
        <v>-1.8</v>
      </c>
      <c r="I274" t="e">
        <v>#NUM!</v>
      </c>
      <c r="J274">
        <v>0.89</v>
      </c>
      <c r="K274">
        <v>2.4300000000000002</v>
      </c>
      <c r="L274" t="s">
        <v>6</v>
      </c>
      <c r="M274" t="s">
        <v>70</v>
      </c>
    </row>
    <row r="275" spans="1:13" x14ac:dyDescent="0.25">
      <c r="A275" t="s">
        <v>5</v>
      </c>
      <c r="B275" t="s">
        <v>113</v>
      </c>
      <c r="C275">
        <v>2045</v>
      </c>
      <c r="D275">
        <v>163</v>
      </c>
      <c r="E275" t="e">
        <v>#NUM!</v>
      </c>
      <c r="F275">
        <v>1.48</v>
      </c>
      <c r="H275">
        <v>-5.93</v>
      </c>
      <c r="I275" t="e">
        <v>#NUM!</v>
      </c>
      <c r="J275">
        <v>1.08</v>
      </c>
      <c r="K275">
        <v>2.75</v>
      </c>
      <c r="L275" t="s">
        <v>6</v>
      </c>
      <c r="M275" t="s">
        <v>70</v>
      </c>
    </row>
    <row r="276" spans="1:13" x14ac:dyDescent="0.25">
      <c r="A276" t="s">
        <v>5</v>
      </c>
      <c r="B276" t="s">
        <v>113</v>
      </c>
      <c r="C276">
        <v>2050</v>
      </c>
      <c r="D276">
        <v>166</v>
      </c>
      <c r="E276" t="e">
        <v>#NUM!</v>
      </c>
      <c r="F276">
        <v>1.59</v>
      </c>
      <c r="H276">
        <v>-5.35</v>
      </c>
      <c r="I276" t="e">
        <v>#NUM!</v>
      </c>
      <c r="J276">
        <v>0.97</v>
      </c>
      <c r="K276">
        <v>2.91</v>
      </c>
      <c r="L276" t="s">
        <v>6</v>
      </c>
      <c r="M276" t="s">
        <v>70</v>
      </c>
    </row>
    <row r="277" spans="1:13" x14ac:dyDescent="0.25">
      <c r="A277" t="s">
        <v>7</v>
      </c>
      <c r="B277" t="s">
        <v>113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70</v>
      </c>
    </row>
    <row r="278" spans="1:13" x14ac:dyDescent="0.25">
      <c r="A278" t="s">
        <v>7</v>
      </c>
      <c r="B278" t="s">
        <v>113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70</v>
      </c>
    </row>
    <row r="279" spans="1:13" x14ac:dyDescent="0.25">
      <c r="A279" t="s">
        <v>7</v>
      </c>
      <c r="B279" t="s">
        <v>113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70</v>
      </c>
    </row>
    <row r="280" spans="1:13" x14ac:dyDescent="0.25">
      <c r="A280" t="s">
        <v>7</v>
      </c>
      <c r="B280" t="s">
        <v>113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70</v>
      </c>
    </row>
    <row r="281" spans="1:13" x14ac:dyDescent="0.25">
      <c r="A281" t="s">
        <v>7</v>
      </c>
      <c r="B281" t="s">
        <v>113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70</v>
      </c>
    </row>
    <row r="282" spans="1:13" x14ac:dyDescent="0.25">
      <c r="A282" t="s">
        <v>7</v>
      </c>
      <c r="B282" t="s">
        <v>113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70</v>
      </c>
    </row>
    <row r="283" spans="1:13" x14ac:dyDescent="0.25">
      <c r="A283" t="s">
        <v>7</v>
      </c>
      <c r="B283" t="s">
        <v>113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70</v>
      </c>
    </row>
    <row r="284" spans="1:13" x14ac:dyDescent="0.25">
      <c r="A284" t="s">
        <v>9</v>
      </c>
      <c r="B284" t="s">
        <v>113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70</v>
      </c>
    </row>
    <row r="285" spans="1:13" x14ac:dyDescent="0.25">
      <c r="A285" t="s">
        <v>9</v>
      </c>
      <c r="B285" t="s">
        <v>113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70</v>
      </c>
    </row>
    <row r="286" spans="1:13" x14ac:dyDescent="0.25">
      <c r="A286" t="s">
        <v>9</v>
      </c>
      <c r="B286" t="s">
        <v>113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70</v>
      </c>
    </row>
    <row r="287" spans="1:13" x14ac:dyDescent="0.25">
      <c r="A287" t="s">
        <v>9</v>
      </c>
      <c r="B287" t="s">
        <v>113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70</v>
      </c>
    </row>
    <row r="288" spans="1:13" x14ac:dyDescent="0.25">
      <c r="A288" t="s">
        <v>9</v>
      </c>
      <c r="B288" t="s">
        <v>113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70</v>
      </c>
    </row>
    <row r="289" spans="1:13" x14ac:dyDescent="0.25">
      <c r="A289" t="s">
        <v>9</v>
      </c>
      <c r="B289" t="s">
        <v>113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70</v>
      </c>
    </row>
    <row r="290" spans="1:13" x14ac:dyDescent="0.25">
      <c r="A290" t="s">
        <v>9</v>
      </c>
      <c r="B290" t="s">
        <v>113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70</v>
      </c>
    </row>
    <row r="291" spans="1:13" x14ac:dyDescent="0.25">
      <c r="A291" t="s">
        <v>0</v>
      </c>
      <c r="B291" t="s">
        <v>113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71</v>
      </c>
    </row>
    <row r="292" spans="1:13" x14ac:dyDescent="0.25">
      <c r="A292" t="s">
        <v>0</v>
      </c>
      <c r="B292" t="s">
        <v>113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71</v>
      </c>
    </row>
    <row r="293" spans="1:13" x14ac:dyDescent="0.25">
      <c r="A293" t="s">
        <v>0</v>
      </c>
      <c r="B293" t="s">
        <v>113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71</v>
      </c>
    </row>
    <row r="294" spans="1:13" x14ac:dyDescent="0.25">
      <c r="A294" t="s">
        <v>0</v>
      </c>
      <c r="B294" t="s">
        <v>113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71</v>
      </c>
    </row>
    <row r="295" spans="1:13" x14ac:dyDescent="0.25">
      <c r="A295" t="s">
        <v>0</v>
      </c>
      <c r="B295" t="s">
        <v>113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71</v>
      </c>
    </row>
    <row r="296" spans="1:13" x14ac:dyDescent="0.25">
      <c r="A296" t="s">
        <v>0</v>
      </c>
      <c r="B296" t="s">
        <v>113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71</v>
      </c>
    </row>
    <row r="297" spans="1:13" x14ac:dyDescent="0.25">
      <c r="A297" t="s">
        <v>0</v>
      </c>
      <c r="B297" t="s">
        <v>113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71</v>
      </c>
    </row>
    <row r="298" spans="1:13" x14ac:dyDescent="0.25">
      <c r="A298" t="s">
        <v>2</v>
      </c>
      <c r="B298" t="s">
        <v>113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71</v>
      </c>
    </row>
    <row r="299" spans="1:13" x14ac:dyDescent="0.25">
      <c r="A299" t="s">
        <v>2</v>
      </c>
      <c r="B299" t="s">
        <v>113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71</v>
      </c>
    </row>
    <row r="300" spans="1:13" x14ac:dyDescent="0.25">
      <c r="A300" t="s">
        <v>2</v>
      </c>
      <c r="B300" t="s">
        <v>113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71</v>
      </c>
    </row>
    <row r="301" spans="1:13" x14ac:dyDescent="0.25">
      <c r="A301" t="s">
        <v>2</v>
      </c>
      <c r="B301" t="s">
        <v>113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71</v>
      </c>
    </row>
    <row r="302" spans="1:13" x14ac:dyDescent="0.25">
      <c r="A302" t="s">
        <v>2</v>
      </c>
      <c r="B302" t="s">
        <v>113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71</v>
      </c>
    </row>
    <row r="303" spans="1:13" x14ac:dyDescent="0.25">
      <c r="A303" t="s">
        <v>2</v>
      </c>
      <c r="B303" t="s">
        <v>113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71</v>
      </c>
    </row>
    <row r="304" spans="1:13" x14ac:dyDescent="0.25">
      <c r="A304" t="s">
        <v>2</v>
      </c>
      <c r="B304" t="s">
        <v>113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71</v>
      </c>
    </row>
    <row r="305" spans="1:13" x14ac:dyDescent="0.25">
      <c r="A305" t="s">
        <v>5</v>
      </c>
      <c r="B305" t="s">
        <v>113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71</v>
      </c>
    </row>
    <row r="306" spans="1:13" x14ac:dyDescent="0.25">
      <c r="A306" t="s">
        <v>5</v>
      </c>
      <c r="B306" t="s">
        <v>113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71</v>
      </c>
    </row>
    <row r="307" spans="1:13" x14ac:dyDescent="0.25">
      <c r="A307" t="s">
        <v>5</v>
      </c>
      <c r="B307" t="s">
        <v>113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71</v>
      </c>
    </row>
    <row r="308" spans="1:13" x14ac:dyDescent="0.25">
      <c r="A308" t="s">
        <v>5</v>
      </c>
      <c r="B308" t="s">
        <v>113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71</v>
      </c>
    </row>
    <row r="309" spans="1:13" x14ac:dyDescent="0.25">
      <c r="A309" t="s">
        <v>5</v>
      </c>
      <c r="B309" t="s">
        <v>113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71</v>
      </c>
    </row>
    <row r="310" spans="1:13" x14ac:dyDescent="0.25">
      <c r="A310" t="s">
        <v>5</v>
      </c>
      <c r="B310" t="s">
        <v>113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71</v>
      </c>
    </row>
    <row r="311" spans="1:13" x14ac:dyDescent="0.25">
      <c r="A311" t="s">
        <v>5</v>
      </c>
      <c r="B311" t="s">
        <v>113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71</v>
      </c>
    </row>
    <row r="312" spans="1:13" x14ac:dyDescent="0.25">
      <c r="A312" t="s">
        <v>7</v>
      </c>
      <c r="B312" t="s">
        <v>113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71</v>
      </c>
    </row>
    <row r="313" spans="1:13" x14ac:dyDescent="0.25">
      <c r="A313" t="s">
        <v>7</v>
      </c>
      <c r="B313" t="s">
        <v>113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71</v>
      </c>
    </row>
    <row r="314" spans="1:13" x14ac:dyDescent="0.25">
      <c r="A314" t="s">
        <v>7</v>
      </c>
      <c r="B314" t="s">
        <v>113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71</v>
      </c>
    </row>
    <row r="315" spans="1:13" x14ac:dyDescent="0.25">
      <c r="A315" t="s">
        <v>7</v>
      </c>
      <c r="B315" t="s">
        <v>113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71</v>
      </c>
    </row>
    <row r="316" spans="1:13" x14ac:dyDescent="0.25">
      <c r="A316" t="s">
        <v>7</v>
      </c>
      <c r="B316" t="s">
        <v>113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71</v>
      </c>
    </row>
    <row r="317" spans="1:13" x14ac:dyDescent="0.25">
      <c r="A317" t="s">
        <v>7</v>
      </c>
      <c r="B317" t="s">
        <v>113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71</v>
      </c>
    </row>
    <row r="318" spans="1:13" x14ac:dyDescent="0.25">
      <c r="A318" t="s">
        <v>7</v>
      </c>
      <c r="B318" t="s">
        <v>113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71</v>
      </c>
    </row>
    <row r="319" spans="1:13" x14ac:dyDescent="0.25">
      <c r="A319" t="s">
        <v>9</v>
      </c>
      <c r="B319" t="s">
        <v>113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71</v>
      </c>
    </row>
    <row r="320" spans="1:13" x14ac:dyDescent="0.25">
      <c r="A320" t="s">
        <v>9</v>
      </c>
      <c r="B320" t="s">
        <v>113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71</v>
      </c>
    </row>
    <row r="321" spans="1:13" x14ac:dyDescent="0.25">
      <c r="A321" t="s">
        <v>9</v>
      </c>
      <c r="B321" t="s">
        <v>113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71</v>
      </c>
    </row>
    <row r="322" spans="1:13" x14ac:dyDescent="0.25">
      <c r="A322" t="s">
        <v>9</v>
      </c>
      <c r="B322" t="s">
        <v>113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71</v>
      </c>
    </row>
    <row r="323" spans="1:13" x14ac:dyDescent="0.25">
      <c r="A323" t="s">
        <v>9</v>
      </c>
      <c r="B323" t="s">
        <v>113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71</v>
      </c>
    </row>
    <row r="324" spans="1:13" x14ac:dyDescent="0.25">
      <c r="A324" t="s">
        <v>9</v>
      </c>
      <c r="B324" t="s">
        <v>113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71</v>
      </c>
    </row>
    <row r="325" spans="1:13" x14ac:dyDescent="0.25">
      <c r="A325" t="s">
        <v>9</v>
      </c>
      <c r="B325" t="s">
        <v>113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71</v>
      </c>
    </row>
    <row r="326" spans="1:13" x14ac:dyDescent="0.25">
      <c r="A326" t="s">
        <v>0</v>
      </c>
      <c r="B326" t="s">
        <v>113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72</v>
      </c>
    </row>
    <row r="327" spans="1:13" x14ac:dyDescent="0.25">
      <c r="A327" t="s">
        <v>0</v>
      </c>
      <c r="B327" t="s">
        <v>113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72</v>
      </c>
    </row>
    <row r="328" spans="1:13" x14ac:dyDescent="0.25">
      <c r="A328" t="s">
        <v>0</v>
      </c>
      <c r="B328" t="s">
        <v>113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72</v>
      </c>
    </row>
    <row r="329" spans="1:13" x14ac:dyDescent="0.25">
      <c r="A329" t="s">
        <v>0</v>
      </c>
      <c r="B329" t="s">
        <v>113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72</v>
      </c>
    </row>
    <row r="330" spans="1:13" x14ac:dyDescent="0.25">
      <c r="A330" t="s">
        <v>0</v>
      </c>
      <c r="B330" t="s">
        <v>113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72</v>
      </c>
    </row>
    <row r="331" spans="1:13" x14ac:dyDescent="0.25">
      <c r="A331" t="s">
        <v>0</v>
      </c>
      <c r="B331" t="s">
        <v>113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72</v>
      </c>
    </row>
    <row r="332" spans="1:13" x14ac:dyDescent="0.25">
      <c r="A332" t="s">
        <v>0</v>
      </c>
      <c r="B332" t="s">
        <v>113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72</v>
      </c>
    </row>
    <row r="333" spans="1:13" x14ac:dyDescent="0.25">
      <c r="A333" t="s">
        <v>2</v>
      </c>
      <c r="B333" t="s">
        <v>113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72</v>
      </c>
    </row>
    <row r="334" spans="1:13" x14ac:dyDescent="0.25">
      <c r="A334" t="s">
        <v>2</v>
      </c>
      <c r="B334" t="s">
        <v>113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72</v>
      </c>
    </row>
    <row r="335" spans="1:13" x14ac:dyDescent="0.25">
      <c r="A335" t="s">
        <v>2</v>
      </c>
      <c r="B335" t="s">
        <v>113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72</v>
      </c>
    </row>
    <row r="336" spans="1:13" x14ac:dyDescent="0.25">
      <c r="A336" t="s">
        <v>2</v>
      </c>
      <c r="B336" t="s">
        <v>113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72</v>
      </c>
    </row>
    <row r="337" spans="1:13" x14ac:dyDescent="0.25">
      <c r="A337" t="s">
        <v>2</v>
      </c>
      <c r="B337" t="s">
        <v>113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72</v>
      </c>
    </row>
    <row r="338" spans="1:13" x14ac:dyDescent="0.25">
      <c r="A338" t="s">
        <v>2</v>
      </c>
      <c r="B338" t="s">
        <v>113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72</v>
      </c>
    </row>
    <row r="339" spans="1:13" x14ac:dyDescent="0.25">
      <c r="A339" t="s">
        <v>2</v>
      </c>
      <c r="B339" t="s">
        <v>113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72</v>
      </c>
    </row>
    <row r="340" spans="1:13" x14ac:dyDescent="0.25">
      <c r="A340" t="s">
        <v>5</v>
      </c>
      <c r="B340" t="s">
        <v>113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72</v>
      </c>
    </row>
    <row r="341" spans="1:13" x14ac:dyDescent="0.25">
      <c r="A341" t="s">
        <v>5</v>
      </c>
      <c r="B341" t="s">
        <v>113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72</v>
      </c>
    </row>
    <row r="342" spans="1:13" x14ac:dyDescent="0.25">
      <c r="A342" t="s">
        <v>5</v>
      </c>
      <c r="B342" t="s">
        <v>113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72</v>
      </c>
    </row>
    <row r="343" spans="1:13" x14ac:dyDescent="0.25">
      <c r="A343" t="s">
        <v>5</v>
      </c>
      <c r="B343" t="s">
        <v>113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72</v>
      </c>
    </row>
    <row r="344" spans="1:13" x14ac:dyDescent="0.25">
      <c r="A344" t="s">
        <v>5</v>
      </c>
      <c r="B344" t="s">
        <v>113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72</v>
      </c>
    </row>
    <row r="345" spans="1:13" x14ac:dyDescent="0.25">
      <c r="A345" t="s">
        <v>5</v>
      </c>
      <c r="B345" t="s">
        <v>113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72</v>
      </c>
    </row>
    <row r="346" spans="1:13" x14ac:dyDescent="0.25">
      <c r="A346" t="s">
        <v>5</v>
      </c>
      <c r="B346" t="s">
        <v>113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72</v>
      </c>
    </row>
    <row r="347" spans="1:13" x14ac:dyDescent="0.25">
      <c r="A347" t="s">
        <v>7</v>
      </c>
      <c r="B347" t="s">
        <v>113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72</v>
      </c>
    </row>
    <row r="348" spans="1:13" x14ac:dyDescent="0.25">
      <c r="A348" t="s">
        <v>7</v>
      </c>
      <c r="B348" t="s">
        <v>113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72</v>
      </c>
    </row>
    <row r="349" spans="1:13" x14ac:dyDescent="0.25">
      <c r="A349" t="s">
        <v>7</v>
      </c>
      <c r="B349" t="s">
        <v>113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72</v>
      </c>
    </row>
    <row r="350" spans="1:13" x14ac:dyDescent="0.25">
      <c r="A350" t="s">
        <v>7</v>
      </c>
      <c r="B350" t="s">
        <v>113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72</v>
      </c>
    </row>
    <row r="351" spans="1:13" x14ac:dyDescent="0.25">
      <c r="A351" t="s">
        <v>7</v>
      </c>
      <c r="B351" t="s">
        <v>113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72</v>
      </c>
    </row>
    <row r="352" spans="1:13" x14ac:dyDescent="0.25">
      <c r="A352" t="s">
        <v>7</v>
      </c>
      <c r="B352" t="s">
        <v>113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72</v>
      </c>
    </row>
    <row r="353" spans="1:13" x14ac:dyDescent="0.25">
      <c r="A353" t="s">
        <v>7</v>
      </c>
      <c r="B353" t="s">
        <v>113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72</v>
      </c>
    </row>
    <row r="354" spans="1:13" x14ac:dyDescent="0.25">
      <c r="A354" t="s">
        <v>9</v>
      </c>
      <c r="B354" t="s">
        <v>113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72</v>
      </c>
    </row>
    <row r="355" spans="1:13" x14ac:dyDescent="0.25">
      <c r="A355" t="s">
        <v>9</v>
      </c>
      <c r="B355" t="s">
        <v>113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72</v>
      </c>
    </row>
    <row r="356" spans="1:13" x14ac:dyDescent="0.25">
      <c r="A356" t="s">
        <v>9</v>
      </c>
      <c r="B356" t="s">
        <v>113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72</v>
      </c>
    </row>
    <row r="357" spans="1:13" x14ac:dyDescent="0.25">
      <c r="A357" t="s">
        <v>9</v>
      </c>
      <c r="B357" t="s">
        <v>113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72</v>
      </c>
    </row>
    <row r="358" spans="1:13" x14ac:dyDescent="0.25">
      <c r="A358" t="s">
        <v>9</v>
      </c>
      <c r="B358" t="s">
        <v>113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72</v>
      </c>
    </row>
    <row r="359" spans="1:13" x14ac:dyDescent="0.25">
      <c r="A359" t="s">
        <v>9</v>
      </c>
      <c r="B359" t="s">
        <v>113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72</v>
      </c>
    </row>
    <row r="360" spans="1:13" x14ac:dyDescent="0.25">
      <c r="A360" t="s">
        <v>9</v>
      </c>
      <c r="B360" t="s">
        <v>113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2026-07-06T12:07:57Z</dcterms:modified>
</cp:coreProperties>
</file>