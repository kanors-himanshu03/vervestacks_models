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POL_grids_kan17\SuppXLS\"/>
    </mc:Choice>
  </mc:AlternateContent>
  <xr:revisionPtr revIDLastSave="0" documentId="8_{BE82F08A-00E5-467F-A875-7D1F416869B3}" xr6:coauthVersionLast="47" xr6:coauthVersionMax="47" xr10:uidLastSave="{00000000-0000-0000-0000-000000000000}"/>
  <bookViews>
    <workbookView xWindow="1170" yWindow="1170" windowWidth="21600" windowHeight="11295" firstSheet="7" activeTab="7" xr2:uid="{00000000-000D-0000-FFFF-FFFF00000000}"/>
  </bookViews>
  <sheets>
    <sheet name="ev_charging_uc" sheetId="6" r:id="rId1"/>
    <sheet name="timeslice_def" sheetId="7" r:id="rId2"/>
    <sheet name="resource_profiles" sheetId="8" r:id="rId3"/>
    <sheet name="firmness" sheetId="9" r:id="rId4"/>
    <sheet name="load_shapes" sheetId="10" r:id="rId5"/>
    <sheet name="demand" sheetId="11" r:id="rId6"/>
    <sheet name="peak_factors" sheetId="12" r:id="rId7"/>
    <sheet name="hydro_af" sheetId="13" r:id="rId8"/>
  </sheets>
  <externalReferences>
    <externalReference r:id="rId9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" i="13" l="1"/>
  <c r="B9" i="12"/>
  <c r="B9" i="11"/>
  <c r="A10" i="6"/>
  <c r="H24" i="6" s="1"/>
  <c r="B9" i="10"/>
  <c r="IS9" i="9"/>
  <c r="GI9" i="9"/>
  <c r="DX9" i="9"/>
  <c r="BM9" i="9"/>
  <c r="B9" i="9"/>
  <c r="L9" i="8"/>
  <c r="G9" i="8"/>
  <c r="B9" i="8"/>
  <c r="A11" i="7"/>
  <c r="C9" i="7" s="1"/>
  <c r="H23" i="6" l="1"/>
  <c r="H21" i="6" s="1"/>
  <c r="I24" i="6"/>
  <c r="I23" i="6" s="1"/>
  <c r="E24" i="6"/>
  <c r="E23" i="6"/>
</calcChain>
</file>

<file path=xl/sharedStrings.xml><?xml version="1.0" encoding="utf-8"?>
<sst xmlns="http://schemas.openxmlformats.org/spreadsheetml/2006/main" count="10497" uniqueCount="244">
  <si>
    <t>share of charging at night</t>
  </si>
  <si>
    <t>~UC_Sets: R_E: AllRegions</t>
  </si>
  <si>
    <t>UC_N</t>
  </si>
  <si>
    <t>Pset_CI</t>
  </si>
  <si>
    <t>Pset_CO</t>
  </si>
  <si>
    <t>pset_pn</t>
  </si>
  <si>
    <t>Cset_CN</t>
  </si>
  <si>
    <t>TimeSlice</t>
  </si>
  <si>
    <t>UC_FLO</t>
  </si>
  <si>
    <t>UC_RHSRT</t>
  </si>
  <si>
    <t>UC_RHSRT~0</t>
  </si>
  <si>
    <t>UC_bev night chg limit</t>
  </si>
  <si>
    <t>ELC</t>
  </si>
  <si>
    <t>*EV*</t>
  </si>
  <si>
    <t>AuxStoIN</t>
  </si>
  <si>
    <t>night</t>
  </si>
  <si>
    <t>day</t>
  </si>
  <si>
    <t>~UC_T: LO</t>
  </si>
  <si>
    <t>PSET_SET</t>
  </si>
  <si>
    <t>PSET_PN</t>
  </si>
  <si>
    <t>PSET_CO</t>
  </si>
  <si>
    <t>UC_ACT</t>
  </si>
  <si>
    <t>UC_COMPRD</t>
  </si>
  <si>
    <t>UC_RHSRTS</t>
  </si>
  <si>
    <t>UC_RHSRTS~0</t>
  </si>
  <si>
    <t>UC_Desc</t>
  </si>
  <si>
    <t>UCE_Min-DispatchablePrd</t>
  </si>
  <si>
    <t>ELE,CHP</t>
  </si>
  <si>
    <t>*,-solar,-wind*,-ELC,-ELCSPV,-elc[_]???[_]*,-e[_]*</t>
  </si>
  <si>
    <t>DAYNITE</t>
  </si>
  <si>
    <t>Min dispatchable electricity generation in each grid in each TS</t>
  </si>
  <si>
    <t>DEF_E</t>
  </si>
  <si>
    <t>season</t>
  </si>
  <si>
    <t>weekly</t>
  </si>
  <si>
    <t>daynite</t>
  </si>
  <si>
    <t>wparent</t>
  </si>
  <si>
    <t>dparent</t>
  </si>
  <si>
    <t>S01</t>
  </si>
  <si>
    <t>a</t>
  </si>
  <si>
    <t>H01</t>
  </si>
  <si>
    <t>S01,S02,S03,S04,S05,S06</t>
  </si>
  <si>
    <t>S02</t>
  </si>
  <si>
    <t>H02</t>
  </si>
  <si>
    <t>S03</t>
  </si>
  <si>
    <t>H03</t>
  </si>
  <si>
    <t>S04</t>
  </si>
  <si>
    <t>H04</t>
  </si>
  <si>
    <t>S05</t>
  </si>
  <si>
    <t>H05</t>
  </si>
  <si>
    <t>S06</t>
  </si>
  <si>
    <t>H06</t>
  </si>
  <si>
    <t>H07</t>
  </si>
  <si>
    <t>H08</t>
  </si>
  <si>
    <t>H09</t>
  </si>
  <si>
    <t>H10</t>
  </si>
  <si>
    <t>ts_60c</t>
  </si>
  <si>
    <t>commodity</t>
  </si>
  <si>
    <t>timeslice</t>
  </si>
  <si>
    <t>com_fr</t>
  </si>
  <si>
    <t>process</t>
  </si>
  <si>
    <t>elc_spv_POL_001</t>
  </si>
  <si>
    <t>S01aH01</t>
  </si>
  <si>
    <t>IMPNRGZ</t>
  </si>
  <si>
    <t>S01aH02</t>
  </si>
  <si>
    <t>S01aH03</t>
  </si>
  <si>
    <t>S01aH04</t>
  </si>
  <si>
    <t>S01aH05</t>
  </si>
  <si>
    <t>S01aH06</t>
  </si>
  <si>
    <t>S01aH07</t>
  </si>
  <si>
    <t>S01aH08</t>
  </si>
  <si>
    <t>S01aH09</t>
  </si>
  <si>
    <t>S01aH10</t>
  </si>
  <si>
    <t>S02aH01</t>
  </si>
  <si>
    <t>S02aH02</t>
  </si>
  <si>
    <t>S02aH03</t>
  </si>
  <si>
    <t>S02aH04</t>
  </si>
  <si>
    <t>S02aH05</t>
  </si>
  <si>
    <t>S02aH06</t>
  </si>
  <si>
    <t>S02aH07</t>
  </si>
  <si>
    <t>S02aH08</t>
  </si>
  <si>
    <t>S02aH09</t>
  </si>
  <si>
    <t>S02aH10</t>
  </si>
  <si>
    <t>S03aH01</t>
  </si>
  <si>
    <t>S03aH02</t>
  </si>
  <si>
    <t>S03aH03</t>
  </si>
  <si>
    <t>S03aH04</t>
  </si>
  <si>
    <t>S03aH05</t>
  </si>
  <si>
    <t>S03aH06</t>
  </si>
  <si>
    <t>S03aH07</t>
  </si>
  <si>
    <t>S03aH08</t>
  </si>
  <si>
    <t>S03aH09</t>
  </si>
  <si>
    <t>S03aH10</t>
  </si>
  <si>
    <t>S04aH01</t>
  </si>
  <si>
    <t>S04aH02</t>
  </si>
  <si>
    <t>S04aH03</t>
  </si>
  <si>
    <t>S04aH04</t>
  </si>
  <si>
    <t>S04aH05</t>
  </si>
  <si>
    <t>S04aH06</t>
  </si>
  <si>
    <t>S04aH07</t>
  </si>
  <si>
    <t>S04aH08</t>
  </si>
  <si>
    <t>S04aH09</t>
  </si>
  <si>
    <t>S04aH10</t>
  </si>
  <si>
    <t>S05aH01</t>
  </si>
  <si>
    <t>S05aH02</t>
  </si>
  <si>
    <t>S05aH03</t>
  </si>
  <si>
    <t>S05aH04</t>
  </si>
  <si>
    <t>S05aH05</t>
  </si>
  <si>
    <t>S05aH06</t>
  </si>
  <si>
    <t>S05aH07</t>
  </si>
  <si>
    <t>S05aH08</t>
  </si>
  <si>
    <t>S05aH09</t>
  </si>
  <si>
    <t>S05aH10</t>
  </si>
  <si>
    <t>S06aH01</t>
  </si>
  <si>
    <t>S06aH02</t>
  </si>
  <si>
    <t>S06aH03</t>
  </si>
  <si>
    <t>S06aH04</t>
  </si>
  <si>
    <t>S06aH05</t>
  </si>
  <si>
    <t>S06aH06</t>
  </si>
  <si>
    <t>S06aH07</t>
  </si>
  <si>
    <t>S06aH08</t>
  </si>
  <si>
    <t>S06aH09</t>
  </si>
  <si>
    <t>S06aH10</t>
  </si>
  <si>
    <t>elc_spv_POL_002</t>
  </si>
  <si>
    <t>elc_spv_POL_003</t>
  </si>
  <si>
    <t>elc_spv_POL_004</t>
  </si>
  <si>
    <t>elc_spv_POL_005</t>
  </si>
  <si>
    <t>elc_spv_POL_006</t>
  </si>
  <si>
    <t>elc_spv_POL_007</t>
  </si>
  <si>
    <t>elc_spv_POL_008</t>
  </si>
  <si>
    <t>elc_spv_POL_009</t>
  </si>
  <si>
    <t>elc_spv_POL_010</t>
  </si>
  <si>
    <t>elc_spv_POL_011</t>
  </si>
  <si>
    <t>elc_spv_POL_012</t>
  </si>
  <si>
    <t>elc_spv_POL_013</t>
  </si>
  <si>
    <t>elc_spv_POL_014</t>
  </si>
  <si>
    <t>elc_spv_POL_015</t>
  </si>
  <si>
    <t>elc_spv_POL_016</t>
  </si>
  <si>
    <t>elc_spv_POL_017</t>
  </si>
  <si>
    <t>elc_spv_POL_018</t>
  </si>
  <si>
    <t>elc_spv_POL_019</t>
  </si>
  <si>
    <t>elc_spv_POL_020</t>
  </si>
  <si>
    <t>elc_won_POL_001</t>
  </si>
  <si>
    <t>elc_won_POL_002</t>
  </si>
  <si>
    <t>elc_won_POL_003</t>
  </si>
  <si>
    <t>elc_won_POL_004</t>
  </si>
  <si>
    <t>elc_won_POL_005</t>
  </si>
  <si>
    <t>elc_won_POL_006</t>
  </si>
  <si>
    <t>elc_won_POL_007</t>
  </si>
  <si>
    <t>elc_won_POL_008</t>
  </si>
  <si>
    <t>elc_won_POL_009</t>
  </si>
  <si>
    <t>elc_won_POL_010</t>
  </si>
  <si>
    <t>elc_won_POL_011</t>
  </si>
  <si>
    <t>elc_won_POL_012</t>
  </si>
  <si>
    <t>elc_won_POL_013</t>
  </si>
  <si>
    <t>elc_won_POL_014</t>
  </si>
  <si>
    <t>elc_won_POL_015</t>
  </si>
  <si>
    <t>elc_won_POL_016</t>
  </si>
  <si>
    <t>elc_won_POL_017</t>
  </si>
  <si>
    <t>elc_won_POL_018</t>
  </si>
  <si>
    <t>elc_won_POL_019</t>
  </si>
  <si>
    <t>elc_won_POL_020</t>
  </si>
  <si>
    <t>elc_wof_POL_001</t>
  </si>
  <si>
    <t>elc_wof_POL_002</t>
  </si>
  <si>
    <t>elc_wof_POL_003</t>
  </si>
  <si>
    <t>elc_wof_POL_004</t>
  </si>
  <si>
    <t>elc_wof_POL_005</t>
  </si>
  <si>
    <t>elc_wof_POL_006</t>
  </si>
  <si>
    <t>elc_wof_POL_007</t>
  </si>
  <si>
    <t>elc_wof_POL_008</t>
  </si>
  <si>
    <t>elc_wof_POL_009</t>
  </si>
  <si>
    <t>elc_wof_POL_010</t>
  </si>
  <si>
    <t>distr_solelc_spv_POL_001</t>
  </si>
  <si>
    <t>distr_solelc_spv_POL_002</t>
  </si>
  <si>
    <t>distr_solelc_spv_POL_003</t>
  </si>
  <si>
    <t>distr_solelc_spv_POL_004</t>
  </si>
  <si>
    <t>distr_solelc_spv_POL_005</t>
  </si>
  <si>
    <t>distr_solelc_spv_POL_006</t>
  </si>
  <si>
    <t>distr_solelc_spv_POL_007</t>
  </si>
  <si>
    <t>distr_solelc_spv_POL_008</t>
  </si>
  <si>
    <t>distr_solelc_spv_POL_009</t>
  </si>
  <si>
    <t>distr_solelc_spv_POL_010</t>
  </si>
  <si>
    <t>distr_solelc_spv_POL_011</t>
  </si>
  <si>
    <t>distr_solelc_spv_POL_012</t>
  </si>
  <si>
    <t>distr_solelc_spv_POL_013</t>
  </si>
  <si>
    <t>distr_solelc_spv_POL_014</t>
  </si>
  <si>
    <t>distr_solelc_spv_POL_015</t>
  </si>
  <si>
    <t>distr_solelc_spv_POL_016</t>
  </si>
  <si>
    <t>distr_solelc_spv_POL_017</t>
  </si>
  <si>
    <t>distr_solelc_spv_POL_018</t>
  </si>
  <si>
    <t>distr_solelc_spv_POL_019</t>
  </si>
  <si>
    <t>distr_solelc_spv_POL_020</t>
  </si>
  <si>
    <t>distr_wofelc_wof_POL_001</t>
  </si>
  <si>
    <t>distr_wofelc_wof_POL_002</t>
  </si>
  <si>
    <t>distr_wofelc_wof_POL_003</t>
  </si>
  <si>
    <t>distr_wofelc_wof_POL_004</t>
  </si>
  <si>
    <t>distr_wofelc_wof_POL_005</t>
  </si>
  <si>
    <t>distr_wofelc_wof_POL_006</t>
  </si>
  <si>
    <t>distr_wofelc_wof_POL_007</t>
  </si>
  <si>
    <t>distr_wofelc_wof_POL_008</t>
  </si>
  <si>
    <t>distr_wofelc_wof_POL_009</t>
  </si>
  <si>
    <t>distr_wofelc_wof_POL_010</t>
  </si>
  <si>
    <t>distr_wonelc_won_POL_001</t>
  </si>
  <si>
    <t>distr_wonelc_won_POL_002</t>
  </si>
  <si>
    <t>distr_wonelc_won_POL_003</t>
  </si>
  <si>
    <t>distr_wonelc_won_POL_004</t>
  </si>
  <si>
    <t>distr_wonelc_won_POL_005</t>
  </si>
  <si>
    <t>distr_wonelc_won_POL_006</t>
  </si>
  <si>
    <t>distr_wonelc_won_POL_007</t>
  </si>
  <si>
    <t>distr_wonelc_won_POL_008</t>
  </si>
  <si>
    <t>distr_wonelc_won_POL_009</t>
  </si>
  <si>
    <t>distr_wonelc_won_POL_010</t>
  </si>
  <si>
    <t>distr_wonelc_won_POL_011</t>
  </si>
  <si>
    <t>distr_wonelc_won_POL_012</t>
  </si>
  <si>
    <t>distr_wonelc_won_POL_013</t>
  </si>
  <si>
    <t>distr_wonelc_won_POL_014</t>
  </si>
  <si>
    <t>distr_wonelc_won_POL_015</t>
  </si>
  <si>
    <t>distr_wonelc_won_POL_016</t>
  </si>
  <si>
    <t>distr_wonelc_won_POL_017</t>
  </si>
  <si>
    <t>distr_wonelc_won_POL_018</t>
  </si>
  <si>
    <t>distr_wonelc_won_POL_019</t>
  </si>
  <si>
    <t>distr_wonelc_won_POL_020</t>
  </si>
  <si>
    <t>distr_sol*</t>
  </si>
  <si>
    <t>ELC4H</t>
  </si>
  <si>
    <t>distr_won*</t>
  </si>
  <si>
    <t>distr_wof*</t>
  </si>
  <si>
    <t>ELC8H</t>
  </si>
  <si>
    <t>other_indexes</t>
  </si>
  <si>
    <t>ncap_com</t>
  </si>
  <si>
    <t>DEF_C</t>
  </si>
  <si>
    <t>OUT</t>
  </si>
  <si>
    <t>g_yrfr</t>
  </si>
  <si>
    <t>elc_roadtransport</t>
  </si>
  <si>
    <t>day_night</t>
  </si>
  <si>
    <t>D</t>
  </si>
  <si>
    <t>S02aH06,S03aH05,S03aH08,S04aH07,S05aH05,S06aH04,S06aH08,S02aH02,S06aH06,S01aH03,S05aH02,S05aH03,S05aH06,S04aH06,S05aH04,S06aH02,S06aH03,S04aH03,S05aH08,S01aH05,S01aH08,S02aH08,S03aH06,S03aH07,S06aH05,S03aH04,S01aH06,S02aH03,S05aH07,S01aH02,S04aH04,S04aH05,S04aH08,S01aH04,S01aH07,S02aH07,S03aH03,S04aH02,S02aH04,S02aH05,S06aH07,S03aH02</t>
  </si>
  <si>
    <t>N</t>
  </si>
  <si>
    <t>S03aH09,S05aH09,S03aH01,S06aH09,S02aH01,S02aH10,S05aH02,S04aH08,S06aH01,S01aH02,S05aH10,S02aH09,S04aH09,S05aH01,S01aH01,S04aH01,S06aH02,S01aH08,S02aH08,S05aH08,S01aH09,S02aH02,S04aH10,S06aH10,S01aH10,S03aH02,S03aH08,S03aH10,S06aH08,S04aH02</t>
  </si>
  <si>
    <t>elc_buildings</t>
  </si>
  <si>
    <t>elc_industry</t>
  </si>
  <si>
    <t>com_pkflx</t>
  </si>
  <si>
    <t>Year</t>
  </si>
  <si>
    <t>ncap_afs</t>
  </si>
  <si>
    <t>pset_ci</t>
  </si>
  <si>
    <t>hydro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</si>
</sst>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3F3F76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">
    <xf numFmtId="0" fontId="0" fillId="0" borderId="0"/>
    <xf numFmtId="0" fontId="4" fillId="2" borderId="3" applyNumberFormat="0" applyAlignment="0" applyProtection="0"/>
    <xf numFmtId="0" fontId="2" fillId="0" borderId="1" applyNumberFormat="0" applyFill="0" applyAlignment="0" applyProtection="0"/>
    <xf numFmtId="0" fontId="3" fillId="0" borderId="2" applyNumberFormat="0" applyFill="0" applyAlignment="0" applyProtection="0"/>
  </cellStyleXfs>
  <cellXfs count="6">
    <xf numFmtId="0" fontId="0" fillId="0" borderId="0" xfId="0"/>
    <xf numFmtId="0" fontId="1" fillId="0" borderId="0" xfId="0" applyFont="1"/>
    <xf numFmtId="0" fontId="4" fillId="2" borderId="3" xfId="1"/>
    <xf numFmtId="0" fontId="2" fillId="0" borderId="1" xfId="2"/>
    <xf numFmtId="0" fontId="3" fillId="0" borderId="2" xfId="3"/>
    <xf numFmtId="0" fontId="0" fillId="3" borderId="0" xfId="0" applyFill="1"/>
  </cellXfs>
  <cellStyles count="4">
    <cellStyle name="Heading 2 2" xfId="2" xr:uid="{A6AB1C46-4E7B-4C21-A104-E4DF3FE4CE4A}"/>
    <cellStyle name="Heading 3 2" xfId="3" xr:uid="{F2503A68-FC7E-4C35-8B5A-10334C80FC2A}"/>
    <cellStyle name="Input 2" xfId="1" xr:uid="{08B5D232-691F-4F66-AEAC-8298A30D4B38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Ved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eda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CD839-B60C-4CDA-B632-BF39C559A5EF}">
  <dimension ref="A10:N32"/>
  <sheetViews>
    <sheetView workbookViewId="0">
      <selection activeCell="C29" sqref="C29"/>
    </sheetView>
  </sheetViews>
  <sheetFormatPr defaultRowHeight="15" x14ac:dyDescent="0.25"/>
  <sheetData>
    <row r="10" spans="1:4" x14ac:dyDescent="0.25">
      <c r="A10" t="str">
        <f>IFERROR([1]Veda!D5,"ts_60c")</f>
        <v>ts_60c</v>
      </c>
      <c r="B10" s="5"/>
      <c r="C10" s="5" t="s">
        <v>232</v>
      </c>
      <c r="D10" t="s">
        <v>55</v>
      </c>
    </row>
    <row r="11" spans="1:4" x14ac:dyDescent="0.25">
      <c r="B11" s="5"/>
      <c r="C11" s="5" t="s">
        <v>233</v>
      </c>
      <c r="D11" t="s">
        <v>234</v>
      </c>
    </row>
    <row r="12" spans="1:4" x14ac:dyDescent="0.25">
      <c r="B12" s="5"/>
      <c r="C12" s="5" t="s">
        <v>235</v>
      </c>
      <c r="D12" t="s">
        <v>236</v>
      </c>
    </row>
    <row r="17" spans="3:14" x14ac:dyDescent="0.25">
      <c r="I17" s="2">
        <v>0.75</v>
      </c>
      <c r="K17" s="1" t="s">
        <v>0</v>
      </c>
    </row>
    <row r="18" spans="3:14" ht="18" thickBot="1" x14ac:dyDescent="0.35">
      <c r="C18" s="3" t="s">
        <v>1</v>
      </c>
    </row>
    <row r="19" spans="3:14" ht="15.75" thickTop="1" x14ac:dyDescent="0.25"/>
    <row r="21" spans="3:14" ht="18" thickBot="1" x14ac:dyDescent="0.35">
      <c r="H21" s="3" t="str">
        <f>IF(H23=H24,"Not Required!","~UC_T: LO")</f>
        <v>~UC_T: LO</v>
      </c>
    </row>
    <row r="22" spans="3:14" ht="16.5" thickTop="1" thickBot="1" x14ac:dyDescent="0.3">
      <c r="C22" s="4" t="s">
        <v>2</v>
      </c>
      <c r="D22" s="4" t="s">
        <v>3</v>
      </c>
      <c r="E22" s="4" t="s">
        <v>4</v>
      </c>
      <c r="F22" s="4" t="s">
        <v>5</v>
      </c>
      <c r="G22" s="4" t="s">
        <v>6</v>
      </c>
      <c r="H22" s="4" t="s">
        <v>7</v>
      </c>
      <c r="I22" s="4" t="s">
        <v>8</v>
      </c>
      <c r="J22" s="4" t="s">
        <v>9</v>
      </c>
      <c r="K22" s="4" t="s">
        <v>10</v>
      </c>
    </row>
    <row r="23" spans="3:14" x14ac:dyDescent="0.25">
      <c r="C23" t="s">
        <v>11</v>
      </c>
      <c r="D23" t="s">
        <v>12</v>
      </c>
      <c r="E23" t="str">
        <f>G23</f>
        <v>AuxStoIN</v>
      </c>
      <c r="F23" t="s">
        <v>13</v>
      </c>
      <c r="G23" t="s">
        <v>14</v>
      </c>
      <c r="H23" t="str">
        <f>HLOOKUP($A$10,$D$10:$CU$12,3,FALSE)</f>
        <v>S03aH09,S05aH09,S03aH01,S06aH09,S02aH01,S02aH10,S05aH02,S04aH08,S06aH01,S01aH02,S05aH10,S02aH09,S04aH09,S05aH01,S01aH01,S04aH01,S06aH02,S01aH08,S02aH08,S05aH08,S01aH09,S02aH02,S04aH10,S06aH10,S01aH10,S03aH02,S03aH08,S03aH10,S06aH08,S04aH02</v>
      </c>
      <c r="I23">
        <f>1+I24</f>
        <v>0.25</v>
      </c>
      <c r="J23">
        <v>0</v>
      </c>
      <c r="K23">
        <v>3</v>
      </c>
      <c r="M23" t="s">
        <v>15</v>
      </c>
    </row>
    <row r="24" spans="3:14" x14ac:dyDescent="0.25">
      <c r="D24" t="s">
        <v>12</v>
      </c>
      <c r="E24" t="str">
        <f>G24</f>
        <v>AuxStoIN</v>
      </c>
      <c r="F24" t="s">
        <v>13</v>
      </c>
      <c r="G24" t="s">
        <v>14</v>
      </c>
      <c r="H24" t="str">
        <f>HLOOKUP($A$10,$D$10:$CU$12,2,FALSE)</f>
        <v>S02aH06,S03aH05,S03aH08,S04aH07,S05aH05,S06aH04,S06aH08,S02aH02,S06aH06,S01aH03,S05aH02,S05aH03,S05aH06,S04aH06,S05aH04,S06aH02,S06aH03,S04aH03,S05aH08,S01aH05,S01aH08,S02aH08,S03aH06,S03aH07,S06aH05,S03aH04,S01aH06,S02aH03,S05aH07,S01aH02,S04aH04,S04aH05,S04aH08,S01aH04,S01aH07,S02aH07,S03aH03,S04aH02,S02aH04,S02aH05,S06aH07,S03aH02</v>
      </c>
      <c r="I24">
        <f>-$I$17</f>
        <v>-0.75</v>
      </c>
      <c r="M24" t="s">
        <v>16</v>
      </c>
    </row>
    <row r="29" spans="3:14" ht="18" thickBot="1" x14ac:dyDescent="0.35">
      <c r="I29" s="3" t="s">
        <v>17</v>
      </c>
    </row>
    <row r="30" spans="3:14" ht="16.5" thickTop="1" thickBot="1" x14ac:dyDescent="0.3">
      <c r="C30" s="4" t="s">
        <v>2</v>
      </c>
      <c r="D30" s="4" t="s">
        <v>18</v>
      </c>
      <c r="E30" s="4" t="s">
        <v>19</v>
      </c>
      <c r="F30" s="4" t="s">
        <v>3</v>
      </c>
      <c r="G30" s="4" t="s">
        <v>20</v>
      </c>
      <c r="H30" s="4" t="s">
        <v>6</v>
      </c>
      <c r="I30" s="4" t="s">
        <v>7</v>
      </c>
      <c r="J30" s="4" t="s">
        <v>21</v>
      </c>
      <c r="K30" s="4" t="s">
        <v>22</v>
      </c>
      <c r="L30" s="4" t="s">
        <v>23</v>
      </c>
      <c r="M30" s="4" t="s">
        <v>24</v>
      </c>
      <c r="N30" s="4" t="s">
        <v>25</v>
      </c>
    </row>
    <row r="31" spans="3:14" x14ac:dyDescent="0.25">
      <c r="C31" t="s">
        <v>26</v>
      </c>
      <c r="D31" t="s">
        <v>27</v>
      </c>
      <c r="F31" t="s">
        <v>28</v>
      </c>
      <c r="I31" t="s">
        <v>29</v>
      </c>
      <c r="J31">
        <v>1</v>
      </c>
      <c r="L31">
        <v>0</v>
      </c>
      <c r="M31">
        <v>5</v>
      </c>
      <c r="N31" t="s">
        <v>30</v>
      </c>
    </row>
    <row r="32" spans="3:14" x14ac:dyDescent="0.25">
      <c r="H32" t="s">
        <v>31</v>
      </c>
      <c r="I32" t="s">
        <v>29</v>
      </c>
      <c r="K32">
        <v>-1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29DAEF-B463-44F6-8F80-762A097139B5}">
  <dimension ref="A9:G20"/>
  <sheetViews>
    <sheetView workbookViewId="0"/>
  </sheetViews>
  <sheetFormatPr defaultRowHeight="15" x14ac:dyDescent="0.25"/>
  <sheetData>
    <row r="9" spans="1:7" x14ac:dyDescent="0.25">
      <c r="C9" t="str">
        <f>IF(A11="x","DeActivated","~TimeSlices")</f>
        <v>~TimeSlices</v>
      </c>
    </row>
    <row r="10" spans="1:7" x14ac:dyDescent="0.25">
      <c r="A10" t="s">
        <v>55</v>
      </c>
      <c r="C10" t="s">
        <v>32</v>
      </c>
      <c r="D10" t="s">
        <v>33</v>
      </c>
      <c r="E10" t="s">
        <v>34</v>
      </c>
      <c r="F10" t="s">
        <v>35</v>
      </c>
      <c r="G10" t="s">
        <v>36</v>
      </c>
    </row>
    <row r="11" spans="1:7" x14ac:dyDescent="0.25">
      <c r="A11" t="str">
        <f>IFERROR(IF([1]Veda!D5=A10,"ok","x"),"")</f>
        <v/>
      </c>
      <c r="C11" t="s">
        <v>37</v>
      </c>
      <c r="D11" t="s">
        <v>38</v>
      </c>
      <c r="E11" t="s">
        <v>39</v>
      </c>
      <c r="F11" t="s">
        <v>40</v>
      </c>
      <c r="G11" t="s">
        <v>38</v>
      </c>
    </row>
    <row r="12" spans="1:7" x14ac:dyDescent="0.25">
      <c r="C12" t="s">
        <v>41</v>
      </c>
      <c r="E12" t="s">
        <v>42</v>
      </c>
      <c r="G12" t="s">
        <v>38</v>
      </c>
    </row>
    <row r="13" spans="1:7" x14ac:dyDescent="0.25">
      <c r="C13" t="s">
        <v>43</v>
      </c>
      <c r="E13" t="s">
        <v>44</v>
      </c>
      <c r="G13" t="s">
        <v>38</v>
      </c>
    </row>
    <row r="14" spans="1:7" x14ac:dyDescent="0.25">
      <c r="C14" t="s">
        <v>45</v>
      </c>
      <c r="E14" t="s">
        <v>46</v>
      </c>
      <c r="G14" t="s">
        <v>38</v>
      </c>
    </row>
    <row r="15" spans="1:7" x14ac:dyDescent="0.25">
      <c r="C15" t="s">
        <v>47</v>
      </c>
      <c r="E15" t="s">
        <v>48</v>
      </c>
      <c r="G15" t="s">
        <v>38</v>
      </c>
    </row>
    <row r="16" spans="1:7" x14ac:dyDescent="0.25">
      <c r="C16" t="s">
        <v>49</v>
      </c>
      <c r="E16" t="s">
        <v>50</v>
      </c>
      <c r="G16" t="s">
        <v>38</v>
      </c>
    </row>
    <row r="17" spans="5:7" x14ac:dyDescent="0.25">
      <c r="E17" t="s">
        <v>51</v>
      </c>
      <c r="G17" t="s">
        <v>38</v>
      </c>
    </row>
    <row r="18" spans="5:7" x14ac:dyDescent="0.25">
      <c r="E18" t="s">
        <v>52</v>
      </c>
      <c r="G18" t="s">
        <v>38</v>
      </c>
    </row>
    <row r="19" spans="5:7" x14ac:dyDescent="0.25">
      <c r="E19" t="s">
        <v>53</v>
      </c>
      <c r="G19" t="s">
        <v>38</v>
      </c>
    </row>
    <row r="20" spans="5:7" x14ac:dyDescent="0.25">
      <c r="E20" t="s">
        <v>54</v>
      </c>
      <c r="G20" t="s">
        <v>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829FE1-80B4-4D43-80A2-EE3D130B9E83}">
  <dimension ref="B9:O1210"/>
  <sheetViews>
    <sheetView workbookViewId="0"/>
  </sheetViews>
  <sheetFormatPr defaultRowHeight="15" x14ac:dyDescent="0.25"/>
  <sheetData>
    <row r="9" spans="2:15" x14ac:dyDescent="0.25">
      <c r="B9" t="str">
        <f>IF(A11="x","DeActivated","~TFM_DINS-AT")</f>
        <v>~TFM_DINS-AT</v>
      </c>
      <c r="G9" t="str">
        <f>IF(A11="x","DeActivated","~TFM_DINS-AT")</f>
        <v>~TFM_DINS-AT</v>
      </c>
      <c r="L9" t="str">
        <f>IF(A11="x","DeActivated","~TFM_DINS-AT")</f>
        <v>~TFM_DINS-AT</v>
      </c>
    </row>
    <row r="10" spans="2:15" x14ac:dyDescent="0.25">
      <c r="B10" t="s">
        <v>56</v>
      </c>
      <c r="C10" t="s">
        <v>57</v>
      </c>
      <c r="D10" t="s">
        <v>58</v>
      </c>
      <c r="E10" t="s">
        <v>59</v>
      </c>
      <c r="G10" t="s">
        <v>56</v>
      </c>
      <c r="H10" t="s">
        <v>57</v>
      </c>
      <c r="I10" t="s">
        <v>58</v>
      </c>
      <c r="J10" t="s">
        <v>59</v>
      </c>
      <c r="L10" t="s">
        <v>56</v>
      </c>
      <c r="M10" t="s">
        <v>57</v>
      </c>
      <c r="N10" t="s">
        <v>58</v>
      </c>
      <c r="O10" t="s">
        <v>59</v>
      </c>
    </row>
    <row r="11" spans="2:15" x14ac:dyDescent="0.25">
      <c r="B11" t="s">
        <v>60</v>
      </c>
      <c r="C11" t="s">
        <v>61</v>
      </c>
      <c r="D11">
        <v>0</v>
      </c>
      <c r="E11" t="s">
        <v>62</v>
      </c>
      <c r="G11" t="s">
        <v>141</v>
      </c>
      <c r="H11" t="s">
        <v>61</v>
      </c>
      <c r="I11">
        <v>3.9019633599312181E-2</v>
      </c>
      <c r="J11" t="s">
        <v>62</v>
      </c>
      <c r="L11" t="s">
        <v>161</v>
      </c>
      <c r="M11" t="s">
        <v>61</v>
      </c>
      <c r="N11">
        <v>3.6735302040981022E-2</v>
      </c>
      <c r="O11" t="s">
        <v>62</v>
      </c>
    </row>
    <row r="12" spans="2:15" x14ac:dyDescent="0.25">
      <c r="B12" t="s">
        <v>60</v>
      </c>
      <c r="C12" t="s">
        <v>63</v>
      </c>
      <c r="D12">
        <v>0</v>
      </c>
      <c r="E12" t="s">
        <v>62</v>
      </c>
      <c r="G12" t="s">
        <v>141</v>
      </c>
      <c r="H12" t="s">
        <v>63</v>
      </c>
      <c r="I12">
        <v>1.6069073743107405E-2</v>
      </c>
      <c r="J12" t="s">
        <v>62</v>
      </c>
      <c r="L12" t="s">
        <v>161</v>
      </c>
      <c r="M12" t="s">
        <v>63</v>
      </c>
      <c r="N12">
        <v>1.4311475210130329E-2</v>
      </c>
      <c r="O12" t="s">
        <v>62</v>
      </c>
    </row>
    <row r="13" spans="2:15" x14ac:dyDescent="0.25">
      <c r="B13" t="s">
        <v>60</v>
      </c>
      <c r="C13" t="s">
        <v>64</v>
      </c>
      <c r="D13">
        <v>2.886377869921911E-4</v>
      </c>
      <c r="E13" t="s">
        <v>62</v>
      </c>
      <c r="G13" t="s">
        <v>141</v>
      </c>
      <c r="H13" t="s">
        <v>64</v>
      </c>
      <c r="I13">
        <v>1.6544610570457637E-2</v>
      </c>
      <c r="J13" t="s">
        <v>62</v>
      </c>
      <c r="L13" t="s">
        <v>161</v>
      </c>
      <c r="M13" t="s">
        <v>64</v>
      </c>
      <c r="N13">
        <v>1.4725336070132145E-2</v>
      </c>
      <c r="O13" t="s">
        <v>62</v>
      </c>
    </row>
    <row r="14" spans="2:15" x14ac:dyDescent="0.25">
      <c r="B14" t="s">
        <v>60</v>
      </c>
      <c r="C14" t="s">
        <v>65</v>
      </c>
      <c r="D14">
        <v>8.9450527173238793E-3</v>
      </c>
      <c r="E14" t="s">
        <v>62</v>
      </c>
      <c r="G14" t="s">
        <v>141</v>
      </c>
      <c r="H14" t="s">
        <v>65</v>
      </c>
      <c r="I14">
        <v>1.6179429208069973E-2</v>
      </c>
      <c r="J14" t="s">
        <v>62</v>
      </c>
      <c r="L14" t="s">
        <v>161</v>
      </c>
      <c r="M14" t="s">
        <v>65</v>
      </c>
      <c r="N14">
        <v>1.4714793268025885E-2</v>
      </c>
      <c r="O14" t="s">
        <v>62</v>
      </c>
    </row>
    <row r="15" spans="2:15" x14ac:dyDescent="0.25">
      <c r="B15" t="s">
        <v>60</v>
      </c>
      <c r="C15" t="s">
        <v>66</v>
      </c>
      <c r="D15">
        <v>1.7623995010623707E-2</v>
      </c>
      <c r="E15" t="s">
        <v>62</v>
      </c>
      <c r="G15" t="s">
        <v>141</v>
      </c>
      <c r="H15" t="s">
        <v>66</v>
      </c>
      <c r="I15">
        <v>1.4137574104255311E-2</v>
      </c>
      <c r="J15" t="s">
        <v>62</v>
      </c>
      <c r="L15" t="s">
        <v>161</v>
      </c>
      <c r="M15" t="s">
        <v>66</v>
      </c>
      <c r="N15">
        <v>1.337929647071472E-2</v>
      </c>
      <c r="O15" t="s">
        <v>62</v>
      </c>
    </row>
    <row r="16" spans="2:15" x14ac:dyDescent="0.25">
      <c r="B16" t="s">
        <v>60</v>
      </c>
      <c r="C16" t="s">
        <v>67</v>
      </c>
      <c r="D16">
        <v>1.6963393361601537E-2</v>
      </c>
      <c r="E16" t="s">
        <v>62</v>
      </c>
      <c r="G16" t="s">
        <v>141</v>
      </c>
      <c r="H16" t="s">
        <v>67</v>
      </c>
      <c r="I16">
        <v>1.3709001731936321E-2</v>
      </c>
      <c r="J16" t="s">
        <v>62</v>
      </c>
      <c r="L16" t="s">
        <v>161</v>
      </c>
      <c r="M16" t="s">
        <v>67</v>
      </c>
      <c r="N16">
        <v>1.3525732586894608E-2</v>
      </c>
      <c r="O16" t="s">
        <v>62</v>
      </c>
    </row>
    <row r="17" spans="2:15" x14ac:dyDescent="0.25">
      <c r="B17" t="s">
        <v>60</v>
      </c>
      <c r="C17" t="s">
        <v>68</v>
      </c>
      <c r="D17">
        <v>1.0320735113612907E-2</v>
      </c>
      <c r="E17" t="s">
        <v>62</v>
      </c>
      <c r="G17" t="s">
        <v>141</v>
      </c>
      <c r="H17" t="s">
        <v>68</v>
      </c>
      <c r="I17">
        <v>1.4386598269797275E-2</v>
      </c>
      <c r="J17" t="s">
        <v>62</v>
      </c>
      <c r="L17" t="s">
        <v>161</v>
      </c>
      <c r="M17" t="s">
        <v>68</v>
      </c>
      <c r="N17">
        <v>1.4061009609391112E-2</v>
      </c>
      <c r="O17" t="s">
        <v>62</v>
      </c>
    </row>
    <row r="18" spans="2:15" x14ac:dyDescent="0.25">
      <c r="B18" t="s">
        <v>60</v>
      </c>
      <c r="C18" t="s">
        <v>69</v>
      </c>
      <c r="D18">
        <v>1.3737020741010923E-3</v>
      </c>
      <c r="E18" t="s">
        <v>62</v>
      </c>
      <c r="G18" t="s">
        <v>141</v>
      </c>
      <c r="H18" t="s">
        <v>69</v>
      </c>
      <c r="I18">
        <v>1.6330399145707091E-2</v>
      </c>
      <c r="J18" t="s">
        <v>62</v>
      </c>
      <c r="L18" t="s">
        <v>161</v>
      </c>
      <c r="M18" t="s">
        <v>69</v>
      </c>
      <c r="N18">
        <v>1.5595512368546685E-2</v>
      </c>
      <c r="O18" t="s">
        <v>62</v>
      </c>
    </row>
    <row r="19" spans="2:15" x14ac:dyDescent="0.25">
      <c r="B19" t="s">
        <v>60</v>
      </c>
      <c r="C19" t="s">
        <v>70</v>
      </c>
      <c r="D19">
        <v>0</v>
      </c>
      <c r="E19" t="s">
        <v>62</v>
      </c>
      <c r="G19" t="s">
        <v>141</v>
      </c>
      <c r="H19" t="s">
        <v>70</v>
      </c>
      <c r="I19">
        <v>1.747451071966729E-2</v>
      </c>
      <c r="J19" t="s">
        <v>62</v>
      </c>
      <c r="L19" t="s">
        <v>161</v>
      </c>
      <c r="M19" t="s">
        <v>70</v>
      </c>
      <c r="N19">
        <v>1.5987803467642718E-2</v>
      </c>
      <c r="O19" t="s">
        <v>62</v>
      </c>
    </row>
    <row r="20" spans="2:15" x14ac:dyDescent="0.25">
      <c r="B20" t="s">
        <v>60</v>
      </c>
      <c r="C20" t="s">
        <v>71</v>
      </c>
      <c r="D20">
        <v>0</v>
      </c>
      <c r="E20" t="s">
        <v>62</v>
      </c>
      <c r="G20" t="s">
        <v>141</v>
      </c>
      <c r="H20" t="s">
        <v>71</v>
      </c>
      <c r="I20">
        <v>2.5392483377337998E-2</v>
      </c>
      <c r="J20" t="s">
        <v>62</v>
      </c>
      <c r="L20" t="s">
        <v>161</v>
      </c>
      <c r="M20" t="s">
        <v>71</v>
      </c>
      <c r="N20">
        <v>2.3202892082947832E-2</v>
      </c>
      <c r="O20" t="s">
        <v>62</v>
      </c>
    </row>
    <row r="21" spans="2:15" x14ac:dyDescent="0.25">
      <c r="B21" t="s">
        <v>60</v>
      </c>
      <c r="C21" t="s">
        <v>72</v>
      </c>
      <c r="D21">
        <v>0</v>
      </c>
      <c r="E21" t="s">
        <v>62</v>
      </c>
      <c r="G21" t="s">
        <v>141</v>
      </c>
      <c r="H21" t="s">
        <v>72</v>
      </c>
      <c r="I21">
        <v>4.4699818754192308E-2</v>
      </c>
      <c r="J21" t="s">
        <v>62</v>
      </c>
      <c r="L21" t="s">
        <v>161</v>
      </c>
      <c r="M21" t="s">
        <v>72</v>
      </c>
      <c r="N21">
        <v>3.967346579133748E-2</v>
      </c>
      <c r="O21" t="s">
        <v>62</v>
      </c>
    </row>
    <row r="22" spans="2:15" x14ac:dyDescent="0.25">
      <c r="B22" t="s">
        <v>60</v>
      </c>
      <c r="C22" t="s">
        <v>73</v>
      </c>
      <c r="D22">
        <v>1.9980906536397817E-3</v>
      </c>
      <c r="E22" t="s">
        <v>62</v>
      </c>
      <c r="G22" t="s">
        <v>141</v>
      </c>
      <c r="H22" t="s">
        <v>73</v>
      </c>
      <c r="I22">
        <v>1.767105239373163E-2</v>
      </c>
      <c r="J22" t="s">
        <v>62</v>
      </c>
      <c r="L22" t="s">
        <v>161</v>
      </c>
      <c r="M22" t="s">
        <v>73</v>
      </c>
      <c r="N22">
        <v>1.6024680891120337E-2</v>
      </c>
      <c r="O22" t="s">
        <v>62</v>
      </c>
    </row>
    <row r="23" spans="2:15" x14ac:dyDescent="0.25">
      <c r="B23" t="s">
        <v>60</v>
      </c>
      <c r="C23" t="s">
        <v>74</v>
      </c>
      <c r="D23">
        <v>1.9382729355049699E-2</v>
      </c>
      <c r="E23" t="s">
        <v>62</v>
      </c>
      <c r="G23" t="s">
        <v>141</v>
      </c>
      <c r="H23" t="s">
        <v>74</v>
      </c>
      <c r="I23">
        <v>1.5534173481970505E-2</v>
      </c>
      <c r="J23" t="s">
        <v>62</v>
      </c>
      <c r="L23" t="s">
        <v>161</v>
      </c>
      <c r="M23" t="s">
        <v>74</v>
      </c>
      <c r="N23">
        <v>1.471246349792046E-2</v>
      </c>
      <c r="O23" t="s">
        <v>62</v>
      </c>
    </row>
    <row r="24" spans="2:15" x14ac:dyDescent="0.25">
      <c r="B24" t="s">
        <v>60</v>
      </c>
      <c r="C24" t="s">
        <v>75</v>
      </c>
      <c r="D24">
        <v>4.0445130500091644E-2</v>
      </c>
      <c r="E24" t="s">
        <v>62</v>
      </c>
      <c r="G24" t="s">
        <v>141</v>
      </c>
      <c r="H24" t="s">
        <v>75</v>
      </c>
      <c r="I24">
        <v>1.4406191569692549E-2</v>
      </c>
      <c r="J24" t="s">
        <v>62</v>
      </c>
      <c r="L24" t="s">
        <v>161</v>
      </c>
      <c r="M24" t="s">
        <v>75</v>
      </c>
      <c r="N24">
        <v>1.3493560025965924E-2</v>
      </c>
      <c r="O24" t="s">
        <v>62</v>
      </c>
    </row>
    <row r="25" spans="2:15" x14ac:dyDescent="0.25">
      <c r="B25" t="s">
        <v>60</v>
      </c>
      <c r="C25" t="s">
        <v>76</v>
      </c>
      <c r="D25">
        <v>4.5583006329128935E-2</v>
      </c>
      <c r="E25" t="s">
        <v>62</v>
      </c>
      <c r="G25" t="s">
        <v>141</v>
      </c>
      <c r="H25" t="s">
        <v>76</v>
      </c>
      <c r="I25">
        <v>1.3025280207547566E-2</v>
      </c>
      <c r="J25" t="s">
        <v>62</v>
      </c>
      <c r="L25" t="s">
        <v>161</v>
      </c>
      <c r="M25" t="s">
        <v>76</v>
      </c>
      <c r="N25">
        <v>1.207327304638205E-2</v>
      </c>
      <c r="O25" t="s">
        <v>62</v>
      </c>
    </row>
    <row r="26" spans="2:15" x14ac:dyDescent="0.25">
      <c r="B26" t="s">
        <v>60</v>
      </c>
      <c r="C26" t="s">
        <v>77</v>
      </c>
      <c r="D26">
        <v>4.1809414528288763E-2</v>
      </c>
      <c r="E26" t="s">
        <v>62</v>
      </c>
      <c r="G26" t="s">
        <v>141</v>
      </c>
      <c r="H26" t="s">
        <v>77</v>
      </c>
      <c r="I26">
        <v>1.4212668698401964E-2</v>
      </c>
      <c r="J26" t="s">
        <v>62</v>
      </c>
      <c r="L26" t="s">
        <v>161</v>
      </c>
      <c r="M26" t="s">
        <v>77</v>
      </c>
      <c r="N26">
        <v>1.3183897159237821E-2</v>
      </c>
      <c r="O26" t="s">
        <v>62</v>
      </c>
    </row>
    <row r="27" spans="2:15" x14ac:dyDescent="0.25">
      <c r="B27" t="s">
        <v>60</v>
      </c>
      <c r="C27" t="s">
        <v>78</v>
      </c>
      <c r="D27">
        <v>3.4324192341753525E-2</v>
      </c>
      <c r="E27" t="s">
        <v>62</v>
      </c>
      <c r="G27" t="s">
        <v>141</v>
      </c>
      <c r="H27" t="s">
        <v>78</v>
      </c>
      <c r="I27">
        <v>1.4129034106266402E-2</v>
      </c>
      <c r="J27" t="s">
        <v>62</v>
      </c>
      <c r="L27" t="s">
        <v>161</v>
      </c>
      <c r="M27" t="s">
        <v>78</v>
      </c>
      <c r="N27">
        <v>1.4211246895366236E-2</v>
      </c>
      <c r="O27" t="s">
        <v>62</v>
      </c>
    </row>
    <row r="28" spans="2:15" x14ac:dyDescent="0.25">
      <c r="B28" t="s">
        <v>60</v>
      </c>
      <c r="C28" t="s">
        <v>79</v>
      </c>
      <c r="D28">
        <v>1.9410733495470896E-2</v>
      </c>
      <c r="E28" t="s">
        <v>62</v>
      </c>
      <c r="G28" t="s">
        <v>141</v>
      </c>
      <c r="H28" t="s">
        <v>79</v>
      </c>
      <c r="I28">
        <v>1.5063465094353233E-2</v>
      </c>
      <c r="J28" t="s">
        <v>62</v>
      </c>
      <c r="L28" t="s">
        <v>161</v>
      </c>
      <c r="M28" t="s">
        <v>79</v>
      </c>
      <c r="N28">
        <v>1.5059189140532944E-2</v>
      </c>
      <c r="O28" t="s">
        <v>62</v>
      </c>
    </row>
    <row r="29" spans="2:15" x14ac:dyDescent="0.25">
      <c r="B29" t="s">
        <v>60</v>
      </c>
      <c r="C29" t="s">
        <v>80</v>
      </c>
      <c r="D29">
        <v>2.0099858215728234E-3</v>
      </c>
      <c r="E29" t="s">
        <v>62</v>
      </c>
      <c r="G29" t="s">
        <v>141</v>
      </c>
      <c r="H29" t="s">
        <v>80</v>
      </c>
      <c r="I29">
        <v>1.7812829386934043E-2</v>
      </c>
      <c r="J29" t="s">
        <v>62</v>
      </c>
      <c r="L29" t="s">
        <v>161</v>
      </c>
      <c r="M29" t="s">
        <v>80</v>
      </c>
      <c r="N29">
        <v>1.5772166501880343E-2</v>
      </c>
      <c r="O29" t="s">
        <v>62</v>
      </c>
    </row>
    <row r="30" spans="2:15" x14ac:dyDescent="0.25">
      <c r="B30" t="s">
        <v>60</v>
      </c>
      <c r="C30" t="s">
        <v>81</v>
      </c>
      <c r="D30">
        <v>0</v>
      </c>
      <c r="E30" t="s">
        <v>62</v>
      </c>
      <c r="G30" t="s">
        <v>141</v>
      </c>
      <c r="H30" t="s">
        <v>81</v>
      </c>
      <c r="I30">
        <v>2.734615734494094E-2</v>
      </c>
      <c r="J30" t="s">
        <v>62</v>
      </c>
      <c r="L30" t="s">
        <v>161</v>
      </c>
      <c r="M30" t="s">
        <v>81</v>
      </c>
      <c r="N30">
        <v>2.3693510976670301E-2</v>
      </c>
      <c r="O30" t="s">
        <v>62</v>
      </c>
    </row>
    <row r="31" spans="2:15" x14ac:dyDescent="0.25">
      <c r="B31" t="s">
        <v>60</v>
      </c>
      <c r="C31" t="s">
        <v>82</v>
      </c>
      <c r="D31">
        <v>0</v>
      </c>
      <c r="E31" t="s">
        <v>62</v>
      </c>
      <c r="G31" t="s">
        <v>141</v>
      </c>
      <c r="H31" t="s">
        <v>82</v>
      </c>
      <c r="I31">
        <v>2.8888848772675318E-2</v>
      </c>
      <c r="J31" t="s">
        <v>62</v>
      </c>
      <c r="L31" t="s">
        <v>161</v>
      </c>
      <c r="M31" t="s">
        <v>82</v>
      </c>
      <c r="N31">
        <v>2.4049145712226012E-2</v>
      </c>
      <c r="O31" t="s">
        <v>62</v>
      </c>
    </row>
    <row r="32" spans="2:15" x14ac:dyDescent="0.25">
      <c r="B32" t="s">
        <v>60</v>
      </c>
      <c r="C32" t="s">
        <v>83</v>
      </c>
      <c r="D32">
        <v>1.168538694835226E-2</v>
      </c>
      <c r="E32" t="s">
        <v>62</v>
      </c>
      <c r="G32" t="s">
        <v>141</v>
      </c>
      <c r="H32" t="s">
        <v>83</v>
      </c>
      <c r="I32">
        <v>9.4417789789585423E-3</v>
      </c>
      <c r="J32" t="s">
        <v>62</v>
      </c>
      <c r="L32" t="s">
        <v>161</v>
      </c>
      <c r="M32" t="s">
        <v>83</v>
      </c>
      <c r="N32">
        <v>9.0997753981995923E-3</v>
      </c>
      <c r="O32" t="s">
        <v>62</v>
      </c>
    </row>
    <row r="33" spans="2:15" x14ac:dyDescent="0.25">
      <c r="B33" t="s">
        <v>60</v>
      </c>
      <c r="C33" t="s">
        <v>84</v>
      </c>
      <c r="D33">
        <v>3.3013240103272848E-2</v>
      </c>
      <c r="E33" t="s">
        <v>62</v>
      </c>
      <c r="G33" t="s">
        <v>141</v>
      </c>
      <c r="H33" t="s">
        <v>84</v>
      </c>
      <c r="I33">
        <v>6.8075502933140049E-3</v>
      </c>
      <c r="J33" t="s">
        <v>62</v>
      </c>
      <c r="L33" t="s">
        <v>161</v>
      </c>
      <c r="M33" t="s">
        <v>84</v>
      </c>
      <c r="N33">
        <v>7.3612592427726832E-3</v>
      </c>
      <c r="O33" t="s">
        <v>62</v>
      </c>
    </row>
    <row r="34" spans="2:15" x14ac:dyDescent="0.25">
      <c r="B34" t="s">
        <v>60</v>
      </c>
      <c r="C34" t="s">
        <v>85</v>
      </c>
      <c r="D34">
        <v>4.5176323176151251E-2</v>
      </c>
      <c r="E34" t="s">
        <v>62</v>
      </c>
      <c r="G34" t="s">
        <v>141</v>
      </c>
      <c r="H34" t="s">
        <v>85</v>
      </c>
      <c r="I34">
        <v>7.2297518469697526E-3</v>
      </c>
      <c r="J34" t="s">
        <v>62</v>
      </c>
      <c r="L34" t="s">
        <v>161</v>
      </c>
      <c r="M34" t="s">
        <v>85</v>
      </c>
      <c r="N34">
        <v>7.4492245158101792E-3</v>
      </c>
      <c r="O34" t="s">
        <v>62</v>
      </c>
    </row>
    <row r="35" spans="2:15" x14ac:dyDescent="0.25">
      <c r="B35" t="s">
        <v>60</v>
      </c>
      <c r="C35" t="s">
        <v>86</v>
      </c>
      <c r="D35">
        <v>4.6461679830196577E-2</v>
      </c>
      <c r="E35" t="s">
        <v>62</v>
      </c>
      <c r="G35" t="s">
        <v>141</v>
      </c>
      <c r="H35" t="s">
        <v>86</v>
      </c>
      <c r="I35">
        <v>5.9897417669614629E-3</v>
      </c>
      <c r="J35" t="s">
        <v>62</v>
      </c>
      <c r="L35" t="s">
        <v>161</v>
      </c>
      <c r="M35" t="s">
        <v>86</v>
      </c>
      <c r="N35">
        <v>6.8909652465144874E-3</v>
      </c>
      <c r="O35" t="s">
        <v>62</v>
      </c>
    </row>
    <row r="36" spans="2:15" x14ac:dyDescent="0.25">
      <c r="B36" t="s">
        <v>60</v>
      </c>
      <c r="C36" t="s">
        <v>87</v>
      </c>
      <c r="D36">
        <v>4.3390388458859758E-2</v>
      </c>
      <c r="E36" t="s">
        <v>62</v>
      </c>
      <c r="G36" t="s">
        <v>141</v>
      </c>
      <c r="H36" t="s">
        <v>87</v>
      </c>
      <c r="I36">
        <v>7.2831724863313269E-3</v>
      </c>
      <c r="J36" t="s">
        <v>62</v>
      </c>
      <c r="L36" t="s">
        <v>161</v>
      </c>
      <c r="M36" t="s">
        <v>87</v>
      </c>
      <c r="N36">
        <v>7.9237462858235547E-3</v>
      </c>
      <c r="O36" t="s">
        <v>62</v>
      </c>
    </row>
    <row r="37" spans="2:15" x14ac:dyDescent="0.25">
      <c r="B37" t="s">
        <v>60</v>
      </c>
      <c r="C37" t="s">
        <v>88</v>
      </c>
      <c r="D37">
        <v>3.7136520055783606E-2</v>
      </c>
      <c r="E37" t="s">
        <v>62</v>
      </c>
      <c r="G37" t="s">
        <v>141</v>
      </c>
      <c r="H37" t="s">
        <v>88</v>
      </c>
      <c r="I37">
        <v>7.6114934119421978E-3</v>
      </c>
      <c r="J37" t="s">
        <v>62</v>
      </c>
      <c r="L37" t="s">
        <v>161</v>
      </c>
      <c r="M37" t="s">
        <v>88</v>
      </c>
      <c r="N37">
        <v>8.1783338366987774E-3</v>
      </c>
      <c r="O37" t="s">
        <v>62</v>
      </c>
    </row>
    <row r="38" spans="2:15" x14ac:dyDescent="0.25">
      <c r="B38" t="s">
        <v>60</v>
      </c>
      <c r="C38" t="s">
        <v>89</v>
      </c>
      <c r="D38">
        <v>2.4726415760076483E-2</v>
      </c>
      <c r="E38" t="s">
        <v>62</v>
      </c>
      <c r="G38" t="s">
        <v>141</v>
      </c>
      <c r="H38" t="s">
        <v>89</v>
      </c>
      <c r="I38">
        <v>7.8416629956034652E-3</v>
      </c>
      <c r="J38" t="s">
        <v>62</v>
      </c>
      <c r="L38" t="s">
        <v>161</v>
      </c>
      <c r="M38" t="s">
        <v>89</v>
      </c>
      <c r="N38">
        <v>8.4582810865451736E-3</v>
      </c>
      <c r="O38" t="s">
        <v>62</v>
      </c>
    </row>
    <row r="39" spans="2:15" x14ac:dyDescent="0.25">
      <c r="B39" t="s">
        <v>60</v>
      </c>
      <c r="C39" t="s">
        <v>90</v>
      </c>
      <c r="D39">
        <v>8.8620078265014227E-3</v>
      </c>
      <c r="E39" t="s">
        <v>62</v>
      </c>
      <c r="G39" t="s">
        <v>141</v>
      </c>
      <c r="H39" t="s">
        <v>90</v>
      </c>
      <c r="I39">
        <v>8.9072734212059298E-3</v>
      </c>
      <c r="J39" t="s">
        <v>62</v>
      </c>
      <c r="L39" t="s">
        <v>161</v>
      </c>
      <c r="M39" t="s">
        <v>90</v>
      </c>
      <c r="N39">
        <v>9.1708249318375006E-3</v>
      </c>
      <c r="O39" t="s">
        <v>62</v>
      </c>
    </row>
    <row r="40" spans="2:15" x14ac:dyDescent="0.25">
      <c r="B40" t="s">
        <v>60</v>
      </c>
      <c r="C40" t="s">
        <v>91</v>
      </c>
      <c r="D40">
        <v>0</v>
      </c>
      <c r="E40" t="s">
        <v>62</v>
      </c>
      <c r="G40" t="s">
        <v>141</v>
      </c>
      <c r="H40" t="s">
        <v>91</v>
      </c>
      <c r="I40">
        <v>1.6964132095077793E-2</v>
      </c>
      <c r="J40" t="s">
        <v>62</v>
      </c>
      <c r="L40" t="s">
        <v>161</v>
      </c>
      <c r="M40" t="s">
        <v>91</v>
      </c>
      <c r="N40">
        <v>1.5254983868551508E-2</v>
      </c>
      <c r="O40" t="s">
        <v>62</v>
      </c>
    </row>
    <row r="41" spans="2:15" x14ac:dyDescent="0.25">
      <c r="B41" t="s">
        <v>60</v>
      </c>
      <c r="C41" t="s">
        <v>92</v>
      </c>
      <c r="D41">
        <v>0</v>
      </c>
      <c r="E41" t="s">
        <v>62</v>
      </c>
      <c r="G41" t="s">
        <v>141</v>
      </c>
      <c r="H41" t="s">
        <v>92</v>
      </c>
      <c r="I41">
        <v>2.290638524239207E-2</v>
      </c>
      <c r="J41" t="s">
        <v>62</v>
      </c>
      <c r="L41" t="s">
        <v>161</v>
      </c>
      <c r="M41" t="s">
        <v>92</v>
      </c>
      <c r="N41">
        <v>2.0362249244962764E-2</v>
      </c>
      <c r="O41" t="s">
        <v>62</v>
      </c>
    </row>
    <row r="42" spans="2:15" x14ac:dyDescent="0.25">
      <c r="B42" t="s">
        <v>60</v>
      </c>
      <c r="C42" t="s">
        <v>93</v>
      </c>
      <c r="D42">
        <v>1.0997440915704412E-2</v>
      </c>
      <c r="E42" t="s">
        <v>62</v>
      </c>
      <c r="G42" t="s">
        <v>141</v>
      </c>
      <c r="H42" t="s">
        <v>93</v>
      </c>
      <c r="I42">
        <v>7.0005015585694321E-3</v>
      </c>
      <c r="J42" t="s">
        <v>62</v>
      </c>
      <c r="L42" t="s">
        <v>161</v>
      </c>
      <c r="M42" t="s">
        <v>93</v>
      </c>
      <c r="N42">
        <v>7.4867595601396325E-3</v>
      </c>
      <c r="O42" t="s">
        <v>62</v>
      </c>
    </row>
    <row r="43" spans="2:15" x14ac:dyDescent="0.25">
      <c r="B43" t="s">
        <v>60</v>
      </c>
      <c r="C43" t="s">
        <v>94</v>
      </c>
      <c r="D43">
        <v>3.6634755024553871E-2</v>
      </c>
      <c r="E43" t="s">
        <v>62</v>
      </c>
      <c r="G43" t="s">
        <v>141</v>
      </c>
      <c r="H43" t="s">
        <v>94</v>
      </c>
      <c r="I43">
        <v>5.1974777217820289E-3</v>
      </c>
      <c r="J43" t="s">
        <v>62</v>
      </c>
      <c r="L43" t="s">
        <v>161</v>
      </c>
      <c r="M43" t="s">
        <v>94</v>
      </c>
      <c r="N43">
        <v>7.3960964628235377E-3</v>
      </c>
      <c r="O43" t="s">
        <v>62</v>
      </c>
    </row>
    <row r="44" spans="2:15" x14ac:dyDescent="0.25">
      <c r="B44" t="s">
        <v>60</v>
      </c>
      <c r="C44" t="s">
        <v>95</v>
      </c>
      <c r="D44">
        <v>5.3054997672961797E-2</v>
      </c>
      <c r="E44" t="s">
        <v>62</v>
      </c>
      <c r="G44" t="s">
        <v>141</v>
      </c>
      <c r="H44" t="s">
        <v>95</v>
      </c>
      <c r="I44">
        <v>6.3297488065718471E-3</v>
      </c>
      <c r="J44" t="s">
        <v>62</v>
      </c>
      <c r="L44" t="s">
        <v>161</v>
      </c>
      <c r="M44" t="s">
        <v>95</v>
      </c>
      <c r="N44">
        <v>8.0333022305149465E-3</v>
      </c>
      <c r="O44" t="s">
        <v>62</v>
      </c>
    </row>
    <row r="45" spans="2:15" x14ac:dyDescent="0.25">
      <c r="B45" t="s">
        <v>60</v>
      </c>
      <c r="C45" t="s">
        <v>96</v>
      </c>
      <c r="D45">
        <v>5.4994649562613553E-2</v>
      </c>
      <c r="E45" t="s">
        <v>62</v>
      </c>
      <c r="G45" t="s">
        <v>141</v>
      </c>
      <c r="H45" t="s">
        <v>96</v>
      </c>
      <c r="I45">
        <v>5.5070826883150299E-3</v>
      </c>
      <c r="J45" t="s">
        <v>62</v>
      </c>
      <c r="L45" t="s">
        <v>161</v>
      </c>
      <c r="M45" t="s">
        <v>96</v>
      </c>
      <c r="N45">
        <v>7.518829452566456E-3</v>
      </c>
      <c r="O45" t="s">
        <v>62</v>
      </c>
    </row>
    <row r="46" spans="2:15" x14ac:dyDescent="0.25">
      <c r="B46" t="s">
        <v>60</v>
      </c>
      <c r="C46" t="s">
        <v>97</v>
      </c>
      <c r="D46">
        <v>5.1377564658018834E-2</v>
      </c>
      <c r="E46" t="s">
        <v>62</v>
      </c>
      <c r="G46" t="s">
        <v>141</v>
      </c>
      <c r="H46" t="s">
        <v>97</v>
      </c>
      <c r="I46">
        <v>7.1984356518419741E-3</v>
      </c>
      <c r="J46" t="s">
        <v>62</v>
      </c>
      <c r="L46" t="s">
        <v>161</v>
      </c>
      <c r="M46" t="s">
        <v>97</v>
      </c>
      <c r="N46">
        <v>9.2309452024535599E-3</v>
      </c>
      <c r="O46" t="s">
        <v>62</v>
      </c>
    </row>
    <row r="47" spans="2:15" x14ac:dyDescent="0.25">
      <c r="B47" t="s">
        <v>60</v>
      </c>
      <c r="C47" t="s">
        <v>98</v>
      </c>
      <c r="D47">
        <v>4.6078674436946861E-2</v>
      </c>
      <c r="E47" t="s">
        <v>62</v>
      </c>
      <c r="G47" t="s">
        <v>141</v>
      </c>
      <c r="H47" t="s">
        <v>98</v>
      </c>
      <c r="I47">
        <v>7.5296562308634117E-3</v>
      </c>
      <c r="J47" t="s">
        <v>62</v>
      </c>
      <c r="L47" t="s">
        <v>161</v>
      </c>
      <c r="M47" t="s">
        <v>98</v>
      </c>
      <c r="N47">
        <v>9.9743351470557365E-3</v>
      </c>
      <c r="O47" t="s">
        <v>62</v>
      </c>
    </row>
    <row r="48" spans="2:15" x14ac:dyDescent="0.25">
      <c r="B48" t="s">
        <v>60</v>
      </c>
      <c r="C48" t="s">
        <v>99</v>
      </c>
      <c r="D48">
        <v>3.2424051511242238E-2</v>
      </c>
      <c r="E48" t="s">
        <v>62</v>
      </c>
      <c r="G48" t="s">
        <v>141</v>
      </c>
      <c r="H48" t="s">
        <v>99</v>
      </c>
      <c r="I48">
        <v>6.8041437360305025E-3</v>
      </c>
      <c r="J48" t="s">
        <v>62</v>
      </c>
      <c r="L48" t="s">
        <v>161</v>
      </c>
      <c r="M48" t="s">
        <v>99</v>
      </c>
      <c r="N48">
        <v>9.0983364311340176E-3</v>
      </c>
      <c r="O48" t="s">
        <v>62</v>
      </c>
    </row>
    <row r="49" spans="2:15" x14ac:dyDescent="0.25">
      <c r="B49" t="s">
        <v>60</v>
      </c>
      <c r="C49" t="s">
        <v>100</v>
      </c>
      <c r="D49">
        <v>1.1570591416034856E-2</v>
      </c>
      <c r="E49" t="s">
        <v>62</v>
      </c>
      <c r="G49" t="s">
        <v>141</v>
      </c>
      <c r="H49" t="s">
        <v>100</v>
      </c>
      <c r="I49">
        <v>7.8711963886040816E-3</v>
      </c>
      <c r="J49" t="s">
        <v>62</v>
      </c>
      <c r="L49" t="s">
        <v>161</v>
      </c>
      <c r="M49" t="s">
        <v>100</v>
      </c>
      <c r="N49">
        <v>8.6689045532288497E-3</v>
      </c>
      <c r="O49" t="s">
        <v>62</v>
      </c>
    </row>
    <row r="50" spans="2:15" x14ac:dyDescent="0.25">
      <c r="B50" t="s">
        <v>60</v>
      </c>
      <c r="C50" t="s">
        <v>101</v>
      </c>
      <c r="D50">
        <v>0</v>
      </c>
      <c r="E50" t="s">
        <v>62</v>
      </c>
      <c r="G50" t="s">
        <v>141</v>
      </c>
      <c r="H50" t="s">
        <v>101</v>
      </c>
      <c r="I50">
        <v>1.5224196835337531E-2</v>
      </c>
      <c r="J50" t="s">
        <v>62</v>
      </c>
      <c r="L50" t="s">
        <v>161</v>
      </c>
      <c r="M50" t="s">
        <v>101</v>
      </c>
      <c r="N50">
        <v>1.2725167959428945E-2</v>
      </c>
      <c r="O50" t="s">
        <v>62</v>
      </c>
    </row>
    <row r="51" spans="2:15" x14ac:dyDescent="0.25">
      <c r="B51" t="s">
        <v>60</v>
      </c>
      <c r="C51" t="s">
        <v>102</v>
      </c>
      <c r="D51">
        <v>0</v>
      </c>
      <c r="E51" t="s">
        <v>62</v>
      </c>
      <c r="G51" t="s">
        <v>141</v>
      </c>
      <c r="H51" t="s">
        <v>102</v>
      </c>
      <c r="I51">
        <v>3.6199650748331827E-2</v>
      </c>
      <c r="J51" t="s">
        <v>62</v>
      </c>
      <c r="L51" t="s">
        <v>161</v>
      </c>
      <c r="M51" t="s">
        <v>102</v>
      </c>
      <c r="N51">
        <v>3.3912765615808034E-2</v>
      </c>
      <c r="O51" t="s">
        <v>62</v>
      </c>
    </row>
    <row r="52" spans="2:15" x14ac:dyDescent="0.25">
      <c r="B52" t="s">
        <v>60</v>
      </c>
      <c r="C52" t="s">
        <v>103</v>
      </c>
      <c r="D52">
        <v>1.6957522872564938E-4</v>
      </c>
      <c r="E52" t="s">
        <v>62</v>
      </c>
      <c r="G52" t="s">
        <v>141</v>
      </c>
      <c r="H52" t="s">
        <v>103</v>
      </c>
      <c r="I52">
        <v>1.3024451170373111E-2</v>
      </c>
      <c r="J52" t="s">
        <v>62</v>
      </c>
      <c r="L52" t="s">
        <v>161</v>
      </c>
      <c r="M52" t="s">
        <v>103</v>
      </c>
      <c r="N52">
        <v>1.3154680837522628E-2</v>
      </c>
      <c r="O52" t="s">
        <v>62</v>
      </c>
    </row>
    <row r="53" spans="2:15" x14ac:dyDescent="0.25">
      <c r="B53" t="s">
        <v>60</v>
      </c>
      <c r="C53" t="s">
        <v>104</v>
      </c>
      <c r="D53">
        <v>1.3235093273215329E-2</v>
      </c>
      <c r="E53" t="s">
        <v>62</v>
      </c>
      <c r="G53" t="s">
        <v>141</v>
      </c>
      <c r="H53" t="s">
        <v>104</v>
      </c>
      <c r="I53">
        <v>1.2146948598076595E-2</v>
      </c>
      <c r="J53" t="s">
        <v>62</v>
      </c>
      <c r="L53" t="s">
        <v>161</v>
      </c>
      <c r="M53" t="s">
        <v>104</v>
      </c>
      <c r="N53">
        <v>1.2798852848090231E-2</v>
      </c>
      <c r="O53" t="s">
        <v>62</v>
      </c>
    </row>
    <row r="54" spans="2:15" x14ac:dyDescent="0.25">
      <c r="B54" t="s">
        <v>60</v>
      </c>
      <c r="C54" t="s">
        <v>105</v>
      </c>
      <c r="D54">
        <v>2.8689281118610539E-2</v>
      </c>
      <c r="E54" t="s">
        <v>62</v>
      </c>
      <c r="G54" t="s">
        <v>141</v>
      </c>
      <c r="H54" t="s">
        <v>105</v>
      </c>
      <c r="I54">
        <v>1.1313420220110129E-2</v>
      </c>
      <c r="J54" t="s">
        <v>62</v>
      </c>
      <c r="L54" t="s">
        <v>161</v>
      </c>
      <c r="M54" t="s">
        <v>105</v>
      </c>
      <c r="N54">
        <v>1.2715581531094275E-2</v>
      </c>
      <c r="O54" t="s">
        <v>62</v>
      </c>
    </row>
    <row r="55" spans="2:15" x14ac:dyDescent="0.25">
      <c r="B55" t="s">
        <v>60</v>
      </c>
      <c r="C55" t="s">
        <v>106</v>
      </c>
      <c r="D55">
        <v>3.3218284752066195E-2</v>
      </c>
      <c r="E55" t="s">
        <v>62</v>
      </c>
      <c r="G55" t="s">
        <v>141</v>
      </c>
      <c r="H55" t="s">
        <v>106</v>
      </c>
      <c r="I55">
        <v>1.0373168980479694E-2</v>
      </c>
      <c r="J55" t="s">
        <v>62</v>
      </c>
      <c r="L55" t="s">
        <v>161</v>
      </c>
      <c r="M55" t="s">
        <v>106</v>
      </c>
      <c r="N55">
        <v>1.2293885488155052E-2</v>
      </c>
      <c r="O55" t="s">
        <v>62</v>
      </c>
    </row>
    <row r="56" spans="2:15" x14ac:dyDescent="0.25">
      <c r="B56" t="s">
        <v>60</v>
      </c>
      <c r="C56" t="s">
        <v>107</v>
      </c>
      <c r="D56">
        <v>3.4011035188438801E-2</v>
      </c>
      <c r="E56" t="s">
        <v>62</v>
      </c>
      <c r="G56" t="s">
        <v>141</v>
      </c>
      <c r="H56" t="s">
        <v>107</v>
      </c>
      <c r="I56">
        <v>1.1428351231936119E-2</v>
      </c>
      <c r="J56" t="s">
        <v>62</v>
      </c>
      <c r="L56" t="s">
        <v>161</v>
      </c>
      <c r="M56" t="s">
        <v>107</v>
      </c>
      <c r="N56">
        <v>1.3120584875639916E-2</v>
      </c>
      <c r="O56" t="s">
        <v>62</v>
      </c>
    </row>
    <row r="57" spans="2:15" x14ac:dyDescent="0.25">
      <c r="B57" t="s">
        <v>60</v>
      </c>
      <c r="C57" t="s">
        <v>108</v>
      </c>
      <c r="D57">
        <v>2.6874330930612467E-2</v>
      </c>
      <c r="E57" t="s">
        <v>62</v>
      </c>
      <c r="G57" t="s">
        <v>141</v>
      </c>
      <c r="H57" t="s">
        <v>108</v>
      </c>
      <c r="I57">
        <v>1.1728216958696212E-2</v>
      </c>
      <c r="J57" t="s">
        <v>62</v>
      </c>
      <c r="L57" t="s">
        <v>161</v>
      </c>
      <c r="M57" t="s">
        <v>108</v>
      </c>
      <c r="N57">
        <v>1.4428076595098843E-2</v>
      </c>
      <c r="O57" t="s">
        <v>62</v>
      </c>
    </row>
    <row r="58" spans="2:15" x14ac:dyDescent="0.25">
      <c r="B58" t="s">
        <v>60</v>
      </c>
      <c r="C58" t="s">
        <v>109</v>
      </c>
      <c r="D58">
        <v>9.4528833397579549E-3</v>
      </c>
      <c r="E58" t="s">
        <v>62</v>
      </c>
      <c r="G58" t="s">
        <v>141</v>
      </c>
      <c r="H58" t="s">
        <v>109</v>
      </c>
      <c r="I58">
        <v>1.3733560129724333E-2</v>
      </c>
      <c r="J58" t="s">
        <v>62</v>
      </c>
      <c r="L58" t="s">
        <v>161</v>
      </c>
      <c r="M58" t="s">
        <v>109</v>
      </c>
      <c r="N58">
        <v>1.5039549666561737E-2</v>
      </c>
      <c r="O58" t="s">
        <v>62</v>
      </c>
    </row>
    <row r="59" spans="2:15" x14ac:dyDescent="0.25">
      <c r="B59" t="s">
        <v>60</v>
      </c>
      <c r="C59" t="s">
        <v>110</v>
      </c>
      <c r="D59">
        <v>6.2460298604412919E-5</v>
      </c>
      <c r="E59" t="s">
        <v>62</v>
      </c>
      <c r="G59" t="s">
        <v>141</v>
      </c>
      <c r="H59" t="s">
        <v>110</v>
      </c>
      <c r="I59">
        <v>1.5968145143300125E-2</v>
      </c>
      <c r="J59" t="s">
        <v>62</v>
      </c>
      <c r="L59" t="s">
        <v>161</v>
      </c>
      <c r="M59" t="s">
        <v>110</v>
      </c>
      <c r="N59">
        <v>1.5347136138014805E-2</v>
      </c>
      <c r="O59" t="s">
        <v>62</v>
      </c>
    </row>
    <row r="60" spans="2:15" x14ac:dyDescent="0.25">
      <c r="B60" t="s">
        <v>60</v>
      </c>
      <c r="C60" t="s">
        <v>111</v>
      </c>
      <c r="D60">
        <v>0</v>
      </c>
      <c r="E60" t="s">
        <v>62</v>
      </c>
      <c r="G60" t="s">
        <v>141</v>
      </c>
      <c r="H60" t="s">
        <v>111</v>
      </c>
      <c r="I60">
        <v>2.5281649219450752E-2</v>
      </c>
      <c r="J60" t="s">
        <v>62</v>
      </c>
      <c r="L60" t="s">
        <v>161</v>
      </c>
      <c r="M60" t="s">
        <v>111</v>
      </c>
      <c r="N60">
        <v>2.2833452012336709E-2</v>
      </c>
      <c r="O60" t="s">
        <v>62</v>
      </c>
    </row>
    <row r="61" spans="2:15" x14ac:dyDescent="0.25">
      <c r="B61" t="s">
        <v>60</v>
      </c>
      <c r="C61" t="s">
        <v>112</v>
      </c>
      <c r="D61">
        <v>0</v>
      </c>
      <c r="E61" t="s">
        <v>62</v>
      </c>
      <c r="G61" t="s">
        <v>141</v>
      </c>
      <c r="H61" t="s">
        <v>112</v>
      </c>
      <c r="I61">
        <v>5.4088788335641041E-2</v>
      </c>
      <c r="J61" t="s">
        <v>62</v>
      </c>
      <c r="L61" t="s">
        <v>161</v>
      </c>
      <c r="M61" t="s">
        <v>112</v>
      </c>
      <c r="N61">
        <v>5.8595660830758463E-2</v>
      </c>
      <c r="O61" t="s">
        <v>62</v>
      </c>
    </row>
    <row r="62" spans="2:15" x14ac:dyDescent="0.25">
      <c r="B62" t="s">
        <v>60</v>
      </c>
      <c r="C62" t="s">
        <v>113</v>
      </c>
      <c r="D62">
        <v>0</v>
      </c>
      <c r="E62" t="s">
        <v>62</v>
      </c>
      <c r="G62" t="s">
        <v>141</v>
      </c>
      <c r="H62" t="s">
        <v>113</v>
      </c>
      <c r="I62">
        <v>2.1794136538048368E-2</v>
      </c>
      <c r="J62" t="s">
        <v>62</v>
      </c>
      <c r="L62" t="s">
        <v>161</v>
      </c>
      <c r="M62" t="s">
        <v>113</v>
      </c>
      <c r="N62">
        <v>2.3335736512656947E-2</v>
      </c>
      <c r="O62" t="s">
        <v>62</v>
      </c>
    </row>
    <row r="63" spans="2:15" x14ac:dyDescent="0.25">
      <c r="B63" t="s">
        <v>60</v>
      </c>
      <c r="C63" t="s">
        <v>114</v>
      </c>
      <c r="D63">
        <v>2.5484685385464306E-4</v>
      </c>
      <c r="E63" t="s">
        <v>62</v>
      </c>
      <c r="G63" t="s">
        <v>141</v>
      </c>
      <c r="H63" t="s">
        <v>114</v>
      </c>
      <c r="I63">
        <v>2.1764264024733044E-2</v>
      </c>
      <c r="J63" t="s">
        <v>62</v>
      </c>
      <c r="L63" t="s">
        <v>161</v>
      </c>
      <c r="M63" t="s">
        <v>114</v>
      </c>
      <c r="N63">
        <v>2.3036887555588404E-2</v>
      </c>
      <c r="O63" t="s">
        <v>62</v>
      </c>
    </row>
    <row r="64" spans="2:15" x14ac:dyDescent="0.25">
      <c r="B64" t="s">
        <v>60</v>
      </c>
      <c r="C64" t="s">
        <v>115</v>
      </c>
      <c r="D64">
        <v>8.9082001172153431E-3</v>
      </c>
      <c r="E64" t="s">
        <v>62</v>
      </c>
      <c r="G64" t="s">
        <v>141</v>
      </c>
      <c r="H64" t="s">
        <v>115</v>
      </c>
      <c r="I64">
        <v>2.0835358973871475E-2</v>
      </c>
      <c r="J64" t="s">
        <v>62</v>
      </c>
      <c r="L64" t="s">
        <v>161</v>
      </c>
      <c r="M64" t="s">
        <v>115</v>
      </c>
      <c r="N64">
        <v>2.2941625928693442E-2</v>
      </c>
      <c r="O64" t="s">
        <v>62</v>
      </c>
    </row>
    <row r="65" spans="2:15" x14ac:dyDescent="0.25">
      <c r="B65" t="s">
        <v>60</v>
      </c>
      <c r="C65" t="s">
        <v>116</v>
      </c>
      <c r="D65">
        <v>1.4683617496913407E-2</v>
      </c>
      <c r="E65" t="s">
        <v>62</v>
      </c>
      <c r="G65" t="s">
        <v>141</v>
      </c>
      <c r="H65" t="s">
        <v>116</v>
      </c>
      <c r="I65">
        <v>1.9235148652841198E-2</v>
      </c>
      <c r="J65" t="s">
        <v>62</v>
      </c>
      <c r="L65" t="s">
        <v>161</v>
      </c>
      <c r="M65" t="s">
        <v>116</v>
      </c>
      <c r="N65">
        <v>2.2015413988558108E-2</v>
      </c>
      <c r="O65" t="s">
        <v>62</v>
      </c>
    </row>
    <row r="66" spans="2:15" x14ac:dyDescent="0.25">
      <c r="B66" t="s">
        <v>60</v>
      </c>
      <c r="C66" t="s">
        <v>117</v>
      </c>
      <c r="D66">
        <v>1.4574839052253669E-2</v>
      </c>
      <c r="E66" t="s">
        <v>62</v>
      </c>
      <c r="G66" t="s">
        <v>141</v>
      </c>
      <c r="H66" t="s">
        <v>117</v>
      </c>
      <c r="I66">
        <v>1.9092744678836544E-2</v>
      </c>
      <c r="J66" t="s">
        <v>62</v>
      </c>
      <c r="L66" t="s">
        <v>161</v>
      </c>
      <c r="M66" t="s">
        <v>117</v>
      </c>
      <c r="N66">
        <v>2.1470248943505132E-2</v>
      </c>
      <c r="O66" t="s">
        <v>62</v>
      </c>
    </row>
    <row r="67" spans="2:15" x14ac:dyDescent="0.25">
      <c r="B67" t="s">
        <v>60</v>
      </c>
      <c r="C67" t="s">
        <v>118</v>
      </c>
      <c r="D67">
        <v>7.8020659032101572E-3</v>
      </c>
      <c r="E67" t="s">
        <v>62</v>
      </c>
      <c r="G67" t="s">
        <v>141</v>
      </c>
      <c r="H67" t="s">
        <v>118</v>
      </c>
      <c r="I67">
        <v>2.0605025584753221E-2</v>
      </c>
      <c r="J67" t="s">
        <v>62</v>
      </c>
      <c r="L67" t="s">
        <v>161</v>
      </c>
      <c r="M67" t="s">
        <v>118</v>
      </c>
      <c r="N67">
        <v>2.2067526721372511E-2</v>
      </c>
      <c r="O67" t="s">
        <v>62</v>
      </c>
    </row>
    <row r="68" spans="2:15" x14ac:dyDescent="0.25">
      <c r="B68" t="s">
        <v>60</v>
      </c>
      <c r="C68" t="s">
        <v>119</v>
      </c>
      <c r="D68">
        <v>0</v>
      </c>
      <c r="E68" t="s">
        <v>62</v>
      </c>
      <c r="G68" t="s">
        <v>141</v>
      </c>
      <c r="H68" t="s">
        <v>119</v>
      </c>
      <c r="I68">
        <v>2.2653562690863646E-2</v>
      </c>
      <c r="J68" t="s">
        <v>62</v>
      </c>
      <c r="L68" t="s">
        <v>161</v>
      </c>
      <c r="M68" t="s">
        <v>119</v>
      </c>
      <c r="N68">
        <v>2.2900424713366788E-2</v>
      </c>
      <c r="O68" t="s">
        <v>62</v>
      </c>
    </row>
    <row r="69" spans="2:15" x14ac:dyDescent="0.25">
      <c r="B69" t="s">
        <v>60</v>
      </c>
      <c r="C69" t="s">
        <v>120</v>
      </c>
      <c r="D69">
        <v>0</v>
      </c>
      <c r="E69" t="s">
        <v>62</v>
      </c>
      <c r="G69" t="s">
        <v>141</v>
      </c>
      <c r="H69" t="s">
        <v>120</v>
      </c>
      <c r="I69">
        <v>2.3116447405668712E-2</v>
      </c>
      <c r="J69" t="s">
        <v>62</v>
      </c>
      <c r="L69" t="s">
        <v>161</v>
      </c>
      <c r="M69" t="s">
        <v>120</v>
      </c>
      <c r="N69">
        <v>2.3511752507436975E-2</v>
      </c>
      <c r="O69" t="s">
        <v>62</v>
      </c>
    </row>
    <row r="70" spans="2:15" x14ac:dyDescent="0.25">
      <c r="B70" t="s">
        <v>60</v>
      </c>
      <c r="C70" t="s">
        <v>121</v>
      </c>
      <c r="D70">
        <v>0</v>
      </c>
      <c r="E70" t="s">
        <v>62</v>
      </c>
      <c r="G70" t="s">
        <v>141</v>
      </c>
      <c r="H70" t="s">
        <v>121</v>
      </c>
      <c r="I70">
        <v>3.3938744277238309E-2</v>
      </c>
      <c r="J70" t="s">
        <v>62</v>
      </c>
      <c r="L70" t="s">
        <v>161</v>
      </c>
      <c r="M70" t="s">
        <v>121</v>
      </c>
      <c r="N70">
        <v>3.6012083218636186E-2</v>
      </c>
      <c r="O70" t="s">
        <v>62</v>
      </c>
    </row>
    <row r="71" spans="2:15" x14ac:dyDescent="0.25">
      <c r="B71" t="s">
        <v>122</v>
      </c>
      <c r="C71" t="s">
        <v>61</v>
      </c>
      <c r="D71">
        <v>0</v>
      </c>
      <c r="E71" t="s">
        <v>62</v>
      </c>
      <c r="G71" t="s">
        <v>142</v>
      </c>
      <c r="H71" t="s">
        <v>61</v>
      </c>
      <c r="I71">
        <v>4.055323110241503E-2</v>
      </c>
      <c r="J71" t="s">
        <v>62</v>
      </c>
      <c r="L71" t="s">
        <v>162</v>
      </c>
      <c r="M71" t="s">
        <v>61</v>
      </c>
      <c r="N71">
        <v>3.4362205189565141E-2</v>
      </c>
      <c r="O71" t="s">
        <v>62</v>
      </c>
    </row>
    <row r="72" spans="2:15" x14ac:dyDescent="0.25">
      <c r="B72" t="s">
        <v>122</v>
      </c>
      <c r="C72" t="s">
        <v>63</v>
      </c>
      <c r="D72">
        <v>0</v>
      </c>
      <c r="E72" t="s">
        <v>62</v>
      </c>
      <c r="G72" t="s">
        <v>142</v>
      </c>
      <c r="H72" t="s">
        <v>63</v>
      </c>
      <c r="I72">
        <v>1.6719489705235371E-2</v>
      </c>
      <c r="J72" t="s">
        <v>62</v>
      </c>
      <c r="L72" t="s">
        <v>162</v>
      </c>
      <c r="M72" t="s">
        <v>63</v>
      </c>
      <c r="N72">
        <v>1.3713751928448E-2</v>
      </c>
      <c r="O72" t="s">
        <v>62</v>
      </c>
    </row>
    <row r="73" spans="2:15" x14ac:dyDescent="0.25">
      <c r="B73" t="s">
        <v>122</v>
      </c>
      <c r="C73" t="s">
        <v>64</v>
      </c>
      <c r="D73">
        <v>7.7909925145441599E-4</v>
      </c>
      <c r="E73" t="s">
        <v>62</v>
      </c>
      <c r="G73" t="s">
        <v>142</v>
      </c>
      <c r="H73" t="s">
        <v>64</v>
      </c>
      <c r="I73">
        <v>1.7052422660110353E-2</v>
      </c>
      <c r="J73" t="s">
        <v>62</v>
      </c>
      <c r="L73" t="s">
        <v>162</v>
      </c>
      <c r="M73" t="s">
        <v>64</v>
      </c>
      <c r="N73">
        <v>1.3792655797756157E-2</v>
      </c>
      <c r="O73" t="s">
        <v>62</v>
      </c>
    </row>
    <row r="74" spans="2:15" x14ac:dyDescent="0.25">
      <c r="B74" t="s">
        <v>122</v>
      </c>
      <c r="C74" t="s">
        <v>65</v>
      </c>
      <c r="D74">
        <v>1.0809902101902471E-2</v>
      </c>
      <c r="E74" t="s">
        <v>62</v>
      </c>
      <c r="G74" t="s">
        <v>142</v>
      </c>
      <c r="H74" t="s">
        <v>65</v>
      </c>
      <c r="I74">
        <v>1.6340090248520588E-2</v>
      </c>
      <c r="J74" t="s">
        <v>62</v>
      </c>
      <c r="L74" t="s">
        <v>162</v>
      </c>
      <c r="M74" t="s">
        <v>65</v>
      </c>
      <c r="N74">
        <v>1.4202567626155665E-2</v>
      </c>
      <c r="O74" t="s">
        <v>62</v>
      </c>
    </row>
    <row r="75" spans="2:15" x14ac:dyDescent="0.25">
      <c r="B75" t="s">
        <v>122</v>
      </c>
      <c r="C75" t="s">
        <v>66</v>
      </c>
      <c r="D75">
        <v>1.9752746909083272E-2</v>
      </c>
      <c r="E75" t="s">
        <v>62</v>
      </c>
      <c r="G75" t="s">
        <v>142</v>
      </c>
      <c r="H75" t="s">
        <v>66</v>
      </c>
      <c r="I75">
        <v>1.4901580904167105E-2</v>
      </c>
      <c r="J75" t="s">
        <v>62</v>
      </c>
      <c r="L75" t="s">
        <v>162</v>
      </c>
      <c r="M75" t="s">
        <v>66</v>
      </c>
      <c r="N75">
        <v>1.4083923553848401E-2</v>
      </c>
      <c r="O75" t="s">
        <v>62</v>
      </c>
    </row>
    <row r="76" spans="2:15" x14ac:dyDescent="0.25">
      <c r="B76" t="s">
        <v>122</v>
      </c>
      <c r="C76" t="s">
        <v>67</v>
      </c>
      <c r="D76">
        <v>1.9909715556191383E-2</v>
      </c>
      <c r="E76" t="s">
        <v>62</v>
      </c>
      <c r="G76" t="s">
        <v>142</v>
      </c>
      <c r="H76" t="s">
        <v>67</v>
      </c>
      <c r="I76">
        <v>1.5468582644504611E-2</v>
      </c>
      <c r="J76" t="s">
        <v>62</v>
      </c>
      <c r="L76" t="s">
        <v>162</v>
      </c>
      <c r="M76" t="s">
        <v>67</v>
      </c>
      <c r="N76">
        <v>1.3697706232213851E-2</v>
      </c>
      <c r="O76" t="s">
        <v>62</v>
      </c>
    </row>
    <row r="77" spans="2:15" x14ac:dyDescent="0.25">
      <c r="B77" t="s">
        <v>122</v>
      </c>
      <c r="C77" t="s">
        <v>68</v>
      </c>
      <c r="D77">
        <v>1.2204831368484964E-2</v>
      </c>
      <c r="E77" t="s">
        <v>62</v>
      </c>
      <c r="G77" t="s">
        <v>142</v>
      </c>
      <c r="H77" t="s">
        <v>68</v>
      </c>
      <c r="I77">
        <v>1.6275399599732818E-2</v>
      </c>
      <c r="J77" t="s">
        <v>62</v>
      </c>
      <c r="L77" t="s">
        <v>162</v>
      </c>
      <c r="M77" t="s">
        <v>68</v>
      </c>
      <c r="N77">
        <v>1.4096246137409202E-2</v>
      </c>
      <c r="O77" t="s">
        <v>62</v>
      </c>
    </row>
    <row r="78" spans="2:15" x14ac:dyDescent="0.25">
      <c r="B78" t="s">
        <v>122</v>
      </c>
      <c r="C78" t="s">
        <v>69</v>
      </c>
      <c r="D78">
        <v>1.4933527399181509E-3</v>
      </c>
      <c r="E78" t="s">
        <v>62</v>
      </c>
      <c r="G78" t="s">
        <v>142</v>
      </c>
      <c r="H78" t="s">
        <v>69</v>
      </c>
      <c r="I78">
        <v>1.7945972067929129E-2</v>
      </c>
      <c r="J78" t="s">
        <v>62</v>
      </c>
      <c r="L78" t="s">
        <v>162</v>
      </c>
      <c r="M78" t="s">
        <v>69</v>
      </c>
      <c r="N78">
        <v>1.4817605937562211E-2</v>
      </c>
      <c r="O78" t="s">
        <v>62</v>
      </c>
    </row>
    <row r="79" spans="2:15" x14ac:dyDescent="0.25">
      <c r="B79" t="s">
        <v>122</v>
      </c>
      <c r="C79" t="s">
        <v>70</v>
      </c>
      <c r="D79">
        <v>0</v>
      </c>
      <c r="E79" t="s">
        <v>62</v>
      </c>
      <c r="G79" t="s">
        <v>142</v>
      </c>
      <c r="H79" t="s">
        <v>70</v>
      </c>
      <c r="I79">
        <v>1.8262115152993728E-2</v>
      </c>
      <c r="J79" t="s">
        <v>62</v>
      </c>
      <c r="L79" t="s">
        <v>162</v>
      </c>
      <c r="M79" t="s">
        <v>70</v>
      </c>
      <c r="N79">
        <v>1.4977591919140455E-2</v>
      </c>
      <c r="O79" t="s">
        <v>62</v>
      </c>
    </row>
    <row r="80" spans="2:15" x14ac:dyDescent="0.25">
      <c r="B80" t="s">
        <v>122</v>
      </c>
      <c r="C80" t="s">
        <v>71</v>
      </c>
      <c r="D80">
        <v>0</v>
      </c>
      <c r="E80" t="s">
        <v>62</v>
      </c>
      <c r="G80" t="s">
        <v>142</v>
      </c>
      <c r="H80" t="s">
        <v>71</v>
      </c>
      <c r="I80">
        <v>2.59318388605706E-2</v>
      </c>
      <c r="J80" t="s">
        <v>62</v>
      </c>
      <c r="L80" t="s">
        <v>162</v>
      </c>
      <c r="M80" t="s">
        <v>71</v>
      </c>
      <c r="N80">
        <v>2.187552309396357E-2</v>
      </c>
      <c r="O80" t="s">
        <v>62</v>
      </c>
    </row>
    <row r="81" spans="2:15" x14ac:dyDescent="0.25">
      <c r="B81" t="s">
        <v>122</v>
      </c>
      <c r="C81" t="s">
        <v>72</v>
      </c>
      <c r="D81">
        <v>0</v>
      </c>
      <c r="E81" t="s">
        <v>62</v>
      </c>
      <c r="G81" t="s">
        <v>142</v>
      </c>
      <c r="H81" t="s">
        <v>72</v>
      </c>
      <c r="I81">
        <v>4.5185743845063894E-2</v>
      </c>
      <c r="J81" t="s">
        <v>62</v>
      </c>
      <c r="L81" t="s">
        <v>162</v>
      </c>
      <c r="M81" t="s">
        <v>72</v>
      </c>
      <c r="N81">
        <v>4.0910211702421664E-2</v>
      </c>
      <c r="O81" t="s">
        <v>62</v>
      </c>
    </row>
    <row r="82" spans="2:15" x14ac:dyDescent="0.25">
      <c r="B82" t="s">
        <v>122</v>
      </c>
      <c r="C82" t="s">
        <v>73</v>
      </c>
      <c r="D82">
        <v>2.9235800111813643E-3</v>
      </c>
      <c r="E82" t="s">
        <v>62</v>
      </c>
      <c r="G82" t="s">
        <v>142</v>
      </c>
      <c r="H82" t="s">
        <v>73</v>
      </c>
      <c r="I82">
        <v>1.7482422397804308E-2</v>
      </c>
      <c r="J82" t="s">
        <v>62</v>
      </c>
      <c r="L82" t="s">
        <v>162</v>
      </c>
      <c r="M82" t="s">
        <v>73</v>
      </c>
      <c r="N82">
        <v>1.6097156108325166E-2</v>
      </c>
      <c r="O82" t="s">
        <v>62</v>
      </c>
    </row>
    <row r="83" spans="2:15" x14ac:dyDescent="0.25">
      <c r="B83" t="s">
        <v>122</v>
      </c>
      <c r="C83" t="s">
        <v>74</v>
      </c>
      <c r="D83">
        <v>2.0693116107618991E-2</v>
      </c>
      <c r="E83" t="s">
        <v>62</v>
      </c>
      <c r="G83" t="s">
        <v>142</v>
      </c>
      <c r="H83" t="s">
        <v>74</v>
      </c>
      <c r="I83">
        <v>1.534567694628379E-2</v>
      </c>
      <c r="J83" t="s">
        <v>62</v>
      </c>
      <c r="L83" t="s">
        <v>162</v>
      </c>
      <c r="M83" t="s">
        <v>74</v>
      </c>
      <c r="N83">
        <v>1.5814626851991059E-2</v>
      </c>
      <c r="O83" t="s">
        <v>62</v>
      </c>
    </row>
    <row r="84" spans="2:15" x14ac:dyDescent="0.25">
      <c r="B84" t="s">
        <v>122</v>
      </c>
      <c r="C84" t="s">
        <v>75</v>
      </c>
      <c r="D84">
        <v>3.8359061784289383E-2</v>
      </c>
      <c r="E84" t="s">
        <v>62</v>
      </c>
      <c r="G84" t="s">
        <v>142</v>
      </c>
      <c r="H84" t="s">
        <v>75</v>
      </c>
      <c r="I84">
        <v>1.4695544083078875E-2</v>
      </c>
      <c r="J84" t="s">
        <v>62</v>
      </c>
      <c r="L84" t="s">
        <v>162</v>
      </c>
      <c r="M84" t="s">
        <v>75</v>
      </c>
      <c r="N84">
        <v>1.5330402638413107E-2</v>
      </c>
      <c r="O84" t="s">
        <v>62</v>
      </c>
    </row>
    <row r="85" spans="2:15" x14ac:dyDescent="0.25">
      <c r="B85" t="s">
        <v>122</v>
      </c>
      <c r="C85" t="s">
        <v>76</v>
      </c>
      <c r="D85">
        <v>4.3448800195018587E-2</v>
      </c>
      <c r="E85" t="s">
        <v>62</v>
      </c>
      <c r="G85" t="s">
        <v>142</v>
      </c>
      <c r="H85" t="s">
        <v>76</v>
      </c>
      <c r="I85">
        <v>1.3191447997542606E-2</v>
      </c>
      <c r="J85" t="s">
        <v>62</v>
      </c>
      <c r="L85" t="s">
        <v>162</v>
      </c>
      <c r="M85" t="s">
        <v>76</v>
      </c>
      <c r="N85">
        <v>1.317688973605808E-2</v>
      </c>
      <c r="O85" t="s">
        <v>62</v>
      </c>
    </row>
    <row r="86" spans="2:15" x14ac:dyDescent="0.25">
      <c r="B86" t="s">
        <v>122</v>
      </c>
      <c r="C86" t="s">
        <v>77</v>
      </c>
      <c r="D86">
        <v>4.111599887901015E-2</v>
      </c>
      <c r="E86" t="s">
        <v>62</v>
      </c>
      <c r="G86" t="s">
        <v>142</v>
      </c>
      <c r="H86" t="s">
        <v>77</v>
      </c>
      <c r="I86">
        <v>1.4779464206970395E-2</v>
      </c>
      <c r="J86" t="s">
        <v>62</v>
      </c>
      <c r="L86" t="s">
        <v>162</v>
      </c>
      <c r="M86" t="s">
        <v>77</v>
      </c>
      <c r="N86">
        <v>1.3452775538920594E-2</v>
      </c>
      <c r="O86" t="s">
        <v>62</v>
      </c>
    </row>
    <row r="87" spans="2:15" x14ac:dyDescent="0.25">
      <c r="B87" t="s">
        <v>122</v>
      </c>
      <c r="C87" t="s">
        <v>78</v>
      </c>
      <c r="D87">
        <v>3.3957637820860732E-2</v>
      </c>
      <c r="E87" t="s">
        <v>62</v>
      </c>
      <c r="G87" t="s">
        <v>142</v>
      </c>
      <c r="H87" t="s">
        <v>78</v>
      </c>
      <c r="I87">
        <v>1.5093782120187719E-2</v>
      </c>
      <c r="J87" t="s">
        <v>62</v>
      </c>
      <c r="L87" t="s">
        <v>162</v>
      </c>
      <c r="M87" t="s">
        <v>78</v>
      </c>
      <c r="N87">
        <v>1.4646781484175656E-2</v>
      </c>
      <c r="O87" t="s">
        <v>62</v>
      </c>
    </row>
    <row r="88" spans="2:15" x14ac:dyDescent="0.25">
      <c r="B88" t="s">
        <v>122</v>
      </c>
      <c r="C88" t="s">
        <v>79</v>
      </c>
      <c r="D88">
        <v>1.8164253805631751E-2</v>
      </c>
      <c r="E88" t="s">
        <v>62</v>
      </c>
      <c r="G88" t="s">
        <v>142</v>
      </c>
      <c r="H88" t="s">
        <v>79</v>
      </c>
      <c r="I88">
        <v>1.6375699239145464E-2</v>
      </c>
      <c r="J88" t="s">
        <v>62</v>
      </c>
      <c r="L88" t="s">
        <v>162</v>
      </c>
      <c r="M88" t="s">
        <v>79</v>
      </c>
      <c r="N88">
        <v>1.6079259569893228E-2</v>
      </c>
      <c r="O88" t="s">
        <v>62</v>
      </c>
    </row>
    <row r="89" spans="2:15" x14ac:dyDescent="0.25">
      <c r="B89" t="s">
        <v>122</v>
      </c>
      <c r="C89" t="s">
        <v>80</v>
      </c>
      <c r="D89">
        <v>1.557898489452473E-3</v>
      </c>
      <c r="E89" t="s">
        <v>62</v>
      </c>
      <c r="G89" t="s">
        <v>142</v>
      </c>
      <c r="H89" t="s">
        <v>80</v>
      </c>
      <c r="I89">
        <v>1.9018287524500816E-2</v>
      </c>
      <c r="J89" t="s">
        <v>62</v>
      </c>
      <c r="L89" t="s">
        <v>162</v>
      </c>
      <c r="M89" t="s">
        <v>80</v>
      </c>
      <c r="N89">
        <v>1.7266696524606738E-2</v>
      </c>
      <c r="O89" t="s">
        <v>62</v>
      </c>
    </row>
    <row r="90" spans="2:15" x14ac:dyDescent="0.25">
      <c r="B90" t="s">
        <v>122</v>
      </c>
      <c r="C90" t="s">
        <v>81</v>
      </c>
      <c r="D90">
        <v>0</v>
      </c>
      <c r="E90" t="s">
        <v>62</v>
      </c>
      <c r="G90" t="s">
        <v>142</v>
      </c>
      <c r="H90" t="s">
        <v>81</v>
      </c>
      <c r="I90">
        <v>2.8436161297174838E-2</v>
      </c>
      <c r="J90" t="s">
        <v>62</v>
      </c>
      <c r="L90" t="s">
        <v>162</v>
      </c>
      <c r="M90" t="s">
        <v>81</v>
      </c>
      <c r="N90">
        <v>2.5991637549514487E-2</v>
      </c>
      <c r="O90" t="s">
        <v>62</v>
      </c>
    </row>
    <row r="91" spans="2:15" x14ac:dyDescent="0.25">
      <c r="B91" t="s">
        <v>122</v>
      </c>
      <c r="C91" t="s">
        <v>82</v>
      </c>
      <c r="D91">
        <v>0</v>
      </c>
      <c r="E91" t="s">
        <v>62</v>
      </c>
      <c r="G91" t="s">
        <v>142</v>
      </c>
      <c r="H91" t="s">
        <v>82</v>
      </c>
      <c r="I91">
        <v>2.3786959768077022E-2</v>
      </c>
      <c r="J91" t="s">
        <v>62</v>
      </c>
      <c r="L91" t="s">
        <v>162</v>
      </c>
      <c r="M91" t="s">
        <v>82</v>
      </c>
      <c r="N91">
        <v>2.8164752002365404E-2</v>
      </c>
      <c r="O91" t="s">
        <v>62</v>
      </c>
    </row>
    <row r="92" spans="2:15" x14ac:dyDescent="0.25">
      <c r="B92" t="s">
        <v>122</v>
      </c>
      <c r="C92" t="s">
        <v>83</v>
      </c>
      <c r="D92">
        <v>1.0274878268651328E-2</v>
      </c>
      <c r="E92" t="s">
        <v>62</v>
      </c>
      <c r="G92" t="s">
        <v>142</v>
      </c>
      <c r="H92" t="s">
        <v>83</v>
      </c>
      <c r="I92">
        <v>8.7511730861018506E-3</v>
      </c>
      <c r="J92" t="s">
        <v>62</v>
      </c>
      <c r="L92" t="s">
        <v>162</v>
      </c>
      <c r="M92" t="s">
        <v>83</v>
      </c>
      <c r="N92">
        <v>1.1298119308641998E-2</v>
      </c>
      <c r="O92" t="s">
        <v>62</v>
      </c>
    </row>
    <row r="93" spans="2:15" x14ac:dyDescent="0.25">
      <c r="B93" t="s">
        <v>122</v>
      </c>
      <c r="C93" t="s">
        <v>84</v>
      </c>
      <c r="D93">
        <v>2.8884753158319568E-2</v>
      </c>
      <c r="E93" t="s">
        <v>62</v>
      </c>
      <c r="G93" t="s">
        <v>142</v>
      </c>
      <c r="H93" t="s">
        <v>84</v>
      </c>
      <c r="I93">
        <v>6.9142891815333505E-3</v>
      </c>
      <c r="J93" t="s">
        <v>62</v>
      </c>
      <c r="L93" t="s">
        <v>162</v>
      </c>
      <c r="M93" t="s">
        <v>84</v>
      </c>
      <c r="N93">
        <v>1.094918564165186E-2</v>
      </c>
      <c r="O93" t="s">
        <v>62</v>
      </c>
    </row>
    <row r="94" spans="2:15" x14ac:dyDescent="0.25">
      <c r="B94" t="s">
        <v>122</v>
      </c>
      <c r="C94" t="s">
        <v>85</v>
      </c>
      <c r="D94">
        <v>3.9373164195853454E-2</v>
      </c>
      <c r="E94" t="s">
        <v>62</v>
      </c>
      <c r="G94" t="s">
        <v>142</v>
      </c>
      <c r="H94" t="s">
        <v>85</v>
      </c>
      <c r="I94">
        <v>6.5861939136370382E-3</v>
      </c>
      <c r="J94" t="s">
        <v>62</v>
      </c>
      <c r="L94" t="s">
        <v>162</v>
      </c>
      <c r="M94" t="s">
        <v>85</v>
      </c>
      <c r="N94">
        <v>1.0165318212525623E-2</v>
      </c>
      <c r="O94" t="s">
        <v>62</v>
      </c>
    </row>
    <row r="95" spans="2:15" x14ac:dyDescent="0.25">
      <c r="B95" t="s">
        <v>122</v>
      </c>
      <c r="C95" t="s">
        <v>86</v>
      </c>
      <c r="D95">
        <v>4.297678691384945E-2</v>
      </c>
      <c r="E95" t="s">
        <v>62</v>
      </c>
      <c r="G95" t="s">
        <v>142</v>
      </c>
      <c r="H95" t="s">
        <v>86</v>
      </c>
      <c r="I95">
        <v>5.2136764439561258E-3</v>
      </c>
      <c r="J95" t="s">
        <v>62</v>
      </c>
      <c r="L95" t="s">
        <v>162</v>
      </c>
      <c r="M95" t="s">
        <v>86</v>
      </c>
      <c r="N95">
        <v>8.5297182667565721E-3</v>
      </c>
      <c r="O95" t="s">
        <v>62</v>
      </c>
    </row>
    <row r="96" spans="2:15" x14ac:dyDescent="0.25">
      <c r="B96" t="s">
        <v>122</v>
      </c>
      <c r="C96" t="s">
        <v>87</v>
      </c>
      <c r="D96">
        <v>4.2627093391173147E-2</v>
      </c>
      <c r="E96" t="s">
        <v>62</v>
      </c>
      <c r="G96" t="s">
        <v>142</v>
      </c>
      <c r="H96" t="s">
        <v>87</v>
      </c>
      <c r="I96">
        <v>6.3271199572339483E-3</v>
      </c>
      <c r="J96" t="s">
        <v>62</v>
      </c>
      <c r="L96" t="s">
        <v>162</v>
      </c>
      <c r="M96" t="s">
        <v>87</v>
      </c>
      <c r="N96">
        <v>8.7920937455910168E-3</v>
      </c>
      <c r="O96" t="s">
        <v>62</v>
      </c>
    </row>
    <row r="97" spans="2:15" x14ac:dyDescent="0.25">
      <c r="B97" t="s">
        <v>122</v>
      </c>
      <c r="C97" t="s">
        <v>88</v>
      </c>
      <c r="D97">
        <v>3.619726813372591E-2</v>
      </c>
      <c r="E97" t="s">
        <v>62</v>
      </c>
      <c r="G97" t="s">
        <v>142</v>
      </c>
      <c r="H97" t="s">
        <v>88</v>
      </c>
      <c r="I97">
        <v>7.6924736360336962E-3</v>
      </c>
      <c r="J97" t="s">
        <v>62</v>
      </c>
      <c r="L97" t="s">
        <v>162</v>
      </c>
      <c r="M97" t="s">
        <v>88</v>
      </c>
      <c r="N97">
        <v>9.2620263903713859E-3</v>
      </c>
      <c r="O97" t="s">
        <v>62</v>
      </c>
    </row>
    <row r="98" spans="2:15" x14ac:dyDescent="0.25">
      <c r="B98" t="s">
        <v>122</v>
      </c>
      <c r="C98" t="s">
        <v>89</v>
      </c>
      <c r="D98">
        <v>2.263244831320451E-2</v>
      </c>
      <c r="E98" t="s">
        <v>62</v>
      </c>
      <c r="G98" t="s">
        <v>142</v>
      </c>
      <c r="H98" t="s">
        <v>89</v>
      </c>
      <c r="I98">
        <v>7.5848040692402348E-3</v>
      </c>
      <c r="J98" t="s">
        <v>62</v>
      </c>
      <c r="L98" t="s">
        <v>162</v>
      </c>
      <c r="M98" t="s">
        <v>89</v>
      </c>
      <c r="N98">
        <v>9.4352923511676744E-3</v>
      </c>
      <c r="O98" t="s">
        <v>62</v>
      </c>
    </row>
    <row r="99" spans="2:15" x14ac:dyDescent="0.25">
      <c r="B99" t="s">
        <v>122</v>
      </c>
      <c r="C99" t="s">
        <v>90</v>
      </c>
      <c r="D99">
        <v>7.0711002472425063E-3</v>
      </c>
      <c r="E99" t="s">
        <v>62</v>
      </c>
      <c r="G99" t="s">
        <v>142</v>
      </c>
      <c r="H99" t="s">
        <v>90</v>
      </c>
      <c r="I99">
        <v>9.315015053630353E-3</v>
      </c>
      <c r="J99" t="s">
        <v>62</v>
      </c>
      <c r="L99" t="s">
        <v>162</v>
      </c>
      <c r="M99" t="s">
        <v>90</v>
      </c>
      <c r="N99">
        <v>9.8354254771775215E-3</v>
      </c>
      <c r="O99" t="s">
        <v>62</v>
      </c>
    </row>
    <row r="100" spans="2:15" x14ac:dyDescent="0.25">
      <c r="B100" t="s">
        <v>122</v>
      </c>
      <c r="C100" t="s">
        <v>91</v>
      </c>
      <c r="D100">
        <v>0</v>
      </c>
      <c r="E100" t="s">
        <v>62</v>
      </c>
      <c r="G100" t="s">
        <v>142</v>
      </c>
      <c r="H100" t="s">
        <v>91</v>
      </c>
      <c r="I100">
        <v>1.4758207100425384E-2</v>
      </c>
      <c r="J100" t="s">
        <v>62</v>
      </c>
      <c r="L100" t="s">
        <v>162</v>
      </c>
      <c r="M100" t="s">
        <v>91</v>
      </c>
      <c r="N100">
        <v>1.5548418444935064E-2</v>
      </c>
      <c r="O100" t="s">
        <v>62</v>
      </c>
    </row>
    <row r="101" spans="2:15" x14ac:dyDescent="0.25">
      <c r="B101" t="s">
        <v>122</v>
      </c>
      <c r="C101" t="s">
        <v>92</v>
      </c>
      <c r="D101">
        <v>0</v>
      </c>
      <c r="E101" t="s">
        <v>62</v>
      </c>
      <c r="G101" t="s">
        <v>142</v>
      </c>
      <c r="H101" t="s">
        <v>92</v>
      </c>
      <c r="I101">
        <v>2.1400025110434494E-2</v>
      </c>
      <c r="J101" t="s">
        <v>62</v>
      </c>
      <c r="L101" t="s">
        <v>162</v>
      </c>
      <c r="M101" t="s">
        <v>92</v>
      </c>
      <c r="N101">
        <v>2.4589574660824565E-2</v>
      </c>
      <c r="O101" t="s">
        <v>62</v>
      </c>
    </row>
    <row r="102" spans="2:15" x14ac:dyDescent="0.25">
      <c r="B102" t="s">
        <v>122</v>
      </c>
      <c r="C102" t="s">
        <v>93</v>
      </c>
      <c r="D102">
        <v>1.2195838885078561E-2</v>
      </c>
      <c r="E102" t="s">
        <v>62</v>
      </c>
      <c r="G102" t="s">
        <v>142</v>
      </c>
      <c r="H102" t="s">
        <v>93</v>
      </c>
      <c r="I102">
        <v>6.8411457852759414E-3</v>
      </c>
      <c r="J102" t="s">
        <v>62</v>
      </c>
      <c r="L102" t="s">
        <v>162</v>
      </c>
      <c r="M102" t="s">
        <v>93</v>
      </c>
      <c r="N102">
        <v>9.2893568553950329E-3</v>
      </c>
      <c r="O102" t="s">
        <v>62</v>
      </c>
    </row>
    <row r="103" spans="2:15" x14ac:dyDescent="0.25">
      <c r="B103" t="s">
        <v>122</v>
      </c>
      <c r="C103" t="s">
        <v>94</v>
      </c>
      <c r="D103">
        <v>3.9506888021438147E-2</v>
      </c>
      <c r="E103" t="s">
        <v>62</v>
      </c>
      <c r="G103" t="s">
        <v>142</v>
      </c>
      <c r="H103" t="s">
        <v>94</v>
      </c>
      <c r="I103">
        <v>5.3411337990242665E-3</v>
      </c>
      <c r="J103" t="s">
        <v>62</v>
      </c>
      <c r="L103" t="s">
        <v>162</v>
      </c>
      <c r="M103" t="s">
        <v>94</v>
      </c>
      <c r="N103">
        <v>9.4884515674335014E-3</v>
      </c>
      <c r="O103" t="s">
        <v>62</v>
      </c>
    </row>
    <row r="104" spans="2:15" x14ac:dyDescent="0.25">
      <c r="B104" t="s">
        <v>122</v>
      </c>
      <c r="C104" t="s">
        <v>95</v>
      </c>
      <c r="D104">
        <v>5.4402545760624914E-2</v>
      </c>
      <c r="E104" t="s">
        <v>62</v>
      </c>
      <c r="G104" t="s">
        <v>142</v>
      </c>
      <c r="H104" t="s">
        <v>95</v>
      </c>
      <c r="I104">
        <v>6.6262551881689875E-3</v>
      </c>
      <c r="J104" t="s">
        <v>62</v>
      </c>
      <c r="L104" t="s">
        <v>162</v>
      </c>
      <c r="M104" t="s">
        <v>95</v>
      </c>
      <c r="N104">
        <v>9.4120619204875865E-3</v>
      </c>
      <c r="O104" t="s">
        <v>62</v>
      </c>
    </row>
    <row r="105" spans="2:15" x14ac:dyDescent="0.25">
      <c r="B105" t="s">
        <v>122</v>
      </c>
      <c r="C105" t="s">
        <v>96</v>
      </c>
      <c r="D105">
        <v>5.3954793105334506E-2</v>
      </c>
      <c r="E105" t="s">
        <v>62</v>
      </c>
      <c r="G105" t="s">
        <v>142</v>
      </c>
      <c r="H105" t="s">
        <v>96</v>
      </c>
      <c r="I105">
        <v>5.6350504381617204E-3</v>
      </c>
      <c r="J105" t="s">
        <v>62</v>
      </c>
      <c r="L105" t="s">
        <v>162</v>
      </c>
      <c r="M105" t="s">
        <v>96</v>
      </c>
      <c r="N105">
        <v>8.8792830409306755E-3</v>
      </c>
      <c r="O105" t="s">
        <v>62</v>
      </c>
    </row>
    <row r="106" spans="2:15" x14ac:dyDescent="0.25">
      <c r="B106" t="s">
        <v>122</v>
      </c>
      <c r="C106" t="s">
        <v>97</v>
      </c>
      <c r="D106">
        <v>5.0609017060615658E-2</v>
      </c>
      <c r="E106" t="s">
        <v>62</v>
      </c>
      <c r="G106" t="s">
        <v>142</v>
      </c>
      <c r="H106" t="s">
        <v>97</v>
      </c>
      <c r="I106">
        <v>6.7081330833657759E-3</v>
      </c>
      <c r="J106" t="s">
        <v>62</v>
      </c>
      <c r="L106" t="s">
        <v>162</v>
      </c>
      <c r="M106" t="s">
        <v>97</v>
      </c>
      <c r="N106">
        <v>9.8369277390576732E-3</v>
      </c>
      <c r="O106" t="s">
        <v>62</v>
      </c>
    </row>
    <row r="107" spans="2:15" x14ac:dyDescent="0.25">
      <c r="B107" t="s">
        <v>122</v>
      </c>
      <c r="C107" t="s">
        <v>98</v>
      </c>
      <c r="D107">
        <v>4.5782698466450444E-2</v>
      </c>
      <c r="E107" t="s">
        <v>62</v>
      </c>
      <c r="G107" t="s">
        <v>142</v>
      </c>
      <c r="H107" t="s">
        <v>98</v>
      </c>
      <c r="I107">
        <v>7.6697443871484097E-3</v>
      </c>
      <c r="J107" t="s">
        <v>62</v>
      </c>
      <c r="L107" t="s">
        <v>162</v>
      </c>
      <c r="M107" t="s">
        <v>98</v>
      </c>
      <c r="N107">
        <v>1.1002909797511E-2</v>
      </c>
      <c r="O107" t="s">
        <v>62</v>
      </c>
    </row>
    <row r="108" spans="2:15" x14ac:dyDescent="0.25">
      <c r="B108" t="s">
        <v>122</v>
      </c>
      <c r="C108" t="s">
        <v>99</v>
      </c>
      <c r="D108">
        <v>3.1242426526572366E-2</v>
      </c>
      <c r="E108" t="s">
        <v>62</v>
      </c>
      <c r="G108" t="s">
        <v>142</v>
      </c>
      <c r="H108" t="s">
        <v>99</v>
      </c>
      <c r="I108">
        <v>7.1442529554161466E-3</v>
      </c>
      <c r="J108" t="s">
        <v>62</v>
      </c>
      <c r="L108" t="s">
        <v>162</v>
      </c>
      <c r="M108" t="s">
        <v>99</v>
      </c>
      <c r="N108">
        <v>1.1164780540166435E-2</v>
      </c>
      <c r="O108" t="s">
        <v>62</v>
      </c>
    </row>
    <row r="109" spans="2:15" x14ac:dyDescent="0.25">
      <c r="B109" t="s">
        <v>122</v>
      </c>
      <c r="C109" t="s">
        <v>100</v>
      </c>
      <c r="D109">
        <v>9.6743639522455151E-3</v>
      </c>
      <c r="E109" t="s">
        <v>62</v>
      </c>
      <c r="G109" t="s">
        <v>142</v>
      </c>
      <c r="H109" t="s">
        <v>100</v>
      </c>
      <c r="I109">
        <v>8.0855119151525372E-3</v>
      </c>
      <c r="J109" t="s">
        <v>62</v>
      </c>
      <c r="L109" t="s">
        <v>162</v>
      </c>
      <c r="M109" t="s">
        <v>100</v>
      </c>
      <c r="N109">
        <v>1.0816013751872806E-2</v>
      </c>
      <c r="O109" t="s">
        <v>62</v>
      </c>
    </row>
    <row r="110" spans="2:15" x14ac:dyDescent="0.25">
      <c r="B110" t="s">
        <v>122</v>
      </c>
      <c r="C110" t="s">
        <v>101</v>
      </c>
      <c r="D110">
        <v>0</v>
      </c>
      <c r="E110" t="s">
        <v>62</v>
      </c>
      <c r="G110" t="s">
        <v>142</v>
      </c>
      <c r="H110" t="s">
        <v>101</v>
      </c>
      <c r="I110">
        <v>1.4004334981957012E-2</v>
      </c>
      <c r="J110" t="s">
        <v>62</v>
      </c>
      <c r="L110" t="s">
        <v>162</v>
      </c>
      <c r="M110" t="s">
        <v>101</v>
      </c>
      <c r="N110">
        <v>1.5761109979912667E-2</v>
      </c>
      <c r="O110" t="s">
        <v>62</v>
      </c>
    </row>
    <row r="111" spans="2:15" x14ac:dyDescent="0.25">
      <c r="B111" t="s">
        <v>122</v>
      </c>
      <c r="C111" t="s">
        <v>102</v>
      </c>
      <c r="D111">
        <v>0</v>
      </c>
      <c r="E111" t="s">
        <v>62</v>
      </c>
      <c r="G111" t="s">
        <v>142</v>
      </c>
      <c r="H111" t="s">
        <v>102</v>
      </c>
      <c r="I111">
        <v>3.4468876052833018E-2</v>
      </c>
      <c r="J111" t="s">
        <v>62</v>
      </c>
      <c r="L111" t="s">
        <v>162</v>
      </c>
      <c r="M111" t="s">
        <v>102</v>
      </c>
      <c r="N111">
        <v>3.1767750798770283E-2</v>
      </c>
      <c r="O111" t="s">
        <v>62</v>
      </c>
    </row>
    <row r="112" spans="2:15" x14ac:dyDescent="0.25">
      <c r="B112" t="s">
        <v>122</v>
      </c>
      <c r="C112" t="s">
        <v>103</v>
      </c>
      <c r="D112">
        <v>6.3123503422838484E-4</v>
      </c>
      <c r="E112" t="s">
        <v>62</v>
      </c>
      <c r="G112" t="s">
        <v>142</v>
      </c>
      <c r="H112" t="s">
        <v>103</v>
      </c>
      <c r="I112">
        <v>1.2052026408039098E-2</v>
      </c>
      <c r="J112" t="s">
        <v>62</v>
      </c>
      <c r="L112" t="s">
        <v>162</v>
      </c>
      <c r="M112" t="s">
        <v>103</v>
      </c>
      <c r="N112">
        <v>1.2802569163407234E-2</v>
      </c>
      <c r="O112" t="s">
        <v>62</v>
      </c>
    </row>
    <row r="113" spans="2:15" x14ac:dyDescent="0.25">
      <c r="B113" t="s">
        <v>122</v>
      </c>
      <c r="C113" t="s">
        <v>104</v>
      </c>
      <c r="D113">
        <v>1.5102556107444723E-2</v>
      </c>
      <c r="E113" t="s">
        <v>62</v>
      </c>
      <c r="G113" t="s">
        <v>142</v>
      </c>
      <c r="H113" t="s">
        <v>104</v>
      </c>
      <c r="I113">
        <v>1.1419638014860553E-2</v>
      </c>
      <c r="J113" t="s">
        <v>62</v>
      </c>
      <c r="L113" t="s">
        <v>162</v>
      </c>
      <c r="M113" t="s">
        <v>104</v>
      </c>
      <c r="N113">
        <v>1.3156703063258602E-2</v>
      </c>
      <c r="O113" t="s">
        <v>62</v>
      </c>
    </row>
    <row r="114" spans="2:15" x14ac:dyDescent="0.25">
      <c r="B114" t="s">
        <v>122</v>
      </c>
      <c r="C114" t="s">
        <v>105</v>
      </c>
      <c r="D114">
        <v>3.1343396745044126E-2</v>
      </c>
      <c r="E114" t="s">
        <v>62</v>
      </c>
      <c r="G114" t="s">
        <v>142</v>
      </c>
      <c r="H114" t="s">
        <v>105</v>
      </c>
      <c r="I114">
        <v>1.1153554203480772E-2</v>
      </c>
      <c r="J114" t="s">
        <v>62</v>
      </c>
      <c r="L114" t="s">
        <v>162</v>
      </c>
      <c r="M114" t="s">
        <v>105</v>
      </c>
      <c r="N114">
        <v>1.3396043869836267E-2</v>
      </c>
      <c r="O114" t="s">
        <v>62</v>
      </c>
    </row>
    <row r="115" spans="2:15" x14ac:dyDescent="0.25">
      <c r="B115" t="s">
        <v>122</v>
      </c>
      <c r="C115" t="s">
        <v>106</v>
      </c>
      <c r="D115">
        <v>3.3894387163919258E-2</v>
      </c>
      <c r="E115" t="s">
        <v>62</v>
      </c>
      <c r="G115" t="s">
        <v>142</v>
      </c>
      <c r="H115" t="s">
        <v>106</v>
      </c>
      <c r="I115">
        <v>1.0816509674014039E-2</v>
      </c>
      <c r="J115" t="s">
        <v>62</v>
      </c>
      <c r="L115" t="s">
        <v>162</v>
      </c>
      <c r="M115" t="s">
        <v>106</v>
      </c>
      <c r="N115">
        <v>1.2830651666031041E-2</v>
      </c>
      <c r="O115" t="s">
        <v>62</v>
      </c>
    </row>
    <row r="116" spans="2:15" x14ac:dyDescent="0.25">
      <c r="B116" t="s">
        <v>122</v>
      </c>
      <c r="C116" t="s">
        <v>107</v>
      </c>
      <c r="D116">
        <v>3.4061337247402464E-2</v>
      </c>
      <c r="E116" t="s">
        <v>62</v>
      </c>
      <c r="G116" t="s">
        <v>142</v>
      </c>
      <c r="H116" t="s">
        <v>107</v>
      </c>
      <c r="I116">
        <v>1.2129082951732624E-2</v>
      </c>
      <c r="J116" t="s">
        <v>62</v>
      </c>
      <c r="L116" t="s">
        <v>162</v>
      </c>
      <c r="M116" t="s">
        <v>107</v>
      </c>
      <c r="N116">
        <v>1.2860058308885661E-2</v>
      </c>
      <c r="O116" t="s">
        <v>62</v>
      </c>
    </row>
    <row r="117" spans="2:15" x14ac:dyDescent="0.25">
      <c r="B117" t="s">
        <v>122</v>
      </c>
      <c r="C117" t="s">
        <v>108</v>
      </c>
      <c r="D117">
        <v>2.6414255007442159E-2</v>
      </c>
      <c r="E117" t="s">
        <v>62</v>
      </c>
      <c r="G117" t="s">
        <v>142</v>
      </c>
      <c r="H117" t="s">
        <v>108</v>
      </c>
      <c r="I117">
        <v>1.2426078980227196E-2</v>
      </c>
      <c r="J117" t="s">
        <v>62</v>
      </c>
      <c r="L117" t="s">
        <v>162</v>
      </c>
      <c r="M117" t="s">
        <v>108</v>
      </c>
      <c r="N117">
        <v>1.3539819463544744E-2</v>
      </c>
      <c r="O117" t="s">
        <v>62</v>
      </c>
    </row>
    <row r="118" spans="2:15" x14ac:dyDescent="0.25">
      <c r="B118" t="s">
        <v>122</v>
      </c>
      <c r="C118" t="s">
        <v>109</v>
      </c>
      <c r="D118">
        <v>8.3314161561162513E-3</v>
      </c>
      <c r="E118" t="s">
        <v>62</v>
      </c>
      <c r="G118" t="s">
        <v>142</v>
      </c>
      <c r="H118" t="s">
        <v>109</v>
      </c>
      <c r="I118">
        <v>1.4514818050632665E-2</v>
      </c>
      <c r="J118" t="s">
        <v>62</v>
      </c>
      <c r="L118" t="s">
        <v>162</v>
      </c>
      <c r="M118" t="s">
        <v>109</v>
      </c>
      <c r="N118">
        <v>1.4341216586867928E-2</v>
      </c>
      <c r="O118" t="s">
        <v>62</v>
      </c>
    </row>
    <row r="119" spans="2:15" x14ac:dyDescent="0.25">
      <c r="B119" t="s">
        <v>122</v>
      </c>
      <c r="C119" t="s">
        <v>110</v>
      </c>
      <c r="D119">
        <v>6.1182494558961802E-7</v>
      </c>
      <c r="E119" t="s">
        <v>62</v>
      </c>
      <c r="G119" t="s">
        <v>142</v>
      </c>
      <c r="H119" t="s">
        <v>110</v>
      </c>
      <c r="I119">
        <v>1.6139869557536431E-2</v>
      </c>
      <c r="J119" t="s">
        <v>62</v>
      </c>
      <c r="L119" t="s">
        <v>162</v>
      </c>
      <c r="M119" t="s">
        <v>110</v>
      </c>
      <c r="N119">
        <v>1.4824222086399943E-2</v>
      </c>
      <c r="O119" t="s">
        <v>62</v>
      </c>
    </row>
    <row r="120" spans="2:15" x14ac:dyDescent="0.25">
      <c r="B120" t="s">
        <v>122</v>
      </c>
      <c r="C120" t="s">
        <v>111</v>
      </c>
      <c r="D120">
        <v>0</v>
      </c>
      <c r="E120" t="s">
        <v>62</v>
      </c>
      <c r="G120" t="s">
        <v>142</v>
      </c>
      <c r="H120" t="s">
        <v>111</v>
      </c>
      <c r="I120">
        <v>2.4341110479110036E-2</v>
      </c>
      <c r="J120" t="s">
        <v>62</v>
      </c>
      <c r="L120" t="s">
        <v>162</v>
      </c>
      <c r="M120" t="s">
        <v>111</v>
      </c>
      <c r="N120">
        <v>2.1619375770521788E-2</v>
      </c>
      <c r="O120" t="s">
        <v>62</v>
      </c>
    </row>
    <row r="121" spans="2:15" x14ac:dyDescent="0.25">
      <c r="B121" t="s">
        <v>122</v>
      </c>
      <c r="C121" t="s">
        <v>112</v>
      </c>
      <c r="D121">
        <v>0</v>
      </c>
      <c r="E121" t="s">
        <v>62</v>
      </c>
      <c r="G121" t="s">
        <v>142</v>
      </c>
      <c r="H121" t="s">
        <v>112</v>
      </c>
      <c r="I121">
        <v>5.4817974192511415E-2</v>
      </c>
      <c r="J121" t="s">
        <v>62</v>
      </c>
      <c r="L121" t="s">
        <v>162</v>
      </c>
      <c r="M121" t="s">
        <v>112</v>
      </c>
      <c r="N121">
        <v>4.9931147465114872E-2</v>
      </c>
      <c r="O121" t="s">
        <v>62</v>
      </c>
    </row>
    <row r="122" spans="2:15" x14ac:dyDescent="0.25">
      <c r="B122" t="s">
        <v>122</v>
      </c>
      <c r="C122" t="s">
        <v>113</v>
      </c>
      <c r="D122">
        <v>0</v>
      </c>
      <c r="E122" t="s">
        <v>62</v>
      </c>
      <c r="G122" t="s">
        <v>142</v>
      </c>
      <c r="H122" t="s">
        <v>113</v>
      </c>
      <c r="I122">
        <v>2.1550197382207138E-2</v>
      </c>
      <c r="J122" t="s">
        <v>62</v>
      </c>
      <c r="L122" t="s">
        <v>162</v>
      </c>
      <c r="M122" t="s">
        <v>113</v>
      </c>
      <c r="N122">
        <v>1.9821537222931621E-2</v>
      </c>
      <c r="O122" t="s">
        <v>62</v>
      </c>
    </row>
    <row r="123" spans="2:15" x14ac:dyDescent="0.25">
      <c r="B123" t="s">
        <v>122</v>
      </c>
      <c r="C123" t="s">
        <v>114</v>
      </c>
      <c r="D123">
        <v>8.7396065842962627E-4</v>
      </c>
      <c r="E123" t="s">
        <v>62</v>
      </c>
      <c r="G123" t="s">
        <v>142</v>
      </c>
      <c r="H123" t="s">
        <v>114</v>
      </c>
      <c r="I123">
        <v>2.1089584790837258E-2</v>
      </c>
      <c r="J123" t="s">
        <v>62</v>
      </c>
      <c r="L123" t="s">
        <v>162</v>
      </c>
      <c r="M123" t="s">
        <v>114</v>
      </c>
      <c r="N123">
        <v>2.039902641027477E-2</v>
      </c>
      <c r="O123" t="s">
        <v>62</v>
      </c>
    </row>
    <row r="124" spans="2:15" x14ac:dyDescent="0.25">
      <c r="B124" t="s">
        <v>122</v>
      </c>
      <c r="C124" t="s">
        <v>115</v>
      </c>
      <c r="D124">
        <v>1.0501467042112786E-2</v>
      </c>
      <c r="E124" t="s">
        <v>62</v>
      </c>
      <c r="G124" t="s">
        <v>142</v>
      </c>
      <c r="H124" t="s">
        <v>115</v>
      </c>
      <c r="I124">
        <v>1.9497388698762365E-2</v>
      </c>
      <c r="J124" t="s">
        <v>62</v>
      </c>
      <c r="L124" t="s">
        <v>162</v>
      </c>
      <c r="M124" t="s">
        <v>115</v>
      </c>
      <c r="N124">
        <v>2.0455724231739823E-2</v>
      </c>
      <c r="O124" t="s">
        <v>62</v>
      </c>
    </row>
    <row r="125" spans="2:15" x14ac:dyDescent="0.25">
      <c r="B125" t="s">
        <v>122</v>
      </c>
      <c r="C125" t="s">
        <v>116</v>
      </c>
      <c r="D125">
        <v>1.7166543245778362E-2</v>
      </c>
      <c r="E125" t="s">
        <v>62</v>
      </c>
      <c r="G125" t="s">
        <v>142</v>
      </c>
      <c r="H125" t="s">
        <v>116</v>
      </c>
      <c r="I125">
        <v>1.8033066746568703E-2</v>
      </c>
      <c r="J125" t="s">
        <v>62</v>
      </c>
      <c r="L125" t="s">
        <v>162</v>
      </c>
      <c r="M125" t="s">
        <v>116</v>
      </c>
      <c r="N125">
        <v>1.9525957044894474E-2</v>
      </c>
      <c r="O125" t="s">
        <v>62</v>
      </c>
    </row>
    <row r="126" spans="2:15" x14ac:dyDescent="0.25">
      <c r="B126" t="s">
        <v>122</v>
      </c>
      <c r="C126" t="s">
        <v>117</v>
      </c>
      <c r="D126">
        <v>1.9033786822984521E-2</v>
      </c>
      <c r="E126" t="s">
        <v>62</v>
      </c>
      <c r="G126" t="s">
        <v>142</v>
      </c>
      <c r="H126" t="s">
        <v>117</v>
      </c>
      <c r="I126">
        <v>1.9025769579572267E-2</v>
      </c>
      <c r="J126" t="s">
        <v>62</v>
      </c>
      <c r="L126" t="s">
        <v>162</v>
      </c>
      <c r="M126" t="s">
        <v>117</v>
      </c>
      <c r="N126">
        <v>1.9152486791681956E-2</v>
      </c>
      <c r="O126" t="s">
        <v>62</v>
      </c>
    </row>
    <row r="127" spans="2:15" x14ac:dyDescent="0.25">
      <c r="B127" t="s">
        <v>122</v>
      </c>
      <c r="C127" t="s">
        <v>118</v>
      </c>
      <c r="D127">
        <v>1.0068987523673112E-2</v>
      </c>
      <c r="E127" t="s">
        <v>62</v>
      </c>
      <c r="G127" t="s">
        <v>142</v>
      </c>
      <c r="H127" t="s">
        <v>118</v>
      </c>
      <c r="I127">
        <v>2.0700200774471086E-2</v>
      </c>
      <c r="J127" t="s">
        <v>62</v>
      </c>
      <c r="L127" t="s">
        <v>162</v>
      </c>
      <c r="M127" t="s">
        <v>118</v>
      </c>
      <c r="N127">
        <v>1.9324429504633246E-2</v>
      </c>
      <c r="O127" t="s">
        <v>62</v>
      </c>
    </row>
    <row r="128" spans="2:15" x14ac:dyDescent="0.25">
      <c r="B128" t="s">
        <v>122</v>
      </c>
      <c r="C128" t="s">
        <v>119</v>
      </c>
      <c r="D128">
        <v>0</v>
      </c>
      <c r="E128" t="s">
        <v>62</v>
      </c>
      <c r="G128" t="s">
        <v>142</v>
      </c>
      <c r="H128" t="s">
        <v>119</v>
      </c>
      <c r="I128">
        <v>2.2711465628745358E-2</v>
      </c>
      <c r="J128" t="s">
        <v>62</v>
      </c>
      <c r="L128" t="s">
        <v>162</v>
      </c>
      <c r="M128" t="s">
        <v>119</v>
      </c>
      <c r="N128">
        <v>1.9815425382364301E-2</v>
      </c>
      <c r="O128" t="s">
        <v>62</v>
      </c>
    </row>
    <row r="129" spans="2:15" x14ac:dyDescent="0.25">
      <c r="B129" t="s">
        <v>122</v>
      </c>
      <c r="C129" t="s">
        <v>120</v>
      </c>
      <c r="D129">
        <v>0</v>
      </c>
      <c r="E129" t="s">
        <v>62</v>
      </c>
      <c r="G129" t="s">
        <v>142</v>
      </c>
      <c r="H129" t="s">
        <v>120</v>
      </c>
      <c r="I129">
        <v>2.3115799780579115E-2</v>
      </c>
      <c r="J129" t="s">
        <v>62</v>
      </c>
      <c r="L129" t="s">
        <v>162</v>
      </c>
      <c r="M129" t="s">
        <v>120</v>
      </c>
      <c r="N129">
        <v>1.9792741620651148E-2</v>
      </c>
      <c r="O129" t="s">
        <v>62</v>
      </c>
    </row>
    <row r="130" spans="2:15" x14ac:dyDescent="0.25">
      <c r="B130" t="s">
        <v>122</v>
      </c>
      <c r="C130" t="s">
        <v>121</v>
      </c>
      <c r="D130">
        <v>0</v>
      </c>
      <c r="E130" t="s">
        <v>62</v>
      </c>
      <c r="G130" t="s">
        <v>142</v>
      </c>
      <c r="H130" t="s">
        <v>121</v>
      </c>
      <c r="I130">
        <v>3.4556535595373458E-2</v>
      </c>
      <c r="J130" t="s">
        <v>62</v>
      </c>
      <c r="L130" t="s">
        <v>162</v>
      </c>
      <c r="M130" t="s">
        <v>121</v>
      </c>
      <c r="N130">
        <v>3.0036078733034252E-2</v>
      </c>
      <c r="O130" t="s">
        <v>62</v>
      </c>
    </row>
    <row r="131" spans="2:15" x14ac:dyDescent="0.25">
      <c r="B131" t="s">
        <v>123</v>
      </c>
      <c r="C131" t="s">
        <v>61</v>
      </c>
      <c r="D131">
        <v>0</v>
      </c>
      <c r="E131" t="s">
        <v>62</v>
      </c>
      <c r="G131" t="s">
        <v>143</v>
      </c>
      <c r="H131" t="s">
        <v>61</v>
      </c>
      <c r="I131">
        <v>4.0070614044528947E-2</v>
      </c>
      <c r="J131" t="s">
        <v>62</v>
      </c>
      <c r="L131" t="s">
        <v>163</v>
      </c>
      <c r="M131" t="s">
        <v>61</v>
      </c>
      <c r="N131">
        <v>3.5797293008201288E-2</v>
      </c>
      <c r="O131" t="s">
        <v>62</v>
      </c>
    </row>
    <row r="132" spans="2:15" x14ac:dyDescent="0.25">
      <c r="B132" t="s">
        <v>123</v>
      </c>
      <c r="C132" t="s">
        <v>63</v>
      </c>
      <c r="D132">
        <v>0</v>
      </c>
      <c r="E132" t="s">
        <v>62</v>
      </c>
      <c r="G132" t="s">
        <v>143</v>
      </c>
      <c r="H132" t="s">
        <v>63</v>
      </c>
      <c r="I132">
        <v>1.6358130463664661E-2</v>
      </c>
      <c r="J132" t="s">
        <v>62</v>
      </c>
      <c r="L132" t="s">
        <v>163</v>
      </c>
      <c r="M132" t="s">
        <v>63</v>
      </c>
      <c r="N132">
        <v>1.4092034850103723E-2</v>
      </c>
      <c r="O132" t="s">
        <v>62</v>
      </c>
    </row>
    <row r="133" spans="2:15" x14ac:dyDescent="0.25">
      <c r="B133" t="s">
        <v>123</v>
      </c>
      <c r="C133" t="s">
        <v>64</v>
      </c>
      <c r="D133">
        <v>5.0066600413036866E-4</v>
      </c>
      <c r="E133" t="s">
        <v>62</v>
      </c>
      <c r="G133" t="s">
        <v>143</v>
      </c>
      <c r="H133" t="s">
        <v>64</v>
      </c>
      <c r="I133">
        <v>1.6569209812280099E-2</v>
      </c>
      <c r="J133" t="s">
        <v>62</v>
      </c>
      <c r="L133" t="s">
        <v>163</v>
      </c>
      <c r="M133" t="s">
        <v>64</v>
      </c>
      <c r="N133">
        <v>1.4162597779419401E-2</v>
      </c>
      <c r="O133" t="s">
        <v>62</v>
      </c>
    </row>
    <row r="134" spans="2:15" x14ac:dyDescent="0.25">
      <c r="B134" t="s">
        <v>123</v>
      </c>
      <c r="C134" t="s">
        <v>65</v>
      </c>
      <c r="D134">
        <v>8.6786648046937587E-3</v>
      </c>
      <c r="E134" t="s">
        <v>62</v>
      </c>
      <c r="G134" t="s">
        <v>143</v>
      </c>
      <c r="H134" t="s">
        <v>65</v>
      </c>
      <c r="I134">
        <v>1.6331396752307575E-2</v>
      </c>
      <c r="J134" t="s">
        <v>62</v>
      </c>
      <c r="L134" t="s">
        <v>163</v>
      </c>
      <c r="M134" t="s">
        <v>65</v>
      </c>
      <c r="N134">
        <v>1.4354740628684338E-2</v>
      </c>
      <c r="O134" t="s">
        <v>62</v>
      </c>
    </row>
    <row r="135" spans="2:15" x14ac:dyDescent="0.25">
      <c r="B135" t="s">
        <v>123</v>
      </c>
      <c r="C135" t="s">
        <v>66</v>
      </c>
      <c r="D135">
        <v>1.7274873923343193E-2</v>
      </c>
      <c r="E135" t="s">
        <v>62</v>
      </c>
      <c r="G135" t="s">
        <v>143</v>
      </c>
      <c r="H135" t="s">
        <v>66</v>
      </c>
      <c r="I135">
        <v>1.4833050522407073E-2</v>
      </c>
      <c r="J135" t="s">
        <v>62</v>
      </c>
      <c r="L135" t="s">
        <v>163</v>
      </c>
      <c r="M135" t="s">
        <v>66</v>
      </c>
      <c r="N135">
        <v>1.3699107189803612E-2</v>
      </c>
      <c r="O135" t="s">
        <v>62</v>
      </c>
    </row>
    <row r="136" spans="2:15" x14ac:dyDescent="0.25">
      <c r="B136" t="s">
        <v>123</v>
      </c>
      <c r="C136" t="s">
        <v>67</v>
      </c>
      <c r="D136">
        <v>1.7125008066296139E-2</v>
      </c>
      <c r="E136" t="s">
        <v>62</v>
      </c>
      <c r="G136" t="s">
        <v>143</v>
      </c>
      <c r="H136" t="s">
        <v>67</v>
      </c>
      <c r="I136">
        <v>1.4355819162608896E-2</v>
      </c>
      <c r="J136" t="s">
        <v>62</v>
      </c>
      <c r="L136" t="s">
        <v>163</v>
      </c>
      <c r="M136" t="s">
        <v>67</v>
      </c>
      <c r="N136">
        <v>1.361507658161731E-2</v>
      </c>
      <c r="O136" t="s">
        <v>62</v>
      </c>
    </row>
    <row r="137" spans="2:15" x14ac:dyDescent="0.25">
      <c r="B137" t="s">
        <v>123</v>
      </c>
      <c r="C137" t="s">
        <v>68</v>
      </c>
      <c r="D137">
        <v>9.5623342545167987E-3</v>
      </c>
      <c r="E137" t="s">
        <v>62</v>
      </c>
      <c r="G137" t="s">
        <v>143</v>
      </c>
      <c r="H137" t="s">
        <v>68</v>
      </c>
      <c r="I137">
        <v>1.4939161856782459E-2</v>
      </c>
      <c r="J137" t="s">
        <v>62</v>
      </c>
      <c r="L137" t="s">
        <v>163</v>
      </c>
      <c r="M137" t="s">
        <v>68</v>
      </c>
      <c r="N137">
        <v>1.4255508975371398E-2</v>
      </c>
      <c r="O137" t="s">
        <v>62</v>
      </c>
    </row>
    <row r="138" spans="2:15" x14ac:dyDescent="0.25">
      <c r="B138" t="s">
        <v>123</v>
      </c>
      <c r="C138" t="s">
        <v>69</v>
      </c>
      <c r="D138">
        <v>1.036392760669398E-3</v>
      </c>
      <c r="E138" t="s">
        <v>62</v>
      </c>
      <c r="G138" t="s">
        <v>143</v>
      </c>
      <c r="H138" t="s">
        <v>69</v>
      </c>
      <c r="I138">
        <v>1.6488672123361477E-2</v>
      </c>
      <c r="J138" t="s">
        <v>62</v>
      </c>
      <c r="L138" t="s">
        <v>163</v>
      </c>
      <c r="M138" t="s">
        <v>69</v>
      </c>
      <c r="N138">
        <v>1.5402700389895335E-2</v>
      </c>
      <c r="O138" t="s">
        <v>62</v>
      </c>
    </row>
    <row r="139" spans="2:15" x14ac:dyDescent="0.25">
      <c r="B139" t="s">
        <v>123</v>
      </c>
      <c r="C139" t="s">
        <v>70</v>
      </c>
      <c r="D139">
        <v>0</v>
      </c>
      <c r="E139" t="s">
        <v>62</v>
      </c>
      <c r="G139" t="s">
        <v>143</v>
      </c>
      <c r="H139" t="s">
        <v>70</v>
      </c>
      <c r="I139">
        <v>1.7016633464708979E-2</v>
      </c>
      <c r="J139" t="s">
        <v>62</v>
      </c>
      <c r="L139" t="s">
        <v>163</v>
      </c>
      <c r="M139" t="s">
        <v>70</v>
      </c>
      <c r="N139">
        <v>1.5733163115058103E-2</v>
      </c>
      <c r="O139" t="s">
        <v>62</v>
      </c>
    </row>
    <row r="140" spans="2:15" x14ac:dyDescent="0.25">
      <c r="B140" t="s">
        <v>123</v>
      </c>
      <c r="C140" t="s">
        <v>71</v>
      </c>
      <c r="D140">
        <v>0</v>
      </c>
      <c r="E140" t="s">
        <v>62</v>
      </c>
      <c r="G140" t="s">
        <v>143</v>
      </c>
      <c r="H140" t="s">
        <v>71</v>
      </c>
      <c r="I140">
        <v>2.4862261938991503E-2</v>
      </c>
      <c r="J140" t="s">
        <v>62</v>
      </c>
      <c r="L140" t="s">
        <v>163</v>
      </c>
      <c r="M140" t="s">
        <v>71</v>
      </c>
      <c r="N140">
        <v>2.2943988408691194E-2</v>
      </c>
      <c r="O140" t="s">
        <v>62</v>
      </c>
    </row>
    <row r="141" spans="2:15" x14ac:dyDescent="0.25">
      <c r="B141" t="s">
        <v>123</v>
      </c>
      <c r="C141" t="s">
        <v>72</v>
      </c>
      <c r="D141">
        <v>0</v>
      </c>
      <c r="E141" t="s">
        <v>62</v>
      </c>
      <c r="G141" t="s">
        <v>143</v>
      </c>
      <c r="H141" t="s">
        <v>72</v>
      </c>
      <c r="I141">
        <v>4.260332236018266E-2</v>
      </c>
      <c r="J141" t="s">
        <v>62</v>
      </c>
      <c r="L141" t="s">
        <v>163</v>
      </c>
      <c r="M141" t="s">
        <v>72</v>
      </c>
      <c r="N141">
        <v>4.0585710908925245E-2</v>
      </c>
      <c r="O141" t="s">
        <v>62</v>
      </c>
    </row>
    <row r="142" spans="2:15" x14ac:dyDescent="0.25">
      <c r="B142" t="s">
        <v>123</v>
      </c>
      <c r="C142" t="s">
        <v>73</v>
      </c>
      <c r="D142">
        <v>2.619694249449528E-3</v>
      </c>
      <c r="E142" t="s">
        <v>62</v>
      </c>
      <c r="G142" t="s">
        <v>143</v>
      </c>
      <c r="H142" t="s">
        <v>73</v>
      </c>
      <c r="I142">
        <v>1.7231813254667157E-2</v>
      </c>
      <c r="J142" t="s">
        <v>62</v>
      </c>
      <c r="L142" t="s">
        <v>163</v>
      </c>
      <c r="M142" t="s">
        <v>73</v>
      </c>
      <c r="N142">
        <v>1.6145482379964993E-2</v>
      </c>
      <c r="O142" t="s">
        <v>62</v>
      </c>
    </row>
    <row r="143" spans="2:15" x14ac:dyDescent="0.25">
      <c r="B143" t="s">
        <v>123</v>
      </c>
      <c r="C143" t="s">
        <v>74</v>
      </c>
      <c r="D143">
        <v>2.0577845320444023E-2</v>
      </c>
      <c r="E143" t="s">
        <v>62</v>
      </c>
      <c r="G143" t="s">
        <v>143</v>
      </c>
      <c r="H143" t="s">
        <v>74</v>
      </c>
      <c r="I143">
        <v>1.5563622940999786E-2</v>
      </c>
      <c r="J143" t="s">
        <v>62</v>
      </c>
      <c r="L143" t="s">
        <v>163</v>
      </c>
      <c r="M143" t="s">
        <v>74</v>
      </c>
      <c r="N143">
        <v>1.5490476889819828E-2</v>
      </c>
      <c r="O143" t="s">
        <v>62</v>
      </c>
    </row>
    <row r="144" spans="2:15" x14ac:dyDescent="0.25">
      <c r="B144" t="s">
        <v>123</v>
      </c>
      <c r="C144" t="s">
        <v>75</v>
      </c>
      <c r="D144">
        <v>3.8503627541371037E-2</v>
      </c>
      <c r="E144" t="s">
        <v>62</v>
      </c>
      <c r="G144" t="s">
        <v>143</v>
      </c>
      <c r="H144" t="s">
        <v>75</v>
      </c>
      <c r="I144">
        <v>1.5229203116963934E-2</v>
      </c>
      <c r="J144" t="s">
        <v>62</v>
      </c>
      <c r="L144" t="s">
        <v>163</v>
      </c>
      <c r="M144" t="s">
        <v>75</v>
      </c>
      <c r="N144">
        <v>1.466698571692519E-2</v>
      </c>
      <c r="O144" t="s">
        <v>62</v>
      </c>
    </row>
    <row r="145" spans="2:15" x14ac:dyDescent="0.25">
      <c r="B145" t="s">
        <v>123</v>
      </c>
      <c r="C145" t="s">
        <v>76</v>
      </c>
      <c r="D145">
        <v>4.4050664410448886E-2</v>
      </c>
      <c r="E145" t="s">
        <v>62</v>
      </c>
      <c r="G145" t="s">
        <v>143</v>
      </c>
      <c r="H145" t="s">
        <v>76</v>
      </c>
      <c r="I145">
        <v>1.4412774845397139E-2</v>
      </c>
      <c r="J145" t="s">
        <v>62</v>
      </c>
      <c r="L145" t="s">
        <v>163</v>
      </c>
      <c r="M145" t="s">
        <v>76</v>
      </c>
      <c r="N145">
        <v>1.2521927330185374E-2</v>
      </c>
      <c r="O145" t="s">
        <v>62</v>
      </c>
    </row>
    <row r="146" spans="2:15" x14ac:dyDescent="0.25">
      <c r="B146" t="s">
        <v>123</v>
      </c>
      <c r="C146" t="s">
        <v>77</v>
      </c>
      <c r="D146">
        <v>4.0981170966713672E-2</v>
      </c>
      <c r="E146" t="s">
        <v>62</v>
      </c>
      <c r="G146" t="s">
        <v>143</v>
      </c>
      <c r="H146" t="s">
        <v>77</v>
      </c>
      <c r="I146">
        <v>1.6354338972627169E-2</v>
      </c>
      <c r="J146" t="s">
        <v>62</v>
      </c>
      <c r="L146" t="s">
        <v>163</v>
      </c>
      <c r="M146" t="s">
        <v>77</v>
      </c>
      <c r="N146">
        <v>1.2920552757261129E-2</v>
      </c>
      <c r="O146" t="s">
        <v>62</v>
      </c>
    </row>
    <row r="147" spans="2:15" x14ac:dyDescent="0.25">
      <c r="B147" t="s">
        <v>123</v>
      </c>
      <c r="C147" t="s">
        <v>78</v>
      </c>
      <c r="D147">
        <v>3.3451571680364639E-2</v>
      </c>
      <c r="E147" t="s">
        <v>62</v>
      </c>
      <c r="G147" t="s">
        <v>143</v>
      </c>
      <c r="H147" t="s">
        <v>78</v>
      </c>
      <c r="I147">
        <v>1.5708434951062691E-2</v>
      </c>
      <c r="J147" t="s">
        <v>62</v>
      </c>
      <c r="L147" t="s">
        <v>163</v>
      </c>
      <c r="M147" t="s">
        <v>78</v>
      </c>
      <c r="N147">
        <v>1.4349444466547999E-2</v>
      </c>
      <c r="O147" t="s">
        <v>62</v>
      </c>
    </row>
    <row r="148" spans="2:15" x14ac:dyDescent="0.25">
      <c r="B148" t="s">
        <v>123</v>
      </c>
      <c r="C148" t="s">
        <v>79</v>
      </c>
      <c r="D148">
        <v>1.840826537215122E-2</v>
      </c>
      <c r="E148" t="s">
        <v>62</v>
      </c>
      <c r="G148" t="s">
        <v>143</v>
      </c>
      <c r="H148" t="s">
        <v>79</v>
      </c>
      <c r="I148">
        <v>1.583441624076086E-2</v>
      </c>
      <c r="J148" t="s">
        <v>62</v>
      </c>
      <c r="L148" t="s">
        <v>163</v>
      </c>
      <c r="M148" t="s">
        <v>79</v>
      </c>
      <c r="N148">
        <v>1.5655606470734454E-2</v>
      </c>
      <c r="O148" t="s">
        <v>62</v>
      </c>
    </row>
    <row r="149" spans="2:15" x14ac:dyDescent="0.25">
      <c r="B149" t="s">
        <v>123</v>
      </c>
      <c r="C149" t="s">
        <v>80</v>
      </c>
      <c r="D149">
        <v>1.8058240659310366E-3</v>
      </c>
      <c r="E149" t="s">
        <v>62</v>
      </c>
      <c r="G149" t="s">
        <v>143</v>
      </c>
      <c r="H149" t="s">
        <v>80</v>
      </c>
      <c r="I149">
        <v>1.7723381762835701E-2</v>
      </c>
      <c r="J149" t="s">
        <v>62</v>
      </c>
      <c r="L149" t="s">
        <v>163</v>
      </c>
      <c r="M149" t="s">
        <v>80</v>
      </c>
      <c r="N149">
        <v>1.6524770184297301E-2</v>
      </c>
      <c r="O149" t="s">
        <v>62</v>
      </c>
    </row>
    <row r="150" spans="2:15" x14ac:dyDescent="0.25">
      <c r="B150" t="s">
        <v>123</v>
      </c>
      <c r="C150" t="s">
        <v>81</v>
      </c>
      <c r="D150">
        <v>0</v>
      </c>
      <c r="E150" t="s">
        <v>62</v>
      </c>
      <c r="G150" t="s">
        <v>143</v>
      </c>
      <c r="H150" t="s">
        <v>81</v>
      </c>
      <c r="I150">
        <v>2.6479134567666714E-2</v>
      </c>
      <c r="J150" t="s">
        <v>62</v>
      </c>
      <c r="L150" t="s">
        <v>163</v>
      </c>
      <c r="M150" t="s">
        <v>81</v>
      </c>
      <c r="N150">
        <v>2.4867099842759414E-2</v>
      </c>
      <c r="O150" t="s">
        <v>62</v>
      </c>
    </row>
    <row r="151" spans="2:15" x14ac:dyDescent="0.25">
      <c r="B151" t="s">
        <v>123</v>
      </c>
      <c r="C151" t="s">
        <v>82</v>
      </c>
      <c r="D151">
        <v>0</v>
      </c>
      <c r="E151" t="s">
        <v>62</v>
      </c>
      <c r="G151" t="s">
        <v>143</v>
      </c>
      <c r="H151" t="s">
        <v>82</v>
      </c>
      <c r="I151">
        <v>2.6194153248664878E-2</v>
      </c>
      <c r="J151" t="s">
        <v>62</v>
      </c>
      <c r="L151" t="s">
        <v>163</v>
      </c>
      <c r="M151" t="s">
        <v>82</v>
      </c>
      <c r="N151">
        <v>2.579912186323597E-2</v>
      </c>
      <c r="O151" t="s">
        <v>62</v>
      </c>
    </row>
    <row r="152" spans="2:15" x14ac:dyDescent="0.25">
      <c r="B152" t="s">
        <v>123</v>
      </c>
      <c r="C152" t="s">
        <v>83</v>
      </c>
      <c r="D152">
        <v>1.2203071171428105E-2</v>
      </c>
      <c r="E152" t="s">
        <v>62</v>
      </c>
      <c r="G152" t="s">
        <v>143</v>
      </c>
      <c r="H152" t="s">
        <v>83</v>
      </c>
      <c r="I152">
        <v>8.7875189253248109E-3</v>
      </c>
      <c r="J152" t="s">
        <v>62</v>
      </c>
      <c r="L152" t="s">
        <v>163</v>
      </c>
      <c r="M152" t="s">
        <v>83</v>
      </c>
      <c r="N152">
        <v>1.0374220854665894E-2</v>
      </c>
      <c r="O152" t="s">
        <v>62</v>
      </c>
    </row>
    <row r="153" spans="2:15" x14ac:dyDescent="0.25">
      <c r="B153" t="s">
        <v>123</v>
      </c>
      <c r="C153" t="s">
        <v>84</v>
      </c>
      <c r="D153">
        <v>3.1766478536406649E-2</v>
      </c>
      <c r="E153" t="s">
        <v>62</v>
      </c>
      <c r="G153" t="s">
        <v>143</v>
      </c>
      <c r="H153" t="s">
        <v>84</v>
      </c>
      <c r="I153">
        <v>6.6649294487435883E-3</v>
      </c>
      <c r="J153" t="s">
        <v>62</v>
      </c>
      <c r="L153" t="s">
        <v>163</v>
      </c>
      <c r="M153" t="s">
        <v>84</v>
      </c>
      <c r="N153">
        <v>9.3434287016631659E-3</v>
      </c>
      <c r="O153" t="s">
        <v>62</v>
      </c>
    </row>
    <row r="154" spans="2:15" x14ac:dyDescent="0.25">
      <c r="B154" t="s">
        <v>123</v>
      </c>
      <c r="C154" t="s">
        <v>85</v>
      </c>
      <c r="D154">
        <v>4.2989875583935598E-2</v>
      </c>
      <c r="E154" t="s">
        <v>62</v>
      </c>
      <c r="G154" t="s">
        <v>143</v>
      </c>
      <c r="H154" t="s">
        <v>85</v>
      </c>
      <c r="I154">
        <v>7.0792886183889186E-3</v>
      </c>
      <c r="J154" t="s">
        <v>62</v>
      </c>
      <c r="L154" t="s">
        <v>163</v>
      </c>
      <c r="M154" t="s">
        <v>85</v>
      </c>
      <c r="N154">
        <v>8.7176733727472554E-3</v>
      </c>
      <c r="O154" t="s">
        <v>62</v>
      </c>
    </row>
    <row r="155" spans="2:15" x14ac:dyDescent="0.25">
      <c r="B155" t="s">
        <v>123</v>
      </c>
      <c r="C155" t="s">
        <v>86</v>
      </c>
      <c r="D155">
        <v>4.5778872265709203E-2</v>
      </c>
      <c r="E155" t="s">
        <v>62</v>
      </c>
      <c r="G155" t="s">
        <v>143</v>
      </c>
      <c r="H155" t="s">
        <v>86</v>
      </c>
      <c r="I155">
        <v>6.2149007026526511E-3</v>
      </c>
      <c r="J155" t="s">
        <v>62</v>
      </c>
      <c r="L155" t="s">
        <v>163</v>
      </c>
      <c r="M155" t="s">
        <v>86</v>
      </c>
      <c r="N155">
        <v>7.3561483818162876E-3</v>
      </c>
      <c r="O155" t="s">
        <v>62</v>
      </c>
    </row>
    <row r="156" spans="2:15" x14ac:dyDescent="0.25">
      <c r="B156" t="s">
        <v>123</v>
      </c>
      <c r="C156" t="s">
        <v>87</v>
      </c>
      <c r="D156">
        <v>4.3625096734583049E-2</v>
      </c>
      <c r="E156" t="s">
        <v>62</v>
      </c>
      <c r="G156" t="s">
        <v>143</v>
      </c>
      <c r="H156" t="s">
        <v>87</v>
      </c>
      <c r="I156">
        <v>7.4444379909524277E-3</v>
      </c>
      <c r="J156" t="s">
        <v>62</v>
      </c>
      <c r="L156" t="s">
        <v>163</v>
      </c>
      <c r="M156" t="s">
        <v>87</v>
      </c>
      <c r="N156">
        <v>7.9259961436181862E-3</v>
      </c>
      <c r="O156" t="s">
        <v>62</v>
      </c>
    </row>
    <row r="157" spans="2:15" x14ac:dyDescent="0.25">
      <c r="B157" t="s">
        <v>123</v>
      </c>
      <c r="C157" t="s">
        <v>88</v>
      </c>
      <c r="D157">
        <v>3.6489942130421386E-2</v>
      </c>
      <c r="E157" t="s">
        <v>62</v>
      </c>
      <c r="G157" t="s">
        <v>143</v>
      </c>
      <c r="H157" t="s">
        <v>88</v>
      </c>
      <c r="I157">
        <v>7.9535570885571113E-3</v>
      </c>
      <c r="J157" t="s">
        <v>62</v>
      </c>
      <c r="L157" t="s">
        <v>163</v>
      </c>
      <c r="M157" t="s">
        <v>88</v>
      </c>
      <c r="N157">
        <v>8.3997981498726282E-3</v>
      </c>
      <c r="O157" t="s">
        <v>62</v>
      </c>
    </row>
    <row r="158" spans="2:15" x14ac:dyDescent="0.25">
      <c r="B158" t="s">
        <v>123</v>
      </c>
      <c r="C158" t="s">
        <v>89</v>
      </c>
      <c r="D158">
        <v>2.388921548776126E-2</v>
      </c>
      <c r="E158" t="s">
        <v>62</v>
      </c>
      <c r="G158" t="s">
        <v>143</v>
      </c>
      <c r="H158" t="s">
        <v>89</v>
      </c>
      <c r="I158">
        <v>7.2005053815222125E-3</v>
      </c>
      <c r="J158" t="s">
        <v>62</v>
      </c>
      <c r="L158" t="s">
        <v>163</v>
      </c>
      <c r="M158" t="s">
        <v>89</v>
      </c>
      <c r="N158">
        <v>8.8215357121152558E-3</v>
      </c>
      <c r="O158" t="s">
        <v>62</v>
      </c>
    </row>
    <row r="159" spans="2:15" x14ac:dyDescent="0.25">
      <c r="B159" t="s">
        <v>123</v>
      </c>
      <c r="C159" t="s">
        <v>90</v>
      </c>
      <c r="D159">
        <v>7.8875337166405841E-3</v>
      </c>
      <c r="E159" t="s">
        <v>62</v>
      </c>
      <c r="G159" t="s">
        <v>143</v>
      </c>
      <c r="H159" t="s">
        <v>90</v>
      </c>
      <c r="I159">
        <v>8.6669916195734036E-3</v>
      </c>
      <c r="J159" t="s">
        <v>62</v>
      </c>
      <c r="L159" t="s">
        <v>163</v>
      </c>
      <c r="M159" t="s">
        <v>90</v>
      </c>
      <c r="N159">
        <v>9.2960877957155158E-3</v>
      </c>
      <c r="O159" t="s">
        <v>62</v>
      </c>
    </row>
    <row r="160" spans="2:15" x14ac:dyDescent="0.25">
      <c r="B160" t="s">
        <v>123</v>
      </c>
      <c r="C160" t="s">
        <v>91</v>
      </c>
      <c r="D160">
        <v>0</v>
      </c>
      <c r="E160" t="s">
        <v>62</v>
      </c>
      <c r="G160" t="s">
        <v>143</v>
      </c>
      <c r="H160" t="s">
        <v>91</v>
      </c>
      <c r="I160">
        <v>1.6031714779306632E-2</v>
      </c>
      <c r="J160" t="s">
        <v>62</v>
      </c>
      <c r="L160" t="s">
        <v>163</v>
      </c>
      <c r="M160" t="s">
        <v>91</v>
      </c>
      <c r="N160">
        <v>1.5082031144940831E-2</v>
      </c>
      <c r="O160" t="s">
        <v>62</v>
      </c>
    </row>
    <row r="161" spans="2:15" x14ac:dyDescent="0.25">
      <c r="B161" t="s">
        <v>123</v>
      </c>
      <c r="C161" t="s">
        <v>92</v>
      </c>
      <c r="D161">
        <v>0</v>
      </c>
      <c r="E161" t="s">
        <v>62</v>
      </c>
      <c r="G161" t="s">
        <v>143</v>
      </c>
      <c r="H161" t="s">
        <v>92</v>
      </c>
      <c r="I161">
        <v>2.2192776098406343E-2</v>
      </c>
      <c r="J161" t="s">
        <v>62</v>
      </c>
      <c r="L161" t="s">
        <v>163</v>
      </c>
      <c r="M161" t="s">
        <v>92</v>
      </c>
      <c r="N161">
        <v>2.2942082212990836E-2</v>
      </c>
      <c r="O161" t="s">
        <v>62</v>
      </c>
    </row>
    <row r="162" spans="2:15" x14ac:dyDescent="0.25">
      <c r="B162" t="s">
        <v>123</v>
      </c>
      <c r="C162" t="s">
        <v>93</v>
      </c>
      <c r="D162">
        <v>1.2293254933281548E-2</v>
      </c>
      <c r="E162" t="s">
        <v>62</v>
      </c>
      <c r="G162" t="s">
        <v>143</v>
      </c>
      <c r="H162" t="s">
        <v>93</v>
      </c>
      <c r="I162">
        <v>6.8023395969014112E-3</v>
      </c>
      <c r="J162" t="s">
        <v>62</v>
      </c>
      <c r="L162" t="s">
        <v>163</v>
      </c>
      <c r="M162" t="s">
        <v>93</v>
      </c>
      <c r="N162">
        <v>8.6601549018753624E-3</v>
      </c>
      <c r="O162" t="s">
        <v>62</v>
      </c>
    </row>
    <row r="163" spans="2:15" x14ac:dyDescent="0.25">
      <c r="B163" t="s">
        <v>123</v>
      </c>
      <c r="C163" t="s">
        <v>94</v>
      </c>
      <c r="D163">
        <v>3.9272232649740481E-2</v>
      </c>
      <c r="E163" t="s">
        <v>62</v>
      </c>
      <c r="G163" t="s">
        <v>143</v>
      </c>
      <c r="H163" t="s">
        <v>94</v>
      </c>
      <c r="I163">
        <v>5.5618748273310661E-3</v>
      </c>
      <c r="J163" t="s">
        <v>62</v>
      </c>
      <c r="L163" t="s">
        <v>163</v>
      </c>
      <c r="M163" t="s">
        <v>94</v>
      </c>
      <c r="N163">
        <v>8.7633841020914021E-3</v>
      </c>
      <c r="O163" t="s">
        <v>62</v>
      </c>
    </row>
    <row r="164" spans="2:15" x14ac:dyDescent="0.25">
      <c r="B164" t="s">
        <v>123</v>
      </c>
      <c r="C164" t="s">
        <v>95</v>
      </c>
      <c r="D164">
        <v>5.3963558117560144E-2</v>
      </c>
      <c r="E164" t="s">
        <v>62</v>
      </c>
      <c r="G164" t="s">
        <v>143</v>
      </c>
      <c r="H164" t="s">
        <v>95</v>
      </c>
      <c r="I164">
        <v>6.782375601178608E-3</v>
      </c>
      <c r="J164" t="s">
        <v>62</v>
      </c>
      <c r="L164" t="s">
        <v>163</v>
      </c>
      <c r="M164" t="s">
        <v>95</v>
      </c>
      <c r="N164">
        <v>8.9494747462236304E-3</v>
      </c>
      <c r="O164" t="s">
        <v>62</v>
      </c>
    </row>
    <row r="165" spans="2:15" x14ac:dyDescent="0.25">
      <c r="B165" t="s">
        <v>123</v>
      </c>
      <c r="C165" t="s">
        <v>96</v>
      </c>
      <c r="D165">
        <v>5.4116674238711485E-2</v>
      </c>
      <c r="E165" t="s">
        <v>62</v>
      </c>
      <c r="G165" t="s">
        <v>143</v>
      </c>
      <c r="H165" t="s">
        <v>96</v>
      </c>
      <c r="I165">
        <v>6.3688883057670493E-3</v>
      </c>
      <c r="J165" t="s">
        <v>62</v>
      </c>
      <c r="L165" t="s">
        <v>163</v>
      </c>
      <c r="M165" t="s">
        <v>96</v>
      </c>
      <c r="N165">
        <v>8.3311689780590503E-3</v>
      </c>
      <c r="O165" t="s">
        <v>62</v>
      </c>
    </row>
    <row r="166" spans="2:15" x14ac:dyDescent="0.25">
      <c r="B166" t="s">
        <v>123</v>
      </c>
      <c r="C166" t="s">
        <v>97</v>
      </c>
      <c r="D166">
        <v>5.1268596603812056E-2</v>
      </c>
      <c r="E166" t="s">
        <v>62</v>
      </c>
      <c r="G166" t="s">
        <v>143</v>
      </c>
      <c r="H166" t="s">
        <v>97</v>
      </c>
      <c r="I166">
        <v>8.0667069781212714E-3</v>
      </c>
      <c r="J166" t="s">
        <v>62</v>
      </c>
      <c r="L166" t="s">
        <v>163</v>
      </c>
      <c r="M166" t="s">
        <v>97</v>
      </c>
      <c r="N166">
        <v>9.5671379844354896E-3</v>
      </c>
      <c r="O166" t="s">
        <v>62</v>
      </c>
    </row>
    <row r="167" spans="2:15" x14ac:dyDescent="0.25">
      <c r="B167" t="s">
        <v>123</v>
      </c>
      <c r="C167" t="s">
        <v>98</v>
      </c>
      <c r="D167">
        <v>4.631492832022345E-2</v>
      </c>
      <c r="E167" t="s">
        <v>62</v>
      </c>
      <c r="G167" t="s">
        <v>143</v>
      </c>
      <c r="H167" t="s">
        <v>98</v>
      </c>
      <c r="I167">
        <v>8.7382888834355611E-3</v>
      </c>
      <c r="J167" t="s">
        <v>62</v>
      </c>
      <c r="L167" t="s">
        <v>163</v>
      </c>
      <c r="M167" t="s">
        <v>98</v>
      </c>
      <c r="N167">
        <v>1.0714329224566096E-2</v>
      </c>
      <c r="O167" t="s">
        <v>62</v>
      </c>
    </row>
    <row r="168" spans="2:15" x14ac:dyDescent="0.25">
      <c r="B168" t="s">
        <v>123</v>
      </c>
      <c r="C168" t="s">
        <v>99</v>
      </c>
      <c r="D168">
        <v>3.2396791233610917E-2</v>
      </c>
      <c r="E168" t="s">
        <v>62</v>
      </c>
      <c r="G168" t="s">
        <v>143</v>
      </c>
      <c r="H168" t="s">
        <v>99</v>
      </c>
      <c r="I168">
        <v>8.0514944948699031E-3</v>
      </c>
      <c r="J168" t="s">
        <v>62</v>
      </c>
      <c r="L168" t="s">
        <v>163</v>
      </c>
      <c r="M168" t="s">
        <v>99</v>
      </c>
      <c r="N168">
        <v>1.0517746918287503E-2</v>
      </c>
      <c r="O168" t="s">
        <v>62</v>
      </c>
    </row>
    <row r="169" spans="2:15" x14ac:dyDescent="0.25">
      <c r="B169" t="s">
        <v>123</v>
      </c>
      <c r="C169" t="s">
        <v>100</v>
      </c>
      <c r="D169">
        <v>1.049463018198118E-2</v>
      </c>
      <c r="E169" t="s">
        <v>62</v>
      </c>
      <c r="G169" t="s">
        <v>143</v>
      </c>
      <c r="H169" t="s">
        <v>100</v>
      </c>
      <c r="I169">
        <v>9.1145552636133342E-3</v>
      </c>
      <c r="J169" t="s">
        <v>62</v>
      </c>
      <c r="L169" t="s">
        <v>163</v>
      </c>
      <c r="M169" t="s">
        <v>100</v>
      </c>
      <c r="N169">
        <v>9.9960349865502261E-3</v>
      </c>
      <c r="O169" t="s">
        <v>62</v>
      </c>
    </row>
    <row r="170" spans="2:15" x14ac:dyDescent="0.25">
      <c r="B170" t="s">
        <v>123</v>
      </c>
      <c r="C170" t="s">
        <v>101</v>
      </c>
      <c r="D170">
        <v>0</v>
      </c>
      <c r="E170" t="s">
        <v>62</v>
      </c>
      <c r="G170" t="s">
        <v>143</v>
      </c>
      <c r="H170" t="s">
        <v>101</v>
      </c>
      <c r="I170">
        <v>1.5563234125425122E-2</v>
      </c>
      <c r="J170" t="s">
        <v>62</v>
      </c>
      <c r="L170" t="s">
        <v>163</v>
      </c>
      <c r="M170" t="s">
        <v>101</v>
      </c>
      <c r="N170">
        <v>1.4553073811343483E-2</v>
      </c>
      <c r="O170" t="s">
        <v>62</v>
      </c>
    </row>
    <row r="171" spans="2:15" x14ac:dyDescent="0.25">
      <c r="B171" t="s">
        <v>123</v>
      </c>
      <c r="C171" t="s">
        <v>102</v>
      </c>
      <c r="D171">
        <v>0</v>
      </c>
      <c r="E171" t="s">
        <v>62</v>
      </c>
      <c r="G171" t="s">
        <v>143</v>
      </c>
      <c r="H171" t="s">
        <v>102</v>
      </c>
      <c r="I171">
        <v>3.609339487454722E-2</v>
      </c>
      <c r="J171" t="s">
        <v>62</v>
      </c>
      <c r="L171" t="s">
        <v>163</v>
      </c>
      <c r="M171" t="s">
        <v>102</v>
      </c>
      <c r="N171">
        <v>3.2442914157444255E-2</v>
      </c>
      <c r="O171" t="s">
        <v>62</v>
      </c>
    </row>
    <row r="172" spans="2:15" x14ac:dyDescent="0.25">
      <c r="B172" t="s">
        <v>123</v>
      </c>
      <c r="C172" t="s">
        <v>103</v>
      </c>
      <c r="D172">
        <v>6.731684605828153E-4</v>
      </c>
      <c r="E172" t="s">
        <v>62</v>
      </c>
      <c r="G172" t="s">
        <v>143</v>
      </c>
      <c r="H172" t="s">
        <v>103</v>
      </c>
      <c r="I172">
        <v>1.3353715221714576E-2</v>
      </c>
      <c r="J172" t="s">
        <v>62</v>
      </c>
      <c r="L172" t="s">
        <v>163</v>
      </c>
      <c r="M172" t="s">
        <v>103</v>
      </c>
      <c r="N172">
        <v>1.2836422980552171E-2</v>
      </c>
      <c r="O172" t="s">
        <v>62</v>
      </c>
    </row>
    <row r="173" spans="2:15" x14ac:dyDescent="0.25">
      <c r="B173" t="s">
        <v>123</v>
      </c>
      <c r="C173" t="s">
        <v>104</v>
      </c>
      <c r="D173">
        <v>1.4750812960471546E-2</v>
      </c>
      <c r="E173" t="s">
        <v>62</v>
      </c>
      <c r="G173" t="s">
        <v>143</v>
      </c>
      <c r="H173" t="s">
        <v>104</v>
      </c>
      <c r="I173">
        <v>1.2360112990009161E-2</v>
      </c>
      <c r="J173" t="s">
        <v>62</v>
      </c>
      <c r="L173" t="s">
        <v>163</v>
      </c>
      <c r="M173" t="s">
        <v>104</v>
      </c>
      <c r="N173">
        <v>1.2912807369548168E-2</v>
      </c>
      <c r="O173" t="s">
        <v>62</v>
      </c>
    </row>
    <row r="174" spans="2:15" x14ac:dyDescent="0.25">
      <c r="B174" t="s">
        <v>123</v>
      </c>
      <c r="C174" t="s">
        <v>105</v>
      </c>
      <c r="D174">
        <v>3.0418205492166787E-2</v>
      </c>
      <c r="E174" t="s">
        <v>62</v>
      </c>
      <c r="G174" t="s">
        <v>143</v>
      </c>
      <c r="H174" t="s">
        <v>105</v>
      </c>
      <c r="I174">
        <v>1.1473903965215651E-2</v>
      </c>
      <c r="J174" t="s">
        <v>62</v>
      </c>
      <c r="L174" t="s">
        <v>163</v>
      </c>
      <c r="M174" t="s">
        <v>105</v>
      </c>
      <c r="N174">
        <v>1.2953646825443987E-2</v>
      </c>
      <c r="O174" t="s">
        <v>62</v>
      </c>
    </row>
    <row r="175" spans="2:15" x14ac:dyDescent="0.25">
      <c r="B175" t="s">
        <v>123</v>
      </c>
      <c r="C175" t="s">
        <v>106</v>
      </c>
      <c r="D175">
        <v>3.4651095727733332E-2</v>
      </c>
      <c r="E175" t="s">
        <v>62</v>
      </c>
      <c r="G175" t="s">
        <v>143</v>
      </c>
      <c r="H175" t="s">
        <v>106</v>
      </c>
      <c r="I175">
        <v>1.0714100852953976E-2</v>
      </c>
      <c r="J175" t="s">
        <v>62</v>
      </c>
      <c r="L175" t="s">
        <v>163</v>
      </c>
      <c r="M175" t="s">
        <v>106</v>
      </c>
      <c r="N175">
        <v>1.2409737021805744E-2</v>
      </c>
      <c r="O175" t="s">
        <v>62</v>
      </c>
    </row>
    <row r="176" spans="2:15" x14ac:dyDescent="0.25">
      <c r="B176" t="s">
        <v>123</v>
      </c>
      <c r="C176" t="s">
        <v>107</v>
      </c>
      <c r="D176">
        <v>3.4181672678096159E-2</v>
      </c>
      <c r="E176" t="s">
        <v>62</v>
      </c>
      <c r="G176" t="s">
        <v>143</v>
      </c>
      <c r="H176" t="s">
        <v>107</v>
      </c>
      <c r="I176">
        <v>1.1758790615951883E-2</v>
      </c>
      <c r="J176" t="s">
        <v>62</v>
      </c>
      <c r="L176" t="s">
        <v>163</v>
      </c>
      <c r="M176" t="s">
        <v>107</v>
      </c>
      <c r="N176">
        <v>1.2863788933952449E-2</v>
      </c>
      <c r="O176" t="s">
        <v>62</v>
      </c>
    </row>
    <row r="177" spans="2:15" x14ac:dyDescent="0.25">
      <c r="B177" t="s">
        <v>123</v>
      </c>
      <c r="C177" t="s">
        <v>108</v>
      </c>
      <c r="D177">
        <v>2.6018542044832532E-2</v>
      </c>
      <c r="E177" t="s">
        <v>62</v>
      </c>
      <c r="G177" t="s">
        <v>143</v>
      </c>
      <c r="H177" t="s">
        <v>108</v>
      </c>
      <c r="I177">
        <v>1.2626321611012341E-2</v>
      </c>
      <c r="J177" t="s">
        <v>62</v>
      </c>
      <c r="L177" t="s">
        <v>163</v>
      </c>
      <c r="M177" t="s">
        <v>108</v>
      </c>
      <c r="N177">
        <v>1.4061480974548686E-2</v>
      </c>
      <c r="O177" t="s">
        <v>62</v>
      </c>
    </row>
    <row r="178" spans="2:15" x14ac:dyDescent="0.25">
      <c r="B178" t="s">
        <v>123</v>
      </c>
      <c r="C178" t="s">
        <v>109</v>
      </c>
      <c r="D178">
        <v>7.9125413713990456E-3</v>
      </c>
      <c r="E178" t="s">
        <v>62</v>
      </c>
      <c r="G178" t="s">
        <v>143</v>
      </c>
      <c r="H178" t="s">
        <v>109</v>
      </c>
      <c r="I178">
        <v>1.3841205607319133E-2</v>
      </c>
      <c r="J178" t="s">
        <v>62</v>
      </c>
      <c r="L178" t="s">
        <v>163</v>
      </c>
      <c r="M178" t="s">
        <v>109</v>
      </c>
      <c r="N178">
        <v>1.4890545010873174E-2</v>
      </c>
      <c r="O178" t="s">
        <v>62</v>
      </c>
    </row>
    <row r="179" spans="2:15" x14ac:dyDescent="0.25">
      <c r="B179" t="s">
        <v>123</v>
      </c>
      <c r="C179" t="s">
        <v>110</v>
      </c>
      <c r="D179">
        <v>2.1109788960211287E-5</v>
      </c>
      <c r="E179" t="s">
        <v>62</v>
      </c>
      <c r="G179" t="s">
        <v>143</v>
      </c>
      <c r="H179" t="s">
        <v>110</v>
      </c>
      <c r="I179">
        <v>1.5158222549715543E-2</v>
      </c>
      <c r="J179" t="s">
        <v>62</v>
      </c>
      <c r="L179" t="s">
        <v>163</v>
      </c>
      <c r="M179" t="s">
        <v>110</v>
      </c>
      <c r="N179">
        <v>1.5248767256284067E-2</v>
      </c>
      <c r="O179" t="s">
        <v>62</v>
      </c>
    </row>
    <row r="180" spans="2:15" x14ac:dyDescent="0.25">
      <c r="B180" t="s">
        <v>123</v>
      </c>
      <c r="C180" t="s">
        <v>111</v>
      </c>
      <c r="D180">
        <v>0</v>
      </c>
      <c r="E180" t="s">
        <v>62</v>
      </c>
      <c r="G180" t="s">
        <v>143</v>
      </c>
      <c r="H180" t="s">
        <v>111</v>
      </c>
      <c r="I180">
        <v>2.3275809888290894E-2</v>
      </c>
      <c r="J180" t="s">
        <v>62</v>
      </c>
      <c r="L180" t="s">
        <v>163</v>
      </c>
      <c r="M180" t="s">
        <v>111</v>
      </c>
      <c r="N180">
        <v>2.2022115826589934E-2</v>
      </c>
      <c r="O180" t="s">
        <v>62</v>
      </c>
    </row>
    <row r="181" spans="2:15" x14ac:dyDescent="0.25">
      <c r="B181" t="s">
        <v>123</v>
      </c>
      <c r="C181" t="s">
        <v>112</v>
      </c>
      <c r="D181">
        <v>0</v>
      </c>
      <c r="E181" t="s">
        <v>62</v>
      </c>
      <c r="G181" t="s">
        <v>143</v>
      </c>
      <c r="H181" t="s">
        <v>112</v>
      </c>
      <c r="I181">
        <v>5.3653709764601668E-2</v>
      </c>
      <c r="J181" t="s">
        <v>62</v>
      </c>
      <c r="L181" t="s">
        <v>163</v>
      </c>
      <c r="M181" t="s">
        <v>112</v>
      </c>
      <c r="N181">
        <v>5.4112729783185154E-2</v>
      </c>
      <c r="O181" t="s">
        <v>62</v>
      </c>
    </row>
    <row r="182" spans="2:15" x14ac:dyDescent="0.25">
      <c r="B182" t="s">
        <v>123</v>
      </c>
      <c r="C182" t="s">
        <v>113</v>
      </c>
      <c r="D182">
        <v>0</v>
      </c>
      <c r="E182" t="s">
        <v>62</v>
      </c>
      <c r="G182" t="s">
        <v>143</v>
      </c>
      <c r="H182" t="s">
        <v>113</v>
      </c>
      <c r="I182">
        <v>2.1500912113917199E-2</v>
      </c>
      <c r="J182" t="s">
        <v>62</v>
      </c>
      <c r="L182" t="s">
        <v>163</v>
      </c>
      <c r="M182" t="s">
        <v>113</v>
      </c>
      <c r="N182">
        <v>2.151025979246346E-2</v>
      </c>
      <c r="O182" t="s">
        <v>62</v>
      </c>
    </row>
    <row r="183" spans="2:15" x14ac:dyDescent="0.25">
      <c r="B183" t="s">
        <v>123</v>
      </c>
      <c r="C183" t="s">
        <v>114</v>
      </c>
      <c r="D183">
        <v>7.6159445108330817E-4</v>
      </c>
      <c r="E183" t="s">
        <v>62</v>
      </c>
      <c r="G183" t="s">
        <v>143</v>
      </c>
      <c r="H183" t="s">
        <v>114</v>
      </c>
      <c r="I183">
        <v>2.1143876810740675E-2</v>
      </c>
      <c r="J183" t="s">
        <v>62</v>
      </c>
      <c r="L183" t="s">
        <v>163</v>
      </c>
      <c r="M183" t="s">
        <v>114</v>
      </c>
      <c r="N183">
        <v>2.174985853407874E-2</v>
      </c>
      <c r="O183" t="s">
        <v>62</v>
      </c>
    </row>
    <row r="184" spans="2:15" x14ac:dyDescent="0.25">
      <c r="B184" t="s">
        <v>123</v>
      </c>
      <c r="C184" t="s">
        <v>115</v>
      </c>
      <c r="D184">
        <v>1.1219568237738828E-2</v>
      </c>
      <c r="E184" t="s">
        <v>62</v>
      </c>
      <c r="G184" t="s">
        <v>143</v>
      </c>
      <c r="H184" t="s">
        <v>115</v>
      </c>
      <c r="I184">
        <v>2.0136229992398693E-2</v>
      </c>
      <c r="J184" t="s">
        <v>62</v>
      </c>
      <c r="L184" t="s">
        <v>163</v>
      </c>
      <c r="M184" t="s">
        <v>115</v>
      </c>
      <c r="N184">
        <v>2.1758225658745748E-2</v>
      </c>
      <c r="O184" t="s">
        <v>62</v>
      </c>
    </row>
    <row r="185" spans="2:15" x14ac:dyDescent="0.25">
      <c r="B185" t="s">
        <v>123</v>
      </c>
      <c r="C185" t="s">
        <v>116</v>
      </c>
      <c r="D185">
        <v>1.6170224564100277E-2</v>
      </c>
      <c r="E185" t="s">
        <v>62</v>
      </c>
      <c r="G185" t="s">
        <v>143</v>
      </c>
      <c r="H185" t="s">
        <v>116</v>
      </c>
      <c r="I185">
        <v>1.8989278678402638E-2</v>
      </c>
      <c r="J185" t="s">
        <v>62</v>
      </c>
      <c r="L185" t="s">
        <v>163</v>
      </c>
      <c r="M185" t="s">
        <v>116</v>
      </c>
      <c r="N185">
        <v>2.0760760012353236E-2</v>
      </c>
      <c r="O185" t="s">
        <v>62</v>
      </c>
    </row>
    <row r="186" spans="2:15" x14ac:dyDescent="0.25">
      <c r="B186" t="s">
        <v>123</v>
      </c>
      <c r="C186" t="s">
        <v>117</v>
      </c>
      <c r="D186">
        <v>1.6364699781286365E-2</v>
      </c>
      <c r="E186" t="s">
        <v>62</v>
      </c>
      <c r="G186" t="s">
        <v>143</v>
      </c>
      <c r="H186" t="s">
        <v>117</v>
      </c>
      <c r="I186">
        <v>1.8800210795967456E-2</v>
      </c>
      <c r="J186" t="s">
        <v>62</v>
      </c>
      <c r="L186" t="s">
        <v>163</v>
      </c>
      <c r="M186" t="s">
        <v>117</v>
      </c>
      <c r="N186">
        <v>2.004141990971111E-2</v>
      </c>
      <c r="O186" t="s">
        <v>62</v>
      </c>
    </row>
    <row r="187" spans="2:15" x14ac:dyDescent="0.25">
      <c r="B187" t="s">
        <v>123</v>
      </c>
      <c r="C187" t="s">
        <v>118</v>
      </c>
      <c r="D187">
        <v>7.5294091152177979E-3</v>
      </c>
      <c r="E187" t="s">
        <v>62</v>
      </c>
      <c r="G187" t="s">
        <v>143</v>
      </c>
      <c r="H187" t="s">
        <v>118</v>
      </c>
      <c r="I187">
        <v>2.0088556927653968E-2</v>
      </c>
      <c r="J187" t="s">
        <v>62</v>
      </c>
      <c r="L187" t="s">
        <v>163</v>
      </c>
      <c r="M187" t="s">
        <v>118</v>
      </c>
      <c r="N187">
        <v>2.0429516995310527E-2</v>
      </c>
      <c r="O187" t="s">
        <v>62</v>
      </c>
    </row>
    <row r="188" spans="2:15" x14ac:dyDescent="0.25">
      <c r="B188" t="s">
        <v>123</v>
      </c>
      <c r="C188" t="s">
        <v>119</v>
      </c>
      <c r="D188">
        <v>0</v>
      </c>
      <c r="E188" t="s">
        <v>62</v>
      </c>
      <c r="G188" t="s">
        <v>143</v>
      </c>
      <c r="H188" t="s">
        <v>119</v>
      </c>
      <c r="I188">
        <v>2.1497211896583084E-2</v>
      </c>
      <c r="J188" t="s">
        <v>62</v>
      </c>
      <c r="L188" t="s">
        <v>163</v>
      </c>
      <c r="M188" t="s">
        <v>119</v>
      </c>
      <c r="N188">
        <v>2.1057715602550094E-2</v>
      </c>
      <c r="O188" t="s">
        <v>62</v>
      </c>
    </row>
    <row r="189" spans="2:15" x14ac:dyDescent="0.25">
      <c r="B189" t="s">
        <v>123</v>
      </c>
      <c r="C189" t="s">
        <v>120</v>
      </c>
      <c r="D189">
        <v>0</v>
      </c>
      <c r="E189" t="s">
        <v>62</v>
      </c>
      <c r="G189" t="s">
        <v>143</v>
      </c>
      <c r="H189" t="s">
        <v>120</v>
      </c>
      <c r="I189">
        <v>2.1862523602864073E-2</v>
      </c>
      <c r="J189" t="s">
        <v>62</v>
      </c>
      <c r="L189" t="s">
        <v>163</v>
      </c>
      <c r="M189" t="s">
        <v>120</v>
      </c>
      <c r="N189">
        <v>2.1334164159993195E-2</v>
      </c>
      <c r="O189" t="s">
        <v>62</v>
      </c>
    </row>
    <row r="190" spans="2:15" x14ac:dyDescent="0.25">
      <c r="B190" t="s">
        <v>123</v>
      </c>
      <c r="C190" t="s">
        <v>121</v>
      </c>
      <c r="D190">
        <v>0</v>
      </c>
      <c r="E190" t="s">
        <v>62</v>
      </c>
      <c r="G190" t="s">
        <v>143</v>
      </c>
      <c r="H190" t="s">
        <v>121</v>
      </c>
      <c r="I190">
        <v>3.3225986106595683E-2</v>
      </c>
      <c r="J190" t="s">
        <v>62</v>
      </c>
      <c r="L190" t="s">
        <v>163</v>
      </c>
      <c r="M190" t="s">
        <v>121</v>
      </c>
      <c r="N190">
        <v>3.2708225333486142E-2</v>
      </c>
      <c r="O190" t="s">
        <v>62</v>
      </c>
    </row>
    <row r="191" spans="2:15" x14ac:dyDescent="0.25">
      <c r="B191" t="s">
        <v>124</v>
      </c>
      <c r="C191" t="s">
        <v>61</v>
      </c>
      <c r="D191">
        <v>0</v>
      </c>
      <c r="E191" t="s">
        <v>62</v>
      </c>
      <c r="G191" t="s">
        <v>144</v>
      </c>
      <c r="H191" t="s">
        <v>61</v>
      </c>
      <c r="I191">
        <v>4.0049829311499967E-2</v>
      </c>
      <c r="J191" t="s">
        <v>62</v>
      </c>
      <c r="L191" t="s">
        <v>164</v>
      </c>
      <c r="M191" t="s">
        <v>61</v>
      </c>
      <c r="N191">
        <v>3.2166002582293324E-2</v>
      </c>
      <c r="O191" t="s">
        <v>62</v>
      </c>
    </row>
    <row r="192" spans="2:15" x14ac:dyDescent="0.25">
      <c r="B192" t="s">
        <v>124</v>
      </c>
      <c r="C192" t="s">
        <v>63</v>
      </c>
      <c r="D192">
        <v>0</v>
      </c>
      <c r="E192" t="s">
        <v>62</v>
      </c>
      <c r="G192" t="s">
        <v>144</v>
      </c>
      <c r="H192" t="s">
        <v>63</v>
      </c>
      <c r="I192">
        <v>1.5880930168465909E-2</v>
      </c>
      <c r="J192" t="s">
        <v>62</v>
      </c>
      <c r="L192" t="s">
        <v>164</v>
      </c>
      <c r="M192" t="s">
        <v>63</v>
      </c>
      <c r="N192">
        <v>1.3375083596775863E-2</v>
      </c>
      <c r="O192" t="s">
        <v>62</v>
      </c>
    </row>
    <row r="193" spans="2:15" x14ac:dyDescent="0.25">
      <c r="B193" t="s">
        <v>124</v>
      </c>
      <c r="C193" t="s">
        <v>64</v>
      </c>
      <c r="D193">
        <v>3.3399334107021036E-4</v>
      </c>
      <c r="E193" t="s">
        <v>62</v>
      </c>
      <c r="G193" t="s">
        <v>144</v>
      </c>
      <c r="H193" t="s">
        <v>64</v>
      </c>
      <c r="I193">
        <v>1.5831935382832771E-2</v>
      </c>
      <c r="J193" t="s">
        <v>62</v>
      </c>
      <c r="L193" t="s">
        <v>164</v>
      </c>
      <c r="M193" t="s">
        <v>64</v>
      </c>
      <c r="N193">
        <v>1.372248001303485E-2</v>
      </c>
      <c r="O193" t="s">
        <v>62</v>
      </c>
    </row>
    <row r="194" spans="2:15" x14ac:dyDescent="0.25">
      <c r="B194" t="s">
        <v>124</v>
      </c>
      <c r="C194" t="s">
        <v>65</v>
      </c>
      <c r="D194">
        <v>8.0204193413058646E-3</v>
      </c>
      <c r="E194" t="s">
        <v>62</v>
      </c>
      <c r="G194" t="s">
        <v>144</v>
      </c>
      <c r="H194" t="s">
        <v>65</v>
      </c>
      <c r="I194">
        <v>1.505117523907556E-2</v>
      </c>
      <c r="J194" t="s">
        <v>62</v>
      </c>
      <c r="L194" t="s">
        <v>164</v>
      </c>
      <c r="M194" t="s">
        <v>65</v>
      </c>
      <c r="N194">
        <v>1.3927255943879998E-2</v>
      </c>
      <c r="O194" t="s">
        <v>62</v>
      </c>
    </row>
    <row r="195" spans="2:15" x14ac:dyDescent="0.25">
      <c r="B195" t="s">
        <v>124</v>
      </c>
      <c r="C195" t="s">
        <v>66</v>
      </c>
      <c r="D195">
        <v>1.5803761851078048E-2</v>
      </c>
      <c r="E195" t="s">
        <v>62</v>
      </c>
      <c r="G195" t="s">
        <v>144</v>
      </c>
      <c r="H195" t="s">
        <v>66</v>
      </c>
      <c r="I195">
        <v>1.4359868831813274E-2</v>
      </c>
      <c r="J195" t="s">
        <v>62</v>
      </c>
      <c r="L195" t="s">
        <v>164</v>
      </c>
      <c r="M195" t="s">
        <v>66</v>
      </c>
      <c r="N195">
        <v>1.3918379055661805E-2</v>
      </c>
      <c r="O195" t="s">
        <v>62</v>
      </c>
    </row>
    <row r="196" spans="2:15" x14ac:dyDescent="0.25">
      <c r="B196" t="s">
        <v>124</v>
      </c>
      <c r="C196" t="s">
        <v>67</v>
      </c>
      <c r="D196">
        <v>1.4717547135270089E-2</v>
      </c>
      <c r="E196" t="s">
        <v>62</v>
      </c>
      <c r="G196" t="s">
        <v>144</v>
      </c>
      <c r="H196" t="s">
        <v>67</v>
      </c>
      <c r="I196">
        <v>1.4843130421279842E-2</v>
      </c>
      <c r="J196" t="s">
        <v>62</v>
      </c>
      <c r="L196" t="s">
        <v>164</v>
      </c>
      <c r="M196" t="s">
        <v>67</v>
      </c>
      <c r="N196">
        <v>1.3482059253323651E-2</v>
      </c>
      <c r="O196" t="s">
        <v>62</v>
      </c>
    </row>
    <row r="197" spans="2:15" x14ac:dyDescent="0.25">
      <c r="B197" t="s">
        <v>124</v>
      </c>
      <c r="C197" t="s">
        <v>68</v>
      </c>
      <c r="D197">
        <v>9.1433781589599326E-3</v>
      </c>
      <c r="E197" t="s">
        <v>62</v>
      </c>
      <c r="G197" t="s">
        <v>144</v>
      </c>
      <c r="H197" t="s">
        <v>68</v>
      </c>
      <c r="I197">
        <v>1.5343042936668097E-2</v>
      </c>
      <c r="J197" t="s">
        <v>62</v>
      </c>
      <c r="L197" t="s">
        <v>164</v>
      </c>
      <c r="M197" t="s">
        <v>68</v>
      </c>
      <c r="N197">
        <v>1.3689270952477113E-2</v>
      </c>
      <c r="O197" t="s">
        <v>62</v>
      </c>
    </row>
    <row r="198" spans="2:15" x14ac:dyDescent="0.25">
      <c r="B198" t="s">
        <v>124</v>
      </c>
      <c r="C198" t="s">
        <v>69</v>
      </c>
      <c r="D198">
        <v>1.2467238846203303E-3</v>
      </c>
      <c r="E198" t="s">
        <v>62</v>
      </c>
      <c r="G198" t="s">
        <v>144</v>
      </c>
      <c r="H198" t="s">
        <v>69</v>
      </c>
      <c r="I198">
        <v>1.6739179217965534E-2</v>
      </c>
      <c r="J198" t="s">
        <v>62</v>
      </c>
      <c r="L198" t="s">
        <v>164</v>
      </c>
      <c r="M198" t="s">
        <v>69</v>
      </c>
      <c r="N198">
        <v>1.4123112714072615E-2</v>
      </c>
      <c r="O198" t="s">
        <v>62</v>
      </c>
    </row>
    <row r="199" spans="2:15" x14ac:dyDescent="0.25">
      <c r="B199" t="s">
        <v>124</v>
      </c>
      <c r="C199" t="s">
        <v>70</v>
      </c>
      <c r="D199">
        <v>0</v>
      </c>
      <c r="E199" t="s">
        <v>62</v>
      </c>
      <c r="G199" t="s">
        <v>144</v>
      </c>
      <c r="H199" t="s">
        <v>70</v>
      </c>
      <c r="I199">
        <v>1.7353755511409649E-2</v>
      </c>
      <c r="J199" t="s">
        <v>62</v>
      </c>
      <c r="L199" t="s">
        <v>164</v>
      </c>
      <c r="M199" t="s">
        <v>70</v>
      </c>
      <c r="N199">
        <v>1.3956676406204885E-2</v>
      </c>
      <c r="O199" t="s">
        <v>62</v>
      </c>
    </row>
    <row r="200" spans="2:15" x14ac:dyDescent="0.25">
      <c r="B200" t="s">
        <v>124</v>
      </c>
      <c r="C200" t="s">
        <v>71</v>
      </c>
      <c r="D200">
        <v>0</v>
      </c>
      <c r="E200" t="s">
        <v>62</v>
      </c>
      <c r="G200" t="s">
        <v>144</v>
      </c>
      <c r="H200" t="s">
        <v>71</v>
      </c>
      <c r="I200">
        <v>2.5484279002654663E-2</v>
      </c>
      <c r="J200" t="s">
        <v>62</v>
      </c>
      <c r="L200" t="s">
        <v>164</v>
      </c>
      <c r="M200" t="s">
        <v>71</v>
      </c>
      <c r="N200">
        <v>2.0137378539302357E-2</v>
      </c>
      <c r="O200" t="s">
        <v>62</v>
      </c>
    </row>
    <row r="201" spans="2:15" x14ac:dyDescent="0.25">
      <c r="B201" t="s">
        <v>124</v>
      </c>
      <c r="C201" t="s">
        <v>72</v>
      </c>
      <c r="D201">
        <v>0</v>
      </c>
      <c r="E201" t="s">
        <v>62</v>
      </c>
      <c r="G201" t="s">
        <v>144</v>
      </c>
      <c r="H201" t="s">
        <v>72</v>
      </c>
      <c r="I201">
        <v>4.4865483927514577E-2</v>
      </c>
      <c r="J201" t="s">
        <v>62</v>
      </c>
      <c r="L201" t="s">
        <v>164</v>
      </c>
      <c r="M201" t="s">
        <v>72</v>
      </c>
      <c r="N201">
        <v>4.1203535405424048E-2</v>
      </c>
      <c r="O201" t="s">
        <v>62</v>
      </c>
    </row>
    <row r="202" spans="2:15" x14ac:dyDescent="0.25">
      <c r="B202" t="s">
        <v>124</v>
      </c>
      <c r="C202" t="s">
        <v>73</v>
      </c>
      <c r="D202">
        <v>2.1194933113487021E-3</v>
      </c>
      <c r="E202" t="s">
        <v>62</v>
      </c>
      <c r="G202" t="s">
        <v>144</v>
      </c>
      <c r="H202" t="s">
        <v>73</v>
      </c>
      <c r="I202">
        <v>1.7912036546640718E-2</v>
      </c>
      <c r="J202" t="s">
        <v>62</v>
      </c>
      <c r="L202" t="s">
        <v>164</v>
      </c>
      <c r="M202" t="s">
        <v>73</v>
      </c>
      <c r="N202">
        <v>1.5366765152626447E-2</v>
      </c>
      <c r="O202" t="s">
        <v>62</v>
      </c>
    </row>
    <row r="203" spans="2:15" x14ac:dyDescent="0.25">
      <c r="B203" t="s">
        <v>124</v>
      </c>
      <c r="C203" t="s">
        <v>74</v>
      </c>
      <c r="D203">
        <v>2.1107824812009873E-2</v>
      </c>
      <c r="E203" t="s">
        <v>62</v>
      </c>
      <c r="G203" t="s">
        <v>144</v>
      </c>
      <c r="H203" t="s">
        <v>74</v>
      </c>
      <c r="I203">
        <v>1.6074727762411738E-2</v>
      </c>
      <c r="J203" t="s">
        <v>62</v>
      </c>
      <c r="L203" t="s">
        <v>164</v>
      </c>
      <c r="M203" t="s">
        <v>74</v>
      </c>
      <c r="N203">
        <v>1.5209037191129171E-2</v>
      </c>
      <c r="O203" t="s">
        <v>62</v>
      </c>
    </row>
    <row r="204" spans="2:15" x14ac:dyDescent="0.25">
      <c r="B204" t="s">
        <v>124</v>
      </c>
      <c r="C204" t="s">
        <v>75</v>
      </c>
      <c r="D204">
        <v>4.2480507739356799E-2</v>
      </c>
      <c r="E204" t="s">
        <v>62</v>
      </c>
      <c r="G204" t="s">
        <v>144</v>
      </c>
      <c r="H204" t="s">
        <v>75</v>
      </c>
      <c r="I204">
        <v>1.5375751098356561E-2</v>
      </c>
      <c r="J204" t="s">
        <v>62</v>
      </c>
      <c r="L204" t="s">
        <v>164</v>
      </c>
      <c r="M204" t="s">
        <v>75</v>
      </c>
      <c r="N204">
        <v>1.5227892261855884E-2</v>
      </c>
      <c r="O204" t="s">
        <v>62</v>
      </c>
    </row>
    <row r="205" spans="2:15" x14ac:dyDescent="0.25">
      <c r="B205" t="s">
        <v>124</v>
      </c>
      <c r="C205" t="s">
        <v>76</v>
      </c>
      <c r="D205">
        <v>4.7011579078147223E-2</v>
      </c>
      <c r="E205" t="s">
        <v>62</v>
      </c>
      <c r="G205" t="s">
        <v>144</v>
      </c>
      <c r="H205" t="s">
        <v>76</v>
      </c>
      <c r="I205">
        <v>1.3793434253199862E-2</v>
      </c>
      <c r="J205" t="s">
        <v>62</v>
      </c>
      <c r="L205" t="s">
        <v>164</v>
      </c>
      <c r="M205" t="s">
        <v>76</v>
      </c>
      <c r="N205">
        <v>1.4362137475255955E-2</v>
      </c>
      <c r="O205" t="s">
        <v>62</v>
      </c>
    </row>
    <row r="206" spans="2:15" x14ac:dyDescent="0.25">
      <c r="B206" t="s">
        <v>124</v>
      </c>
      <c r="C206" t="s">
        <v>77</v>
      </c>
      <c r="D206">
        <v>4.328833986489139E-2</v>
      </c>
      <c r="E206" t="s">
        <v>62</v>
      </c>
      <c r="G206" t="s">
        <v>144</v>
      </c>
      <c r="H206" t="s">
        <v>77</v>
      </c>
      <c r="I206">
        <v>1.5437184063555768E-2</v>
      </c>
      <c r="J206" t="s">
        <v>62</v>
      </c>
      <c r="L206" t="s">
        <v>164</v>
      </c>
      <c r="M206" t="s">
        <v>77</v>
      </c>
      <c r="N206">
        <v>1.4561771995915839E-2</v>
      </c>
      <c r="O206" t="s">
        <v>62</v>
      </c>
    </row>
    <row r="207" spans="2:15" x14ac:dyDescent="0.25">
      <c r="B207" t="s">
        <v>124</v>
      </c>
      <c r="C207" t="s">
        <v>78</v>
      </c>
      <c r="D207">
        <v>3.6577047321830945E-2</v>
      </c>
      <c r="E207" t="s">
        <v>62</v>
      </c>
      <c r="G207" t="s">
        <v>144</v>
      </c>
      <c r="H207" t="s">
        <v>78</v>
      </c>
      <c r="I207">
        <v>1.5401546174824771E-2</v>
      </c>
      <c r="J207" t="s">
        <v>62</v>
      </c>
      <c r="L207" t="s">
        <v>164</v>
      </c>
      <c r="M207" t="s">
        <v>78</v>
      </c>
      <c r="N207">
        <v>1.5405871021608869E-2</v>
      </c>
      <c r="O207" t="s">
        <v>62</v>
      </c>
    </row>
    <row r="208" spans="2:15" x14ac:dyDescent="0.25">
      <c r="B208" t="s">
        <v>124</v>
      </c>
      <c r="C208" t="s">
        <v>79</v>
      </c>
      <c r="D208">
        <v>1.9541680431653236E-2</v>
      </c>
      <c r="E208" t="s">
        <v>62</v>
      </c>
      <c r="G208" t="s">
        <v>144</v>
      </c>
      <c r="H208" t="s">
        <v>79</v>
      </c>
      <c r="I208">
        <v>1.633135727036937E-2</v>
      </c>
      <c r="J208" t="s">
        <v>62</v>
      </c>
      <c r="L208" t="s">
        <v>164</v>
      </c>
      <c r="M208" t="s">
        <v>79</v>
      </c>
      <c r="N208">
        <v>1.6596286118888776E-2</v>
      </c>
      <c r="O208" t="s">
        <v>62</v>
      </c>
    </row>
    <row r="209" spans="2:15" x14ac:dyDescent="0.25">
      <c r="B209" t="s">
        <v>124</v>
      </c>
      <c r="C209" t="s">
        <v>80</v>
      </c>
      <c r="D209">
        <v>1.8992656978277041E-3</v>
      </c>
      <c r="E209" t="s">
        <v>62</v>
      </c>
      <c r="G209" t="s">
        <v>144</v>
      </c>
      <c r="H209" t="s">
        <v>80</v>
      </c>
      <c r="I209">
        <v>1.8413822301453751E-2</v>
      </c>
      <c r="J209" t="s">
        <v>62</v>
      </c>
      <c r="L209" t="s">
        <v>164</v>
      </c>
      <c r="M209" t="s">
        <v>80</v>
      </c>
      <c r="N209">
        <v>1.7526317029928212E-2</v>
      </c>
      <c r="O209" t="s">
        <v>62</v>
      </c>
    </row>
    <row r="210" spans="2:15" x14ac:dyDescent="0.25">
      <c r="B210" t="s">
        <v>124</v>
      </c>
      <c r="C210" t="s">
        <v>81</v>
      </c>
      <c r="D210">
        <v>0</v>
      </c>
      <c r="E210" t="s">
        <v>62</v>
      </c>
      <c r="G210" t="s">
        <v>144</v>
      </c>
      <c r="H210" t="s">
        <v>81</v>
      </c>
      <c r="I210">
        <v>2.7046845918205081E-2</v>
      </c>
      <c r="J210" t="s">
        <v>62</v>
      </c>
      <c r="L210" t="s">
        <v>164</v>
      </c>
      <c r="M210" t="s">
        <v>81</v>
      </c>
      <c r="N210">
        <v>2.5997292602674298E-2</v>
      </c>
      <c r="O210" t="s">
        <v>62</v>
      </c>
    </row>
    <row r="211" spans="2:15" x14ac:dyDescent="0.25">
      <c r="B211" t="s">
        <v>124</v>
      </c>
      <c r="C211" t="s">
        <v>82</v>
      </c>
      <c r="D211">
        <v>0</v>
      </c>
      <c r="E211" t="s">
        <v>62</v>
      </c>
      <c r="G211" t="s">
        <v>144</v>
      </c>
      <c r="H211" t="s">
        <v>82</v>
      </c>
      <c r="I211">
        <v>2.4020177924242627E-2</v>
      </c>
      <c r="J211" t="s">
        <v>62</v>
      </c>
      <c r="L211" t="s">
        <v>164</v>
      </c>
      <c r="M211" t="s">
        <v>82</v>
      </c>
      <c r="N211">
        <v>3.2132079833591079E-2</v>
      </c>
      <c r="O211" t="s">
        <v>62</v>
      </c>
    </row>
    <row r="212" spans="2:15" x14ac:dyDescent="0.25">
      <c r="B212" t="s">
        <v>124</v>
      </c>
      <c r="C212" t="s">
        <v>83</v>
      </c>
      <c r="D212">
        <v>1.3067934845919981E-2</v>
      </c>
      <c r="E212" t="s">
        <v>62</v>
      </c>
      <c r="G212" t="s">
        <v>144</v>
      </c>
      <c r="H212" t="s">
        <v>83</v>
      </c>
      <c r="I212">
        <v>7.846887369146207E-3</v>
      </c>
      <c r="J212" t="s">
        <v>62</v>
      </c>
      <c r="L212" t="s">
        <v>164</v>
      </c>
      <c r="M212" t="s">
        <v>83</v>
      </c>
      <c r="N212">
        <v>1.2098751144451124E-2</v>
      </c>
      <c r="O212" t="s">
        <v>62</v>
      </c>
    </row>
    <row r="213" spans="2:15" x14ac:dyDescent="0.25">
      <c r="B213" t="s">
        <v>124</v>
      </c>
      <c r="C213" t="s">
        <v>84</v>
      </c>
      <c r="D213">
        <v>3.5612530642483368E-2</v>
      </c>
      <c r="E213" t="s">
        <v>62</v>
      </c>
      <c r="G213" t="s">
        <v>144</v>
      </c>
      <c r="H213" t="s">
        <v>84</v>
      </c>
      <c r="I213">
        <v>6.2799292679839034E-3</v>
      </c>
      <c r="J213" t="s">
        <v>62</v>
      </c>
      <c r="L213" t="s">
        <v>164</v>
      </c>
      <c r="M213" t="s">
        <v>84</v>
      </c>
      <c r="N213">
        <v>1.1795375620523487E-2</v>
      </c>
      <c r="O213" t="s">
        <v>62</v>
      </c>
    </row>
    <row r="214" spans="2:15" x14ac:dyDescent="0.25">
      <c r="B214" t="s">
        <v>124</v>
      </c>
      <c r="C214" t="s">
        <v>85</v>
      </c>
      <c r="D214">
        <v>4.7791740752308583E-2</v>
      </c>
      <c r="E214" t="s">
        <v>62</v>
      </c>
      <c r="G214" t="s">
        <v>144</v>
      </c>
      <c r="H214" t="s">
        <v>85</v>
      </c>
      <c r="I214">
        <v>6.2920846444738665E-3</v>
      </c>
      <c r="J214" t="s">
        <v>62</v>
      </c>
      <c r="L214" t="s">
        <v>164</v>
      </c>
      <c r="M214" t="s">
        <v>85</v>
      </c>
      <c r="N214">
        <v>1.1425906826262371E-2</v>
      </c>
      <c r="O214" t="s">
        <v>62</v>
      </c>
    </row>
    <row r="215" spans="2:15" x14ac:dyDescent="0.25">
      <c r="B215" t="s">
        <v>124</v>
      </c>
      <c r="C215" t="s">
        <v>86</v>
      </c>
      <c r="D215">
        <v>4.983841716814677E-2</v>
      </c>
      <c r="E215" t="s">
        <v>62</v>
      </c>
      <c r="G215" t="s">
        <v>144</v>
      </c>
      <c r="H215" t="s">
        <v>86</v>
      </c>
      <c r="I215">
        <v>5.3279863180576096E-3</v>
      </c>
      <c r="J215" t="s">
        <v>62</v>
      </c>
      <c r="L215" t="s">
        <v>164</v>
      </c>
      <c r="M215" t="s">
        <v>86</v>
      </c>
      <c r="N215">
        <v>1.0646730280512407E-2</v>
      </c>
      <c r="O215" t="s">
        <v>62</v>
      </c>
    </row>
    <row r="216" spans="2:15" x14ac:dyDescent="0.25">
      <c r="B216" t="s">
        <v>124</v>
      </c>
      <c r="C216" t="s">
        <v>87</v>
      </c>
      <c r="D216">
        <v>4.6669302327602642E-2</v>
      </c>
      <c r="E216" t="s">
        <v>62</v>
      </c>
      <c r="G216" t="s">
        <v>144</v>
      </c>
      <c r="H216" t="s">
        <v>87</v>
      </c>
      <c r="I216">
        <v>6.3991323193860151E-3</v>
      </c>
      <c r="J216" t="s">
        <v>62</v>
      </c>
      <c r="L216" t="s">
        <v>164</v>
      </c>
      <c r="M216" t="s">
        <v>87</v>
      </c>
      <c r="N216">
        <v>1.089687014565773E-2</v>
      </c>
      <c r="O216" t="s">
        <v>62</v>
      </c>
    </row>
    <row r="217" spans="2:15" x14ac:dyDescent="0.25">
      <c r="B217" t="s">
        <v>124</v>
      </c>
      <c r="C217" t="s">
        <v>88</v>
      </c>
      <c r="D217">
        <v>4.0105841527778227E-2</v>
      </c>
      <c r="E217" t="s">
        <v>62</v>
      </c>
      <c r="G217" t="s">
        <v>144</v>
      </c>
      <c r="H217" t="s">
        <v>88</v>
      </c>
      <c r="I217">
        <v>6.8939038892567254E-3</v>
      </c>
      <c r="J217" t="s">
        <v>62</v>
      </c>
      <c r="L217" t="s">
        <v>164</v>
      </c>
      <c r="M217" t="s">
        <v>88</v>
      </c>
      <c r="N217">
        <v>1.1166180259692796E-2</v>
      </c>
      <c r="O217" t="s">
        <v>62</v>
      </c>
    </row>
    <row r="218" spans="2:15" x14ac:dyDescent="0.25">
      <c r="B218" t="s">
        <v>124</v>
      </c>
      <c r="C218" t="s">
        <v>89</v>
      </c>
      <c r="D218">
        <v>2.6749345647245397E-2</v>
      </c>
      <c r="E218" t="s">
        <v>62</v>
      </c>
      <c r="G218" t="s">
        <v>144</v>
      </c>
      <c r="H218" t="s">
        <v>89</v>
      </c>
      <c r="I218">
        <v>7.1371649320218222E-3</v>
      </c>
      <c r="J218" t="s">
        <v>62</v>
      </c>
      <c r="L218" t="s">
        <v>164</v>
      </c>
      <c r="M218" t="s">
        <v>89</v>
      </c>
      <c r="N218">
        <v>1.1092385110856274E-2</v>
      </c>
      <c r="O218" t="s">
        <v>62</v>
      </c>
    </row>
    <row r="219" spans="2:15" x14ac:dyDescent="0.25">
      <c r="B219" t="s">
        <v>124</v>
      </c>
      <c r="C219" t="s">
        <v>90</v>
      </c>
      <c r="D219">
        <v>9.902407245879501E-3</v>
      </c>
      <c r="E219" t="s">
        <v>62</v>
      </c>
      <c r="G219" t="s">
        <v>144</v>
      </c>
      <c r="H219" t="s">
        <v>90</v>
      </c>
      <c r="I219">
        <v>9.2631084975282277E-3</v>
      </c>
      <c r="J219" t="s">
        <v>62</v>
      </c>
      <c r="L219" t="s">
        <v>164</v>
      </c>
      <c r="M219" t="s">
        <v>90</v>
      </c>
      <c r="N219">
        <v>1.1179441612426757E-2</v>
      </c>
      <c r="O219" t="s">
        <v>62</v>
      </c>
    </row>
    <row r="220" spans="2:15" x14ac:dyDescent="0.25">
      <c r="B220" t="s">
        <v>124</v>
      </c>
      <c r="C220" t="s">
        <v>91</v>
      </c>
      <c r="D220">
        <v>0</v>
      </c>
      <c r="E220" t="s">
        <v>62</v>
      </c>
      <c r="G220" t="s">
        <v>144</v>
      </c>
      <c r="H220" t="s">
        <v>91</v>
      </c>
      <c r="I220">
        <v>1.5786991240822983E-2</v>
      </c>
      <c r="J220" t="s">
        <v>62</v>
      </c>
      <c r="L220" t="s">
        <v>164</v>
      </c>
      <c r="M220" t="s">
        <v>91</v>
      </c>
      <c r="N220">
        <v>1.8129460047307529E-2</v>
      </c>
      <c r="O220" t="s">
        <v>62</v>
      </c>
    </row>
    <row r="221" spans="2:15" x14ac:dyDescent="0.25">
      <c r="B221" t="s">
        <v>124</v>
      </c>
      <c r="C221" t="s">
        <v>92</v>
      </c>
      <c r="D221">
        <v>0</v>
      </c>
      <c r="E221" t="s">
        <v>62</v>
      </c>
      <c r="G221" t="s">
        <v>144</v>
      </c>
      <c r="H221" t="s">
        <v>92</v>
      </c>
      <c r="I221">
        <v>2.170348874461623E-2</v>
      </c>
      <c r="J221" t="s">
        <v>62</v>
      </c>
      <c r="L221" t="s">
        <v>164</v>
      </c>
      <c r="M221" t="s">
        <v>92</v>
      </c>
      <c r="N221">
        <v>2.4691557947785752E-2</v>
      </c>
      <c r="O221" t="s">
        <v>62</v>
      </c>
    </row>
    <row r="222" spans="2:15" x14ac:dyDescent="0.25">
      <c r="B222" t="s">
        <v>124</v>
      </c>
      <c r="C222" t="s">
        <v>93</v>
      </c>
      <c r="D222">
        <v>1.091322062108583E-2</v>
      </c>
      <c r="E222" t="s">
        <v>62</v>
      </c>
      <c r="G222" t="s">
        <v>144</v>
      </c>
      <c r="H222" t="s">
        <v>93</v>
      </c>
      <c r="I222">
        <v>7.2269319265602242E-3</v>
      </c>
      <c r="J222" t="s">
        <v>62</v>
      </c>
      <c r="L222" t="s">
        <v>164</v>
      </c>
      <c r="M222" t="s">
        <v>93</v>
      </c>
      <c r="N222">
        <v>9.6549478712175067E-3</v>
      </c>
      <c r="O222" t="s">
        <v>62</v>
      </c>
    </row>
    <row r="223" spans="2:15" x14ac:dyDescent="0.25">
      <c r="B223" t="s">
        <v>124</v>
      </c>
      <c r="C223" t="s">
        <v>94</v>
      </c>
      <c r="D223">
        <v>3.517730008110382E-2</v>
      </c>
      <c r="E223" t="s">
        <v>62</v>
      </c>
      <c r="G223" t="s">
        <v>144</v>
      </c>
      <c r="H223" t="s">
        <v>94</v>
      </c>
      <c r="I223">
        <v>5.4780171200207528E-3</v>
      </c>
      <c r="J223" t="s">
        <v>62</v>
      </c>
      <c r="L223" t="s">
        <v>164</v>
      </c>
      <c r="M223" t="s">
        <v>94</v>
      </c>
      <c r="N223">
        <v>9.0967139638515118E-3</v>
      </c>
      <c r="O223" t="s">
        <v>62</v>
      </c>
    </row>
    <row r="224" spans="2:15" x14ac:dyDescent="0.25">
      <c r="B224" t="s">
        <v>124</v>
      </c>
      <c r="C224" t="s">
        <v>95</v>
      </c>
      <c r="D224">
        <v>5.101903516370649E-2</v>
      </c>
      <c r="E224" t="s">
        <v>62</v>
      </c>
      <c r="G224" t="s">
        <v>144</v>
      </c>
      <c r="H224" t="s">
        <v>95</v>
      </c>
      <c r="I224">
        <v>6.639080342595664E-3</v>
      </c>
      <c r="J224" t="s">
        <v>62</v>
      </c>
      <c r="L224" t="s">
        <v>164</v>
      </c>
      <c r="M224" t="s">
        <v>95</v>
      </c>
      <c r="N224">
        <v>9.5621686284289506E-3</v>
      </c>
      <c r="O224" t="s">
        <v>62</v>
      </c>
    </row>
    <row r="225" spans="2:15" x14ac:dyDescent="0.25">
      <c r="B225" t="s">
        <v>124</v>
      </c>
      <c r="C225" t="s">
        <v>96</v>
      </c>
      <c r="D225">
        <v>5.3114725339207636E-2</v>
      </c>
      <c r="E225" t="s">
        <v>62</v>
      </c>
      <c r="G225" t="s">
        <v>144</v>
      </c>
      <c r="H225" t="s">
        <v>96</v>
      </c>
      <c r="I225">
        <v>6.0915703069147117E-3</v>
      </c>
      <c r="J225" t="s">
        <v>62</v>
      </c>
      <c r="L225" t="s">
        <v>164</v>
      </c>
      <c r="M225" t="s">
        <v>96</v>
      </c>
      <c r="N225">
        <v>8.8394995899711871E-3</v>
      </c>
      <c r="O225" t="s">
        <v>62</v>
      </c>
    </row>
    <row r="226" spans="2:15" x14ac:dyDescent="0.25">
      <c r="B226" t="s">
        <v>124</v>
      </c>
      <c r="C226" t="s">
        <v>97</v>
      </c>
      <c r="D226">
        <v>5.1519899911976627E-2</v>
      </c>
      <c r="E226" t="s">
        <v>62</v>
      </c>
      <c r="G226" t="s">
        <v>144</v>
      </c>
      <c r="H226" t="s">
        <v>97</v>
      </c>
      <c r="I226">
        <v>7.2617936524767305E-3</v>
      </c>
      <c r="J226" t="s">
        <v>62</v>
      </c>
      <c r="L226" t="s">
        <v>164</v>
      </c>
      <c r="M226" t="s">
        <v>97</v>
      </c>
      <c r="N226">
        <v>9.7615431110972661E-3</v>
      </c>
      <c r="O226" t="s">
        <v>62</v>
      </c>
    </row>
    <row r="227" spans="2:15" x14ac:dyDescent="0.25">
      <c r="B227" t="s">
        <v>124</v>
      </c>
      <c r="C227" t="s">
        <v>98</v>
      </c>
      <c r="D227">
        <v>4.5533456016479609E-2</v>
      </c>
      <c r="E227" t="s">
        <v>62</v>
      </c>
      <c r="G227" t="s">
        <v>144</v>
      </c>
      <c r="H227" t="s">
        <v>98</v>
      </c>
      <c r="I227">
        <v>7.6595652024867202E-3</v>
      </c>
      <c r="J227" t="s">
        <v>62</v>
      </c>
      <c r="L227" t="s">
        <v>164</v>
      </c>
      <c r="M227" t="s">
        <v>98</v>
      </c>
      <c r="N227">
        <v>9.9987778981377885E-3</v>
      </c>
      <c r="O227" t="s">
        <v>62</v>
      </c>
    </row>
    <row r="228" spans="2:15" x14ac:dyDescent="0.25">
      <c r="B228" t="s">
        <v>124</v>
      </c>
      <c r="C228" t="s">
        <v>99</v>
      </c>
      <c r="D228">
        <v>3.1126413056153327E-2</v>
      </c>
      <c r="E228" t="s">
        <v>62</v>
      </c>
      <c r="G228" t="s">
        <v>144</v>
      </c>
      <c r="H228" t="s">
        <v>99</v>
      </c>
      <c r="I228">
        <v>6.6570160061024284E-3</v>
      </c>
      <c r="J228" t="s">
        <v>62</v>
      </c>
      <c r="L228" t="s">
        <v>164</v>
      </c>
      <c r="M228" t="s">
        <v>99</v>
      </c>
      <c r="N228">
        <v>9.979854410531782E-3</v>
      </c>
      <c r="O228" t="s">
        <v>62</v>
      </c>
    </row>
    <row r="229" spans="2:15" x14ac:dyDescent="0.25">
      <c r="B229" t="s">
        <v>124</v>
      </c>
      <c r="C229" t="s">
        <v>100</v>
      </c>
      <c r="D229">
        <v>1.1602203871472925E-2</v>
      </c>
      <c r="E229" t="s">
        <v>62</v>
      </c>
      <c r="G229" t="s">
        <v>144</v>
      </c>
      <c r="H229" t="s">
        <v>100</v>
      </c>
      <c r="I229">
        <v>8.0808731622780544E-3</v>
      </c>
      <c r="J229" t="s">
        <v>62</v>
      </c>
      <c r="L229" t="s">
        <v>164</v>
      </c>
      <c r="M229" t="s">
        <v>100</v>
      </c>
      <c r="N229">
        <v>9.9664879035454724E-3</v>
      </c>
      <c r="O229" t="s">
        <v>62</v>
      </c>
    </row>
    <row r="230" spans="2:15" x14ac:dyDescent="0.25">
      <c r="B230" t="s">
        <v>124</v>
      </c>
      <c r="C230" t="s">
        <v>101</v>
      </c>
      <c r="D230">
        <v>0</v>
      </c>
      <c r="E230" t="s">
        <v>62</v>
      </c>
      <c r="G230" t="s">
        <v>144</v>
      </c>
      <c r="H230" t="s">
        <v>101</v>
      </c>
      <c r="I230">
        <v>1.3659910294836913E-2</v>
      </c>
      <c r="J230" t="s">
        <v>62</v>
      </c>
      <c r="L230" t="s">
        <v>164</v>
      </c>
      <c r="M230" t="s">
        <v>101</v>
      </c>
      <c r="N230">
        <v>1.6010659526335968E-2</v>
      </c>
      <c r="O230" t="s">
        <v>62</v>
      </c>
    </row>
    <row r="231" spans="2:15" x14ac:dyDescent="0.25">
      <c r="B231" t="s">
        <v>124</v>
      </c>
      <c r="C231" t="s">
        <v>102</v>
      </c>
      <c r="D231">
        <v>0</v>
      </c>
      <c r="E231" t="s">
        <v>62</v>
      </c>
      <c r="G231" t="s">
        <v>144</v>
      </c>
      <c r="H231" t="s">
        <v>102</v>
      </c>
      <c r="I231">
        <v>3.7000818047345209E-2</v>
      </c>
      <c r="J231" t="s">
        <v>62</v>
      </c>
      <c r="L231" t="s">
        <v>164</v>
      </c>
      <c r="M231" t="s">
        <v>102</v>
      </c>
      <c r="N231">
        <v>3.411963893712075E-2</v>
      </c>
      <c r="O231" t="s">
        <v>62</v>
      </c>
    </row>
    <row r="232" spans="2:15" x14ac:dyDescent="0.25">
      <c r="B232" t="s">
        <v>124</v>
      </c>
      <c r="C232" t="s">
        <v>103</v>
      </c>
      <c r="D232">
        <v>2.1980744649166122E-4</v>
      </c>
      <c r="E232" t="s">
        <v>62</v>
      </c>
      <c r="G232" t="s">
        <v>144</v>
      </c>
      <c r="H232" t="s">
        <v>103</v>
      </c>
      <c r="I232">
        <v>1.4198079790016136E-2</v>
      </c>
      <c r="J232" t="s">
        <v>62</v>
      </c>
      <c r="L232" t="s">
        <v>164</v>
      </c>
      <c r="M232" t="s">
        <v>103</v>
      </c>
      <c r="N232">
        <v>1.3357769221720198E-2</v>
      </c>
      <c r="O232" t="s">
        <v>62</v>
      </c>
    </row>
    <row r="233" spans="2:15" x14ac:dyDescent="0.25">
      <c r="B233" t="s">
        <v>124</v>
      </c>
      <c r="C233" t="s">
        <v>104</v>
      </c>
      <c r="D233">
        <v>1.244725743525228E-2</v>
      </c>
      <c r="E233" t="s">
        <v>62</v>
      </c>
      <c r="G233" t="s">
        <v>144</v>
      </c>
      <c r="H233" t="s">
        <v>104</v>
      </c>
      <c r="I233">
        <v>1.2861087530241564E-2</v>
      </c>
      <c r="J233" t="s">
        <v>62</v>
      </c>
      <c r="L233" t="s">
        <v>164</v>
      </c>
      <c r="M233" t="s">
        <v>104</v>
      </c>
      <c r="N233">
        <v>1.3833458951297339E-2</v>
      </c>
      <c r="O233" t="s">
        <v>62</v>
      </c>
    </row>
    <row r="234" spans="2:15" x14ac:dyDescent="0.25">
      <c r="B234" t="s">
        <v>124</v>
      </c>
      <c r="C234" t="s">
        <v>105</v>
      </c>
      <c r="D234">
        <v>2.7569976657964953E-2</v>
      </c>
      <c r="E234" t="s">
        <v>62</v>
      </c>
      <c r="G234" t="s">
        <v>144</v>
      </c>
      <c r="H234" t="s">
        <v>105</v>
      </c>
      <c r="I234">
        <v>1.1882365198257317E-2</v>
      </c>
      <c r="J234" t="s">
        <v>62</v>
      </c>
      <c r="L234" t="s">
        <v>164</v>
      </c>
      <c r="M234" t="s">
        <v>105</v>
      </c>
      <c r="N234">
        <v>1.4128904225422532E-2</v>
      </c>
      <c r="O234" t="s">
        <v>62</v>
      </c>
    </row>
    <row r="235" spans="2:15" x14ac:dyDescent="0.25">
      <c r="B235" t="s">
        <v>124</v>
      </c>
      <c r="C235" t="s">
        <v>106</v>
      </c>
      <c r="D235">
        <v>3.2391851285689263E-2</v>
      </c>
      <c r="E235" t="s">
        <v>62</v>
      </c>
      <c r="G235" t="s">
        <v>144</v>
      </c>
      <c r="H235" t="s">
        <v>106</v>
      </c>
      <c r="I235">
        <v>1.1126418896018292E-2</v>
      </c>
      <c r="J235" t="s">
        <v>62</v>
      </c>
      <c r="L235" t="s">
        <v>164</v>
      </c>
      <c r="M235" t="s">
        <v>106</v>
      </c>
      <c r="N235">
        <v>1.3412885443398635E-2</v>
      </c>
      <c r="O235" t="s">
        <v>62</v>
      </c>
    </row>
    <row r="236" spans="2:15" x14ac:dyDescent="0.25">
      <c r="B236" t="s">
        <v>124</v>
      </c>
      <c r="C236" t="s">
        <v>107</v>
      </c>
      <c r="D236">
        <v>3.2133208023760143E-2</v>
      </c>
      <c r="E236" t="s">
        <v>62</v>
      </c>
      <c r="G236" t="s">
        <v>144</v>
      </c>
      <c r="H236" t="s">
        <v>107</v>
      </c>
      <c r="I236">
        <v>1.2426403113426019E-2</v>
      </c>
      <c r="J236" t="s">
        <v>62</v>
      </c>
      <c r="L236" t="s">
        <v>164</v>
      </c>
      <c r="M236" t="s">
        <v>107</v>
      </c>
      <c r="N236">
        <v>1.3111144532820923E-2</v>
      </c>
      <c r="O236" t="s">
        <v>62</v>
      </c>
    </row>
    <row r="237" spans="2:15" x14ac:dyDescent="0.25">
      <c r="B237" t="s">
        <v>124</v>
      </c>
      <c r="C237" t="s">
        <v>108</v>
      </c>
      <c r="D237">
        <v>2.4576614132387042E-2</v>
      </c>
      <c r="E237" t="s">
        <v>62</v>
      </c>
      <c r="G237" t="s">
        <v>144</v>
      </c>
      <c r="H237" t="s">
        <v>108</v>
      </c>
      <c r="I237">
        <v>1.2928509219137393E-2</v>
      </c>
      <c r="J237" t="s">
        <v>62</v>
      </c>
      <c r="L237" t="s">
        <v>164</v>
      </c>
      <c r="M237" t="s">
        <v>108</v>
      </c>
      <c r="N237">
        <v>1.3214952310150584E-2</v>
      </c>
      <c r="O237" t="s">
        <v>62</v>
      </c>
    </row>
    <row r="238" spans="2:15" x14ac:dyDescent="0.25">
      <c r="B238" t="s">
        <v>124</v>
      </c>
      <c r="C238" t="s">
        <v>109</v>
      </c>
      <c r="D238">
        <v>8.7436725997844609E-3</v>
      </c>
      <c r="E238" t="s">
        <v>62</v>
      </c>
      <c r="G238" t="s">
        <v>144</v>
      </c>
      <c r="H238" t="s">
        <v>109</v>
      </c>
      <c r="I238">
        <v>1.3718108941053599E-2</v>
      </c>
      <c r="J238" t="s">
        <v>62</v>
      </c>
      <c r="L238" t="s">
        <v>164</v>
      </c>
      <c r="M238" t="s">
        <v>109</v>
      </c>
      <c r="N238">
        <v>1.3384482538331509E-2</v>
      </c>
      <c r="O238" t="s">
        <v>62</v>
      </c>
    </row>
    <row r="239" spans="2:15" x14ac:dyDescent="0.25">
      <c r="B239" t="s">
        <v>124</v>
      </c>
      <c r="C239" t="s">
        <v>110</v>
      </c>
      <c r="D239">
        <v>8.5777209637607135E-5</v>
      </c>
      <c r="E239" t="s">
        <v>62</v>
      </c>
      <c r="G239" t="s">
        <v>144</v>
      </c>
      <c r="H239" t="s">
        <v>110</v>
      </c>
      <c r="I239">
        <v>1.5132427895314786E-2</v>
      </c>
      <c r="J239" t="s">
        <v>62</v>
      </c>
      <c r="L239" t="s">
        <v>164</v>
      </c>
      <c r="M239" t="s">
        <v>110</v>
      </c>
      <c r="N239">
        <v>1.3732629426489779E-2</v>
      </c>
      <c r="O239" t="s">
        <v>62</v>
      </c>
    </row>
    <row r="240" spans="2:15" x14ac:dyDescent="0.25">
      <c r="B240" t="s">
        <v>124</v>
      </c>
      <c r="C240" t="s">
        <v>111</v>
      </c>
      <c r="D240">
        <v>0</v>
      </c>
      <c r="E240" t="s">
        <v>62</v>
      </c>
      <c r="G240" t="s">
        <v>144</v>
      </c>
      <c r="H240" t="s">
        <v>111</v>
      </c>
      <c r="I240">
        <v>2.3363026972086937E-2</v>
      </c>
      <c r="J240" t="s">
        <v>62</v>
      </c>
      <c r="L240" t="s">
        <v>164</v>
      </c>
      <c r="M240" t="s">
        <v>111</v>
      </c>
      <c r="N240">
        <v>2.0908378627967978E-2</v>
      </c>
      <c r="O240" t="s">
        <v>62</v>
      </c>
    </row>
    <row r="241" spans="2:15" x14ac:dyDescent="0.25">
      <c r="B241" t="s">
        <v>124</v>
      </c>
      <c r="C241" t="s">
        <v>112</v>
      </c>
      <c r="D241">
        <v>0</v>
      </c>
      <c r="E241" t="s">
        <v>62</v>
      </c>
      <c r="G241" t="s">
        <v>144</v>
      </c>
      <c r="H241" t="s">
        <v>112</v>
      </c>
      <c r="I241">
        <v>5.5979046712387452E-2</v>
      </c>
      <c r="J241" t="s">
        <v>62</v>
      </c>
      <c r="L241" t="s">
        <v>164</v>
      </c>
      <c r="M241" t="s">
        <v>112</v>
      </c>
      <c r="N241">
        <v>4.6193603713931955E-2</v>
      </c>
      <c r="O241" t="s">
        <v>62</v>
      </c>
    </row>
    <row r="242" spans="2:15" x14ac:dyDescent="0.25">
      <c r="B242" t="s">
        <v>124</v>
      </c>
      <c r="C242" t="s">
        <v>113</v>
      </c>
      <c r="D242">
        <v>0</v>
      </c>
      <c r="E242" t="s">
        <v>62</v>
      </c>
      <c r="G242" t="s">
        <v>144</v>
      </c>
      <c r="H242" t="s">
        <v>113</v>
      </c>
      <c r="I242">
        <v>2.1835366668896093E-2</v>
      </c>
      <c r="J242" t="s">
        <v>62</v>
      </c>
      <c r="L242" t="s">
        <v>164</v>
      </c>
      <c r="M242" t="s">
        <v>113</v>
      </c>
      <c r="N242">
        <v>1.8977294927256333E-2</v>
      </c>
      <c r="O242" t="s">
        <v>62</v>
      </c>
    </row>
    <row r="243" spans="2:15" x14ac:dyDescent="0.25">
      <c r="B243" t="s">
        <v>124</v>
      </c>
      <c r="C243" t="s">
        <v>114</v>
      </c>
      <c r="D243">
        <v>1.4500547078445563E-4</v>
      </c>
      <c r="E243" t="s">
        <v>62</v>
      </c>
      <c r="G243" t="s">
        <v>144</v>
      </c>
      <c r="H243" t="s">
        <v>114</v>
      </c>
      <c r="I243">
        <v>2.176829735618686E-2</v>
      </c>
      <c r="J243" t="s">
        <v>62</v>
      </c>
      <c r="L243" t="s">
        <v>164</v>
      </c>
      <c r="M243" t="s">
        <v>114</v>
      </c>
      <c r="N243">
        <v>1.8726818982934094E-2</v>
      </c>
      <c r="O243" t="s">
        <v>62</v>
      </c>
    </row>
    <row r="244" spans="2:15" x14ac:dyDescent="0.25">
      <c r="B244" t="s">
        <v>124</v>
      </c>
      <c r="C244" t="s">
        <v>115</v>
      </c>
      <c r="D244">
        <v>7.1122556096140559E-3</v>
      </c>
      <c r="E244" t="s">
        <v>62</v>
      </c>
      <c r="G244" t="s">
        <v>144</v>
      </c>
      <c r="H244" t="s">
        <v>115</v>
      </c>
      <c r="I244">
        <v>2.0934511261213446E-2</v>
      </c>
      <c r="J244" t="s">
        <v>62</v>
      </c>
      <c r="L244" t="s">
        <v>164</v>
      </c>
      <c r="M244" t="s">
        <v>115</v>
      </c>
      <c r="N244">
        <v>1.8647706799599751E-2</v>
      </c>
      <c r="O244" t="s">
        <v>62</v>
      </c>
    </row>
    <row r="245" spans="2:15" x14ac:dyDescent="0.25">
      <c r="B245" t="s">
        <v>124</v>
      </c>
      <c r="C245" t="s">
        <v>116</v>
      </c>
      <c r="D245">
        <v>1.2331114690145901E-2</v>
      </c>
      <c r="E245" t="s">
        <v>62</v>
      </c>
      <c r="G245" t="s">
        <v>144</v>
      </c>
      <c r="H245" t="s">
        <v>116</v>
      </c>
      <c r="I245">
        <v>1.9043764963849907E-2</v>
      </c>
      <c r="J245" t="s">
        <v>62</v>
      </c>
      <c r="L245" t="s">
        <v>164</v>
      </c>
      <c r="M245" t="s">
        <v>116</v>
      </c>
      <c r="N245">
        <v>1.9076100812605419E-2</v>
      </c>
      <c r="O245" t="s">
        <v>62</v>
      </c>
    </row>
    <row r="246" spans="2:15" x14ac:dyDescent="0.25">
      <c r="B246" t="s">
        <v>124</v>
      </c>
      <c r="C246" t="s">
        <v>117</v>
      </c>
      <c r="D246">
        <v>1.2780045573935399E-2</v>
      </c>
      <c r="E246" t="s">
        <v>62</v>
      </c>
      <c r="G246" t="s">
        <v>144</v>
      </c>
      <c r="H246" t="s">
        <v>117</v>
      </c>
      <c r="I246">
        <v>1.9202738812172805E-2</v>
      </c>
      <c r="J246" t="s">
        <v>62</v>
      </c>
      <c r="L246" t="s">
        <v>164</v>
      </c>
      <c r="M246" t="s">
        <v>117</v>
      </c>
      <c r="N246">
        <v>1.9070364429092396E-2</v>
      </c>
      <c r="O246" t="s">
        <v>62</v>
      </c>
    </row>
    <row r="247" spans="2:15" x14ac:dyDescent="0.25">
      <c r="B247" t="s">
        <v>124</v>
      </c>
      <c r="C247" t="s">
        <v>118</v>
      </c>
      <c r="D247">
        <v>6.4280776766329649E-3</v>
      </c>
      <c r="E247" t="s">
        <v>62</v>
      </c>
      <c r="G247" t="s">
        <v>144</v>
      </c>
      <c r="H247" t="s">
        <v>118</v>
      </c>
      <c r="I247">
        <v>2.0883814645602985E-2</v>
      </c>
      <c r="J247" t="s">
        <v>62</v>
      </c>
      <c r="L247" t="s">
        <v>164</v>
      </c>
      <c r="M247" t="s">
        <v>118</v>
      </c>
      <c r="N247">
        <v>1.900452723580659E-2</v>
      </c>
      <c r="O247" t="s">
        <v>62</v>
      </c>
    </row>
    <row r="248" spans="2:15" x14ac:dyDescent="0.25">
      <c r="B248" t="s">
        <v>124</v>
      </c>
      <c r="C248" t="s">
        <v>119</v>
      </c>
      <c r="D248">
        <v>0</v>
      </c>
      <c r="E248" t="s">
        <v>62</v>
      </c>
      <c r="G248" t="s">
        <v>144</v>
      </c>
      <c r="H248" t="s">
        <v>119</v>
      </c>
      <c r="I248">
        <v>2.2323885903739366E-2</v>
      </c>
      <c r="J248" t="s">
        <v>62</v>
      </c>
      <c r="L248" t="s">
        <v>164</v>
      </c>
      <c r="M248" t="s">
        <v>119</v>
      </c>
      <c r="N248">
        <v>1.8690727123811555E-2</v>
      </c>
      <c r="O248" t="s">
        <v>62</v>
      </c>
    </row>
    <row r="249" spans="2:15" x14ac:dyDescent="0.25">
      <c r="B249" t="s">
        <v>124</v>
      </c>
      <c r="C249" t="s">
        <v>120</v>
      </c>
      <c r="D249">
        <v>0</v>
      </c>
      <c r="E249" t="s">
        <v>62</v>
      </c>
      <c r="G249" t="s">
        <v>144</v>
      </c>
      <c r="H249" t="s">
        <v>120</v>
      </c>
      <c r="I249">
        <v>2.2451781282577916E-2</v>
      </c>
      <c r="J249" t="s">
        <v>62</v>
      </c>
      <c r="L249" t="s">
        <v>164</v>
      </c>
      <c r="M249" t="s">
        <v>120</v>
      </c>
      <c r="N249">
        <v>1.8667540076697596E-2</v>
      </c>
      <c r="O249" t="s">
        <v>62</v>
      </c>
    </row>
    <row r="250" spans="2:15" x14ac:dyDescent="0.25">
      <c r="B250" t="s">
        <v>124</v>
      </c>
      <c r="C250" t="s">
        <v>121</v>
      </c>
      <c r="D250">
        <v>0</v>
      </c>
      <c r="E250" t="s">
        <v>62</v>
      </c>
      <c r="G250" t="s">
        <v>144</v>
      </c>
      <c r="H250" t="s">
        <v>121</v>
      </c>
      <c r="I250">
        <v>3.3644618288470013E-2</v>
      </c>
      <c r="J250" t="s">
        <v>62</v>
      </c>
      <c r="L250" t="s">
        <v>164</v>
      </c>
      <c r="M250" t="s">
        <v>121</v>
      </c>
      <c r="N250">
        <v>2.7661074639025948E-2</v>
      </c>
      <c r="O250" t="s">
        <v>62</v>
      </c>
    </row>
    <row r="251" spans="2:15" x14ac:dyDescent="0.25">
      <c r="B251" t="s">
        <v>125</v>
      </c>
      <c r="C251" t="s">
        <v>61</v>
      </c>
      <c r="D251">
        <v>0</v>
      </c>
      <c r="E251" t="s">
        <v>62</v>
      </c>
      <c r="G251" t="s">
        <v>145</v>
      </c>
      <c r="H251" t="s">
        <v>61</v>
      </c>
      <c r="I251">
        <v>3.7740351620953766E-2</v>
      </c>
      <c r="J251" t="s">
        <v>62</v>
      </c>
      <c r="L251" t="s">
        <v>165</v>
      </c>
      <c r="M251" t="s">
        <v>61</v>
      </c>
      <c r="N251">
        <v>3.3244781006328918E-2</v>
      </c>
      <c r="O251" t="s">
        <v>62</v>
      </c>
    </row>
    <row r="252" spans="2:15" x14ac:dyDescent="0.25">
      <c r="B252" t="s">
        <v>125</v>
      </c>
      <c r="C252" t="s">
        <v>63</v>
      </c>
      <c r="D252">
        <v>0</v>
      </c>
      <c r="E252" t="s">
        <v>62</v>
      </c>
      <c r="G252" t="s">
        <v>145</v>
      </c>
      <c r="H252" t="s">
        <v>63</v>
      </c>
      <c r="I252">
        <v>1.542274917375174E-2</v>
      </c>
      <c r="J252" t="s">
        <v>62</v>
      </c>
      <c r="L252" t="s">
        <v>165</v>
      </c>
      <c r="M252" t="s">
        <v>63</v>
      </c>
      <c r="N252">
        <v>1.3300860286762256E-2</v>
      </c>
      <c r="O252" t="s">
        <v>62</v>
      </c>
    </row>
    <row r="253" spans="2:15" x14ac:dyDescent="0.25">
      <c r="B253" t="s">
        <v>125</v>
      </c>
      <c r="C253" t="s">
        <v>64</v>
      </c>
      <c r="D253">
        <v>4.3088948751414711E-4</v>
      </c>
      <c r="E253" t="s">
        <v>62</v>
      </c>
      <c r="G253" t="s">
        <v>145</v>
      </c>
      <c r="H253" t="s">
        <v>64</v>
      </c>
      <c r="I253">
        <v>1.5336913940680302E-2</v>
      </c>
      <c r="J253" t="s">
        <v>62</v>
      </c>
      <c r="L253" t="s">
        <v>165</v>
      </c>
      <c r="M253" t="s">
        <v>64</v>
      </c>
      <c r="N253">
        <v>1.3679693828982271E-2</v>
      </c>
      <c r="O253" t="s">
        <v>62</v>
      </c>
    </row>
    <row r="254" spans="2:15" x14ac:dyDescent="0.25">
      <c r="B254" t="s">
        <v>125</v>
      </c>
      <c r="C254" t="s">
        <v>65</v>
      </c>
      <c r="D254">
        <v>8.4426615277786825E-3</v>
      </c>
      <c r="E254" t="s">
        <v>62</v>
      </c>
      <c r="G254" t="s">
        <v>145</v>
      </c>
      <c r="H254" t="s">
        <v>65</v>
      </c>
      <c r="I254">
        <v>1.4813100853161934E-2</v>
      </c>
      <c r="J254" t="s">
        <v>62</v>
      </c>
      <c r="L254" t="s">
        <v>165</v>
      </c>
      <c r="M254" t="s">
        <v>65</v>
      </c>
      <c r="N254">
        <v>1.4116427535507089E-2</v>
      </c>
      <c r="O254" t="s">
        <v>62</v>
      </c>
    </row>
    <row r="255" spans="2:15" x14ac:dyDescent="0.25">
      <c r="B255" t="s">
        <v>125</v>
      </c>
      <c r="C255" t="s">
        <v>66</v>
      </c>
      <c r="D255">
        <v>1.5260773296171174E-2</v>
      </c>
      <c r="E255" t="s">
        <v>62</v>
      </c>
      <c r="G255" t="s">
        <v>145</v>
      </c>
      <c r="H255" t="s">
        <v>66</v>
      </c>
      <c r="I255">
        <v>1.331123299150838E-2</v>
      </c>
      <c r="J255" t="s">
        <v>62</v>
      </c>
      <c r="L255" t="s">
        <v>165</v>
      </c>
      <c r="M255" t="s">
        <v>66</v>
      </c>
      <c r="N255">
        <v>1.4222647802309921E-2</v>
      </c>
      <c r="O255" t="s">
        <v>62</v>
      </c>
    </row>
    <row r="256" spans="2:15" x14ac:dyDescent="0.25">
      <c r="B256" t="s">
        <v>125</v>
      </c>
      <c r="C256" t="s">
        <v>67</v>
      </c>
      <c r="D256">
        <v>1.4773614893740041E-2</v>
      </c>
      <c r="E256" t="s">
        <v>62</v>
      </c>
      <c r="G256" t="s">
        <v>145</v>
      </c>
      <c r="H256" t="s">
        <v>67</v>
      </c>
      <c r="I256">
        <v>1.2930013731388138E-2</v>
      </c>
      <c r="J256" t="s">
        <v>62</v>
      </c>
      <c r="L256" t="s">
        <v>165</v>
      </c>
      <c r="M256" t="s">
        <v>67</v>
      </c>
      <c r="N256">
        <v>1.3696003291339276E-2</v>
      </c>
      <c r="O256" t="s">
        <v>62</v>
      </c>
    </row>
    <row r="257" spans="2:15" x14ac:dyDescent="0.25">
      <c r="B257" t="s">
        <v>125</v>
      </c>
      <c r="C257" t="s">
        <v>68</v>
      </c>
      <c r="D257">
        <v>8.5009348307145266E-3</v>
      </c>
      <c r="E257" t="s">
        <v>62</v>
      </c>
      <c r="G257" t="s">
        <v>145</v>
      </c>
      <c r="H257" t="s">
        <v>68</v>
      </c>
      <c r="I257">
        <v>1.3907864056349703E-2</v>
      </c>
      <c r="J257" t="s">
        <v>62</v>
      </c>
      <c r="L257" t="s">
        <v>165</v>
      </c>
      <c r="M257" t="s">
        <v>68</v>
      </c>
      <c r="N257">
        <v>1.3654390014058805E-2</v>
      </c>
      <c r="O257" t="s">
        <v>62</v>
      </c>
    </row>
    <row r="258" spans="2:15" x14ac:dyDescent="0.25">
      <c r="B258" t="s">
        <v>125</v>
      </c>
      <c r="C258" t="s">
        <v>69</v>
      </c>
      <c r="D258">
        <v>9.3896643611606769E-4</v>
      </c>
      <c r="E258" t="s">
        <v>62</v>
      </c>
      <c r="G258" t="s">
        <v>145</v>
      </c>
      <c r="H258" t="s">
        <v>69</v>
      </c>
      <c r="I258">
        <v>1.5529125799704821E-2</v>
      </c>
      <c r="J258" t="s">
        <v>62</v>
      </c>
      <c r="L258" t="s">
        <v>165</v>
      </c>
      <c r="M258" t="s">
        <v>69</v>
      </c>
      <c r="N258">
        <v>1.3934524100598488E-2</v>
      </c>
      <c r="O258" t="s">
        <v>62</v>
      </c>
    </row>
    <row r="259" spans="2:15" x14ac:dyDescent="0.25">
      <c r="B259" t="s">
        <v>125</v>
      </c>
      <c r="C259" t="s">
        <v>70</v>
      </c>
      <c r="D259">
        <v>0</v>
      </c>
      <c r="E259" t="s">
        <v>62</v>
      </c>
      <c r="G259" t="s">
        <v>145</v>
      </c>
      <c r="H259" t="s">
        <v>70</v>
      </c>
      <c r="I259">
        <v>1.6331439305858338E-2</v>
      </c>
      <c r="J259" t="s">
        <v>62</v>
      </c>
      <c r="L259" t="s">
        <v>165</v>
      </c>
      <c r="M259" t="s">
        <v>70</v>
      </c>
      <c r="N259">
        <v>1.4125634089050118E-2</v>
      </c>
      <c r="O259" t="s">
        <v>62</v>
      </c>
    </row>
    <row r="260" spans="2:15" x14ac:dyDescent="0.25">
      <c r="B260" t="s">
        <v>125</v>
      </c>
      <c r="C260" t="s">
        <v>71</v>
      </c>
      <c r="D260">
        <v>0</v>
      </c>
      <c r="E260" t="s">
        <v>62</v>
      </c>
      <c r="G260" t="s">
        <v>145</v>
      </c>
      <c r="H260" t="s">
        <v>71</v>
      </c>
      <c r="I260">
        <v>2.3646103110998743E-2</v>
      </c>
      <c r="J260" t="s">
        <v>62</v>
      </c>
      <c r="L260" t="s">
        <v>165</v>
      </c>
      <c r="M260" t="s">
        <v>71</v>
      </c>
      <c r="N260">
        <v>2.0702647070466557E-2</v>
      </c>
      <c r="O260" t="s">
        <v>62</v>
      </c>
    </row>
    <row r="261" spans="2:15" x14ac:dyDescent="0.25">
      <c r="B261" t="s">
        <v>125</v>
      </c>
      <c r="C261" t="s">
        <v>72</v>
      </c>
      <c r="D261">
        <v>0</v>
      </c>
      <c r="E261" t="s">
        <v>62</v>
      </c>
      <c r="G261" t="s">
        <v>145</v>
      </c>
      <c r="H261" t="s">
        <v>72</v>
      </c>
      <c r="I261">
        <v>4.4706800896387545E-2</v>
      </c>
      <c r="J261" t="s">
        <v>62</v>
      </c>
      <c r="L261" t="s">
        <v>165</v>
      </c>
      <c r="M261" t="s">
        <v>72</v>
      </c>
      <c r="N261">
        <v>4.1265369815561059E-2</v>
      </c>
      <c r="O261" t="s">
        <v>62</v>
      </c>
    </row>
    <row r="262" spans="2:15" x14ac:dyDescent="0.25">
      <c r="B262" t="s">
        <v>125</v>
      </c>
      <c r="C262" t="s">
        <v>73</v>
      </c>
      <c r="D262">
        <v>2.4767370786590789E-3</v>
      </c>
      <c r="E262" t="s">
        <v>62</v>
      </c>
      <c r="G262" t="s">
        <v>145</v>
      </c>
      <c r="H262" t="s">
        <v>73</v>
      </c>
      <c r="I262">
        <v>1.7492008902859936E-2</v>
      </c>
      <c r="J262" t="s">
        <v>62</v>
      </c>
      <c r="L262" t="s">
        <v>165</v>
      </c>
      <c r="M262" t="s">
        <v>73</v>
      </c>
      <c r="N262">
        <v>1.5704206008239664E-2</v>
      </c>
      <c r="O262" t="s">
        <v>62</v>
      </c>
    </row>
    <row r="263" spans="2:15" x14ac:dyDescent="0.25">
      <c r="B263" t="s">
        <v>125</v>
      </c>
      <c r="C263" t="s">
        <v>74</v>
      </c>
      <c r="D263">
        <v>2.2096223722180515E-2</v>
      </c>
      <c r="E263" t="s">
        <v>62</v>
      </c>
      <c r="G263" t="s">
        <v>145</v>
      </c>
      <c r="H263" t="s">
        <v>74</v>
      </c>
      <c r="I263">
        <v>1.5443811822600861E-2</v>
      </c>
      <c r="J263" t="s">
        <v>62</v>
      </c>
      <c r="L263" t="s">
        <v>165</v>
      </c>
      <c r="M263" t="s">
        <v>74</v>
      </c>
      <c r="N263">
        <v>1.5393842033133209E-2</v>
      </c>
      <c r="O263" t="s">
        <v>62</v>
      </c>
    </row>
    <row r="264" spans="2:15" x14ac:dyDescent="0.25">
      <c r="B264" t="s">
        <v>125</v>
      </c>
      <c r="C264" t="s">
        <v>75</v>
      </c>
      <c r="D264">
        <v>4.2706181054959151E-2</v>
      </c>
      <c r="E264" t="s">
        <v>62</v>
      </c>
      <c r="G264" t="s">
        <v>145</v>
      </c>
      <c r="H264" t="s">
        <v>75</v>
      </c>
      <c r="I264">
        <v>1.4543399886068403E-2</v>
      </c>
      <c r="J264" t="s">
        <v>62</v>
      </c>
      <c r="L264" t="s">
        <v>165</v>
      </c>
      <c r="M264" t="s">
        <v>75</v>
      </c>
      <c r="N264">
        <v>1.5217679853823159E-2</v>
      </c>
      <c r="O264" t="s">
        <v>62</v>
      </c>
    </row>
    <row r="265" spans="2:15" x14ac:dyDescent="0.25">
      <c r="B265" t="s">
        <v>125</v>
      </c>
      <c r="C265" t="s">
        <v>76</v>
      </c>
      <c r="D265">
        <v>4.7163981451763787E-2</v>
      </c>
      <c r="E265" t="s">
        <v>62</v>
      </c>
      <c r="G265" t="s">
        <v>145</v>
      </c>
      <c r="H265" t="s">
        <v>76</v>
      </c>
      <c r="I265">
        <v>1.3513189359051284E-2</v>
      </c>
      <c r="J265" t="s">
        <v>62</v>
      </c>
      <c r="L265" t="s">
        <v>165</v>
      </c>
      <c r="M265" t="s">
        <v>76</v>
      </c>
      <c r="N265">
        <v>1.4079039256919681E-2</v>
      </c>
      <c r="O265" t="s">
        <v>62</v>
      </c>
    </row>
    <row r="266" spans="2:15" x14ac:dyDescent="0.25">
      <c r="B266" t="s">
        <v>125</v>
      </c>
      <c r="C266" t="s">
        <v>77</v>
      </c>
      <c r="D266">
        <v>4.4826046899110801E-2</v>
      </c>
      <c r="E266" t="s">
        <v>62</v>
      </c>
      <c r="G266" t="s">
        <v>145</v>
      </c>
      <c r="H266" t="s">
        <v>77</v>
      </c>
      <c r="I266">
        <v>1.5350781693593833E-2</v>
      </c>
      <c r="J266" t="s">
        <v>62</v>
      </c>
      <c r="L266" t="s">
        <v>165</v>
      </c>
      <c r="M266" t="s">
        <v>77</v>
      </c>
      <c r="N266">
        <v>1.429437528738864E-2</v>
      </c>
      <c r="O266" t="s">
        <v>62</v>
      </c>
    </row>
    <row r="267" spans="2:15" x14ac:dyDescent="0.25">
      <c r="B267" t="s">
        <v>125</v>
      </c>
      <c r="C267" t="s">
        <v>78</v>
      </c>
      <c r="D267">
        <v>3.7022494220675391E-2</v>
      </c>
      <c r="E267" t="s">
        <v>62</v>
      </c>
      <c r="G267" t="s">
        <v>145</v>
      </c>
      <c r="H267" t="s">
        <v>78</v>
      </c>
      <c r="I267">
        <v>1.5823238209000605E-2</v>
      </c>
      <c r="J267" t="s">
        <v>62</v>
      </c>
      <c r="L267" t="s">
        <v>165</v>
      </c>
      <c r="M267" t="s">
        <v>78</v>
      </c>
      <c r="N267">
        <v>1.5087704087312069E-2</v>
      </c>
      <c r="O267" t="s">
        <v>62</v>
      </c>
    </row>
    <row r="268" spans="2:15" x14ac:dyDescent="0.25">
      <c r="B268" t="s">
        <v>125</v>
      </c>
      <c r="C268" t="s">
        <v>79</v>
      </c>
      <c r="D268">
        <v>1.9558536787626923E-2</v>
      </c>
      <c r="E268" t="s">
        <v>62</v>
      </c>
      <c r="G268" t="s">
        <v>145</v>
      </c>
      <c r="H268" t="s">
        <v>79</v>
      </c>
      <c r="I268">
        <v>1.6314357037328021E-2</v>
      </c>
      <c r="J268" t="s">
        <v>62</v>
      </c>
      <c r="L268" t="s">
        <v>165</v>
      </c>
      <c r="M268" t="s">
        <v>79</v>
      </c>
      <c r="N268">
        <v>1.6189979639012114E-2</v>
      </c>
      <c r="O268" t="s">
        <v>62</v>
      </c>
    </row>
    <row r="269" spans="2:15" x14ac:dyDescent="0.25">
      <c r="B269" t="s">
        <v>125</v>
      </c>
      <c r="C269" t="s">
        <v>80</v>
      </c>
      <c r="D269">
        <v>1.6261452081605429E-3</v>
      </c>
      <c r="E269" t="s">
        <v>62</v>
      </c>
      <c r="G269" t="s">
        <v>145</v>
      </c>
      <c r="H269" t="s">
        <v>80</v>
      </c>
      <c r="I269">
        <v>1.8369715141848302E-2</v>
      </c>
      <c r="J269" t="s">
        <v>62</v>
      </c>
      <c r="L269" t="s">
        <v>165</v>
      </c>
      <c r="M269" t="s">
        <v>80</v>
      </c>
      <c r="N269">
        <v>1.7519635604494547E-2</v>
      </c>
      <c r="O269" t="s">
        <v>62</v>
      </c>
    </row>
    <row r="270" spans="2:15" x14ac:dyDescent="0.25">
      <c r="B270" t="s">
        <v>125</v>
      </c>
      <c r="C270" t="s">
        <v>81</v>
      </c>
      <c r="D270">
        <v>0</v>
      </c>
      <c r="E270" t="s">
        <v>62</v>
      </c>
      <c r="G270" t="s">
        <v>145</v>
      </c>
      <c r="H270" t="s">
        <v>81</v>
      </c>
      <c r="I270">
        <v>2.7213399571337015E-2</v>
      </c>
      <c r="J270" t="s">
        <v>62</v>
      </c>
      <c r="L270" t="s">
        <v>165</v>
      </c>
      <c r="M270" t="s">
        <v>81</v>
      </c>
      <c r="N270">
        <v>2.6371712665434054E-2</v>
      </c>
      <c r="O270" t="s">
        <v>62</v>
      </c>
    </row>
    <row r="271" spans="2:15" x14ac:dyDescent="0.25">
      <c r="B271" t="s">
        <v>125</v>
      </c>
      <c r="C271" t="s">
        <v>82</v>
      </c>
      <c r="D271">
        <v>0</v>
      </c>
      <c r="E271" t="s">
        <v>62</v>
      </c>
      <c r="G271" t="s">
        <v>145</v>
      </c>
      <c r="H271" t="s">
        <v>82</v>
      </c>
      <c r="I271">
        <v>2.1842437583608702E-2</v>
      </c>
      <c r="J271" t="s">
        <v>62</v>
      </c>
      <c r="L271" t="s">
        <v>165</v>
      </c>
      <c r="M271" t="s">
        <v>82</v>
      </c>
      <c r="N271">
        <v>2.9468105477295517E-2</v>
      </c>
      <c r="O271" t="s">
        <v>62</v>
      </c>
    </row>
    <row r="272" spans="2:15" x14ac:dyDescent="0.25">
      <c r="B272" t="s">
        <v>125</v>
      </c>
      <c r="C272" t="s">
        <v>83</v>
      </c>
      <c r="D272">
        <v>1.4210668123115213E-2</v>
      </c>
      <c r="E272" t="s">
        <v>62</v>
      </c>
      <c r="G272" t="s">
        <v>145</v>
      </c>
      <c r="H272" t="s">
        <v>83</v>
      </c>
      <c r="I272">
        <v>7.5702867890686896E-3</v>
      </c>
      <c r="J272" t="s">
        <v>62</v>
      </c>
      <c r="L272" t="s">
        <v>165</v>
      </c>
      <c r="M272" t="s">
        <v>83</v>
      </c>
      <c r="N272">
        <v>1.0984948159181778E-2</v>
      </c>
      <c r="O272" t="s">
        <v>62</v>
      </c>
    </row>
    <row r="273" spans="2:15" x14ac:dyDescent="0.25">
      <c r="B273" t="s">
        <v>125</v>
      </c>
      <c r="C273" t="s">
        <v>84</v>
      </c>
      <c r="D273">
        <v>3.5340561641245778E-2</v>
      </c>
      <c r="E273" t="s">
        <v>62</v>
      </c>
      <c r="G273" t="s">
        <v>145</v>
      </c>
      <c r="H273" t="s">
        <v>84</v>
      </c>
      <c r="I273">
        <v>5.8097686265660203E-3</v>
      </c>
      <c r="J273" t="s">
        <v>62</v>
      </c>
      <c r="L273" t="s">
        <v>165</v>
      </c>
      <c r="M273" t="s">
        <v>84</v>
      </c>
      <c r="N273">
        <v>1.1099548554958535E-2</v>
      </c>
      <c r="O273" t="s">
        <v>62</v>
      </c>
    </row>
    <row r="274" spans="2:15" x14ac:dyDescent="0.25">
      <c r="B274" t="s">
        <v>125</v>
      </c>
      <c r="C274" t="s">
        <v>85</v>
      </c>
      <c r="D274">
        <v>4.8259327403392602E-2</v>
      </c>
      <c r="E274" t="s">
        <v>62</v>
      </c>
      <c r="G274" t="s">
        <v>145</v>
      </c>
      <c r="H274" t="s">
        <v>85</v>
      </c>
      <c r="I274">
        <v>6.6028210499294356E-3</v>
      </c>
      <c r="J274" t="s">
        <v>62</v>
      </c>
      <c r="L274" t="s">
        <v>165</v>
      </c>
      <c r="M274" t="s">
        <v>85</v>
      </c>
      <c r="N274">
        <v>1.1008589775761538E-2</v>
      </c>
      <c r="O274" t="s">
        <v>62</v>
      </c>
    </row>
    <row r="275" spans="2:15" x14ac:dyDescent="0.25">
      <c r="B275" t="s">
        <v>125</v>
      </c>
      <c r="C275" t="s">
        <v>86</v>
      </c>
      <c r="D275">
        <v>4.9266839131625773E-2</v>
      </c>
      <c r="E275" t="s">
        <v>62</v>
      </c>
      <c r="G275" t="s">
        <v>145</v>
      </c>
      <c r="H275" t="s">
        <v>86</v>
      </c>
      <c r="I275">
        <v>6.2511193235333809E-3</v>
      </c>
      <c r="J275" t="s">
        <v>62</v>
      </c>
      <c r="L275" t="s">
        <v>165</v>
      </c>
      <c r="M275" t="s">
        <v>86</v>
      </c>
      <c r="N275">
        <v>9.835963326948494E-3</v>
      </c>
      <c r="O275" t="s">
        <v>62</v>
      </c>
    </row>
    <row r="276" spans="2:15" x14ac:dyDescent="0.25">
      <c r="B276" t="s">
        <v>125</v>
      </c>
      <c r="C276" t="s">
        <v>87</v>
      </c>
      <c r="D276">
        <v>4.5730680452302469E-2</v>
      </c>
      <c r="E276" t="s">
        <v>62</v>
      </c>
      <c r="G276" t="s">
        <v>145</v>
      </c>
      <c r="H276" t="s">
        <v>87</v>
      </c>
      <c r="I276">
        <v>7.5176846440977241E-3</v>
      </c>
      <c r="J276" t="s">
        <v>62</v>
      </c>
      <c r="L276" t="s">
        <v>165</v>
      </c>
      <c r="M276" t="s">
        <v>87</v>
      </c>
      <c r="N276">
        <v>1.0400683073836675E-2</v>
      </c>
      <c r="O276" t="s">
        <v>62</v>
      </c>
    </row>
    <row r="277" spans="2:15" x14ac:dyDescent="0.25">
      <c r="B277" t="s">
        <v>125</v>
      </c>
      <c r="C277" t="s">
        <v>88</v>
      </c>
      <c r="D277">
        <v>3.841309598795041E-2</v>
      </c>
      <c r="E277" t="s">
        <v>62</v>
      </c>
      <c r="G277" t="s">
        <v>145</v>
      </c>
      <c r="H277" t="s">
        <v>88</v>
      </c>
      <c r="I277">
        <v>7.4935893221197746E-3</v>
      </c>
      <c r="J277" t="s">
        <v>62</v>
      </c>
      <c r="L277" t="s">
        <v>165</v>
      </c>
      <c r="M277" t="s">
        <v>88</v>
      </c>
      <c r="N277">
        <v>1.085848816782828E-2</v>
      </c>
      <c r="O277" t="s">
        <v>62</v>
      </c>
    </row>
    <row r="278" spans="2:15" x14ac:dyDescent="0.25">
      <c r="B278" t="s">
        <v>125</v>
      </c>
      <c r="C278" t="s">
        <v>89</v>
      </c>
      <c r="D278">
        <v>2.5536065629901194E-2</v>
      </c>
      <c r="E278" t="s">
        <v>62</v>
      </c>
      <c r="G278" t="s">
        <v>145</v>
      </c>
      <c r="H278" t="s">
        <v>89</v>
      </c>
      <c r="I278">
        <v>7.1246858018118846E-3</v>
      </c>
      <c r="J278" t="s">
        <v>62</v>
      </c>
      <c r="L278" t="s">
        <v>165</v>
      </c>
      <c r="M278" t="s">
        <v>89</v>
      </c>
      <c r="N278">
        <v>1.0675819541550348E-2</v>
      </c>
      <c r="O278" t="s">
        <v>62</v>
      </c>
    </row>
    <row r="279" spans="2:15" x14ac:dyDescent="0.25">
      <c r="B279" t="s">
        <v>125</v>
      </c>
      <c r="C279" t="s">
        <v>90</v>
      </c>
      <c r="D279">
        <v>9.4103912215094798E-3</v>
      </c>
      <c r="E279" t="s">
        <v>62</v>
      </c>
      <c r="G279" t="s">
        <v>145</v>
      </c>
      <c r="H279" t="s">
        <v>90</v>
      </c>
      <c r="I279">
        <v>8.470026779081357E-3</v>
      </c>
      <c r="J279" t="s">
        <v>62</v>
      </c>
      <c r="L279" t="s">
        <v>165</v>
      </c>
      <c r="M279" t="s">
        <v>90</v>
      </c>
      <c r="N279">
        <v>1.0911308633925112E-2</v>
      </c>
      <c r="O279" t="s">
        <v>62</v>
      </c>
    </row>
    <row r="280" spans="2:15" x14ac:dyDescent="0.25">
      <c r="B280" t="s">
        <v>125</v>
      </c>
      <c r="C280" t="s">
        <v>91</v>
      </c>
      <c r="D280">
        <v>0</v>
      </c>
      <c r="E280" t="s">
        <v>62</v>
      </c>
      <c r="G280" t="s">
        <v>145</v>
      </c>
      <c r="H280" t="s">
        <v>91</v>
      </c>
      <c r="I280">
        <v>1.4336644798597477E-2</v>
      </c>
      <c r="J280" t="s">
        <v>62</v>
      </c>
      <c r="L280" t="s">
        <v>165</v>
      </c>
      <c r="M280" t="s">
        <v>91</v>
      </c>
      <c r="N280">
        <v>1.6977049564876161E-2</v>
      </c>
      <c r="O280" t="s">
        <v>62</v>
      </c>
    </row>
    <row r="281" spans="2:15" x14ac:dyDescent="0.25">
      <c r="B281" t="s">
        <v>125</v>
      </c>
      <c r="C281" t="s">
        <v>92</v>
      </c>
      <c r="D281">
        <v>0</v>
      </c>
      <c r="E281" t="s">
        <v>62</v>
      </c>
      <c r="G281" t="s">
        <v>145</v>
      </c>
      <c r="H281" t="s">
        <v>92</v>
      </c>
      <c r="I281">
        <v>2.3042212330334429E-2</v>
      </c>
      <c r="J281" t="s">
        <v>62</v>
      </c>
      <c r="L281" t="s">
        <v>165</v>
      </c>
      <c r="M281" t="s">
        <v>92</v>
      </c>
      <c r="N281">
        <v>2.414442731172051E-2</v>
      </c>
      <c r="O281" t="s">
        <v>62</v>
      </c>
    </row>
    <row r="282" spans="2:15" x14ac:dyDescent="0.25">
      <c r="B282" t="s">
        <v>125</v>
      </c>
      <c r="C282" t="s">
        <v>93</v>
      </c>
      <c r="D282">
        <v>1.2505001466989208E-2</v>
      </c>
      <c r="E282" t="s">
        <v>62</v>
      </c>
      <c r="G282" t="s">
        <v>145</v>
      </c>
      <c r="H282" t="s">
        <v>93</v>
      </c>
      <c r="I282">
        <v>7.8694572248923789E-3</v>
      </c>
      <c r="J282" t="s">
        <v>62</v>
      </c>
      <c r="L282" t="s">
        <v>165</v>
      </c>
      <c r="M282" t="s">
        <v>93</v>
      </c>
      <c r="N282">
        <v>9.3167247370776803E-3</v>
      </c>
      <c r="O282" t="s">
        <v>62</v>
      </c>
    </row>
    <row r="283" spans="2:15" x14ac:dyDescent="0.25">
      <c r="B283" t="s">
        <v>125</v>
      </c>
      <c r="C283" t="s">
        <v>94</v>
      </c>
      <c r="D283">
        <v>3.6351566315533261E-2</v>
      </c>
      <c r="E283" t="s">
        <v>62</v>
      </c>
      <c r="G283" t="s">
        <v>145</v>
      </c>
      <c r="H283" t="s">
        <v>94</v>
      </c>
      <c r="I283">
        <v>7.2264000566947878E-3</v>
      </c>
      <c r="J283" t="s">
        <v>62</v>
      </c>
      <c r="L283" t="s">
        <v>165</v>
      </c>
      <c r="M283" t="s">
        <v>94</v>
      </c>
      <c r="N283">
        <v>9.141484045071922E-3</v>
      </c>
      <c r="O283" t="s">
        <v>62</v>
      </c>
    </row>
    <row r="284" spans="2:15" x14ac:dyDescent="0.25">
      <c r="B284" t="s">
        <v>125</v>
      </c>
      <c r="C284" t="s">
        <v>95</v>
      </c>
      <c r="D284">
        <v>5.0409238836068931E-2</v>
      </c>
      <c r="E284" t="s">
        <v>62</v>
      </c>
      <c r="G284" t="s">
        <v>145</v>
      </c>
      <c r="H284" t="s">
        <v>95</v>
      </c>
      <c r="I284">
        <v>7.8770940421257919E-3</v>
      </c>
      <c r="J284" t="s">
        <v>62</v>
      </c>
      <c r="L284" t="s">
        <v>165</v>
      </c>
      <c r="M284" t="s">
        <v>95</v>
      </c>
      <c r="N284">
        <v>9.0963214459033083E-3</v>
      </c>
      <c r="O284" t="s">
        <v>62</v>
      </c>
    </row>
    <row r="285" spans="2:15" x14ac:dyDescent="0.25">
      <c r="B285" t="s">
        <v>125</v>
      </c>
      <c r="C285" t="s">
        <v>96</v>
      </c>
      <c r="D285">
        <v>5.2122714263724265E-2</v>
      </c>
      <c r="E285" t="s">
        <v>62</v>
      </c>
      <c r="G285" t="s">
        <v>145</v>
      </c>
      <c r="H285" t="s">
        <v>96</v>
      </c>
      <c r="I285">
        <v>7.4034325639472393E-3</v>
      </c>
      <c r="J285" t="s">
        <v>62</v>
      </c>
      <c r="L285" t="s">
        <v>165</v>
      </c>
      <c r="M285" t="s">
        <v>96</v>
      </c>
      <c r="N285">
        <v>8.8977665760845114E-3</v>
      </c>
      <c r="O285" t="s">
        <v>62</v>
      </c>
    </row>
    <row r="286" spans="2:15" x14ac:dyDescent="0.25">
      <c r="B286" t="s">
        <v>125</v>
      </c>
      <c r="C286" t="s">
        <v>97</v>
      </c>
      <c r="D286">
        <v>4.9946388784499536E-2</v>
      </c>
      <c r="E286" t="s">
        <v>62</v>
      </c>
      <c r="G286" t="s">
        <v>145</v>
      </c>
      <c r="H286" t="s">
        <v>97</v>
      </c>
      <c r="I286">
        <v>9.2299322267274421E-3</v>
      </c>
      <c r="J286" t="s">
        <v>62</v>
      </c>
      <c r="L286" t="s">
        <v>165</v>
      </c>
      <c r="M286" t="s">
        <v>97</v>
      </c>
      <c r="N286">
        <v>1.013460321666791E-2</v>
      </c>
      <c r="O286" t="s">
        <v>62</v>
      </c>
    </row>
    <row r="287" spans="2:15" x14ac:dyDescent="0.25">
      <c r="B287" t="s">
        <v>125</v>
      </c>
      <c r="C287" t="s">
        <v>98</v>
      </c>
      <c r="D287">
        <v>4.5385358714030759E-2</v>
      </c>
      <c r="E287" t="s">
        <v>62</v>
      </c>
      <c r="G287" t="s">
        <v>145</v>
      </c>
      <c r="H287" t="s">
        <v>98</v>
      </c>
      <c r="I287">
        <v>1.0522240022858665E-2</v>
      </c>
      <c r="J287" t="s">
        <v>62</v>
      </c>
      <c r="L287" t="s">
        <v>165</v>
      </c>
      <c r="M287" t="s">
        <v>98</v>
      </c>
      <c r="N287">
        <v>1.1192697801727778E-2</v>
      </c>
      <c r="O287" t="s">
        <v>62</v>
      </c>
    </row>
    <row r="288" spans="2:15" x14ac:dyDescent="0.25">
      <c r="B288" t="s">
        <v>125</v>
      </c>
      <c r="C288" t="s">
        <v>99</v>
      </c>
      <c r="D288">
        <v>3.0706301731857798E-2</v>
      </c>
      <c r="E288" t="s">
        <v>62</v>
      </c>
      <c r="G288" t="s">
        <v>145</v>
      </c>
      <c r="H288" t="s">
        <v>99</v>
      </c>
      <c r="I288">
        <v>9.8694594064294618E-3</v>
      </c>
      <c r="J288" t="s">
        <v>62</v>
      </c>
      <c r="L288" t="s">
        <v>165</v>
      </c>
      <c r="M288" t="s">
        <v>99</v>
      </c>
      <c r="N288">
        <v>1.0731401581480811E-2</v>
      </c>
      <c r="O288" t="s">
        <v>62</v>
      </c>
    </row>
    <row r="289" spans="2:15" x14ac:dyDescent="0.25">
      <c r="B289" t="s">
        <v>125</v>
      </c>
      <c r="C289" t="s">
        <v>100</v>
      </c>
      <c r="D289">
        <v>1.0978344114723095E-2</v>
      </c>
      <c r="E289" t="s">
        <v>62</v>
      </c>
      <c r="G289" t="s">
        <v>145</v>
      </c>
      <c r="H289" t="s">
        <v>100</v>
      </c>
      <c r="I289">
        <v>1.0123078752994079E-2</v>
      </c>
      <c r="J289" t="s">
        <v>62</v>
      </c>
      <c r="L289" t="s">
        <v>165</v>
      </c>
      <c r="M289" t="s">
        <v>100</v>
      </c>
      <c r="N289">
        <v>1.0166810483964171E-2</v>
      </c>
      <c r="O289" t="s">
        <v>62</v>
      </c>
    </row>
    <row r="290" spans="2:15" x14ac:dyDescent="0.25">
      <c r="B290" t="s">
        <v>125</v>
      </c>
      <c r="C290" t="s">
        <v>101</v>
      </c>
      <c r="D290">
        <v>0</v>
      </c>
      <c r="E290" t="s">
        <v>62</v>
      </c>
      <c r="G290" t="s">
        <v>145</v>
      </c>
      <c r="H290" t="s">
        <v>101</v>
      </c>
      <c r="I290">
        <v>1.6354056516725852E-2</v>
      </c>
      <c r="J290" t="s">
        <v>62</v>
      </c>
      <c r="L290" t="s">
        <v>165</v>
      </c>
      <c r="M290" t="s">
        <v>101</v>
      </c>
      <c r="N290">
        <v>1.541136710560358E-2</v>
      </c>
      <c r="O290" t="s">
        <v>62</v>
      </c>
    </row>
    <row r="291" spans="2:15" x14ac:dyDescent="0.25">
      <c r="B291" t="s">
        <v>125</v>
      </c>
      <c r="C291" t="s">
        <v>102</v>
      </c>
      <c r="D291">
        <v>0</v>
      </c>
      <c r="E291" t="s">
        <v>62</v>
      </c>
      <c r="G291" t="s">
        <v>145</v>
      </c>
      <c r="H291" t="s">
        <v>102</v>
      </c>
      <c r="I291">
        <v>3.423757392691943E-2</v>
      </c>
      <c r="J291" t="s">
        <v>62</v>
      </c>
      <c r="L291" t="s">
        <v>165</v>
      </c>
      <c r="M291" t="s">
        <v>102</v>
      </c>
      <c r="N291">
        <v>3.2398870706763082E-2</v>
      </c>
      <c r="O291" t="s">
        <v>62</v>
      </c>
    </row>
    <row r="292" spans="2:15" x14ac:dyDescent="0.25">
      <c r="B292" t="s">
        <v>125</v>
      </c>
      <c r="C292" t="s">
        <v>103</v>
      </c>
      <c r="D292">
        <v>9.2931648183283645E-4</v>
      </c>
      <c r="E292" t="s">
        <v>62</v>
      </c>
      <c r="G292" t="s">
        <v>145</v>
      </c>
      <c r="H292" t="s">
        <v>103</v>
      </c>
      <c r="I292">
        <v>1.3115397923705143E-2</v>
      </c>
      <c r="J292" t="s">
        <v>62</v>
      </c>
      <c r="L292" t="s">
        <v>165</v>
      </c>
      <c r="M292" t="s">
        <v>103</v>
      </c>
      <c r="N292">
        <v>1.3321210491364286E-2</v>
      </c>
      <c r="O292" t="s">
        <v>62</v>
      </c>
    </row>
    <row r="293" spans="2:15" x14ac:dyDescent="0.25">
      <c r="B293" t="s">
        <v>125</v>
      </c>
      <c r="C293" t="s">
        <v>104</v>
      </c>
      <c r="D293">
        <v>1.5140038055371688E-2</v>
      </c>
      <c r="E293" t="s">
        <v>62</v>
      </c>
      <c r="G293" t="s">
        <v>145</v>
      </c>
      <c r="H293" t="s">
        <v>104</v>
      </c>
      <c r="I293">
        <v>1.2484875582553002E-2</v>
      </c>
      <c r="J293" t="s">
        <v>62</v>
      </c>
      <c r="L293" t="s">
        <v>165</v>
      </c>
      <c r="M293" t="s">
        <v>104</v>
      </c>
      <c r="N293">
        <v>1.3771050969605132E-2</v>
      </c>
      <c r="O293" t="s">
        <v>62</v>
      </c>
    </row>
    <row r="294" spans="2:15" x14ac:dyDescent="0.25">
      <c r="B294" t="s">
        <v>125</v>
      </c>
      <c r="C294" t="s">
        <v>105</v>
      </c>
      <c r="D294">
        <v>3.0344961102323497E-2</v>
      </c>
      <c r="E294" t="s">
        <v>62</v>
      </c>
      <c r="G294" t="s">
        <v>145</v>
      </c>
      <c r="H294" t="s">
        <v>105</v>
      </c>
      <c r="I294">
        <v>1.2314045550846267E-2</v>
      </c>
      <c r="J294" t="s">
        <v>62</v>
      </c>
      <c r="L294" t="s">
        <v>165</v>
      </c>
      <c r="M294" t="s">
        <v>105</v>
      </c>
      <c r="N294">
        <v>1.4193164010210296E-2</v>
      </c>
      <c r="O294" t="s">
        <v>62</v>
      </c>
    </row>
    <row r="295" spans="2:15" x14ac:dyDescent="0.25">
      <c r="B295" t="s">
        <v>125</v>
      </c>
      <c r="C295" t="s">
        <v>106</v>
      </c>
      <c r="D295">
        <v>3.2598139098132688E-2</v>
      </c>
      <c r="E295" t="s">
        <v>62</v>
      </c>
      <c r="G295" t="s">
        <v>145</v>
      </c>
      <c r="H295" t="s">
        <v>106</v>
      </c>
      <c r="I295">
        <v>1.1527771549173067E-2</v>
      </c>
      <c r="J295" t="s">
        <v>62</v>
      </c>
      <c r="L295" t="s">
        <v>165</v>
      </c>
      <c r="M295" t="s">
        <v>106</v>
      </c>
      <c r="N295">
        <v>1.3709728902784652E-2</v>
      </c>
      <c r="O295" t="s">
        <v>62</v>
      </c>
    </row>
    <row r="296" spans="2:15" x14ac:dyDescent="0.25">
      <c r="B296" t="s">
        <v>125</v>
      </c>
      <c r="C296" t="s">
        <v>107</v>
      </c>
      <c r="D296">
        <v>3.2481457362486733E-2</v>
      </c>
      <c r="E296" t="s">
        <v>62</v>
      </c>
      <c r="G296" t="s">
        <v>145</v>
      </c>
      <c r="H296" t="s">
        <v>107</v>
      </c>
      <c r="I296">
        <v>1.2451835844109659E-2</v>
      </c>
      <c r="J296" t="s">
        <v>62</v>
      </c>
      <c r="L296" t="s">
        <v>165</v>
      </c>
      <c r="M296" t="s">
        <v>107</v>
      </c>
      <c r="N296">
        <v>1.3481087218081047E-2</v>
      </c>
      <c r="O296" t="s">
        <v>62</v>
      </c>
    </row>
    <row r="297" spans="2:15" x14ac:dyDescent="0.25">
      <c r="B297" t="s">
        <v>125</v>
      </c>
      <c r="C297" t="s">
        <v>108</v>
      </c>
      <c r="D297">
        <v>2.3986325427021962E-2</v>
      </c>
      <c r="E297" t="s">
        <v>62</v>
      </c>
      <c r="G297" t="s">
        <v>145</v>
      </c>
      <c r="H297" t="s">
        <v>108</v>
      </c>
      <c r="I297">
        <v>1.3527139866608242E-2</v>
      </c>
      <c r="J297" t="s">
        <v>62</v>
      </c>
      <c r="L297" t="s">
        <v>165</v>
      </c>
      <c r="M297" t="s">
        <v>108</v>
      </c>
      <c r="N297">
        <v>1.3818246398173405E-2</v>
      </c>
      <c r="O297" t="s">
        <v>62</v>
      </c>
    </row>
    <row r="298" spans="2:15" x14ac:dyDescent="0.25">
      <c r="B298" t="s">
        <v>125</v>
      </c>
      <c r="C298" t="s">
        <v>109</v>
      </c>
      <c r="D298">
        <v>7.5685182325715009E-3</v>
      </c>
      <c r="E298" t="s">
        <v>62</v>
      </c>
      <c r="G298" t="s">
        <v>145</v>
      </c>
      <c r="H298" t="s">
        <v>109</v>
      </c>
      <c r="I298">
        <v>1.4646411471594139E-2</v>
      </c>
      <c r="J298" t="s">
        <v>62</v>
      </c>
      <c r="L298" t="s">
        <v>165</v>
      </c>
      <c r="M298" t="s">
        <v>109</v>
      </c>
      <c r="N298">
        <v>1.4236545533585191E-2</v>
      </c>
      <c r="O298" t="s">
        <v>62</v>
      </c>
    </row>
    <row r="299" spans="2:15" x14ac:dyDescent="0.25">
      <c r="B299" t="s">
        <v>125</v>
      </c>
      <c r="C299" t="s">
        <v>110</v>
      </c>
      <c r="D299">
        <v>5.5125578995303035E-5</v>
      </c>
      <c r="E299" t="s">
        <v>62</v>
      </c>
      <c r="G299" t="s">
        <v>145</v>
      </c>
      <c r="H299" t="s">
        <v>110</v>
      </c>
      <c r="I299">
        <v>1.5433805975503187E-2</v>
      </c>
      <c r="J299" t="s">
        <v>62</v>
      </c>
      <c r="L299" t="s">
        <v>165</v>
      </c>
      <c r="M299" t="s">
        <v>110</v>
      </c>
      <c r="N299">
        <v>1.4405754074893707E-2</v>
      </c>
      <c r="O299" t="s">
        <v>62</v>
      </c>
    </row>
    <row r="300" spans="2:15" x14ac:dyDescent="0.25">
      <c r="B300" t="s">
        <v>125</v>
      </c>
      <c r="C300" t="s">
        <v>111</v>
      </c>
      <c r="D300">
        <v>0</v>
      </c>
      <c r="E300" t="s">
        <v>62</v>
      </c>
      <c r="G300" t="s">
        <v>145</v>
      </c>
      <c r="H300" t="s">
        <v>111</v>
      </c>
      <c r="I300">
        <v>2.2552139275234844E-2</v>
      </c>
      <c r="J300" t="s">
        <v>62</v>
      </c>
      <c r="L300" t="s">
        <v>165</v>
      </c>
      <c r="M300" t="s">
        <v>111</v>
      </c>
      <c r="N300">
        <v>2.10755440157393E-2</v>
      </c>
      <c r="O300" t="s">
        <v>62</v>
      </c>
    </row>
    <row r="301" spans="2:15" x14ac:dyDescent="0.25">
      <c r="B301" t="s">
        <v>125</v>
      </c>
      <c r="C301" t="s">
        <v>112</v>
      </c>
      <c r="D301">
        <v>0</v>
      </c>
      <c r="E301" t="s">
        <v>62</v>
      </c>
      <c r="G301" t="s">
        <v>145</v>
      </c>
      <c r="H301" t="s">
        <v>112</v>
      </c>
      <c r="I301">
        <v>5.5516086844099956E-2</v>
      </c>
      <c r="J301" t="s">
        <v>62</v>
      </c>
      <c r="L301" t="s">
        <v>165</v>
      </c>
      <c r="M301" t="s">
        <v>112</v>
      </c>
      <c r="N301">
        <v>4.7582907438894088E-2</v>
      </c>
      <c r="O301" t="s">
        <v>62</v>
      </c>
    </row>
    <row r="302" spans="2:15" x14ac:dyDescent="0.25">
      <c r="B302" t="s">
        <v>125</v>
      </c>
      <c r="C302" t="s">
        <v>113</v>
      </c>
      <c r="D302">
        <v>0</v>
      </c>
      <c r="E302" t="s">
        <v>62</v>
      </c>
      <c r="G302" t="s">
        <v>145</v>
      </c>
      <c r="H302" t="s">
        <v>113</v>
      </c>
      <c r="I302">
        <v>2.2418785398760497E-2</v>
      </c>
      <c r="J302" t="s">
        <v>62</v>
      </c>
      <c r="L302" t="s">
        <v>165</v>
      </c>
      <c r="M302" t="s">
        <v>113</v>
      </c>
      <c r="N302">
        <v>1.922215829048797E-2</v>
      </c>
      <c r="O302" t="s">
        <v>62</v>
      </c>
    </row>
    <row r="303" spans="2:15" x14ac:dyDescent="0.25">
      <c r="B303" t="s">
        <v>125</v>
      </c>
      <c r="C303" t="s">
        <v>114</v>
      </c>
      <c r="D303">
        <v>4.2285255466822285E-4</v>
      </c>
      <c r="E303" t="s">
        <v>62</v>
      </c>
      <c r="G303" t="s">
        <v>145</v>
      </c>
      <c r="H303" t="s">
        <v>114</v>
      </c>
      <c r="I303">
        <v>2.2279086824510349E-2</v>
      </c>
      <c r="J303" t="s">
        <v>62</v>
      </c>
      <c r="L303" t="s">
        <v>165</v>
      </c>
      <c r="M303" t="s">
        <v>114</v>
      </c>
      <c r="N303">
        <v>1.9545764056375915E-2</v>
      </c>
      <c r="O303" t="s">
        <v>62</v>
      </c>
    </row>
    <row r="304" spans="2:15" x14ac:dyDescent="0.25">
      <c r="B304" t="s">
        <v>125</v>
      </c>
      <c r="C304" t="s">
        <v>115</v>
      </c>
      <c r="D304">
        <v>8.3393242730978364E-3</v>
      </c>
      <c r="E304" t="s">
        <v>62</v>
      </c>
      <c r="G304" t="s">
        <v>145</v>
      </c>
      <c r="H304" t="s">
        <v>115</v>
      </c>
      <c r="I304">
        <v>2.1415742518670854E-2</v>
      </c>
      <c r="J304" t="s">
        <v>62</v>
      </c>
      <c r="L304" t="s">
        <v>165</v>
      </c>
      <c r="M304" t="s">
        <v>115</v>
      </c>
      <c r="N304">
        <v>1.9464640094239746E-2</v>
      </c>
      <c r="O304" t="s">
        <v>62</v>
      </c>
    </row>
    <row r="305" spans="2:15" x14ac:dyDescent="0.25">
      <c r="B305" t="s">
        <v>125</v>
      </c>
      <c r="C305" t="s">
        <v>116</v>
      </c>
      <c r="D305">
        <v>1.2167186130339389E-2</v>
      </c>
      <c r="E305" t="s">
        <v>62</v>
      </c>
      <c r="G305" t="s">
        <v>145</v>
      </c>
      <c r="H305" t="s">
        <v>116</v>
      </c>
      <c r="I305">
        <v>1.9798042419198067E-2</v>
      </c>
      <c r="J305" t="s">
        <v>62</v>
      </c>
      <c r="L305" t="s">
        <v>165</v>
      </c>
      <c r="M305" t="s">
        <v>116</v>
      </c>
      <c r="N305">
        <v>1.9233503388965047E-2</v>
      </c>
      <c r="O305" t="s">
        <v>62</v>
      </c>
    </row>
    <row r="306" spans="2:15" x14ac:dyDescent="0.25">
      <c r="B306" t="s">
        <v>125</v>
      </c>
      <c r="C306" t="s">
        <v>117</v>
      </c>
      <c r="D306">
        <v>1.1474267369203858E-2</v>
      </c>
      <c r="E306" t="s">
        <v>62</v>
      </c>
      <c r="G306" t="s">
        <v>145</v>
      </c>
      <c r="H306" t="s">
        <v>117</v>
      </c>
      <c r="I306">
        <v>1.9608476113184291E-2</v>
      </c>
      <c r="J306" t="s">
        <v>62</v>
      </c>
      <c r="L306" t="s">
        <v>165</v>
      </c>
      <c r="M306" t="s">
        <v>117</v>
      </c>
      <c r="N306">
        <v>1.9021416638143634E-2</v>
      </c>
      <c r="O306" t="s">
        <v>62</v>
      </c>
    </row>
    <row r="307" spans="2:15" x14ac:dyDescent="0.25">
      <c r="B307" t="s">
        <v>125</v>
      </c>
      <c r="C307" t="s">
        <v>118</v>
      </c>
      <c r="D307">
        <v>4.0957576203145326E-3</v>
      </c>
      <c r="E307" t="s">
        <v>62</v>
      </c>
      <c r="G307" t="s">
        <v>145</v>
      </c>
      <c r="H307" t="s">
        <v>118</v>
      </c>
      <c r="I307">
        <v>2.0342444990340981E-2</v>
      </c>
      <c r="J307" t="s">
        <v>62</v>
      </c>
      <c r="L307" t="s">
        <v>165</v>
      </c>
      <c r="M307" t="s">
        <v>118</v>
      </c>
      <c r="N307">
        <v>1.8857947182134977E-2</v>
      </c>
      <c r="O307" t="s">
        <v>62</v>
      </c>
    </row>
    <row r="308" spans="2:15" x14ac:dyDescent="0.25">
      <c r="B308" t="s">
        <v>125</v>
      </c>
      <c r="C308" t="s">
        <v>119</v>
      </c>
      <c r="D308">
        <v>0</v>
      </c>
      <c r="E308" t="s">
        <v>62</v>
      </c>
      <c r="G308" t="s">
        <v>145</v>
      </c>
      <c r="H308" t="s">
        <v>119</v>
      </c>
      <c r="I308">
        <v>2.1502991672340079E-2</v>
      </c>
      <c r="J308" t="s">
        <v>62</v>
      </c>
      <c r="L308" t="s">
        <v>165</v>
      </c>
      <c r="M308" t="s">
        <v>119</v>
      </c>
      <c r="N308">
        <v>1.9129703988606851E-2</v>
      </c>
      <c r="O308" t="s">
        <v>62</v>
      </c>
    </row>
    <row r="309" spans="2:15" x14ac:dyDescent="0.25">
      <c r="B309" t="s">
        <v>125</v>
      </c>
      <c r="C309" t="s">
        <v>120</v>
      </c>
      <c r="D309">
        <v>0</v>
      </c>
      <c r="E309" t="s">
        <v>62</v>
      </c>
      <c r="G309" t="s">
        <v>145</v>
      </c>
      <c r="H309" t="s">
        <v>120</v>
      </c>
      <c r="I309">
        <v>2.1578885956068612E-2</v>
      </c>
      <c r="J309" t="s">
        <v>62</v>
      </c>
      <c r="L309" t="s">
        <v>165</v>
      </c>
      <c r="M309" t="s">
        <v>120</v>
      </c>
      <c r="N309">
        <v>1.8868519546614903E-2</v>
      </c>
      <c r="O309" t="s">
        <v>62</v>
      </c>
    </row>
    <row r="310" spans="2:15" x14ac:dyDescent="0.25">
      <c r="B310" t="s">
        <v>125</v>
      </c>
      <c r="C310" t="s">
        <v>121</v>
      </c>
      <c r="D310">
        <v>0</v>
      </c>
      <c r="E310" t="s">
        <v>62</v>
      </c>
      <c r="G310" t="s">
        <v>145</v>
      </c>
      <c r="H310" t="s">
        <v>121</v>
      </c>
      <c r="I310">
        <v>3.2972435330007564E-2</v>
      </c>
      <c r="J310" t="s">
        <v>62</v>
      </c>
      <c r="L310" t="s">
        <v>165</v>
      </c>
      <c r="M310" t="s">
        <v>121</v>
      </c>
      <c r="N310">
        <v>2.8406975196149698E-2</v>
      </c>
      <c r="O310" t="s">
        <v>62</v>
      </c>
    </row>
    <row r="311" spans="2:15" x14ac:dyDescent="0.25">
      <c r="B311" t="s">
        <v>126</v>
      </c>
      <c r="C311" t="s">
        <v>61</v>
      </c>
      <c r="D311">
        <v>0</v>
      </c>
      <c r="E311" t="s">
        <v>62</v>
      </c>
      <c r="G311" t="s">
        <v>146</v>
      </c>
      <c r="H311" t="s">
        <v>61</v>
      </c>
      <c r="I311">
        <v>3.7095989094260422E-2</v>
      </c>
      <c r="J311" t="s">
        <v>62</v>
      </c>
      <c r="L311" t="s">
        <v>166</v>
      </c>
      <c r="M311" t="s">
        <v>61</v>
      </c>
      <c r="N311">
        <v>3.3082423360152824E-2</v>
      </c>
      <c r="O311" t="s">
        <v>62</v>
      </c>
    </row>
    <row r="312" spans="2:15" x14ac:dyDescent="0.25">
      <c r="B312" t="s">
        <v>126</v>
      </c>
      <c r="C312" t="s">
        <v>63</v>
      </c>
      <c r="D312">
        <v>0</v>
      </c>
      <c r="E312" t="s">
        <v>62</v>
      </c>
      <c r="G312" t="s">
        <v>146</v>
      </c>
      <c r="H312" t="s">
        <v>63</v>
      </c>
      <c r="I312">
        <v>1.518695018813686E-2</v>
      </c>
      <c r="J312" t="s">
        <v>62</v>
      </c>
      <c r="L312" t="s">
        <v>166</v>
      </c>
      <c r="M312" t="s">
        <v>63</v>
      </c>
      <c r="N312">
        <v>1.3500528977346823E-2</v>
      </c>
      <c r="O312" t="s">
        <v>62</v>
      </c>
    </row>
    <row r="313" spans="2:15" x14ac:dyDescent="0.25">
      <c r="B313" t="s">
        <v>126</v>
      </c>
      <c r="C313" t="s">
        <v>64</v>
      </c>
      <c r="D313">
        <v>1.056632404288862E-3</v>
      </c>
      <c r="E313" t="s">
        <v>62</v>
      </c>
      <c r="G313" t="s">
        <v>146</v>
      </c>
      <c r="H313" t="s">
        <v>64</v>
      </c>
      <c r="I313">
        <v>1.551027030879836E-2</v>
      </c>
      <c r="J313" t="s">
        <v>62</v>
      </c>
      <c r="L313" t="s">
        <v>166</v>
      </c>
      <c r="M313" t="s">
        <v>64</v>
      </c>
      <c r="N313">
        <v>1.3945999748629048E-2</v>
      </c>
      <c r="O313" t="s">
        <v>62</v>
      </c>
    </row>
    <row r="314" spans="2:15" x14ac:dyDescent="0.25">
      <c r="B314" t="s">
        <v>126</v>
      </c>
      <c r="C314" t="s">
        <v>65</v>
      </c>
      <c r="D314">
        <v>9.982625750986119E-3</v>
      </c>
      <c r="E314" t="s">
        <v>62</v>
      </c>
      <c r="G314" t="s">
        <v>146</v>
      </c>
      <c r="H314" t="s">
        <v>65</v>
      </c>
      <c r="I314">
        <v>1.517476398109127E-2</v>
      </c>
      <c r="J314" t="s">
        <v>62</v>
      </c>
      <c r="L314" t="s">
        <v>166</v>
      </c>
      <c r="M314" t="s">
        <v>65</v>
      </c>
      <c r="N314">
        <v>1.433131340508015E-2</v>
      </c>
      <c r="O314" t="s">
        <v>62</v>
      </c>
    </row>
    <row r="315" spans="2:15" x14ac:dyDescent="0.25">
      <c r="B315" t="s">
        <v>126</v>
      </c>
      <c r="C315" t="s">
        <v>66</v>
      </c>
      <c r="D315">
        <v>1.683878523625798E-2</v>
      </c>
      <c r="E315" t="s">
        <v>62</v>
      </c>
      <c r="G315" t="s">
        <v>146</v>
      </c>
      <c r="H315" t="s">
        <v>66</v>
      </c>
      <c r="I315">
        <v>1.3800782779993968E-2</v>
      </c>
      <c r="J315" t="s">
        <v>62</v>
      </c>
      <c r="L315" t="s">
        <v>166</v>
      </c>
      <c r="M315" t="s">
        <v>66</v>
      </c>
      <c r="N315">
        <v>1.4241330883528568E-2</v>
      </c>
      <c r="O315" t="s">
        <v>62</v>
      </c>
    </row>
    <row r="316" spans="2:15" x14ac:dyDescent="0.25">
      <c r="B316" t="s">
        <v>126</v>
      </c>
      <c r="C316" t="s">
        <v>67</v>
      </c>
      <c r="D316">
        <v>1.5267588073053619E-2</v>
      </c>
      <c r="E316" t="s">
        <v>62</v>
      </c>
      <c r="G316" t="s">
        <v>146</v>
      </c>
      <c r="H316" t="s">
        <v>67</v>
      </c>
      <c r="I316">
        <v>1.3781493761335237E-2</v>
      </c>
      <c r="J316" t="s">
        <v>62</v>
      </c>
      <c r="L316" t="s">
        <v>166</v>
      </c>
      <c r="M316" t="s">
        <v>67</v>
      </c>
      <c r="N316">
        <v>1.388226298535793E-2</v>
      </c>
      <c r="O316" t="s">
        <v>62</v>
      </c>
    </row>
    <row r="317" spans="2:15" x14ac:dyDescent="0.25">
      <c r="B317" t="s">
        <v>126</v>
      </c>
      <c r="C317" t="s">
        <v>68</v>
      </c>
      <c r="D317">
        <v>7.3432267448671424E-3</v>
      </c>
      <c r="E317" t="s">
        <v>62</v>
      </c>
      <c r="G317" t="s">
        <v>146</v>
      </c>
      <c r="H317" t="s">
        <v>68</v>
      </c>
      <c r="I317">
        <v>1.4559629272202734E-2</v>
      </c>
      <c r="J317" t="s">
        <v>62</v>
      </c>
      <c r="L317" t="s">
        <v>166</v>
      </c>
      <c r="M317" t="s">
        <v>68</v>
      </c>
      <c r="N317">
        <v>1.4153615258480464E-2</v>
      </c>
      <c r="O317" t="s">
        <v>62</v>
      </c>
    </row>
    <row r="318" spans="2:15" x14ac:dyDescent="0.25">
      <c r="B318" t="s">
        <v>126</v>
      </c>
      <c r="C318" t="s">
        <v>69</v>
      </c>
      <c r="D318">
        <v>6.3254467552021579E-4</v>
      </c>
      <c r="E318" t="s">
        <v>62</v>
      </c>
      <c r="G318" t="s">
        <v>146</v>
      </c>
      <c r="H318" t="s">
        <v>69</v>
      </c>
      <c r="I318">
        <v>1.5963052072856612E-2</v>
      </c>
      <c r="J318" t="s">
        <v>62</v>
      </c>
      <c r="L318" t="s">
        <v>166</v>
      </c>
      <c r="M318" t="s">
        <v>69</v>
      </c>
      <c r="N318">
        <v>1.4729429980270829E-2</v>
      </c>
      <c r="O318" t="s">
        <v>62</v>
      </c>
    </row>
    <row r="319" spans="2:15" x14ac:dyDescent="0.25">
      <c r="B319" t="s">
        <v>126</v>
      </c>
      <c r="C319" t="s">
        <v>70</v>
      </c>
      <c r="D319">
        <v>0</v>
      </c>
      <c r="E319" t="s">
        <v>62</v>
      </c>
      <c r="G319" t="s">
        <v>146</v>
      </c>
      <c r="H319" t="s">
        <v>70</v>
      </c>
      <c r="I319">
        <v>1.6425797064615447E-2</v>
      </c>
      <c r="J319" t="s">
        <v>62</v>
      </c>
      <c r="L319" t="s">
        <v>166</v>
      </c>
      <c r="M319" t="s">
        <v>70</v>
      </c>
      <c r="N319">
        <v>1.4876470706762561E-2</v>
      </c>
      <c r="O319" t="s">
        <v>62</v>
      </c>
    </row>
    <row r="320" spans="2:15" x14ac:dyDescent="0.25">
      <c r="B320" t="s">
        <v>126</v>
      </c>
      <c r="C320" t="s">
        <v>71</v>
      </c>
      <c r="D320">
        <v>0</v>
      </c>
      <c r="E320" t="s">
        <v>62</v>
      </c>
      <c r="G320" t="s">
        <v>146</v>
      </c>
      <c r="H320" t="s">
        <v>71</v>
      </c>
      <c r="I320">
        <v>2.3402195083045026E-2</v>
      </c>
      <c r="J320" t="s">
        <v>62</v>
      </c>
      <c r="L320" t="s">
        <v>166</v>
      </c>
      <c r="M320" t="s">
        <v>71</v>
      </c>
      <c r="N320">
        <v>2.1448536169641916E-2</v>
      </c>
      <c r="O320" t="s">
        <v>62</v>
      </c>
    </row>
    <row r="321" spans="2:15" x14ac:dyDescent="0.25">
      <c r="B321" t="s">
        <v>126</v>
      </c>
      <c r="C321" t="s">
        <v>72</v>
      </c>
      <c r="D321">
        <v>0</v>
      </c>
      <c r="E321" t="s">
        <v>62</v>
      </c>
      <c r="G321" t="s">
        <v>146</v>
      </c>
      <c r="H321" t="s">
        <v>72</v>
      </c>
      <c r="I321">
        <v>4.4227809268700728E-2</v>
      </c>
      <c r="J321" t="s">
        <v>62</v>
      </c>
      <c r="L321" t="s">
        <v>166</v>
      </c>
      <c r="M321" t="s">
        <v>72</v>
      </c>
      <c r="N321">
        <v>4.0871412469538168E-2</v>
      </c>
      <c r="O321" t="s">
        <v>62</v>
      </c>
    </row>
    <row r="322" spans="2:15" x14ac:dyDescent="0.25">
      <c r="B322" t="s">
        <v>126</v>
      </c>
      <c r="C322" t="s">
        <v>73</v>
      </c>
      <c r="D322">
        <v>4.1340953436282612E-3</v>
      </c>
      <c r="E322" t="s">
        <v>62</v>
      </c>
      <c r="G322" t="s">
        <v>146</v>
      </c>
      <c r="H322" t="s">
        <v>73</v>
      </c>
      <c r="I322">
        <v>1.7535690971550794E-2</v>
      </c>
      <c r="J322" t="s">
        <v>62</v>
      </c>
      <c r="L322" t="s">
        <v>166</v>
      </c>
      <c r="M322" t="s">
        <v>73</v>
      </c>
      <c r="N322">
        <v>1.5540359335606754E-2</v>
      </c>
      <c r="O322" t="s">
        <v>62</v>
      </c>
    </row>
    <row r="323" spans="2:15" x14ac:dyDescent="0.25">
      <c r="B323" t="s">
        <v>126</v>
      </c>
      <c r="C323" t="s">
        <v>74</v>
      </c>
      <c r="D323">
        <v>2.9131340624257679E-2</v>
      </c>
      <c r="E323" t="s">
        <v>62</v>
      </c>
      <c r="G323" t="s">
        <v>146</v>
      </c>
      <c r="H323" t="s">
        <v>74</v>
      </c>
      <c r="I323">
        <v>1.5987221261875427E-2</v>
      </c>
      <c r="J323" t="s">
        <v>62</v>
      </c>
      <c r="L323" t="s">
        <v>166</v>
      </c>
      <c r="M323" t="s">
        <v>74</v>
      </c>
      <c r="N323">
        <v>1.5478432284276242E-2</v>
      </c>
      <c r="O323" t="s">
        <v>62</v>
      </c>
    </row>
    <row r="324" spans="2:15" x14ac:dyDescent="0.25">
      <c r="B324" t="s">
        <v>126</v>
      </c>
      <c r="C324" t="s">
        <v>75</v>
      </c>
      <c r="D324">
        <v>4.762218788732421E-2</v>
      </c>
      <c r="E324" t="s">
        <v>62</v>
      </c>
      <c r="G324" t="s">
        <v>146</v>
      </c>
      <c r="H324" t="s">
        <v>75</v>
      </c>
      <c r="I324">
        <v>1.4098816175172627E-2</v>
      </c>
      <c r="J324" t="s">
        <v>62</v>
      </c>
      <c r="L324" t="s">
        <v>166</v>
      </c>
      <c r="M324" t="s">
        <v>75</v>
      </c>
      <c r="N324">
        <v>1.5404373235506492E-2</v>
      </c>
      <c r="O324" t="s">
        <v>62</v>
      </c>
    </row>
    <row r="325" spans="2:15" x14ac:dyDescent="0.25">
      <c r="B325" t="s">
        <v>126</v>
      </c>
      <c r="C325" t="s">
        <v>76</v>
      </c>
      <c r="D325">
        <v>4.7251326171209182E-2</v>
      </c>
      <c r="E325" t="s">
        <v>62</v>
      </c>
      <c r="G325" t="s">
        <v>146</v>
      </c>
      <c r="H325" t="s">
        <v>76</v>
      </c>
      <c r="I325">
        <v>1.1713201310460669E-2</v>
      </c>
      <c r="J325" t="s">
        <v>62</v>
      </c>
      <c r="L325" t="s">
        <v>166</v>
      </c>
      <c r="M325" t="s">
        <v>76</v>
      </c>
      <c r="N325">
        <v>1.4317830977394221E-2</v>
      </c>
      <c r="O325" t="s">
        <v>62</v>
      </c>
    </row>
    <row r="326" spans="2:15" x14ac:dyDescent="0.25">
      <c r="B326" t="s">
        <v>126</v>
      </c>
      <c r="C326" t="s">
        <v>77</v>
      </c>
      <c r="D326">
        <v>4.603328496631201E-2</v>
      </c>
      <c r="E326" t="s">
        <v>62</v>
      </c>
      <c r="G326" t="s">
        <v>146</v>
      </c>
      <c r="H326" t="s">
        <v>77</v>
      </c>
      <c r="I326">
        <v>1.3315247679832267E-2</v>
      </c>
      <c r="J326" t="s">
        <v>62</v>
      </c>
      <c r="L326" t="s">
        <v>166</v>
      </c>
      <c r="M326" t="s">
        <v>77</v>
      </c>
      <c r="N326">
        <v>1.4509387005538206E-2</v>
      </c>
      <c r="O326" t="s">
        <v>62</v>
      </c>
    </row>
    <row r="327" spans="2:15" x14ac:dyDescent="0.25">
      <c r="B327" t="s">
        <v>126</v>
      </c>
      <c r="C327" t="s">
        <v>78</v>
      </c>
      <c r="D327">
        <v>3.8217903406133361E-2</v>
      </c>
      <c r="E327" t="s">
        <v>62</v>
      </c>
      <c r="G327" t="s">
        <v>146</v>
      </c>
      <c r="H327" t="s">
        <v>78</v>
      </c>
      <c r="I327">
        <v>1.4136373333304761E-2</v>
      </c>
      <c r="J327" t="s">
        <v>62</v>
      </c>
      <c r="L327" t="s">
        <v>166</v>
      </c>
      <c r="M327" t="s">
        <v>78</v>
      </c>
      <c r="N327">
        <v>1.5207610859021959E-2</v>
      </c>
      <c r="O327" t="s">
        <v>62</v>
      </c>
    </row>
    <row r="328" spans="2:15" x14ac:dyDescent="0.25">
      <c r="B328" t="s">
        <v>126</v>
      </c>
      <c r="C328" t="s">
        <v>79</v>
      </c>
      <c r="D328">
        <v>1.8337832788121459E-2</v>
      </c>
      <c r="E328" t="s">
        <v>62</v>
      </c>
      <c r="G328" t="s">
        <v>146</v>
      </c>
      <c r="H328" t="s">
        <v>79</v>
      </c>
      <c r="I328">
        <v>1.4505464430679101E-2</v>
      </c>
      <c r="J328" t="s">
        <v>62</v>
      </c>
      <c r="L328" t="s">
        <v>166</v>
      </c>
      <c r="M328" t="s">
        <v>79</v>
      </c>
      <c r="N328">
        <v>1.6192179101283937E-2</v>
      </c>
      <c r="O328" t="s">
        <v>62</v>
      </c>
    </row>
    <row r="329" spans="2:15" x14ac:dyDescent="0.25">
      <c r="B329" t="s">
        <v>126</v>
      </c>
      <c r="C329" t="s">
        <v>80</v>
      </c>
      <c r="D329">
        <v>1.0760013233046825E-3</v>
      </c>
      <c r="E329" t="s">
        <v>62</v>
      </c>
      <c r="G329" t="s">
        <v>146</v>
      </c>
      <c r="H329" t="s">
        <v>80</v>
      </c>
      <c r="I329">
        <v>1.7225739277357717E-2</v>
      </c>
      <c r="J329" t="s">
        <v>62</v>
      </c>
      <c r="L329" t="s">
        <v>166</v>
      </c>
      <c r="M329" t="s">
        <v>80</v>
      </c>
      <c r="N329">
        <v>1.7108124140254474E-2</v>
      </c>
      <c r="O329" t="s">
        <v>62</v>
      </c>
    </row>
    <row r="330" spans="2:15" x14ac:dyDescent="0.25">
      <c r="B330" t="s">
        <v>126</v>
      </c>
      <c r="C330" t="s">
        <v>81</v>
      </c>
      <c r="D330">
        <v>0</v>
      </c>
      <c r="E330" t="s">
        <v>62</v>
      </c>
      <c r="G330" t="s">
        <v>146</v>
      </c>
      <c r="H330" t="s">
        <v>81</v>
      </c>
      <c r="I330">
        <v>2.7187334779588946E-2</v>
      </c>
      <c r="J330" t="s">
        <v>62</v>
      </c>
      <c r="L330" t="s">
        <v>166</v>
      </c>
      <c r="M330" t="s">
        <v>81</v>
      </c>
      <c r="N330">
        <v>2.5802720720494911E-2</v>
      </c>
      <c r="O330" t="s">
        <v>62</v>
      </c>
    </row>
    <row r="331" spans="2:15" x14ac:dyDescent="0.25">
      <c r="B331" t="s">
        <v>126</v>
      </c>
      <c r="C331" t="s">
        <v>82</v>
      </c>
      <c r="D331">
        <v>1.0268154410712762E-3</v>
      </c>
      <c r="E331" t="s">
        <v>62</v>
      </c>
      <c r="G331" t="s">
        <v>146</v>
      </c>
      <c r="H331" t="s">
        <v>82</v>
      </c>
      <c r="I331">
        <v>2.9590932438206173E-2</v>
      </c>
      <c r="J331" t="s">
        <v>62</v>
      </c>
      <c r="L331" t="s">
        <v>166</v>
      </c>
      <c r="M331" t="s">
        <v>82</v>
      </c>
      <c r="N331">
        <v>2.918923972940711E-2</v>
      </c>
      <c r="O331" t="s">
        <v>62</v>
      </c>
    </row>
    <row r="332" spans="2:15" x14ac:dyDescent="0.25">
      <c r="B332" t="s">
        <v>126</v>
      </c>
      <c r="C332" t="s">
        <v>83</v>
      </c>
      <c r="D332">
        <v>1.7349677539734102E-2</v>
      </c>
      <c r="E332" t="s">
        <v>62</v>
      </c>
      <c r="G332" t="s">
        <v>146</v>
      </c>
      <c r="H332" t="s">
        <v>83</v>
      </c>
      <c r="I332">
        <v>1.0705260701395779E-2</v>
      </c>
      <c r="J332" t="s">
        <v>62</v>
      </c>
      <c r="L332" t="s">
        <v>166</v>
      </c>
      <c r="M332" t="s">
        <v>83</v>
      </c>
      <c r="N332">
        <v>1.0936189943662463E-2</v>
      </c>
      <c r="O332" t="s">
        <v>62</v>
      </c>
    </row>
    <row r="333" spans="2:15" x14ac:dyDescent="0.25">
      <c r="B333" t="s">
        <v>126</v>
      </c>
      <c r="C333" t="s">
        <v>84</v>
      </c>
      <c r="D333">
        <v>3.8099177357187673E-2</v>
      </c>
      <c r="E333" t="s">
        <v>62</v>
      </c>
      <c r="G333" t="s">
        <v>146</v>
      </c>
      <c r="H333" t="s">
        <v>84</v>
      </c>
      <c r="I333">
        <v>8.3976487037113121E-3</v>
      </c>
      <c r="J333" t="s">
        <v>62</v>
      </c>
      <c r="L333" t="s">
        <v>166</v>
      </c>
      <c r="M333" t="s">
        <v>84</v>
      </c>
      <c r="N333">
        <v>1.0689074869166334E-2</v>
      </c>
      <c r="O333" t="s">
        <v>62</v>
      </c>
    </row>
    <row r="334" spans="2:15" x14ac:dyDescent="0.25">
      <c r="B334" t="s">
        <v>126</v>
      </c>
      <c r="C334" t="s">
        <v>85</v>
      </c>
      <c r="D334">
        <v>4.9534745403141837E-2</v>
      </c>
      <c r="E334" t="s">
        <v>62</v>
      </c>
      <c r="G334" t="s">
        <v>146</v>
      </c>
      <c r="H334" t="s">
        <v>85</v>
      </c>
      <c r="I334">
        <v>8.4487464126048861E-3</v>
      </c>
      <c r="J334" t="s">
        <v>62</v>
      </c>
      <c r="L334" t="s">
        <v>166</v>
      </c>
      <c r="M334" t="s">
        <v>85</v>
      </c>
      <c r="N334">
        <v>1.0506531913224471E-2</v>
      </c>
      <c r="O334" t="s">
        <v>62</v>
      </c>
    </row>
    <row r="335" spans="2:15" x14ac:dyDescent="0.25">
      <c r="B335" t="s">
        <v>126</v>
      </c>
      <c r="C335" t="s">
        <v>86</v>
      </c>
      <c r="D335">
        <v>5.0013547363089168E-2</v>
      </c>
      <c r="E335" t="s">
        <v>62</v>
      </c>
      <c r="G335" t="s">
        <v>146</v>
      </c>
      <c r="H335" t="s">
        <v>86</v>
      </c>
      <c r="I335">
        <v>7.3594361654973229E-3</v>
      </c>
      <c r="J335" t="s">
        <v>62</v>
      </c>
      <c r="L335" t="s">
        <v>166</v>
      </c>
      <c r="M335" t="s">
        <v>86</v>
      </c>
      <c r="N335">
        <v>9.555493096640286E-3</v>
      </c>
      <c r="O335" t="s">
        <v>62</v>
      </c>
    </row>
    <row r="336" spans="2:15" x14ac:dyDescent="0.25">
      <c r="B336" t="s">
        <v>126</v>
      </c>
      <c r="C336" t="s">
        <v>87</v>
      </c>
      <c r="D336">
        <v>4.8666207910300831E-2</v>
      </c>
      <c r="E336" t="s">
        <v>62</v>
      </c>
      <c r="G336" t="s">
        <v>146</v>
      </c>
      <c r="H336" t="s">
        <v>87</v>
      </c>
      <c r="I336">
        <v>8.4526872631673425E-3</v>
      </c>
      <c r="J336" t="s">
        <v>62</v>
      </c>
      <c r="L336" t="s">
        <v>166</v>
      </c>
      <c r="M336" t="s">
        <v>87</v>
      </c>
      <c r="N336">
        <v>1.0278085937174712E-2</v>
      </c>
      <c r="O336" t="s">
        <v>62</v>
      </c>
    </row>
    <row r="337" spans="2:15" x14ac:dyDescent="0.25">
      <c r="B337" t="s">
        <v>126</v>
      </c>
      <c r="C337" t="s">
        <v>88</v>
      </c>
      <c r="D337">
        <v>4.0965392825415184E-2</v>
      </c>
      <c r="E337" t="s">
        <v>62</v>
      </c>
      <c r="G337" t="s">
        <v>146</v>
      </c>
      <c r="H337" t="s">
        <v>88</v>
      </c>
      <c r="I337">
        <v>9.0394183531594032E-3</v>
      </c>
      <c r="J337" t="s">
        <v>62</v>
      </c>
      <c r="L337" t="s">
        <v>166</v>
      </c>
      <c r="M337" t="s">
        <v>88</v>
      </c>
      <c r="N337">
        <v>1.05162392117551E-2</v>
      </c>
      <c r="O337" t="s">
        <v>62</v>
      </c>
    </row>
    <row r="338" spans="2:15" x14ac:dyDescent="0.25">
      <c r="B338" t="s">
        <v>126</v>
      </c>
      <c r="C338" t="s">
        <v>89</v>
      </c>
      <c r="D338">
        <v>2.633284742198751E-2</v>
      </c>
      <c r="E338" t="s">
        <v>62</v>
      </c>
      <c r="G338" t="s">
        <v>146</v>
      </c>
      <c r="H338" t="s">
        <v>89</v>
      </c>
      <c r="I338">
        <v>8.9240291495861889E-3</v>
      </c>
      <c r="J338" t="s">
        <v>62</v>
      </c>
      <c r="L338" t="s">
        <v>166</v>
      </c>
      <c r="M338" t="s">
        <v>89</v>
      </c>
      <c r="N338">
        <v>1.0095063131272015E-2</v>
      </c>
      <c r="O338" t="s">
        <v>62</v>
      </c>
    </row>
    <row r="339" spans="2:15" x14ac:dyDescent="0.25">
      <c r="B339" t="s">
        <v>126</v>
      </c>
      <c r="C339" t="s">
        <v>90</v>
      </c>
      <c r="D339">
        <v>8.0433680967760234E-3</v>
      </c>
      <c r="E339" t="s">
        <v>62</v>
      </c>
      <c r="G339" t="s">
        <v>146</v>
      </c>
      <c r="H339" t="s">
        <v>90</v>
      </c>
      <c r="I339">
        <v>1.05782508836993E-2</v>
      </c>
      <c r="J339" t="s">
        <v>62</v>
      </c>
      <c r="L339" t="s">
        <v>166</v>
      </c>
      <c r="M339" t="s">
        <v>90</v>
      </c>
      <c r="N339">
        <v>1.0004120777141204E-2</v>
      </c>
      <c r="O339" t="s">
        <v>62</v>
      </c>
    </row>
    <row r="340" spans="2:15" x14ac:dyDescent="0.25">
      <c r="B340" t="s">
        <v>126</v>
      </c>
      <c r="C340" t="s">
        <v>91</v>
      </c>
      <c r="D340">
        <v>0</v>
      </c>
      <c r="E340" t="s">
        <v>62</v>
      </c>
      <c r="G340" t="s">
        <v>146</v>
      </c>
      <c r="H340" t="s">
        <v>91</v>
      </c>
      <c r="I340">
        <v>1.927881768890248E-2</v>
      </c>
      <c r="J340" t="s">
        <v>62</v>
      </c>
      <c r="L340" t="s">
        <v>166</v>
      </c>
      <c r="M340" t="s">
        <v>91</v>
      </c>
      <c r="N340">
        <v>1.6621521647052547E-2</v>
      </c>
      <c r="O340" t="s">
        <v>62</v>
      </c>
    </row>
    <row r="341" spans="2:15" x14ac:dyDescent="0.25">
      <c r="B341" t="s">
        <v>126</v>
      </c>
      <c r="C341" t="s">
        <v>92</v>
      </c>
      <c r="D341">
        <v>2.3322877797673713E-4</v>
      </c>
      <c r="E341" t="s">
        <v>62</v>
      </c>
      <c r="G341" t="s">
        <v>146</v>
      </c>
      <c r="H341" t="s">
        <v>92</v>
      </c>
      <c r="I341">
        <v>1.9998492726975133E-2</v>
      </c>
      <c r="J341" t="s">
        <v>62</v>
      </c>
      <c r="L341" t="s">
        <v>166</v>
      </c>
      <c r="M341" t="s">
        <v>92</v>
      </c>
      <c r="N341">
        <v>2.4126852874759477E-2</v>
      </c>
      <c r="O341" t="s">
        <v>62</v>
      </c>
    </row>
    <row r="342" spans="2:15" x14ac:dyDescent="0.25">
      <c r="B342" t="s">
        <v>126</v>
      </c>
      <c r="C342" t="s">
        <v>93</v>
      </c>
      <c r="D342">
        <v>1.491191539979797E-2</v>
      </c>
      <c r="E342" t="s">
        <v>62</v>
      </c>
      <c r="G342" t="s">
        <v>146</v>
      </c>
      <c r="H342" t="s">
        <v>93</v>
      </c>
      <c r="I342">
        <v>7.0083442339519937E-3</v>
      </c>
      <c r="J342" t="s">
        <v>62</v>
      </c>
      <c r="L342" t="s">
        <v>166</v>
      </c>
      <c r="M342" t="s">
        <v>93</v>
      </c>
      <c r="N342">
        <v>9.6760883541073504E-3</v>
      </c>
      <c r="O342" t="s">
        <v>62</v>
      </c>
    </row>
    <row r="343" spans="2:15" x14ac:dyDescent="0.25">
      <c r="B343" t="s">
        <v>126</v>
      </c>
      <c r="C343" t="s">
        <v>94</v>
      </c>
      <c r="D343">
        <v>3.7297952622368173E-2</v>
      </c>
      <c r="E343" t="s">
        <v>62</v>
      </c>
      <c r="G343" t="s">
        <v>146</v>
      </c>
      <c r="H343" t="s">
        <v>94</v>
      </c>
      <c r="I343">
        <v>5.2108340395525211E-3</v>
      </c>
      <c r="J343" t="s">
        <v>62</v>
      </c>
      <c r="L343" t="s">
        <v>166</v>
      </c>
      <c r="M343" t="s">
        <v>94</v>
      </c>
      <c r="N343">
        <v>9.3915728773983215E-3</v>
      </c>
      <c r="O343" t="s">
        <v>62</v>
      </c>
    </row>
    <row r="344" spans="2:15" x14ac:dyDescent="0.25">
      <c r="B344" t="s">
        <v>126</v>
      </c>
      <c r="C344" t="s">
        <v>95</v>
      </c>
      <c r="D344">
        <v>4.7841250048095738E-2</v>
      </c>
      <c r="E344" t="s">
        <v>62</v>
      </c>
      <c r="G344" t="s">
        <v>146</v>
      </c>
      <c r="H344" t="s">
        <v>95</v>
      </c>
      <c r="I344">
        <v>6.7776986218171312E-3</v>
      </c>
      <c r="J344" t="s">
        <v>62</v>
      </c>
      <c r="L344" t="s">
        <v>166</v>
      </c>
      <c r="M344" t="s">
        <v>95</v>
      </c>
      <c r="N344">
        <v>9.4876679104623322E-3</v>
      </c>
      <c r="O344" t="s">
        <v>62</v>
      </c>
    </row>
    <row r="345" spans="2:15" x14ac:dyDescent="0.25">
      <c r="B345" t="s">
        <v>126</v>
      </c>
      <c r="C345" t="s">
        <v>96</v>
      </c>
      <c r="D345">
        <v>4.7958728626075475E-2</v>
      </c>
      <c r="E345" t="s">
        <v>62</v>
      </c>
      <c r="G345" t="s">
        <v>146</v>
      </c>
      <c r="H345" t="s">
        <v>96</v>
      </c>
      <c r="I345">
        <v>6.3015827520427892E-3</v>
      </c>
      <c r="J345" t="s">
        <v>62</v>
      </c>
      <c r="L345" t="s">
        <v>166</v>
      </c>
      <c r="M345" t="s">
        <v>96</v>
      </c>
      <c r="N345">
        <v>9.1674672164178544E-3</v>
      </c>
      <c r="O345" t="s">
        <v>62</v>
      </c>
    </row>
    <row r="346" spans="2:15" x14ac:dyDescent="0.25">
      <c r="B346" t="s">
        <v>126</v>
      </c>
      <c r="C346" t="s">
        <v>97</v>
      </c>
      <c r="D346">
        <v>4.7166086451926804E-2</v>
      </c>
      <c r="E346" t="s">
        <v>62</v>
      </c>
      <c r="G346" t="s">
        <v>146</v>
      </c>
      <c r="H346" t="s">
        <v>97</v>
      </c>
      <c r="I346">
        <v>7.8680638359897182E-3</v>
      </c>
      <c r="J346" t="s">
        <v>62</v>
      </c>
      <c r="L346" t="s">
        <v>166</v>
      </c>
      <c r="M346" t="s">
        <v>97</v>
      </c>
      <c r="N346">
        <v>1.049586335725616E-2</v>
      </c>
      <c r="O346" t="s">
        <v>62</v>
      </c>
    </row>
    <row r="347" spans="2:15" x14ac:dyDescent="0.25">
      <c r="B347" t="s">
        <v>126</v>
      </c>
      <c r="C347" t="s">
        <v>98</v>
      </c>
      <c r="D347">
        <v>4.2193299442505265E-2</v>
      </c>
      <c r="E347" t="s">
        <v>62</v>
      </c>
      <c r="G347" t="s">
        <v>146</v>
      </c>
      <c r="H347" t="s">
        <v>98</v>
      </c>
      <c r="I347">
        <v>8.2193255410678411E-3</v>
      </c>
      <c r="J347" t="s">
        <v>62</v>
      </c>
      <c r="L347" t="s">
        <v>166</v>
      </c>
      <c r="M347" t="s">
        <v>98</v>
      </c>
      <c r="N347">
        <v>1.104001604857663E-2</v>
      </c>
      <c r="O347" t="s">
        <v>62</v>
      </c>
    </row>
    <row r="348" spans="2:15" x14ac:dyDescent="0.25">
      <c r="B348" t="s">
        <v>126</v>
      </c>
      <c r="C348" t="s">
        <v>99</v>
      </c>
      <c r="D348">
        <v>2.8543868603782045E-2</v>
      </c>
      <c r="E348" t="s">
        <v>62</v>
      </c>
      <c r="G348" t="s">
        <v>146</v>
      </c>
      <c r="H348" t="s">
        <v>99</v>
      </c>
      <c r="I348">
        <v>7.5268000354968027E-3</v>
      </c>
      <c r="J348" t="s">
        <v>62</v>
      </c>
      <c r="L348" t="s">
        <v>166</v>
      </c>
      <c r="M348" t="s">
        <v>99</v>
      </c>
      <c r="N348">
        <v>1.0260163099735993E-2</v>
      </c>
      <c r="O348" t="s">
        <v>62</v>
      </c>
    </row>
    <row r="349" spans="2:15" x14ac:dyDescent="0.25">
      <c r="B349" t="s">
        <v>126</v>
      </c>
      <c r="C349" t="s">
        <v>100</v>
      </c>
      <c r="D349">
        <v>8.2959538333509421E-3</v>
      </c>
      <c r="E349" t="s">
        <v>62</v>
      </c>
      <c r="G349" t="s">
        <v>146</v>
      </c>
      <c r="H349" t="s">
        <v>100</v>
      </c>
      <c r="I349">
        <v>8.2227346052826215E-3</v>
      </c>
      <c r="J349" t="s">
        <v>62</v>
      </c>
      <c r="L349" t="s">
        <v>166</v>
      </c>
      <c r="M349" t="s">
        <v>100</v>
      </c>
      <c r="N349">
        <v>9.7539304938180933E-3</v>
      </c>
      <c r="O349" t="s">
        <v>62</v>
      </c>
    </row>
    <row r="350" spans="2:15" x14ac:dyDescent="0.25">
      <c r="B350" t="s">
        <v>126</v>
      </c>
      <c r="C350" t="s">
        <v>101</v>
      </c>
      <c r="D350">
        <v>0</v>
      </c>
      <c r="E350" t="s">
        <v>62</v>
      </c>
      <c r="G350" t="s">
        <v>146</v>
      </c>
      <c r="H350" t="s">
        <v>101</v>
      </c>
      <c r="I350">
        <v>1.366500913024027E-2</v>
      </c>
      <c r="J350" t="s">
        <v>62</v>
      </c>
      <c r="L350" t="s">
        <v>166</v>
      </c>
      <c r="M350" t="s">
        <v>101</v>
      </c>
      <c r="N350">
        <v>1.4685773558327155E-2</v>
      </c>
      <c r="O350" t="s">
        <v>62</v>
      </c>
    </row>
    <row r="351" spans="2:15" x14ac:dyDescent="0.25">
      <c r="B351" t="s">
        <v>126</v>
      </c>
      <c r="C351" t="s">
        <v>102</v>
      </c>
      <c r="D351">
        <v>0</v>
      </c>
      <c r="E351" t="s">
        <v>62</v>
      </c>
      <c r="G351" t="s">
        <v>146</v>
      </c>
      <c r="H351" t="s">
        <v>102</v>
      </c>
      <c r="I351">
        <v>3.4968969693747756E-2</v>
      </c>
      <c r="J351" t="s">
        <v>62</v>
      </c>
      <c r="L351" t="s">
        <v>166</v>
      </c>
      <c r="M351" t="s">
        <v>102</v>
      </c>
      <c r="N351">
        <v>3.2546873789403012E-2</v>
      </c>
      <c r="O351" t="s">
        <v>62</v>
      </c>
    </row>
    <row r="352" spans="2:15" x14ac:dyDescent="0.25">
      <c r="B352" t="s">
        <v>126</v>
      </c>
      <c r="C352" t="s">
        <v>103</v>
      </c>
      <c r="D352">
        <v>1.2529815494235874E-3</v>
      </c>
      <c r="E352" t="s">
        <v>62</v>
      </c>
      <c r="G352" t="s">
        <v>146</v>
      </c>
      <c r="H352" t="s">
        <v>103</v>
      </c>
      <c r="I352">
        <v>1.3667049002198889E-2</v>
      </c>
      <c r="J352" t="s">
        <v>62</v>
      </c>
      <c r="L352" t="s">
        <v>166</v>
      </c>
      <c r="M352" t="s">
        <v>103</v>
      </c>
      <c r="N352">
        <v>1.3109073054068936E-2</v>
      </c>
      <c r="O352" t="s">
        <v>62</v>
      </c>
    </row>
    <row r="353" spans="2:15" x14ac:dyDescent="0.25">
      <c r="B353" t="s">
        <v>126</v>
      </c>
      <c r="C353" t="s">
        <v>104</v>
      </c>
      <c r="D353">
        <v>1.4870592052406768E-2</v>
      </c>
      <c r="E353" t="s">
        <v>62</v>
      </c>
      <c r="G353" t="s">
        <v>146</v>
      </c>
      <c r="H353" t="s">
        <v>104</v>
      </c>
      <c r="I353">
        <v>1.2803053395997271E-2</v>
      </c>
      <c r="J353" t="s">
        <v>62</v>
      </c>
      <c r="L353" t="s">
        <v>166</v>
      </c>
      <c r="M353" t="s">
        <v>104</v>
      </c>
      <c r="N353">
        <v>1.3306978048527332E-2</v>
      </c>
      <c r="O353" t="s">
        <v>62</v>
      </c>
    </row>
    <row r="354" spans="2:15" x14ac:dyDescent="0.25">
      <c r="B354" t="s">
        <v>126</v>
      </c>
      <c r="C354" t="s">
        <v>105</v>
      </c>
      <c r="D354">
        <v>2.7609445154124456E-2</v>
      </c>
      <c r="E354" t="s">
        <v>62</v>
      </c>
      <c r="G354" t="s">
        <v>146</v>
      </c>
      <c r="H354" t="s">
        <v>105</v>
      </c>
      <c r="I354">
        <v>1.1560571841415299E-2</v>
      </c>
      <c r="J354" t="s">
        <v>62</v>
      </c>
      <c r="L354" t="s">
        <v>166</v>
      </c>
      <c r="M354" t="s">
        <v>105</v>
      </c>
      <c r="N354">
        <v>1.358607272439301E-2</v>
      </c>
      <c r="O354" t="s">
        <v>62</v>
      </c>
    </row>
    <row r="355" spans="2:15" x14ac:dyDescent="0.25">
      <c r="B355" t="s">
        <v>126</v>
      </c>
      <c r="C355" t="s">
        <v>106</v>
      </c>
      <c r="D355">
        <v>2.8960147611621259E-2</v>
      </c>
      <c r="E355" t="s">
        <v>62</v>
      </c>
      <c r="G355" t="s">
        <v>146</v>
      </c>
      <c r="H355" t="s">
        <v>106</v>
      </c>
      <c r="I355">
        <v>1.1587863901967553E-2</v>
      </c>
      <c r="J355" t="s">
        <v>62</v>
      </c>
      <c r="L355" t="s">
        <v>166</v>
      </c>
      <c r="M355" t="s">
        <v>106</v>
      </c>
      <c r="N355">
        <v>1.3113943183224995E-2</v>
      </c>
      <c r="O355" t="s">
        <v>62</v>
      </c>
    </row>
    <row r="356" spans="2:15" x14ac:dyDescent="0.25">
      <c r="B356" t="s">
        <v>126</v>
      </c>
      <c r="C356" t="s">
        <v>107</v>
      </c>
      <c r="D356">
        <v>2.960452332863751E-2</v>
      </c>
      <c r="E356" t="s">
        <v>62</v>
      </c>
      <c r="G356" t="s">
        <v>146</v>
      </c>
      <c r="H356" t="s">
        <v>107</v>
      </c>
      <c r="I356">
        <v>1.2459879918943147E-2</v>
      </c>
      <c r="J356" t="s">
        <v>62</v>
      </c>
      <c r="L356" t="s">
        <v>166</v>
      </c>
      <c r="M356" t="s">
        <v>107</v>
      </c>
      <c r="N356">
        <v>1.3083940025409635E-2</v>
      </c>
      <c r="O356" t="s">
        <v>62</v>
      </c>
    </row>
    <row r="357" spans="2:15" x14ac:dyDescent="0.25">
      <c r="B357" t="s">
        <v>126</v>
      </c>
      <c r="C357" t="s">
        <v>108</v>
      </c>
      <c r="D357">
        <v>2.109073000375801E-2</v>
      </c>
      <c r="E357" t="s">
        <v>62</v>
      </c>
      <c r="G357" t="s">
        <v>146</v>
      </c>
      <c r="H357" t="s">
        <v>108</v>
      </c>
      <c r="I357">
        <v>1.2721777410850437E-2</v>
      </c>
      <c r="J357" t="s">
        <v>62</v>
      </c>
      <c r="L357" t="s">
        <v>166</v>
      </c>
      <c r="M357" t="s">
        <v>108</v>
      </c>
      <c r="N357">
        <v>1.3559582159079401E-2</v>
      </c>
      <c r="O357" t="s">
        <v>62</v>
      </c>
    </row>
    <row r="358" spans="2:15" x14ac:dyDescent="0.25">
      <c r="B358" t="s">
        <v>126</v>
      </c>
      <c r="C358" t="s">
        <v>109</v>
      </c>
      <c r="D358">
        <v>6.5742033573930707E-3</v>
      </c>
      <c r="E358" t="s">
        <v>62</v>
      </c>
      <c r="G358" t="s">
        <v>146</v>
      </c>
      <c r="H358" t="s">
        <v>109</v>
      </c>
      <c r="I358">
        <v>1.4613513323889726E-2</v>
      </c>
      <c r="J358" t="s">
        <v>62</v>
      </c>
      <c r="L358" t="s">
        <v>166</v>
      </c>
      <c r="M358" t="s">
        <v>109</v>
      </c>
      <c r="N358">
        <v>1.3836905570979361E-2</v>
      </c>
      <c r="O358" t="s">
        <v>62</v>
      </c>
    </row>
    <row r="359" spans="2:15" x14ac:dyDescent="0.25">
      <c r="B359" t="s">
        <v>126</v>
      </c>
      <c r="C359" t="s">
        <v>110</v>
      </c>
      <c r="D359">
        <v>0</v>
      </c>
      <c r="E359" t="s">
        <v>62</v>
      </c>
      <c r="G359" t="s">
        <v>146</v>
      </c>
      <c r="H359" t="s">
        <v>110</v>
      </c>
      <c r="I359">
        <v>1.6448620850496056E-2</v>
      </c>
      <c r="J359" t="s">
        <v>62</v>
      </c>
      <c r="L359" t="s">
        <v>166</v>
      </c>
      <c r="M359" t="s">
        <v>110</v>
      </c>
      <c r="N359">
        <v>1.4042847087535275E-2</v>
      </c>
      <c r="O359" t="s">
        <v>62</v>
      </c>
    </row>
    <row r="360" spans="2:15" x14ac:dyDescent="0.25">
      <c r="B360" t="s">
        <v>126</v>
      </c>
      <c r="C360" t="s">
        <v>111</v>
      </c>
      <c r="D360">
        <v>0</v>
      </c>
      <c r="E360" t="s">
        <v>62</v>
      </c>
      <c r="G360" t="s">
        <v>146</v>
      </c>
      <c r="H360" t="s">
        <v>111</v>
      </c>
      <c r="I360">
        <v>2.4420013939806671E-2</v>
      </c>
      <c r="J360" t="s">
        <v>62</v>
      </c>
      <c r="L360" t="s">
        <v>166</v>
      </c>
      <c r="M360" t="s">
        <v>111</v>
      </c>
      <c r="N360">
        <v>2.0955792717063687E-2</v>
      </c>
      <c r="O360" t="s">
        <v>62</v>
      </c>
    </row>
    <row r="361" spans="2:15" x14ac:dyDescent="0.25">
      <c r="B361" t="s">
        <v>126</v>
      </c>
      <c r="C361" t="s">
        <v>112</v>
      </c>
      <c r="D361">
        <v>0</v>
      </c>
      <c r="E361" t="s">
        <v>62</v>
      </c>
      <c r="G361" t="s">
        <v>146</v>
      </c>
      <c r="H361" t="s">
        <v>112</v>
      </c>
      <c r="I361">
        <v>5.2401834371691505E-2</v>
      </c>
      <c r="J361" t="s">
        <v>62</v>
      </c>
      <c r="L361" t="s">
        <v>166</v>
      </c>
      <c r="M361" t="s">
        <v>112</v>
      </c>
      <c r="N361">
        <v>4.8587211644784224E-2</v>
      </c>
      <c r="O361" t="s">
        <v>62</v>
      </c>
    </row>
    <row r="362" spans="2:15" x14ac:dyDescent="0.25">
      <c r="B362" t="s">
        <v>126</v>
      </c>
      <c r="C362" t="s">
        <v>113</v>
      </c>
      <c r="D362">
        <v>0</v>
      </c>
      <c r="E362" t="s">
        <v>62</v>
      </c>
      <c r="G362" t="s">
        <v>146</v>
      </c>
      <c r="H362" t="s">
        <v>113</v>
      </c>
      <c r="I362">
        <v>2.0580143457400574E-2</v>
      </c>
      <c r="J362" t="s">
        <v>62</v>
      </c>
      <c r="L362" t="s">
        <v>166</v>
      </c>
      <c r="M362" t="s">
        <v>113</v>
      </c>
      <c r="N362">
        <v>1.9617730420343454E-2</v>
      </c>
      <c r="O362" t="s">
        <v>62</v>
      </c>
    </row>
    <row r="363" spans="2:15" x14ac:dyDescent="0.25">
      <c r="B363" t="s">
        <v>126</v>
      </c>
      <c r="C363" t="s">
        <v>114</v>
      </c>
      <c r="D363">
        <v>5.9761858711728563E-4</v>
      </c>
      <c r="E363" t="s">
        <v>62</v>
      </c>
      <c r="G363" t="s">
        <v>146</v>
      </c>
      <c r="H363" t="s">
        <v>114</v>
      </c>
      <c r="I363">
        <v>2.0939747711294185E-2</v>
      </c>
      <c r="J363" t="s">
        <v>62</v>
      </c>
      <c r="L363" t="s">
        <v>166</v>
      </c>
      <c r="M363" t="s">
        <v>114</v>
      </c>
      <c r="N363">
        <v>2.000236564816003E-2</v>
      </c>
      <c r="O363" t="s">
        <v>62</v>
      </c>
    </row>
    <row r="364" spans="2:15" x14ac:dyDescent="0.25">
      <c r="B364" t="s">
        <v>126</v>
      </c>
      <c r="C364" t="s">
        <v>115</v>
      </c>
      <c r="D364">
        <v>8.0200435327107654E-3</v>
      </c>
      <c r="E364" t="s">
        <v>62</v>
      </c>
      <c r="G364" t="s">
        <v>146</v>
      </c>
      <c r="H364" t="s">
        <v>115</v>
      </c>
      <c r="I364">
        <v>2.0530370344834056E-2</v>
      </c>
      <c r="J364" t="s">
        <v>62</v>
      </c>
      <c r="L364" t="s">
        <v>166</v>
      </c>
      <c r="M364" t="s">
        <v>115</v>
      </c>
      <c r="N364">
        <v>1.9761077914857077E-2</v>
      </c>
      <c r="O364" t="s">
        <v>62</v>
      </c>
    </row>
    <row r="365" spans="2:15" x14ac:dyDescent="0.25">
      <c r="B365" t="s">
        <v>126</v>
      </c>
      <c r="C365" t="s">
        <v>116</v>
      </c>
      <c r="D365">
        <v>1.1130642024524845E-2</v>
      </c>
      <c r="E365" t="s">
        <v>62</v>
      </c>
      <c r="G365" t="s">
        <v>146</v>
      </c>
      <c r="H365" t="s">
        <v>116</v>
      </c>
      <c r="I365">
        <v>1.9352898664631576E-2</v>
      </c>
      <c r="J365" t="s">
        <v>62</v>
      </c>
      <c r="L365" t="s">
        <v>166</v>
      </c>
      <c r="M365" t="s">
        <v>116</v>
      </c>
      <c r="N365">
        <v>1.9518100652478547E-2</v>
      </c>
      <c r="O365" t="s">
        <v>62</v>
      </c>
    </row>
    <row r="366" spans="2:15" x14ac:dyDescent="0.25">
      <c r="B366" t="s">
        <v>126</v>
      </c>
      <c r="C366" t="s">
        <v>117</v>
      </c>
      <c r="D366">
        <v>1.0173315829735748E-2</v>
      </c>
      <c r="E366" t="s">
        <v>62</v>
      </c>
      <c r="G366" t="s">
        <v>146</v>
      </c>
      <c r="H366" t="s">
        <v>117</v>
      </c>
      <c r="I366">
        <v>1.9814662269831213E-2</v>
      </c>
      <c r="J366" t="s">
        <v>62</v>
      </c>
      <c r="L366" t="s">
        <v>166</v>
      </c>
      <c r="M366" t="s">
        <v>117</v>
      </c>
      <c r="N366">
        <v>1.915458588767105E-2</v>
      </c>
      <c r="O366" t="s">
        <v>62</v>
      </c>
    </row>
    <row r="367" spans="2:15" x14ac:dyDescent="0.25">
      <c r="B367" t="s">
        <v>126</v>
      </c>
      <c r="C367" t="s">
        <v>118</v>
      </c>
      <c r="D367">
        <v>2.7163184086986016E-3</v>
      </c>
      <c r="E367" t="s">
        <v>62</v>
      </c>
      <c r="G367" t="s">
        <v>146</v>
      </c>
      <c r="H367" t="s">
        <v>118</v>
      </c>
      <c r="I367">
        <v>2.105634806944031E-2</v>
      </c>
      <c r="J367" t="s">
        <v>62</v>
      </c>
      <c r="L367" t="s">
        <v>166</v>
      </c>
      <c r="M367" t="s">
        <v>118</v>
      </c>
      <c r="N367">
        <v>1.9219098681779272E-2</v>
      </c>
      <c r="O367" t="s">
        <v>62</v>
      </c>
    </row>
    <row r="368" spans="2:15" x14ac:dyDescent="0.25">
      <c r="B368" t="s">
        <v>126</v>
      </c>
      <c r="C368" t="s">
        <v>119</v>
      </c>
      <c r="D368">
        <v>0</v>
      </c>
      <c r="E368" t="s">
        <v>62</v>
      </c>
      <c r="G368" t="s">
        <v>146</v>
      </c>
      <c r="H368" t="s">
        <v>119</v>
      </c>
      <c r="I368">
        <v>2.2132506943417382E-2</v>
      </c>
      <c r="J368" t="s">
        <v>62</v>
      </c>
      <c r="L368" t="s">
        <v>166</v>
      </c>
      <c r="M368" t="s">
        <v>119</v>
      </c>
      <c r="N368">
        <v>1.9368215777417399E-2</v>
      </c>
      <c r="O368" t="s">
        <v>62</v>
      </c>
    </row>
    <row r="369" spans="2:15" x14ac:dyDescent="0.25">
      <c r="B369" t="s">
        <v>126</v>
      </c>
      <c r="C369" t="s">
        <v>120</v>
      </c>
      <c r="D369">
        <v>0</v>
      </c>
      <c r="E369" t="s">
        <v>62</v>
      </c>
      <c r="G369" t="s">
        <v>146</v>
      </c>
      <c r="H369" t="s">
        <v>120</v>
      </c>
      <c r="I369">
        <v>2.2309916675703929E-2</v>
      </c>
      <c r="J369" t="s">
        <v>62</v>
      </c>
      <c r="L369" t="s">
        <v>166</v>
      </c>
      <c r="M369" t="s">
        <v>120</v>
      </c>
      <c r="N369">
        <v>1.941217184927508E-2</v>
      </c>
      <c r="O369" t="s">
        <v>62</v>
      </c>
    </row>
    <row r="370" spans="2:15" x14ac:dyDescent="0.25">
      <c r="B370" t="s">
        <v>126</v>
      </c>
      <c r="C370" t="s">
        <v>121</v>
      </c>
      <c r="D370">
        <v>0</v>
      </c>
      <c r="E370" t="s">
        <v>62</v>
      </c>
      <c r="G370" t="s">
        <v>146</v>
      </c>
      <c r="H370" t="s">
        <v>121</v>
      </c>
      <c r="I370">
        <v>3.3222322835236594E-2</v>
      </c>
      <c r="J370" t="s">
        <v>62</v>
      </c>
      <c r="L370" t="s">
        <v>166</v>
      </c>
      <c r="M370" t="s">
        <v>121</v>
      </c>
      <c r="N370">
        <v>2.9116135512025264E-2</v>
      </c>
      <c r="O370" t="s">
        <v>62</v>
      </c>
    </row>
    <row r="371" spans="2:15" x14ac:dyDescent="0.25">
      <c r="B371" t="s">
        <v>127</v>
      </c>
      <c r="C371" t="s">
        <v>61</v>
      </c>
      <c r="D371">
        <v>0</v>
      </c>
      <c r="E371" t="s">
        <v>62</v>
      </c>
      <c r="G371" t="s">
        <v>147</v>
      </c>
      <c r="H371" t="s">
        <v>61</v>
      </c>
      <c r="I371">
        <v>3.9041957663053427E-2</v>
      </c>
      <c r="J371" t="s">
        <v>62</v>
      </c>
      <c r="L371" t="s">
        <v>167</v>
      </c>
      <c r="M371" t="s">
        <v>61</v>
      </c>
      <c r="N371">
        <v>3.2666408000721681E-2</v>
      </c>
      <c r="O371" t="s">
        <v>62</v>
      </c>
    </row>
    <row r="372" spans="2:15" x14ac:dyDescent="0.25">
      <c r="B372" t="s">
        <v>127</v>
      </c>
      <c r="C372" t="s">
        <v>63</v>
      </c>
      <c r="D372">
        <v>0</v>
      </c>
      <c r="E372" t="s">
        <v>62</v>
      </c>
      <c r="G372" t="s">
        <v>147</v>
      </c>
      <c r="H372" t="s">
        <v>63</v>
      </c>
      <c r="I372">
        <v>1.5967224117894085E-2</v>
      </c>
      <c r="J372" t="s">
        <v>62</v>
      </c>
      <c r="L372" t="s">
        <v>167</v>
      </c>
      <c r="M372" t="s">
        <v>63</v>
      </c>
      <c r="N372">
        <v>1.332539127647964E-2</v>
      </c>
      <c r="O372" t="s">
        <v>62</v>
      </c>
    </row>
    <row r="373" spans="2:15" x14ac:dyDescent="0.25">
      <c r="B373" t="s">
        <v>127</v>
      </c>
      <c r="C373" t="s">
        <v>64</v>
      </c>
      <c r="D373">
        <v>5.2264294840353661E-4</v>
      </c>
      <c r="E373" t="s">
        <v>62</v>
      </c>
      <c r="G373" t="s">
        <v>147</v>
      </c>
      <c r="H373" t="s">
        <v>64</v>
      </c>
      <c r="I373">
        <v>1.6263483494975056E-2</v>
      </c>
      <c r="J373" t="s">
        <v>62</v>
      </c>
      <c r="L373" t="s">
        <v>167</v>
      </c>
      <c r="M373" t="s">
        <v>64</v>
      </c>
      <c r="N373">
        <v>1.3929092345530247E-2</v>
      </c>
      <c r="O373" t="s">
        <v>62</v>
      </c>
    </row>
    <row r="374" spans="2:15" x14ac:dyDescent="0.25">
      <c r="B374" t="s">
        <v>127</v>
      </c>
      <c r="C374" t="s">
        <v>65</v>
      </c>
      <c r="D374">
        <v>8.1858914818893399E-3</v>
      </c>
      <c r="E374" t="s">
        <v>62</v>
      </c>
      <c r="G374" t="s">
        <v>147</v>
      </c>
      <c r="H374" t="s">
        <v>65</v>
      </c>
      <c r="I374">
        <v>1.5960210159111376E-2</v>
      </c>
      <c r="J374" t="s">
        <v>62</v>
      </c>
      <c r="L374" t="s">
        <v>167</v>
      </c>
      <c r="M374" t="s">
        <v>65</v>
      </c>
      <c r="N374">
        <v>1.3930316749572066E-2</v>
      </c>
      <c r="O374" t="s">
        <v>62</v>
      </c>
    </row>
    <row r="375" spans="2:15" x14ac:dyDescent="0.25">
      <c r="B375" t="s">
        <v>127</v>
      </c>
      <c r="C375" t="s">
        <v>66</v>
      </c>
      <c r="D375">
        <v>1.5993096574934872E-2</v>
      </c>
      <c r="E375" t="s">
        <v>62</v>
      </c>
      <c r="G375" t="s">
        <v>147</v>
      </c>
      <c r="H375" t="s">
        <v>66</v>
      </c>
      <c r="I375">
        <v>1.428829822458284E-2</v>
      </c>
      <c r="J375" t="s">
        <v>62</v>
      </c>
      <c r="L375" t="s">
        <v>167</v>
      </c>
      <c r="M375" t="s">
        <v>66</v>
      </c>
      <c r="N375">
        <v>1.4328675737304101E-2</v>
      </c>
      <c r="O375" t="s">
        <v>62</v>
      </c>
    </row>
    <row r="376" spans="2:15" x14ac:dyDescent="0.25">
      <c r="B376" t="s">
        <v>127</v>
      </c>
      <c r="C376" t="s">
        <v>67</v>
      </c>
      <c r="D376">
        <v>1.5331617499131143E-2</v>
      </c>
      <c r="E376" t="s">
        <v>62</v>
      </c>
      <c r="G376" t="s">
        <v>147</v>
      </c>
      <c r="H376" t="s">
        <v>67</v>
      </c>
      <c r="I376">
        <v>1.3535759204670872E-2</v>
      </c>
      <c r="J376" t="s">
        <v>62</v>
      </c>
      <c r="L376" t="s">
        <v>167</v>
      </c>
      <c r="M376" t="s">
        <v>67</v>
      </c>
      <c r="N376">
        <v>1.475614619412768E-2</v>
      </c>
      <c r="O376" t="s">
        <v>62</v>
      </c>
    </row>
    <row r="377" spans="2:15" x14ac:dyDescent="0.25">
      <c r="B377" t="s">
        <v>127</v>
      </c>
      <c r="C377" t="s">
        <v>68</v>
      </c>
      <c r="D377">
        <v>9.0873377814842636E-3</v>
      </c>
      <c r="E377" t="s">
        <v>62</v>
      </c>
      <c r="G377" t="s">
        <v>147</v>
      </c>
      <c r="H377" t="s">
        <v>68</v>
      </c>
      <c r="I377">
        <v>1.4072378525191821E-2</v>
      </c>
      <c r="J377" t="s">
        <v>62</v>
      </c>
      <c r="L377" t="s">
        <v>167</v>
      </c>
      <c r="M377" t="s">
        <v>68</v>
      </c>
      <c r="N377">
        <v>1.5089544995575941E-2</v>
      </c>
      <c r="O377" t="s">
        <v>62</v>
      </c>
    </row>
    <row r="378" spans="2:15" x14ac:dyDescent="0.25">
      <c r="B378" t="s">
        <v>127</v>
      </c>
      <c r="C378" t="s">
        <v>69</v>
      </c>
      <c r="D378">
        <v>1.1450781519910021E-3</v>
      </c>
      <c r="E378" t="s">
        <v>62</v>
      </c>
      <c r="G378" t="s">
        <v>147</v>
      </c>
      <c r="H378" t="s">
        <v>69</v>
      </c>
      <c r="I378">
        <v>1.5949491956995604E-2</v>
      </c>
      <c r="J378" t="s">
        <v>62</v>
      </c>
      <c r="L378" t="s">
        <v>167</v>
      </c>
      <c r="M378" t="s">
        <v>69</v>
      </c>
      <c r="N378">
        <v>1.5669667830406811E-2</v>
      </c>
      <c r="O378" t="s">
        <v>62</v>
      </c>
    </row>
    <row r="379" spans="2:15" x14ac:dyDescent="0.25">
      <c r="B379" t="s">
        <v>127</v>
      </c>
      <c r="C379" t="s">
        <v>70</v>
      </c>
      <c r="D379">
        <v>0</v>
      </c>
      <c r="E379" t="s">
        <v>62</v>
      </c>
      <c r="G379" t="s">
        <v>147</v>
      </c>
      <c r="H379" t="s">
        <v>70</v>
      </c>
      <c r="I379">
        <v>1.6571924948735495E-2</v>
      </c>
      <c r="J379" t="s">
        <v>62</v>
      </c>
      <c r="L379" t="s">
        <v>167</v>
      </c>
      <c r="M379" t="s">
        <v>70</v>
      </c>
      <c r="N379">
        <v>1.57605154065046E-2</v>
      </c>
      <c r="O379" t="s">
        <v>62</v>
      </c>
    </row>
    <row r="380" spans="2:15" x14ac:dyDescent="0.25">
      <c r="B380" t="s">
        <v>127</v>
      </c>
      <c r="C380" t="s">
        <v>71</v>
      </c>
      <c r="D380">
        <v>0</v>
      </c>
      <c r="E380" t="s">
        <v>62</v>
      </c>
      <c r="G380" t="s">
        <v>147</v>
      </c>
      <c r="H380" t="s">
        <v>71</v>
      </c>
      <c r="I380">
        <v>2.4256241323734523E-2</v>
      </c>
      <c r="J380" t="s">
        <v>62</v>
      </c>
      <c r="L380" t="s">
        <v>167</v>
      </c>
      <c r="M380" t="s">
        <v>71</v>
      </c>
      <c r="N380">
        <v>2.1292576511047961E-2</v>
      </c>
      <c r="O380" t="s">
        <v>62</v>
      </c>
    </row>
    <row r="381" spans="2:15" x14ac:dyDescent="0.25">
      <c r="B381" t="s">
        <v>127</v>
      </c>
      <c r="C381" t="s">
        <v>72</v>
      </c>
      <c r="D381">
        <v>0</v>
      </c>
      <c r="E381" t="s">
        <v>62</v>
      </c>
      <c r="G381" t="s">
        <v>147</v>
      </c>
      <c r="H381" t="s">
        <v>72</v>
      </c>
      <c r="I381">
        <v>4.3840797947374339E-2</v>
      </c>
      <c r="J381" t="s">
        <v>62</v>
      </c>
      <c r="L381" t="s">
        <v>167</v>
      </c>
      <c r="M381" t="s">
        <v>72</v>
      </c>
      <c r="N381">
        <v>3.7140679773770474E-2</v>
      </c>
      <c r="O381" t="s">
        <v>62</v>
      </c>
    </row>
    <row r="382" spans="2:15" x14ac:dyDescent="0.25">
      <c r="B382" t="s">
        <v>127</v>
      </c>
      <c r="C382" t="s">
        <v>73</v>
      </c>
      <c r="D382">
        <v>2.755398662038559E-3</v>
      </c>
      <c r="E382" t="s">
        <v>62</v>
      </c>
      <c r="G382" t="s">
        <v>147</v>
      </c>
      <c r="H382" t="s">
        <v>73</v>
      </c>
      <c r="I382">
        <v>1.7388043326044395E-2</v>
      </c>
      <c r="J382" t="s">
        <v>62</v>
      </c>
      <c r="L382" t="s">
        <v>167</v>
      </c>
      <c r="M382" t="s">
        <v>73</v>
      </c>
      <c r="N382">
        <v>1.4612914657012007E-2</v>
      </c>
      <c r="O382" t="s">
        <v>62</v>
      </c>
    </row>
    <row r="383" spans="2:15" x14ac:dyDescent="0.25">
      <c r="B383" t="s">
        <v>127</v>
      </c>
      <c r="C383" t="s">
        <v>74</v>
      </c>
      <c r="D383">
        <v>2.4075801264762404E-2</v>
      </c>
      <c r="E383" t="s">
        <v>62</v>
      </c>
      <c r="G383" t="s">
        <v>147</v>
      </c>
      <c r="H383" t="s">
        <v>74</v>
      </c>
      <c r="I383">
        <v>1.5789177618585861E-2</v>
      </c>
      <c r="J383" t="s">
        <v>62</v>
      </c>
      <c r="L383" t="s">
        <v>167</v>
      </c>
      <c r="M383" t="s">
        <v>74</v>
      </c>
      <c r="N383">
        <v>1.4367649379484449E-2</v>
      </c>
      <c r="O383" t="s">
        <v>62</v>
      </c>
    </row>
    <row r="384" spans="2:15" x14ac:dyDescent="0.25">
      <c r="B384" t="s">
        <v>127</v>
      </c>
      <c r="C384" t="s">
        <v>75</v>
      </c>
      <c r="D384">
        <v>4.6273782951442195E-2</v>
      </c>
      <c r="E384" t="s">
        <v>62</v>
      </c>
      <c r="G384" t="s">
        <v>147</v>
      </c>
      <c r="H384" t="s">
        <v>75</v>
      </c>
      <c r="I384">
        <v>1.4429949068180441E-2</v>
      </c>
      <c r="J384" t="s">
        <v>62</v>
      </c>
      <c r="L384" t="s">
        <v>167</v>
      </c>
      <c r="M384" t="s">
        <v>75</v>
      </c>
      <c r="N384">
        <v>1.4211254825224902E-2</v>
      </c>
      <c r="O384" t="s">
        <v>62</v>
      </c>
    </row>
    <row r="385" spans="2:15" x14ac:dyDescent="0.25">
      <c r="B385" t="s">
        <v>127</v>
      </c>
      <c r="C385" t="s">
        <v>76</v>
      </c>
      <c r="D385">
        <v>4.7645863604199735E-2</v>
      </c>
      <c r="E385" t="s">
        <v>62</v>
      </c>
      <c r="G385" t="s">
        <v>147</v>
      </c>
      <c r="H385" t="s">
        <v>76</v>
      </c>
      <c r="I385">
        <v>1.3348802830041166E-2</v>
      </c>
      <c r="J385" t="s">
        <v>62</v>
      </c>
      <c r="L385" t="s">
        <v>167</v>
      </c>
      <c r="M385" t="s">
        <v>76</v>
      </c>
      <c r="N385">
        <v>1.3405036670460014E-2</v>
      </c>
      <c r="O385" t="s">
        <v>62</v>
      </c>
    </row>
    <row r="386" spans="2:15" x14ac:dyDescent="0.25">
      <c r="B386" t="s">
        <v>127</v>
      </c>
      <c r="C386" t="s">
        <v>77</v>
      </c>
      <c r="D386">
        <v>4.5113540791730487E-2</v>
      </c>
      <c r="E386" t="s">
        <v>62</v>
      </c>
      <c r="G386" t="s">
        <v>147</v>
      </c>
      <c r="H386" t="s">
        <v>77</v>
      </c>
      <c r="I386">
        <v>1.4801577091461141E-2</v>
      </c>
      <c r="J386" t="s">
        <v>62</v>
      </c>
      <c r="L386" t="s">
        <v>167</v>
      </c>
      <c r="M386" t="s">
        <v>77</v>
      </c>
      <c r="N386">
        <v>1.4014855196983079E-2</v>
      </c>
      <c r="O386" t="s">
        <v>62</v>
      </c>
    </row>
    <row r="387" spans="2:15" x14ac:dyDescent="0.25">
      <c r="B387" t="s">
        <v>127</v>
      </c>
      <c r="C387" t="s">
        <v>78</v>
      </c>
      <c r="D387">
        <v>4.0513227612026449E-2</v>
      </c>
      <c r="E387" t="s">
        <v>62</v>
      </c>
      <c r="G387" t="s">
        <v>147</v>
      </c>
      <c r="H387" t="s">
        <v>78</v>
      </c>
      <c r="I387">
        <v>1.49817453354313E-2</v>
      </c>
      <c r="J387" t="s">
        <v>62</v>
      </c>
      <c r="L387" t="s">
        <v>167</v>
      </c>
      <c r="M387" t="s">
        <v>78</v>
      </c>
      <c r="N387">
        <v>1.4390837158956345E-2</v>
      </c>
      <c r="O387" t="s">
        <v>62</v>
      </c>
    </row>
    <row r="388" spans="2:15" x14ac:dyDescent="0.25">
      <c r="B388" t="s">
        <v>127</v>
      </c>
      <c r="C388" t="s">
        <v>79</v>
      </c>
      <c r="D388">
        <v>2.2184506017792489E-2</v>
      </c>
      <c r="E388" t="s">
        <v>62</v>
      </c>
      <c r="G388" t="s">
        <v>147</v>
      </c>
      <c r="H388" t="s">
        <v>79</v>
      </c>
      <c r="I388">
        <v>1.5796012993906459E-2</v>
      </c>
      <c r="J388" t="s">
        <v>62</v>
      </c>
      <c r="L388" t="s">
        <v>167</v>
      </c>
      <c r="M388" t="s">
        <v>79</v>
      </c>
      <c r="N388">
        <v>1.5253550284825584E-2</v>
      </c>
      <c r="O388" t="s">
        <v>62</v>
      </c>
    </row>
    <row r="389" spans="2:15" x14ac:dyDescent="0.25">
      <c r="B389" t="s">
        <v>127</v>
      </c>
      <c r="C389" t="s">
        <v>80</v>
      </c>
      <c r="D389">
        <v>1.9814615774284561E-3</v>
      </c>
      <c r="E389" t="s">
        <v>62</v>
      </c>
      <c r="G389" t="s">
        <v>147</v>
      </c>
      <c r="H389" t="s">
        <v>80</v>
      </c>
      <c r="I389">
        <v>1.7755859197382314E-2</v>
      </c>
      <c r="J389" t="s">
        <v>62</v>
      </c>
      <c r="L389" t="s">
        <v>167</v>
      </c>
      <c r="M389" t="s">
        <v>80</v>
      </c>
      <c r="N389">
        <v>1.5966457682922888E-2</v>
      </c>
      <c r="O389" t="s">
        <v>62</v>
      </c>
    </row>
    <row r="390" spans="2:15" x14ac:dyDescent="0.25">
      <c r="B390" t="s">
        <v>127</v>
      </c>
      <c r="C390" t="s">
        <v>81</v>
      </c>
      <c r="D390">
        <v>0</v>
      </c>
      <c r="E390" t="s">
        <v>62</v>
      </c>
      <c r="G390" t="s">
        <v>147</v>
      </c>
      <c r="H390" t="s">
        <v>81</v>
      </c>
      <c r="I390">
        <v>2.6402574997306544E-2</v>
      </c>
      <c r="J390" t="s">
        <v>62</v>
      </c>
      <c r="L390" t="s">
        <v>167</v>
      </c>
      <c r="M390" t="s">
        <v>81</v>
      </c>
      <c r="N390">
        <v>2.3158590292167609E-2</v>
      </c>
      <c r="O390" t="s">
        <v>62</v>
      </c>
    </row>
    <row r="391" spans="2:15" x14ac:dyDescent="0.25">
      <c r="B391" t="s">
        <v>127</v>
      </c>
      <c r="C391" t="s">
        <v>82</v>
      </c>
      <c r="D391">
        <v>1.9218976728926336E-6</v>
      </c>
      <c r="E391" t="s">
        <v>62</v>
      </c>
      <c r="G391" t="s">
        <v>147</v>
      </c>
      <c r="H391" t="s">
        <v>82</v>
      </c>
      <c r="I391">
        <v>2.7741390420223586E-2</v>
      </c>
      <c r="J391" t="s">
        <v>62</v>
      </c>
      <c r="L391" t="s">
        <v>167</v>
      </c>
      <c r="M391" t="s">
        <v>82</v>
      </c>
      <c r="N391">
        <v>2.7871540459489776E-2</v>
      </c>
      <c r="O391" t="s">
        <v>62</v>
      </c>
    </row>
    <row r="392" spans="2:15" x14ac:dyDescent="0.25">
      <c r="B392" t="s">
        <v>127</v>
      </c>
      <c r="C392" t="s">
        <v>83</v>
      </c>
      <c r="D392">
        <v>1.5637967623759144E-2</v>
      </c>
      <c r="E392" t="s">
        <v>62</v>
      </c>
      <c r="G392" t="s">
        <v>147</v>
      </c>
      <c r="H392" t="s">
        <v>83</v>
      </c>
      <c r="I392">
        <v>8.919634772035695E-3</v>
      </c>
      <c r="J392" t="s">
        <v>62</v>
      </c>
      <c r="L392" t="s">
        <v>167</v>
      </c>
      <c r="M392" t="s">
        <v>83</v>
      </c>
      <c r="N392">
        <v>1.0583653304957769E-2</v>
      </c>
      <c r="O392" t="s">
        <v>62</v>
      </c>
    </row>
    <row r="393" spans="2:15" x14ac:dyDescent="0.25">
      <c r="B393" t="s">
        <v>127</v>
      </c>
      <c r="C393" t="s">
        <v>84</v>
      </c>
      <c r="D393">
        <v>3.6408067940981045E-2</v>
      </c>
      <c r="E393" t="s">
        <v>62</v>
      </c>
      <c r="G393" t="s">
        <v>147</v>
      </c>
      <c r="H393" t="s">
        <v>84</v>
      </c>
      <c r="I393">
        <v>6.9274293123506641E-3</v>
      </c>
      <c r="J393" t="s">
        <v>62</v>
      </c>
      <c r="L393" t="s">
        <v>167</v>
      </c>
      <c r="M393" t="s">
        <v>84</v>
      </c>
      <c r="N393">
        <v>1.0222089024926955E-2</v>
      </c>
      <c r="O393" t="s">
        <v>62</v>
      </c>
    </row>
    <row r="394" spans="2:15" x14ac:dyDescent="0.25">
      <c r="B394" t="s">
        <v>127</v>
      </c>
      <c r="C394" t="s">
        <v>85</v>
      </c>
      <c r="D394">
        <v>4.7457285323891048E-2</v>
      </c>
      <c r="E394" t="s">
        <v>62</v>
      </c>
      <c r="G394" t="s">
        <v>147</v>
      </c>
      <c r="H394" t="s">
        <v>85</v>
      </c>
      <c r="I394">
        <v>8.0043430563857213E-3</v>
      </c>
      <c r="J394" t="s">
        <v>62</v>
      </c>
      <c r="L394" t="s">
        <v>167</v>
      </c>
      <c r="M394" t="s">
        <v>85</v>
      </c>
      <c r="N394">
        <v>1.0300021358241372E-2</v>
      </c>
      <c r="O394" t="s">
        <v>62</v>
      </c>
    </row>
    <row r="395" spans="2:15" x14ac:dyDescent="0.25">
      <c r="B395" t="s">
        <v>127</v>
      </c>
      <c r="C395" t="s">
        <v>86</v>
      </c>
      <c r="D395">
        <v>5.0160862234084599E-2</v>
      </c>
      <c r="E395" t="s">
        <v>62</v>
      </c>
      <c r="G395" t="s">
        <v>147</v>
      </c>
      <c r="H395" t="s">
        <v>86</v>
      </c>
      <c r="I395">
        <v>6.7383479340502967E-3</v>
      </c>
      <c r="J395" t="s">
        <v>62</v>
      </c>
      <c r="L395" t="s">
        <v>167</v>
      </c>
      <c r="M395" t="s">
        <v>86</v>
      </c>
      <c r="N395">
        <v>9.9152625842272007E-3</v>
      </c>
      <c r="O395" t="s">
        <v>62</v>
      </c>
    </row>
    <row r="396" spans="2:15" x14ac:dyDescent="0.25">
      <c r="B396" t="s">
        <v>127</v>
      </c>
      <c r="C396" t="s">
        <v>87</v>
      </c>
      <c r="D396">
        <v>4.7941269715544403E-2</v>
      </c>
      <c r="E396" t="s">
        <v>62</v>
      </c>
      <c r="G396" t="s">
        <v>147</v>
      </c>
      <c r="H396" t="s">
        <v>87</v>
      </c>
      <c r="I396">
        <v>7.9426815588659258E-3</v>
      </c>
      <c r="J396" t="s">
        <v>62</v>
      </c>
      <c r="L396" t="s">
        <v>167</v>
      </c>
      <c r="M396" t="s">
        <v>87</v>
      </c>
      <c r="N396">
        <v>1.0152116989366024E-2</v>
      </c>
      <c r="O396" t="s">
        <v>62</v>
      </c>
    </row>
    <row r="397" spans="2:15" x14ac:dyDescent="0.25">
      <c r="B397" t="s">
        <v>127</v>
      </c>
      <c r="C397" t="s">
        <v>88</v>
      </c>
      <c r="D397">
        <v>4.1938115932223997E-2</v>
      </c>
      <c r="E397" t="s">
        <v>62</v>
      </c>
      <c r="G397" t="s">
        <v>147</v>
      </c>
      <c r="H397" t="s">
        <v>88</v>
      </c>
      <c r="I397">
        <v>8.2108458679177963E-3</v>
      </c>
      <c r="J397" t="s">
        <v>62</v>
      </c>
      <c r="L397" t="s">
        <v>167</v>
      </c>
      <c r="M397" t="s">
        <v>88</v>
      </c>
      <c r="N397">
        <v>1.0026846592341604E-2</v>
      </c>
      <c r="O397" t="s">
        <v>62</v>
      </c>
    </row>
    <row r="398" spans="2:15" x14ac:dyDescent="0.25">
      <c r="B398" t="s">
        <v>127</v>
      </c>
      <c r="C398" t="s">
        <v>89</v>
      </c>
      <c r="D398">
        <v>3.0018053422911656E-2</v>
      </c>
      <c r="E398" t="s">
        <v>62</v>
      </c>
      <c r="G398" t="s">
        <v>147</v>
      </c>
      <c r="H398" t="s">
        <v>89</v>
      </c>
      <c r="I398">
        <v>8.6721186830686654E-3</v>
      </c>
      <c r="J398" t="s">
        <v>62</v>
      </c>
      <c r="L398" t="s">
        <v>167</v>
      </c>
      <c r="M398" t="s">
        <v>89</v>
      </c>
      <c r="N398">
        <v>9.9429285172484404E-3</v>
      </c>
      <c r="O398" t="s">
        <v>62</v>
      </c>
    </row>
    <row r="399" spans="2:15" x14ac:dyDescent="0.25">
      <c r="B399" t="s">
        <v>127</v>
      </c>
      <c r="C399" t="s">
        <v>90</v>
      </c>
      <c r="D399">
        <v>1.1377954933420517E-2</v>
      </c>
      <c r="E399" t="s">
        <v>62</v>
      </c>
      <c r="G399" t="s">
        <v>147</v>
      </c>
      <c r="H399" t="s">
        <v>90</v>
      </c>
      <c r="I399">
        <v>9.9301746755175047E-3</v>
      </c>
      <c r="J399" t="s">
        <v>62</v>
      </c>
      <c r="L399" t="s">
        <v>167</v>
      </c>
      <c r="M399" t="s">
        <v>90</v>
      </c>
      <c r="N399">
        <v>1.024838848520229E-2</v>
      </c>
      <c r="O399" t="s">
        <v>62</v>
      </c>
    </row>
    <row r="400" spans="2:15" x14ac:dyDescent="0.25">
      <c r="B400" t="s">
        <v>127</v>
      </c>
      <c r="C400" t="s">
        <v>91</v>
      </c>
      <c r="D400">
        <v>0</v>
      </c>
      <c r="E400" t="s">
        <v>62</v>
      </c>
      <c r="G400" t="s">
        <v>147</v>
      </c>
      <c r="H400" t="s">
        <v>91</v>
      </c>
      <c r="I400">
        <v>1.8033402135201087E-2</v>
      </c>
      <c r="J400" t="s">
        <v>62</v>
      </c>
      <c r="L400" t="s">
        <v>167</v>
      </c>
      <c r="M400" t="s">
        <v>91</v>
      </c>
      <c r="N400">
        <v>1.6726056691245404E-2</v>
      </c>
      <c r="O400" t="s">
        <v>62</v>
      </c>
    </row>
    <row r="401" spans="2:15" x14ac:dyDescent="0.25">
      <c r="B401" t="s">
        <v>127</v>
      </c>
      <c r="C401" t="s">
        <v>92</v>
      </c>
      <c r="D401">
        <v>0</v>
      </c>
      <c r="E401" t="s">
        <v>62</v>
      </c>
      <c r="G401" t="s">
        <v>147</v>
      </c>
      <c r="H401" t="s">
        <v>92</v>
      </c>
      <c r="I401">
        <v>2.1041114615144664E-2</v>
      </c>
      <c r="J401" t="s">
        <v>62</v>
      </c>
      <c r="L401" t="s">
        <v>167</v>
      </c>
      <c r="M401" t="s">
        <v>92</v>
      </c>
      <c r="N401">
        <v>2.2684058603277154E-2</v>
      </c>
      <c r="O401" t="s">
        <v>62</v>
      </c>
    </row>
    <row r="402" spans="2:15" x14ac:dyDescent="0.25">
      <c r="B402" t="s">
        <v>127</v>
      </c>
      <c r="C402" t="s">
        <v>93</v>
      </c>
      <c r="D402">
        <v>1.1387011662589319E-2</v>
      </c>
      <c r="E402" t="s">
        <v>62</v>
      </c>
      <c r="G402" t="s">
        <v>147</v>
      </c>
      <c r="H402" t="s">
        <v>93</v>
      </c>
      <c r="I402">
        <v>6.7919946388972519E-3</v>
      </c>
      <c r="J402" t="s">
        <v>62</v>
      </c>
      <c r="L402" t="s">
        <v>167</v>
      </c>
      <c r="M402" t="s">
        <v>93</v>
      </c>
      <c r="N402">
        <v>9.0283159605849938E-3</v>
      </c>
      <c r="O402" t="s">
        <v>62</v>
      </c>
    </row>
    <row r="403" spans="2:15" x14ac:dyDescent="0.25">
      <c r="B403" t="s">
        <v>127</v>
      </c>
      <c r="C403" t="s">
        <v>94</v>
      </c>
      <c r="D403">
        <v>3.1456596410607801E-2</v>
      </c>
      <c r="E403" t="s">
        <v>62</v>
      </c>
      <c r="G403" t="s">
        <v>147</v>
      </c>
      <c r="H403" t="s">
        <v>94</v>
      </c>
      <c r="I403">
        <v>5.7919185007070115E-3</v>
      </c>
      <c r="J403" t="s">
        <v>62</v>
      </c>
      <c r="L403" t="s">
        <v>167</v>
      </c>
      <c r="M403" t="s">
        <v>94</v>
      </c>
      <c r="N403">
        <v>8.6264490520538573E-3</v>
      </c>
      <c r="O403" t="s">
        <v>62</v>
      </c>
    </row>
    <row r="404" spans="2:15" x14ac:dyDescent="0.25">
      <c r="B404" t="s">
        <v>127</v>
      </c>
      <c r="C404" t="s">
        <v>95</v>
      </c>
      <c r="D404">
        <v>4.4710589751290969E-2</v>
      </c>
      <c r="E404" t="s">
        <v>62</v>
      </c>
      <c r="G404" t="s">
        <v>147</v>
      </c>
      <c r="H404" t="s">
        <v>95</v>
      </c>
      <c r="I404">
        <v>6.781289653145354E-3</v>
      </c>
      <c r="J404" t="s">
        <v>62</v>
      </c>
      <c r="L404" t="s">
        <v>167</v>
      </c>
      <c r="M404" t="s">
        <v>95</v>
      </c>
      <c r="N404">
        <v>9.0486338910186152E-3</v>
      </c>
      <c r="O404" t="s">
        <v>62</v>
      </c>
    </row>
    <row r="405" spans="2:15" x14ac:dyDescent="0.25">
      <c r="B405" t="s">
        <v>127</v>
      </c>
      <c r="C405" t="s">
        <v>96</v>
      </c>
      <c r="D405">
        <v>4.6943657934583952E-2</v>
      </c>
      <c r="E405" t="s">
        <v>62</v>
      </c>
      <c r="G405" t="s">
        <v>147</v>
      </c>
      <c r="H405" t="s">
        <v>96</v>
      </c>
      <c r="I405">
        <v>6.4848255306072166E-3</v>
      </c>
      <c r="J405" t="s">
        <v>62</v>
      </c>
      <c r="L405" t="s">
        <v>167</v>
      </c>
      <c r="M405" t="s">
        <v>96</v>
      </c>
      <c r="N405">
        <v>8.3770937666600084E-3</v>
      </c>
      <c r="O405" t="s">
        <v>62</v>
      </c>
    </row>
    <row r="406" spans="2:15" x14ac:dyDescent="0.25">
      <c r="B406" t="s">
        <v>127</v>
      </c>
      <c r="C406" t="s">
        <v>97</v>
      </c>
      <c r="D406">
        <v>4.6663972161870751E-2</v>
      </c>
      <c r="E406" t="s">
        <v>62</v>
      </c>
      <c r="G406" t="s">
        <v>147</v>
      </c>
      <c r="H406" t="s">
        <v>97</v>
      </c>
      <c r="I406">
        <v>8.802188862511693E-3</v>
      </c>
      <c r="J406" t="s">
        <v>62</v>
      </c>
      <c r="L406" t="s">
        <v>167</v>
      </c>
      <c r="M406" t="s">
        <v>97</v>
      </c>
      <c r="N406">
        <v>8.6023209564943665E-3</v>
      </c>
      <c r="O406" t="s">
        <v>62</v>
      </c>
    </row>
    <row r="407" spans="2:15" x14ac:dyDescent="0.25">
      <c r="B407" t="s">
        <v>127</v>
      </c>
      <c r="C407" t="s">
        <v>98</v>
      </c>
      <c r="D407">
        <v>4.4493616872621204E-2</v>
      </c>
      <c r="E407" t="s">
        <v>62</v>
      </c>
      <c r="G407" t="s">
        <v>147</v>
      </c>
      <c r="H407" t="s">
        <v>98</v>
      </c>
      <c r="I407">
        <v>1.0300089256250256E-2</v>
      </c>
      <c r="J407" t="s">
        <v>62</v>
      </c>
      <c r="L407" t="s">
        <v>167</v>
      </c>
      <c r="M407" t="s">
        <v>98</v>
      </c>
      <c r="N407">
        <v>9.3356444152267286E-3</v>
      </c>
      <c r="O407" t="s">
        <v>62</v>
      </c>
    </row>
    <row r="408" spans="2:15" x14ac:dyDescent="0.25">
      <c r="B408" t="s">
        <v>127</v>
      </c>
      <c r="C408" t="s">
        <v>99</v>
      </c>
      <c r="D408">
        <v>3.246513732547706E-2</v>
      </c>
      <c r="E408" t="s">
        <v>62</v>
      </c>
      <c r="G408" t="s">
        <v>147</v>
      </c>
      <c r="H408" t="s">
        <v>99</v>
      </c>
      <c r="I408">
        <v>9.2368040901264076E-3</v>
      </c>
      <c r="J408" t="s">
        <v>62</v>
      </c>
      <c r="L408" t="s">
        <v>167</v>
      </c>
      <c r="M408" t="s">
        <v>99</v>
      </c>
      <c r="N408">
        <v>9.7055571668191766E-3</v>
      </c>
      <c r="O408" t="s">
        <v>62</v>
      </c>
    </row>
    <row r="409" spans="2:15" x14ac:dyDescent="0.25">
      <c r="B409" t="s">
        <v>127</v>
      </c>
      <c r="C409" t="s">
        <v>100</v>
      </c>
      <c r="D409">
        <v>1.1468955025419945E-2</v>
      </c>
      <c r="E409" t="s">
        <v>62</v>
      </c>
      <c r="G409" t="s">
        <v>147</v>
      </c>
      <c r="H409" t="s">
        <v>100</v>
      </c>
      <c r="I409">
        <v>9.1221279707800612E-3</v>
      </c>
      <c r="J409" t="s">
        <v>62</v>
      </c>
      <c r="L409" t="s">
        <v>167</v>
      </c>
      <c r="M409" t="s">
        <v>100</v>
      </c>
      <c r="N409">
        <v>1.029875646614513E-2</v>
      </c>
      <c r="O409" t="s">
        <v>62</v>
      </c>
    </row>
    <row r="410" spans="2:15" x14ac:dyDescent="0.25">
      <c r="B410" t="s">
        <v>127</v>
      </c>
      <c r="C410" t="s">
        <v>101</v>
      </c>
      <c r="D410">
        <v>0</v>
      </c>
      <c r="E410" t="s">
        <v>62</v>
      </c>
      <c r="G410" t="s">
        <v>147</v>
      </c>
      <c r="H410" t="s">
        <v>101</v>
      </c>
      <c r="I410">
        <v>1.4246617439826068E-2</v>
      </c>
      <c r="J410" t="s">
        <v>62</v>
      </c>
      <c r="L410" t="s">
        <v>167</v>
      </c>
      <c r="M410" t="s">
        <v>101</v>
      </c>
      <c r="N410">
        <v>1.5310244083293753E-2</v>
      </c>
      <c r="O410" t="s">
        <v>62</v>
      </c>
    </row>
    <row r="411" spans="2:15" x14ac:dyDescent="0.25">
      <c r="B411" t="s">
        <v>127</v>
      </c>
      <c r="C411" t="s">
        <v>102</v>
      </c>
      <c r="D411">
        <v>0</v>
      </c>
      <c r="E411" t="s">
        <v>62</v>
      </c>
      <c r="G411" t="s">
        <v>147</v>
      </c>
      <c r="H411" t="s">
        <v>102</v>
      </c>
      <c r="I411">
        <v>3.4841004046897016E-2</v>
      </c>
      <c r="J411" t="s">
        <v>62</v>
      </c>
      <c r="L411" t="s">
        <v>167</v>
      </c>
      <c r="M411" t="s">
        <v>102</v>
      </c>
      <c r="N411">
        <v>3.4542174059996759E-2</v>
      </c>
      <c r="O411" t="s">
        <v>62</v>
      </c>
    </row>
    <row r="412" spans="2:15" x14ac:dyDescent="0.25">
      <c r="B412" t="s">
        <v>127</v>
      </c>
      <c r="C412" t="s">
        <v>103</v>
      </c>
      <c r="D412">
        <v>1.0268267469721157E-3</v>
      </c>
      <c r="E412" t="s">
        <v>62</v>
      </c>
      <c r="G412" t="s">
        <v>147</v>
      </c>
      <c r="H412" t="s">
        <v>103</v>
      </c>
      <c r="I412">
        <v>1.2879025054180851E-2</v>
      </c>
      <c r="J412" t="s">
        <v>62</v>
      </c>
      <c r="L412" t="s">
        <v>167</v>
      </c>
      <c r="M412" t="s">
        <v>103</v>
      </c>
      <c r="N412">
        <v>1.312626742536711E-2</v>
      </c>
      <c r="O412" t="s">
        <v>62</v>
      </c>
    </row>
    <row r="413" spans="2:15" x14ac:dyDescent="0.25">
      <c r="B413" t="s">
        <v>127</v>
      </c>
      <c r="C413" t="s">
        <v>104</v>
      </c>
      <c r="D413">
        <v>1.4895972720658821E-2</v>
      </c>
      <c r="E413" t="s">
        <v>62</v>
      </c>
      <c r="G413" t="s">
        <v>147</v>
      </c>
      <c r="H413" t="s">
        <v>104</v>
      </c>
      <c r="I413">
        <v>1.2024691330817652E-2</v>
      </c>
      <c r="J413" t="s">
        <v>62</v>
      </c>
      <c r="L413" t="s">
        <v>167</v>
      </c>
      <c r="M413" t="s">
        <v>104</v>
      </c>
      <c r="N413">
        <v>1.3633336285380904E-2</v>
      </c>
      <c r="O413" t="s">
        <v>62</v>
      </c>
    </row>
    <row r="414" spans="2:15" x14ac:dyDescent="0.25">
      <c r="B414" t="s">
        <v>127</v>
      </c>
      <c r="C414" t="s">
        <v>105</v>
      </c>
      <c r="D414">
        <v>2.9840049635595684E-2</v>
      </c>
      <c r="E414" t="s">
        <v>62</v>
      </c>
      <c r="G414" t="s">
        <v>147</v>
      </c>
      <c r="H414" t="s">
        <v>105</v>
      </c>
      <c r="I414">
        <v>1.1577240924521028E-2</v>
      </c>
      <c r="J414" t="s">
        <v>62</v>
      </c>
      <c r="L414" t="s">
        <v>167</v>
      </c>
      <c r="M414" t="s">
        <v>105</v>
      </c>
      <c r="N414">
        <v>1.3908096974544173E-2</v>
      </c>
      <c r="O414" t="s">
        <v>62</v>
      </c>
    </row>
    <row r="415" spans="2:15" x14ac:dyDescent="0.25">
      <c r="B415" t="s">
        <v>127</v>
      </c>
      <c r="C415" t="s">
        <v>106</v>
      </c>
      <c r="D415">
        <v>3.0053594948418482E-2</v>
      </c>
      <c r="E415" t="s">
        <v>62</v>
      </c>
      <c r="G415" t="s">
        <v>147</v>
      </c>
      <c r="H415" t="s">
        <v>106</v>
      </c>
      <c r="I415">
        <v>1.1180383267259245E-2</v>
      </c>
      <c r="J415" t="s">
        <v>62</v>
      </c>
      <c r="L415" t="s">
        <v>167</v>
      </c>
      <c r="M415" t="s">
        <v>106</v>
      </c>
      <c r="N415">
        <v>1.36758405494934E-2</v>
      </c>
      <c r="O415" t="s">
        <v>62</v>
      </c>
    </row>
    <row r="416" spans="2:15" x14ac:dyDescent="0.25">
      <c r="B416" t="s">
        <v>127</v>
      </c>
      <c r="C416" t="s">
        <v>107</v>
      </c>
      <c r="D416">
        <v>2.9907610023969876E-2</v>
      </c>
      <c r="E416" t="s">
        <v>62</v>
      </c>
      <c r="G416" t="s">
        <v>147</v>
      </c>
      <c r="H416" t="s">
        <v>107</v>
      </c>
      <c r="I416">
        <v>1.196693285145854E-2</v>
      </c>
      <c r="J416" t="s">
        <v>62</v>
      </c>
      <c r="L416" t="s">
        <v>167</v>
      </c>
      <c r="M416" t="s">
        <v>107</v>
      </c>
      <c r="N416">
        <v>1.3455290015110944E-2</v>
      </c>
      <c r="O416" t="s">
        <v>62</v>
      </c>
    </row>
    <row r="417" spans="2:15" x14ac:dyDescent="0.25">
      <c r="B417" t="s">
        <v>127</v>
      </c>
      <c r="C417" t="s">
        <v>108</v>
      </c>
      <c r="D417">
        <v>2.3916384027769112E-2</v>
      </c>
      <c r="E417" t="s">
        <v>62</v>
      </c>
      <c r="G417" t="s">
        <v>147</v>
      </c>
      <c r="H417" t="s">
        <v>108</v>
      </c>
      <c r="I417">
        <v>1.251232088824495E-2</v>
      </c>
      <c r="J417" t="s">
        <v>62</v>
      </c>
      <c r="L417" t="s">
        <v>167</v>
      </c>
      <c r="M417" t="s">
        <v>108</v>
      </c>
      <c r="N417">
        <v>1.36962004618079E-2</v>
      </c>
      <c r="O417" t="s">
        <v>62</v>
      </c>
    </row>
    <row r="418" spans="2:15" x14ac:dyDescent="0.25">
      <c r="B418" t="s">
        <v>127</v>
      </c>
      <c r="C418" t="s">
        <v>109</v>
      </c>
      <c r="D418">
        <v>8.8020555046988257E-3</v>
      </c>
      <c r="E418" t="s">
        <v>62</v>
      </c>
      <c r="G418" t="s">
        <v>147</v>
      </c>
      <c r="H418" t="s">
        <v>109</v>
      </c>
      <c r="I418">
        <v>1.4028741860157309E-2</v>
      </c>
      <c r="J418" t="s">
        <v>62</v>
      </c>
      <c r="L418" t="s">
        <v>167</v>
      </c>
      <c r="M418" t="s">
        <v>109</v>
      </c>
      <c r="N418">
        <v>1.500424396934682E-2</v>
      </c>
      <c r="O418" t="s">
        <v>62</v>
      </c>
    </row>
    <row r="419" spans="2:15" x14ac:dyDescent="0.25">
      <c r="B419" t="s">
        <v>127</v>
      </c>
      <c r="C419" t="s">
        <v>110</v>
      </c>
      <c r="D419">
        <v>5.0956862641853029E-5</v>
      </c>
      <c r="E419" t="s">
        <v>62</v>
      </c>
      <c r="G419" t="s">
        <v>147</v>
      </c>
      <c r="H419" t="s">
        <v>110</v>
      </c>
      <c r="I419">
        <v>1.5019934724791063E-2</v>
      </c>
      <c r="J419" t="s">
        <v>62</v>
      </c>
      <c r="L419" t="s">
        <v>167</v>
      </c>
      <c r="M419" t="s">
        <v>110</v>
      </c>
      <c r="N419">
        <v>1.6062050010420829E-2</v>
      </c>
      <c r="O419" t="s">
        <v>62</v>
      </c>
    </row>
    <row r="420" spans="2:15" x14ac:dyDescent="0.25">
      <c r="B420" t="s">
        <v>127</v>
      </c>
      <c r="C420" t="s">
        <v>111</v>
      </c>
      <c r="D420">
        <v>0</v>
      </c>
      <c r="E420" t="s">
        <v>62</v>
      </c>
      <c r="G420" t="s">
        <v>147</v>
      </c>
      <c r="H420" t="s">
        <v>111</v>
      </c>
      <c r="I420">
        <v>2.2728416334542208E-2</v>
      </c>
      <c r="J420" t="s">
        <v>62</v>
      </c>
      <c r="L420" t="s">
        <v>167</v>
      </c>
      <c r="M420" t="s">
        <v>111</v>
      </c>
      <c r="N420">
        <v>2.3536268831840106E-2</v>
      </c>
      <c r="O420" t="s">
        <v>62</v>
      </c>
    </row>
    <row r="421" spans="2:15" x14ac:dyDescent="0.25">
      <c r="B421" t="s">
        <v>127</v>
      </c>
      <c r="C421" t="s">
        <v>112</v>
      </c>
      <c r="D421">
        <v>0</v>
      </c>
      <c r="E421" t="s">
        <v>62</v>
      </c>
      <c r="G421" t="s">
        <v>147</v>
      </c>
      <c r="H421" t="s">
        <v>112</v>
      </c>
      <c r="I421">
        <v>5.3788422887950188E-2</v>
      </c>
      <c r="J421" t="s">
        <v>62</v>
      </c>
      <c r="L421" t="s">
        <v>167</v>
      </c>
      <c r="M421" t="s">
        <v>112</v>
      </c>
      <c r="N421">
        <v>4.9857446233796947E-2</v>
      </c>
      <c r="O421" t="s">
        <v>62</v>
      </c>
    </row>
    <row r="422" spans="2:15" x14ac:dyDescent="0.25">
      <c r="B422" t="s">
        <v>127</v>
      </c>
      <c r="C422" t="s">
        <v>113</v>
      </c>
      <c r="D422">
        <v>0</v>
      </c>
      <c r="E422" t="s">
        <v>62</v>
      </c>
      <c r="G422" t="s">
        <v>147</v>
      </c>
      <c r="H422" t="s">
        <v>113</v>
      </c>
      <c r="I422">
        <v>2.1040987347570407E-2</v>
      </c>
      <c r="J422" t="s">
        <v>62</v>
      </c>
      <c r="L422" t="s">
        <v>167</v>
      </c>
      <c r="M422" t="s">
        <v>113</v>
      </c>
      <c r="N422">
        <v>2.023561518684229E-2</v>
      </c>
      <c r="O422" t="s">
        <v>62</v>
      </c>
    </row>
    <row r="423" spans="2:15" x14ac:dyDescent="0.25">
      <c r="B423" t="s">
        <v>127</v>
      </c>
      <c r="C423" t="s">
        <v>114</v>
      </c>
      <c r="D423">
        <v>2.2363684998253866E-4</v>
      </c>
      <c r="E423" t="s">
        <v>62</v>
      </c>
      <c r="G423" t="s">
        <v>147</v>
      </c>
      <c r="H423" t="s">
        <v>114</v>
      </c>
      <c r="I423">
        <v>2.0908389337536186E-2</v>
      </c>
      <c r="J423" t="s">
        <v>62</v>
      </c>
      <c r="L423" t="s">
        <v>167</v>
      </c>
      <c r="M423" t="s">
        <v>114</v>
      </c>
      <c r="N423">
        <v>2.0775132435191787E-2</v>
      </c>
      <c r="O423" t="s">
        <v>62</v>
      </c>
    </row>
    <row r="424" spans="2:15" x14ac:dyDescent="0.25">
      <c r="B424" t="s">
        <v>127</v>
      </c>
      <c r="C424" t="s">
        <v>115</v>
      </c>
      <c r="D424">
        <v>5.9963823456367499E-3</v>
      </c>
      <c r="E424" t="s">
        <v>62</v>
      </c>
      <c r="G424" t="s">
        <v>147</v>
      </c>
      <c r="H424" t="s">
        <v>115</v>
      </c>
      <c r="I424">
        <v>2.0135046826164123E-2</v>
      </c>
      <c r="J424" t="s">
        <v>62</v>
      </c>
      <c r="L424" t="s">
        <v>167</v>
      </c>
      <c r="M424" t="s">
        <v>115</v>
      </c>
      <c r="N424">
        <v>2.0682773515549792E-2</v>
      </c>
      <c r="O424" t="s">
        <v>62</v>
      </c>
    </row>
    <row r="425" spans="2:15" x14ac:dyDescent="0.25">
      <c r="B425" t="s">
        <v>127</v>
      </c>
      <c r="C425" t="s">
        <v>116</v>
      </c>
      <c r="D425">
        <v>9.9769538088746636E-3</v>
      </c>
      <c r="E425" t="s">
        <v>62</v>
      </c>
      <c r="G425" t="s">
        <v>147</v>
      </c>
      <c r="H425" t="s">
        <v>116</v>
      </c>
      <c r="I425">
        <v>1.9702712206246437E-2</v>
      </c>
      <c r="J425" t="s">
        <v>62</v>
      </c>
      <c r="L425" t="s">
        <v>167</v>
      </c>
      <c r="M425" t="s">
        <v>116</v>
      </c>
      <c r="N425">
        <v>2.0574716769874875E-2</v>
      </c>
      <c r="O425" t="s">
        <v>62</v>
      </c>
    </row>
    <row r="426" spans="2:15" x14ac:dyDescent="0.25">
      <c r="B426" t="s">
        <v>127</v>
      </c>
      <c r="C426" t="s">
        <v>117</v>
      </c>
      <c r="D426">
        <v>1.0169159496805488E-2</v>
      </c>
      <c r="E426" t="s">
        <v>62</v>
      </c>
      <c r="G426" t="s">
        <v>147</v>
      </c>
      <c r="H426" t="s">
        <v>117</v>
      </c>
      <c r="I426">
        <v>1.9170069967473041E-2</v>
      </c>
      <c r="J426" t="s">
        <v>62</v>
      </c>
      <c r="L426" t="s">
        <v>167</v>
      </c>
      <c r="M426" t="s">
        <v>117</v>
      </c>
      <c r="N426">
        <v>2.0218092610064551E-2</v>
      </c>
      <c r="O426" t="s">
        <v>62</v>
      </c>
    </row>
    <row r="427" spans="2:15" x14ac:dyDescent="0.25">
      <c r="B427" t="s">
        <v>127</v>
      </c>
      <c r="C427" t="s">
        <v>118</v>
      </c>
      <c r="D427">
        <v>3.8001339397679872E-3</v>
      </c>
      <c r="E427" t="s">
        <v>62</v>
      </c>
      <c r="G427" t="s">
        <v>147</v>
      </c>
      <c r="H427" t="s">
        <v>118</v>
      </c>
      <c r="I427">
        <v>2.0029862488479953E-2</v>
      </c>
      <c r="J427" t="s">
        <v>62</v>
      </c>
      <c r="L427" t="s">
        <v>167</v>
      </c>
      <c r="M427" t="s">
        <v>118</v>
      </c>
      <c r="N427">
        <v>2.0078544817600633E-2</v>
      </c>
      <c r="O427" t="s">
        <v>62</v>
      </c>
    </row>
    <row r="428" spans="2:15" x14ac:dyDescent="0.25">
      <c r="B428" t="s">
        <v>127</v>
      </c>
      <c r="C428" t="s">
        <v>119</v>
      </c>
      <c r="D428">
        <v>0</v>
      </c>
      <c r="E428" t="s">
        <v>62</v>
      </c>
      <c r="G428" t="s">
        <v>147</v>
      </c>
      <c r="H428" t="s">
        <v>119</v>
      </c>
      <c r="I428">
        <v>2.1452597949815053E-2</v>
      </c>
      <c r="J428" t="s">
        <v>62</v>
      </c>
      <c r="L428" t="s">
        <v>167</v>
      </c>
      <c r="M428" t="s">
        <v>119</v>
      </c>
      <c r="N428">
        <v>2.0700018486328339E-2</v>
      </c>
      <c r="O428" t="s">
        <v>62</v>
      </c>
    </row>
    <row r="429" spans="2:15" x14ac:dyDescent="0.25">
      <c r="B429" t="s">
        <v>127</v>
      </c>
      <c r="C429" t="s">
        <v>120</v>
      </c>
      <c r="D429">
        <v>0</v>
      </c>
      <c r="E429" t="s">
        <v>62</v>
      </c>
      <c r="G429" t="s">
        <v>147</v>
      </c>
      <c r="H429" t="s">
        <v>120</v>
      </c>
      <c r="I429">
        <v>2.1867318930194248E-2</v>
      </c>
      <c r="J429" t="s">
        <v>62</v>
      </c>
      <c r="L429" t="s">
        <v>167</v>
      </c>
      <c r="M429" t="s">
        <v>120</v>
      </c>
      <c r="N429">
        <v>2.0828958507326342E-2</v>
      </c>
      <c r="O429" t="s">
        <v>62</v>
      </c>
    </row>
    <row r="430" spans="2:15" x14ac:dyDescent="0.25">
      <c r="B430" t="s">
        <v>127</v>
      </c>
      <c r="C430" t="s">
        <v>121</v>
      </c>
      <c r="D430">
        <v>0</v>
      </c>
      <c r="E430" t="s">
        <v>62</v>
      </c>
      <c r="G430" t="s">
        <v>147</v>
      </c>
      <c r="H430" t="s">
        <v>121</v>
      </c>
      <c r="I430">
        <v>3.2985051777431579E-2</v>
      </c>
      <c r="J430" t="s">
        <v>62</v>
      </c>
      <c r="L430" t="s">
        <v>167</v>
      </c>
      <c r="M430" t="s">
        <v>121</v>
      </c>
      <c r="N430">
        <v>3.1132793516218261E-2</v>
      </c>
      <c r="O430" t="s">
        <v>62</v>
      </c>
    </row>
    <row r="431" spans="2:15" x14ac:dyDescent="0.25">
      <c r="B431" t="s">
        <v>128</v>
      </c>
      <c r="C431" t="s">
        <v>61</v>
      </c>
      <c r="D431">
        <v>0</v>
      </c>
      <c r="E431" t="s">
        <v>62</v>
      </c>
      <c r="G431" t="s">
        <v>148</v>
      </c>
      <c r="H431" t="s">
        <v>61</v>
      </c>
      <c r="I431">
        <v>3.6846634791824803E-2</v>
      </c>
      <c r="J431" t="s">
        <v>62</v>
      </c>
      <c r="L431" t="s">
        <v>168</v>
      </c>
      <c r="M431" t="s">
        <v>61</v>
      </c>
      <c r="N431">
        <v>3.3707133018749634E-2</v>
      </c>
      <c r="O431" t="s">
        <v>62</v>
      </c>
    </row>
    <row r="432" spans="2:15" x14ac:dyDescent="0.25">
      <c r="B432" t="s">
        <v>128</v>
      </c>
      <c r="C432" t="s">
        <v>63</v>
      </c>
      <c r="D432">
        <v>0</v>
      </c>
      <c r="E432" t="s">
        <v>62</v>
      </c>
      <c r="G432" t="s">
        <v>148</v>
      </c>
      <c r="H432" t="s">
        <v>63</v>
      </c>
      <c r="I432">
        <v>1.4586181130817402E-2</v>
      </c>
      <c r="J432" t="s">
        <v>62</v>
      </c>
      <c r="L432" t="s">
        <v>168</v>
      </c>
      <c r="M432" t="s">
        <v>63</v>
      </c>
      <c r="N432">
        <v>1.3362653591579626E-2</v>
      </c>
      <c r="O432" t="s">
        <v>62</v>
      </c>
    </row>
    <row r="433" spans="2:15" x14ac:dyDescent="0.25">
      <c r="B433" t="s">
        <v>128</v>
      </c>
      <c r="C433" t="s">
        <v>64</v>
      </c>
      <c r="D433">
        <v>7.8925422233523689E-4</v>
      </c>
      <c r="E433" t="s">
        <v>62</v>
      </c>
      <c r="G433" t="s">
        <v>148</v>
      </c>
      <c r="H433" t="s">
        <v>64</v>
      </c>
      <c r="I433">
        <v>1.4491614404340944E-2</v>
      </c>
      <c r="J433" t="s">
        <v>62</v>
      </c>
      <c r="L433" t="s">
        <v>168</v>
      </c>
      <c r="M433" t="s">
        <v>64</v>
      </c>
      <c r="N433">
        <v>1.3857510124833083E-2</v>
      </c>
      <c r="O433" t="s">
        <v>62</v>
      </c>
    </row>
    <row r="434" spans="2:15" x14ac:dyDescent="0.25">
      <c r="B434" t="s">
        <v>128</v>
      </c>
      <c r="C434" t="s">
        <v>65</v>
      </c>
      <c r="D434">
        <v>9.4798771095422445E-3</v>
      </c>
      <c r="E434" t="s">
        <v>62</v>
      </c>
      <c r="G434" t="s">
        <v>148</v>
      </c>
      <c r="H434" t="s">
        <v>65</v>
      </c>
      <c r="I434">
        <v>1.3904903149563275E-2</v>
      </c>
      <c r="J434" t="s">
        <v>62</v>
      </c>
      <c r="L434" t="s">
        <v>168</v>
      </c>
      <c r="M434" t="s">
        <v>65</v>
      </c>
      <c r="N434">
        <v>1.3777646744875732E-2</v>
      </c>
      <c r="O434" t="s">
        <v>62</v>
      </c>
    </row>
    <row r="435" spans="2:15" x14ac:dyDescent="0.25">
      <c r="B435" t="s">
        <v>128</v>
      </c>
      <c r="C435" t="s">
        <v>66</v>
      </c>
      <c r="D435">
        <v>1.7191100941079097E-2</v>
      </c>
      <c r="E435" t="s">
        <v>62</v>
      </c>
      <c r="G435" t="s">
        <v>148</v>
      </c>
      <c r="H435" t="s">
        <v>66</v>
      </c>
      <c r="I435">
        <v>1.2529046426344224E-2</v>
      </c>
      <c r="J435" t="s">
        <v>62</v>
      </c>
      <c r="L435" t="s">
        <v>168</v>
      </c>
      <c r="M435" t="s">
        <v>66</v>
      </c>
      <c r="N435">
        <v>1.4220743126391024E-2</v>
      </c>
      <c r="O435" t="s">
        <v>62</v>
      </c>
    </row>
    <row r="436" spans="2:15" x14ac:dyDescent="0.25">
      <c r="B436" t="s">
        <v>128</v>
      </c>
      <c r="C436" t="s">
        <v>67</v>
      </c>
      <c r="D436">
        <v>1.6150506118381657E-2</v>
      </c>
      <c r="E436" t="s">
        <v>62</v>
      </c>
      <c r="G436" t="s">
        <v>148</v>
      </c>
      <c r="H436" t="s">
        <v>67</v>
      </c>
      <c r="I436">
        <v>1.2267063303766009E-2</v>
      </c>
      <c r="J436" t="s">
        <v>62</v>
      </c>
      <c r="L436" t="s">
        <v>168</v>
      </c>
      <c r="M436" t="s">
        <v>67</v>
      </c>
      <c r="N436">
        <v>1.4632808909544333E-2</v>
      </c>
      <c r="O436" t="s">
        <v>62</v>
      </c>
    </row>
    <row r="437" spans="2:15" x14ac:dyDescent="0.25">
      <c r="B437" t="s">
        <v>128</v>
      </c>
      <c r="C437" t="s">
        <v>68</v>
      </c>
      <c r="D437">
        <v>8.4989357922902135E-3</v>
      </c>
      <c r="E437" t="s">
        <v>62</v>
      </c>
      <c r="G437" t="s">
        <v>148</v>
      </c>
      <c r="H437" t="s">
        <v>68</v>
      </c>
      <c r="I437">
        <v>1.2973581851550389E-2</v>
      </c>
      <c r="J437" t="s">
        <v>62</v>
      </c>
      <c r="L437" t="s">
        <v>168</v>
      </c>
      <c r="M437" t="s">
        <v>68</v>
      </c>
      <c r="N437">
        <v>1.4987097625073567E-2</v>
      </c>
      <c r="O437" t="s">
        <v>62</v>
      </c>
    </row>
    <row r="438" spans="2:15" x14ac:dyDescent="0.25">
      <c r="B438" t="s">
        <v>128</v>
      </c>
      <c r="C438" t="s">
        <v>69</v>
      </c>
      <c r="D438">
        <v>7.711589448614356E-4</v>
      </c>
      <c r="E438" t="s">
        <v>62</v>
      </c>
      <c r="G438" t="s">
        <v>148</v>
      </c>
      <c r="H438" t="s">
        <v>69</v>
      </c>
      <c r="I438">
        <v>1.5084843249996977E-2</v>
      </c>
      <c r="J438" t="s">
        <v>62</v>
      </c>
      <c r="L438" t="s">
        <v>168</v>
      </c>
      <c r="M438" t="s">
        <v>69</v>
      </c>
      <c r="N438">
        <v>1.5558238564136774E-2</v>
      </c>
      <c r="O438" t="s">
        <v>62</v>
      </c>
    </row>
    <row r="439" spans="2:15" x14ac:dyDescent="0.25">
      <c r="B439" t="s">
        <v>128</v>
      </c>
      <c r="C439" t="s">
        <v>70</v>
      </c>
      <c r="D439">
        <v>0</v>
      </c>
      <c r="E439" t="s">
        <v>62</v>
      </c>
      <c r="G439" t="s">
        <v>148</v>
      </c>
      <c r="H439" t="s">
        <v>70</v>
      </c>
      <c r="I439">
        <v>1.5856798676195771E-2</v>
      </c>
      <c r="J439" t="s">
        <v>62</v>
      </c>
      <c r="L439" t="s">
        <v>168</v>
      </c>
      <c r="M439" t="s">
        <v>70</v>
      </c>
      <c r="N439">
        <v>1.5663684319497145E-2</v>
      </c>
      <c r="O439" t="s">
        <v>62</v>
      </c>
    </row>
    <row r="440" spans="2:15" x14ac:dyDescent="0.25">
      <c r="B440" t="s">
        <v>128</v>
      </c>
      <c r="C440" t="s">
        <v>71</v>
      </c>
      <c r="D440">
        <v>0</v>
      </c>
      <c r="E440" t="s">
        <v>62</v>
      </c>
      <c r="G440" t="s">
        <v>148</v>
      </c>
      <c r="H440" t="s">
        <v>71</v>
      </c>
      <c r="I440">
        <v>2.3016141007125752E-2</v>
      </c>
      <c r="J440" t="s">
        <v>62</v>
      </c>
      <c r="L440" t="s">
        <v>168</v>
      </c>
      <c r="M440" t="s">
        <v>71</v>
      </c>
      <c r="N440">
        <v>2.1797261736593389E-2</v>
      </c>
      <c r="O440" t="s">
        <v>62</v>
      </c>
    </row>
    <row r="441" spans="2:15" x14ac:dyDescent="0.25">
      <c r="B441" t="s">
        <v>128</v>
      </c>
      <c r="C441" t="s">
        <v>72</v>
      </c>
      <c r="D441">
        <v>0</v>
      </c>
      <c r="E441" t="s">
        <v>62</v>
      </c>
      <c r="G441" t="s">
        <v>148</v>
      </c>
      <c r="H441" t="s">
        <v>72</v>
      </c>
      <c r="I441">
        <v>4.1596308158204087E-2</v>
      </c>
      <c r="J441" t="s">
        <v>62</v>
      </c>
      <c r="L441" t="s">
        <v>168</v>
      </c>
      <c r="M441" t="s">
        <v>72</v>
      </c>
      <c r="N441">
        <v>3.906689243756517E-2</v>
      </c>
      <c r="O441" t="s">
        <v>62</v>
      </c>
    </row>
    <row r="442" spans="2:15" x14ac:dyDescent="0.25">
      <c r="B442" t="s">
        <v>128</v>
      </c>
      <c r="C442" t="s">
        <v>73</v>
      </c>
      <c r="D442">
        <v>3.3187150833711701E-3</v>
      </c>
      <c r="E442" t="s">
        <v>62</v>
      </c>
      <c r="G442" t="s">
        <v>148</v>
      </c>
      <c r="H442" t="s">
        <v>73</v>
      </c>
      <c r="I442">
        <v>1.6107873970768155E-2</v>
      </c>
      <c r="J442" t="s">
        <v>62</v>
      </c>
      <c r="L442" t="s">
        <v>168</v>
      </c>
      <c r="M442" t="s">
        <v>73</v>
      </c>
      <c r="N442">
        <v>1.4819400337950407E-2</v>
      </c>
      <c r="O442" t="s">
        <v>62</v>
      </c>
    </row>
    <row r="443" spans="2:15" x14ac:dyDescent="0.25">
      <c r="B443" t="s">
        <v>128</v>
      </c>
      <c r="C443" t="s">
        <v>74</v>
      </c>
      <c r="D443">
        <v>2.6450600899988363E-2</v>
      </c>
      <c r="E443" t="s">
        <v>62</v>
      </c>
      <c r="G443" t="s">
        <v>148</v>
      </c>
      <c r="H443" t="s">
        <v>74</v>
      </c>
      <c r="I443">
        <v>1.4317905695302474E-2</v>
      </c>
      <c r="J443" t="s">
        <v>62</v>
      </c>
      <c r="L443" t="s">
        <v>168</v>
      </c>
      <c r="M443" t="s">
        <v>74</v>
      </c>
      <c r="N443">
        <v>1.484903526064312E-2</v>
      </c>
      <c r="O443" t="s">
        <v>62</v>
      </c>
    </row>
    <row r="444" spans="2:15" x14ac:dyDescent="0.25">
      <c r="B444" t="s">
        <v>128</v>
      </c>
      <c r="C444" t="s">
        <v>75</v>
      </c>
      <c r="D444">
        <v>4.830428889003955E-2</v>
      </c>
      <c r="E444" t="s">
        <v>62</v>
      </c>
      <c r="G444" t="s">
        <v>148</v>
      </c>
      <c r="H444" t="s">
        <v>75</v>
      </c>
      <c r="I444">
        <v>1.4028569105486836E-2</v>
      </c>
      <c r="J444" t="s">
        <v>62</v>
      </c>
      <c r="L444" t="s">
        <v>168</v>
      </c>
      <c r="M444" t="s">
        <v>75</v>
      </c>
      <c r="N444">
        <v>1.5073759927344598E-2</v>
      </c>
      <c r="O444" t="s">
        <v>62</v>
      </c>
    </row>
    <row r="445" spans="2:15" x14ac:dyDescent="0.25">
      <c r="B445" t="s">
        <v>128</v>
      </c>
      <c r="C445" t="s">
        <v>76</v>
      </c>
      <c r="D445">
        <v>5.011609193861636E-2</v>
      </c>
      <c r="E445" t="s">
        <v>62</v>
      </c>
      <c r="G445" t="s">
        <v>148</v>
      </c>
      <c r="H445" t="s">
        <v>76</v>
      </c>
      <c r="I445">
        <v>1.3039297339568753E-2</v>
      </c>
      <c r="J445" t="s">
        <v>62</v>
      </c>
      <c r="L445" t="s">
        <v>168</v>
      </c>
      <c r="M445" t="s">
        <v>76</v>
      </c>
      <c r="N445">
        <v>1.4493696061757547E-2</v>
      </c>
      <c r="O445" t="s">
        <v>62</v>
      </c>
    </row>
    <row r="446" spans="2:15" x14ac:dyDescent="0.25">
      <c r="B446" t="s">
        <v>128</v>
      </c>
      <c r="C446" t="s">
        <v>77</v>
      </c>
      <c r="D446">
        <v>4.8519887449857087E-2</v>
      </c>
      <c r="E446" t="s">
        <v>62</v>
      </c>
      <c r="G446" t="s">
        <v>148</v>
      </c>
      <c r="H446" t="s">
        <v>77</v>
      </c>
      <c r="I446">
        <v>1.4755048748702345E-2</v>
      </c>
      <c r="J446" t="s">
        <v>62</v>
      </c>
      <c r="L446" t="s">
        <v>168</v>
      </c>
      <c r="M446" t="s">
        <v>77</v>
      </c>
      <c r="N446">
        <v>1.4750696803949494E-2</v>
      </c>
      <c r="O446" t="s">
        <v>62</v>
      </c>
    </row>
    <row r="447" spans="2:15" x14ac:dyDescent="0.25">
      <c r="B447" t="s">
        <v>128</v>
      </c>
      <c r="C447" t="s">
        <v>78</v>
      </c>
      <c r="D447">
        <v>4.1461476702680661E-2</v>
      </c>
      <c r="E447" t="s">
        <v>62</v>
      </c>
      <c r="G447" t="s">
        <v>148</v>
      </c>
      <c r="H447" t="s">
        <v>78</v>
      </c>
      <c r="I447">
        <v>1.521612266009884E-2</v>
      </c>
      <c r="J447" t="s">
        <v>62</v>
      </c>
      <c r="L447" t="s">
        <v>168</v>
      </c>
      <c r="M447" t="s">
        <v>78</v>
      </c>
      <c r="N447">
        <v>1.5415732408751931E-2</v>
      </c>
      <c r="O447" t="s">
        <v>62</v>
      </c>
    </row>
    <row r="448" spans="2:15" x14ac:dyDescent="0.25">
      <c r="B448" t="s">
        <v>128</v>
      </c>
      <c r="C448" t="s">
        <v>79</v>
      </c>
      <c r="D448">
        <v>2.0700921176999496E-2</v>
      </c>
      <c r="E448" t="s">
        <v>62</v>
      </c>
      <c r="G448" t="s">
        <v>148</v>
      </c>
      <c r="H448" t="s">
        <v>79</v>
      </c>
      <c r="I448">
        <v>1.5238425315674708E-2</v>
      </c>
      <c r="J448" t="s">
        <v>62</v>
      </c>
      <c r="L448" t="s">
        <v>168</v>
      </c>
      <c r="M448" t="s">
        <v>79</v>
      </c>
      <c r="N448">
        <v>1.6418790448581973E-2</v>
      </c>
      <c r="O448" t="s">
        <v>62</v>
      </c>
    </row>
    <row r="449" spans="2:15" x14ac:dyDescent="0.25">
      <c r="B449" t="s">
        <v>128</v>
      </c>
      <c r="C449" t="s">
        <v>80</v>
      </c>
      <c r="D449">
        <v>1.5291943377718083E-3</v>
      </c>
      <c r="E449" t="s">
        <v>62</v>
      </c>
      <c r="G449" t="s">
        <v>148</v>
      </c>
      <c r="H449" t="s">
        <v>80</v>
      </c>
      <c r="I449">
        <v>1.6810706945222246E-2</v>
      </c>
      <c r="J449" t="s">
        <v>62</v>
      </c>
      <c r="L449" t="s">
        <v>168</v>
      </c>
      <c r="M449" t="s">
        <v>80</v>
      </c>
      <c r="N449">
        <v>1.6910014330925465E-2</v>
      </c>
      <c r="O449" t="s">
        <v>62</v>
      </c>
    </row>
    <row r="450" spans="2:15" x14ac:dyDescent="0.25">
      <c r="B450" t="s">
        <v>128</v>
      </c>
      <c r="C450" t="s">
        <v>81</v>
      </c>
      <c r="D450">
        <v>0</v>
      </c>
      <c r="E450" t="s">
        <v>62</v>
      </c>
      <c r="G450" t="s">
        <v>148</v>
      </c>
      <c r="H450" t="s">
        <v>81</v>
      </c>
      <c r="I450">
        <v>2.5300070588080786E-2</v>
      </c>
      <c r="J450" t="s">
        <v>62</v>
      </c>
      <c r="L450" t="s">
        <v>168</v>
      </c>
      <c r="M450" t="s">
        <v>81</v>
      </c>
      <c r="N450">
        <v>2.502839453292802E-2</v>
      </c>
      <c r="O450" t="s">
        <v>62</v>
      </c>
    </row>
    <row r="451" spans="2:15" x14ac:dyDescent="0.25">
      <c r="B451" t="s">
        <v>128</v>
      </c>
      <c r="C451" t="s">
        <v>82</v>
      </c>
      <c r="D451">
        <v>3.8232194464615218E-4</v>
      </c>
      <c r="E451" t="s">
        <v>62</v>
      </c>
      <c r="G451" t="s">
        <v>148</v>
      </c>
      <c r="H451" t="s">
        <v>82</v>
      </c>
      <c r="I451">
        <v>2.3669003244283834E-2</v>
      </c>
      <c r="J451" t="s">
        <v>62</v>
      </c>
      <c r="L451" t="s">
        <v>168</v>
      </c>
      <c r="M451" t="s">
        <v>82</v>
      </c>
      <c r="N451">
        <v>3.0225497463817259E-2</v>
      </c>
      <c r="O451" t="s">
        <v>62</v>
      </c>
    </row>
    <row r="452" spans="2:15" x14ac:dyDescent="0.25">
      <c r="B452" t="s">
        <v>128</v>
      </c>
      <c r="C452" t="s">
        <v>83</v>
      </c>
      <c r="D452">
        <v>1.6074409332131574E-2</v>
      </c>
      <c r="E452" t="s">
        <v>62</v>
      </c>
      <c r="G452" t="s">
        <v>148</v>
      </c>
      <c r="H452" t="s">
        <v>83</v>
      </c>
      <c r="I452">
        <v>7.9524554685780832E-3</v>
      </c>
      <c r="J452" t="s">
        <v>62</v>
      </c>
      <c r="L452" t="s">
        <v>168</v>
      </c>
      <c r="M452" t="s">
        <v>83</v>
      </c>
      <c r="N452">
        <v>1.1471638802068349E-2</v>
      </c>
      <c r="O452" t="s">
        <v>62</v>
      </c>
    </row>
    <row r="453" spans="2:15" x14ac:dyDescent="0.25">
      <c r="B453" t="s">
        <v>128</v>
      </c>
      <c r="C453" t="s">
        <v>84</v>
      </c>
      <c r="D453">
        <v>3.7024996578674634E-2</v>
      </c>
      <c r="E453" t="s">
        <v>62</v>
      </c>
      <c r="G453" t="s">
        <v>148</v>
      </c>
      <c r="H453" t="s">
        <v>84</v>
      </c>
      <c r="I453">
        <v>6.5227738781204556E-3</v>
      </c>
      <c r="J453" t="s">
        <v>62</v>
      </c>
      <c r="L453" t="s">
        <v>168</v>
      </c>
      <c r="M453" t="s">
        <v>84</v>
      </c>
      <c r="N453">
        <v>1.148295429389133E-2</v>
      </c>
      <c r="O453" t="s">
        <v>62</v>
      </c>
    </row>
    <row r="454" spans="2:15" x14ac:dyDescent="0.25">
      <c r="B454" t="s">
        <v>128</v>
      </c>
      <c r="C454" t="s">
        <v>85</v>
      </c>
      <c r="D454">
        <v>4.8907317621042112E-2</v>
      </c>
      <c r="E454" t="s">
        <v>62</v>
      </c>
      <c r="G454" t="s">
        <v>148</v>
      </c>
      <c r="H454" t="s">
        <v>85</v>
      </c>
      <c r="I454">
        <v>6.9954770743272891E-3</v>
      </c>
      <c r="J454" t="s">
        <v>62</v>
      </c>
      <c r="L454" t="s">
        <v>168</v>
      </c>
      <c r="M454" t="s">
        <v>85</v>
      </c>
      <c r="N454">
        <v>1.1034466193218892E-2</v>
      </c>
      <c r="O454" t="s">
        <v>62</v>
      </c>
    </row>
    <row r="455" spans="2:15" x14ac:dyDescent="0.25">
      <c r="B455" t="s">
        <v>128</v>
      </c>
      <c r="C455" t="s">
        <v>86</v>
      </c>
      <c r="D455">
        <v>5.014746884563704E-2</v>
      </c>
      <c r="E455" t="s">
        <v>62</v>
      </c>
      <c r="G455" t="s">
        <v>148</v>
      </c>
      <c r="H455" t="s">
        <v>86</v>
      </c>
      <c r="I455">
        <v>6.3858858073248025E-3</v>
      </c>
      <c r="J455" t="s">
        <v>62</v>
      </c>
      <c r="L455" t="s">
        <v>168</v>
      </c>
      <c r="M455" t="s">
        <v>86</v>
      </c>
      <c r="N455">
        <v>1.020875742964813E-2</v>
      </c>
      <c r="O455" t="s">
        <v>62</v>
      </c>
    </row>
    <row r="456" spans="2:15" x14ac:dyDescent="0.25">
      <c r="B456" t="s">
        <v>128</v>
      </c>
      <c r="C456" t="s">
        <v>87</v>
      </c>
      <c r="D456">
        <v>4.7182748671716082E-2</v>
      </c>
      <c r="E456" t="s">
        <v>62</v>
      </c>
      <c r="G456" t="s">
        <v>148</v>
      </c>
      <c r="H456" t="s">
        <v>87</v>
      </c>
      <c r="I456">
        <v>6.6899866457691484E-3</v>
      </c>
      <c r="J456" t="s">
        <v>62</v>
      </c>
      <c r="L456" t="s">
        <v>168</v>
      </c>
      <c r="M456" t="s">
        <v>87</v>
      </c>
      <c r="N456">
        <v>1.0105761136777492E-2</v>
      </c>
      <c r="O456" t="s">
        <v>62</v>
      </c>
    </row>
    <row r="457" spans="2:15" x14ac:dyDescent="0.25">
      <c r="B457" t="s">
        <v>128</v>
      </c>
      <c r="C457" t="s">
        <v>88</v>
      </c>
      <c r="D457">
        <v>3.9222736549458626E-2</v>
      </c>
      <c r="E457" t="s">
        <v>62</v>
      </c>
      <c r="G457" t="s">
        <v>148</v>
      </c>
      <c r="H457" t="s">
        <v>88</v>
      </c>
      <c r="I457">
        <v>7.0566824392033212E-3</v>
      </c>
      <c r="J457" t="s">
        <v>62</v>
      </c>
      <c r="L457" t="s">
        <v>168</v>
      </c>
      <c r="M457" t="s">
        <v>88</v>
      </c>
      <c r="N457">
        <v>1.0020966235261514E-2</v>
      </c>
      <c r="O457" t="s">
        <v>62</v>
      </c>
    </row>
    <row r="458" spans="2:15" x14ac:dyDescent="0.25">
      <c r="B458" t="s">
        <v>128</v>
      </c>
      <c r="C458" t="s">
        <v>89</v>
      </c>
      <c r="D458">
        <v>2.5937895085589587E-2</v>
      </c>
      <c r="E458" t="s">
        <v>62</v>
      </c>
      <c r="G458" t="s">
        <v>148</v>
      </c>
      <c r="H458" t="s">
        <v>89</v>
      </c>
      <c r="I458">
        <v>7.1584616290555174E-3</v>
      </c>
      <c r="J458" t="s">
        <v>62</v>
      </c>
      <c r="L458" t="s">
        <v>168</v>
      </c>
      <c r="M458" t="s">
        <v>89</v>
      </c>
      <c r="N458">
        <v>1.0300232818296586E-2</v>
      </c>
      <c r="O458" t="s">
        <v>62</v>
      </c>
    </row>
    <row r="459" spans="2:15" x14ac:dyDescent="0.25">
      <c r="B459" t="s">
        <v>128</v>
      </c>
      <c r="C459" t="s">
        <v>90</v>
      </c>
      <c r="D459">
        <v>8.9406543768501007E-3</v>
      </c>
      <c r="E459" t="s">
        <v>62</v>
      </c>
      <c r="G459" t="s">
        <v>148</v>
      </c>
      <c r="H459" t="s">
        <v>90</v>
      </c>
      <c r="I459">
        <v>8.6940685963363216E-3</v>
      </c>
      <c r="J459" t="s">
        <v>62</v>
      </c>
      <c r="L459" t="s">
        <v>168</v>
      </c>
      <c r="M459" t="s">
        <v>90</v>
      </c>
      <c r="N459">
        <v>1.0924243993311312E-2</v>
      </c>
      <c r="O459" t="s">
        <v>62</v>
      </c>
    </row>
    <row r="460" spans="2:15" x14ac:dyDescent="0.25">
      <c r="B460" t="s">
        <v>128</v>
      </c>
      <c r="C460" t="s">
        <v>91</v>
      </c>
      <c r="D460">
        <v>0</v>
      </c>
      <c r="E460" t="s">
        <v>62</v>
      </c>
      <c r="G460" t="s">
        <v>148</v>
      </c>
      <c r="H460" t="s">
        <v>91</v>
      </c>
      <c r="I460">
        <v>1.4552980022474717E-2</v>
      </c>
      <c r="J460" t="s">
        <v>62</v>
      </c>
      <c r="L460" t="s">
        <v>168</v>
      </c>
      <c r="M460" t="s">
        <v>91</v>
      </c>
      <c r="N460">
        <v>1.7684876614752553E-2</v>
      </c>
      <c r="O460" t="s">
        <v>62</v>
      </c>
    </row>
    <row r="461" spans="2:15" x14ac:dyDescent="0.25">
      <c r="B461" t="s">
        <v>128</v>
      </c>
      <c r="C461" t="s">
        <v>92</v>
      </c>
      <c r="D461">
        <v>2.413623360824485E-6</v>
      </c>
      <c r="E461" t="s">
        <v>62</v>
      </c>
      <c r="G461" t="s">
        <v>148</v>
      </c>
      <c r="H461" t="s">
        <v>92</v>
      </c>
      <c r="I461">
        <v>2.1875401595157565E-2</v>
      </c>
      <c r="J461" t="s">
        <v>62</v>
      </c>
      <c r="L461" t="s">
        <v>168</v>
      </c>
      <c r="M461" t="s">
        <v>92</v>
      </c>
      <c r="N461">
        <v>2.434535454865798E-2</v>
      </c>
      <c r="O461" t="s">
        <v>62</v>
      </c>
    </row>
    <row r="462" spans="2:15" x14ac:dyDescent="0.25">
      <c r="B462" t="s">
        <v>128</v>
      </c>
      <c r="C462" t="s">
        <v>93</v>
      </c>
      <c r="D462">
        <v>1.2917025088748622E-2</v>
      </c>
      <c r="E462" t="s">
        <v>62</v>
      </c>
      <c r="G462" t="s">
        <v>148</v>
      </c>
      <c r="H462" t="s">
        <v>93</v>
      </c>
      <c r="I462">
        <v>8.3344386449487069E-3</v>
      </c>
      <c r="J462" t="s">
        <v>62</v>
      </c>
      <c r="L462" t="s">
        <v>168</v>
      </c>
      <c r="M462" t="s">
        <v>93</v>
      </c>
      <c r="N462">
        <v>9.2869524288583041E-3</v>
      </c>
      <c r="O462" t="s">
        <v>62</v>
      </c>
    </row>
    <row r="463" spans="2:15" x14ac:dyDescent="0.25">
      <c r="B463" t="s">
        <v>128</v>
      </c>
      <c r="C463" t="s">
        <v>94</v>
      </c>
      <c r="D463">
        <v>3.4200259789371558E-2</v>
      </c>
      <c r="E463" t="s">
        <v>62</v>
      </c>
      <c r="G463" t="s">
        <v>148</v>
      </c>
      <c r="H463" t="s">
        <v>94</v>
      </c>
      <c r="I463">
        <v>7.5600181003308859E-3</v>
      </c>
      <c r="J463" t="s">
        <v>62</v>
      </c>
      <c r="L463" t="s">
        <v>168</v>
      </c>
      <c r="M463" t="s">
        <v>94</v>
      </c>
      <c r="N463">
        <v>9.3564755013129542E-3</v>
      </c>
      <c r="O463" t="s">
        <v>62</v>
      </c>
    </row>
    <row r="464" spans="2:15" x14ac:dyDescent="0.25">
      <c r="B464" t="s">
        <v>128</v>
      </c>
      <c r="C464" t="s">
        <v>95</v>
      </c>
      <c r="D464">
        <v>4.5799932403539183E-2</v>
      </c>
      <c r="E464" t="s">
        <v>62</v>
      </c>
      <c r="G464" t="s">
        <v>148</v>
      </c>
      <c r="H464" t="s">
        <v>95</v>
      </c>
      <c r="I464">
        <v>8.3336250874527298E-3</v>
      </c>
      <c r="J464" t="s">
        <v>62</v>
      </c>
      <c r="L464" t="s">
        <v>168</v>
      </c>
      <c r="M464" t="s">
        <v>95</v>
      </c>
      <c r="N464">
        <v>9.5109404127210993E-3</v>
      </c>
      <c r="O464" t="s">
        <v>62</v>
      </c>
    </row>
    <row r="465" spans="2:15" x14ac:dyDescent="0.25">
      <c r="B465" t="s">
        <v>128</v>
      </c>
      <c r="C465" t="s">
        <v>96</v>
      </c>
      <c r="D465">
        <v>4.6779927818676931E-2</v>
      </c>
      <c r="E465" t="s">
        <v>62</v>
      </c>
      <c r="G465" t="s">
        <v>148</v>
      </c>
      <c r="H465" t="s">
        <v>96</v>
      </c>
      <c r="I465">
        <v>8.3228421255344617E-3</v>
      </c>
      <c r="J465" t="s">
        <v>62</v>
      </c>
      <c r="L465" t="s">
        <v>168</v>
      </c>
      <c r="M465" t="s">
        <v>96</v>
      </c>
      <c r="N465">
        <v>8.658487025653203E-3</v>
      </c>
      <c r="O465" t="s">
        <v>62</v>
      </c>
    </row>
    <row r="466" spans="2:15" x14ac:dyDescent="0.25">
      <c r="B466" t="s">
        <v>128</v>
      </c>
      <c r="C466" t="s">
        <v>97</v>
      </c>
      <c r="D466">
        <v>4.5070062000679013E-2</v>
      </c>
      <c r="E466" t="s">
        <v>62</v>
      </c>
      <c r="G466" t="s">
        <v>148</v>
      </c>
      <c r="H466" t="s">
        <v>97</v>
      </c>
      <c r="I466">
        <v>1.0417350795926697E-2</v>
      </c>
      <c r="J466" t="s">
        <v>62</v>
      </c>
      <c r="L466" t="s">
        <v>168</v>
      </c>
      <c r="M466" t="s">
        <v>97</v>
      </c>
      <c r="N466">
        <v>9.0678688970739444E-3</v>
      </c>
      <c r="O466" t="s">
        <v>62</v>
      </c>
    </row>
    <row r="467" spans="2:15" x14ac:dyDescent="0.25">
      <c r="B467" t="s">
        <v>128</v>
      </c>
      <c r="C467" t="s">
        <v>98</v>
      </c>
      <c r="D467">
        <v>4.1430855907103943E-2</v>
      </c>
      <c r="E467" t="s">
        <v>62</v>
      </c>
      <c r="G467" t="s">
        <v>148</v>
      </c>
      <c r="H467" t="s">
        <v>98</v>
      </c>
      <c r="I467">
        <v>1.1654421764851791E-2</v>
      </c>
      <c r="J467" t="s">
        <v>62</v>
      </c>
      <c r="L467" t="s">
        <v>168</v>
      </c>
      <c r="M467" t="s">
        <v>98</v>
      </c>
      <c r="N467">
        <v>1.0279250658204765E-2</v>
      </c>
      <c r="O467" t="s">
        <v>62</v>
      </c>
    </row>
    <row r="468" spans="2:15" x14ac:dyDescent="0.25">
      <c r="B468" t="s">
        <v>128</v>
      </c>
      <c r="C468" t="s">
        <v>99</v>
      </c>
      <c r="D468">
        <v>2.7816604097938343E-2</v>
      </c>
      <c r="E468" t="s">
        <v>62</v>
      </c>
      <c r="G468" t="s">
        <v>148</v>
      </c>
      <c r="H468" t="s">
        <v>99</v>
      </c>
      <c r="I468">
        <v>9.8148983286942357E-3</v>
      </c>
      <c r="J468" t="s">
        <v>62</v>
      </c>
      <c r="L468" t="s">
        <v>168</v>
      </c>
      <c r="M468" t="s">
        <v>99</v>
      </c>
      <c r="N468">
        <v>1.1524231973728935E-2</v>
      </c>
      <c r="O468" t="s">
        <v>62</v>
      </c>
    </row>
    <row r="469" spans="2:15" x14ac:dyDescent="0.25">
      <c r="B469" t="s">
        <v>128</v>
      </c>
      <c r="C469" t="s">
        <v>100</v>
      </c>
      <c r="D469">
        <v>8.7903845730583387E-3</v>
      </c>
      <c r="E469" t="s">
        <v>62</v>
      </c>
      <c r="G469" t="s">
        <v>148</v>
      </c>
      <c r="H469" t="s">
        <v>100</v>
      </c>
      <c r="I469">
        <v>9.0910310262415361E-3</v>
      </c>
      <c r="J469" t="s">
        <v>62</v>
      </c>
      <c r="L469" t="s">
        <v>168</v>
      </c>
      <c r="M469" t="s">
        <v>100</v>
      </c>
      <c r="N469">
        <v>1.2424409988270695E-2</v>
      </c>
      <c r="O469" t="s">
        <v>62</v>
      </c>
    </row>
    <row r="470" spans="2:15" x14ac:dyDescent="0.25">
      <c r="B470" t="s">
        <v>128</v>
      </c>
      <c r="C470" t="s">
        <v>101</v>
      </c>
      <c r="D470">
        <v>0</v>
      </c>
      <c r="E470" t="s">
        <v>62</v>
      </c>
      <c r="G470" t="s">
        <v>148</v>
      </c>
      <c r="H470" t="s">
        <v>101</v>
      </c>
      <c r="I470">
        <v>1.4155539617493143E-2</v>
      </c>
      <c r="J470" t="s">
        <v>62</v>
      </c>
      <c r="L470" t="s">
        <v>168</v>
      </c>
      <c r="M470" t="s">
        <v>101</v>
      </c>
      <c r="N470">
        <v>1.7504411842501729E-2</v>
      </c>
      <c r="O470" t="s">
        <v>62</v>
      </c>
    </row>
    <row r="471" spans="2:15" x14ac:dyDescent="0.25">
      <c r="B471" t="s">
        <v>128</v>
      </c>
      <c r="C471" t="s">
        <v>102</v>
      </c>
      <c r="D471">
        <v>0</v>
      </c>
      <c r="E471" t="s">
        <v>62</v>
      </c>
      <c r="G471" t="s">
        <v>148</v>
      </c>
      <c r="H471" t="s">
        <v>102</v>
      </c>
      <c r="I471">
        <v>3.4833552556720764E-2</v>
      </c>
      <c r="J471" t="s">
        <v>62</v>
      </c>
      <c r="L471" t="s">
        <v>168</v>
      </c>
      <c r="M471" t="s">
        <v>102</v>
      </c>
      <c r="N471">
        <v>3.3081801083525882E-2</v>
      </c>
      <c r="O471" t="s">
        <v>62</v>
      </c>
    </row>
    <row r="472" spans="2:15" x14ac:dyDescent="0.25">
      <c r="B472" t="s">
        <v>128</v>
      </c>
      <c r="C472" t="s">
        <v>103</v>
      </c>
      <c r="D472">
        <v>1.1185722040361651E-3</v>
      </c>
      <c r="E472" t="s">
        <v>62</v>
      </c>
      <c r="G472" t="s">
        <v>148</v>
      </c>
      <c r="H472" t="s">
        <v>103</v>
      </c>
      <c r="I472">
        <v>1.3210990199973047E-2</v>
      </c>
      <c r="J472" t="s">
        <v>62</v>
      </c>
      <c r="L472" t="s">
        <v>168</v>
      </c>
      <c r="M472" t="s">
        <v>103</v>
      </c>
      <c r="N472">
        <v>1.2465011438225563E-2</v>
      </c>
      <c r="O472" t="s">
        <v>62</v>
      </c>
    </row>
    <row r="473" spans="2:15" x14ac:dyDescent="0.25">
      <c r="B473" t="s">
        <v>128</v>
      </c>
      <c r="C473" t="s">
        <v>104</v>
      </c>
      <c r="D473">
        <v>1.5472896186131704E-2</v>
      </c>
      <c r="E473" t="s">
        <v>62</v>
      </c>
      <c r="G473" t="s">
        <v>148</v>
      </c>
      <c r="H473" t="s">
        <v>104</v>
      </c>
      <c r="I473">
        <v>1.2490308963858219E-2</v>
      </c>
      <c r="J473" t="s">
        <v>62</v>
      </c>
      <c r="L473" t="s">
        <v>168</v>
      </c>
      <c r="M473" t="s">
        <v>104</v>
      </c>
      <c r="N473">
        <v>1.295741703012936E-2</v>
      </c>
      <c r="O473" t="s">
        <v>62</v>
      </c>
    </row>
    <row r="474" spans="2:15" x14ac:dyDescent="0.25">
      <c r="B474" t="s">
        <v>128</v>
      </c>
      <c r="C474" t="s">
        <v>105</v>
      </c>
      <c r="D474">
        <v>2.9110452219611678E-2</v>
      </c>
      <c r="E474" t="s">
        <v>62</v>
      </c>
      <c r="G474" t="s">
        <v>148</v>
      </c>
      <c r="H474" t="s">
        <v>105</v>
      </c>
      <c r="I474">
        <v>1.2495708156288152E-2</v>
      </c>
      <c r="J474" t="s">
        <v>62</v>
      </c>
      <c r="L474" t="s">
        <v>168</v>
      </c>
      <c r="M474" t="s">
        <v>105</v>
      </c>
      <c r="N474">
        <v>1.3300394493920606E-2</v>
      </c>
      <c r="O474" t="s">
        <v>62</v>
      </c>
    </row>
    <row r="475" spans="2:15" x14ac:dyDescent="0.25">
      <c r="B475" t="s">
        <v>128</v>
      </c>
      <c r="C475" t="s">
        <v>106</v>
      </c>
      <c r="D475">
        <v>3.0306990911965155E-2</v>
      </c>
      <c r="E475" t="s">
        <v>62</v>
      </c>
      <c r="G475" t="s">
        <v>148</v>
      </c>
      <c r="H475" t="s">
        <v>106</v>
      </c>
      <c r="I475">
        <v>1.204663459772101E-2</v>
      </c>
      <c r="J475" t="s">
        <v>62</v>
      </c>
      <c r="L475" t="s">
        <v>168</v>
      </c>
      <c r="M475" t="s">
        <v>106</v>
      </c>
      <c r="N475">
        <v>1.2979891203605161E-2</v>
      </c>
      <c r="O475" t="s">
        <v>62</v>
      </c>
    </row>
    <row r="476" spans="2:15" x14ac:dyDescent="0.25">
      <c r="B476" t="s">
        <v>128</v>
      </c>
      <c r="C476" t="s">
        <v>107</v>
      </c>
      <c r="D476">
        <v>3.0367414631036226E-2</v>
      </c>
      <c r="E476" t="s">
        <v>62</v>
      </c>
      <c r="G476" t="s">
        <v>148</v>
      </c>
      <c r="H476" t="s">
        <v>107</v>
      </c>
      <c r="I476">
        <v>1.2746656414734719E-2</v>
      </c>
      <c r="J476" t="s">
        <v>62</v>
      </c>
      <c r="L476" t="s">
        <v>168</v>
      </c>
      <c r="M476" t="s">
        <v>107</v>
      </c>
      <c r="N476">
        <v>1.2935167064512674E-2</v>
      </c>
      <c r="O476" t="s">
        <v>62</v>
      </c>
    </row>
    <row r="477" spans="2:15" x14ac:dyDescent="0.25">
      <c r="B477" t="s">
        <v>128</v>
      </c>
      <c r="C477" t="s">
        <v>108</v>
      </c>
      <c r="D477">
        <v>2.2559688924778262E-2</v>
      </c>
      <c r="E477" t="s">
        <v>62</v>
      </c>
      <c r="G477" t="s">
        <v>148</v>
      </c>
      <c r="H477" t="s">
        <v>108</v>
      </c>
      <c r="I477">
        <v>1.3515983029998901E-2</v>
      </c>
      <c r="J477" t="s">
        <v>62</v>
      </c>
      <c r="L477" t="s">
        <v>168</v>
      </c>
      <c r="M477" t="s">
        <v>108</v>
      </c>
      <c r="N477">
        <v>1.3254637220148203E-2</v>
      </c>
      <c r="O477" t="s">
        <v>62</v>
      </c>
    </row>
    <row r="478" spans="2:15" x14ac:dyDescent="0.25">
      <c r="B478" t="s">
        <v>128</v>
      </c>
      <c r="C478" t="s">
        <v>109</v>
      </c>
      <c r="D478">
        <v>7.4365236602778849E-3</v>
      </c>
      <c r="E478" t="s">
        <v>62</v>
      </c>
      <c r="G478" t="s">
        <v>148</v>
      </c>
      <c r="H478" t="s">
        <v>109</v>
      </c>
      <c r="I478">
        <v>1.4502728378627334E-2</v>
      </c>
      <c r="J478" t="s">
        <v>62</v>
      </c>
      <c r="L478" t="s">
        <v>168</v>
      </c>
      <c r="M478" t="s">
        <v>109</v>
      </c>
      <c r="N478">
        <v>1.4378316083503347E-2</v>
      </c>
      <c r="O478" t="s">
        <v>62</v>
      </c>
    </row>
    <row r="479" spans="2:15" x14ac:dyDescent="0.25">
      <c r="B479" t="s">
        <v>128</v>
      </c>
      <c r="C479" t="s">
        <v>110</v>
      </c>
      <c r="D479">
        <v>0</v>
      </c>
      <c r="E479" t="s">
        <v>62</v>
      </c>
      <c r="G479" t="s">
        <v>148</v>
      </c>
      <c r="H479" t="s">
        <v>110</v>
      </c>
      <c r="I479">
        <v>1.5232024595268588E-2</v>
      </c>
      <c r="J479" t="s">
        <v>62</v>
      </c>
      <c r="L479" t="s">
        <v>168</v>
      </c>
      <c r="M479" t="s">
        <v>110</v>
      </c>
      <c r="N479">
        <v>1.5198981633349319E-2</v>
      </c>
      <c r="O479" t="s">
        <v>62</v>
      </c>
    </row>
    <row r="480" spans="2:15" x14ac:dyDescent="0.25">
      <c r="B480" t="s">
        <v>128</v>
      </c>
      <c r="C480" t="s">
        <v>111</v>
      </c>
      <c r="D480">
        <v>0</v>
      </c>
      <c r="E480" t="s">
        <v>62</v>
      </c>
      <c r="G480" t="s">
        <v>148</v>
      </c>
      <c r="H480" t="s">
        <v>111</v>
      </c>
      <c r="I480">
        <v>2.2545567795937846E-2</v>
      </c>
      <c r="J480" t="s">
        <v>62</v>
      </c>
      <c r="L480" t="s">
        <v>168</v>
      </c>
      <c r="M480" t="s">
        <v>111</v>
      </c>
      <c r="N480">
        <v>2.2115892550602159E-2</v>
      </c>
      <c r="O480" t="s">
        <v>62</v>
      </c>
    </row>
    <row r="481" spans="2:15" x14ac:dyDescent="0.25">
      <c r="B481" t="s">
        <v>128</v>
      </c>
      <c r="C481" t="s">
        <v>112</v>
      </c>
      <c r="D481">
        <v>0</v>
      </c>
      <c r="E481" t="s">
        <v>62</v>
      </c>
      <c r="G481" t="s">
        <v>148</v>
      </c>
      <c r="H481" t="s">
        <v>112</v>
      </c>
      <c r="I481">
        <v>5.9770347961683436E-2</v>
      </c>
      <c r="J481" t="s">
        <v>62</v>
      </c>
      <c r="L481" t="s">
        <v>168</v>
      </c>
      <c r="M481" t="s">
        <v>112</v>
      </c>
      <c r="N481">
        <v>4.5845689008169432E-2</v>
      </c>
      <c r="O481" t="s">
        <v>62</v>
      </c>
    </row>
    <row r="482" spans="2:15" x14ac:dyDescent="0.25">
      <c r="B482" t="s">
        <v>128</v>
      </c>
      <c r="C482" t="s">
        <v>113</v>
      </c>
      <c r="D482">
        <v>0</v>
      </c>
      <c r="E482" t="s">
        <v>62</v>
      </c>
      <c r="G482" t="s">
        <v>148</v>
      </c>
      <c r="H482" t="s">
        <v>113</v>
      </c>
      <c r="I482">
        <v>2.3807154914267731E-2</v>
      </c>
      <c r="J482" t="s">
        <v>62</v>
      </c>
      <c r="L482" t="s">
        <v>168</v>
      </c>
      <c r="M482" t="s">
        <v>113</v>
      </c>
      <c r="N482">
        <v>1.8486705645671619E-2</v>
      </c>
      <c r="O482" t="s">
        <v>62</v>
      </c>
    </row>
    <row r="483" spans="2:15" x14ac:dyDescent="0.25">
      <c r="B483" t="s">
        <v>128</v>
      </c>
      <c r="C483" t="s">
        <v>114</v>
      </c>
      <c r="D483">
        <v>6.736427620877357E-4</v>
      </c>
      <c r="E483" t="s">
        <v>62</v>
      </c>
      <c r="G483" t="s">
        <v>148</v>
      </c>
      <c r="H483" t="s">
        <v>114</v>
      </c>
      <c r="I483">
        <v>2.3113177555138368E-2</v>
      </c>
      <c r="J483" t="s">
        <v>62</v>
      </c>
      <c r="L483" t="s">
        <v>168</v>
      </c>
      <c r="M483" t="s">
        <v>114</v>
      </c>
      <c r="N483">
        <v>1.8748104320852926E-2</v>
      </c>
      <c r="O483" t="s">
        <v>62</v>
      </c>
    </row>
    <row r="484" spans="2:15" x14ac:dyDescent="0.25">
      <c r="B484" t="s">
        <v>128</v>
      </c>
      <c r="C484" t="s">
        <v>115</v>
      </c>
      <c r="D484">
        <v>8.5809869762671839E-3</v>
      </c>
      <c r="E484" t="s">
        <v>62</v>
      </c>
      <c r="G484" t="s">
        <v>148</v>
      </c>
      <c r="H484" t="s">
        <v>115</v>
      </c>
      <c r="I484">
        <v>2.2063472422887559E-2</v>
      </c>
      <c r="J484" t="s">
        <v>62</v>
      </c>
      <c r="L484" t="s">
        <v>168</v>
      </c>
      <c r="M484" t="s">
        <v>115</v>
      </c>
      <c r="N484">
        <v>1.8561552775330916E-2</v>
      </c>
      <c r="O484" t="s">
        <v>62</v>
      </c>
    </row>
    <row r="485" spans="2:15" x14ac:dyDescent="0.25">
      <c r="B485" t="s">
        <v>128</v>
      </c>
      <c r="C485" t="s">
        <v>116</v>
      </c>
      <c r="D485">
        <v>1.1600224255125051E-2</v>
      </c>
      <c r="E485" t="s">
        <v>62</v>
      </c>
      <c r="G485" t="s">
        <v>148</v>
      </c>
      <c r="H485" t="s">
        <v>116</v>
      </c>
      <c r="I485">
        <v>2.1048047092177193E-2</v>
      </c>
      <c r="J485" t="s">
        <v>62</v>
      </c>
      <c r="L485" t="s">
        <v>168</v>
      </c>
      <c r="M485" t="s">
        <v>116</v>
      </c>
      <c r="N485">
        <v>1.8945285063315942E-2</v>
      </c>
      <c r="O485" t="s">
        <v>62</v>
      </c>
    </row>
    <row r="486" spans="2:15" x14ac:dyDescent="0.25">
      <c r="B486" t="s">
        <v>128</v>
      </c>
      <c r="C486" t="s">
        <v>117</v>
      </c>
      <c r="D486">
        <v>9.9874189877484816E-3</v>
      </c>
      <c r="E486" t="s">
        <v>62</v>
      </c>
      <c r="G486" t="s">
        <v>148</v>
      </c>
      <c r="H486" t="s">
        <v>117</v>
      </c>
      <c r="I486">
        <v>2.0749506884752883E-2</v>
      </c>
      <c r="J486" t="s">
        <v>62</v>
      </c>
      <c r="L486" t="s">
        <v>168</v>
      </c>
      <c r="M486" t="s">
        <v>117</v>
      </c>
      <c r="N486">
        <v>1.8530224560025125E-2</v>
      </c>
      <c r="O486" t="s">
        <v>62</v>
      </c>
    </row>
    <row r="487" spans="2:15" x14ac:dyDescent="0.25">
      <c r="B487" t="s">
        <v>128</v>
      </c>
      <c r="C487" t="s">
        <v>118</v>
      </c>
      <c r="D487">
        <v>2.8751643648983801E-3</v>
      </c>
      <c r="E487" t="s">
        <v>62</v>
      </c>
      <c r="G487" t="s">
        <v>148</v>
      </c>
      <c r="H487" t="s">
        <v>118</v>
      </c>
      <c r="I487">
        <v>2.1257344321027678E-2</v>
      </c>
      <c r="J487" t="s">
        <v>62</v>
      </c>
      <c r="L487" t="s">
        <v>168</v>
      </c>
      <c r="M487" t="s">
        <v>118</v>
      </c>
      <c r="N487">
        <v>1.8372888733352643E-2</v>
      </c>
      <c r="O487" t="s">
        <v>62</v>
      </c>
    </row>
    <row r="488" spans="2:15" x14ac:dyDescent="0.25">
      <c r="B488" t="s">
        <v>128</v>
      </c>
      <c r="C488" t="s">
        <v>119</v>
      </c>
      <c r="D488">
        <v>0</v>
      </c>
      <c r="E488" t="s">
        <v>62</v>
      </c>
      <c r="G488" t="s">
        <v>148</v>
      </c>
      <c r="H488" t="s">
        <v>119</v>
      </c>
      <c r="I488">
        <v>2.2536143652899184E-2</v>
      </c>
      <c r="J488" t="s">
        <v>62</v>
      </c>
      <c r="L488" t="s">
        <v>168</v>
      </c>
      <c r="M488" t="s">
        <v>119</v>
      </c>
      <c r="N488">
        <v>1.8885866755225422E-2</v>
      </c>
      <c r="O488" t="s">
        <v>62</v>
      </c>
    </row>
    <row r="489" spans="2:15" x14ac:dyDescent="0.25">
      <c r="B489" t="s">
        <v>128</v>
      </c>
      <c r="C489" t="s">
        <v>120</v>
      </c>
      <c r="D489">
        <v>0</v>
      </c>
      <c r="E489" t="s">
        <v>62</v>
      </c>
      <c r="G489" t="s">
        <v>148</v>
      </c>
      <c r="H489" t="s">
        <v>120</v>
      </c>
      <c r="I489">
        <v>2.3105633949339024E-2</v>
      </c>
      <c r="J489" t="s">
        <v>62</v>
      </c>
      <c r="L489" t="s">
        <v>168</v>
      </c>
      <c r="M489" t="s">
        <v>120</v>
      </c>
      <c r="N489">
        <v>1.8929668179221076E-2</v>
      </c>
      <c r="O489" t="s">
        <v>62</v>
      </c>
    </row>
    <row r="490" spans="2:15" x14ac:dyDescent="0.25">
      <c r="B490" t="s">
        <v>128</v>
      </c>
      <c r="C490" t="s">
        <v>121</v>
      </c>
      <c r="D490">
        <v>0</v>
      </c>
      <c r="E490" t="s">
        <v>62</v>
      </c>
      <c r="G490" t="s">
        <v>148</v>
      </c>
      <c r="H490" t="s">
        <v>121</v>
      </c>
      <c r="I490">
        <v>3.5724538145957309E-2</v>
      </c>
      <c r="J490" t="s">
        <v>62</v>
      </c>
      <c r="L490" t="s">
        <v>168</v>
      </c>
      <c r="M490" t="s">
        <v>121</v>
      </c>
      <c r="N490">
        <v>2.8217536587613529E-2</v>
      </c>
      <c r="O490" t="s">
        <v>62</v>
      </c>
    </row>
    <row r="491" spans="2:15" x14ac:dyDescent="0.25">
      <c r="B491" t="s">
        <v>129</v>
      </c>
      <c r="C491" t="s">
        <v>61</v>
      </c>
      <c r="D491">
        <v>0</v>
      </c>
      <c r="E491" t="s">
        <v>62</v>
      </c>
      <c r="G491" t="s">
        <v>149</v>
      </c>
      <c r="H491" t="s">
        <v>61</v>
      </c>
      <c r="I491">
        <v>3.6729791365233418E-2</v>
      </c>
      <c r="J491" t="s">
        <v>62</v>
      </c>
      <c r="L491" t="s">
        <v>169</v>
      </c>
      <c r="M491" t="s">
        <v>61</v>
      </c>
      <c r="N491">
        <v>3.2482966779450062E-2</v>
      </c>
      <c r="O491" t="s">
        <v>62</v>
      </c>
    </row>
    <row r="492" spans="2:15" x14ac:dyDescent="0.25">
      <c r="B492" t="s">
        <v>129</v>
      </c>
      <c r="C492" t="s">
        <v>63</v>
      </c>
      <c r="D492">
        <v>0</v>
      </c>
      <c r="E492" t="s">
        <v>62</v>
      </c>
      <c r="G492" t="s">
        <v>149</v>
      </c>
      <c r="H492" t="s">
        <v>63</v>
      </c>
      <c r="I492">
        <v>1.430519384399118E-2</v>
      </c>
      <c r="J492" t="s">
        <v>62</v>
      </c>
      <c r="L492" t="s">
        <v>169</v>
      </c>
      <c r="M492" t="s">
        <v>63</v>
      </c>
      <c r="N492">
        <v>1.3535606894107372E-2</v>
      </c>
      <c r="O492" t="s">
        <v>62</v>
      </c>
    </row>
    <row r="493" spans="2:15" x14ac:dyDescent="0.25">
      <c r="B493" t="s">
        <v>129</v>
      </c>
      <c r="C493" t="s">
        <v>64</v>
      </c>
      <c r="D493">
        <v>1.5524627197360862E-3</v>
      </c>
      <c r="E493" t="s">
        <v>62</v>
      </c>
      <c r="G493" t="s">
        <v>149</v>
      </c>
      <c r="H493" t="s">
        <v>64</v>
      </c>
      <c r="I493">
        <v>1.481845238904307E-2</v>
      </c>
      <c r="J493" t="s">
        <v>62</v>
      </c>
      <c r="L493" t="s">
        <v>169</v>
      </c>
      <c r="M493" t="s">
        <v>64</v>
      </c>
      <c r="N493">
        <v>1.389024381167582E-2</v>
      </c>
      <c r="O493" t="s">
        <v>62</v>
      </c>
    </row>
    <row r="494" spans="2:15" x14ac:dyDescent="0.25">
      <c r="B494" t="s">
        <v>129</v>
      </c>
      <c r="C494" t="s">
        <v>65</v>
      </c>
      <c r="D494">
        <v>1.1761890058661864E-2</v>
      </c>
      <c r="E494" t="s">
        <v>62</v>
      </c>
      <c r="G494" t="s">
        <v>149</v>
      </c>
      <c r="H494" t="s">
        <v>65</v>
      </c>
      <c r="I494">
        <v>1.468900601713447E-2</v>
      </c>
      <c r="J494" t="s">
        <v>62</v>
      </c>
      <c r="L494" t="s">
        <v>169</v>
      </c>
      <c r="M494" t="s">
        <v>65</v>
      </c>
      <c r="N494">
        <v>1.3887424232332864E-2</v>
      </c>
      <c r="O494" t="s">
        <v>62</v>
      </c>
    </row>
    <row r="495" spans="2:15" x14ac:dyDescent="0.25">
      <c r="B495" t="s">
        <v>129</v>
      </c>
      <c r="C495" t="s">
        <v>66</v>
      </c>
      <c r="D495">
        <v>1.768053976389895E-2</v>
      </c>
      <c r="E495" t="s">
        <v>62</v>
      </c>
      <c r="G495" t="s">
        <v>149</v>
      </c>
      <c r="H495" t="s">
        <v>66</v>
      </c>
      <c r="I495">
        <v>1.3276487039328993E-2</v>
      </c>
      <c r="J495" t="s">
        <v>62</v>
      </c>
      <c r="L495" t="s">
        <v>169</v>
      </c>
      <c r="M495" t="s">
        <v>66</v>
      </c>
      <c r="N495">
        <v>1.4114731459777551E-2</v>
      </c>
      <c r="O495" t="s">
        <v>62</v>
      </c>
    </row>
    <row r="496" spans="2:15" x14ac:dyDescent="0.25">
      <c r="B496" t="s">
        <v>129</v>
      </c>
      <c r="C496" t="s">
        <v>67</v>
      </c>
      <c r="D496">
        <v>1.7716349468176969E-2</v>
      </c>
      <c r="E496" t="s">
        <v>62</v>
      </c>
      <c r="G496" t="s">
        <v>149</v>
      </c>
      <c r="H496" t="s">
        <v>67</v>
      </c>
      <c r="I496">
        <v>1.3344048640977041E-2</v>
      </c>
      <c r="J496" t="s">
        <v>62</v>
      </c>
      <c r="L496" t="s">
        <v>169</v>
      </c>
      <c r="M496" t="s">
        <v>67</v>
      </c>
      <c r="N496">
        <v>1.3997691931956753E-2</v>
      </c>
      <c r="O496" t="s">
        <v>62</v>
      </c>
    </row>
    <row r="497" spans="2:15" x14ac:dyDescent="0.25">
      <c r="B497" t="s">
        <v>129</v>
      </c>
      <c r="C497" t="s">
        <v>68</v>
      </c>
      <c r="D497">
        <v>8.582047782645999E-3</v>
      </c>
      <c r="E497" t="s">
        <v>62</v>
      </c>
      <c r="G497" t="s">
        <v>149</v>
      </c>
      <c r="H497" t="s">
        <v>68</v>
      </c>
      <c r="I497">
        <v>1.3840694839451823E-2</v>
      </c>
      <c r="J497" t="s">
        <v>62</v>
      </c>
      <c r="L497" t="s">
        <v>169</v>
      </c>
      <c r="M497" t="s">
        <v>68</v>
      </c>
      <c r="N497">
        <v>1.452916419186605E-2</v>
      </c>
      <c r="O497" t="s">
        <v>62</v>
      </c>
    </row>
    <row r="498" spans="2:15" x14ac:dyDescent="0.25">
      <c r="B498" t="s">
        <v>129</v>
      </c>
      <c r="C498" t="s">
        <v>69</v>
      </c>
      <c r="D498">
        <v>6.6823857694563637E-4</v>
      </c>
      <c r="E498" t="s">
        <v>62</v>
      </c>
      <c r="G498" t="s">
        <v>149</v>
      </c>
      <c r="H498" t="s">
        <v>69</v>
      </c>
      <c r="I498">
        <v>1.5366407709375264E-2</v>
      </c>
      <c r="J498" t="s">
        <v>62</v>
      </c>
      <c r="L498" t="s">
        <v>169</v>
      </c>
      <c r="M498" t="s">
        <v>69</v>
      </c>
      <c r="N498">
        <v>1.4948494673248774E-2</v>
      </c>
      <c r="O498" t="s">
        <v>62</v>
      </c>
    </row>
    <row r="499" spans="2:15" x14ac:dyDescent="0.25">
      <c r="B499" t="s">
        <v>129</v>
      </c>
      <c r="C499" t="s">
        <v>70</v>
      </c>
      <c r="D499">
        <v>0</v>
      </c>
      <c r="E499" t="s">
        <v>62</v>
      </c>
      <c r="G499" t="s">
        <v>149</v>
      </c>
      <c r="H499" t="s">
        <v>70</v>
      </c>
      <c r="I499">
        <v>1.5648180831976822E-2</v>
      </c>
      <c r="J499" t="s">
        <v>62</v>
      </c>
      <c r="L499" t="s">
        <v>169</v>
      </c>
      <c r="M499" t="s">
        <v>70</v>
      </c>
      <c r="N499">
        <v>1.4840685515503962E-2</v>
      </c>
      <c r="O499" t="s">
        <v>62</v>
      </c>
    </row>
    <row r="500" spans="2:15" x14ac:dyDescent="0.25">
      <c r="B500" t="s">
        <v>129</v>
      </c>
      <c r="C500" t="s">
        <v>71</v>
      </c>
      <c r="D500">
        <v>0</v>
      </c>
      <c r="E500" t="s">
        <v>62</v>
      </c>
      <c r="G500" t="s">
        <v>149</v>
      </c>
      <c r="H500" t="s">
        <v>71</v>
      </c>
      <c r="I500">
        <v>2.281414927413114E-2</v>
      </c>
      <c r="J500" t="s">
        <v>62</v>
      </c>
      <c r="L500" t="s">
        <v>169</v>
      </c>
      <c r="M500" t="s">
        <v>71</v>
      </c>
      <c r="N500">
        <v>2.0897002641823797E-2</v>
      </c>
      <c r="O500" t="s">
        <v>62</v>
      </c>
    </row>
    <row r="501" spans="2:15" x14ac:dyDescent="0.25">
      <c r="B501" t="s">
        <v>129</v>
      </c>
      <c r="C501" t="s">
        <v>72</v>
      </c>
      <c r="D501">
        <v>0</v>
      </c>
      <c r="E501" t="s">
        <v>62</v>
      </c>
      <c r="G501" t="s">
        <v>149</v>
      </c>
      <c r="H501" t="s">
        <v>72</v>
      </c>
      <c r="I501">
        <v>4.0069544682826252E-2</v>
      </c>
      <c r="J501" t="s">
        <v>62</v>
      </c>
      <c r="L501" t="s">
        <v>169</v>
      </c>
      <c r="M501" t="s">
        <v>72</v>
      </c>
      <c r="N501">
        <v>4.0512240850951058E-2</v>
      </c>
      <c r="O501" t="s">
        <v>62</v>
      </c>
    </row>
    <row r="502" spans="2:15" x14ac:dyDescent="0.25">
      <c r="B502" t="s">
        <v>129</v>
      </c>
      <c r="C502" t="s">
        <v>73</v>
      </c>
      <c r="D502">
        <v>5.8795225363121291E-3</v>
      </c>
      <c r="E502" t="s">
        <v>62</v>
      </c>
      <c r="G502" t="s">
        <v>149</v>
      </c>
      <c r="H502" t="s">
        <v>73</v>
      </c>
      <c r="I502">
        <v>1.6623850301647938E-2</v>
      </c>
      <c r="J502" t="s">
        <v>62</v>
      </c>
      <c r="L502" t="s">
        <v>169</v>
      </c>
      <c r="M502" t="s">
        <v>73</v>
      </c>
      <c r="N502">
        <v>1.5197760112461713E-2</v>
      </c>
      <c r="O502" t="s">
        <v>62</v>
      </c>
    </row>
    <row r="503" spans="2:15" x14ac:dyDescent="0.25">
      <c r="B503" t="s">
        <v>129</v>
      </c>
      <c r="C503" t="s">
        <v>74</v>
      </c>
      <c r="D503">
        <v>2.88698484885519E-2</v>
      </c>
      <c r="E503" t="s">
        <v>62</v>
      </c>
      <c r="G503" t="s">
        <v>149</v>
      </c>
      <c r="H503" t="s">
        <v>74</v>
      </c>
      <c r="I503">
        <v>1.4747997555668815E-2</v>
      </c>
      <c r="J503" t="s">
        <v>62</v>
      </c>
      <c r="L503" t="s">
        <v>169</v>
      </c>
      <c r="M503" t="s">
        <v>74</v>
      </c>
      <c r="N503">
        <v>1.5227408936288737E-2</v>
      </c>
      <c r="O503" t="s">
        <v>62</v>
      </c>
    </row>
    <row r="504" spans="2:15" x14ac:dyDescent="0.25">
      <c r="B504" t="s">
        <v>129</v>
      </c>
      <c r="C504" t="s">
        <v>75</v>
      </c>
      <c r="D504">
        <v>4.3593157804806076E-2</v>
      </c>
      <c r="E504" t="s">
        <v>62</v>
      </c>
      <c r="G504" t="s">
        <v>149</v>
      </c>
      <c r="H504" t="s">
        <v>75</v>
      </c>
      <c r="I504">
        <v>1.3277499877402267E-2</v>
      </c>
      <c r="J504" t="s">
        <v>62</v>
      </c>
      <c r="L504" t="s">
        <v>169</v>
      </c>
      <c r="M504" t="s">
        <v>75</v>
      </c>
      <c r="N504">
        <v>1.5376853611278525E-2</v>
      </c>
      <c r="O504" t="s">
        <v>62</v>
      </c>
    </row>
    <row r="505" spans="2:15" x14ac:dyDescent="0.25">
      <c r="B505" t="s">
        <v>129</v>
      </c>
      <c r="C505" t="s">
        <v>76</v>
      </c>
      <c r="D505">
        <v>4.4099853360271279E-2</v>
      </c>
      <c r="E505" t="s">
        <v>62</v>
      </c>
      <c r="G505" t="s">
        <v>149</v>
      </c>
      <c r="H505" t="s">
        <v>76</v>
      </c>
      <c r="I505">
        <v>1.234714765340568E-2</v>
      </c>
      <c r="J505" t="s">
        <v>62</v>
      </c>
      <c r="L505" t="s">
        <v>169</v>
      </c>
      <c r="M505" t="s">
        <v>76</v>
      </c>
      <c r="N505">
        <v>1.4897629839451004E-2</v>
      </c>
      <c r="O505" t="s">
        <v>62</v>
      </c>
    </row>
    <row r="506" spans="2:15" x14ac:dyDescent="0.25">
      <c r="B506" t="s">
        <v>129</v>
      </c>
      <c r="C506" t="s">
        <v>77</v>
      </c>
      <c r="D506">
        <v>4.3029198239385592E-2</v>
      </c>
      <c r="E506" t="s">
        <v>62</v>
      </c>
      <c r="G506" t="s">
        <v>149</v>
      </c>
      <c r="H506" t="s">
        <v>77</v>
      </c>
      <c r="I506">
        <v>1.3850264724551555E-2</v>
      </c>
      <c r="J506" t="s">
        <v>62</v>
      </c>
      <c r="L506" t="s">
        <v>169</v>
      </c>
      <c r="M506" t="s">
        <v>77</v>
      </c>
      <c r="N506">
        <v>1.5003529820552452E-2</v>
      </c>
      <c r="O506" t="s">
        <v>62</v>
      </c>
    </row>
    <row r="507" spans="2:15" x14ac:dyDescent="0.25">
      <c r="B507" t="s">
        <v>129</v>
      </c>
      <c r="C507" t="s">
        <v>78</v>
      </c>
      <c r="D507">
        <v>3.365350772402001E-2</v>
      </c>
      <c r="E507" t="s">
        <v>62</v>
      </c>
      <c r="G507" t="s">
        <v>149</v>
      </c>
      <c r="H507" t="s">
        <v>78</v>
      </c>
      <c r="I507">
        <v>1.4263868604460458E-2</v>
      </c>
      <c r="J507" t="s">
        <v>62</v>
      </c>
      <c r="L507" t="s">
        <v>169</v>
      </c>
      <c r="M507" t="s">
        <v>78</v>
      </c>
      <c r="N507">
        <v>1.5730876635502943E-2</v>
      </c>
      <c r="O507" t="s">
        <v>62</v>
      </c>
    </row>
    <row r="508" spans="2:15" x14ac:dyDescent="0.25">
      <c r="B508" t="s">
        <v>129</v>
      </c>
      <c r="C508" t="s">
        <v>79</v>
      </c>
      <c r="D508">
        <v>1.484694270301606E-2</v>
      </c>
      <c r="E508" t="s">
        <v>62</v>
      </c>
      <c r="G508" t="s">
        <v>149</v>
      </c>
      <c r="H508" t="s">
        <v>79</v>
      </c>
      <c r="I508">
        <v>1.5047824547779002E-2</v>
      </c>
      <c r="J508" t="s">
        <v>62</v>
      </c>
      <c r="L508" t="s">
        <v>169</v>
      </c>
      <c r="M508" t="s">
        <v>79</v>
      </c>
      <c r="N508">
        <v>1.657340179748765E-2</v>
      </c>
      <c r="O508" t="s">
        <v>62</v>
      </c>
    </row>
    <row r="509" spans="2:15" x14ac:dyDescent="0.25">
      <c r="B509" t="s">
        <v>129</v>
      </c>
      <c r="C509" t="s">
        <v>80</v>
      </c>
      <c r="D509">
        <v>2.7758802657582612E-4</v>
      </c>
      <c r="E509" t="s">
        <v>62</v>
      </c>
      <c r="G509" t="s">
        <v>149</v>
      </c>
      <c r="H509" t="s">
        <v>80</v>
      </c>
      <c r="I509">
        <v>1.6304193403976614E-2</v>
      </c>
      <c r="J509" t="s">
        <v>62</v>
      </c>
      <c r="L509" t="s">
        <v>169</v>
      </c>
      <c r="M509" t="s">
        <v>80</v>
      </c>
      <c r="N509">
        <v>1.7270502998551821E-2</v>
      </c>
      <c r="O509" t="s">
        <v>62</v>
      </c>
    </row>
    <row r="510" spans="2:15" x14ac:dyDescent="0.25">
      <c r="B510" t="s">
        <v>129</v>
      </c>
      <c r="C510" t="s">
        <v>81</v>
      </c>
      <c r="D510">
        <v>0</v>
      </c>
      <c r="E510" t="s">
        <v>62</v>
      </c>
      <c r="G510" t="s">
        <v>149</v>
      </c>
      <c r="H510" t="s">
        <v>81</v>
      </c>
      <c r="I510">
        <v>2.4465028553558577E-2</v>
      </c>
      <c r="J510" t="s">
        <v>62</v>
      </c>
      <c r="L510" t="s">
        <v>169</v>
      </c>
      <c r="M510" t="s">
        <v>81</v>
      </c>
      <c r="N510">
        <v>2.5632095417520418E-2</v>
      </c>
      <c r="O510" t="s">
        <v>62</v>
      </c>
    </row>
    <row r="511" spans="2:15" x14ac:dyDescent="0.25">
      <c r="B511" t="s">
        <v>129</v>
      </c>
      <c r="C511" t="s">
        <v>82</v>
      </c>
      <c r="D511">
        <v>1.4088150562664113E-3</v>
      </c>
      <c r="E511" t="s">
        <v>62</v>
      </c>
      <c r="G511" t="s">
        <v>149</v>
      </c>
      <c r="H511" t="s">
        <v>82</v>
      </c>
      <c r="I511">
        <v>2.6771404491001551E-2</v>
      </c>
      <c r="J511" t="s">
        <v>62</v>
      </c>
      <c r="L511" t="s">
        <v>169</v>
      </c>
      <c r="M511" t="s">
        <v>82</v>
      </c>
      <c r="N511">
        <v>3.1568780416679314E-2</v>
      </c>
      <c r="O511" t="s">
        <v>62</v>
      </c>
    </row>
    <row r="512" spans="2:15" x14ac:dyDescent="0.25">
      <c r="B512" t="s">
        <v>129</v>
      </c>
      <c r="C512" t="s">
        <v>83</v>
      </c>
      <c r="D512">
        <v>2.0698469286950197E-2</v>
      </c>
      <c r="E512" t="s">
        <v>62</v>
      </c>
      <c r="G512" t="s">
        <v>149</v>
      </c>
      <c r="H512" t="s">
        <v>83</v>
      </c>
      <c r="I512">
        <v>9.2783026707867772E-3</v>
      </c>
      <c r="J512" t="s">
        <v>62</v>
      </c>
      <c r="L512" t="s">
        <v>169</v>
      </c>
      <c r="M512" t="s">
        <v>83</v>
      </c>
      <c r="N512">
        <v>1.1966672103383097E-2</v>
      </c>
      <c r="O512" t="s">
        <v>62</v>
      </c>
    </row>
    <row r="513" spans="2:15" x14ac:dyDescent="0.25">
      <c r="B513" t="s">
        <v>129</v>
      </c>
      <c r="C513" t="s">
        <v>84</v>
      </c>
      <c r="D513">
        <v>4.0910569637425738E-2</v>
      </c>
      <c r="E513" t="s">
        <v>62</v>
      </c>
      <c r="G513" t="s">
        <v>149</v>
      </c>
      <c r="H513" t="s">
        <v>84</v>
      </c>
      <c r="I513">
        <v>7.0429365945442234E-3</v>
      </c>
      <c r="J513" t="s">
        <v>62</v>
      </c>
      <c r="L513" t="s">
        <v>169</v>
      </c>
      <c r="M513" t="s">
        <v>84</v>
      </c>
      <c r="N513">
        <v>1.1742902771868399E-2</v>
      </c>
      <c r="O513" t="s">
        <v>62</v>
      </c>
    </row>
    <row r="514" spans="2:15" x14ac:dyDescent="0.25">
      <c r="B514" t="s">
        <v>129</v>
      </c>
      <c r="C514" t="s">
        <v>85</v>
      </c>
      <c r="D514">
        <v>4.978386889748021E-2</v>
      </c>
      <c r="E514" t="s">
        <v>62</v>
      </c>
      <c r="G514" t="s">
        <v>149</v>
      </c>
      <c r="H514" t="s">
        <v>85</v>
      </c>
      <c r="I514">
        <v>7.7779457775768472E-3</v>
      </c>
      <c r="J514" t="s">
        <v>62</v>
      </c>
      <c r="L514" t="s">
        <v>169</v>
      </c>
      <c r="M514" t="s">
        <v>85</v>
      </c>
      <c r="N514">
        <v>1.1250205969258964E-2</v>
      </c>
      <c r="O514" t="s">
        <v>62</v>
      </c>
    </row>
    <row r="515" spans="2:15" x14ac:dyDescent="0.25">
      <c r="B515" t="s">
        <v>129</v>
      </c>
      <c r="C515" t="s">
        <v>86</v>
      </c>
      <c r="D515">
        <v>4.9393111677226542E-2</v>
      </c>
      <c r="E515" t="s">
        <v>62</v>
      </c>
      <c r="G515" t="s">
        <v>149</v>
      </c>
      <c r="H515" t="s">
        <v>86</v>
      </c>
      <c r="I515">
        <v>7.6596952871701698E-3</v>
      </c>
      <c r="J515" t="s">
        <v>62</v>
      </c>
      <c r="L515" t="s">
        <v>169</v>
      </c>
      <c r="M515" t="s">
        <v>86</v>
      </c>
      <c r="N515">
        <v>1.0259607252618642E-2</v>
      </c>
      <c r="O515" t="s">
        <v>62</v>
      </c>
    </row>
    <row r="516" spans="2:15" x14ac:dyDescent="0.25">
      <c r="B516" t="s">
        <v>129</v>
      </c>
      <c r="C516" t="s">
        <v>87</v>
      </c>
      <c r="D516">
        <v>4.6498220071964295E-2</v>
      </c>
      <c r="E516" t="s">
        <v>62</v>
      </c>
      <c r="G516" t="s">
        <v>149</v>
      </c>
      <c r="H516" t="s">
        <v>87</v>
      </c>
      <c r="I516">
        <v>8.7095762067760703E-3</v>
      </c>
      <c r="J516" t="s">
        <v>62</v>
      </c>
      <c r="L516" t="s">
        <v>169</v>
      </c>
      <c r="M516" t="s">
        <v>87</v>
      </c>
      <c r="N516">
        <v>1.0309933257533205E-2</v>
      </c>
      <c r="O516" t="s">
        <v>62</v>
      </c>
    </row>
    <row r="517" spans="2:15" x14ac:dyDescent="0.25">
      <c r="B517" t="s">
        <v>129</v>
      </c>
      <c r="C517" t="s">
        <v>88</v>
      </c>
      <c r="D517">
        <v>3.8526295594515717E-2</v>
      </c>
      <c r="E517" t="s">
        <v>62</v>
      </c>
      <c r="G517" t="s">
        <v>149</v>
      </c>
      <c r="H517" t="s">
        <v>88</v>
      </c>
      <c r="I517">
        <v>8.7716690495073107E-3</v>
      </c>
      <c r="J517" t="s">
        <v>62</v>
      </c>
      <c r="L517" t="s">
        <v>169</v>
      </c>
      <c r="M517" t="s">
        <v>88</v>
      </c>
      <c r="N517">
        <v>1.0520243285730134E-2</v>
      </c>
      <c r="O517" t="s">
        <v>62</v>
      </c>
    </row>
    <row r="518" spans="2:15" x14ac:dyDescent="0.25">
      <c r="B518" t="s">
        <v>129</v>
      </c>
      <c r="C518" t="s">
        <v>89</v>
      </c>
      <c r="D518">
        <v>2.378104752558341E-2</v>
      </c>
      <c r="E518" t="s">
        <v>62</v>
      </c>
      <c r="G518" t="s">
        <v>149</v>
      </c>
      <c r="H518" t="s">
        <v>89</v>
      </c>
      <c r="I518">
        <v>8.6540297553290187E-3</v>
      </c>
      <c r="J518" t="s">
        <v>62</v>
      </c>
      <c r="L518" t="s">
        <v>169</v>
      </c>
      <c r="M518" t="s">
        <v>89</v>
      </c>
      <c r="N518">
        <v>1.0308758020925983E-2</v>
      </c>
      <c r="O518" t="s">
        <v>62</v>
      </c>
    </row>
    <row r="519" spans="2:15" x14ac:dyDescent="0.25">
      <c r="B519" t="s">
        <v>129</v>
      </c>
      <c r="C519" t="s">
        <v>90</v>
      </c>
      <c r="D519">
        <v>5.9441875856638751E-3</v>
      </c>
      <c r="E519" t="s">
        <v>62</v>
      </c>
      <c r="G519" t="s">
        <v>149</v>
      </c>
      <c r="H519" t="s">
        <v>90</v>
      </c>
      <c r="I519">
        <v>1.0035667086467269E-2</v>
      </c>
      <c r="J519" t="s">
        <v>62</v>
      </c>
      <c r="L519" t="s">
        <v>169</v>
      </c>
      <c r="M519" t="s">
        <v>90</v>
      </c>
      <c r="N519">
        <v>1.0506466194938198E-2</v>
      </c>
      <c r="O519" t="s">
        <v>62</v>
      </c>
    </row>
    <row r="520" spans="2:15" x14ac:dyDescent="0.25">
      <c r="B520" t="s">
        <v>129</v>
      </c>
      <c r="C520" t="s">
        <v>91</v>
      </c>
      <c r="D520">
        <v>0</v>
      </c>
      <c r="E520" t="s">
        <v>62</v>
      </c>
      <c r="G520" t="s">
        <v>149</v>
      </c>
      <c r="H520" t="s">
        <v>91</v>
      </c>
      <c r="I520">
        <v>1.7497492428999263E-2</v>
      </c>
      <c r="J520" t="s">
        <v>62</v>
      </c>
      <c r="L520" t="s">
        <v>169</v>
      </c>
      <c r="M520" t="s">
        <v>91</v>
      </c>
      <c r="N520">
        <v>1.7601408045025635E-2</v>
      </c>
      <c r="O520" t="s">
        <v>62</v>
      </c>
    </row>
    <row r="521" spans="2:15" x14ac:dyDescent="0.25">
      <c r="B521" t="s">
        <v>129</v>
      </c>
      <c r="C521" t="s">
        <v>92</v>
      </c>
      <c r="D521">
        <v>4.2932010425540017E-4</v>
      </c>
      <c r="E521" t="s">
        <v>62</v>
      </c>
      <c r="G521" t="s">
        <v>149</v>
      </c>
      <c r="H521" t="s">
        <v>92</v>
      </c>
      <c r="I521">
        <v>2.0424504559858052E-2</v>
      </c>
      <c r="J521" t="s">
        <v>62</v>
      </c>
      <c r="L521" t="s">
        <v>169</v>
      </c>
      <c r="M521" t="s">
        <v>92</v>
      </c>
      <c r="N521">
        <v>2.495080352744217E-2</v>
      </c>
      <c r="O521" t="s">
        <v>62</v>
      </c>
    </row>
    <row r="522" spans="2:15" x14ac:dyDescent="0.25">
      <c r="B522" t="s">
        <v>129</v>
      </c>
      <c r="C522" t="s">
        <v>93</v>
      </c>
      <c r="D522">
        <v>1.7995916741562847E-2</v>
      </c>
      <c r="E522" t="s">
        <v>62</v>
      </c>
      <c r="G522" t="s">
        <v>149</v>
      </c>
      <c r="H522" t="s">
        <v>93</v>
      </c>
      <c r="I522">
        <v>7.3438894152855804E-3</v>
      </c>
      <c r="J522" t="s">
        <v>62</v>
      </c>
      <c r="L522" t="s">
        <v>169</v>
      </c>
      <c r="M522" t="s">
        <v>93</v>
      </c>
      <c r="N522">
        <v>9.3625116751344453E-3</v>
      </c>
      <c r="O522" t="s">
        <v>62</v>
      </c>
    </row>
    <row r="523" spans="2:15" x14ac:dyDescent="0.25">
      <c r="B523" t="s">
        <v>129</v>
      </c>
      <c r="C523" t="s">
        <v>94</v>
      </c>
      <c r="D523">
        <v>4.0522521486630728E-2</v>
      </c>
      <c r="E523" t="s">
        <v>62</v>
      </c>
      <c r="G523" t="s">
        <v>149</v>
      </c>
      <c r="H523" t="s">
        <v>94</v>
      </c>
      <c r="I523">
        <v>6.7423623576074367E-3</v>
      </c>
      <c r="J523" t="s">
        <v>62</v>
      </c>
      <c r="L523" t="s">
        <v>169</v>
      </c>
      <c r="M523" t="s">
        <v>94</v>
      </c>
      <c r="N523">
        <v>9.2718306366598724E-3</v>
      </c>
      <c r="O523" t="s">
        <v>62</v>
      </c>
    </row>
    <row r="524" spans="2:15" x14ac:dyDescent="0.25">
      <c r="B524" t="s">
        <v>129</v>
      </c>
      <c r="C524" t="s">
        <v>95</v>
      </c>
      <c r="D524">
        <v>4.9393637620155743E-2</v>
      </c>
      <c r="E524" t="s">
        <v>62</v>
      </c>
      <c r="G524" t="s">
        <v>149</v>
      </c>
      <c r="H524" t="s">
        <v>95</v>
      </c>
      <c r="I524">
        <v>7.7192259696531968E-3</v>
      </c>
      <c r="J524" t="s">
        <v>62</v>
      </c>
      <c r="L524" t="s">
        <v>169</v>
      </c>
      <c r="M524" t="s">
        <v>95</v>
      </c>
      <c r="N524">
        <v>9.5301587388920139E-3</v>
      </c>
      <c r="O524" t="s">
        <v>62</v>
      </c>
    </row>
    <row r="525" spans="2:15" x14ac:dyDescent="0.25">
      <c r="B525" t="s">
        <v>129</v>
      </c>
      <c r="C525" t="s">
        <v>96</v>
      </c>
      <c r="D525">
        <v>4.848031545305323E-2</v>
      </c>
      <c r="E525" t="s">
        <v>62</v>
      </c>
      <c r="G525" t="s">
        <v>149</v>
      </c>
      <c r="H525" t="s">
        <v>96</v>
      </c>
      <c r="I525">
        <v>7.5598187926571346E-3</v>
      </c>
      <c r="J525" t="s">
        <v>62</v>
      </c>
      <c r="L525" t="s">
        <v>169</v>
      </c>
      <c r="M525" t="s">
        <v>96</v>
      </c>
      <c r="N525">
        <v>8.5830813938852606E-3</v>
      </c>
      <c r="O525" t="s">
        <v>62</v>
      </c>
    </row>
    <row r="526" spans="2:15" x14ac:dyDescent="0.25">
      <c r="B526" t="s">
        <v>129</v>
      </c>
      <c r="C526" t="s">
        <v>97</v>
      </c>
      <c r="D526">
        <v>4.6440045708932932E-2</v>
      </c>
      <c r="E526" t="s">
        <v>62</v>
      </c>
      <c r="G526" t="s">
        <v>149</v>
      </c>
      <c r="H526" t="s">
        <v>97</v>
      </c>
      <c r="I526">
        <v>9.7519988504265413E-3</v>
      </c>
      <c r="J526" t="s">
        <v>62</v>
      </c>
      <c r="L526" t="s">
        <v>169</v>
      </c>
      <c r="M526" t="s">
        <v>97</v>
      </c>
      <c r="N526">
        <v>9.3772277872859154E-3</v>
      </c>
      <c r="O526" t="s">
        <v>62</v>
      </c>
    </row>
    <row r="527" spans="2:15" x14ac:dyDescent="0.25">
      <c r="B527" t="s">
        <v>129</v>
      </c>
      <c r="C527" t="s">
        <v>98</v>
      </c>
      <c r="D527">
        <v>4.1102670631640852E-2</v>
      </c>
      <c r="E527" t="s">
        <v>62</v>
      </c>
      <c r="G527" t="s">
        <v>149</v>
      </c>
      <c r="H527" t="s">
        <v>98</v>
      </c>
      <c r="I527">
        <v>9.9668356963061918E-3</v>
      </c>
      <c r="J527" t="s">
        <v>62</v>
      </c>
      <c r="L527" t="s">
        <v>169</v>
      </c>
      <c r="M527" t="s">
        <v>98</v>
      </c>
      <c r="N527">
        <v>9.8877769640429679E-3</v>
      </c>
      <c r="O527" t="s">
        <v>62</v>
      </c>
    </row>
    <row r="528" spans="2:15" x14ac:dyDescent="0.25">
      <c r="B528" t="s">
        <v>129</v>
      </c>
      <c r="C528" t="s">
        <v>99</v>
      </c>
      <c r="D528">
        <v>2.6573122166549251E-2</v>
      </c>
      <c r="E528" t="s">
        <v>62</v>
      </c>
      <c r="G528" t="s">
        <v>149</v>
      </c>
      <c r="H528" t="s">
        <v>99</v>
      </c>
      <c r="I528">
        <v>8.5035207973725244E-3</v>
      </c>
      <c r="J528" t="s">
        <v>62</v>
      </c>
      <c r="L528" t="s">
        <v>169</v>
      </c>
      <c r="M528" t="s">
        <v>99</v>
      </c>
      <c r="N528">
        <v>1.0503863784529964E-2</v>
      </c>
      <c r="O528" t="s">
        <v>62</v>
      </c>
    </row>
    <row r="529" spans="2:15" x14ac:dyDescent="0.25">
      <c r="B529" t="s">
        <v>129</v>
      </c>
      <c r="C529" t="s">
        <v>100</v>
      </c>
      <c r="D529">
        <v>5.8770350603124678E-3</v>
      </c>
      <c r="E529" t="s">
        <v>62</v>
      </c>
      <c r="G529" t="s">
        <v>149</v>
      </c>
      <c r="H529" t="s">
        <v>100</v>
      </c>
      <c r="I529">
        <v>8.5219681298119125E-3</v>
      </c>
      <c r="J529" t="s">
        <v>62</v>
      </c>
      <c r="L529" t="s">
        <v>169</v>
      </c>
      <c r="M529" t="s">
        <v>100</v>
      </c>
      <c r="N529">
        <v>1.0329395269596539E-2</v>
      </c>
      <c r="O529" t="s">
        <v>62</v>
      </c>
    </row>
    <row r="530" spans="2:15" x14ac:dyDescent="0.25">
      <c r="B530" t="s">
        <v>129</v>
      </c>
      <c r="C530" t="s">
        <v>101</v>
      </c>
      <c r="D530">
        <v>0</v>
      </c>
      <c r="E530" t="s">
        <v>62</v>
      </c>
      <c r="G530" t="s">
        <v>149</v>
      </c>
      <c r="H530" t="s">
        <v>101</v>
      </c>
      <c r="I530">
        <v>1.2626275672203395E-2</v>
      </c>
      <c r="J530" t="s">
        <v>62</v>
      </c>
      <c r="L530" t="s">
        <v>169</v>
      </c>
      <c r="M530" t="s">
        <v>101</v>
      </c>
      <c r="N530">
        <v>1.5992392885160946E-2</v>
      </c>
      <c r="O530" t="s">
        <v>62</v>
      </c>
    </row>
    <row r="531" spans="2:15" x14ac:dyDescent="0.25">
      <c r="B531" t="s">
        <v>129</v>
      </c>
      <c r="C531" t="s">
        <v>102</v>
      </c>
      <c r="D531">
        <v>0</v>
      </c>
      <c r="E531" t="s">
        <v>62</v>
      </c>
      <c r="G531" t="s">
        <v>149</v>
      </c>
      <c r="H531" t="s">
        <v>102</v>
      </c>
      <c r="I531">
        <v>3.4737203259209086E-2</v>
      </c>
      <c r="J531" t="s">
        <v>62</v>
      </c>
      <c r="L531" t="s">
        <v>169</v>
      </c>
      <c r="M531" t="s">
        <v>102</v>
      </c>
      <c r="N531">
        <v>3.4322406744500059E-2</v>
      </c>
      <c r="O531" t="s">
        <v>62</v>
      </c>
    </row>
    <row r="532" spans="2:15" x14ac:dyDescent="0.25">
      <c r="B532" t="s">
        <v>129</v>
      </c>
      <c r="C532" t="s">
        <v>103</v>
      </c>
      <c r="D532">
        <v>1.7883180573093904E-3</v>
      </c>
      <c r="E532" t="s">
        <v>62</v>
      </c>
      <c r="G532" t="s">
        <v>149</v>
      </c>
      <c r="H532" t="s">
        <v>103</v>
      </c>
      <c r="I532">
        <v>1.3263864359270187E-2</v>
      </c>
      <c r="J532" t="s">
        <v>62</v>
      </c>
      <c r="L532" t="s">
        <v>169</v>
      </c>
      <c r="M532" t="s">
        <v>103</v>
      </c>
      <c r="N532">
        <v>1.2936093860820511E-2</v>
      </c>
      <c r="O532" t="s">
        <v>62</v>
      </c>
    </row>
    <row r="533" spans="2:15" x14ac:dyDescent="0.25">
      <c r="B533" t="s">
        <v>129</v>
      </c>
      <c r="C533" t="s">
        <v>104</v>
      </c>
      <c r="D533">
        <v>1.7083264297342103E-2</v>
      </c>
      <c r="E533" t="s">
        <v>62</v>
      </c>
      <c r="G533" t="s">
        <v>149</v>
      </c>
      <c r="H533" t="s">
        <v>104</v>
      </c>
      <c r="I533">
        <v>1.2515939114831591E-2</v>
      </c>
      <c r="J533" t="s">
        <v>62</v>
      </c>
      <c r="L533" t="s">
        <v>169</v>
      </c>
      <c r="M533" t="s">
        <v>104</v>
      </c>
      <c r="N533">
        <v>1.3411857658430771E-2</v>
      </c>
      <c r="O533" t="s">
        <v>62</v>
      </c>
    </row>
    <row r="534" spans="2:15" x14ac:dyDescent="0.25">
      <c r="B534" t="s">
        <v>129</v>
      </c>
      <c r="C534" t="s">
        <v>105</v>
      </c>
      <c r="D534">
        <v>2.8726384277563022E-2</v>
      </c>
      <c r="E534" t="s">
        <v>62</v>
      </c>
      <c r="G534" t="s">
        <v>149</v>
      </c>
      <c r="H534" t="s">
        <v>105</v>
      </c>
      <c r="I534">
        <v>1.2407718002005942E-2</v>
      </c>
      <c r="J534" t="s">
        <v>62</v>
      </c>
      <c r="L534" t="s">
        <v>169</v>
      </c>
      <c r="M534" t="s">
        <v>105</v>
      </c>
      <c r="N534">
        <v>1.3437734806163334E-2</v>
      </c>
      <c r="O534" t="s">
        <v>62</v>
      </c>
    </row>
    <row r="535" spans="2:15" x14ac:dyDescent="0.25">
      <c r="B535" t="s">
        <v>129</v>
      </c>
      <c r="C535" t="s">
        <v>106</v>
      </c>
      <c r="D535">
        <v>2.9192979122346904E-2</v>
      </c>
      <c r="E535" t="s">
        <v>62</v>
      </c>
      <c r="G535" t="s">
        <v>149</v>
      </c>
      <c r="H535" t="s">
        <v>106</v>
      </c>
      <c r="I535">
        <v>1.2138641275557586E-2</v>
      </c>
      <c r="J535" t="s">
        <v>62</v>
      </c>
      <c r="L535" t="s">
        <v>169</v>
      </c>
      <c r="M535" t="s">
        <v>106</v>
      </c>
      <c r="N535">
        <v>1.2864622753896137E-2</v>
      </c>
      <c r="O535" t="s">
        <v>62</v>
      </c>
    </row>
    <row r="536" spans="2:15" x14ac:dyDescent="0.25">
      <c r="B536" t="s">
        <v>129</v>
      </c>
      <c r="C536" t="s">
        <v>107</v>
      </c>
      <c r="D536">
        <v>2.8930895939512077E-2</v>
      </c>
      <c r="E536" t="s">
        <v>62</v>
      </c>
      <c r="G536" t="s">
        <v>149</v>
      </c>
      <c r="H536" t="s">
        <v>107</v>
      </c>
      <c r="I536">
        <v>1.2977601002600892E-2</v>
      </c>
      <c r="J536" t="s">
        <v>62</v>
      </c>
      <c r="L536" t="s">
        <v>169</v>
      </c>
      <c r="M536" t="s">
        <v>107</v>
      </c>
      <c r="N536">
        <v>1.2838654810469394E-2</v>
      </c>
      <c r="O536" t="s">
        <v>62</v>
      </c>
    </row>
    <row r="537" spans="2:15" x14ac:dyDescent="0.25">
      <c r="B537" t="s">
        <v>129</v>
      </c>
      <c r="C537" t="s">
        <v>108</v>
      </c>
      <c r="D537">
        <v>2.0248217247792914E-2</v>
      </c>
      <c r="E537" t="s">
        <v>62</v>
      </c>
      <c r="G537" t="s">
        <v>149</v>
      </c>
      <c r="H537" t="s">
        <v>108</v>
      </c>
      <c r="I537">
        <v>1.3896284299083857E-2</v>
      </c>
      <c r="J537" t="s">
        <v>62</v>
      </c>
      <c r="L537" t="s">
        <v>169</v>
      </c>
      <c r="M537" t="s">
        <v>108</v>
      </c>
      <c r="N537">
        <v>1.3227317830626027E-2</v>
      </c>
      <c r="O537" t="s">
        <v>62</v>
      </c>
    </row>
    <row r="538" spans="2:15" x14ac:dyDescent="0.25">
      <c r="B538" t="s">
        <v>129</v>
      </c>
      <c r="C538" t="s">
        <v>109</v>
      </c>
      <c r="D538">
        <v>5.8854945201738847E-3</v>
      </c>
      <c r="E538" t="s">
        <v>62</v>
      </c>
      <c r="G538" t="s">
        <v>149</v>
      </c>
      <c r="H538" t="s">
        <v>109</v>
      </c>
      <c r="I538">
        <v>1.4863045068791086E-2</v>
      </c>
      <c r="J538" t="s">
        <v>62</v>
      </c>
      <c r="L538" t="s">
        <v>169</v>
      </c>
      <c r="M538" t="s">
        <v>109</v>
      </c>
      <c r="N538">
        <v>1.3952547955551377E-2</v>
      </c>
      <c r="O538" t="s">
        <v>62</v>
      </c>
    </row>
    <row r="539" spans="2:15" x14ac:dyDescent="0.25">
      <c r="B539" t="s">
        <v>129</v>
      </c>
      <c r="C539" t="s">
        <v>110</v>
      </c>
      <c r="D539">
        <v>0</v>
      </c>
      <c r="E539" t="s">
        <v>62</v>
      </c>
      <c r="G539" t="s">
        <v>149</v>
      </c>
      <c r="H539" t="s">
        <v>110</v>
      </c>
      <c r="I539">
        <v>1.5515066835749956E-2</v>
      </c>
      <c r="J539" t="s">
        <v>62</v>
      </c>
      <c r="L539" t="s">
        <v>169</v>
      </c>
      <c r="M539" t="s">
        <v>110</v>
      </c>
      <c r="N539">
        <v>1.4418981419369462E-2</v>
      </c>
      <c r="O539" t="s">
        <v>62</v>
      </c>
    </row>
    <row r="540" spans="2:15" x14ac:dyDescent="0.25">
      <c r="B540" t="s">
        <v>129</v>
      </c>
      <c r="C540" t="s">
        <v>111</v>
      </c>
      <c r="D540">
        <v>0</v>
      </c>
      <c r="E540" t="s">
        <v>62</v>
      </c>
      <c r="G540" t="s">
        <v>149</v>
      </c>
      <c r="H540" t="s">
        <v>111</v>
      </c>
      <c r="I540">
        <v>2.3560015819250244E-2</v>
      </c>
      <c r="J540" t="s">
        <v>62</v>
      </c>
      <c r="L540" t="s">
        <v>169</v>
      </c>
      <c r="M540" t="s">
        <v>111</v>
      </c>
      <c r="N540">
        <v>2.14302682980223E-2</v>
      </c>
      <c r="O540" t="s">
        <v>62</v>
      </c>
    </row>
    <row r="541" spans="2:15" x14ac:dyDescent="0.25">
      <c r="B541" t="s">
        <v>129</v>
      </c>
      <c r="C541" t="s">
        <v>112</v>
      </c>
      <c r="D541">
        <v>0</v>
      </c>
      <c r="E541" t="s">
        <v>62</v>
      </c>
      <c r="G541" t="s">
        <v>149</v>
      </c>
      <c r="H541" t="s">
        <v>112</v>
      </c>
      <c r="I541">
        <v>5.6954618126925732E-2</v>
      </c>
      <c r="J541" t="s">
        <v>62</v>
      </c>
      <c r="L541" t="s">
        <v>169</v>
      </c>
      <c r="M541" t="s">
        <v>112</v>
      </c>
      <c r="N541">
        <v>4.6488802903025345E-2</v>
      </c>
      <c r="O541" t="s">
        <v>62</v>
      </c>
    </row>
    <row r="542" spans="2:15" x14ac:dyDescent="0.25">
      <c r="B542" t="s">
        <v>129</v>
      </c>
      <c r="C542" t="s">
        <v>113</v>
      </c>
      <c r="D542">
        <v>0</v>
      </c>
      <c r="E542" t="s">
        <v>62</v>
      </c>
      <c r="G542" t="s">
        <v>149</v>
      </c>
      <c r="H542" t="s">
        <v>113</v>
      </c>
      <c r="I542">
        <v>2.2530976154904847E-2</v>
      </c>
      <c r="J542" t="s">
        <v>62</v>
      </c>
      <c r="L542" t="s">
        <v>169</v>
      </c>
      <c r="M542" t="s">
        <v>113</v>
      </c>
      <c r="N542">
        <v>1.8880937464099374E-2</v>
      </c>
      <c r="O542" t="s">
        <v>62</v>
      </c>
    </row>
    <row r="543" spans="2:15" x14ac:dyDescent="0.25">
      <c r="B543" t="s">
        <v>129</v>
      </c>
      <c r="C543" t="s">
        <v>114</v>
      </c>
      <c r="D543">
        <v>1.402079839033069E-3</v>
      </c>
      <c r="E543" t="s">
        <v>62</v>
      </c>
      <c r="G543" t="s">
        <v>149</v>
      </c>
      <c r="H543" t="s">
        <v>114</v>
      </c>
      <c r="I543">
        <v>2.2308342532229571E-2</v>
      </c>
      <c r="J543" t="s">
        <v>62</v>
      </c>
      <c r="L543" t="s">
        <v>169</v>
      </c>
      <c r="M543" t="s">
        <v>114</v>
      </c>
      <c r="N543">
        <v>1.886758283481875E-2</v>
      </c>
      <c r="O543" t="s">
        <v>62</v>
      </c>
    </row>
    <row r="544" spans="2:15" x14ac:dyDescent="0.25">
      <c r="B544" t="s">
        <v>129</v>
      </c>
      <c r="C544" t="s">
        <v>115</v>
      </c>
      <c r="D544">
        <v>1.1190349196105016E-2</v>
      </c>
      <c r="E544" t="s">
        <v>62</v>
      </c>
      <c r="G544" t="s">
        <v>149</v>
      </c>
      <c r="H544" t="s">
        <v>115</v>
      </c>
      <c r="I544">
        <v>2.2137043140976555E-2</v>
      </c>
      <c r="J544" t="s">
        <v>62</v>
      </c>
      <c r="L544" t="s">
        <v>169</v>
      </c>
      <c r="M544" t="s">
        <v>115</v>
      </c>
      <c r="N544">
        <v>1.8523768928161852E-2</v>
      </c>
      <c r="O544" t="s">
        <v>62</v>
      </c>
    </row>
    <row r="545" spans="2:15" x14ac:dyDescent="0.25">
      <c r="B545" t="s">
        <v>129</v>
      </c>
      <c r="C545" t="s">
        <v>116</v>
      </c>
      <c r="D545">
        <v>1.3633726967750661E-2</v>
      </c>
      <c r="E545" t="s">
        <v>62</v>
      </c>
      <c r="G545" t="s">
        <v>149</v>
      </c>
      <c r="H545" t="s">
        <v>116</v>
      </c>
      <c r="I545">
        <v>2.093998192515116E-2</v>
      </c>
      <c r="J545" t="s">
        <v>62</v>
      </c>
      <c r="L545" t="s">
        <v>169</v>
      </c>
      <c r="M545" t="s">
        <v>116</v>
      </c>
      <c r="N545">
        <v>1.9056948773533203E-2</v>
      </c>
      <c r="O545" t="s">
        <v>62</v>
      </c>
    </row>
    <row r="546" spans="2:15" x14ac:dyDescent="0.25">
      <c r="B546" t="s">
        <v>129</v>
      </c>
      <c r="C546" t="s">
        <v>117</v>
      </c>
      <c r="D546">
        <v>1.2809864120534102E-2</v>
      </c>
      <c r="E546" t="s">
        <v>62</v>
      </c>
      <c r="G546" t="s">
        <v>149</v>
      </c>
      <c r="H546" t="s">
        <v>117</v>
      </c>
      <c r="I546">
        <v>2.0860340976549464E-2</v>
      </c>
      <c r="J546" t="s">
        <v>62</v>
      </c>
      <c r="L546" t="s">
        <v>169</v>
      </c>
      <c r="M546" t="s">
        <v>117</v>
      </c>
      <c r="N546">
        <v>1.8816511191459866E-2</v>
      </c>
      <c r="O546" t="s">
        <v>62</v>
      </c>
    </row>
    <row r="547" spans="2:15" x14ac:dyDescent="0.25">
      <c r="B547" t="s">
        <v>129</v>
      </c>
      <c r="C547" t="s">
        <v>118</v>
      </c>
      <c r="D547">
        <v>3.1381088553600173E-3</v>
      </c>
      <c r="E547" t="s">
        <v>62</v>
      </c>
      <c r="G547" t="s">
        <v>149</v>
      </c>
      <c r="H547" t="s">
        <v>118</v>
      </c>
      <c r="I547">
        <v>2.1240654516211873E-2</v>
      </c>
      <c r="J547" t="s">
        <v>62</v>
      </c>
      <c r="L547" t="s">
        <v>169</v>
      </c>
      <c r="M547" t="s">
        <v>118</v>
      </c>
      <c r="N547">
        <v>1.8760544037112581E-2</v>
      </c>
      <c r="O547" t="s">
        <v>62</v>
      </c>
    </row>
    <row r="548" spans="2:15" x14ac:dyDescent="0.25">
      <c r="B548" t="s">
        <v>129</v>
      </c>
      <c r="C548" t="s">
        <v>119</v>
      </c>
      <c r="D548">
        <v>0</v>
      </c>
      <c r="E548" t="s">
        <v>62</v>
      </c>
      <c r="G548" t="s">
        <v>149</v>
      </c>
      <c r="H548" t="s">
        <v>119</v>
      </c>
      <c r="I548">
        <v>2.2250087808513331E-2</v>
      </c>
      <c r="J548" t="s">
        <v>62</v>
      </c>
      <c r="L548" t="s">
        <v>169</v>
      </c>
      <c r="M548" t="s">
        <v>119</v>
      </c>
      <c r="N548">
        <v>1.8664322946194904E-2</v>
      </c>
      <c r="O548" t="s">
        <v>62</v>
      </c>
    </row>
    <row r="549" spans="2:15" x14ac:dyDescent="0.25">
      <c r="B549" t="s">
        <v>129</v>
      </c>
      <c r="C549" t="s">
        <v>120</v>
      </c>
      <c r="D549">
        <v>0</v>
      </c>
      <c r="E549" t="s">
        <v>62</v>
      </c>
      <c r="G549" t="s">
        <v>149</v>
      </c>
      <c r="H549" t="s">
        <v>120</v>
      </c>
      <c r="I549">
        <v>2.2830187091790886E-2</v>
      </c>
      <c r="J549" t="s">
        <v>62</v>
      </c>
      <c r="L549" t="s">
        <v>169</v>
      </c>
      <c r="M549" t="s">
        <v>120</v>
      </c>
      <c r="N549">
        <v>1.8804521947257857E-2</v>
      </c>
      <c r="O549" t="s">
        <v>62</v>
      </c>
    </row>
    <row r="550" spans="2:15" x14ac:dyDescent="0.25">
      <c r="B550" t="s">
        <v>129</v>
      </c>
      <c r="C550" t="s">
        <v>121</v>
      </c>
      <c r="D550">
        <v>0</v>
      </c>
      <c r="E550" t="s">
        <v>62</v>
      </c>
      <c r="G550" t="s">
        <v>149</v>
      </c>
      <c r="H550" t="s">
        <v>121</v>
      </c>
      <c r="I550">
        <v>3.4883637245137766E-2</v>
      </c>
      <c r="J550" t="s">
        <v>62</v>
      </c>
      <c r="L550" t="s">
        <v>169</v>
      </c>
      <c r="M550" t="s">
        <v>121</v>
      </c>
      <c r="N550">
        <v>2.7925240704109282E-2</v>
      </c>
      <c r="O550" t="s">
        <v>62</v>
      </c>
    </row>
    <row r="551" spans="2:15" x14ac:dyDescent="0.25">
      <c r="B551" t="s">
        <v>130</v>
      </c>
      <c r="C551" t="s">
        <v>61</v>
      </c>
      <c r="D551">
        <v>0</v>
      </c>
      <c r="E551" t="s">
        <v>62</v>
      </c>
      <c r="G551" t="s">
        <v>150</v>
      </c>
      <c r="H551" t="s">
        <v>61</v>
      </c>
      <c r="I551">
        <v>3.1474924366968193E-2</v>
      </c>
      <c r="J551" t="s">
        <v>62</v>
      </c>
      <c r="L551" t="s">
        <v>170</v>
      </c>
      <c r="M551" t="s">
        <v>61</v>
      </c>
      <c r="N551">
        <v>3.2343845232813036E-2</v>
      </c>
      <c r="O551" t="s">
        <v>62</v>
      </c>
    </row>
    <row r="552" spans="2:15" x14ac:dyDescent="0.25">
      <c r="B552" t="s">
        <v>130</v>
      </c>
      <c r="C552" t="s">
        <v>63</v>
      </c>
      <c r="D552">
        <v>0</v>
      </c>
      <c r="E552" t="s">
        <v>62</v>
      </c>
      <c r="G552" t="s">
        <v>150</v>
      </c>
      <c r="H552" t="s">
        <v>63</v>
      </c>
      <c r="I552">
        <v>1.3248788794746639E-2</v>
      </c>
      <c r="J552" t="s">
        <v>62</v>
      </c>
      <c r="L552" t="s">
        <v>170</v>
      </c>
      <c r="M552" t="s">
        <v>63</v>
      </c>
      <c r="N552">
        <v>1.3494854265165239E-2</v>
      </c>
      <c r="O552" t="s">
        <v>62</v>
      </c>
    </row>
    <row r="553" spans="2:15" x14ac:dyDescent="0.25">
      <c r="B553" t="s">
        <v>130</v>
      </c>
      <c r="C553" t="s">
        <v>64</v>
      </c>
      <c r="D553">
        <v>1.2935834152192187E-3</v>
      </c>
      <c r="E553" t="s">
        <v>62</v>
      </c>
      <c r="G553" t="s">
        <v>150</v>
      </c>
      <c r="H553" t="s">
        <v>64</v>
      </c>
      <c r="I553">
        <v>1.3794001407667934E-2</v>
      </c>
      <c r="J553" t="s">
        <v>62</v>
      </c>
      <c r="L553" t="s">
        <v>170</v>
      </c>
      <c r="M553" t="s">
        <v>64</v>
      </c>
      <c r="N553">
        <v>1.404003526514803E-2</v>
      </c>
      <c r="O553" t="s">
        <v>62</v>
      </c>
    </row>
    <row r="554" spans="2:15" x14ac:dyDescent="0.25">
      <c r="B554" t="s">
        <v>130</v>
      </c>
      <c r="C554" t="s">
        <v>65</v>
      </c>
      <c r="D554">
        <v>1.0821623669602E-2</v>
      </c>
      <c r="E554" t="s">
        <v>62</v>
      </c>
      <c r="G554" t="s">
        <v>150</v>
      </c>
      <c r="H554" t="s">
        <v>65</v>
      </c>
      <c r="I554">
        <v>1.4094684217825247E-2</v>
      </c>
      <c r="J554" t="s">
        <v>62</v>
      </c>
      <c r="L554" t="s">
        <v>170</v>
      </c>
      <c r="M554" t="s">
        <v>65</v>
      </c>
      <c r="N554">
        <v>1.4177594036667511E-2</v>
      </c>
      <c r="O554" t="s">
        <v>62</v>
      </c>
    </row>
    <row r="555" spans="2:15" x14ac:dyDescent="0.25">
      <c r="B555" t="s">
        <v>130</v>
      </c>
      <c r="C555" t="s">
        <v>66</v>
      </c>
      <c r="D555">
        <v>1.7589147006942675E-2</v>
      </c>
      <c r="E555" t="s">
        <v>62</v>
      </c>
      <c r="G555" t="s">
        <v>150</v>
      </c>
      <c r="H555" t="s">
        <v>66</v>
      </c>
      <c r="I555">
        <v>1.3938775346580952E-2</v>
      </c>
      <c r="J555" t="s">
        <v>62</v>
      </c>
      <c r="L555" t="s">
        <v>170</v>
      </c>
      <c r="M555" t="s">
        <v>66</v>
      </c>
      <c r="N555">
        <v>1.4394031191863704E-2</v>
      </c>
      <c r="O555" t="s">
        <v>62</v>
      </c>
    </row>
    <row r="556" spans="2:15" x14ac:dyDescent="0.25">
      <c r="B556" t="s">
        <v>130</v>
      </c>
      <c r="C556" t="s">
        <v>67</v>
      </c>
      <c r="D556">
        <v>1.5762827760989657E-2</v>
      </c>
      <c r="E556" t="s">
        <v>62</v>
      </c>
      <c r="G556" t="s">
        <v>150</v>
      </c>
      <c r="H556" t="s">
        <v>67</v>
      </c>
      <c r="I556">
        <v>1.4210249022095398E-2</v>
      </c>
      <c r="J556" t="s">
        <v>62</v>
      </c>
      <c r="L556" t="s">
        <v>170</v>
      </c>
      <c r="M556" t="s">
        <v>67</v>
      </c>
      <c r="N556">
        <v>1.4675629323867264E-2</v>
      </c>
      <c r="O556" t="s">
        <v>62</v>
      </c>
    </row>
    <row r="557" spans="2:15" x14ac:dyDescent="0.25">
      <c r="B557" t="s">
        <v>130</v>
      </c>
      <c r="C557" t="s">
        <v>68</v>
      </c>
      <c r="D557">
        <v>7.1433582005702729E-3</v>
      </c>
      <c r="E557" t="s">
        <v>62</v>
      </c>
      <c r="G557" t="s">
        <v>150</v>
      </c>
      <c r="H557" t="s">
        <v>68</v>
      </c>
      <c r="I557">
        <v>1.4330234784326556E-2</v>
      </c>
      <c r="J557" t="s">
        <v>62</v>
      </c>
      <c r="L557" t="s">
        <v>170</v>
      </c>
      <c r="M557" t="s">
        <v>68</v>
      </c>
      <c r="N557">
        <v>1.5169741284508358E-2</v>
      </c>
      <c r="O557" t="s">
        <v>62</v>
      </c>
    </row>
    <row r="558" spans="2:15" x14ac:dyDescent="0.25">
      <c r="B558" t="s">
        <v>130</v>
      </c>
      <c r="C558" t="s">
        <v>69</v>
      </c>
      <c r="D558">
        <v>6.3964573775768274E-4</v>
      </c>
      <c r="E558" t="s">
        <v>62</v>
      </c>
      <c r="G558" t="s">
        <v>150</v>
      </c>
      <c r="H558" t="s">
        <v>69</v>
      </c>
      <c r="I558">
        <v>1.4939321235541859E-2</v>
      </c>
      <c r="J558" t="s">
        <v>62</v>
      </c>
      <c r="L558" t="s">
        <v>170</v>
      </c>
      <c r="M558" t="s">
        <v>69</v>
      </c>
      <c r="N558">
        <v>1.5499500489672554E-2</v>
      </c>
      <c r="O558" t="s">
        <v>62</v>
      </c>
    </row>
    <row r="559" spans="2:15" x14ac:dyDescent="0.25">
      <c r="B559" t="s">
        <v>130</v>
      </c>
      <c r="C559" t="s">
        <v>70</v>
      </c>
      <c r="D559">
        <v>0</v>
      </c>
      <c r="E559" t="s">
        <v>62</v>
      </c>
      <c r="G559" t="s">
        <v>150</v>
      </c>
      <c r="H559" t="s">
        <v>70</v>
      </c>
      <c r="I559">
        <v>1.5235748407026961E-2</v>
      </c>
      <c r="J559" t="s">
        <v>62</v>
      </c>
      <c r="L559" t="s">
        <v>170</v>
      </c>
      <c r="M559" t="s">
        <v>70</v>
      </c>
      <c r="N559">
        <v>1.5549106566418194E-2</v>
      </c>
      <c r="O559" t="s">
        <v>62</v>
      </c>
    </row>
    <row r="560" spans="2:15" x14ac:dyDescent="0.25">
      <c r="B560" t="s">
        <v>130</v>
      </c>
      <c r="C560" t="s">
        <v>71</v>
      </c>
      <c r="D560">
        <v>0</v>
      </c>
      <c r="E560" t="s">
        <v>62</v>
      </c>
      <c r="G560" t="s">
        <v>150</v>
      </c>
      <c r="H560" t="s">
        <v>71</v>
      </c>
      <c r="I560">
        <v>2.0528964396212244E-2</v>
      </c>
      <c r="J560" t="s">
        <v>62</v>
      </c>
      <c r="L560" t="s">
        <v>170</v>
      </c>
      <c r="M560" t="s">
        <v>71</v>
      </c>
      <c r="N560">
        <v>2.1019424716693803E-2</v>
      </c>
      <c r="O560" t="s">
        <v>62</v>
      </c>
    </row>
    <row r="561" spans="2:15" x14ac:dyDescent="0.25">
      <c r="B561" t="s">
        <v>130</v>
      </c>
      <c r="C561" t="s">
        <v>72</v>
      </c>
      <c r="D561">
        <v>0</v>
      </c>
      <c r="E561" t="s">
        <v>62</v>
      </c>
      <c r="G561" t="s">
        <v>150</v>
      </c>
      <c r="H561" t="s">
        <v>72</v>
      </c>
      <c r="I561">
        <v>3.9142207534417099E-2</v>
      </c>
      <c r="J561" t="s">
        <v>62</v>
      </c>
      <c r="L561" t="s">
        <v>170</v>
      </c>
      <c r="M561" t="s">
        <v>72</v>
      </c>
      <c r="N561">
        <v>3.8761732926018241E-2</v>
      </c>
      <c r="O561" t="s">
        <v>62</v>
      </c>
    </row>
    <row r="562" spans="2:15" x14ac:dyDescent="0.25">
      <c r="B562" t="s">
        <v>130</v>
      </c>
      <c r="C562" t="s">
        <v>73</v>
      </c>
      <c r="D562">
        <v>5.602753888763354E-3</v>
      </c>
      <c r="E562" t="s">
        <v>62</v>
      </c>
      <c r="G562" t="s">
        <v>150</v>
      </c>
      <c r="H562" t="s">
        <v>73</v>
      </c>
      <c r="I562">
        <v>1.5746613754981157E-2</v>
      </c>
      <c r="J562" t="s">
        <v>62</v>
      </c>
      <c r="L562" t="s">
        <v>170</v>
      </c>
      <c r="M562" t="s">
        <v>73</v>
      </c>
      <c r="N562">
        <v>1.4745859362083632E-2</v>
      </c>
      <c r="O562" t="s">
        <v>62</v>
      </c>
    </row>
    <row r="563" spans="2:15" x14ac:dyDescent="0.25">
      <c r="B563" t="s">
        <v>130</v>
      </c>
      <c r="C563" t="s">
        <v>74</v>
      </c>
      <c r="D563">
        <v>3.1216655377039149E-2</v>
      </c>
      <c r="E563" t="s">
        <v>62</v>
      </c>
      <c r="G563" t="s">
        <v>150</v>
      </c>
      <c r="H563" t="s">
        <v>74</v>
      </c>
      <c r="I563">
        <v>1.4794669934374385E-2</v>
      </c>
      <c r="J563" t="s">
        <v>62</v>
      </c>
      <c r="L563" t="s">
        <v>170</v>
      </c>
      <c r="M563" t="s">
        <v>74</v>
      </c>
      <c r="N563">
        <v>1.4766193922848296E-2</v>
      </c>
      <c r="O563" t="s">
        <v>62</v>
      </c>
    </row>
    <row r="564" spans="2:15" x14ac:dyDescent="0.25">
      <c r="B564" t="s">
        <v>130</v>
      </c>
      <c r="C564" t="s">
        <v>75</v>
      </c>
      <c r="D564">
        <v>4.9296999802756862E-2</v>
      </c>
      <c r="E564" t="s">
        <v>62</v>
      </c>
      <c r="G564" t="s">
        <v>150</v>
      </c>
      <c r="H564" t="s">
        <v>75</v>
      </c>
      <c r="I564">
        <v>1.4279404714808378E-2</v>
      </c>
      <c r="J564" t="s">
        <v>62</v>
      </c>
      <c r="L564" t="s">
        <v>170</v>
      </c>
      <c r="M564" t="s">
        <v>75</v>
      </c>
      <c r="N564">
        <v>1.4885041874161981E-2</v>
      </c>
      <c r="O564" t="s">
        <v>62</v>
      </c>
    </row>
    <row r="565" spans="2:15" x14ac:dyDescent="0.25">
      <c r="B565" t="s">
        <v>130</v>
      </c>
      <c r="C565" t="s">
        <v>76</v>
      </c>
      <c r="D565">
        <v>4.7393179506744786E-2</v>
      </c>
      <c r="E565" t="s">
        <v>62</v>
      </c>
      <c r="G565" t="s">
        <v>150</v>
      </c>
      <c r="H565" t="s">
        <v>76</v>
      </c>
      <c r="I565">
        <v>1.3222778480126205E-2</v>
      </c>
      <c r="J565" t="s">
        <v>62</v>
      </c>
      <c r="L565" t="s">
        <v>170</v>
      </c>
      <c r="M565" t="s">
        <v>76</v>
      </c>
      <c r="N565">
        <v>1.4393784391087782E-2</v>
      </c>
      <c r="O565" t="s">
        <v>62</v>
      </c>
    </row>
    <row r="566" spans="2:15" x14ac:dyDescent="0.25">
      <c r="B566" t="s">
        <v>130</v>
      </c>
      <c r="C566" t="s">
        <v>77</v>
      </c>
      <c r="D566">
        <v>4.6238506154555298E-2</v>
      </c>
      <c r="E566" t="s">
        <v>62</v>
      </c>
      <c r="G566" t="s">
        <v>150</v>
      </c>
      <c r="H566" t="s">
        <v>77</v>
      </c>
      <c r="I566">
        <v>1.3877893204249417E-2</v>
      </c>
      <c r="J566" t="s">
        <v>62</v>
      </c>
      <c r="L566" t="s">
        <v>170</v>
      </c>
      <c r="M566" t="s">
        <v>77</v>
      </c>
      <c r="N566">
        <v>1.46282353162836E-2</v>
      </c>
      <c r="O566" t="s">
        <v>62</v>
      </c>
    </row>
    <row r="567" spans="2:15" x14ac:dyDescent="0.25">
      <c r="B567" t="s">
        <v>130</v>
      </c>
      <c r="C567" t="s">
        <v>78</v>
      </c>
      <c r="D567">
        <v>3.6530339734375916E-2</v>
      </c>
      <c r="E567" t="s">
        <v>62</v>
      </c>
      <c r="G567" t="s">
        <v>150</v>
      </c>
      <c r="H567" t="s">
        <v>78</v>
      </c>
      <c r="I567">
        <v>1.3984607135662137E-2</v>
      </c>
      <c r="J567" t="s">
        <v>62</v>
      </c>
      <c r="L567" t="s">
        <v>170</v>
      </c>
      <c r="M567" t="s">
        <v>78</v>
      </c>
      <c r="N567">
        <v>1.5200633981083385E-2</v>
      </c>
      <c r="O567" t="s">
        <v>62</v>
      </c>
    </row>
    <row r="568" spans="2:15" x14ac:dyDescent="0.25">
      <c r="B568" t="s">
        <v>130</v>
      </c>
      <c r="C568" t="s">
        <v>79</v>
      </c>
      <c r="D568">
        <v>1.6258990064611532E-2</v>
      </c>
      <c r="E568" t="s">
        <v>62</v>
      </c>
      <c r="G568" t="s">
        <v>150</v>
      </c>
      <c r="H568" t="s">
        <v>79</v>
      </c>
      <c r="I568">
        <v>1.3791868573040442E-2</v>
      </c>
      <c r="J568" t="s">
        <v>62</v>
      </c>
      <c r="L568" t="s">
        <v>170</v>
      </c>
      <c r="M568" t="s">
        <v>79</v>
      </c>
      <c r="N568">
        <v>1.5842005518419622E-2</v>
      </c>
      <c r="O568" t="s">
        <v>62</v>
      </c>
    </row>
    <row r="569" spans="2:15" x14ac:dyDescent="0.25">
      <c r="B569" t="s">
        <v>130</v>
      </c>
      <c r="C569" t="s">
        <v>80</v>
      </c>
      <c r="D569">
        <v>7.4388201780562694E-4</v>
      </c>
      <c r="E569" t="s">
        <v>62</v>
      </c>
      <c r="G569" t="s">
        <v>150</v>
      </c>
      <c r="H569" t="s">
        <v>80</v>
      </c>
      <c r="I569">
        <v>1.5076037800955365E-2</v>
      </c>
      <c r="J569" t="s">
        <v>62</v>
      </c>
      <c r="L569" t="s">
        <v>170</v>
      </c>
      <c r="M569" t="s">
        <v>80</v>
      </c>
      <c r="N569">
        <v>1.6368842265930088E-2</v>
      </c>
      <c r="O569" t="s">
        <v>62</v>
      </c>
    </row>
    <row r="570" spans="2:15" x14ac:dyDescent="0.25">
      <c r="B570" t="s">
        <v>130</v>
      </c>
      <c r="C570" t="s">
        <v>81</v>
      </c>
      <c r="D570">
        <v>0</v>
      </c>
      <c r="E570" t="s">
        <v>62</v>
      </c>
      <c r="G570" t="s">
        <v>150</v>
      </c>
      <c r="H570" t="s">
        <v>81</v>
      </c>
      <c r="I570">
        <v>2.2967813383894337E-2</v>
      </c>
      <c r="J570" t="s">
        <v>62</v>
      </c>
      <c r="L570" t="s">
        <v>170</v>
      </c>
      <c r="M570" t="s">
        <v>81</v>
      </c>
      <c r="N570">
        <v>2.4337644419773069E-2</v>
      </c>
      <c r="O570" t="s">
        <v>62</v>
      </c>
    </row>
    <row r="571" spans="2:15" x14ac:dyDescent="0.25">
      <c r="B571" t="s">
        <v>130</v>
      </c>
      <c r="C571" t="s">
        <v>82</v>
      </c>
      <c r="D571">
        <v>1.7246122287132542E-3</v>
      </c>
      <c r="E571" t="s">
        <v>62</v>
      </c>
      <c r="G571" t="s">
        <v>150</v>
      </c>
      <c r="H571" t="s">
        <v>82</v>
      </c>
      <c r="I571">
        <v>2.7736492761962529E-2</v>
      </c>
      <c r="J571" t="s">
        <v>62</v>
      </c>
      <c r="L571" t="s">
        <v>170</v>
      </c>
      <c r="M571" t="s">
        <v>82</v>
      </c>
      <c r="N571">
        <v>2.9516952405968522E-2</v>
      </c>
      <c r="O571" t="s">
        <v>62</v>
      </c>
    </row>
    <row r="572" spans="2:15" x14ac:dyDescent="0.25">
      <c r="B572" t="s">
        <v>130</v>
      </c>
      <c r="C572" t="s">
        <v>83</v>
      </c>
      <c r="D572">
        <v>2.0529241283921487E-2</v>
      </c>
      <c r="E572" t="s">
        <v>62</v>
      </c>
      <c r="G572" t="s">
        <v>150</v>
      </c>
      <c r="H572" t="s">
        <v>83</v>
      </c>
      <c r="I572">
        <v>1.0125207942856037E-2</v>
      </c>
      <c r="J572" t="s">
        <v>62</v>
      </c>
      <c r="L572" t="s">
        <v>170</v>
      </c>
      <c r="M572" t="s">
        <v>83</v>
      </c>
      <c r="N572">
        <v>1.1198769033454837E-2</v>
      </c>
      <c r="O572" t="s">
        <v>62</v>
      </c>
    </row>
    <row r="573" spans="2:15" x14ac:dyDescent="0.25">
      <c r="B573" t="s">
        <v>130</v>
      </c>
      <c r="C573" t="s">
        <v>84</v>
      </c>
      <c r="D573">
        <v>4.0532295041979541E-2</v>
      </c>
      <c r="E573" t="s">
        <v>62</v>
      </c>
      <c r="G573" t="s">
        <v>150</v>
      </c>
      <c r="H573" t="s">
        <v>84</v>
      </c>
      <c r="I573">
        <v>8.5073678607110424E-3</v>
      </c>
      <c r="J573" t="s">
        <v>62</v>
      </c>
      <c r="L573" t="s">
        <v>170</v>
      </c>
      <c r="M573" t="s">
        <v>84</v>
      </c>
      <c r="N573">
        <v>1.0948192220284109E-2</v>
      </c>
      <c r="O573" t="s">
        <v>62</v>
      </c>
    </row>
    <row r="574" spans="2:15" x14ac:dyDescent="0.25">
      <c r="B574" t="s">
        <v>130</v>
      </c>
      <c r="C574" t="s">
        <v>85</v>
      </c>
      <c r="D574">
        <v>5.0592656717870284E-2</v>
      </c>
      <c r="E574" t="s">
        <v>62</v>
      </c>
      <c r="G574" t="s">
        <v>150</v>
      </c>
      <c r="H574" t="s">
        <v>85</v>
      </c>
      <c r="I574">
        <v>1.006254183450681E-2</v>
      </c>
      <c r="J574" t="s">
        <v>62</v>
      </c>
      <c r="L574" t="s">
        <v>170</v>
      </c>
      <c r="M574" t="s">
        <v>85</v>
      </c>
      <c r="N574">
        <v>1.0635897659664689E-2</v>
      </c>
      <c r="O574" t="s">
        <v>62</v>
      </c>
    </row>
    <row r="575" spans="2:15" x14ac:dyDescent="0.25">
      <c r="B575" t="s">
        <v>130</v>
      </c>
      <c r="C575" t="s">
        <v>86</v>
      </c>
      <c r="D575">
        <v>5.0643211626270057E-2</v>
      </c>
      <c r="E575" t="s">
        <v>62</v>
      </c>
      <c r="G575" t="s">
        <v>150</v>
      </c>
      <c r="H575" t="s">
        <v>86</v>
      </c>
      <c r="I575">
        <v>9.9417583670672136E-3</v>
      </c>
      <c r="J575" t="s">
        <v>62</v>
      </c>
      <c r="L575" t="s">
        <v>170</v>
      </c>
      <c r="M575" t="s">
        <v>86</v>
      </c>
      <c r="N575">
        <v>9.7498324660851288E-3</v>
      </c>
      <c r="O575" t="s">
        <v>62</v>
      </c>
    </row>
    <row r="576" spans="2:15" x14ac:dyDescent="0.25">
      <c r="B576" t="s">
        <v>130</v>
      </c>
      <c r="C576" t="s">
        <v>87</v>
      </c>
      <c r="D576">
        <v>5.0067409538812717E-2</v>
      </c>
      <c r="E576" t="s">
        <v>62</v>
      </c>
      <c r="G576" t="s">
        <v>150</v>
      </c>
      <c r="H576" t="s">
        <v>87</v>
      </c>
      <c r="I576">
        <v>1.0961701611780372E-2</v>
      </c>
      <c r="J576" t="s">
        <v>62</v>
      </c>
      <c r="L576" t="s">
        <v>170</v>
      </c>
      <c r="M576" t="s">
        <v>87</v>
      </c>
      <c r="N576">
        <v>9.8822066777779615E-3</v>
      </c>
      <c r="O576" t="s">
        <v>62</v>
      </c>
    </row>
    <row r="577" spans="2:15" x14ac:dyDescent="0.25">
      <c r="B577" t="s">
        <v>130</v>
      </c>
      <c r="C577" t="s">
        <v>88</v>
      </c>
      <c r="D577">
        <v>4.3042531865665402E-2</v>
      </c>
      <c r="E577" t="s">
        <v>62</v>
      </c>
      <c r="G577" t="s">
        <v>150</v>
      </c>
      <c r="H577" t="s">
        <v>88</v>
      </c>
      <c r="I577">
        <v>1.0568419358936114E-2</v>
      </c>
      <c r="J577" t="s">
        <v>62</v>
      </c>
      <c r="L577" t="s">
        <v>170</v>
      </c>
      <c r="M577" t="s">
        <v>88</v>
      </c>
      <c r="N577">
        <v>9.8156054685789081E-3</v>
      </c>
      <c r="O577" t="s">
        <v>62</v>
      </c>
    </row>
    <row r="578" spans="2:15" x14ac:dyDescent="0.25">
      <c r="B578" t="s">
        <v>130</v>
      </c>
      <c r="C578" t="s">
        <v>89</v>
      </c>
      <c r="D578">
        <v>2.6232838573436532E-2</v>
      </c>
      <c r="E578" t="s">
        <v>62</v>
      </c>
      <c r="G578" t="s">
        <v>150</v>
      </c>
      <c r="H578" t="s">
        <v>89</v>
      </c>
      <c r="I578">
        <v>9.5330744038750904E-3</v>
      </c>
      <c r="J578" t="s">
        <v>62</v>
      </c>
      <c r="L578" t="s">
        <v>170</v>
      </c>
      <c r="M578" t="s">
        <v>89</v>
      </c>
      <c r="N578">
        <v>9.4987893233153698E-3</v>
      </c>
      <c r="O578" t="s">
        <v>62</v>
      </c>
    </row>
    <row r="579" spans="2:15" x14ac:dyDescent="0.25">
      <c r="B579" t="s">
        <v>130</v>
      </c>
      <c r="C579" t="s">
        <v>90</v>
      </c>
      <c r="D579">
        <v>7.6078874049928403E-3</v>
      </c>
      <c r="E579" t="s">
        <v>62</v>
      </c>
      <c r="G579" t="s">
        <v>150</v>
      </c>
      <c r="H579" t="s">
        <v>90</v>
      </c>
      <c r="I579">
        <v>9.3283569605610312E-3</v>
      </c>
      <c r="J579" t="s">
        <v>62</v>
      </c>
      <c r="L579" t="s">
        <v>170</v>
      </c>
      <c r="M579" t="s">
        <v>90</v>
      </c>
      <c r="N579">
        <v>9.717006091796352E-3</v>
      </c>
      <c r="O579" t="s">
        <v>62</v>
      </c>
    </row>
    <row r="580" spans="2:15" x14ac:dyDescent="0.25">
      <c r="B580" t="s">
        <v>130</v>
      </c>
      <c r="C580" t="s">
        <v>91</v>
      </c>
      <c r="D580">
        <v>0</v>
      </c>
      <c r="E580" t="s">
        <v>62</v>
      </c>
      <c r="G580" t="s">
        <v>150</v>
      </c>
      <c r="H580" t="s">
        <v>91</v>
      </c>
      <c r="I580">
        <v>1.6826222648562175E-2</v>
      </c>
      <c r="J580" t="s">
        <v>62</v>
      </c>
      <c r="L580" t="s">
        <v>170</v>
      </c>
      <c r="M580" t="s">
        <v>91</v>
      </c>
      <c r="N580">
        <v>1.6591809582594548E-2</v>
      </c>
      <c r="O580" t="s">
        <v>62</v>
      </c>
    </row>
    <row r="581" spans="2:15" x14ac:dyDescent="0.25">
      <c r="B581" t="s">
        <v>130</v>
      </c>
      <c r="C581" t="s">
        <v>92</v>
      </c>
      <c r="D581">
        <v>6.4304645691140919E-4</v>
      </c>
      <c r="E581" t="s">
        <v>62</v>
      </c>
      <c r="G581" t="s">
        <v>150</v>
      </c>
      <c r="H581" t="s">
        <v>92</v>
      </c>
      <c r="I581">
        <v>2.1446912379864614E-2</v>
      </c>
      <c r="J581" t="s">
        <v>62</v>
      </c>
      <c r="L581" t="s">
        <v>170</v>
      </c>
      <c r="M581" t="s">
        <v>92</v>
      </c>
      <c r="N581">
        <v>2.3745671170657689E-2</v>
      </c>
      <c r="O581" t="s">
        <v>62</v>
      </c>
    </row>
    <row r="582" spans="2:15" x14ac:dyDescent="0.25">
      <c r="B582" t="s">
        <v>130</v>
      </c>
      <c r="C582" t="s">
        <v>93</v>
      </c>
      <c r="D582">
        <v>1.5298720103423563E-2</v>
      </c>
      <c r="E582" t="s">
        <v>62</v>
      </c>
      <c r="G582" t="s">
        <v>150</v>
      </c>
      <c r="H582" t="s">
        <v>93</v>
      </c>
      <c r="I582">
        <v>8.972009124313526E-3</v>
      </c>
      <c r="J582" t="s">
        <v>62</v>
      </c>
      <c r="L582" t="s">
        <v>170</v>
      </c>
      <c r="M582" t="s">
        <v>93</v>
      </c>
      <c r="N582">
        <v>9.1608163171999612E-3</v>
      </c>
      <c r="O582" t="s">
        <v>62</v>
      </c>
    </row>
    <row r="583" spans="2:15" x14ac:dyDescent="0.25">
      <c r="B583" t="s">
        <v>130</v>
      </c>
      <c r="C583" t="s">
        <v>94</v>
      </c>
      <c r="D583">
        <v>3.5651843574784237E-2</v>
      </c>
      <c r="E583" t="s">
        <v>62</v>
      </c>
      <c r="G583" t="s">
        <v>150</v>
      </c>
      <c r="H583" t="s">
        <v>94</v>
      </c>
      <c r="I583">
        <v>8.0759732225774306E-3</v>
      </c>
      <c r="J583" t="s">
        <v>62</v>
      </c>
      <c r="L583" t="s">
        <v>170</v>
      </c>
      <c r="M583" t="s">
        <v>94</v>
      </c>
      <c r="N583">
        <v>9.1322558519221723E-3</v>
      </c>
      <c r="O583" t="s">
        <v>62</v>
      </c>
    </row>
    <row r="584" spans="2:15" x14ac:dyDescent="0.25">
      <c r="B584" t="s">
        <v>130</v>
      </c>
      <c r="C584" t="s">
        <v>95</v>
      </c>
      <c r="D584">
        <v>4.7011316981510051E-2</v>
      </c>
      <c r="E584" t="s">
        <v>62</v>
      </c>
      <c r="G584" t="s">
        <v>150</v>
      </c>
      <c r="H584" t="s">
        <v>95</v>
      </c>
      <c r="I584">
        <v>8.7681666280051262E-3</v>
      </c>
      <c r="J584" t="s">
        <v>62</v>
      </c>
      <c r="L584" t="s">
        <v>170</v>
      </c>
      <c r="M584" t="s">
        <v>95</v>
      </c>
      <c r="N584">
        <v>9.5218265642042065E-3</v>
      </c>
      <c r="O584" t="s">
        <v>62</v>
      </c>
    </row>
    <row r="585" spans="2:15" x14ac:dyDescent="0.25">
      <c r="B585" t="s">
        <v>130</v>
      </c>
      <c r="C585" t="s">
        <v>96</v>
      </c>
      <c r="D585">
        <v>4.8069110698684712E-2</v>
      </c>
      <c r="E585" t="s">
        <v>62</v>
      </c>
      <c r="G585" t="s">
        <v>150</v>
      </c>
      <c r="H585" t="s">
        <v>96</v>
      </c>
      <c r="I585">
        <v>8.4402203384456725E-3</v>
      </c>
      <c r="J585" t="s">
        <v>62</v>
      </c>
      <c r="L585" t="s">
        <v>170</v>
      </c>
      <c r="M585" t="s">
        <v>96</v>
      </c>
      <c r="N585">
        <v>8.8214769500101261E-3</v>
      </c>
      <c r="O585" t="s">
        <v>62</v>
      </c>
    </row>
    <row r="586" spans="2:15" x14ac:dyDescent="0.25">
      <c r="B586" t="s">
        <v>130</v>
      </c>
      <c r="C586" t="s">
        <v>97</v>
      </c>
      <c r="D586">
        <v>4.7445031219797131E-2</v>
      </c>
      <c r="E586" t="s">
        <v>62</v>
      </c>
      <c r="G586" t="s">
        <v>150</v>
      </c>
      <c r="H586" t="s">
        <v>97</v>
      </c>
      <c r="I586">
        <v>9.867374594503802E-3</v>
      </c>
      <c r="J586" t="s">
        <v>62</v>
      </c>
      <c r="L586" t="s">
        <v>170</v>
      </c>
      <c r="M586" t="s">
        <v>97</v>
      </c>
      <c r="N586">
        <v>9.4021206390370853E-3</v>
      </c>
      <c r="O586" t="s">
        <v>62</v>
      </c>
    </row>
    <row r="587" spans="2:15" x14ac:dyDescent="0.25">
      <c r="B587" t="s">
        <v>130</v>
      </c>
      <c r="C587" t="s">
        <v>98</v>
      </c>
      <c r="D587">
        <v>4.1483543160956357E-2</v>
      </c>
      <c r="E587" t="s">
        <v>62</v>
      </c>
      <c r="G587" t="s">
        <v>150</v>
      </c>
      <c r="H587" t="s">
        <v>98</v>
      </c>
      <c r="I587">
        <v>9.9634086152340477E-3</v>
      </c>
      <c r="J587" t="s">
        <v>62</v>
      </c>
      <c r="L587" t="s">
        <v>170</v>
      </c>
      <c r="M587" t="s">
        <v>98</v>
      </c>
      <c r="N587">
        <v>9.8710210842734066E-3</v>
      </c>
      <c r="O587" t="s">
        <v>62</v>
      </c>
    </row>
    <row r="588" spans="2:15" x14ac:dyDescent="0.25">
      <c r="B588" t="s">
        <v>130</v>
      </c>
      <c r="C588" t="s">
        <v>99</v>
      </c>
      <c r="D588">
        <v>2.8476835270154734E-2</v>
      </c>
      <c r="E588" t="s">
        <v>62</v>
      </c>
      <c r="G588" t="s">
        <v>150</v>
      </c>
      <c r="H588" t="s">
        <v>99</v>
      </c>
      <c r="I588">
        <v>8.585106823219564E-3</v>
      </c>
      <c r="J588" t="s">
        <v>62</v>
      </c>
      <c r="L588" t="s">
        <v>170</v>
      </c>
      <c r="M588" t="s">
        <v>99</v>
      </c>
      <c r="N588">
        <v>1.0446052651855371E-2</v>
      </c>
      <c r="O588" t="s">
        <v>62</v>
      </c>
    </row>
    <row r="589" spans="2:15" x14ac:dyDescent="0.25">
      <c r="B589" t="s">
        <v>130</v>
      </c>
      <c r="C589" t="s">
        <v>100</v>
      </c>
      <c r="D589">
        <v>7.8007888360578084E-3</v>
      </c>
      <c r="E589" t="s">
        <v>62</v>
      </c>
      <c r="G589" t="s">
        <v>150</v>
      </c>
      <c r="H589" t="s">
        <v>100</v>
      </c>
      <c r="I589">
        <v>7.812932484826075E-3</v>
      </c>
      <c r="J589" t="s">
        <v>62</v>
      </c>
      <c r="L589" t="s">
        <v>170</v>
      </c>
      <c r="M589" t="s">
        <v>100</v>
      </c>
      <c r="N589">
        <v>1.0452178695489962E-2</v>
      </c>
      <c r="O589" t="s">
        <v>62</v>
      </c>
    </row>
    <row r="590" spans="2:15" x14ac:dyDescent="0.25">
      <c r="B590" t="s">
        <v>130</v>
      </c>
      <c r="C590" t="s">
        <v>101</v>
      </c>
      <c r="D590">
        <v>0</v>
      </c>
      <c r="E590" t="s">
        <v>62</v>
      </c>
      <c r="G590" t="s">
        <v>150</v>
      </c>
      <c r="H590" t="s">
        <v>101</v>
      </c>
      <c r="I590">
        <v>1.2685181450589294E-2</v>
      </c>
      <c r="J590" t="s">
        <v>62</v>
      </c>
      <c r="L590" t="s">
        <v>170</v>
      </c>
      <c r="M590" t="s">
        <v>101</v>
      </c>
      <c r="N590">
        <v>1.5649304930308257E-2</v>
      </c>
      <c r="O590" t="s">
        <v>62</v>
      </c>
    </row>
    <row r="591" spans="2:15" x14ac:dyDescent="0.25">
      <c r="B591" t="s">
        <v>130</v>
      </c>
      <c r="C591" t="s">
        <v>102</v>
      </c>
      <c r="D591">
        <v>0</v>
      </c>
      <c r="E591" t="s">
        <v>62</v>
      </c>
      <c r="G591" t="s">
        <v>150</v>
      </c>
      <c r="H591" t="s">
        <v>102</v>
      </c>
      <c r="I591">
        <v>3.676635273026032E-2</v>
      </c>
      <c r="J591" t="s">
        <v>62</v>
      </c>
      <c r="L591" t="s">
        <v>170</v>
      </c>
      <c r="M591" t="s">
        <v>102</v>
      </c>
      <c r="N591">
        <v>3.4667584661784497E-2</v>
      </c>
      <c r="O591" t="s">
        <v>62</v>
      </c>
    </row>
    <row r="592" spans="2:15" x14ac:dyDescent="0.25">
      <c r="B592" t="s">
        <v>130</v>
      </c>
      <c r="C592" t="s">
        <v>103</v>
      </c>
      <c r="D592">
        <v>1.5147721294619043E-3</v>
      </c>
      <c r="E592" t="s">
        <v>62</v>
      </c>
      <c r="G592" t="s">
        <v>150</v>
      </c>
      <c r="H592" t="s">
        <v>103</v>
      </c>
      <c r="I592">
        <v>1.4130391333978868E-2</v>
      </c>
      <c r="J592" t="s">
        <v>62</v>
      </c>
      <c r="L592" t="s">
        <v>170</v>
      </c>
      <c r="M592" t="s">
        <v>103</v>
      </c>
      <c r="N592">
        <v>1.288133862514901E-2</v>
      </c>
      <c r="O592" t="s">
        <v>62</v>
      </c>
    </row>
    <row r="593" spans="2:15" x14ac:dyDescent="0.25">
      <c r="B593" t="s">
        <v>130</v>
      </c>
      <c r="C593" t="s">
        <v>104</v>
      </c>
      <c r="D593">
        <v>1.4927947985035191E-2</v>
      </c>
      <c r="E593" t="s">
        <v>62</v>
      </c>
      <c r="G593" t="s">
        <v>150</v>
      </c>
      <c r="H593" t="s">
        <v>104</v>
      </c>
      <c r="I593">
        <v>1.3812457739289274E-2</v>
      </c>
      <c r="J593" t="s">
        <v>62</v>
      </c>
      <c r="L593" t="s">
        <v>170</v>
      </c>
      <c r="M593" t="s">
        <v>104</v>
      </c>
      <c r="N593">
        <v>1.3177410088234353E-2</v>
      </c>
      <c r="O593" t="s">
        <v>62</v>
      </c>
    </row>
    <row r="594" spans="2:15" x14ac:dyDescent="0.25">
      <c r="B594" t="s">
        <v>130</v>
      </c>
      <c r="C594" t="s">
        <v>105</v>
      </c>
      <c r="D594">
        <v>2.5913325246438416E-2</v>
      </c>
      <c r="E594" t="s">
        <v>62</v>
      </c>
      <c r="G594" t="s">
        <v>150</v>
      </c>
      <c r="H594" t="s">
        <v>105</v>
      </c>
      <c r="I594">
        <v>1.3471811643511633E-2</v>
      </c>
      <c r="J594" t="s">
        <v>62</v>
      </c>
      <c r="L594" t="s">
        <v>170</v>
      </c>
      <c r="M594" t="s">
        <v>105</v>
      </c>
      <c r="N594">
        <v>1.3360073489373981E-2</v>
      </c>
      <c r="O594" t="s">
        <v>62</v>
      </c>
    </row>
    <row r="595" spans="2:15" x14ac:dyDescent="0.25">
      <c r="B595" t="s">
        <v>130</v>
      </c>
      <c r="C595" t="s">
        <v>106</v>
      </c>
      <c r="D595">
        <v>2.6512819117488606E-2</v>
      </c>
      <c r="E595" t="s">
        <v>62</v>
      </c>
      <c r="G595" t="s">
        <v>150</v>
      </c>
      <c r="H595" t="s">
        <v>106</v>
      </c>
      <c r="I595">
        <v>1.3686719000359745E-2</v>
      </c>
      <c r="J595" t="s">
        <v>62</v>
      </c>
      <c r="L595" t="s">
        <v>170</v>
      </c>
      <c r="M595" t="s">
        <v>106</v>
      </c>
      <c r="N595">
        <v>1.306360993308798E-2</v>
      </c>
      <c r="O595" t="s">
        <v>62</v>
      </c>
    </row>
    <row r="596" spans="2:15" x14ac:dyDescent="0.25">
      <c r="B596" t="s">
        <v>130</v>
      </c>
      <c r="C596" t="s">
        <v>107</v>
      </c>
      <c r="D596">
        <v>2.6521427028063222E-2</v>
      </c>
      <c r="E596" t="s">
        <v>62</v>
      </c>
      <c r="G596" t="s">
        <v>150</v>
      </c>
      <c r="H596" t="s">
        <v>107</v>
      </c>
      <c r="I596">
        <v>1.4084491918656178E-2</v>
      </c>
      <c r="J596" t="s">
        <v>62</v>
      </c>
      <c r="L596" t="s">
        <v>170</v>
      </c>
      <c r="M596" t="s">
        <v>107</v>
      </c>
      <c r="N596">
        <v>1.3175815201032851E-2</v>
      </c>
      <c r="O596" t="s">
        <v>62</v>
      </c>
    </row>
    <row r="597" spans="2:15" x14ac:dyDescent="0.25">
      <c r="B597" t="s">
        <v>130</v>
      </c>
      <c r="C597" t="s">
        <v>108</v>
      </c>
      <c r="D597">
        <v>1.9114905118309777E-2</v>
      </c>
      <c r="E597" t="s">
        <v>62</v>
      </c>
      <c r="G597" t="s">
        <v>150</v>
      </c>
      <c r="H597" t="s">
        <v>108</v>
      </c>
      <c r="I597">
        <v>1.4094106449924095E-2</v>
      </c>
      <c r="J597" t="s">
        <v>62</v>
      </c>
      <c r="L597" t="s">
        <v>170</v>
      </c>
      <c r="M597" t="s">
        <v>108</v>
      </c>
      <c r="N597">
        <v>1.3532465107843833E-2</v>
      </c>
      <c r="O597" t="s">
        <v>62</v>
      </c>
    </row>
    <row r="598" spans="2:15" x14ac:dyDescent="0.25">
      <c r="B598" t="s">
        <v>130</v>
      </c>
      <c r="C598" t="s">
        <v>109</v>
      </c>
      <c r="D598">
        <v>5.8973748573326957E-3</v>
      </c>
      <c r="E598" t="s">
        <v>62</v>
      </c>
      <c r="G598" t="s">
        <v>150</v>
      </c>
      <c r="H598" t="s">
        <v>109</v>
      </c>
      <c r="I598">
        <v>1.504029404189039E-2</v>
      </c>
      <c r="J598" t="s">
        <v>62</v>
      </c>
      <c r="L598" t="s">
        <v>170</v>
      </c>
      <c r="M598" t="s">
        <v>109</v>
      </c>
      <c r="N598">
        <v>1.4444937074394983E-2</v>
      </c>
      <c r="O598" t="s">
        <v>62</v>
      </c>
    </row>
    <row r="599" spans="2:15" x14ac:dyDescent="0.25">
      <c r="B599" t="s">
        <v>130</v>
      </c>
      <c r="C599" t="s">
        <v>110</v>
      </c>
      <c r="D599">
        <v>0</v>
      </c>
      <c r="E599" t="s">
        <v>62</v>
      </c>
      <c r="G599" t="s">
        <v>150</v>
      </c>
      <c r="H599" t="s">
        <v>110</v>
      </c>
      <c r="I599">
        <v>1.6071612303975347E-2</v>
      </c>
      <c r="J599" t="s">
        <v>62</v>
      </c>
      <c r="L599" t="s">
        <v>170</v>
      </c>
      <c r="M599" t="s">
        <v>110</v>
      </c>
      <c r="N599">
        <v>1.5193255193987216E-2</v>
      </c>
      <c r="O599" t="s">
        <v>62</v>
      </c>
    </row>
    <row r="600" spans="2:15" x14ac:dyDescent="0.25">
      <c r="B600" t="s">
        <v>130</v>
      </c>
      <c r="C600" t="s">
        <v>111</v>
      </c>
      <c r="D600">
        <v>0</v>
      </c>
      <c r="E600" t="s">
        <v>62</v>
      </c>
      <c r="G600" t="s">
        <v>150</v>
      </c>
      <c r="H600" t="s">
        <v>111</v>
      </c>
      <c r="I600">
        <v>2.4259938545289531E-2</v>
      </c>
      <c r="J600" t="s">
        <v>62</v>
      </c>
      <c r="L600" t="s">
        <v>170</v>
      </c>
      <c r="M600" t="s">
        <v>111</v>
      </c>
      <c r="N600">
        <v>2.2432787005437407E-2</v>
      </c>
      <c r="O600" t="s">
        <v>62</v>
      </c>
    </row>
    <row r="601" spans="2:15" x14ac:dyDescent="0.25">
      <c r="B601" t="s">
        <v>130</v>
      </c>
      <c r="C601" t="s">
        <v>112</v>
      </c>
      <c r="D601">
        <v>0</v>
      </c>
      <c r="E601" t="s">
        <v>62</v>
      </c>
      <c r="G601" t="s">
        <v>150</v>
      </c>
      <c r="H601" t="s">
        <v>112</v>
      </c>
      <c r="I601">
        <v>5.2565495146963979E-2</v>
      </c>
      <c r="J601" t="s">
        <v>62</v>
      </c>
      <c r="L601" t="s">
        <v>170</v>
      </c>
      <c r="M601" t="s">
        <v>112</v>
      </c>
      <c r="N601">
        <v>4.8673166944933323E-2</v>
      </c>
      <c r="O601" t="s">
        <v>62</v>
      </c>
    </row>
    <row r="602" spans="2:15" x14ac:dyDescent="0.25">
      <c r="B602" t="s">
        <v>130</v>
      </c>
      <c r="C602" t="s">
        <v>113</v>
      </c>
      <c r="D602">
        <v>0</v>
      </c>
      <c r="E602" t="s">
        <v>62</v>
      </c>
      <c r="G602" t="s">
        <v>150</v>
      </c>
      <c r="H602" t="s">
        <v>113</v>
      </c>
      <c r="I602">
        <v>2.128765349796969E-2</v>
      </c>
      <c r="J602" t="s">
        <v>62</v>
      </c>
      <c r="L602" t="s">
        <v>170</v>
      </c>
      <c r="M602" t="s">
        <v>113</v>
      </c>
      <c r="N602">
        <v>1.9661756081326785E-2</v>
      </c>
      <c r="O602" t="s">
        <v>62</v>
      </c>
    </row>
    <row r="603" spans="2:15" x14ac:dyDescent="0.25">
      <c r="B603" t="s">
        <v>130</v>
      </c>
      <c r="C603" t="s">
        <v>114</v>
      </c>
      <c r="D603">
        <v>5.5547846304124444E-4</v>
      </c>
      <c r="E603" t="s">
        <v>62</v>
      </c>
      <c r="G603" t="s">
        <v>150</v>
      </c>
      <c r="H603" t="s">
        <v>114</v>
      </c>
      <c r="I603">
        <v>2.1442888476951263E-2</v>
      </c>
      <c r="J603" t="s">
        <v>62</v>
      </c>
      <c r="L603" t="s">
        <v>170</v>
      </c>
      <c r="M603" t="s">
        <v>114</v>
      </c>
      <c r="N603">
        <v>1.9977249561040675E-2</v>
      </c>
      <c r="O603" t="s">
        <v>62</v>
      </c>
    </row>
    <row r="604" spans="2:15" x14ac:dyDescent="0.25">
      <c r="B604" t="s">
        <v>130</v>
      </c>
      <c r="C604" t="s">
        <v>115</v>
      </c>
      <c r="D604">
        <v>7.454579404820103E-3</v>
      </c>
      <c r="E604" t="s">
        <v>62</v>
      </c>
      <c r="G604" t="s">
        <v>150</v>
      </c>
      <c r="H604" t="s">
        <v>115</v>
      </c>
      <c r="I604">
        <v>2.1407227064066902E-2</v>
      </c>
      <c r="J604" t="s">
        <v>62</v>
      </c>
      <c r="L604" t="s">
        <v>170</v>
      </c>
      <c r="M604" t="s">
        <v>115</v>
      </c>
      <c r="N604">
        <v>1.9559566043827067E-2</v>
      </c>
      <c r="O604" t="s">
        <v>62</v>
      </c>
    </row>
    <row r="605" spans="2:15" x14ac:dyDescent="0.25">
      <c r="B605" t="s">
        <v>130</v>
      </c>
      <c r="C605" t="s">
        <v>116</v>
      </c>
      <c r="D605">
        <v>1.0354013162282591E-2</v>
      </c>
      <c r="E605" t="s">
        <v>62</v>
      </c>
      <c r="G605" t="s">
        <v>150</v>
      </c>
      <c r="H605" t="s">
        <v>116</v>
      </c>
      <c r="I605">
        <v>2.0773817620536532E-2</v>
      </c>
      <c r="J605" t="s">
        <v>62</v>
      </c>
      <c r="L605" t="s">
        <v>170</v>
      </c>
      <c r="M605" t="s">
        <v>116</v>
      </c>
      <c r="N605">
        <v>1.9763037740806094E-2</v>
      </c>
      <c r="O605" t="s">
        <v>62</v>
      </c>
    </row>
    <row r="606" spans="2:15" x14ac:dyDescent="0.25">
      <c r="B606" t="s">
        <v>130</v>
      </c>
      <c r="C606" t="s">
        <v>117</v>
      </c>
      <c r="D606">
        <v>9.3868162096432794E-3</v>
      </c>
      <c r="E606" t="s">
        <v>62</v>
      </c>
      <c r="G606" t="s">
        <v>150</v>
      </c>
      <c r="H606" t="s">
        <v>117</v>
      </c>
      <c r="I606">
        <v>2.0473068375387756E-2</v>
      </c>
      <c r="J606" t="s">
        <v>62</v>
      </c>
      <c r="L606" t="s">
        <v>170</v>
      </c>
      <c r="M606" t="s">
        <v>117</v>
      </c>
      <c r="N606">
        <v>1.9506470109189929E-2</v>
      </c>
      <c r="O606" t="s">
        <v>62</v>
      </c>
    </row>
    <row r="607" spans="2:15" x14ac:dyDescent="0.25">
      <c r="B607" t="s">
        <v>130</v>
      </c>
      <c r="C607" t="s">
        <v>118</v>
      </c>
      <c r="D607">
        <v>2.4621283564059408E-3</v>
      </c>
      <c r="E607" t="s">
        <v>62</v>
      </c>
      <c r="G607" t="s">
        <v>150</v>
      </c>
      <c r="H607" t="s">
        <v>118</v>
      </c>
      <c r="I607">
        <v>2.0517494087218667E-2</v>
      </c>
      <c r="J607" t="s">
        <v>62</v>
      </c>
      <c r="L607" t="s">
        <v>170</v>
      </c>
      <c r="M607" t="s">
        <v>118</v>
      </c>
      <c r="N607">
        <v>1.9352992067069572E-2</v>
      </c>
      <c r="O607" t="s">
        <v>62</v>
      </c>
    </row>
    <row r="608" spans="2:15" x14ac:dyDescent="0.25">
      <c r="B608" t="s">
        <v>130</v>
      </c>
      <c r="C608" t="s">
        <v>119</v>
      </c>
      <c r="D608">
        <v>0</v>
      </c>
      <c r="E608" t="s">
        <v>62</v>
      </c>
      <c r="G608" t="s">
        <v>150</v>
      </c>
      <c r="H608" t="s">
        <v>119</v>
      </c>
      <c r="I608">
        <v>2.1115232361104606E-2</v>
      </c>
      <c r="J608" t="s">
        <v>62</v>
      </c>
      <c r="L608" t="s">
        <v>170</v>
      </c>
      <c r="M608" t="s">
        <v>119</v>
      </c>
      <c r="N608">
        <v>1.9593833654118747E-2</v>
      </c>
      <c r="O608" t="s">
        <v>62</v>
      </c>
    </row>
    <row r="609" spans="2:15" x14ac:dyDescent="0.25">
      <c r="B609" t="s">
        <v>130</v>
      </c>
      <c r="C609" t="s">
        <v>120</v>
      </c>
      <c r="D609">
        <v>0</v>
      </c>
      <c r="E609" t="s">
        <v>62</v>
      </c>
      <c r="G609" t="s">
        <v>150</v>
      </c>
      <c r="H609" t="s">
        <v>120</v>
      </c>
      <c r="I609">
        <v>2.1612792871106606E-2</v>
      </c>
      <c r="J609" t="s">
        <v>62</v>
      </c>
      <c r="L609" t="s">
        <v>170</v>
      </c>
      <c r="M609" t="s">
        <v>120</v>
      </c>
      <c r="N609">
        <v>1.9946915953030445E-2</v>
      </c>
      <c r="O609" t="s">
        <v>62</v>
      </c>
    </row>
    <row r="610" spans="2:15" x14ac:dyDescent="0.25">
      <c r="B610" t="s">
        <v>130</v>
      </c>
      <c r="C610" t="s">
        <v>121</v>
      </c>
      <c r="D610">
        <v>0</v>
      </c>
      <c r="E610" t="s">
        <v>62</v>
      </c>
      <c r="G610" t="s">
        <v>150</v>
      </c>
      <c r="H610" t="s">
        <v>121</v>
      </c>
      <c r="I610">
        <v>3.2498138883661723E-2</v>
      </c>
      <c r="J610" t="s">
        <v>62</v>
      </c>
      <c r="L610" t="s">
        <v>170</v>
      </c>
      <c r="M610" t="s">
        <v>121</v>
      </c>
      <c r="N610">
        <v>2.9984213329345626E-2</v>
      </c>
      <c r="O610" t="s">
        <v>62</v>
      </c>
    </row>
    <row r="611" spans="2:15" x14ac:dyDescent="0.25">
      <c r="B611" t="s">
        <v>131</v>
      </c>
      <c r="C611" t="s">
        <v>61</v>
      </c>
      <c r="D611">
        <v>0</v>
      </c>
      <c r="E611" t="s">
        <v>62</v>
      </c>
      <c r="G611" t="s">
        <v>151</v>
      </c>
      <c r="H611" t="s">
        <v>61</v>
      </c>
      <c r="I611">
        <v>3.4932113513783482E-2</v>
      </c>
      <c r="J611" t="s">
        <v>62</v>
      </c>
    </row>
    <row r="612" spans="2:15" x14ac:dyDescent="0.25">
      <c r="B612" t="s">
        <v>131</v>
      </c>
      <c r="C612" t="s">
        <v>63</v>
      </c>
      <c r="D612">
        <v>0</v>
      </c>
      <c r="E612" t="s">
        <v>62</v>
      </c>
      <c r="G612" t="s">
        <v>151</v>
      </c>
      <c r="H612" t="s">
        <v>63</v>
      </c>
      <c r="I612">
        <v>1.4215761792880728E-2</v>
      </c>
      <c r="J612" t="s">
        <v>62</v>
      </c>
    </row>
    <row r="613" spans="2:15" x14ac:dyDescent="0.25">
      <c r="B613" t="s">
        <v>131</v>
      </c>
      <c r="C613" t="s">
        <v>64</v>
      </c>
      <c r="D613">
        <v>1.1076724473383459E-3</v>
      </c>
      <c r="E613" t="s">
        <v>62</v>
      </c>
      <c r="G613" t="s">
        <v>151</v>
      </c>
      <c r="H613" t="s">
        <v>64</v>
      </c>
      <c r="I613">
        <v>1.4347491748604635E-2</v>
      </c>
      <c r="J613" t="s">
        <v>62</v>
      </c>
    </row>
    <row r="614" spans="2:15" x14ac:dyDescent="0.25">
      <c r="B614" t="s">
        <v>131</v>
      </c>
      <c r="C614" t="s">
        <v>65</v>
      </c>
      <c r="D614">
        <v>1.0772896035438384E-2</v>
      </c>
      <c r="E614" t="s">
        <v>62</v>
      </c>
      <c r="G614" t="s">
        <v>151</v>
      </c>
      <c r="H614" t="s">
        <v>65</v>
      </c>
      <c r="I614">
        <v>1.5410481280694898E-2</v>
      </c>
      <c r="J614" t="s">
        <v>62</v>
      </c>
    </row>
    <row r="615" spans="2:15" x14ac:dyDescent="0.25">
      <c r="B615" t="s">
        <v>131</v>
      </c>
      <c r="C615" t="s">
        <v>66</v>
      </c>
      <c r="D615">
        <v>1.7415524991377895E-2</v>
      </c>
      <c r="E615" t="s">
        <v>62</v>
      </c>
      <c r="G615" t="s">
        <v>151</v>
      </c>
      <c r="H615" t="s">
        <v>66</v>
      </c>
      <c r="I615">
        <v>1.4427079856969964E-2</v>
      </c>
      <c r="J615" t="s">
        <v>62</v>
      </c>
    </row>
    <row r="616" spans="2:15" x14ac:dyDescent="0.25">
      <c r="B616" t="s">
        <v>131</v>
      </c>
      <c r="C616" t="s">
        <v>67</v>
      </c>
      <c r="D616">
        <v>1.6790987044735552E-2</v>
      </c>
      <c r="E616" t="s">
        <v>62</v>
      </c>
      <c r="G616" t="s">
        <v>151</v>
      </c>
      <c r="H616" t="s">
        <v>67</v>
      </c>
      <c r="I616">
        <v>1.5626251097681402E-2</v>
      </c>
      <c r="J616" t="s">
        <v>62</v>
      </c>
    </row>
    <row r="617" spans="2:15" x14ac:dyDescent="0.25">
      <c r="B617" t="s">
        <v>131</v>
      </c>
      <c r="C617" t="s">
        <v>68</v>
      </c>
      <c r="D617">
        <v>8.3000471689945211E-3</v>
      </c>
      <c r="E617" t="s">
        <v>62</v>
      </c>
      <c r="G617" t="s">
        <v>151</v>
      </c>
      <c r="H617" t="s">
        <v>68</v>
      </c>
      <c r="I617">
        <v>1.5484704431926549E-2</v>
      </c>
      <c r="J617" t="s">
        <v>62</v>
      </c>
    </row>
    <row r="618" spans="2:15" x14ac:dyDescent="0.25">
      <c r="B618" t="s">
        <v>131</v>
      </c>
      <c r="C618" t="s">
        <v>69</v>
      </c>
      <c r="D618">
        <v>7.2006327193004105E-4</v>
      </c>
      <c r="E618" t="s">
        <v>62</v>
      </c>
      <c r="G618" t="s">
        <v>151</v>
      </c>
      <c r="H618" t="s">
        <v>69</v>
      </c>
      <c r="I618">
        <v>1.5940608419218818E-2</v>
      </c>
      <c r="J618" t="s">
        <v>62</v>
      </c>
    </row>
    <row r="619" spans="2:15" x14ac:dyDescent="0.25">
      <c r="B619" t="s">
        <v>131</v>
      </c>
      <c r="C619" t="s">
        <v>70</v>
      </c>
      <c r="D619">
        <v>0</v>
      </c>
      <c r="E619" t="s">
        <v>62</v>
      </c>
      <c r="G619" t="s">
        <v>151</v>
      </c>
      <c r="H619" t="s">
        <v>70</v>
      </c>
      <c r="I619">
        <v>1.5894796295616319E-2</v>
      </c>
      <c r="J619" t="s">
        <v>62</v>
      </c>
    </row>
    <row r="620" spans="2:15" x14ac:dyDescent="0.25">
      <c r="B620" t="s">
        <v>131</v>
      </c>
      <c r="C620" t="s">
        <v>71</v>
      </c>
      <c r="D620">
        <v>0</v>
      </c>
      <c r="E620" t="s">
        <v>62</v>
      </c>
      <c r="G620" t="s">
        <v>151</v>
      </c>
      <c r="H620" t="s">
        <v>71</v>
      </c>
      <c r="I620">
        <v>2.1820464044376587E-2</v>
      </c>
      <c r="J620" t="s">
        <v>62</v>
      </c>
    </row>
    <row r="621" spans="2:15" x14ac:dyDescent="0.25">
      <c r="B621" t="s">
        <v>131</v>
      </c>
      <c r="C621" t="s">
        <v>72</v>
      </c>
      <c r="D621">
        <v>0</v>
      </c>
      <c r="E621" t="s">
        <v>62</v>
      </c>
      <c r="G621" t="s">
        <v>151</v>
      </c>
      <c r="H621" t="s">
        <v>72</v>
      </c>
      <c r="I621">
        <v>3.2069067580867749E-2</v>
      </c>
      <c r="J621" t="s">
        <v>62</v>
      </c>
    </row>
    <row r="622" spans="2:15" x14ac:dyDescent="0.25">
      <c r="B622" t="s">
        <v>131</v>
      </c>
      <c r="C622" t="s">
        <v>73</v>
      </c>
      <c r="D622">
        <v>5.5968537127614841E-3</v>
      </c>
      <c r="E622" t="s">
        <v>62</v>
      </c>
      <c r="G622" t="s">
        <v>151</v>
      </c>
      <c r="H622" t="s">
        <v>73</v>
      </c>
      <c r="I622">
        <v>1.2622586499539146E-2</v>
      </c>
      <c r="J622" t="s">
        <v>62</v>
      </c>
    </row>
    <row r="623" spans="2:15" x14ac:dyDescent="0.25">
      <c r="B623" t="s">
        <v>131</v>
      </c>
      <c r="C623" t="s">
        <v>74</v>
      </c>
      <c r="D623">
        <v>2.9339082392893727E-2</v>
      </c>
      <c r="E623" t="s">
        <v>62</v>
      </c>
      <c r="G623" t="s">
        <v>151</v>
      </c>
      <c r="H623" t="s">
        <v>74</v>
      </c>
      <c r="I623">
        <v>1.1822201614856542E-2</v>
      </c>
      <c r="J623" t="s">
        <v>62</v>
      </c>
    </row>
    <row r="624" spans="2:15" x14ac:dyDescent="0.25">
      <c r="B624" t="s">
        <v>131</v>
      </c>
      <c r="C624" t="s">
        <v>75</v>
      </c>
      <c r="D624">
        <v>4.6844677966617905E-2</v>
      </c>
      <c r="E624" t="s">
        <v>62</v>
      </c>
      <c r="G624" t="s">
        <v>151</v>
      </c>
      <c r="H624" t="s">
        <v>75</v>
      </c>
      <c r="I624">
        <v>1.1761704117745733E-2</v>
      </c>
      <c r="J624" t="s">
        <v>62</v>
      </c>
    </row>
    <row r="625" spans="2:10" x14ac:dyDescent="0.25">
      <c r="B625" t="s">
        <v>131</v>
      </c>
      <c r="C625" t="s">
        <v>76</v>
      </c>
      <c r="D625">
        <v>4.6318798646093402E-2</v>
      </c>
      <c r="E625" t="s">
        <v>62</v>
      </c>
      <c r="G625" t="s">
        <v>151</v>
      </c>
      <c r="H625" t="s">
        <v>76</v>
      </c>
      <c r="I625">
        <v>1.0973524625923704E-2</v>
      </c>
      <c r="J625" t="s">
        <v>62</v>
      </c>
    </row>
    <row r="626" spans="2:10" x14ac:dyDescent="0.25">
      <c r="B626" t="s">
        <v>131</v>
      </c>
      <c r="C626" t="s">
        <v>77</v>
      </c>
      <c r="D626">
        <v>4.5300554520226501E-2</v>
      </c>
      <c r="E626" t="s">
        <v>62</v>
      </c>
      <c r="G626" t="s">
        <v>151</v>
      </c>
      <c r="H626" t="s">
        <v>77</v>
      </c>
      <c r="I626">
        <v>1.2059927139001378E-2</v>
      </c>
      <c r="J626" t="s">
        <v>62</v>
      </c>
    </row>
    <row r="627" spans="2:10" x14ac:dyDescent="0.25">
      <c r="B627" t="s">
        <v>131</v>
      </c>
      <c r="C627" t="s">
        <v>78</v>
      </c>
      <c r="D627">
        <v>3.5696149822773603E-2</v>
      </c>
      <c r="E627" t="s">
        <v>62</v>
      </c>
      <c r="G627" t="s">
        <v>151</v>
      </c>
      <c r="H627" t="s">
        <v>78</v>
      </c>
      <c r="I627">
        <v>1.2578958729351889E-2</v>
      </c>
      <c r="J627" t="s">
        <v>62</v>
      </c>
    </row>
    <row r="628" spans="2:10" x14ac:dyDescent="0.25">
      <c r="B628" t="s">
        <v>131</v>
      </c>
      <c r="C628" t="s">
        <v>79</v>
      </c>
      <c r="D628">
        <v>1.5565469804062093E-2</v>
      </c>
      <c r="E628" t="s">
        <v>62</v>
      </c>
      <c r="G628" t="s">
        <v>151</v>
      </c>
      <c r="H628" t="s">
        <v>79</v>
      </c>
      <c r="I628">
        <v>1.2137974651494613E-2</v>
      </c>
      <c r="J628" t="s">
        <v>62</v>
      </c>
    </row>
    <row r="629" spans="2:10" x14ac:dyDescent="0.25">
      <c r="B629" t="s">
        <v>131</v>
      </c>
      <c r="C629" t="s">
        <v>80</v>
      </c>
      <c r="D629">
        <v>5.1681335526888969E-4</v>
      </c>
      <c r="E629" t="s">
        <v>62</v>
      </c>
      <c r="G629" t="s">
        <v>151</v>
      </c>
      <c r="H629" t="s">
        <v>80</v>
      </c>
      <c r="I629">
        <v>1.4061260941714155E-2</v>
      </c>
      <c r="J629" t="s">
        <v>62</v>
      </c>
    </row>
    <row r="630" spans="2:10" x14ac:dyDescent="0.25">
      <c r="B630" t="s">
        <v>131</v>
      </c>
      <c r="C630" t="s">
        <v>81</v>
      </c>
      <c r="D630">
        <v>0</v>
      </c>
      <c r="E630" t="s">
        <v>62</v>
      </c>
      <c r="G630" t="s">
        <v>151</v>
      </c>
      <c r="H630" t="s">
        <v>81</v>
      </c>
      <c r="I630">
        <v>2.1392178499445285E-2</v>
      </c>
      <c r="J630" t="s">
        <v>62</v>
      </c>
    </row>
    <row r="631" spans="2:10" x14ac:dyDescent="0.25">
      <c r="B631" t="s">
        <v>131</v>
      </c>
      <c r="C631" t="s">
        <v>82</v>
      </c>
      <c r="D631">
        <v>1.6674556744117998E-3</v>
      </c>
      <c r="E631" t="s">
        <v>62</v>
      </c>
      <c r="G631" t="s">
        <v>151</v>
      </c>
      <c r="H631" t="s">
        <v>82</v>
      </c>
      <c r="I631">
        <v>3.2928554892514811E-2</v>
      </c>
      <c r="J631" t="s">
        <v>62</v>
      </c>
    </row>
    <row r="632" spans="2:10" x14ac:dyDescent="0.25">
      <c r="B632" t="s">
        <v>131</v>
      </c>
      <c r="C632" t="s">
        <v>83</v>
      </c>
      <c r="D632">
        <v>2.0985859810943149E-2</v>
      </c>
      <c r="E632" t="s">
        <v>62</v>
      </c>
      <c r="G632" t="s">
        <v>151</v>
      </c>
      <c r="H632" t="s">
        <v>83</v>
      </c>
      <c r="I632">
        <v>1.278298151076639E-2</v>
      </c>
      <c r="J632" t="s">
        <v>62</v>
      </c>
    </row>
    <row r="633" spans="2:10" x14ac:dyDescent="0.25">
      <c r="B633" t="s">
        <v>131</v>
      </c>
      <c r="C633" t="s">
        <v>84</v>
      </c>
      <c r="D633">
        <v>4.1374878624631017E-2</v>
      </c>
      <c r="E633" t="s">
        <v>62</v>
      </c>
      <c r="G633" t="s">
        <v>151</v>
      </c>
      <c r="H633" t="s">
        <v>84</v>
      </c>
      <c r="I633">
        <v>1.1532266726689057E-2</v>
      </c>
      <c r="J633" t="s">
        <v>62</v>
      </c>
    </row>
    <row r="634" spans="2:10" x14ac:dyDescent="0.25">
      <c r="B634" t="s">
        <v>131</v>
      </c>
      <c r="C634" t="s">
        <v>85</v>
      </c>
      <c r="D634">
        <v>5.1327304536678532E-2</v>
      </c>
      <c r="E634" t="s">
        <v>62</v>
      </c>
      <c r="G634" t="s">
        <v>151</v>
      </c>
      <c r="H634" t="s">
        <v>85</v>
      </c>
      <c r="I634">
        <v>1.2062661226487366E-2</v>
      </c>
      <c r="J634" t="s">
        <v>62</v>
      </c>
    </row>
    <row r="635" spans="2:10" x14ac:dyDescent="0.25">
      <c r="B635" t="s">
        <v>131</v>
      </c>
      <c r="C635" t="s">
        <v>86</v>
      </c>
      <c r="D635">
        <v>5.0658235438456094E-2</v>
      </c>
      <c r="E635" t="s">
        <v>62</v>
      </c>
      <c r="G635" t="s">
        <v>151</v>
      </c>
      <c r="H635" t="s">
        <v>86</v>
      </c>
      <c r="I635">
        <v>1.0068672309199641E-2</v>
      </c>
      <c r="J635" t="s">
        <v>62</v>
      </c>
    </row>
    <row r="636" spans="2:10" x14ac:dyDescent="0.25">
      <c r="B636" t="s">
        <v>131</v>
      </c>
      <c r="C636" t="s">
        <v>87</v>
      </c>
      <c r="D636">
        <v>4.8699043270822806E-2</v>
      </c>
      <c r="E636" t="s">
        <v>62</v>
      </c>
      <c r="G636" t="s">
        <v>151</v>
      </c>
      <c r="H636" t="s">
        <v>87</v>
      </c>
      <c r="I636">
        <v>1.2176776745228482E-2</v>
      </c>
      <c r="J636" t="s">
        <v>62</v>
      </c>
    </row>
    <row r="637" spans="2:10" x14ac:dyDescent="0.25">
      <c r="B637" t="s">
        <v>131</v>
      </c>
      <c r="C637" t="s">
        <v>88</v>
      </c>
      <c r="D637">
        <v>3.9331903801979796E-2</v>
      </c>
      <c r="E637" t="s">
        <v>62</v>
      </c>
      <c r="G637" t="s">
        <v>151</v>
      </c>
      <c r="H637" t="s">
        <v>88</v>
      </c>
      <c r="I637">
        <v>1.1717811245674529E-2</v>
      </c>
      <c r="J637" t="s">
        <v>62</v>
      </c>
    </row>
    <row r="638" spans="2:10" x14ac:dyDescent="0.25">
      <c r="B638" t="s">
        <v>131</v>
      </c>
      <c r="C638" t="s">
        <v>89</v>
      </c>
      <c r="D638">
        <v>2.3415800365309356E-2</v>
      </c>
      <c r="E638" t="s">
        <v>62</v>
      </c>
      <c r="G638" t="s">
        <v>151</v>
      </c>
      <c r="H638" t="s">
        <v>89</v>
      </c>
      <c r="I638">
        <v>1.1095522455071956E-2</v>
      </c>
      <c r="J638" t="s">
        <v>62</v>
      </c>
    </row>
    <row r="639" spans="2:10" x14ac:dyDescent="0.25">
      <c r="B639" t="s">
        <v>131</v>
      </c>
      <c r="C639" t="s">
        <v>90</v>
      </c>
      <c r="D639">
        <v>6.3475666183095865E-3</v>
      </c>
      <c r="E639" t="s">
        <v>62</v>
      </c>
      <c r="G639" t="s">
        <v>151</v>
      </c>
      <c r="H639" t="s">
        <v>90</v>
      </c>
      <c r="I639">
        <v>1.129555583377297E-2</v>
      </c>
      <c r="J639" t="s">
        <v>62</v>
      </c>
    </row>
    <row r="640" spans="2:10" x14ac:dyDescent="0.25">
      <c r="B640" t="s">
        <v>131</v>
      </c>
      <c r="C640" t="s">
        <v>91</v>
      </c>
      <c r="D640">
        <v>0</v>
      </c>
      <c r="E640" t="s">
        <v>62</v>
      </c>
      <c r="G640" t="s">
        <v>151</v>
      </c>
      <c r="H640" t="s">
        <v>91</v>
      </c>
      <c r="I640">
        <v>1.8222103491220078E-2</v>
      </c>
      <c r="J640" t="s">
        <v>62</v>
      </c>
    </row>
    <row r="641" spans="2:10" x14ac:dyDescent="0.25">
      <c r="B641" t="s">
        <v>131</v>
      </c>
      <c r="C641" t="s">
        <v>92</v>
      </c>
      <c r="D641">
        <v>6.1568036272946621E-4</v>
      </c>
      <c r="E641" t="s">
        <v>62</v>
      </c>
      <c r="G641" t="s">
        <v>151</v>
      </c>
      <c r="H641" t="s">
        <v>92</v>
      </c>
      <c r="I641">
        <v>1.8086340365576135E-2</v>
      </c>
      <c r="J641" t="s">
        <v>62</v>
      </c>
    </row>
    <row r="642" spans="2:10" x14ac:dyDescent="0.25">
      <c r="B642" t="s">
        <v>131</v>
      </c>
      <c r="C642" t="s">
        <v>93</v>
      </c>
      <c r="D642">
        <v>1.7043933475195411E-2</v>
      </c>
      <c r="E642" t="s">
        <v>62</v>
      </c>
      <c r="G642" t="s">
        <v>151</v>
      </c>
      <c r="H642" t="s">
        <v>93</v>
      </c>
      <c r="I642">
        <v>6.6257494573373271E-3</v>
      </c>
      <c r="J642" t="s">
        <v>62</v>
      </c>
    </row>
    <row r="643" spans="2:10" x14ac:dyDescent="0.25">
      <c r="B643" t="s">
        <v>131</v>
      </c>
      <c r="C643" t="s">
        <v>94</v>
      </c>
      <c r="D643">
        <v>3.7772361723315745E-2</v>
      </c>
      <c r="E643" t="s">
        <v>62</v>
      </c>
      <c r="G643" t="s">
        <v>151</v>
      </c>
      <c r="H643" t="s">
        <v>94</v>
      </c>
      <c r="I643">
        <v>5.3833177289700877E-3</v>
      </c>
      <c r="J643" t="s">
        <v>62</v>
      </c>
    </row>
    <row r="644" spans="2:10" x14ac:dyDescent="0.25">
      <c r="B644" t="s">
        <v>131</v>
      </c>
      <c r="C644" t="s">
        <v>95</v>
      </c>
      <c r="D644">
        <v>4.7621214251708482E-2</v>
      </c>
      <c r="E644" t="s">
        <v>62</v>
      </c>
      <c r="G644" t="s">
        <v>151</v>
      </c>
      <c r="H644" t="s">
        <v>95</v>
      </c>
      <c r="I644">
        <v>5.5548440411851722E-3</v>
      </c>
      <c r="J644" t="s">
        <v>62</v>
      </c>
    </row>
    <row r="645" spans="2:10" x14ac:dyDescent="0.25">
      <c r="B645" t="s">
        <v>131</v>
      </c>
      <c r="C645" t="s">
        <v>96</v>
      </c>
      <c r="D645">
        <v>4.7724748756038014E-2</v>
      </c>
      <c r="E645" t="s">
        <v>62</v>
      </c>
      <c r="G645" t="s">
        <v>151</v>
      </c>
      <c r="H645" t="s">
        <v>96</v>
      </c>
      <c r="I645">
        <v>4.4164705743012537E-3</v>
      </c>
      <c r="J645" t="s">
        <v>62</v>
      </c>
    </row>
    <row r="646" spans="2:10" x14ac:dyDescent="0.25">
      <c r="B646" t="s">
        <v>131</v>
      </c>
      <c r="C646" t="s">
        <v>97</v>
      </c>
      <c r="D646">
        <v>4.7345755289759206E-2</v>
      </c>
      <c r="E646" t="s">
        <v>62</v>
      </c>
      <c r="G646" t="s">
        <v>151</v>
      </c>
      <c r="H646" t="s">
        <v>97</v>
      </c>
      <c r="I646">
        <v>5.5598106530818578E-3</v>
      </c>
      <c r="J646" t="s">
        <v>62</v>
      </c>
    </row>
    <row r="647" spans="2:10" x14ac:dyDescent="0.25">
      <c r="B647" t="s">
        <v>131</v>
      </c>
      <c r="C647" t="s">
        <v>98</v>
      </c>
      <c r="D647">
        <v>4.2351328956825494E-2</v>
      </c>
      <c r="E647" t="s">
        <v>62</v>
      </c>
      <c r="G647" t="s">
        <v>151</v>
      </c>
      <c r="H647" t="s">
        <v>98</v>
      </c>
      <c r="I647">
        <v>5.9495002447143841E-3</v>
      </c>
      <c r="J647" t="s">
        <v>62</v>
      </c>
    </row>
    <row r="648" spans="2:10" x14ac:dyDescent="0.25">
      <c r="B648" t="s">
        <v>131</v>
      </c>
      <c r="C648" t="s">
        <v>99</v>
      </c>
      <c r="D648">
        <v>2.7920989499375194E-2</v>
      </c>
      <c r="E648" t="s">
        <v>62</v>
      </c>
      <c r="G648" t="s">
        <v>151</v>
      </c>
      <c r="H648" t="s">
        <v>99</v>
      </c>
      <c r="I648">
        <v>5.4225987703209622E-3</v>
      </c>
      <c r="J648" t="s">
        <v>62</v>
      </c>
    </row>
    <row r="649" spans="2:10" x14ac:dyDescent="0.25">
      <c r="B649" t="s">
        <v>131</v>
      </c>
      <c r="C649" t="s">
        <v>100</v>
      </c>
      <c r="D649">
        <v>6.8063471267396933E-3</v>
      </c>
      <c r="E649" t="s">
        <v>62</v>
      </c>
      <c r="G649" t="s">
        <v>151</v>
      </c>
      <c r="H649" t="s">
        <v>100</v>
      </c>
      <c r="I649">
        <v>6.5124468906951763E-3</v>
      </c>
      <c r="J649" t="s">
        <v>62</v>
      </c>
    </row>
    <row r="650" spans="2:10" x14ac:dyDescent="0.25">
      <c r="B650" t="s">
        <v>131</v>
      </c>
      <c r="C650" t="s">
        <v>101</v>
      </c>
      <c r="D650">
        <v>0</v>
      </c>
      <c r="E650" t="s">
        <v>62</v>
      </c>
      <c r="G650" t="s">
        <v>151</v>
      </c>
      <c r="H650" t="s">
        <v>101</v>
      </c>
      <c r="I650">
        <v>1.1038739095259755E-2</v>
      </c>
      <c r="J650" t="s">
        <v>62</v>
      </c>
    </row>
    <row r="651" spans="2:10" x14ac:dyDescent="0.25">
      <c r="B651" t="s">
        <v>131</v>
      </c>
      <c r="C651" t="s">
        <v>102</v>
      </c>
      <c r="D651">
        <v>0</v>
      </c>
      <c r="E651" t="s">
        <v>62</v>
      </c>
      <c r="G651" t="s">
        <v>151</v>
      </c>
      <c r="H651" t="s">
        <v>102</v>
      </c>
      <c r="I651">
        <v>3.9753547199344229E-2</v>
      </c>
      <c r="J651" t="s">
        <v>62</v>
      </c>
    </row>
    <row r="652" spans="2:10" x14ac:dyDescent="0.25">
      <c r="B652" t="s">
        <v>131</v>
      </c>
      <c r="C652" t="s">
        <v>103</v>
      </c>
      <c r="D652">
        <v>1.5638068904320602E-3</v>
      </c>
      <c r="E652" t="s">
        <v>62</v>
      </c>
      <c r="G652" t="s">
        <v>151</v>
      </c>
      <c r="H652" t="s">
        <v>103</v>
      </c>
      <c r="I652">
        <v>1.7242220098243551E-2</v>
      </c>
      <c r="J652" t="s">
        <v>62</v>
      </c>
    </row>
    <row r="653" spans="2:10" x14ac:dyDescent="0.25">
      <c r="B653" t="s">
        <v>131</v>
      </c>
      <c r="C653" t="s">
        <v>104</v>
      </c>
      <c r="D653">
        <v>1.629408168586673E-2</v>
      </c>
      <c r="E653" t="s">
        <v>62</v>
      </c>
      <c r="G653" t="s">
        <v>151</v>
      </c>
      <c r="H653" t="s">
        <v>104</v>
      </c>
      <c r="I653">
        <v>1.757273579807964E-2</v>
      </c>
      <c r="J653" t="s">
        <v>62</v>
      </c>
    </row>
    <row r="654" spans="2:10" x14ac:dyDescent="0.25">
      <c r="B654" t="s">
        <v>131</v>
      </c>
      <c r="C654" t="s">
        <v>105</v>
      </c>
      <c r="D654">
        <v>2.7093347705551558E-2</v>
      </c>
      <c r="E654" t="s">
        <v>62</v>
      </c>
      <c r="G654" t="s">
        <v>151</v>
      </c>
      <c r="H654" t="s">
        <v>105</v>
      </c>
      <c r="I654">
        <v>1.7204394835787569E-2</v>
      </c>
      <c r="J654" t="s">
        <v>62</v>
      </c>
    </row>
    <row r="655" spans="2:10" x14ac:dyDescent="0.25">
      <c r="B655" t="s">
        <v>131</v>
      </c>
      <c r="C655" t="s">
        <v>106</v>
      </c>
      <c r="D655">
        <v>2.811078645809028E-2</v>
      </c>
      <c r="E655" t="s">
        <v>62</v>
      </c>
      <c r="G655" t="s">
        <v>151</v>
      </c>
      <c r="H655" t="s">
        <v>106</v>
      </c>
      <c r="I655">
        <v>1.440447958445276E-2</v>
      </c>
      <c r="J655" t="s">
        <v>62</v>
      </c>
    </row>
    <row r="656" spans="2:10" x14ac:dyDescent="0.25">
      <c r="B656" t="s">
        <v>131</v>
      </c>
      <c r="C656" t="s">
        <v>107</v>
      </c>
      <c r="D656">
        <v>2.7897366331520689E-2</v>
      </c>
      <c r="E656" t="s">
        <v>62</v>
      </c>
      <c r="G656" t="s">
        <v>151</v>
      </c>
      <c r="H656" t="s">
        <v>107</v>
      </c>
      <c r="I656">
        <v>1.4467967214401412E-2</v>
      </c>
      <c r="J656" t="s">
        <v>62</v>
      </c>
    </row>
    <row r="657" spans="2:10" x14ac:dyDescent="0.25">
      <c r="B657" t="s">
        <v>131</v>
      </c>
      <c r="C657" t="s">
        <v>108</v>
      </c>
      <c r="D657">
        <v>2.0168816094370566E-2</v>
      </c>
      <c r="E657" t="s">
        <v>62</v>
      </c>
      <c r="G657" t="s">
        <v>151</v>
      </c>
      <c r="H657" t="s">
        <v>108</v>
      </c>
      <c r="I657">
        <v>1.4210055045431495E-2</v>
      </c>
      <c r="J657" t="s">
        <v>62</v>
      </c>
    </row>
    <row r="658" spans="2:10" x14ac:dyDescent="0.25">
      <c r="B658" t="s">
        <v>131</v>
      </c>
      <c r="C658" t="s">
        <v>109</v>
      </c>
      <c r="D658">
        <v>5.9640096418165731E-3</v>
      </c>
      <c r="E658" t="s">
        <v>62</v>
      </c>
      <c r="G658" t="s">
        <v>151</v>
      </c>
      <c r="H658" t="s">
        <v>109</v>
      </c>
      <c r="I658">
        <v>1.5003310089006469E-2</v>
      </c>
      <c r="J658" t="s">
        <v>62</v>
      </c>
    </row>
    <row r="659" spans="2:10" x14ac:dyDescent="0.25">
      <c r="B659" t="s">
        <v>131</v>
      </c>
      <c r="C659" t="s">
        <v>110</v>
      </c>
      <c r="D659">
        <v>0</v>
      </c>
      <c r="E659" t="s">
        <v>62</v>
      </c>
      <c r="G659" t="s">
        <v>151</v>
      </c>
      <c r="H659" t="s">
        <v>110</v>
      </c>
      <c r="I659">
        <v>1.6489073319340762E-2</v>
      </c>
      <c r="J659" t="s">
        <v>62</v>
      </c>
    </row>
    <row r="660" spans="2:10" x14ac:dyDescent="0.25">
      <c r="B660" t="s">
        <v>131</v>
      </c>
      <c r="C660" t="s">
        <v>111</v>
      </c>
      <c r="D660">
        <v>0</v>
      </c>
      <c r="E660" t="s">
        <v>62</v>
      </c>
      <c r="G660" t="s">
        <v>151</v>
      </c>
      <c r="H660" t="s">
        <v>111</v>
      </c>
      <c r="I660">
        <v>2.4914857410862218E-2</v>
      </c>
      <c r="J660" t="s">
        <v>62</v>
      </c>
    </row>
    <row r="661" spans="2:10" x14ac:dyDescent="0.25">
      <c r="B661" t="s">
        <v>131</v>
      </c>
      <c r="C661" t="s">
        <v>112</v>
      </c>
      <c r="D661">
        <v>0</v>
      </c>
      <c r="E661" t="s">
        <v>62</v>
      </c>
      <c r="G661" t="s">
        <v>151</v>
      </c>
      <c r="H661" t="s">
        <v>112</v>
      </c>
      <c r="I661">
        <v>5.2341043935602231E-2</v>
      </c>
      <c r="J661" t="s">
        <v>62</v>
      </c>
    </row>
    <row r="662" spans="2:10" x14ac:dyDescent="0.25">
      <c r="B662" t="s">
        <v>131</v>
      </c>
      <c r="C662" t="s">
        <v>113</v>
      </c>
      <c r="D662">
        <v>0</v>
      </c>
      <c r="E662" t="s">
        <v>62</v>
      </c>
      <c r="G662" t="s">
        <v>151</v>
      </c>
      <c r="H662" t="s">
        <v>113</v>
      </c>
      <c r="I662">
        <v>2.1713299279815235E-2</v>
      </c>
      <c r="J662" t="s">
        <v>62</v>
      </c>
    </row>
    <row r="663" spans="2:10" x14ac:dyDescent="0.25">
      <c r="B663" t="s">
        <v>131</v>
      </c>
      <c r="C663" t="s">
        <v>114</v>
      </c>
      <c r="D663">
        <v>8.9416477688015192E-4</v>
      </c>
      <c r="E663" t="s">
        <v>62</v>
      </c>
      <c r="G663" t="s">
        <v>151</v>
      </c>
      <c r="H663" t="s">
        <v>114</v>
      </c>
      <c r="I663">
        <v>2.2729438432405245E-2</v>
      </c>
      <c r="J663" t="s">
        <v>62</v>
      </c>
    </row>
    <row r="664" spans="2:10" x14ac:dyDescent="0.25">
      <c r="B664" t="s">
        <v>131</v>
      </c>
      <c r="C664" t="s">
        <v>115</v>
      </c>
      <c r="D664">
        <v>8.601060866101443E-3</v>
      </c>
      <c r="E664" t="s">
        <v>62</v>
      </c>
      <c r="G664" t="s">
        <v>151</v>
      </c>
      <c r="H664" t="s">
        <v>115</v>
      </c>
      <c r="I664">
        <v>2.2998639580211734E-2</v>
      </c>
      <c r="J664" t="s">
        <v>62</v>
      </c>
    </row>
    <row r="665" spans="2:10" x14ac:dyDescent="0.25">
      <c r="B665" t="s">
        <v>131</v>
      </c>
      <c r="C665" t="s">
        <v>116</v>
      </c>
      <c r="D665">
        <v>1.1232466080693547E-2</v>
      </c>
      <c r="E665" t="s">
        <v>62</v>
      </c>
      <c r="G665" t="s">
        <v>151</v>
      </c>
      <c r="H665" t="s">
        <v>116</v>
      </c>
      <c r="I665">
        <v>2.0344534698571563E-2</v>
      </c>
      <c r="J665" t="s">
        <v>62</v>
      </c>
    </row>
    <row r="666" spans="2:10" x14ac:dyDescent="0.25">
      <c r="B666" t="s">
        <v>131</v>
      </c>
      <c r="C666" t="s">
        <v>117</v>
      </c>
      <c r="D666">
        <v>1.0457909098052515E-2</v>
      </c>
      <c r="E666" t="s">
        <v>62</v>
      </c>
      <c r="G666" t="s">
        <v>151</v>
      </c>
      <c r="H666" t="s">
        <v>117</v>
      </c>
      <c r="I666">
        <v>2.0564630165358953E-2</v>
      </c>
      <c r="J666" t="s">
        <v>62</v>
      </c>
    </row>
    <row r="667" spans="2:10" x14ac:dyDescent="0.25">
      <c r="B667" t="s">
        <v>131</v>
      </c>
      <c r="C667" t="s">
        <v>118</v>
      </c>
      <c r="D667">
        <v>2.4261856068805306E-3</v>
      </c>
      <c r="E667" t="s">
        <v>62</v>
      </c>
      <c r="G667" t="s">
        <v>151</v>
      </c>
      <c r="H667" t="s">
        <v>118</v>
      </c>
      <c r="I667">
        <v>2.0941799190456044E-2</v>
      </c>
      <c r="J667" t="s">
        <v>62</v>
      </c>
    </row>
    <row r="668" spans="2:10" x14ac:dyDescent="0.25">
      <c r="B668" t="s">
        <v>131</v>
      </c>
      <c r="C668" t="s">
        <v>119</v>
      </c>
      <c r="D668">
        <v>0</v>
      </c>
      <c r="E668" t="s">
        <v>62</v>
      </c>
      <c r="G668" t="s">
        <v>151</v>
      </c>
      <c r="H668" t="s">
        <v>119</v>
      </c>
      <c r="I668">
        <v>2.2194363986491737E-2</v>
      </c>
      <c r="J668" t="s">
        <v>62</v>
      </c>
    </row>
    <row r="669" spans="2:10" x14ac:dyDescent="0.25">
      <c r="B669" t="s">
        <v>131</v>
      </c>
      <c r="C669" t="s">
        <v>120</v>
      </c>
      <c r="D669">
        <v>0</v>
      </c>
      <c r="E669" t="s">
        <v>62</v>
      </c>
      <c r="G669" t="s">
        <v>151</v>
      </c>
      <c r="H669" t="s">
        <v>120</v>
      </c>
      <c r="I669">
        <v>2.3271906221087536E-2</v>
      </c>
      <c r="J669" t="s">
        <v>62</v>
      </c>
    </row>
    <row r="670" spans="2:10" x14ac:dyDescent="0.25">
      <c r="B670" t="s">
        <v>131</v>
      </c>
      <c r="C670" t="s">
        <v>121</v>
      </c>
      <c r="D670">
        <v>0</v>
      </c>
      <c r="E670" t="s">
        <v>62</v>
      </c>
      <c r="G670" t="s">
        <v>151</v>
      </c>
      <c r="H670" t="s">
        <v>121</v>
      </c>
      <c r="I670">
        <v>3.3625842775287483E-2</v>
      </c>
      <c r="J670" t="s">
        <v>62</v>
      </c>
    </row>
    <row r="671" spans="2:10" x14ac:dyDescent="0.25">
      <c r="B671" t="s">
        <v>132</v>
      </c>
      <c r="C671" t="s">
        <v>61</v>
      </c>
      <c r="D671">
        <v>0</v>
      </c>
      <c r="E671" t="s">
        <v>62</v>
      </c>
      <c r="G671" t="s">
        <v>152</v>
      </c>
      <c r="H671" t="s">
        <v>61</v>
      </c>
      <c r="I671">
        <v>3.4613067877172755E-2</v>
      </c>
      <c r="J671" t="s">
        <v>62</v>
      </c>
    </row>
    <row r="672" spans="2:10" x14ac:dyDescent="0.25">
      <c r="B672" t="s">
        <v>132</v>
      </c>
      <c r="C672" t="s">
        <v>63</v>
      </c>
      <c r="D672">
        <v>0</v>
      </c>
      <c r="E672" t="s">
        <v>62</v>
      </c>
      <c r="G672" t="s">
        <v>152</v>
      </c>
      <c r="H672" t="s">
        <v>63</v>
      </c>
      <c r="I672">
        <v>1.4214243401183387E-2</v>
      </c>
      <c r="J672" t="s">
        <v>62</v>
      </c>
    </row>
    <row r="673" spans="2:10" x14ac:dyDescent="0.25">
      <c r="B673" t="s">
        <v>132</v>
      </c>
      <c r="C673" t="s">
        <v>64</v>
      </c>
      <c r="D673">
        <v>2.6853856359408575E-3</v>
      </c>
      <c r="E673" t="s">
        <v>62</v>
      </c>
      <c r="G673" t="s">
        <v>152</v>
      </c>
      <c r="H673" t="s">
        <v>64</v>
      </c>
      <c r="I673">
        <v>1.4545351556040783E-2</v>
      </c>
      <c r="J673" t="s">
        <v>62</v>
      </c>
    </row>
    <row r="674" spans="2:10" x14ac:dyDescent="0.25">
      <c r="B674" t="s">
        <v>132</v>
      </c>
      <c r="C674" t="s">
        <v>65</v>
      </c>
      <c r="D674">
        <v>1.4788799593096083E-2</v>
      </c>
      <c r="E674" t="s">
        <v>62</v>
      </c>
      <c r="G674" t="s">
        <v>152</v>
      </c>
      <c r="H674" t="s">
        <v>65</v>
      </c>
      <c r="I674">
        <v>1.4827485474449989E-2</v>
      </c>
      <c r="J674" t="s">
        <v>62</v>
      </c>
    </row>
    <row r="675" spans="2:10" x14ac:dyDescent="0.25">
      <c r="B675" t="s">
        <v>132</v>
      </c>
      <c r="C675" t="s">
        <v>66</v>
      </c>
      <c r="D675">
        <v>2.0262715786830247E-2</v>
      </c>
      <c r="E675" t="s">
        <v>62</v>
      </c>
      <c r="G675" t="s">
        <v>152</v>
      </c>
      <c r="H675" t="s">
        <v>66</v>
      </c>
      <c r="I675">
        <v>1.4287672302917618E-2</v>
      </c>
      <c r="J675" t="s">
        <v>62</v>
      </c>
    </row>
    <row r="676" spans="2:10" x14ac:dyDescent="0.25">
      <c r="B676" t="s">
        <v>132</v>
      </c>
      <c r="C676" t="s">
        <v>67</v>
      </c>
      <c r="D676">
        <v>2.0099475319679119E-2</v>
      </c>
      <c r="E676" t="s">
        <v>62</v>
      </c>
      <c r="G676" t="s">
        <v>152</v>
      </c>
      <c r="H676" t="s">
        <v>67</v>
      </c>
      <c r="I676">
        <v>1.4273379419735577E-2</v>
      </c>
      <c r="J676" t="s">
        <v>62</v>
      </c>
    </row>
    <row r="677" spans="2:10" x14ac:dyDescent="0.25">
      <c r="B677" t="s">
        <v>132</v>
      </c>
      <c r="C677" t="s">
        <v>68</v>
      </c>
      <c r="D677">
        <v>1.0792313885767809E-2</v>
      </c>
      <c r="E677" t="s">
        <v>62</v>
      </c>
      <c r="G677" t="s">
        <v>152</v>
      </c>
      <c r="H677" t="s">
        <v>68</v>
      </c>
      <c r="I677">
        <v>1.3839972720888527E-2</v>
      </c>
      <c r="J677" t="s">
        <v>62</v>
      </c>
    </row>
    <row r="678" spans="2:10" x14ac:dyDescent="0.25">
      <c r="B678" t="s">
        <v>132</v>
      </c>
      <c r="C678" t="s">
        <v>69</v>
      </c>
      <c r="D678">
        <v>9.8027215118461639E-4</v>
      </c>
      <c r="E678" t="s">
        <v>62</v>
      </c>
      <c r="G678" t="s">
        <v>152</v>
      </c>
      <c r="H678" t="s">
        <v>69</v>
      </c>
      <c r="I678">
        <v>1.4812716734116991E-2</v>
      </c>
      <c r="J678" t="s">
        <v>62</v>
      </c>
    </row>
    <row r="679" spans="2:10" x14ac:dyDescent="0.25">
      <c r="B679" t="s">
        <v>132</v>
      </c>
      <c r="C679" t="s">
        <v>70</v>
      </c>
      <c r="D679">
        <v>0</v>
      </c>
      <c r="E679" t="s">
        <v>62</v>
      </c>
      <c r="G679" t="s">
        <v>152</v>
      </c>
      <c r="H679" t="s">
        <v>70</v>
      </c>
      <c r="I679">
        <v>1.5475763720183172E-2</v>
      </c>
      <c r="J679" t="s">
        <v>62</v>
      </c>
    </row>
    <row r="680" spans="2:10" x14ac:dyDescent="0.25">
      <c r="B680" t="s">
        <v>132</v>
      </c>
      <c r="C680" t="s">
        <v>71</v>
      </c>
      <c r="D680">
        <v>0</v>
      </c>
      <c r="E680" t="s">
        <v>62</v>
      </c>
      <c r="G680" t="s">
        <v>152</v>
      </c>
      <c r="H680" t="s">
        <v>71</v>
      </c>
      <c r="I680">
        <v>2.1834115495821618E-2</v>
      </c>
      <c r="J680" t="s">
        <v>62</v>
      </c>
    </row>
    <row r="681" spans="2:10" x14ac:dyDescent="0.25">
      <c r="B681" t="s">
        <v>132</v>
      </c>
      <c r="C681" t="s">
        <v>72</v>
      </c>
      <c r="D681">
        <v>0</v>
      </c>
      <c r="E681" t="s">
        <v>62</v>
      </c>
      <c r="G681" t="s">
        <v>152</v>
      </c>
      <c r="H681" t="s">
        <v>72</v>
      </c>
      <c r="I681">
        <v>3.8847928846673749E-2</v>
      </c>
      <c r="J681" t="s">
        <v>62</v>
      </c>
    </row>
    <row r="682" spans="2:10" x14ac:dyDescent="0.25">
      <c r="B682" t="s">
        <v>132</v>
      </c>
      <c r="C682" t="s">
        <v>73</v>
      </c>
      <c r="D682">
        <v>4.6764745006703315E-3</v>
      </c>
      <c r="E682" t="s">
        <v>62</v>
      </c>
      <c r="G682" t="s">
        <v>152</v>
      </c>
      <c r="H682" t="s">
        <v>73</v>
      </c>
      <c r="I682">
        <v>1.4594664074312621E-2</v>
      </c>
      <c r="J682" t="s">
        <v>62</v>
      </c>
    </row>
    <row r="683" spans="2:10" x14ac:dyDescent="0.25">
      <c r="B683" t="s">
        <v>132</v>
      </c>
      <c r="C683" t="s">
        <v>74</v>
      </c>
      <c r="D683">
        <v>2.625764682619474E-2</v>
      </c>
      <c r="E683" t="s">
        <v>62</v>
      </c>
      <c r="G683" t="s">
        <v>152</v>
      </c>
      <c r="H683" t="s">
        <v>74</v>
      </c>
      <c r="I683">
        <v>1.2552066242874397E-2</v>
      </c>
      <c r="J683" t="s">
        <v>62</v>
      </c>
    </row>
    <row r="684" spans="2:10" x14ac:dyDescent="0.25">
      <c r="B684" t="s">
        <v>132</v>
      </c>
      <c r="C684" t="s">
        <v>75</v>
      </c>
      <c r="D684">
        <v>4.0431336446024729E-2</v>
      </c>
      <c r="E684" t="s">
        <v>62</v>
      </c>
      <c r="G684" t="s">
        <v>152</v>
      </c>
      <c r="H684" t="s">
        <v>75</v>
      </c>
      <c r="I684">
        <v>1.0754954059522474E-2</v>
      </c>
      <c r="J684" t="s">
        <v>62</v>
      </c>
    </row>
    <row r="685" spans="2:10" x14ac:dyDescent="0.25">
      <c r="B685" t="s">
        <v>132</v>
      </c>
      <c r="C685" t="s">
        <v>76</v>
      </c>
      <c r="D685">
        <v>4.0913933984048051E-2</v>
      </c>
      <c r="E685" t="s">
        <v>62</v>
      </c>
      <c r="G685" t="s">
        <v>152</v>
      </c>
      <c r="H685" t="s">
        <v>76</v>
      </c>
      <c r="I685">
        <v>9.8858277626538617E-3</v>
      </c>
      <c r="J685" t="s">
        <v>62</v>
      </c>
    </row>
    <row r="686" spans="2:10" x14ac:dyDescent="0.25">
      <c r="B686" t="s">
        <v>132</v>
      </c>
      <c r="C686" t="s">
        <v>77</v>
      </c>
      <c r="D686">
        <v>3.9364751921855443E-2</v>
      </c>
      <c r="E686" t="s">
        <v>62</v>
      </c>
      <c r="G686" t="s">
        <v>152</v>
      </c>
      <c r="H686" t="s">
        <v>77</v>
      </c>
      <c r="I686">
        <v>1.1476811996590503E-2</v>
      </c>
      <c r="J686" t="s">
        <v>62</v>
      </c>
    </row>
    <row r="687" spans="2:10" x14ac:dyDescent="0.25">
      <c r="B687" t="s">
        <v>132</v>
      </c>
      <c r="C687" t="s">
        <v>78</v>
      </c>
      <c r="D687">
        <v>3.0131473117229524E-2</v>
      </c>
      <c r="E687" t="s">
        <v>62</v>
      </c>
      <c r="G687" t="s">
        <v>152</v>
      </c>
      <c r="H687" t="s">
        <v>78</v>
      </c>
      <c r="I687">
        <v>1.1840372221413452E-2</v>
      </c>
      <c r="J687" t="s">
        <v>62</v>
      </c>
    </row>
    <row r="688" spans="2:10" x14ac:dyDescent="0.25">
      <c r="B688" t="s">
        <v>132</v>
      </c>
      <c r="C688" t="s">
        <v>79</v>
      </c>
      <c r="D688">
        <v>1.3599476550049039E-2</v>
      </c>
      <c r="E688" t="s">
        <v>62</v>
      </c>
      <c r="G688" t="s">
        <v>152</v>
      </c>
      <c r="H688" t="s">
        <v>79</v>
      </c>
      <c r="I688">
        <v>1.2029504788357025E-2</v>
      </c>
      <c r="J688" t="s">
        <v>62</v>
      </c>
    </row>
    <row r="689" spans="2:10" x14ac:dyDescent="0.25">
      <c r="B689" t="s">
        <v>132</v>
      </c>
      <c r="C689" t="s">
        <v>80</v>
      </c>
      <c r="D689">
        <v>1.5436537221104912E-4</v>
      </c>
      <c r="E689" t="s">
        <v>62</v>
      </c>
      <c r="G689" t="s">
        <v>152</v>
      </c>
      <c r="H689" t="s">
        <v>80</v>
      </c>
      <c r="I689">
        <v>1.4733279318939514E-2</v>
      </c>
      <c r="J689" t="s">
        <v>62</v>
      </c>
    </row>
    <row r="690" spans="2:10" x14ac:dyDescent="0.25">
      <c r="B690" t="s">
        <v>132</v>
      </c>
      <c r="C690" t="s">
        <v>81</v>
      </c>
      <c r="D690">
        <v>0</v>
      </c>
      <c r="E690" t="s">
        <v>62</v>
      </c>
      <c r="G690" t="s">
        <v>152</v>
      </c>
      <c r="H690" t="s">
        <v>81</v>
      </c>
      <c r="I690">
        <v>2.421006281779509E-2</v>
      </c>
      <c r="J690" t="s">
        <v>62</v>
      </c>
    </row>
    <row r="691" spans="2:10" x14ac:dyDescent="0.25">
      <c r="B691" t="s">
        <v>132</v>
      </c>
      <c r="C691" t="s">
        <v>82</v>
      </c>
      <c r="D691">
        <v>0</v>
      </c>
      <c r="E691" t="s">
        <v>62</v>
      </c>
      <c r="G691" t="s">
        <v>152</v>
      </c>
      <c r="H691" t="s">
        <v>82</v>
      </c>
      <c r="I691">
        <v>3.2431286130737674E-2</v>
      </c>
      <c r="J691" t="s">
        <v>62</v>
      </c>
    </row>
    <row r="692" spans="2:10" x14ac:dyDescent="0.25">
      <c r="B692" t="s">
        <v>132</v>
      </c>
      <c r="C692" t="s">
        <v>83</v>
      </c>
      <c r="D692">
        <v>1.4800081916688766E-2</v>
      </c>
      <c r="E692" t="s">
        <v>62</v>
      </c>
      <c r="G692" t="s">
        <v>152</v>
      </c>
      <c r="H692" t="s">
        <v>83</v>
      </c>
      <c r="I692">
        <v>1.1648518735652482E-2</v>
      </c>
      <c r="J692" t="s">
        <v>62</v>
      </c>
    </row>
    <row r="693" spans="2:10" x14ac:dyDescent="0.25">
      <c r="B693" t="s">
        <v>132</v>
      </c>
      <c r="C693" t="s">
        <v>84</v>
      </c>
      <c r="D693">
        <v>3.3708304427837558E-2</v>
      </c>
      <c r="E693" t="s">
        <v>62</v>
      </c>
      <c r="G693" t="s">
        <v>152</v>
      </c>
      <c r="H693" t="s">
        <v>84</v>
      </c>
      <c r="I693">
        <v>9.8952065115597895E-3</v>
      </c>
      <c r="J693" t="s">
        <v>62</v>
      </c>
    </row>
    <row r="694" spans="2:10" x14ac:dyDescent="0.25">
      <c r="B694" t="s">
        <v>132</v>
      </c>
      <c r="C694" t="s">
        <v>85</v>
      </c>
      <c r="D694">
        <v>4.4524252184791828E-2</v>
      </c>
      <c r="E694" t="s">
        <v>62</v>
      </c>
      <c r="G694" t="s">
        <v>152</v>
      </c>
      <c r="H694" t="s">
        <v>85</v>
      </c>
      <c r="I694">
        <v>1.0585204719657E-2</v>
      </c>
      <c r="J694" t="s">
        <v>62</v>
      </c>
    </row>
    <row r="695" spans="2:10" x14ac:dyDescent="0.25">
      <c r="B695" t="s">
        <v>132</v>
      </c>
      <c r="C695" t="s">
        <v>86</v>
      </c>
      <c r="D695">
        <v>4.5591281602033913E-2</v>
      </c>
      <c r="E695" t="s">
        <v>62</v>
      </c>
      <c r="G695" t="s">
        <v>152</v>
      </c>
      <c r="H695" t="s">
        <v>86</v>
      </c>
      <c r="I695">
        <v>1.0715963371143843E-2</v>
      </c>
      <c r="J695" t="s">
        <v>62</v>
      </c>
    </row>
    <row r="696" spans="2:10" x14ac:dyDescent="0.25">
      <c r="B696" t="s">
        <v>132</v>
      </c>
      <c r="C696" t="s">
        <v>87</v>
      </c>
      <c r="D696">
        <v>4.4617657870049517E-2</v>
      </c>
      <c r="E696" t="s">
        <v>62</v>
      </c>
      <c r="G696" t="s">
        <v>152</v>
      </c>
      <c r="H696" t="s">
        <v>87</v>
      </c>
      <c r="I696">
        <v>1.2349154812324702E-2</v>
      </c>
      <c r="J696" t="s">
        <v>62</v>
      </c>
    </row>
    <row r="697" spans="2:10" x14ac:dyDescent="0.25">
      <c r="B697" t="s">
        <v>132</v>
      </c>
      <c r="C697" t="s">
        <v>88</v>
      </c>
      <c r="D697">
        <v>3.6575136662128895E-2</v>
      </c>
      <c r="E697" t="s">
        <v>62</v>
      </c>
      <c r="G697" t="s">
        <v>152</v>
      </c>
      <c r="H697" t="s">
        <v>88</v>
      </c>
      <c r="I697">
        <v>1.1964953601204595E-2</v>
      </c>
      <c r="J697" t="s">
        <v>62</v>
      </c>
    </row>
    <row r="698" spans="2:10" x14ac:dyDescent="0.25">
      <c r="B698" t="s">
        <v>132</v>
      </c>
      <c r="C698" t="s">
        <v>89</v>
      </c>
      <c r="D698">
        <v>2.0842707021441025E-2</v>
      </c>
      <c r="E698" t="s">
        <v>62</v>
      </c>
      <c r="G698" t="s">
        <v>152</v>
      </c>
      <c r="H698" t="s">
        <v>89</v>
      </c>
      <c r="I698">
        <v>1.1150409013002823E-2</v>
      </c>
      <c r="J698" t="s">
        <v>62</v>
      </c>
    </row>
    <row r="699" spans="2:10" x14ac:dyDescent="0.25">
      <c r="B699" t="s">
        <v>132</v>
      </c>
      <c r="C699" t="s">
        <v>90</v>
      </c>
      <c r="D699">
        <v>3.7576420331070608E-3</v>
      </c>
      <c r="E699" t="s">
        <v>62</v>
      </c>
      <c r="G699" t="s">
        <v>152</v>
      </c>
      <c r="H699" t="s">
        <v>90</v>
      </c>
      <c r="I699">
        <v>1.1624110103137341E-2</v>
      </c>
      <c r="J699" t="s">
        <v>62</v>
      </c>
    </row>
    <row r="700" spans="2:10" x14ac:dyDescent="0.25">
      <c r="B700" t="s">
        <v>132</v>
      </c>
      <c r="C700" t="s">
        <v>91</v>
      </c>
      <c r="D700">
        <v>0</v>
      </c>
      <c r="E700" t="s">
        <v>62</v>
      </c>
      <c r="G700" t="s">
        <v>152</v>
      </c>
      <c r="H700" t="s">
        <v>91</v>
      </c>
      <c r="I700">
        <v>2.0256784758675928E-2</v>
      </c>
      <c r="J700" t="s">
        <v>62</v>
      </c>
    </row>
    <row r="701" spans="2:10" x14ac:dyDescent="0.25">
      <c r="B701" t="s">
        <v>132</v>
      </c>
      <c r="C701" t="s">
        <v>92</v>
      </c>
      <c r="D701">
        <v>0</v>
      </c>
      <c r="E701" t="s">
        <v>62</v>
      </c>
      <c r="G701" t="s">
        <v>152</v>
      </c>
      <c r="H701" t="s">
        <v>92</v>
      </c>
      <c r="I701">
        <v>2.1196142217837666E-2</v>
      </c>
      <c r="J701" t="s">
        <v>62</v>
      </c>
    </row>
    <row r="702" spans="2:10" x14ac:dyDescent="0.25">
      <c r="B702" t="s">
        <v>132</v>
      </c>
      <c r="C702" t="s">
        <v>93</v>
      </c>
      <c r="D702">
        <v>1.6449995801142685E-2</v>
      </c>
      <c r="E702" t="s">
        <v>62</v>
      </c>
      <c r="G702" t="s">
        <v>152</v>
      </c>
      <c r="H702" t="s">
        <v>93</v>
      </c>
      <c r="I702">
        <v>8.054210038500733E-3</v>
      </c>
      <c r="J702" t="s">
        <v>62</v>
      </c>
    </row>
    <row r="703" spans="2:10" x14ac:dyDescent="0.25">
      <c r="B703" t="s">
        <v>132</v>
      </c>
      <c r="C703" t="s">
        <v>94</v>
      </c>
      <c r="D703">
        <v>4.050259594883597E-2</v>
      </c>
      <c r="E703" t="s">
        <v>62</v>
      </c>
      <c r="G703" t="s">
        <v>152</v>
      </c>
      <c r="H703" t="s">
        <v>94</v>
      </c>
      <c r="I703">
        <v>6.0736604066495108E-3</v>
      </c>
      <c r="J703" t="s">
        <v>62</v>
      </c>
    </row>
    <row r="704" spans="2:10" x14ac:dyDescent="0.25">
      <c r="B704" t="s">
        <v>132</v>
      </c>
      <c r="C704" t="s">
        <v>95</v>
      </c>
      <c r="D704">
        <v>5.0626059345498207E-2</v>
      </c>
      <c r="E704" t="s">
        <v>62</v>
      </c>
      <c r="G704" t="s">
        <v>152</v>
      </c>
      <c r="H704" t="s">
        <v>95</v>
      </c>
      <c r="I704">
        <v>6.5919615684745829E-3</v>
      </c>
      <c r="J704" t="s">
        <v>62</v>
      </c>
    </row>
    <row r="705" spans="2:10" x14ac:dyDescent="0.25">
      <c r="B705" t="s">
        <v>132</v>
      </c>
      <c r="C705" t="s">
        <v>96</v>
      </c>
      <c r="D705">
        <v>4.9797611464408115E-2</v>
      </c>
      <c r="E705" t="s">
        <v>62</v>
      </c>
      <c r="G705" t="s">
        <v>152</v>
      </c>
      <c r="H705" t="s">
        <v>96</v>
      </c>
      <c r="I705">
        <v>5.962572992272706E-3</v>
      </c>
      <c r="J705" t="s">
        <v>62</v>
      </c>
    </row>
    <row r="706" spans="2:10" x14ac:dyDescent="0.25">
      <c r="B706" t="s">
        <v>132</v>
      </c>
      <c r="C706" t="s">
        <v>97</v>
      </c>
      <c r="D706">
        <v>4.6478397941280496E-2</v>
      </c>
      <c r="E706" t="s">
        <v>62</v>
      </c>
      <c r="G706" t="s">
        <v>152</v>
      </c>
      <c r="H706" t="s">
        <v>97</v>
      </c>
      <c r="I706">
        <v>7.2887659277051159E-3</v>
      </c>
      <c r="J706" t="s">
        <v>62</v>
      </c>
    </row>
    <row r="707" spans="2:10" x14ac:dyDescent="0.25">
      <c r="B707" t="s">
        <v>132</v>
      </c>
      <c r="C707" t="s">
        <v>98</v>
      </c>
      <c r="D707">
        <v>3.909717446059284E-2</v>
      </c>
      <c r="E707" t="s">
        <v>62</v>
      </c>
      <c r="G707" t="s">
        <v>152</v>
      </c>
      <c r="H707" t="s">
        <v>98</v>
      </c>
      <c r="I707">
        <v>7.5407689080305221E-3</v>
      </c>
      <c r="J707" t="s">
        <v>62</v>
      </c>
    </row>
    <row r="708" spans="2:10" x14ac:dyDescent="0.25">
      <c r="B708" t="s">
        <v>132</v>
      </c>
      <c r="C708" t="s">
        <v>99</v>
      </c>
      <c r="D708">
        <v>2.5702418070615345E-2</v>
      </c>
      <c r="E708" t="s">
        <v>62</v>
      </c>
      <c r="G708" t="s">
        <v>152</v>
      </c>
      <c r="H708" t="s">
        <v>99</v>
      </c>
      <c r="I708">
        <v>6.4904958410467025E-3</v>
      </c>
      <c r="J708" t="s">
        <v>62</v>
      </c>
    </row>
    <row r="709" spans="2:10" x14ac:dyDescent="0.25">
      <c r="B709" t="s">
        <v>132</v>
      </c>
      <c r="C709" t="s">
        <v>100</v>
      </c>
      <c r="D709">
        <v>5.0525968568297698E-3</v>
      </c>
      <c r="E709" t="s">
        <v>62</v>
      </c>
      <c r="G709" t="s">
        <v>152</v>
      </c>
      <c r="H709" t="s">
        <v>100</v>
      </c>
      <c r="I709">
        <v>7.2249399444875902E-3</v>
      </c>
      <c r="J709" t="s">
        <v>62</v>
      </c>
    </row>
    <row r="710" spans="2:10" x14ac:dyDescent="0.25">
      <c r="B710" t="s">
        <v>132</v>
      </c>
      <c r="C710" t="s">
        <v>101</v>
      </c>
      <c r="D710">
        <v>0</v>
      </c>
      <c r="E710" t="s">
        <v>62</v>
      </c>
      <c r="G710" t="s">
        <v>152</v>
      </c>
      <c r="H710" t="s">
        <v>101</v>
      </c>
      <c r="I710">
        <v>1.3385505549453796E-2</v>
      </c>
      <c r="J710" t="s">
        <v>62</v>
      </c>
    </row>
    <row r="711" spans="2:10" x14ac:dyDescent="0.25">
      <c r="B711" t="s">
        <v>132</v>
      </c>
      <c r="C711" t="s">
        <v>102</v>
      </c>
      <c r="D711">
        <v>0</v>
      </c>
      <c r="E711" t="s">
        <v>62</v>
      </c>
      <c r="G711" t="s">
        <v>152</v>
      </c>
      <c r="H711" t="s">
        <v>102</v>
      </c>
      <c r="I711">
        <v>4.1460376947919819E-2</v>
      </c>
      <c r="J711" t="s">
        <v>62</v>
      </c>
    </row>
    <row r="712" spans="2:10" x14ac:dyDescent="0.25">
      <c r="B712" t="s">
        <v>132</v>
      </c>
      <c r="C712" t="s">
        <v>103</v>
      </c>
      <c r="D712">
        <v>1.7798050215854591E-3</v>
      </c>
      <c r="E712" t="s">
        <v>62</v>
      </c>
      <c r="G712" t="s">
        <v>152</v>
      </c>
      <c r="H712" t="s">
        <v>103</v>
      </c>
      <c r="I712">
        <v>1.6113924902944242E-2</v>
      </c>
      <c r="J712" t="s">
        <v>62</v>
      </c>
    </row>
    <row r="713" spans="2:10" x14ac:dyDescent="0.25">
      <c r="B713" t="s">
        <v>132</v>
      </c>
      <c r="C713" t="s">
        <v>104</v>
      </c>
      <c r="D713">
        <v>2.0350987347165828E-2</v>
      </c>
      <c r="E713" t="s">
        <v>62</v>
      </c>
      <c r="G713" t="s">
        <v>152</v>
      </c>
      <c r="H713" t="s">
        <v>104</v>
      </c>
      <c r="I713">
        <v>1.5281485273259419E-2</v>
      </c>
      <c r="J713" t="s">
        <v>62</v>
      </c>
    </row>
    <row r="714" spans="2:10" x14ac:dyDescent="0.25">
      <c r="B714" t="s">
        <v>132</v>
      </c>
      <c r="C714" t="s">
        <v>105</v>
      </c>
      <c r="D714">
        <v>3.412419197324925E-2</v>
      </c>
      <c r="E714" t="s">
        <v>62</v>
      </c>
      <c r="G714" t="s">
        <v>152</v>
      </c>
      <c r="H714" t="s">
        <v>105</v>
      </c>
      <c r="I714">
        <v>1.4148056749512493E-2</v>
      </c>
      <c r="J714" t="s">
        <v>62</v>
      </c>
    </row>
    <row r="715" spans="2:10" x14ac:dyDescent="0.25">
      <c r="B715" t="s">
        <v>132</v>
      </c>
      <c r="C715" t="s">
        <v>106</v>
      </c>
      <c r="D715">
        <v>3.3278992487960089E-2</v>
      </c>
      <c r="E715" t="s">
        <v>62</v>
      </c>
      <c r="G715" t="s">
        <v>152</v>
      </c>
      <c r="H715" t="s">
        <v>106</v>
      </c>
      <c r="I715">
        <v>1.2911679884262247E-2</v>
      </c>
      <c r="J715" t="s">
        <v>62</v>
      </c>
    </row>
    <row r="716" spans="2:10" x14ac:dyDescent="0.25">
      <c r="B716" t="s">
        <v>132</v>
      </c>
      <c r="C716" t="s">
        <v>107</v>
      </c>
      <c r="D716">
        <v>3.3915886640284582E-2</v>
      </c>
      <c r="E716" t="s">
        <v>62</v>
      </c>
      <c r="G716" t="s">
        <v>152</v>
      </c>
      <c r="H716" t="s">
        <v>107</v>
      </c>
      <c r="I716">
        <v>1.4045295180452748E-2</v>
      </c>
      <c r="J716" t="s">
        <v>62</v>
      </c>
    </row>
    <row r="717" spans="2:10" x14ac:dyDescent="0.25">
      <c r="B717" t="s">
        <v>132</v>
      </c>
      <c r="C717" t="s">
        <v>108</v>
      </c>
      <c r="D717">
        <v>2.3473893242652106E-2</v>
      </c>
      <c r="E717" t="s">
        <v>62</v>
      </c>
      <c r="G717" t="s">
        <v>152</v>
      </c>
      <c r="H717" t="s">
        <v>108</v>
      </c>
      <c r="I717">
        <v>1.43734317680715E-2</v>
      </c>
      <c r="J717" t="s">
        <v>62</v>
      </c>
    </row>
    <row r="718" spans="2:10" x14ac:dyDescent="0.25">
      <c r="B718" t="s">
        <v>132</v>
      </c>
      <c r="C718" t="s">
        <v>109</v>
      </c>
      <c r="D718">
        <v>6.5593891532138206E-3</v>
      </c>
      <c r="E718" t="s">
        <v>62</v>
      </c>
      <c r="G718" t="s">
        <v>152</v>
      </c>
      <c r="H718" t="s">
        <v>109</v>
      </c>
      <c r="I718">
        <v>1.5334023439268618E-2</v>
      </c>
      <c r="J718" t="s">
        <v>62</v>
      </c>
    </row>
    <row r="719" spans="2:10" x14ac:dyDescent="0.25">
      <c r="B719" t="s">
        <v>132</v>
      </c>
      <c r="C719" t="s">
        <v>110</v>
      </c>
      <c r="D719">
        <v>0</v>
      </c>
      <c r="E719" t="s">
        <v>62</v>
      </c>
      <c r="G719" t="s">
        <v>152</v>
      </c>
      <c r="H719" t="s">
        <v>110</v>
      </c>
      <c r="I719">
        <v>1.7233104315157774E-2</v>
      </c>
      <c r="J719" t="s">
        <v>62</v>
      </c>
    </row>
    <row r="720" spans="2:10" x14ac:dyDescent="0.25">
      <c r="B720" t="s">
        <v>132</v>
      </c>
      <c r="C720" t="s">
        <v>111</v>
      </c>
      <c r="D720">
        <v>0</v>
      </c>
      <c r="E720" t="s">
        <v>62</v>
      </c>
      <c r="G720" t="s">
        <v>152</v>
      </c>
      <c r="H720" t="s">
        <v>111</v>
      </c>
      <c r="I720">
        <v>2.6256056926551807E-2</v>
      </c>
      <c r="J720" t="s">
        <v>62</v>
      </c>
    </row>
    <row r="721" spans="2:10" x14ac:dyDescent="0.25">
      <c r="B721" t="s">
        <v>132</v>
      </c>
      <c r="C721" t="s">
        <v>112</v>
      </c>
      <c r="D721">
        <v>0</v>
      </c>
      <c r="E721" t="s">
        <v>62</v>
      </c>
      <c r="G721" t="s">
        <v>152</v>
      </c>
      <c r="H721" t="s">
        <v>112</v>
      </c>
      <c r="I721">
        <v>4.9326792271093267E-2</v>
      </c>
      <c r="J721" t="s">
        <v>62</v>
      </c>
    </row>
    <row r="722" spans="2:10" x14ac:dyDescent="0.25">
      <c r="B722" t="s">
        <v>132</v>
      </c>
      <c r="C722" t="s">
        <v>113</v>
      </c>
      <c r="D722">
        <v>0</v>
      </c>
      <c r="E722" t="s">
        <v>62</v>
      </c>
      <c r="G722" t="s">
        <v>152</v>
      </c>
      <c r="H722" t="s">
        <v>113</v>
      </c>
      <c r="I722">
        <v>2.0257405790426022E-2</v>
      </c>
      <c r="J722" t="s">
        <v>62</v>
      </c>
    </row>
    <row r="723" spans="2:10" x14ac:dyDescent="0.25">
      <c r="B723" t="s">
        <v>132</v>
      </c>
      <c r="C723" t="s">
        <v>114</v>
      </c>
      <c r="D723">
        <v>2.5762394917871498E-3</v>
      </c>
      <c r="E723" t="s">
        <v>62</v>
      </c>
      <c r="G723" t="s">
        <v>152</v>
      </c>
      <c r="H723" t="s">
        <v>114</v>
      </c>
      <c r="I723">
        <v>2.1242602334881799E-2</v>
      </c>
      <c r="J723" t="s">
        <v>62</v>
      </c>
    </row>
    <row r="724" spans="2:10" x14ac:dyDescent="0.25">
      <c r="B724" t="s">
        <v>132</v>
      </c>
      <c r="C724" t="s">
        <v>115</v>
      </c>
      <c r="D724">
        <v>1.5827966649909694E-2</v>
      </c>
      <c r="E724" t="s">
        <v>62</v>
      </c>
      <c r="G724" t="s">
        <v>152</v>
      </c>
      <c r="H724" t="s">
        <v>115</v>
      </c>
      <c r="I724">
        <v>2.1576183696072036E-2</v>
      </c>
      <c r="J724" t="s">
        <v>62</v>
      </c>
    </row>
    <row r="725" spans="2:10" x14ac:dyDescent="0.25">
      <c r="B725" t="s">
        <v>132</v>
      </c>
      <c r="C725" t="s">
        <v>116</v>
      </c>
      <c r="D725">
        <v>1.8660146499170846E-2</v>
      </c>
      <c r="E725" t="s">
        <v>62</v>
      </c>
      <c r="G725" t="s">
        <v>152</v>
      </c>
      <c r="H725" t="s">
        <v>116</v>
      </c>
      <c r="I725">
        <v>1.9818644905738501E-2</v>
      </c>
      <c r="J725" t="s">
        <v>62</v>
      </c>
    </row>
    <row r="726" spans="2:10" x14ac:dyDescent="0.25">
      <c r="B726" t="s">
        <v>132</v>
      </c>
      <c r="C726" t="s">
        <v>117</v>
      </c>
      <c r="D726">
        <v>1.9526132572922374E-2</v>
      </c>
      <c r="E726" t="s">
        <v>62</v>
      </c>
      <c r="G726" t="s">
        <v>152</v>
      </c>
      <c r="H726" t="s">
        <v>117</v>
      </c>
      <c r="I726">
        <v>1.9829063086099479E-2</v>
      </c>
      <c r="J726" t="s">
        <v>62</v>
      </c>
    </row>
    <row r="727" spans="2:10" x14ac:dyDescent="0.25">
      <c r="B727" t="s">
        <v>132</v>
      </c>
      <c r="C727" t="s">
        <v>118</v>
      </c>
      <c r="D727">
        <v>6.6640342220364484E-3</v>
      </c>
      <c r="E727" t="s">
        <v>62</v>
      </c>
      <c r="G727" t="s">
        <v>152</v>
      </c>
      <c r="H727" t="s">
        <v>118</v>
      </c>
      <c r="I727">
        <v>2.0663017731995477E-2</v>
      </c>
      <c r="J727" t="s">
        <v>62</v>
      </c>
    </row>
    <row r="728" spans="2:10" x14ac:dyDescent="0.25">
      <c r="B728" t="s">
        <v>132</v>
      </c>
      <c r="C728" t="s">
        <v>119</v>
      </c>
      <c r="D728">
        <v>0</v>
      </c>
      <c r="E728" t="s">
        <v>62</v>
      </c>
      <c r="G728" t="s">
        <v>152</v>
      </c>
      <c r="H728" t="s">
        <v>119</v>
      </c>
      <c r="I728">
        <v>2.1674455217345741E-2</v>
      </c>
      <c r="J728" t="s">
        <v>62</v>
      </c>
    </row>
    <row r="729" spans="2:10" x14ac:dyDescent="0.25">
      <c r="B729" t="s">
        <v>132</v>
      </c>
      <c r="C729" t="s">
        <v>120</v>
      </c>
      <c r="D729">
        <v>0</v>
      </c>
      <c r="E729" t="s">
        <v>62</v>
      </c>
      <c r="G729" t="s">
        <v>152</v>
      </c>
      <c r="H729" t="s">
        <v>120</v>
      </c>
      <c r="I729">
        <v>2.155869741943672E-2</v>
      </c>
      <c r="J729" t="s">
        <v>62</v>
      </c>
    </row>
    <row r="730" spans="2:10" x14ac:dyDescent="0.25">
      <c r="B730" t="s">
        <v>132</v>
      </c>
      <c r="C730" t="s">
        <v>121</v>
      </c>
      <c r="D730">
        <v>0</v>
      </c>
      <c r="E730" t="s">
        <v>62</v>
      </c>
      <c r="G730" t="s">
        <v>152</v>
      </c>
      <c r="H730" t="s">
        <v>121</v>
      </c>
      <c r="I730">
        <v>3.0815846176311508E-2</v>
      </c>
      <c r="J730" t="s">
        <v>62</v>
      </c>
    </row>
    <row r="731" spans="2:10" x14ac:dyDescent="0.25">
      <c r="B731" t="s">
        <v>133</v>
      </c>
      <c r="C731" t="s">
        <v>61</v>
      </c>
      <c r="D731">
        <v>0</v>
      </c>
      <c r="E731" t="s">
        <v>62</v>
      </c>
      <c r="G731" t="s">
        <v>153</v>
      </c>
      <c r="H731" t="s">
        <v>61</v>
      </c>
      <c r="I731">
        <v>3.4821063831830763E-2</v>
      </c>
      <c r="J731" t="s">
        <v>62</v>
      </c>
    </row>
    <row r="732" spans="2:10" x14ac:dyDescent="0.25">
      <c r="B732" t="s">
        <v>133</v>
      </c>
      <c r="C732" t="s">
        <v>63</v>
      </c>
      <c r="D732">
        <v>0</v>
      </c>
      <c r="E732" t="s">
        <v>62</v>
      </c>
      <c r="G732" t="s">
        <v>153</v>
      </c>
      <c r="H732" t="s">
        <v>63</v>
      </c>
      <c r="I732">
        <v>1.4143541420486848E-2</v>
      </c>
      <c r="J732" t="s">
        <v>62</v>
      </c>
    </row>
    <row r="733" spans="2:10" x14ac:dyDescent="0.25">
      <c r="B733" t="s">
        <v>133</v>
      </c>
      <c r="C733" t="s">
        <v>64</v>
      </c>
      <c r="D733">
        <v>2.399058321385861E-3</v>
      </c>
      <c r="E733" t="s">
        <v>62</v>
      </c>
      <c r="G733" t="s">
        <v>153</v>
      </c>
      <c r="H733" t="s">
        <v>64</v>
      </c>
      <c r="I733">
        <v>1.4425834306437678E-2</v>
      </c>
      <c r="J733" t="s">
        <v>62</v>
      </c>
    </row>
    <row r="734" spans="2:10" x14ac:dyDescent="0.25">
      <c r="B734" t="s">
        <v>133</v>
      </c>
      <c r="C734" t="s">
        <v>65</v>
      </c>
      <c r="D734">
        <v>1.3353550668752524E-2</v>
      </c>
      <c r="E734" t="s">
        <v>62</v>
      </c>
      <c r="G734" t="s">
        <v>153</v>
      </c>
      <c r="H734" t="s">
        <v>65</v>
      </c>
      <c r="I734">
        <v>1.4388227209049302E-2</v>
      </c>
      <c r="J734" t="s">
        <v>62</v>
      </c>
    </row>
    <row r="735" spans="2:10" x14ac:dyDescent="0.25">
      <c r="B735" t="s">
        <v>133</v>
      </c>
      <c r="C735" t="s">
        <v>66</v>
      </c>
      <c r="D735">
        <v>1.8269490056458507E-2</v>
      </c>
      <c r="E735" t="s">
        <v>62</v>
      </c>
      <c r="G735" t="s">
        <v>153</v>
      </c>
      <c r="H735" t="s">
        <v>66</v>
      </c>
      <c r="I735">
        <v>1.3803771439877028E-2</v>
      </c>
      <c r="J735" t="s">
        <v>62</v>
      </c>
    </row>
    <row r="736" spans="2:10" x14ac:dyDescent="0.25">
      <c r="B736" t="s">
        <v>133</v>
      </c>
      <c r="C736" t="s">
        <v>67</v>
      </c>
      <c r="D736">
        <v>1.7796256418060184E-2</v>
      </c>
      <c r="E736" t="s">
        <v>62</v>
      </c>
      <c r="G736" t="s">
        <v>153</v>
      </c>
      <c r="H736" t="s">
        <v>67</v>
      </c>
      <c r="I736">
        <v>1.421119489917161E-2</v>
      </c>
      <c r="J736" t="s">
        <v>62</v>
      </c>
    </row>
    <row r="737" spans="2:10" x14ac:dyDescent="0.25">
      <c r="B737" t="s">
        <v>133</v>
      </c>
      <c r="C737" t="s">
        <v>68</v>
      </c>
      <c r="D737">
        <v>8.3966945648790738E-3</v>
      </c>
      <c r="E737" t="s">
        <v>62</v>
      </c>
      <c r="G737" t="s">
        <v>153</v>
      </c>
      <c r="H737" t="s">
        <v>68</v>
      </c>
      <c r="I737">
        <v>1.4473551737470416E-2</v>
      </c>
      <c r="J737" t="s">
        <v>62</v>
      </c>
    </row>
    <row r="738" spans="2:10" x14ac:dyDescent="0.25">
      <c r="B738" t="s">
        <v>133</v>
      </c>
      <c r="C738" t="s">
        <v>69</v>
      </c>
      <c r="D738">
        <v>5.8613068503061364E-4</v>
      </c>
      <c r="E738" t="s">
        <v>62</v>
      </c>
      <c r="G738" t="s">
        <v>153</v>
      </c>
      <c r="H738" t="s">
        <v>69</v>
      </c>
      <c r="I738">
        <v>1.4783355083897866E-2</v>
      </c>
      <c r="J738" t="s">
        <v>62</v>
      </c>
    </row>
    <row r="739" spans="2:10" x14ac:dyDescent="0.25">
      <c r="B739" t="s">
        <v>133</v>
      </c>
      <c r="C739" t="s">
        <v>70</v>
      </c>
      <c r="D739">
        <v>0</v>
      </c>
      <c r="E739" t="s">
        <v>62</v>
      </c>
      <c r="G739" t="s">
        <v>153</v>
      </c>
      <c r="H739" t="s">
        <v>70</v>
      </c>
      <c r="I739">
        <v>1.5246317831798766E-2</v>
      </c>
      <c r="J739" t="s">
        <v>62</v>
      </c>
    </row>
    <row r="740" spans="2:10" x14ac:dyDescent="0.25">
      <c r="B740" t="s">
        <v>133</v>
      </c>
      <c r="C740" t="s">
        <v>71</v>
      </c>
      <c r="D740">
        <v>0</v>
      </c>
      <c r="E740" t="s">
        <v>62</v>
      </c>
      <c r="G740" t="s">
        <v>153</v>
      </c>
      <c r="H740" t="s">
        <v>71</v>
      </c>
      <c r="I740">
        <v>2.1679660650524079E-2</v>
      </c>
      <c r="J740" t="s">
        <v>62</v>
      </c>
    </row>
    <row r="741" spans="2:10" x14ac:dyDescent="0.25">
      <c r="B741" t="s">
        <v>133</v>
      </c>
      <c r="C741" t="s">
        <v>72</v>
      </c>
      <c r="D741">
        <v>0</v>
      </c>
      <c r="E741" t="s">
        <v>62</v>
      </c>
      <c r="G741" t="s">
        <v>153</v>
      </c>
      <c r="H741" t="s">
        <v>72</v>
      </c>
      <c r="I741">
        <v>4.0028092968361011E-2</v>
      </c>
      <c r="J741" t="s">
        <v>62</v>
      </c>
    </row>
    <row r="742" spans="2:10" x14ac:dyDescent="0.25">
      <c r="B742" t="s">
        <v>133</v>
      </c>
      <c r="C742" t="s">
        <v>73</v>
      </c>
      <c r="D742">
        <v>5.6557617483935403E-3</v>
      </c>
      <c r="E742" t="s">
        <v>62</v>
      </c>
      <c r="G742" t="s">
        <v>153</v>
      </c>
      <c r="H742" t="s">
        <v>73</v>
      </c>
      <c r="I742">
        <v>1.4474340480406125E-2</v>
      </c>
      <c r="J742" t="s">
        <v>62</v>
      </c>
    </row>
    <row r="743" spans="2:10" x14ac:dyDescent="0.25">
      <c r="B743" t="s">
        <v>133</v>
      </c>
      <c r="C743" t="s">
        <v>74</v>
      </c>
      <c r="D743">
        <v>2.7883527974080072E-2</v>
      </c>
      <c r="E743" t="s">
        <v>62</v>
      </c>
      <c r="G743" t="s">
        <v>153</v>
      </c>
      <c r="H743" t="s">
        <v>74</v>
      </c>
      <c r="I743">
        <v>1.257841701101237E-2</v>
      </c>
      <c r="J743" t="s">
        <v>62</v>
      </c>
    </row>
    <row r="744" spans="2:10" x14ac:dyDescent="0.25">
      <c r="B744" t="s">
        <v>133</v>
      </c>
      <c r="C744" t="s">
        <v>75</v>
      </c>
      <c r="D744">
        <v>4.1240407334806869E-2</v>
      </c>
      <c r="E744" t="s">
        <v>62</v>
      </c>
      <c r="G744" t="s">
        <v>153</v>
      </c>
      <c r="H744" t="s">
        <v>75</v>
      </c>
      <c r="I744">
        <v>1.1255518340851145E-2</v>
      </c>
      <c r="J744" t="s">
        <v>62</v>
      </c>
    </row>
    <row r="745" spans="2:10" x14ac:dyDescent="0.25">
      <c r="B745" t="s">
        <v>133</v>
      </c>
      <c r="C745" t="s">
        <v>76</v>
      </c>
      <c r="D745">
        <v>4.2094413997774575E-2</v>
      </c>
      <c r="E745" t="s">
        <v>62</v>
      </c>
      <c r="G745" t="s">
        <v>153</v>
      </c>
      <c r="H745" t="s">
        <v>76</v>
      </c>
      <c r="I745">
        <v>1.049912574458268E-2</v>
      </c>
      <c r="J745" t="s">
        <v>62</v>
      </c>
    </row>
    <row r="746" spans="2:10" x14ac:dyDescent="0.25">
      <c r="B746" t="s">
        <v>133</v>
      </c>
      <c r="C746" t="s">
        <v>77</v>
      </c>
      <c r="D746">
        <v>4.0583193601607725E-2</v>
      </c>
      <c r="E746" t="s">
        <v>62</v>
      </c>
      <c r="G746" t="s">
        <v>153</v>
      </c>
      <c r="H746" t="s">
        <v>77</v>
      </c>
      <c r="I746">
        <v>1.2762689557665564E-2</v>
      </c>
      <c r="J746" t="s">
        <v>62</v>
      </c>
    </row>
    <row r="747" spans="2:10" x14ac:dyDescent="0.25">
      <c r="B747" t="s">
        <v>133</v>
      </c>
      <c r="C747" t="s">
        <v>78</v>
      </c>
      <c r="D747">
        <v>3.118523867122831E-2</v>
      </c>
      <c r="E747" t="s">
        <v>62</v>
      </c>
      <c r="G747" t="s">
        <v>153</v>
      </c>
      <c r="H747" t="s">
        <v>78</v>
      </c>
      <c r="I747">
        <v>1.3449557413103734E-2</v>
      </c>
      <c r="J747" t="s">
        <v>62</v>
      </c>
    </row>
    <row r="748" spans="2:10" x14ac:dyDescent="0.25">
      <c r="B748" t="s">
        <v>133</v>
      </c>
      <c r="C748" t="s">
        <v>79</v>
      </c>
      <c r="D748">
        <v>1.3583798062044882E-2</v>
      </c>
      <c r="E748" t="s">
        <v>62</v>
      </c>
      <c r="G748" t="s">
        <v>153</v>
      </c>
      <c r="H748" t="s">
        <v>79</v>
      </c>
      <c r="I748">
        <v>1.3497798765902293E-2</v>
      </c>
      <c r="J748" t="s">
        <v>62</v>
      </c>
    </row>
    <row r="749" spans="2:10" x14ac:dyDescent="0.25">
      <c r="B749" t="s">
        <v>133</v>
      </c>
      <c r="C749" t="s">
        <v>80</v>
      </c>
      <c r="D749">
        <v>7.5290269753989944E-5</v>
      </c>
      <c r="E749" t="s">
        <v>62</v>
      </c>
      <c r="G749" t="s">
        <v>153</v>
      </c>
      <c r="H749" t="s">
        <v>80</v>
      </c>
      <c r="I749">
        <v>1.5928092732666533E-2</v>
      </c>
      <c r="J749" t="s">
        <v>62</v>
      </c>
    </row>
    <row r="750" spans="2:10" x14ac:dyDescent="0.25">
      <c r="B750" t="s">
        <v>133</v>
      </c>
      <c r="C750" t="s">
        <v>81</v>
      </c>
      <c r="D750">
        <v>0</v>
      </c>
      <c r="E750" t="s">
        <v>62</v>
      </c>
      <c r="G750" t="s">
        <v>153</v>
      </c>
      <c r="H750" t="s">
        <v>81</v>
      </c>
      <c r="I750">
        <v>2.5099639007700344E-2</v>
      </c>
      <c r="J750" t="s">
        <v>62</v>
      </c>
    </row>
    <row r="751" spans="2:10" x14ac:dyDescent="0.25">
      <c r="B751" t="s">
        <v>133</v>
      </c>
      <c r="C751" t="s">
        <v>82</v>
      </c>
      <c r="D751">
        <v>5.4178338889894202E-4</v>
      </c>
      <c r="E751" t="s">
        <v>62</v>
      </c>
      <c r="G751" t="s">
        <v>153</v>
      </c>
      <c r="H751" t="s">
        <v>82</v>
      </c>
      <c r="I751">
        <v>3.4423779056387604E-2</v>
      </c>
      <c r="J751" t="s">
        <v>62</v>
      </c>
    </row>
    <row r="752" spans="2:10" x14ac:dyDescent="0.25">
      <c r="B752" t="s">
        <v>133</v>
      </c>
      <c r="C752" t="s">
        <v>83</v>
      </c>
      <c r="D752">
        <v>1.7947775258369908E-2</v>
      </c>
      <c r="E752" t="s">
        <v>62</v>
      </c>
      <c r="G752" t="s">
        <v>153</v>
      </c>
      <c r="H752" t="s">
        <v>83</v>
      </c>
      <c r="I752">
        <v>1.2736449638281609E-2</v>
      </c>
      <c r="J752" t="s">
        <v>62</v>
      </c>
    </row>
    <row r="753" spans="2:10" x14ac:dyDescent="0.25">
      <c r="B753" t="s">
        <v>133</v>
      </c>
      <c r="C753" t="s">
        <v>84</v>
      </c>
      <c r="D753">
        <v>3.796856902827251E-2</v>
      </c>
      <c r="E753" t="s">
        <v>62</v>
      </c>
      <c r="G753" t="s">
        <v>153</v>
      </c>
      <c r="H753" t="s">
        <v>84</v>
      </c>
      <c r="I753">
        <v>1.0128870575528264E-2</v>
      </c>
      <c r="J753" t="s">
        <v>62</v>
      </c>
    </row>
    <row r="754" spans="2:10" x14ac:dyDescent="0.25">
      <c r="B754" t="s">
        <v>133</v>
      </c>
      <c r="C754" t="s">
        <v>85</v>
      </c>
      <c r="D754">
        <v>4.7690970989314851E-2</v>
      </c>
      <c r="E754" t="s">
        <v>62</v>
      </c>
      <c r="G754" t="s">
        <v>153</v>
      </c>
      <c r="H754" t="s">
        <v>85</v>
      </c>
      <c r="I754">
        <v>1.0058790967472177E-2</v>
      </c>
      <c r="J754" t="s">
        <v>62</v>
      </c>
    </row>
    <row r="755" spans="2:10" x14ac:dyDescent="0.25">
      <c r="B755" t="s">
        <v>133</v>
      </c>
      <c r="C755" t="s">
        <v>86</v>
      </c>
      <c r="D755">
        <v>4.75805938558784E-2</v>
      </c>
      <c r="E755" t="s">
        <v>62</v>
      </c>
      <c r="G755" t="s">
        <v>153</v>
      </c>
      <c r="H755" t="s">
        <v>86</v>
      </c>
      <c r="I755">
        <v>9.5706990456969031E-3</v>
      </c>
      <c r="J755" t="s">
        <v>62</v>
      </c>
    </row>
    <row r="756" spans="2:10" x14ac:dyDescent="0.25">
      <c r="B756" t="s">
        <v>133</v>
      </c>
      <c r="C756" t="s">
        <v>87</v>
      </c>
      <c r="D756">
        <v>4.5420151607933355E-2</v>
      </c>
      <c r="E756" t="s">
        <v>62</v>
      </c>
      <c r="G756" t="s">
        <v>153</v>
      </c>
      <c r="H756" t="s">
        <v>87</v>
      </c>
      <c r="I756">
        <v>1.0785955183795394E-2</v>
      </c>
      <c r="J756" t="s">
        <v>62</v>
      </c>
    </row>
    <row r="757" spans="2:10" x14ac:dyDescent="0.25">
      <c r="B757" t="s">
        <v>133</v>
      </c>
      <c r="C757" t="s">
        <v>88</v>
      </c>
      <c r="D757">
        <v>3.7624886249616685E-2</v>
      </c>
      <c r="E757" t="s">
        <v>62</v>
      </c>
      <c r="G757" t="s">
        <v>153</v>
      </c>
      <c r="H757" t="s">
        <v>88</v>
      </c>
      <c r="I757">
        <v>1.1038856144976867E-2</v>
      </c>
      <c r="J757" t="s">
        <v>62</v>
      </c>
    </row>
    <row r="758" spans="2:10" x14ac:dyDescent="0.25">
      <c r="B758" t="s">
        <v>133</v>
      </c>
      <c r="C758" t="s">
        <v>89</v>
      </c>
      <c r="D758">
        <v>2.2392267999230168E-2</v>
      </c>
      <c r="E758" t="s">
        <v>62</v>
      </c>
      <c r="G758" t="s">
        <v>153</v>
      </c>
      <c r="H758" t="s">
        <v>89</v>
      </c>
      <c r="I758">
        <v>9.8532479774991622E-3</v>
      </c>
      <c r="J758" t="s">
        <v>62</v>
      </c>
    </row>
    <row r="759" spans="2:10" x14ac:dyDescent="0.25">
      <c r="B759" t="s">
        <v>133</v>
      </c>
      <c r="C759" t="s">
        <v>90</v>
      </c>
      <c r="D759">
        <v>4.3038843480695315E-3</v>
      </c>
      <c r="E759" t="s">
        <v>62</v>
      </c>
      <c r="G759" t="s">
        <v>153</v>
      </c>
      <c r="H759" t="s">
        <v>90</v>
      </c>
      <c r="I759">
        <v>1.1366835093672412E-2</v>
      </c>
      <c r="J759" t="s">
        <v>62</v>
      </c>
    </row>
    <row r="760" spans="2:10" x14ac:dyDescent="0.25">
      <c r="B760" t="s">
        <v>133</v>
      </c>
      <c r="C760" t="s">
        <v>91</v>
      </c>
      <c r="D760">
        <v>0</v>
      </c>
      <c r="E760" t="s">
        <v>62</v>
      </c>
      <c r="G760" t="s">
        <v>153</v>
      </c>
      <c r="H760" t="s">
        <v>91</v>
      </c>
      <c r="I760">
        <v>2.0295394833325837E-2</v>
      </c>
      <c r="J760" t="s">
        <v>62</v>
      </c>
    </row>
    <row r="761" spans="2:10" x14ac:dyDescent="0.25">
      <c r="B761" t="s">
        <v>133</v>
      </c>
      <c r="C761" t="s">
        <v>92</v>
      </c>
      <c r="D761">
        <v>4.273795763063965E-5</v>
      </c>
      <c r="E761" t="s">
        <v>62</v>
      </c>
      <c r="G761" t="s">
        <v>153</v>
      </c>
      <c r="H761" t="s">
        <v>92</v>
      </c>
      <c r="I761">
        <v>2.1972939403689121E-2</v>
      </c>
      <c r="J761" t="s">
        <v>62</v>
      </c>
    </row>
    <row r="762" spans="2:10" x14ac:dyDescent="0.25">
      <c r="B762" t="s">
        <v>133</v>
      </c>
      <c r="C762" t="s">
        <v>93</v>
      </c>
      <c r="D762">
        <v>1.701238098470946E-2</v>
      </c>
      <c r="E762" t="s">
        <v>62</v>
      </c>
      <c r="G762" t="s">
        <v>153</v>
      </c>
      <c r="H762" t="s">
        <v>93</v>
      </c>
      <c r="I762">
        <v>7.737998053011101E-3</v>
      </c>
      <c r="J762" t="s">
        <v>62</v>
      </c>
    </row>
    <row r="763" spans="2:10" x14ac:dyDescent="0.25">
      <c r="B763" t="s">
        <v>133</v>
      </c>
      <c r="C763" t="s">
        <v>94</v>
      </c>
      <c r="D763">
        <v>4.0752915514515743E-2</v>
      </c>
      <c r="E763" t="s">
        <v>62</v>
      </c>
      <c r="G763" t="s">
        <v>153</v>
      </c>
      <c r="H763" t="s">
        <v>94</v>
      </c>
      <c r="I763">
        <v>5.7912422564049557E-3</v>
      </c>
      <c r="J763" t="s">
        <v>62</v>
      </c>
    </row>
    <row r="764" spans="2:10" x14ac:dyDescent="0.25">
      <c r="B764" t="s">
        <v>133</v>
      </c>
      <c r="C764" t="s">
        <v>95</v>
      </c>
      <c r="D764">
        <v>5.079033633253547E-2</v>
      </c>
      <c r="E764" t="s">
        <v>62</v>
      </c>
      <c r="G764" t="s">
        <v>153</v>
      </c>
      <c r="H764" t="s">
        <v>95</v>
      </c>
      <c r="I764">
        <v>6.8384670522479429E-3</v>
      </c>
      <c r="J764" t="s">
        <v>62</v>
      </c>
    </row>
    <row r="765" spans="2:10" x14ac:dyDescent="0.25">
      <c r="B765" t="s">
        <v>133</v>
      </c>
      <c r="C765" t="s">
        <v>96</v>
      </c>
      <c r="D765">
        <v>4.9843375233109298E-2</v>
      </c>
      <c r="E765" t="s">
        <v>62</v>
      </c>
      <c r="G765" t="s">
        <v>153</v>
      </c>
      <c r="H765" t="s">
        <v>96</v>
      </c>
      <c r="I765">
        <v>6.2320611592020505E-3</v>
      </c>
      <c r="J765" t="s">
        <v>62</v>
      </c>
    </row>
    <row r="766" spans="2:10" x14ac:dyDescent="0.25">
      <c r="B766" t="s">
        <v>133</v>
      </c>
      <c r="C766" t="s">
        <v>97</v>
      </c>
      <c r="D766">
        <v>4.7140937694592697E-2</v>
      </c>
      <c r="E766" t="s">
        <v>62</v>
      </c>
      <c r="G766" t="s">
        <v>153</v>
      </c>
      <c r="H766" t="s">
        <v>97</v>
      </c>
      <c r="I766">
        <v>7.3256043369627263E-3</v>
      </c>
      <c r="J766" t="s">
        <v>62</v>
      </c>
    </row>
    <row r="767" spans="2:10" x14ac:dyDescent="0.25">
      <c r="B767" t="s">
        <v>133</v>
      </c>
      <c r="C767" t="s">
        <v>98</v>
      </c>
      <c r="D767">
        <v>3.9399238438480928E-2</v>
      </c>
      <c r="E767" t="s">
        <v>62</v>
      </c>
      <c r="G767" t="s">
        <v>153</v>
      </c>
      <c r="H767" t="s">
        <v>98</v>
      </c>
      <c r="I767">
        <v>7.6507132911814548E-3</v>
      </c>
      <c r="J767" t="s">
        <v>62</v>
      </c>
    </row>
    <row r="768" spans="2:10" x14ac:dyDescent="0.25">
      <c r="B768" t="s">
        <v>133</v>
      </c>
      <c r="C768" t="s">
        <v>99</v>
      </c>
      <c r="D768">
        <v>2.4909788931489513E-2</v>
      </c>
      <c r="E768" t="s">
        <v>62</v>
      </c>
      <c r="G768" t="s">
        <v>153</v>
      </c>
      <c r="H768" t="s">
        <v>99</v>
      </c>
      <c r="I768">
        <v>6.478125000808378E-3</v>
      </c>
      <c r="J768" t="s">
        <v>62</v>
      </c>
    </row>
    <row r="769" spans="2:10" x14ac:dyDescent="0.25">
      <c r="B769" t="s">
        <v>133</v>
      </c>
      <c r="C769" t="s">
        <v>100</v>
      </c>
      <c r="D769">
        <v>4.6111238303606665E-3</v>
      </c>
      <c r="E769" t="s">
        <v>62</v>
      </c>
      <c r="G769" t="s">
        <v>153</v>
      </c>
      <c r="H769" t="s">
        <v>100</v>
      </c>
      <c r="I769">
        <v>7.2477836458702946E-3</v>
      </c>
      <c r="J769" t="s">
        <v>62</v>
      </c>
    </row>
    <row r="770" spans="2:10" x14ac:dyDescent="0.25">
      <c r="B770" t="s">
        <v>133</v>
      </c>
      <c r="C770" t="s">
        <v>101</v>
      </c>
      <c r="D770">
        <v>0</v>
      </c>
      <c r="E770" t="s">
        <v>62</v>
      </c>
      <c r="G770" t="s">
        <v>153</v>
      </c>
      <c r="H770" t="s">
        <v>101</v>
      </c>
      <c r="I770">
        <v>1.3950629474922404E-2</v>
      </c>
      <c r="J770" t="s">
        <v>62</v>
      </c>
    </row>
    <row r="771" spans="2:10" x14ac:dyDescent="0.25">
      <c r="B771" t="s">
        <v>133</v>
      </c>
      <c r="C771" t="s">
        <v>102</v>
      </c>
      <c r="D771">
        <v>0</v>
      </c>
      <c r="E771" t="s">
        <v>62</v>
      </c>
      <c r="G771" t="s">
        <v>153</v>
      </c>
      <c r="H771" t="s">
        <v>102</v>
      </c>
      <c r="I771">
        <v>4.0293367993584343E-2</v>
      </c>
      <c r="J771" t="s">
        <v>62</v>
      </c>
    </row>
    <row r="772" spans="2:10" x14ac:dyDescent="0.25">
      <c r="B772" t="s">
        <v>133</v>
      </c>
      <c r="C772" t="s">
        <v>103</v>
      </c>
      <c r="D772">
        <v>2.2161968442427262E-3</v>
      </c>
      <c r="E772" t="s">
        <v>62</v>
      </c>
      <c r="G772" t="s">
        <v>153</v>
      </c>
      <c r="H772" t="s">
        <v>103</v>
      </c>
      <c r="I772">
        <v>1.5815695976600364E-2</v>
      </c>
      <c r="J772" t="s">
        <v>62</v>
      </c>
    </row>
    <row r="773" spans="2:10" x14ac:dyDescent="0.25">
      <c r="B773" t="s">
        <v>133</v>
      </c>
      <c r="C773" t="s">
        <v>104</v>
      </c>
      <c r="D773">
        <v>1.919307341788215E-2</v>
      </c>
      <c r="E773" t="s">
        <v>62</v>
      </c>
      <c r="G773" t="s">
        <v>153</v>
      </c>
      <c r="H773" t="s">
        <v>104</v>
      </c>
      <c r="I773">
        <v>1.4523428182282982E-2</v>
      </c>
      <c r="J773" t="s">
        <v>62</v>
      </c>
    </row>
    <row r="774" spans="2:10" x14ac:dyDescent="0.25">
      <c r="B774" t="s">
        <v>133</v>
      </c>
      <c r="C774" t="s">
        <v>105</v>
      </c>
      <c r="D774">
        <v>3.270558868269019E-2</v>
      </c>
      <c r="E774" t="s">
        <v>62</v>
      </c>
      <c r="G774" t="s">
        <v>153</v>
      </c>
      <c r="H774" t="s">
        <v>105</v>
      </c>
      <c r="I774">
        <v>1.3245737282208476E-2</v>
      </c>
      <c r="J774" t="s">
        <v>62</v>
      </c>
    </row>
    <row r="775" spans="2:10" x14ac:dyDescent="0.25">
      <c r="B775" t="s">
        <v>133</v>
      </c>
      <c r="C775" t="s">
        <v>106</v>
      </c>
      <c r="D775">
        <v>3.2429880585817965E-2</v>
      </c>
      <c r="E775" t="s">
        <v>62</v>
      </c>
      <c r="G775" t="s">
        <v>153</v>
      </c>
      <c r="H775" t="s">
        <v>106</v>
      </c>
      <c r="I775">
        <v>1.2871567377648529E-2</v>
      </c>
      <c r="J775" t="s">
        <v>62</v>
      </c>
    </row>
    <row r="776" spans="2:10" x14ac:dyDescent="0.25">
      <c r="B776" t="s">
        <v>133</v>
      </c>
      <c r="C776" t="s">
        <v>107</v>
      </c>
      <c r="D776">
        <v>3.127519431960335E-2</v>
      </c>
      <c r="E776" t="s">
        <v>62</v>
      </c>
      <c r="G776" t="s">
        <v>153</v>
      </c>
      <c r="H776" t="s">
        <v>107</v>
      </c>
      <c r="I776">
        <v>1.3677161667324073E-2</v>
      </c>
      <c r="J776" t="s">
        <v>62</v>
      </c>
    </row>
    <row r="777" spans="2:10" x14ac:dyDescent="0.25">
      <c r="B777" t="s">
        <v>133</v>
      </c>
      <c r="C777" t="s">
        <v>108</v>
      </c>
      <c r="D777">
        <v>2.0620002099981414E-2</v>
      </c>
      <c r="E777" t="s">
        <v>62</v>
      </c>
      <c r="G777" t="s">
        <v>153</v>
      </c>
      <c r="H777" t="s">
        <v>108</v>
      </c>
      <c r="I777">
        <v>1.3775284056263448E-2</v>
      </c>
      <c r="J777" t="s">
        <v>62</v>
      </c>
    </row>
    <row r="778" spans="2:10" x14ac:dyDescent="0.25">
      <c r="B778" t="s">
        <v>133</v>
      </c>
      <c r="C778" t="s">
        <v>109</v>
      </c>
      <c r="D778">
        <v>5.5112773940484052E-3</v>
      </c>
      <c r="E778" t="s">
        <v>62</v>
      </c>
      <c r="G778" t="s">
        <v>153</v>
      </c>
      <c r="H778" t="s">
        <v>109</v>
      </c>
      <c r="I778">
        <v>1.5361039832560609E-2</v>
      </c>
      <c r="J778" t="s">
        <v>62</v>
      </c>
    </row>
    <row r="779" spans="2:10" x14ac:dyDescent="0.25">
      <c r="B779" t="s">
        <v>133</v>
      </c>
      <c r="C779" t="s">
        <v>110</v>
      </c>
      <c r="D779">
        <v>0</v>
      </c>
      <c r="E779" t="s">
        <v>62</v>
      </c>
      <c r="G779" t="s">
        <v>153</v>
      </c>
      <c r="H779" t="s">
        <v>110</v>
      </c>
      <c r="I779">
        <v>1.7494168261854501E-2</v>
      </c>
      <c r="J779" t="s">
        <v>62</v>
      </c>
    </row>
    <row r="780" spans="2:10" x14ac:dyDescent="0.25">
      <c r="B780" t="s">
        <v>133</v>
      </c>
      <c r="C780" t="s">
        <v>111</v>
      </c>
      <c r="D780">
        <v>0</v>
      </c>
      <c r="E780" t="s">
        <v>62</v>
      </c>
      <c r="G780" t="s">
        <v>153</v>
      </c>
      <c r="H780" t="s">
        <v>111</v>
      </c>
      <c r="I780">
        <v>2.6782572598167156E-2</v>
      </c>
      <c r="J780" t="s">
        <v>62</v>
      </c>
    </row>
    <row r="781" spans="2:10" x14ac:dyDescent="0.25">
      <c r="B781" t="s">
        <v>133</v>
      </c>
      <c r="C781" t="s">
        <v>112</v>
      </c>
      <c r="D781">
        <v>0</v>
      </c>
      <c r="E781" t="s">
        <v>62</v>
      </c>
      <c r="G781" t="s">
        <v>153</v>
      </c>
      <c r="H781" t="s">
        <v>112</v>
      </c>
      <c r="I781">
        <v>4.953833361289138E-2</v>
      </c>
      <c r="J781" t="s">
        <v>62</v>
      </c>
    </row>
    <row r="782" spans="2:10" x14ac:dyDescent="0.25">
      <c r="B782" t="s">
        <v>133</v>
      </c>
      <c r="C782" t="s">
        <v>113</v>
      </c>
      <c r="D782">
        <v>0</v>
      </c>
      <c r="E782" t="s">
        <v>62</v>
      </c>
      <c r="G782" t="s">
        <v>153</v>
      </c>
      <c r="H782" t="s">
        <v>113</v>
      </c>
      <c r="I782">
        <v>1.953230845447701E-2</v>
      </c>
      <c r="J782" t="s">
        <v>62</v>
      </c>
    </row>
    <row r="783" spans="2:10" x14ac:dyDescent="0.25">
      <c r="B783" t="s">
        <v>133</v>
      </c>
      <c r="C783" t="s">
        <v>114</v>
      </c>
      <c r="D783">
        <v>2.6891561660214352E-3</v>
      </c>
      <c r="E783" t="s">
        <v>62</v>
      </c>
      <c r="G783" t="s">
        <v>153</v>
      </c>
      <c r="H783" t="s">
        <v>114</v>
      </c>
      <c r="I783">
        <v>2.0652167649502087E-2</v>
      </c>
      <c r="J783" t="s">
        <v>62</v>
      </c>
    </row>
    <row r="784" spans="2:10" x14ac:dyDescent="0.25">
      <c r="B784" t="s">
        <v>133</v>
      </c>
      <c r="C784" t="s">
        <v>115</v>
      </c>
      <c r="D784">
        <v>1.5300950426013888E-2</v>
      </c>
      <c r="E784" t="s">
        <v>62</v>
      </c>
      <c r="G784" t="s">
        <v>153</v>
      </c>
      <c r="H784" t="s">
        <v>115</v>
      </c>
      <c r="I784">
        <v>2.0734797897394745E-2</v>
      </c>
      <c r="J784" t="s">
        <v>62</v>
      </c>
    </row>
    <row r="785" spans="2:10" x14ac:dyDescent="0.25">
      <c r="B785" t="s">
        <v>133</v>
      </c>
      <c r="C785" t="s">
        <v>116</v>
      </c>
      <c r="D785">
        <v>1.7308021883876069E-2</v>
      </c>
      <c r="E785" t="s">
        <v>62</v>
      </c>
      <c r="G785" t="s">
        <v>153</v>
      </c>
      <c r="H785" t="s">
        <v>116</v>
      </c>
      <c r="I785">
        <v>1.8471463165426312E-2</v>
      </c>
      <c r="J785" t="s">
        <v>62</v>
      </c>
    </row>
    <row r="786" spans="2:10" x14ac:dyDescent="0.25">
      <c r="B786" t="s">
        <v>133</v>
      </c>
      <c r="C786" t="s">
        <v>117</v>
      </c>
      <c r="D786">
        <v>1.6862508732263509E-2</v>
      </c>
      <c r="E786" t="s">
        <v>62</v>
      </c>
      <c r="G786" t="s">
        <v>153</v>
      </c>
      <c r="H786" t="s">
        <v>117</v>
      </c>
      <c r="I786">
        <v>1.9312861874098055E-2</v>
      </c>
      <c r="J786" t="s">
        <v>62</v>
      </c>
    </row>
    <row r="787" spans="2:10" x14ac:dyDescent="0.25">
      <c r="B787" t="s">
        <v>133</v>
      </c>
      <c r="C787" t="s">
        <v>118</v>
      </c>
      <c r="D787">
        <v>4.811619430294037E-3</v>
      </c>
      <c r="E787" t="s">
        <v>62</v>
      </c>
      <c r="G787" t="s">
        <v>153</v>
      </c>
      <c r="H787" t="s">
        <v>118</v>
      </c>
      <c r="I787">
        <v>2.0274242953974776E-2</v>
      </c>
      <c r="J787" t="s">
        <v>62</v>
      </c>
    </row>
    <row r="788" spans="2:10" x14ac:dyDescent="0.25">
      <c r="B788" t="s">
        <v>133</v>
      </c>
      <c r="C788" t="s">
        <v>119</v>
      </c>
      <c r="D788">
        <v>0</v>
      </c>
      <c r="E788" t="s">
        <v>62</v>
      </c>
      <c r="G788" t="s">
        <v>153</v>
      </c>
      <c r="H788" t="s">
        <v>119</v>
      </c>
      <c r="I788">
        <v>2.1218139210321077E-2</v>
      </c>
      <c r="J788" t="s">
        <v>62</v>
      </c>
    </row>
    <row r="789" spans="2:10" x14ac:dyDescent="0.25">
      <c r="B789" t="s">
        <v>133</v>
      </c>
      <c r="C789" t="s">
        <v>120</v>
      </c>
      <c r="D789">
        <v>0</v>
      </c>
      <c r="E789" t="s">
        <v>62</v>
      </c>
      <c r="G789" t="s">
        <v>153</v>
      </c>
      <c r="H789" t="s">
        <v>120</v>
      </c>
      <c r="I789">
        <v>2.1888533598824769E-2</v>
      </c>
      <c r="J789" t="s">
        <v>62</v>
      </c>
    </row>
    <row r="790" spans="2:10" x14ac:dyDescent="0.25">
      <c r="B790" t="s">
        <v>133</v>
      </c>
      <c r="C790" t="s">
        <v>121</v>
      </c>
      <c r="D790">
        <v>0</v>
      </c>
      <c r="E790" t="s">
        <v>62</v>
      </c>
      <c r="G790" t="s">
        <v>153</v>
      </c>
      <c r="H790" t="s">
        <v>121</v>
      </c>
      <c r="I790">
        <v>3.1502895730861423E-2</v>
      </c>
      <c r="J790" t="s">
        <v>62</v>
      </c>
    </row>
    <row r="791" spans="2:10" x14ac:dyDescent="0.25">
      <c r="B791" t="s">
        <v>134</v>
      </c>
      <c r="C791" t="s">
        <v>61</v>
      </c>
      <c r="D791">
        <v>0</v>
      </c>
      <c r="E791" t="s">
        <v>62</v>
      </c>
      <c r="G791" t="s">
        <v>154</v>
      </c>
      <c r="H791" t="s">
        <v>61</v>
      </c>
      <c r="I791">
        <v>3.4579722162200441E-2</v>
      </c>
      <c r="J791" t="s">
        <v>62</v>
      </c>
    </row>
    <row r="792" spans="2:10" x14ac:dyDescent="0.25">
      <c r="B792" t="s">
        <v>134</v>
      </c>
      <c r="C792" t="s">
        <v>63</v>
      </c>
      <c r="D792">
        <v>0</v>
      </c>
      <c r="E792" t="s">
        <v>62</v>
      </c>
      <c r="G792" t="s">
        <v>154</v>
      </c>
      <c r="H792" t="s">
        <v>63</v>
      </c>
      <c r="I792">
        <v>1.4167907268306064E-2</v>
      </c>
      <c r="J792" t="s">
        <v>62</v>
      </c>
    </row>
    <row r="793" spans="2:10" x14ac:dyDescent="0.25">
      <c r="B793" t="s">
        <v>134</v>
      </c>
      <c r="C793" t="s">
        <v>64</v>
      </c>
      <c r="D793">
        <v>1.4911756448542715E-3</v>
      </c>
      <c r="E793" t="s">
        <v>62</v>
      </c>
      <c r="G793" t="s">
        <v>154</v>
      </c>
      <c r="H793" t="s">
        <v>64</v>
      </c>
      <c r="I793">
        <v>1.4767080582646567E-2</v>
      </c>
      <c r="J793" t="s">
        <v>62</v>
      </c>
    </row>
    <row r="794" spans="2:10" x14ac:dyDescent="0.25">
      <c r="B794" t="s">
        <v>134</v>
      </c>
      <c r="C794" t="s">
        <v>65</v>
      </c>
      <c r="D794">
        <v>1.3057986208164134E-2</v>
      </c>
      <c r="E794" t="s">
        <v>62</v>
      </c>
      <c r="G794" t="s">
        <v>154</v>
      </c>
      <c r="H794" t="s">
        <v>65</v>
      </c>
      <c r="I794">
        <v>1.4482524684996466E-2</v>
      </c>
      <c r="J794" t="s">
        <v>62</v>
      </c>
    </row>
    <row r="795" spans="2:10" x14ac:dyDescent="0.25">
      <c r="B795" t="s">
        <v>134</v>
      </c>
      <c r="C795" t="s">
        <v>66</v>
      </c>
      <c r="D795">
        <v>2.0643318801135242E-2</v>
      </c>
      <c r="E795" t="s">
        <v>62</v>
      </c>
      <c r="G795" t="s">
        <v>154</v>
      </c>
      <c r="H795" t="s">
        <v>66</v>
      </c>
      <c r="I795">
        <v>1.420350983340082E-2</v>
      </c>
      <c r="J795" t="s">
        <v>62</v>
      </c>
    </row>
    <row r="796" spans="2:10" x14ac:dyDescent="0.25">
      <c r="B796" t="s">
        <v>134</v>
      </c>
      <c r="C796" t="s">
        <v>67</v>
      </c>
      <c r="D796">
        <v>2.0052561210092874E-2</v>
      </c>
      <c r="E796" t="s">
        <v>62</v>
      </c>
      <c r="G796" t="s">
        <v>154</v>
      </c>
      <c r="H796" t="s">
        <v>67</v>
      </c>
      <c r="I796">
        <v>1.4723069678804547E-2</v>
      </c>
      <c r="J796" t="s">
        <v>62</v>
      </c>
    </row>
    <row r="797" spans="2:10" x14ac:dyDescent="0.25">
      <c r="B797" t="s">
        <v>134</v>
      </c>
      <c r="C797" t="s">
        <v>68</v>
      </c>
      <c r="D797">
        <v>1.1785384506803149E-2</v>
      </c>
      <c r="E797" t="s">
        <v>62</v>
      </c>
      <c r="G797" t="s">
        <v>154</v>
      </c>
      <c r="H797" t="s">
        <v>68</v>
      </c>
      <c r="I797">
        <v>1.4686102851735558E-2</v>
      </c>
      <c r="J797" t="s">
        <v>62</v>
      </c>
    </row>
    <row r="798" spans="2:10" x14ac:dyDescent="0.25">
      <c r="B798" t="s">
        <v>134</v>
      </c>
      <c r="C798" t="s">
        <v>69</v>
      </c>
      <c r="D798">
        <v>1.370904071000884E-3</v>
      </c>
      <c r="E798" t="s">
        <v>62</v>
      </c>
      <c r="G798" t="s">
        <v>154</v>
      </c>
      <c r="H798" t="s">
        <v>69</v>
      </c>
      <c r="I798">
        <v>1.572288128744884E-2</v>
      </c>
      <c r="J798" t="s">
        <v>62</v>
      </c>
    </row>
    <row r="799" spans="2:10" x14ac:dyDescent="0.25">
      <c r="B799" t="s">
        <v>134</v>
      </c>
      <c r="C799" t="s">
        <v>70</v>
      </c>
      <c r="D799">
        <v>0</v>
      </c>
      <c r="E799" t="s">
        <v>62</v>
      </c>
      <c r="G799" t="s">
        <v>154</v>
      </c>
      <c r="H799" t="s">
        <v>70</v>
      </c>
      <c r="I799">
        <v>1.6220705741246989E-2</v>
      </c>
      <c r="J799" t="s">
        <v>62</v>
      </c>
    </row>
    <row r="800" spans="2:10" x14ac:dyDescent="0.25">
      <c r="B800" t="s">
        <v>134</v>
      </c>
      <c r="C800" t="s">
        <v>71</v>
      </c>
      <c r="D800">
        <v>0</v>
      </c>
      <c r="E800" t="s">
        <v>62</v>
      </c>
      <c r="G800" t="s">
        <v>154</v>
      </c>
      <c r="H800" t="s">
        <v>71</v>
      </c>
      <c r="I800">
        <v>2.2268389539256014E-2</v>
      </c>
      <c r="J800" t="s">
        <v>62</v>
      </c>
    </row>
    <row r="801" spans="2:10" x14ac:dyDescent="0.25">
      <c r="B801" t="s">
        <v>134</v>
      </c>
      <c r="C801" t="s">
        <v>72</v>
      </c>
      <c r="D801">
        <v>0</v>
      </c>
      <c r="E801" t="s">
        <v>62</v>
      </c>
      <c r="G801" t="s">
        <v>154</v>
      </c>
      <c r="H801" t="s">
        <v>72</v>
      </c>
      <c r="I801">
        <v>4.2065726014701786E-2</v>
      </c>
      <c r="J801" t="s">
        <v>62</v>
      </c>
    </row>
    <row r="802" spans="2:10" x14ac:dyDescent="0.25">
      <c r="B802" t="s">
        <v>134</v>
      </c>
      <c r="C802" t="s">
        <v>73</v>
      </c>
      <c r="D802">
        <v>3.7284810535464165E-3</v>
      </c>
      <c r="E802" t="s">
        <v>62</v>
      </c>
      <c r="G802" t="s">
        <v>154</v>
      </c>
      <c r="H802" t="s">
        <v>73</v>
      </c>
      <c r="I802">
        <v>1.639666585842561E-2</v>
      </c>
      <c r="J802" t="s">
        <v>62</v>
      </c>
    </row>
    <row r="803" spans="2:10" x14ac:dyDescent="0.25">
      <c r="B803" t="s">
        <v>134</v>
      </c>
      <c r="C803" t="s">
        <v>74</v>
      </c>
      <c r="D803">
        <v>2.4312080430387874E-2</v>
      </c>
      <c r="E803" t="s">
        <v>62</v>
      </c>
      <c r="G803" t="s">
        <v>154</v>
      </c>
      <c r="H803" t="s">
        <v>74</v>
      </c>
      <c r="I803">
        <v>1.4869133834258353E-2</v>
      </c>
      <c r="J803" t="s">
        <v>62</v>
      </c>
    </row>
    <row r="804" spans="2:10" x14ac:dyDescent="0.25">
      <c r="B804" t="s">
        <v>134</v>
      </c>
      <c r="C804" t="s">
        <v>75</v>
      </c>
      <c r="D804">
        <v>3.9582482887524119E-2</v>
      </c>
      <c r="E804" t="s">
        <v>62</v>
      </c>
      <c r="G804" t="s">
        <v>154</v>
      </c>
      <c r="H804" t="s">
        <v>75</v>
      </c>
      <c r="I804">
        <v>1.27321740326254E-2</v>
      </c>
      <c r="J804" t="s">
        <v>62</v>
      </c>
    </row>
    <row r="805" spans="2:10" x14ac:dyDescent="0.25">
      <c r="B805" t="s">
        <v>134</v>
      </c>
      <c r="C805" t="s">
        <v>76</v>
      </c>
      <c r="D805">
        <v>4.3060460308149806E-2</v>
      </c>
      <c r="E805" t="s">
        <v>62</v>
      </c>
      <c r="G805" t="s">
        <v>154</v>
      </c>
      <c r="H805" t="s">
        <v>76</v>
      </c>
      <c r="I805">
        <v>1.0928639025068326E-2</v>
      </c>
      <c r="J805" t="s">
        <v>62</v>
      </c>
    </row>
    <row r="806" spans="2:10" x14ac:dyDescent="0.25">
      <c r="B806" t="s">
        <v>134</v>
      </c>
      <c r="C806" t="s">
        <v>77</v>
      </c>
      <c r="D806">
        <v>4.101881657771525E-2</v>
      </c>
      <c r="E806" t="s">
        <v>62</v>
      </c>
      <c r="G806" t="s">
        <v>154</v>
      </c>
      <c r="H806" t="s">
        <v>77</v>
      </c>
      <c r="I806">
        <v>1.2888248968088611E-2</v>
      </c>
      <c r="J806" t="s">
        <v>62</v>
      </c>
    </row>
    <row r="807" spans="2:10" x14ac:dyDescent="0.25">
      <c r="B807" t="s">
        <v>134</v>
      </c>
      <c r="C807" t="s">
        <v>78</v>
      </c>
      <c r="D807">
        <v>3.1821996349485168E-2</v>
      </c>
      <c r="E807" t="s">
        <v>62</v>
      </c>
      <c r="G807" t="s">
        <v>154</v>
      </c>
      <c r="H807" t="s">
        <v>78</v>
      </c>
      <c r="I807">
        <v>1.3294912450652643E-2</v>
      </c>
      <c r="J807" t="s">
        <v>62</v>
      </c>
    </row>
    <row r="808" spans="2:10" x14ac:dyDescent="0.25">
      <c r="B808" t="s">
        <v>134</v>
      </c>
      <c r="C808" t="s">
        <v>79</v>
      </c>
      <c r="D808">
        <v>1.6086065610166018E-2</v>
      </c>
      <c r="E808" t="s">
        <v>62</v>
      </c>
      <c r="G808" t="s">
        <v>154</v>
      </c>
      <c r="H808" t="s">
        <v>79</v>
      </c>
      <c r="I808">
        <v>1.3442501743290772E-2</v>
      </c>
      <c r="J808" t="s">
        <v>62</v>
      </c>
    </row>
    <row r="809" spans="2:10" x14ac:dyDescent="0.25">
      <c r="B809" t="s">
        <v>134</v>
      </c>
      <c r="C809" t="s">
        <v>80</v>
      </c>
      <c r="D809">
        <v>6.2299258813922097E-4</v>
      </c>
      <c r="E809" t="s">
        <v>62</v>
      </c>
      <c r="G809" t="s">
        <v>154</v>
      </c>
      <c r="H809" t="s">
        <v>80</v>
      </c>
      <c r="I809">
        <v>1.6229263681679998E-2</v>
      </c>
      <c r="J809" t="s">
        <v>62</v>
      </c>
    </row>
    <row r="810" spans="2:10" x14ac:dyDescent="0.25">
      <c r="B810" t="s">
        <v>134</v>
      </c>
      <c r="C810" t="s">
        <v>81</v>
      </c>
      <c r="D810">
        <v>0</v>
      </c>
      <c r="E810" t="s">
        <v>62</v>
      </c>
      <c r="G810" t="s">
        <v>154</v>
      </c>
      <c r="H810" t="s">
        <v>81</v>
      </c>
      <c r="I810">
        <v>2.5762902551539232E-2</v>
      </c>
      <c r="J810" t="s">
        <v>62</v>
      </c>
    </row>
    <row r="811" spans="2:10" x14ac:dyDescent="0.25">
      <c r="B811" t="s">
        <v>134</v>
      </c>
      <c r="C811" t="s">
        <v>82</v>
      </c>
      <c r="D811">
        <v>0</v>
      </c>
      <c r="E811" t="s">
        <v>62</v>
      </c>
      <c r="G811" t="s">
        <v>154</v>
      </c>
      <c r="H811" t="s">
        <v>82</v>
      </c>
      <c r="I811">
        <v>3.089742019970294E-2</v>
      </c>
      <c r="J811" t="s">
        <v>62</v>
      </c>
    </row>
    <row r="812" spans="2:10" x14ac:dyDescent="0.25">
      <c r="B812" t="s">
        <v>134</v>
      </c>
      <c r="C812" t="s">
        <v>83</v>
      </c>
      <c r="D812">
        <v>1.1411820554324437E-2</v>
      </c>
      <c r="E812" t="s">
        <v>62</v>
      </c>
      <c r="G812" t="s">
        <v>154</v>
      </c>
      <c r="H812" t="s">
        <v>83</v>
      </c>
      <c r="I812">
        <v>1.1457395763839261E-2</v>
      </c>
      <c r="J812" t="s">
        <v>62</v>
      </c>
    </row>
    <row r="813" spans="2:10" x14ac:dyDescent="0.25">
      <c r="B813" t="s">
        <v>134</v>
      </c>
      <c r="C813" t="s">
        <v>84</v>
      </c>
      <c r="D813">
        <v>2.9234379403724937E-2</v>
      </c>
      <c r="E813" t="s">
        <v>62</v>
      </c>
      <c r="G813" t="s">
        <v>154</v>
      </c>
      <c r="H813" t="s">
        <v>84</v>
      </c>
      <c r="I813">
        <v>8.937261091649407E-3</v>
      </c>
      <c r="J813" t="s">
        <v>62</v>
      </c>
    </row>
    <row r="814" spans="2:10" x14ac:dyDescent="0.25">
      <c r="B814" t="s">
        <v>134</v>
      </c>
      <c r="C814" t="s">
        <v>85</v>
      </c>
      <c r="D814">
        <v>4.1417387122713242E-2</v>
      </c>
      <c r="E814" t="s">
        <v>62</v>
      </c>
      <c r="G814" t="s">
        <v>154</v>
      </c>
      <c r="H814" t="s">
        <v>85</v>
      </c>
      <c r="I814">
        <v>9.7927422727789662E-3</v>
      </c>
      <c r="J814" t="s">
        <v>62</v>
      </c>
    </row>
    <row r="815" spans="2:10" x14ac:dyDescent="0.25">
      <c r="B815" t="s">
        <v>134</v>
      </c>
      <c r="C815" t="s">
        <v>86</v>
      </c>
      <c r="D815">
        <v>4.3874946719272556E-2</v>
      </c>
      <c r="E815" t="s">
        <v>62</v>
      </c>
      <c r="G815" t="s">
        <v>154</v>
      </c>
      <c r="H815" t="s">
        <v>86</v>
      </c>
      <c r="I815">
        <v>9.7641756940027111E-3</v>
      </c>
      <c r="J815" t="s">
        <v>62</v>
      </c>
    </row>
    <row r="816" spans="2:10" x14ac:dyDescent="0.25">
      <c r="B816" t="s">
        <v>134</v>
      </c>
      <c r="C816" t="s">
        <v>87</v>
      </c>
      <c r="D816">
        <v>4.2332944239237301E-2</v>
      </c>
      <c r="E816" t="s">
        <v>62</v>
      </c>
      <c r="G816" t="s">
        <v>154</v>
      </c>
      <c r="H816" t="s">
        <v>87</v>
      </c>
      <c r="I816">
        <v>1.0974854883884786E-2</v>
      </c>
      <c r="J816" t="s">
        <v>62</v>
      </c>
    </row>
    <row r="817" spans="2:10" x14ac:dyDescent="0.25">
      <c r="B817" t="s">
        <v>134</v>
      </c>
      <c r="C817" t="s">
        <v>88</v>
      </c>
      <c r="D817">
        <v>3.4226175344017583E-2</v>
      </c>
      <c r="E817" t="s">
        <v>62</v>
      </c>
      <c r="G817" t="s">
        <v>154</v>
      </c>
      <c r="H817" t="s">
        <v>88</v>
      </c>
      <c r="I817">
        <v>1.0471625225962867E-2</v>
      </c>
      <c r="J817" t="s">
        <v>62</v>
      </c>
    </row>
    <row r="818" spans="2:10" x14ac:dyDescent="0.25">
      <c r="B818" t="s">
        <v>134</v>
      </c>
      <c r="C818" t="s">
        <v>89</v>
      </c>
      <c r="D818">
        <v>2.0569839007398835E-2</v>
      </c>
      <c r="E818" t="s">
        <v>62</v>
      </c>
      <c r="G818" t="s">
        <v>154</v>
      </c>
      <c r="H818" t="s">
        <v>89</v>
      </c>
      <c r="I818">
        <v>9.8889665163220761E-3</v>
      </c>
      <c r="J818" t="s">
        <v>62</v>
      </c>
    </row>
    <row r="819" spans="2:10" x14ac:dyDescent="0.25">
      <c r="B819" t="s">
        <v>134</v>
      </c>
      <c r="C819" t="s">
        <v>90</v>
      </c>
      <c r="D819">
        <v>4.9454578827535459E-3</v>
      </c>
      <c r="E819" t="s">
        <v>62</v>
      </c>
      <c r="G819" t="s">
        <v>154</v>
      </c>
      <c r="H819" t="s">
        <v>90</v>
      </c>
      <c r="I819">
        <v>1.1171450824634862E-2</v>
      </c>
      <c r="J819" t="s">
        <v>62</v>
      </c>
    </row>
    <row r="820" spans="2:10" x14ac:dyDescent="0.25">
      <c r="B820" t="s">
        <v>134</v>
      </c>
      <c r="C820" t="s">
        <v>91</v>
      </c>
      <c r="D820">
        <v>0</v>
      </c>
      <c r="E820" t="s">
        <v>62</v>
      </c>
      <c r="G820" t="s">
        <v>154</v>
      </c>
      <c r="H820" t="s">
        <v>91</v>
      </c>
      <c r="I820">
        <v>1.9884256460648383E-2</v>
      </c>
      <c r="J820" t="s">
        <v>62</v>
      </c>
    </row>
    <row r="821" spans="2:10" x14ac:dyDescent="0.25">
      <c r="B821" t="s">
        <v>134</v>
      </c>
      <c r="C821" t="s">
        <v>92</v>
      </c>
      <c r="D821">
        <v>0</v>
      </c>
      <c r="E821" t="s">
        <v>62</v>
      </c>
      <c r="G821" t="s">
        <v>154</v>
      </c>
      <c r="H821" t="s">
        <v>92</v>
      </c>
      <c r="I821">
        <v>1.8535024010304938E-2</v>
      </c>
      <c r="J821" t="s">
        <v>62</v>
      </c>
    </row>
    <row r="822" spans="2:10" x14ac:dyDescent="0.25">
      <c r="B822" t="s">
        <v>134</v>
      </c>
      <c r="C822" t="s">
        <v>93</v>
      </c>
      <c r="D822">
        <v>1.464472254260122E-2</v>
      </c>
      <c r="E822" t="s">
        <v>62</v>
      </c>
      <c r="G822" t="s">
        <v>154</v>
      </c>
      <c r="H822" t="s">
        <v>93</v>
      </c>
      <c r="I822">
        <v>7.3834232324161159E-3</v>
      </c>
      <c r="J822" t="s">
        <v>62</v>
      </c>
    </row>
    <row r="823" spans="2:10" x14ac:dyDescent="0.25">
      <c r="B823" t="s">
        <v>134</v>
      </c>
      <c r="C823" t="s">
        <v>94</v>
      </c>
      <c r="D823">
        <v>3.9928261565831763E-2</v>
      </c>
      <c r="E823" t="s">
        <v>62</v>
      </c>
      <c r="G823" t="s">
        <v>154</v>
      </c>
      <c r="H823" t="s">
        <v>94</v>
      </c>
      <c r="I823">
        <v>6.0498002894716204E-3</v>
      </c>
      <c r="J823" t="s">
        <v>62</v>
      </c>
    </row>
    <row r="824" spans="2:10" x14ac:dyDescent="0.25">
      <c r="B824" t="s">
        <v>134</v>
      </c>
      <c r="C824" t="s">
        <v>95</v>
      </c>
      <c r="D824">
        <v>5.1993458447709508E-2</v>
      </c>
      <c r="E824" t="s">
        <v>62</v>
      </c>
      <c r="G824" t="s">
        <v>154</v>
      </c>
      <c r="H824" t="s">
        <v>95</v>
      </c>
      <c r="I824">
        <v>7.0141263822180791E-3</v>
      </c>
      <c r="J824" t="s">
        <v>62</v>
      </c>
    </row>
    <row r="825" spans="2:10" x14ac:dyDescent="0.25">
      <c r="B825" t="s">
        <v>134</v>
      </c>
      <c r="C825" t="s">
        <v>96</v>
      </c>
      <c r="D825">
        <v>5.0645234585073598E-2</v>
      </c>
      <c r="E825" t="s">
        <v>62</v>
      </c>
      <c r="G825" t="s">
        <v>154</v>
      </c>
      <c r="H825" t="s">
        <v>96</v>
      </c>
      <c r="I825">
        <v>6.5176175450032334E-3</v>
      </c>
      <c r="J825" t="s">
        <v>62</v>
      </c>
    </row>
    <row r="826" spans="2:10" x14ac:dyDescent="0.25">
      <c r="B826" t="s">
        <v>134</v>
      </c>
      <c r="C826" t="s">
        <v>97</v>
      </c>
      <c r="D826">
        <v>4.7552415683002218E-2</v>
      </c>
      <c r="E826" t="s">
        <v>62</v>
      </c>
      <c r="G826" t="s">
        <v>154</v>
      </c>
      <c r="H826" t="s">
        <v>97</v>
      </c>
      <c r="I826">
        <v>7.8511780703969646E-3</v>
      </c>
      <c r="J826" t="s">
        <v>62</v>
      </c>
    </row>
    <row r="827" spans="2:10" x14ac:dyDescent="0.25">
      <c r="B827" t="s">
        <v>134</v>
      </c>
      <c r="C827" t="s">
        <v>98</v>
      </c>
      <c r="D827">
        <v>4.1070761679685035E-2</v>
      </c>
      <c r="E827" t="s">
        <v>62</v>
      </c>
      <c r="G827" t="s">
        <v>154</v>
      </c>
      <c r="H827" t="s">
        <v>98</v>
      </c>
      <c r="I827">
        <v>8.5702236311681178E-3</v>
      </c>
      <c r="J827" t="s">
        <v>62</v>
      </c>
    </row>
    <row r="828" spans="2:10" x14ac:dyDescent="0.25">
      <c r="B828" t="s">
        <v>134</v>
      </c>
      <c r="C828" t="s">
        <v>99</v>
      </c>
      <c r="D828">
        <v>2.7413139729212211E-2</v>
      </c>
      <c r="E828" t="s">
        <v>62</v>
      </c>
      <c r="G828" t="s">
        <v>154</v>
      </c>
      <c r="H828" t="s">
        <v>99</v>
      </c>
      <c r="I828">
        <v>7.5402839028753657E-3</v>
      </c>
      <c r="J828" t="s">
        <v>62</v>
      </c>
    </row>
    <row r="829" spans="2:10" x14ac:dyDescent="0.25">
      <c r="B829" t="s">
        <v>134</v>
      </c>
      <c r="C829" t="s">
        <v>100</v>
      </c>
      <c r="D829">
        <v>6.8877964700980628E-3</v>
      </c>
      <c r="E829" t="s">
        <v>62</v>
      </c>
      <c r="G829" t="s">
        <v>154</v>
      </c>
      <c r="H829" t="s">
        <v>100</v>
      </c>
      <c r="I829">
        <v>8.2552301849656458E-3</v>
      </c>
      <c r="J829" t="s">
        <v>62</v>
      </c>
    </row>
    <row r="830" spans="2:10" x14ac:dyDescent="0.25">
      <c r="B830" t="s">
        <v>134</v>
      </c>
      <c r="C830" t="s">
        <v>101</v>
      </c>
      <c r="D830">
        <v>0</v>
      </c>
      <c r="E830" t="s">
        <v>62</v>
      </c>
      <c r="G830" t="s">
        <v>154</v>
      </c>
      <c r="H830" t="s">
        <v>101</v>
      </c>
      <c r="I830">
        <v>1.3151409270050162E-2</v>
      </c>
      <c r="J830" t="s">
        <v>62</v>
      </c>
    </row>
    <row r="831" spans="2:10" x14ac:dyDescent="0.25">
      <c r="B831" t="s">
        <v>134</v>
      </c>
      <c r="C831" t="s">
        <v>102</v>
      </c>
      <c r="D831">
        <v>0</v>
      </c>
      <c r="E831" t="s">
        <v>62</v>
      </c>
      <c r="G831" t="s">
        <v>154</v>
      </c>
      <c r="H831" t="s">
        <v>102</v>
      </c>
      <c r="I831">
        <v>3.71827855759925E-2</v>
      </c>
      <c r="J831" t="s">
        <v>62</v>
      </c>
    </row>
    <row r="832" spans="2:10" x14ac:dyDescent="0.25">
      <c r="B832" t="s">
        <v>134</v>
      </c>
      <c r="C832" t="s">
        <v>103</v>
      </c>
      <c r="D832">
        <v>1.2064252547909413E-3</v>
      </c>
      <c r="E832" t="s">
        <v>62</v>
      </c>
      <c r="G832" t="s">
        <v>154</v>
      </c>
      <c r="H832" t="s">
        <v>103</v>
      </c>
      <c r="I832">
        <v>1.4600746541204123E-2</v>
      </c>
      <c r="J832" t="s">
        <v>62</v>
      </c>
    </row>
    <row r="833" spans="2:10" x14ac:dyDescent="0.25">
      <c r="B833" t="s">
        <v>134</v>
      </c>
      <c r="C833" t="s">
        <v>104</v>
      </c>
      <c r="D833">
        <v>1.8300808267139076E-2</v>
      </c>
      <c r="E833" t="s">
        <v>62</v>
      </c>
      <c r="G833" t="s">
        <v>154</v>
      </c>
      <c r="H833" t="s">
        <v>104</v>
      </c>
      <c r="I833">
        <v>1.3828072737135018E-2</v>
      </c>
      <c r="J833" t="s">
        <v>62</v>
      </c>
    </row>
    <row r="834" spans="2:10" x14ac:dyDescent="0.25">
      <c r="B834" t="s">
        <v>134</v>
      </c>
      <c r="C834" t="s">
        <v>105</v>
      </c>
      <c r="D834">
        <v>3.3020910972205685E-2</v>
      </c>
      <c r="E834" t="s">
        <v>62</v>
      </c>
      <c r="G834" t="s">
        <v>154</v>
      </c>
      <c r="H834" t="s">
        <v>105</v>
      </c>
      <c r="I834">
        <v>1.2552617143982227E-2</v>
      </c>
      <c r="J834" t="s">
        <v>62</v>
      </c>
    </row>
    <row r="835" spans="2:10" x14ac:dyDescent="0.25">
      <c r="B835" t="s">
        <v>134</v>
      </c>
      <c r="C835" t="s">
        <v>106</v>
      </c>
      <c r="D835">
        <v>3.4544283147604479E-2</v>
      </c>
      <c r="E835" t="s">
        <v>62</v>
      </c>
      <c r="G835" t="s">
        <v>154</v>
      </c>
      <c r="H835" t="s">
        <v>106</v>
      </c>
      <c r="I835">
        <v>1.3022584706882364E-2</v>
      </c>
      <c r="J835" t="s">
        <v>62</v>
      </c>
    </row>
    <row r="836" spans="2:10" x14ac:dyDescent="0.25">
      <c r="B836" t="s">
        <v>134</v>
      </c>
      <c r="C836" t="s">
        <v>107</v>
      </c>
      <c r="D836">
        <v>3.5707635362945613E-2</v>
      </c>
      <c r="E836" t="s">
        <v>62</v>
      </c>
      <c r="G836" t="s">
        <v>154</v>
      </c>
      <c r="H836" t="s">
        <v>107</v>
      </c>
      <c r="I836">
        <v>1.3923982005292868E-2</v>
      </c>
      <c r="J836" t="s">
        <v>62</v>
      </c>
    </row>
    <row r="837" spans="2:10" x14ac:dyDescent="0.25">
      <c r="B837" t="s">
        <v>134</v>
      </c>
      <c r="C837" t="s">
        <v>108</v>
      </c>
      <c r="D837">
        <v>2.5497382250352019E-2</v>
      </c>
      <c r="E837" t="s">
        <v>62</v>
      </c>
      <c r="G837" t="s">
        <v>154</v>
      </c>
      <c r="H837" t="s">
        <v>108</v>
      </c>
      <c r="I837">
        <v>1.3935915531837588E-2</v>
      </c>
      <c r="J837" t="s">
        <v>62</v>
      </c>
    </row>
    <row r="838" spans="2:10" x14ac:dyDescent="0.25">
      <c r="B838" t="s">
        <v>134</v>
      </c>
      <c r="C838" t="s">
        <v>109</v>
      </c>
      <c r="D838">
        <v>7.8472246644067482E-3</v>
      </c>
      <c r="E838" t="s">
        <v>62</v>
      </c>
      <c r="G838" t="s">
        <v>154</v>
      </c>
      <c r="H838" t="s">
        <v>109</v>
      </c>
      <c r="I838">
        <v>1.5559912320665427E-2</v>
      </c>
      <c r="J838" t="s">
        <v>62</v>
      </c>
    </row>
    <row r="839" spans="2:10" x14ac:dyDescent="0.25">
      <c r="B839" t="s">
        <v>134</v>
      </c>
      <c r="C839" t="s">
        <v>110</v>
      </c>
      <c r="D839">
        <v>0</v>
      </c>
      <c r="E839" t="s">
        <v>62</v>
      </c>
      <c r="G839" t="s">
        <v>154</v>
      </c>
      <c r="H839" t="s">
        <v>110</v>
      </c>
      <c r="I839">
        <v>1.7225110103857806E-2</v>
      </c>
      <c r="J839" t="s">
        <v>62</v>
      </c>
    </row>
    <row r="840" spans="2:10" x14ac:dyDescent="0.25">
      <c r="B840" t="s">
        <v>134</v>
      </c>
      <c r="C840" t="s">
        <v>111</v>
      </c>
      <c r="D840">
        <v>0</v>
      </c>
      <c r="E840" t="s">
        <v>62</v>
      </c>
      <c r="G840" t="s">
        <v>154</v>
      </c>
      <c r="H840" t="s">
        <v>111</v>
      </c>
      <c r="I840">
        <v>2.5024565255151635E-2</v>
      </c>
      <c r="J840" t="s">
        <v>62</v>
      </c>
    </row>
    <row r="841" spans="2:10" x14ac:dyDescent="0.25">
      <c r="B841" t="s">
        <v>134</v>
      </c>
      <c r="C841" t="s">
        <v>112</v>
      </c>
      <c r="D841">
        <v>0</v>
      </c>
      <c r="E841" t="s">
        <v>62</v>
      </c>
      <c r="G841" t="s">
        <v>154</v>
      </c>
      <c r="H841" t="s">
        <v>112</v>
      </c>
      <c r="I841">
        <v>4.9179537130632472E-2</v>
      </c>
      <c r="J841" t="s">
        <v>62</v>
      </c>
    </row>
    <row r="842" spans="2:10" x14ac:dyDescent="0.25">
      <c r="B842" t="s">
        <v>134</v>
      </c>
      <c r="C842" t="s">
        <v>113</v>
      </c>
      <c r="D842">
        <v>0</v>
      </c>
      <c r="E842" t="s">
        <v>62</v>
      </c>
      <c r="G842" t="s">
        <v>154</v>
      </c>
      <c r="H842" t="s">
        <v>113</v>
      </c>
      <c r="I842">
        <v>1.973368767072568E-2</v>
      </c>
      <c r="J842" t="s">
        <v>62</v>
      </c>
    </row>
    <row r="843" spans="2:10" x14ac:dyDescent="0.25">
      <c r="B843" t="s">
        <v>134</v>
      </c>
      <c r="C843" t="s">
        <v>114</v>
      </c>
      <c r="D843">
        <v>1.5704404874127497E-3</v>
      </c>
      <c r="E843" t="s">
        <v>62</v>
      </c>
      <c r="G843" t="s">
        <v>154</v>
      </c>
      <c r="H843" t="s">
        <v>114</v>
      </c>
      <c r="I843">
        <v>2.0350982978596784E-2</v>
      </c>
      <c r="J843" t="s">
        <v>62</v>
      </c>
    </row>
    <row r="844" spans="2:10" x14ac:dyDescent="0.25">
      <c r="B844" t="s">
        <v>134</v>
      </c>
      <c r="C844" t="s">
        <v>115</v>
      </c>
      <c r="D844">
        <v>1.5046056512723869E-2</v>
      </c>
      <c r="E844" t="s">
        <v>62</v>
      </c>
      <c r="G844" t="s">
        <v>154</v>
      </c>
      <c r="H844" t="s">
        <v>115</v>
      </c>
      <c r="I844">
        <v>2.0576462916586487E-2</v>
      </c>
      <c r="J844" t="s">
        <v>62</v>
      </c>
    </row>
    <row r="845" spans="2:10" x14ac:dyDescent="0.25">
      <c r="B845" t="s">
        <v>134</v>
      </c>
      <c r="C845" t="s">
        <v>116</v>
      </c>
      <c r="D845">
        <v>1.9179305630832758E-2</v>
      </c>
      <c r="E845" t="s">
        <v>62</v>
      </c>
      <c r="G845" t="s">
        <v>154</v>
      </c>
      <c r="H845" t="s">
        <v>116</v>
      </c>
      <c r="I845">
        <v>1.9373875952503998E-2</v>
      </c>
      <c r="J845" t="s">
        <v>62</v>
      </c>
    </row>
    <row r="846" spans="2:10" x14ac:dyDescent="0.25">
      <c r="B846" t="s">
        <v>134</v>
      </c>
      <c r="C846" t="s">
        <v>117</v>
      </c>
      <c r="D846">
        <v>2.1602122149863616E-2</v>
      </c>
      <c r="E846" t="s">
        <v>62</v>
      </c>
      <c r="G846" t="s">
        <v>154</v>
      </c>
      <c r="H846" t="s">
        <v>117</v>
      </c>
      <c r="I846">
        <v>1.9693962454936893E-2</v>
      </c>
      <c r="J846" t="s">
        <v>62</v>
      </c>
    </row>
    <row r="847" spans="2:10" x14ac:dyDescent="0.25">
      <c r="B847" t="s">
        <v>134</v>
      </c>
      <c r="C847" t="s">
        <v>118</v>
      </c>
      <c r="D847">
        <v>9.6939580758990083E-3</v>
      </c>
      <c r="E847" t="s">
        <v>62</v>
      </c>
      <c r="G847" t="s">
        <v>154</v>
      </c>
      <c r="H847" t="s">
        <v>118</v>
      </c>
      <c r="I847">
        <v>2.0527704922059072E-2</v>
      </c>
      <c r="J847" t="s">
        <v>62</v>
      </c>
    </row>
    <row r="848" spans="2:10" x14ac:dyDescent="0.25">
      <c r="B848" t="s">
        <v>134</v>
      </c>
      <c r="C848" t="s">
        <v>119</v>
      </c>
      <c r="D848">
        <v>0</v>
      </c>
      <c r="E848" t="s">
        <v>62</v>
      </c>
      <c r="G848" t="s">
        <v>154</v>
      </c>
      <c r="H848" t="s">
        <v>119</v>
      </c>
      <c r="I848">
        <v>2.1716864328511998E-2</v>
      </c>
      <c r="J848" t="s">
        <v>62</v>
      </c>
    </row>
    <row r="849" spans="2:10" x14ac:dyDescent="0.25">
      <c r="B849" t="s">
        <v>134</v>
      </c>
      <c r="C849" t="s">
        <v>120</v>
      </c>
      <c r="D849">
        <v>0</v>
      </c>
      <c r="E849" t="s">
        <v>62</v>
      </c>
      <c r="G849" t="s">
        <v>154</v>
      </c>
      <c r="H849" t="s">
        <v>120</v>
      </c>
      <c r="I849">
        <v>2.1759358610268897E-2</v>
      </c>
      <c r="J849" t="s">
        <v>62</v>
      </c>
    </row>
    <row r="850" spans="2:10" x14ac:dyDescent="0.25">
      <c r="B850" t="s">
        <v>134</v>
      </c>
      <c r="C850" t="s">
        <v>121</v>
      </c>
      <c r="D850">
        <v>0</v>
      </c>
      <c r="E850" t="s">
        <v>62</v>
      </c>
      <c r="G850" t="s">
        <v>154</v>
      </c>
      <c r="H850" t="s">
        <v>121</v>
      </c>
      <c r="I850">
        <v>3.1690743870509519E-2</v>
      </c>
      <c r="J850" t="s">
        <v>62</v>
      </c>
    </row>
    <row r="851" spans="2:10" x14ac:dyDescent="0.25">
      <c r="B851" t="s">
        <v>135</v>
      </c>
      <c r="C851" t="s">
        <v>61</v>
      </c>
      <c r="D851">
        <v>0</v>
      </c>
      <c r="E851" t="s">
        <v>62</v>
      </c>
      <c r="G851" t="s">
        <v>155</v>
      </c>
      <c r="H851" t="s">
        <v>61</v>
      </c>
      <c r="I851">
        <v>3.6155354685296709E-2</v>
      </c>
      <c r="J851" t="s">
        <v>62</v>
      </c>
    </row>
    <row r="852" spans="2:10" x14ac:dyDescent="0.25">
      <c r="B852" t="s">
        <v>135</v>
      </c>
      <c r="C852" t="s">
        <v>63</v>
      </c>
      <c r="D852">
        <v>0</v>
      </c>
      <c r="E852" t="s">
        <v>62</v>
      </c>
      <c r="G852" t="s">
        <v>155</v>
      </c>
      <c r="H852" t="s">
        <v>63</v>
      </c>
      <c r="I852">
        <v>1.5538034761095443E-2</v>
      </c>
      <c r="J852" t="s">
        <v>62</v>
      </c>
    </row>
    <row r="853" spans="2:10" x14ac:dyDescent="0.25">
      <c r="B853" t="s">
        <v>135</v>
      </c>
      <c r="C853" t="s">
        <v>64</v>
      </c>
      <c r="D853">
        <v>8.7451754117986915E-4</v>
      </c>
      <c r="E853" t="s">
        <v>62</v>
      </c>
      <c r="G853" t="s">
        <v>155</v>
      </c>
      <c r="H853" t="s">
        <v>64</v>
      </c>
      <c r="I853">
        <v>1.5822064670355022E-2</v>
      </c>
      <c r="J853" t="s">
        <v>62</v>
      </c>
    </row>
    <row r="854" spans="2:10" x14ac:dyDescent="0.25">
      <c r="B854" t="s">
        <v>135</v>
      </c>
      <c r="C854" t="s">
        <v>65</v>
      </c>
      <c r="D854">
        <v>1.1376509628901348E-2</v>
      </c>
      <c r="E854" t="s">
        <v>62</v>
      </c>
      <c r="G854" t="s">
        <v>155</v>
      </c>
      <c r="H854" t="s">
        <v>65</v>
      </c>
      <c r="I854">
        <v>1.6239006205812239E-2</v>
      </c>
      <c r="J854" t="s">
        <v>62</v>
      </c>
    </row>
    <row r="855" spans="2:10" x14ac:dyDescent="0.25">
      <c r="B855" t="s">
        <v>135</v>
      </c>
      <c r="C855" t="s">
        <v>66</v>
      </c>
      <c r="D855">
        <v>1.8966834271129274E-2</v>
      </c>
      <c r="E855" t="s">
        <v>62</v>
      </c>
      <c r="G855" t="s">
        <v>155</v>
      </c>
      <c r="H855" t="s">
        <v>66</v>
      </c>
      <c r="I855">
        <v>1.6060596187909119E-2</v>
      </c>
      <c r="J855" t="s">
        <v>62</v>
      </c>
    </row>
    <row r="856" spans="2:10" x14ac:dyDescent="0.25">
      <c r="B856" t="s">
        <v>135</v>
      </c>
      <c r="C856" t="s">
        <v>67</v>
      </c>
      <c r="D856">
        <v>1.8582987788125151E-2</v>
      </c>
      <c r="E856" t="s">
        <v>62</v>
      </c>
      <c r="G856" t="s">
        <v>155</v>
      </c>
      <c r="H856" t="s">
        <v>67</v>
      </c>
      <c r="I856">
        <v>1.8319040499009485E-2</v>
      </c>
      <c r="J856" t="s">
        <v>62</v>
      </c>
    </row>
    <row r="857" spans="2:10" x14ac:dyDescent="0.25">
      <c r="B857" t="s">
        <v>135</v>
      </c>
      <c r="C857" t="s">
        <v>68</v>
      </c>
      <c r="D857">
        <v>1.0384004044330819E-2</v>
      </c>
      <c r="E857" t="s">
        <v>62</v>
      </c>
      <c r="G857" t="s">
        <v>155</v>
      </c>
      <c r="H857" t="s">
        <v>68</v>
      </c>
      <c r="I857">
        <v>1.8058988874976704E-2</v>
      </c>
      <c r="J857" t="s">
        <v>62</v>
      </c>
    </row>
    <row r="858" spans="2:10" x14ac:dyDescent="0.25">
      <c r="B858" t="s">
        <v>135</v>
      </c>
      <c r="C858" t="s">
        <v>69</v>
      </c>
      <c r="D858">
        <v>1.1085302707623586E-3</v>
      </c>
      <c r="E858" t="s">
        <v>62</v>
      </c>
      <c r="G858" t="s">
        <v>155</v>
      </c>
      <c r="H858" t="s">
        <v>69</v>
      </c>
      <c r="I858">
        <v>1.7466441031252791E-2</v>
      </c>
      <c r="J858" t="s">
        <v>62</v>
      </c>
    </row>
    <row r="859" spans="2:10" x14ac:dyDescent="0.25">
      <c r="B859" t="s">
        <v>135</v>
      </c>
      <c r="C859" t="s">
        <v>70</v>
      </c>
      <c r="D859">
        <v>0</v>
      </c>
      <c r="E859" t="s">
        <v>62</v>
      </c>
      <c r="G859" t="s">
        <v>155</v>
      </c>
      <c r="H859" t="s">
        <v>70</v>
      </c>
      <c r="I859">
        <v>1.6368365033044098E-2</v>
      </c>
      <c r="J859" t="s">
        <v>62</v>
      </c>
    </row>
    <row r="860" spans="2:10" x14ac:dyDescent="0.25">
      <c r="B860" t="s">
        <v>135</v>
      </c>
      <c r="C860" t="s">
        <v>71</v>
      </c>
      <c r="D860">
        <v>0</v>
      </c>
      <c r="E860" t="s">
        <v>62</v>
      </c>
      <c r="G860" t="s">
        <v>155</v>
      </c>
      <c r="H860" t="s">
        <v>71</v>
      </c>
      <c r="I860">
        <v>2.2063931900449228E-2</v>
      </c>
      <c r="J860" t="s">
        <v>62</v>
      </c>
    </row>
    <row r="861" spans="2:10" x14ac:dyDescent="0.25">
      <c r="B861" t="s">
        <v>135</v>
      </c>
      <c r="C861" t="s">
        <v>72</v>
      </c>
      <c r="D861">
        <v>0</v>
      </c>
      <c r="E861" t="s">
        <v>62</v>
      </c>
      <c r="G861" t="s">
        <v>155</v>
      </c>
      <c r="H861" t="s">
        <v>72</v>
      </c>
      <c r="I861">
        <v>3.7420164469544104E-2</v>
      </c>
      <c r="J861" t="s">
        <v>62</v>
      </c>
    </row>
    <row r="862" spans="2:10" x14ac:dyDescent="0.25">
      <c r="B862" t="s">
        <v>135</v>
      </c>
      <c r="C862" t="s">
        <v>73</v>
      </c>
      <c r="D862">
        <v>3.2367868156183222E-3</v>
      </c>
      <c r="E862" t="s">
        <v>62</v>
      </c>
      <c r="G862" t="s">
        <v>155</v>
      </c>
      <c r="H862" t="s">
        <v>73</v>
      </c>
      <c r="I862">
        <v>1.4508558480099753E-2</v>
      </c>
      <c r="J862" t="s">
        <v>62</v>
      </c>
    </row>
    <row r="863" spans="2:10" x14ac:dyDescent="0.25">
      <c r="B863" t="s">
        <v>135</v>
      </c>
      <c r="C863" t="s">
        <v>74</v>
      </c>
      <c r="D863">
        <v>2.3001396614268622E-2</v>
      </c>
      <c r="E863" t="s">
        <v>62</v>
      </c>
      <c r="G863" t="s">
        <v>155</v>
      </c>
      <c r="H863" t="s">
        <v>74</v>
      </c>
      <c r="I863">
        <v>1.3144273549962277E-2</v>
      </c>
      <c r="J863" t="s">
        <v>62</v>
      </c>
    </row>
    <row r="864" spans="2:10" x14ac:dyDescent="0.25">
      <c r="B864" t="s">
        <v>135</v>
      </c>
      <c r="C864" t="s">
        <v>75</v>
      </c>
      <c r="D864">
        <v>3.8662687363695401E-2</v>
      </c>
      <c r="E864" t="s">
        <v>62</v>
      </c>
      <c r="G864" t="s">
        <v>155</v>
      </c>
      <c r="H864" t="s">
        <v>75</v>
      </c>
      <c r="I864">
        <v>1.3854708829078863E-2</v>
      </c>
      <c r="J864" t="s">
        <v>62</v>
      </c>
    </row>
    <row r="865" spans="2:10" x14ac:dyDescent="0.25">
      <c r="B865" t="s">
        <v>135</v>
      </c>
      <c r="C865" t="s">
        <v>76</v>
      </c>
      <c r="D865">
        <v>4.2569867931833497E-2</v>
      </c>
      <c r="E865" t="s">
        <v>62</v>
      </c>
      <c r="G865" t="s">
        <v>155</v>
      </c>
      <c r="H865" t="s">
        <v>76</v>
      </c>
      <c r="I865">
        <v>1.5239167832004567E-2</v>
      </c>
      <c r="J865" t="s">
        <v>62</v>
      </c>
    </row>
    <row r="866" spans="2:10" x14ac:dyDescent="0.25">
      <c r="B866" t="s">
        <v>135</v>
      </c>
      <c r="C866" t="s">
        <v>77</v>
      </c>
      <c r="D866">
        <v>4.0453691599880291E-2</v>
      </c>
      <c r="E866" t="s">
        <v>62</v>
      </c>
      <c r="G866" t="s">
        <v>155</v>
      </c>
      <c r="H866" t="s">
        <v>77</v>
      </c>
      <c r="I866">
        <v>1.9616931937097491E-2</v>
      </c>
      <c r="J866" t="s">
        <v>62</v>
      </c>
    </row>
    <row r="867" spans="2:10" x14ac:dyDescent="0.25">
      <c r="B867" t="s">
        <v>135</v>
      </c>
      <c r="C867" t="s">
        <v>78</v>
      </c>
      <c r="D867">
        <v>3.3105381804036126E-2</v>
      </c>
      <c r="E867" t="s">
        <v>62</v>
      </c>
      <c r="G867" t="s">
        <v>155</v>
      </c>
      <c r="H867" t="s">
        <v>78</v>
      </c>
      <c r="I867">
        <v>2.0363825865947326E-2</v>
      </c>
      <c r="J867" t="s">
        <v>62</v>
      </c>
    </row>
    <row r="868" spans="2:10" x14ac:dyDescent="0.25">
      <c r="B868" t="s">
        <v>135</v>
      </c>
      <c r="C868" t="s">
        <v>79</v>
      </c>
      <c r="D868">
        <v>1.6401850121819109E-2</v>
      </c>
      <c r="E868" t="s">
        <v>62</v>
      </c>
      <c r="G868" t="s">
        <v>155</v>
      </c>
      <c r="H868" t="s">
        <v>79</v>
      </c>
      <c r="I868">
        <v>1.856449277622841E-2</v>
      </c>
      <c r="J868" t="s">
        <v>62</v>
      </c>
    </row>
    <row r="869" spans="2:10" x14ac:dyDescent="0.25">
      <c r="B869" t="s">
        <v>135</v>
      </c>
      <c r="C869" t="s">
        <v>80</v>
      </c>
      <c r="D869">
        <v>9.4732410973597848E-4</v>
      </c>
      <c r="E869" t="s">
        <v>62</v>
      </c>
      <c r="G869" t="s">
        <v>155</v>
      </c>
      <c r="H869" t="s">
        <v>80</v>
      </c>
      <c r="I869">
        <v>1.7400866478870271E-2</v>
      </c>
      <c r="J869" t="s">
        <v>62</v>
      </c>
    </row>
    <row r="870" spans="2:10" x14ac:dyDescent="0.25">
      <c r="B870" t="s">
        <v>135</v>
      </c>
      <c r="C870" t="s">
        <v>81</v>
      </c>
      <c r="D870">
        <v>0</v>
      </c>
      <c r="E870" t="s">
        <v>62</v>
      </c>
      <c r="G870" t="s">
        <v>155</v>
      </c>
      <c r="H870" t="s">
        <v>81</v>
      </c>
      <c r="I870">
        <v>2.3389017322659432E-2</v>
      </c>
      <c r="J870" t="s">
        <v>62</v>
      </c>
    </row>
    <row r="871" spans="2:10" x14ac:dyDescent="0.25">
      <c r="B871" t="s">
        <v>135</v>
      </c>
      <c r="C871" t="s">
        <v>82</v>
      </c>
      <c r="D871">
        <v>0</v>
      </c>
      <c r="E871" t="s">
        <v>62</v>
      </c>
      <c r="G871" t="s">
        <v>155</v>
      </c>
      <c r="H871" t="s">
        <v>82</v>
      </c>
      <c r="I871">
        <v>1.1716111623835899E-2</v>
      </c>
      <c r="J871" t="s">
        <v>62</v>
      </c>
    </row>
    <row r="872" spans="2:10" x14ac:dyDescent="0.25">
      <c r="B872" t="s">
        <v>135</v>
      </c>
      <c r="C872" t="s">
        <v>83</v>
      </c>
      <c r="D872">
        <v>1.1726865945922142E-2</v>
      </c>
      <c r="E872" t="s">
        <v>62</v>
      </c>
      <c r="G872" t="s">
        <v>155</v>
      </c>
      <c r="H872" t="s">
        <v>83</v>
      </c>
      <c r="I872">
        <v>5.3282888468088136E-3</v>
      </c>
      <c r="J872" t="s">
        <v>62</v>
      </c>
    </row>
    <row r="873" spans="2:10" x14ac:dyDescent="0.25">
      <c r="B873" t="s">
        <v>135</v>
      </c>
      <c r="C873" t="s">
        <v>84</v>
      </c>
      <c r="D873">
        <v>3.0100533405536447E-2</v>
      </c>
      <c r="E873" t="s">
        <v>62</v>
      </c>
      <c r="G873" t="s">
        <v>155</v>
      </c>
      <c r="H873" t="s">
        <v>84</v>
      </c>
      <c r="I873">
        <v>6.2512511574629431E-3</v>
      </c>
      <c r="J873" t="s">
        <v>62</v>
      </c>
    </row>
    <row r="874" spans="2:10" x14ac:dyDescent="0.25">
      <c r="B874" t="s">
        <v>135</v>
      </c>
      <c r="C874" t="s">
        <v>85</v>
      </c>
      <c r="D874">
        <v>4.1124598036804842E-2</v>
      </c>
      <c r="E874" t="s">
        <v>62</v>
      </c>
      <c r="G874" t="s">
        <v>155</v>
      </c>
      <c r="H874" t="s">
        <v>85</v>
      </c>
      <c r="I874">
        <v>8.9495667258976206E-3</v>
      </c>
      <c r="J874" t="s">
        <v>62</v>
      </c>
    </row>
    <row r="875" spans="2:10" x14ac:dyDescent="0.25">
      <c r="B875" t="s">
        <v>135</v>
      </c>
      <c r="C875" t="s">
        <v>86</v>
      </c>
      <c r="D875">
        <v>4.3319297868494339E-2</v>
      </c>
      <c r="E875" t="s">
        <v>62</v>
      </c>
      <c r="G875" t="s">
        <v>155</v>
      </c>
      <c r="H875" t="s">
        <v>86</v>
      </c>
      <c r="I875">
        <v>7.0427373821035011E-3</v>
      </c>
      <c r="J875" t="s">
        <v>62</v>
      </c>
    </row>
    <row r="876" spans="2:10" x14ac:dyDescent="0.25">
      <c r="B876" t="s">
        <v>135</v>
      </c>
      <c r="C876" t="s">
        <v>87</v>
      </c>
      <c r="D876">
        <v>4.2210462927081763E-2</v>
      </c>
      <c r="E876" t="s">
        <v>62</v>
      </c>
      <c r="G876" t="s">
        <v>155</v>
      </c>
      <c r="H876" t="s">
        <v>87</v>
      </c>
      <c r="I876">
        <v>9.2619596061555027E-3</v>
      </c>
      <c r="J876" t="s">
        <v>62</v>
      </c>
    </row>
    <row r="877" spans="2:10" x14ac:dyDescent="0.25">
      <c r="B877" t="s">
        <v>135</v>
      </c>
      <c r="C877" t="s">
        <v>88</v>
      </c>
      <c r="D877">
        <v>3.5540610980132802E-2</v>
      </c>
      <c r="E877" t="s">
        <v>62</v>
      </c>
      <c r="G877" t="s">
        <v>155</v>
      </c>
      <c r="H877" t="s">
        <v>88</v>
      </c>
      <c r="I877">
        <v>1.0273745786954768E-2</v>
      </c>
      <c r="J877" t="s">
        <v>62</v>
      </c>
    </row>
    <row r="878" spans="2:10" x14ac:dyDescent="0.25">
      <c r="B878" t="s">
        <v>135</v>
      </c>
      <c r="C878" t="s">
        <v>89</v>
      </c>
      <c r="D878">
        <v>2.2442624088084975E-2</v>
      </c>
      <c r="E878" t="s">
        <v>62</v>
      </c>
      <c r="G878" t="s">
        <v>155</v>
      </c>
      <c r="H878" t="s">
        <v>89</v>
      </c>
      <c r="I878">
        <v>7.8406539719833163E-3</v>
      </c>
      <c r="J878" t="s">
        <v>62</v>
      </c>
    </row>
    <row r="879" spans="2:10" x14ac:dyDescent="0.25">
      <c r="B879" t="s">
        <v>135</v>
      </c>
      <c r="C879" t="s">
        <v>90</v>
      </c>
      <c r="D879">
        <v>5.8754642130467638E-3</v>
      </c>
      <c r="E879" t="s">
        <v>62</v>
      </c>
      <c r="G879" t="s">
        <v>155</v>
      </c>
      <c r="H879" t="s">
        <v>90</v>
      </c>
      <c r="I879">
        <v>6.9099909300547055E-3</v>
      </c>
      <c r="J879" t="s">
        <v>62</v>
      </c>
    </row>
    <row r="880" spans="2:10" x14ac:dyDescent="0.25">
      <c r="B880" t="s">
        <v>135</v>
      </c>
      <c r="C880" t="s">
        <v>91</v>
      </c>
      <c r="D880">
        <v>0</v>
      </c>
      <c r="E880" t="s">
        <v>62</v>
      </c>
      <c r="G880" t="s">
        <v>155</v>
      </c>
      <c r="H880" t="s">
        <v>91</v>
      </c>
      <c r="I880">
        <v>7.9112482144888356E-3</v>
      </c>
      <c r="J880" t="s">
        <v>62</v>
      </c>
    </row>
    <row r="881" spans="2:10" x14ac:dyDescent="0.25">
      <c r="B881" t="s">
        <v>135</v>
      </c>
      <c r="C881" t="s">
        <v>92</v>
      </c>
      <c r="D881">
        <v>0</v>
      </c>
      <c r="E881" t="s">
        <v>62</v>
      </c>
      <c r="G881" t="s">
        <v>155</v>
      </c>
      <c r="H881" t="s">
        <v>92</v>
      </c>
      <c r="I881">
        <v>8.7960922127086841E-3</v>
      </c>
      <c r="J881" t="s">
        <v>62</v>
      </c>
    </row>
    <row r="882" spans="2:10" x14ac:dyDescent="0.25">
      <c r="B882" t="s">
        <v>135</v>
      </c>
      <c r="C882" t="s">
        <v>93</v>
      </c>
      <c r="D882">
        <v>1.4048217601237674E-2</v>
      </c>
      <c r="E882" t="s">
        <v>62</v>
      </c>
      <c r="G882" t="s">
        <v>155</v>
      </c>
      <c r="H882" t="s">
        <v>93</v>
      </c>
      <c r="I882">
        <v>3.8925742344830478E-3</v>
      </c>
      <c r="J882" t="s">
        <v>62</v>
      </c>
    </row>
    <row r="883" spans="2:10" x14ac:dyDescent="0.25">
      <c r="B883" t="s">
        <v>135</v>
      </c>
      <c r="C883" t="s">
        <v>94</v>
      </c>
      <c r="D883">
        <v>4.0310087990652416E-2</v>
      </c>
      <c r="E883" t="s">
        <v>62</v>
      </c>
      <c r="G883" t="s">
        <v>155</v>
      </c>
      <c r="H883" t="s">
        <v>94</v>
      </c>
      <c r="I883">
        <v>4.2297145711723714E-3</v>
      </c>
      <c r="J883" t="s">
        <v>62</v>
      </c>
    </row>
    <row r="884" spans="2:10" x14ac:dyDescent="0.25">
      <c r="B884" t="s">
        <v>135</v>
      </c>
      <c r="C884" t="s">
        <v>95</v>
      </c>
      <c r="D884">
        <v>5.430199245200263E-2</v>
      </c>
      <c r="E884" t="s">
        <v>62</v>
      </c>
      <c r="G884" t="s">
        <v>155</v>
      </c>
      <c r="H884" t="s">
        <v>95</v>
      </c>
      <c r="I884">
        <v>7.574768177373908E-3</v>
      </c>
      <c r="J884" t="s">
        <v>62</v>
      </c>
    </row>
    <row r="885" spans="2:10" x14ac:dyDescent="0.25">
      <c r="B885" t="s">
        <v>135</v>
      </c>
      <c r="C885" t="s">
        <v>96</v>
      </c>
      <c r="D885">
        <v>5.2399715569572715E-2</v>
      </c>
      <c r="E885" t="s">
        <v>62</v>
      </c>
      <c r="G885" t="s">
        <v>155</v>
      </c>
      <c r="H885" t="s">
        <v>96</v>
      </c>
      <c r="I885">
        <v>6.9383898137850824E-3</v>
      </c>
      <c r="J885" t="s">
        <v>62</v>
      </c>
    </row>
    <row r="886" spans="2:10" x14ac:dyDescent="0.25">
      <c r="B886" t="s">
        <v>135</v>
      </c>
      <c r="C886" t="s">
        <v>97</v>
      </c>
      <c r="D886">
        <v>4.9624396767872926E-2</v>
      </c>
      <c r="E886" t="s">
        <v>62</v>
      </c>
      <c r="G886" t="s">
        <v>155</v>
      </c>
      <c r="H886" t="s">
        <v>97</v>
      </c>
      <c r="I886">
        <v>8.7394198974011933E-3</v>
      </c>
      <c r="J886" t="s">
        <v>62</v>
      </c>
    </row>
    <row r="887" spans="2:10" x14ac:dyDescent="0.25">
      <c r="B887" t="s">
        <v>135</v>
      </c>
      <c r="C887" t="s">
        <v>98</v>
      </c>
      <c r="D887">
        <v>4.3759362270875644E-2</v>
      </c>
      <c r="E887" t="s">
        <v>62</v>
      </c>
      <c r="G887" t="s">
        <v>155</v>
      </c>
      <c r="H887" t="s">
        <v>98</v>
      </c>
      <c r="I887">
        <v>9.4308839389406762E-3</v>
      </c>
      <c r="J887" t="s">
        <v>62</v>
      </c>
    </row>
    <row r="888" spans="2:10" x14ac:dyDescent="0.25">
      <c r="B888" t="s">
        <v>135</v>
      </c>
      <c r="C888" t="s">
        <v>99</v>
      </c>
      <c r="D888">
        <v>2.9438037799516495E-2</v>
      </c>
      <c r="E888" t="s">
        <v>62</v>
      </c>
      <c r="G888" t="s">
        <v>155</v>
      </c>
      <c r="H888" t="s">
        <v>99</v>
      </c>
      <c r="I888">
        <v>8.4295505806467417E-3</v>
      </c>
      <c r="J888" t="s">
        <v>62</v>
      </c>
    </row>
    <row r="889" spans="2:10" x14ac:dyDescent="0.25">
      <c r="B889" t="s">
        <v>135</v>
      </c>
      <c r="C889" t="s">
        <v>100</v>
      </c>
      <c r="D889">
        <v>8.2852272815097539E-3</v>
      </c>
      <c r="E889" t="s">
        <v>62</v>
      </c>
      <c r="G889" t="s">
        <v>155</v>
      </c>
      <c r="H889" t="s">
        <v>100</v>
      </c>
      <c r="I889">
        <v>6.3109039545808029E-3</v>
      </c>
      <c r="J889" t="s">
        <v>62</v>
      </c>
    </row>
    <row r="890" spans="2:10" x14ac:dyDescent="0.25">
      <c r="B890" t="s">
        <v>135</v>
      </c>
      <c r="C890" t="s">
        <v>101</v>
      </c>
      <c r="D890">
        <v>0</v>
      </c>
      <c r="E890" t="s">
        <v>62</v>
      </c>
      <c r="G890" t="s">
        <v>155</v>
      </c>
      <c r="H890" t="s">
        <v>101</v>
      </c>
      <c r="I890">
        <v>6.645114792992143E-3</v>
      </c>
      <c r="J890" t="s">
        <v>62</v>
      </c>
    </row>
    <row r="891" spans="2:10" x14ac:dyDescent="0.25">
      <c r="B891" t="s">
        <v>135</v>
      </c>
      <c r="C891" t="s">
        <v>102</v>
      </c>
      <c r="D891">
        <v>0</v>
      </c>
      <c r="E891" t="s">
        <v>62</v>
      </c>
      <c r="G891" t="s">
        <v>155</v>
      </c>
      <c r="H891" t="s">
        <v>102</v>
      </c>
      <c r="I891">
        <v>2.5307252537065773E-2</v>
      </c>
      <c r="J891" t="s">
        <v>62</v>
      </c>
    </row>
    <row r="892" spans="2:10" x14ac:dyDescent="0.25">
      <c r="B892" t="s">
        <v>135</v>
      </c>
      <c r="C892" t="s">
        <v>103</v>
      </c>
      <c r="D892">
        <v>1.0319151450300698E-3</v>
      </c>
      <c r="E892" t="s">
        <v>62</v>
      </c>
      <c r="G892" t="s">
        <v>155</v>
      </c>
      <c r="H892" t="s">
        <v>103</v>
      </c>
      <c r="I892">
        <v>9.4496888006022489E-3</v>
      </c>
      <c r="J892" t="s">
        <v>62</v>
      </c>
    </row>
    <row r="893" spans="2:10" x14ac:dyDescent="0.25">
      <c r="B893" t="s">
        <v>135</v>
      </c>
      <c r="C893" t="s">
        <v>104</v>
      </c>
      <c r="D893">
        <v>1.7409555971120171E-2</v>
      </c>
      <c r="E893" t="s">
        <v>62</v>
      </c>
      <c r="G893" t="s">
        <v>155</v>
      </c>
      <c r="H893" t="s">
        <v>104</v>
      </c>
      <c r="I893">
        <v>1.0319345759283073E-2</v>
      </c>
      <c r="J893" t="s">
        <v>62</v>
      </c>
    </row>
    <row r="894" spans="2:10" x14ac:dyDescent="0.25">
      <c r="B894" t="s">
        <v>135</v>
      </c>
      <c r="C894" t="s">
        <v>105</v>
      </c>
      <c r="D894">
        <v>3.2723785271830549E-2</v>
      </c>
      <c r="E894" t="s">
        <v>62</v>
      </c>
      <c r="G894" t="s">
        <v>155</v>
      </c>
      <c r="H894" t="s">
        <v>105</v>
      </c>
      <c r="I894">
        <v>1.2075766905090974E-2</v>
      </c>
      <c r="J894" t="s">
        <v>62</v>
      </c>
    </row>
    <row r="895" spans="2:10" x14ac:dyDescent="0.25">
      <c r="B895" t="s">
        <v>135</v>
      </c>
      <c r="C895" t="s">
        <v>106</v>
      </c>
      <c r="D895">
        <v>3.4628858726351117E-2</v>
      </c>
      <c r="E895" t="s">
        <v>62</v>
      </c>
      <c r="G895" t="s">
        <v>155</v>
      </c>
      <c r="H895" t="s">
        <v>106</v>
      </c>
      <c r="I895">
        <v>1.2787314394739447E-2</v>
      </c>
      <c r="J895" t="s">
        <v>62</v>
      </c>
    </row>
    <row r="896" spans="2:10" x14ac:dyDescent="0.25">
      <c r="B896" t="s">
        <v>135</v>
      </c>
      <c r="C896" t="s">
        <v>107</v>
      </c>
      <c r="D896">
        <v>3.5932302974215742E-2</v>
      </c>
      <c r="E896" t="s">
        <v>62</v>
      </c>
      <c r="G896" t="s">
        <v>155</v>
      </c>
      <c r="H896" t="s">
        <v>107</v>
      </c>
      <c r="I896">
        <v>1.6961873122640393E-2</v>
      </c>
      <c r="J896" t="s">
        <v>62</v>
      </c>
    </row>
    <row r="897" spans="2:10" x14ac:dyDescent="0.25">
      <c r="B897" t="s">
        <v>135</v>
      </c>
      <c r="C897" t="s">
        <v>108</v>
      </c>
      <c r="D897">
        <v>2.6589271232088322E-2</v>
      </c>
      <c r="E897" t="s">
        <v>62</v>
      </c>
      <c r="G897" t="s">
        <v>155</v>
      </c>
      <c r="H897" t="s">
        <v>108</v>
      </c>
      <c r="I897">
        <v>1.7349797424173401E-2</v>
      </c>
      <c r="J897" t="s">
        <v>62</v>
      </c>
    </row>
    <row r="898" spans="2:10" x14ac:dyDescent="0.25">
      <c r="B898" t="s">
        <v>135</v>
      </c>
      <c r="C898" t="s">
        <v>109</v>
      </c>
      <c r="D898">
        <v>8.2288787937961991E-3</v>
      </c>
      <c r="E898" t="s">
        <v>62</v>
      </c>
      <c r="G898" t="s">
        <v>155</v>
      </c>
      <c r="H898" t="s">
        <v>109</v>
      </c>
      <c r="I898">
        <v>1.6061860981885036E-2</v>
      </c>
      <c r="J898" t="s">
        <v>62</v>
      </c>
    </row>
    <row r="899" spans="2:10" x14ac:dyDescent="0.25">
      <c r="B899" t="s">
        <v>135</v>
      </c>
      <c r="C899" t="s">
        <v>110</v>
      </c>
      <c r="D899">
        <v>0</v>
      </c>
      <c r="E899" t="s">
        <v>62</v>
      </c>
      <c r="G899" t="s">
        <v>155</v>
      </c>
      <c r="H899" t="s">
        <v>110</v>
      </c>
      <c r="I899">
        <v>1.5065130348248213E-2</v>
      </c>
      <c r="J899" t="s">
        <v>62</v>
      </c>
    </row>
    <row r="900" spans="2:10" x14ac:dyDescent="0.25">
      <c r="B900" t="s">
        <v>135</v>
      </c>
      <c r="C900" t="s">
        <v>111</v>
      </c>
      <c r="D900">
        <v>0</v>
      </c>
      <c r="E900" t="s">
        <v>62</v>
      </c>
      <c r="G900" t="s">
        <v>155</v>
      </c>
      <c r="H900" t="s">
        <v>111</v>
      </c>
      <c r="I900">
        <v>2.0335817485083726E-2</v>
      </c>
      <c r="J900" t="s">
        <v>62</v>
      </c>
    </row>
    <row r="901" spans="2:10" x14ac:dyDescent="0.25">
      <c r="B901" t="s">
        <v>135</v>
      </c>
      <c r="C901" t="s">
        <v>112</v>
      </c>
      <c r="D901">
        <v>0</v>
      </c>
      <c r="E901" t="s">
        <v>62</v>
      </c>
      <c r="G901" t="s">
        <v>155</v>
      </c>
      <c r="H901" t="s">
        <v>112</v>
      </c>
      <c r="I901">
        <v>6.6325633067233922E-2</v>
      </c>
      <c r="J901" t="s">
        <v>62</v>
      </c>
    </row>
    <row r="902" spans="2:10" x14ac:dyDescent="0.25">
      <c r="B902" t="s">
        <v>135</v>
      </c>
      <c r="C902" t="s">
        <v>113</v>
      </c>
      <c r="D902">
        <v>0</v>
      </c>
      <c r="E902" t="s">
        <v>62</v>
      </c>
      <c r="G902" t="s">
        <v>155</v>
      </c>
      <c r="H902" t="s">
        <v>113</v>
      </c>
      <c r="I902">
        <v>2.6424475870148061E-2</v>
      </c>
      <c r="J902" t="s">
        <v>62</v>
      </c>
    </row>
    <row r="903" spans="2:10" x14ac:dyDescent="0.25">
      <c r="B903" t="s">
        <v>135</v>
      </c>
      <c r="C903" t="s">
        <v>114</v>
      </c>
      <c r="D903">
        <v>1.3291040221916411E-3</v>
      </c>
      <c r="E903" t="s">
        <v>62</v>
      </c>
      <c r="G903" t="s">
        <v>155</v>
      </c>
      <c r="H903" t="s">
        <v>114</v>
      </c>
      <c r="I903">
        <v>2.5322416426547929E-2</v>
      </c>
      <c r="J903" t="s">
        <v>62</v>
      </c>
    </row>
    <row r="904" spans="2:10" x14ac:dyDescent="0.25">
      <c r="B904" t="s">
        <v>135</v>
      </c>
      <c r="C904" t="s">
        <v>115</v>
      </c>
      <c r="D904">
        <v>1.2954462519196314E-2</v>
      </c>
      <c r="E904" t="s">
        <v>62</v>
      </c>
      <c r="G904" t="s">
        <v>155</v>
      </c>
      <c r="H904" t="s">
        <v>115</v>
      </c>
      <c r="I904">
        <v>2.4195243248951986E-2</v>
      </c>
      <c r="J904" t="s">
        <v>62</v>
      </c>
    </row>
    <row r="905" spans="2:10" x14ac:dyDescent="0.25">
      <c r="B905" t="s">
        <v>135</v>
      </c>
      <c r="C905" t="s">
        <v>116</v>
      </c>
      <c r="D905">
        <v>1.7034946955093184E-2</v>
      </c>
      <c r="E905" t="s">
        <v>62</v>
      </c>
      <c r="G905" t="s">
        <v>155</v>
      </c>
      <c r="H905" t="s">
        <v>116</v>
      </c>
      <c r="I905">
        <v>2.1735653801237462E-2</v>
      </c>
      <c r="J905" t="s">
        <v>62</v>
      </c>
    </row>
    <row r="906" spans="2:10" x14ac:dyDescent="0.25">
      <c r="B906" t="s">
        <v>135</v>
      </c>
      <c r="C906" t="s">
        <v>117</v>
      </c>
      <c r="D906">
        <v>1.9057179871365383E-2</v>
      </c>
      <c r="E906" t="s">
        <v>62</v>
      </c>
      <c r="G906" t="s">
        <v>155</v>
      </c>
      <c r="H906" t="s">
        <v>117</v>
      </c>
      <c r="I906">
        <v>2.3791602695614665E-2</v>
      </c>
      <c r="J906" t="s">
        <v>62</v>
      </c>
    </row>
    <row r="907" spans="2:10" x14ac:dyDescent="0.25">
      <c r="B907" t="s">
        <v>135</v>
      </c>
      <c r="C907" t="s">
        <v>118</v>
      </c>
      <c r="D907">
        <v>8.8998734140611022E-3</v>
      </c>
      <c r="E907" t="s">
        <v>62</v>
      </c>
      <c r="G907" t="s">
        <v>155</v>
      </c>
      <c r="H907" t="s">
        <v>118</v>
      </c>
      <c r="I907">
        <v>2.5506510912139756E-2</v>
      </c>
      <c r="J907" t="s">
        <v>62</v>
      </c>
    </row>
    <row r="908" spans="2:10" x14ac:dyDescent="0.25">
      <c r="B908" t="s">
        <v>135</v>
      </c>
      <c r="C908" t="s">
        <v>119</v>
      </c>
      <c r="D908">
        <v>0</v>
      </c>
      <c r="E908" t="s">
        <v>62</v>
      </c>
      <c r="G908" t="s">
        <v>155</v>
      </c>
      <c r="H908" t="s">
        <v>119</v>
      </c>
      <c r="I908">
        <v>2.6720702692017498E-2</v>
      </c>
      <c r="J908" t="s">
        <v>62</v>
      </c>
    </row>
    <row r="909" spans="2:10" x14ac:dyDescent="0.25">
      <c r="B909" t="s">
        <v>135</v>
      </c>
      <c r="C909" t="s">
        <v>120</v>
      </c>
      <c r="D909">
        <v>0</v>
      </c>
      <c r="E909" t="s">
        <v>62</v>
      </c>
      <c r="G909" t="s">
        <v>155</v>
      </c>
      <c r="H909" t="s">
        <v>120</v>
      </c>
      <c r="I909">
        <v>2.7309280749686103E-2</v>
      </c>
      <c r="J909" t="s">
        <v>62</v>
      </c>
    </row>
    <row r="910" spans="2:10" x14ac:dyDescent="0.25">
      <c r="B910" t="s">
        <v>135</v>
      </c>
      <c r="C910" t="s">
        <v>121</v>
      </c>
      <c r="D910">
        <v>0</v>
      </c>
      <c r="E910" t="s">
        <v>62</v>
      </c>
      <c r="G910" t="s">
        <v>155</v>
      </c>
      <c r="H910" t="s">
        <v>121</v>
      </c>
      <c r="I910">
        <v>3.8887834967087656E-2</v>
      </c>
      <c r="J910" t="s">
        <v>62</v>
      </c>
    </row>
    <row r="911" spans="2:10" x14ac:dyDescent="0.25">
      <c r="B911" t="s">
        <v>136</v>
      </c>
      <c r="C911" t="s">
        <v>61</v>
      </c>
      <c r="D911">
        <v>0</v>
      </c>
      <c r="E911" t="s">
        <v>62</v>
      </c>
      <c r="G911" t="s">
        <v>156</v>
      </c>
      <c r="H911" t="s">
        <v>61</v>
      </c>
      <c r="I911">
        <v>3.9106493095034334E-2</v>
      </c>
      <c r="J911" t="s">
        <v>62</v>
      </c>
    </row>
    <row r="912" spans="2:10" x14ac:dyDescent="0.25">
      <c r="B912" t="s">
        <v>136</v>
      </c>
      <c r="C912" t="s">
        <v>63</v>
      </c>
      <c r="D912">
        <v>0</v>
      </c>
      <c r="E912" t="s">
        <v>62</v>
      </c>
      <c r="G912" t="s">
        <v>156</v>
      </c>
      <c r="H912" t="s">
        <v>63</v>
      </c>
      <c r="I912">
        <v>1.5379910194423422E-2</v>
      </c>
      <c r="J912" t="s">
        <v>62</v>
      </c>
    </row>
    <row r="913" spans="2:10" x14ac:dyDescent="0.25">
      <c r="B913" t="s">
        <v>136</v>
      </c>
      <c r="C913" t="s">
        <v>64</v>
      </c>
      <c r="D913">
        <v>8.5942734801638932E-4</v>
      </c>
      <c r="E913" t="s">
        <v>62</v>
      </c>
      <c r="G913" t="s">
        <v>156</v>
      </c>
      <c r="H913" t="s">
        <v>64</v>
      </c>
      <c r="I913">
        <v>1.5382520203036532E-2</v>
      </c>
      <c r="J913" t="s">
        <v>62</v>
      </c>
    </row>
    <row r="914" spans="2:10" x14ac:dyDescent="0.25">
      <c r="B914" t="s">
        <v>136</v>
      </c>
      <c r="C914" t="s">
        <v>65</v>
      </c>
      <c r="D914">
        <v>9.7475657257249208E-3</v>
      </c>
      <c r="E914" t="s">
        <v>62</v>
      </c>
      <c r="G914" t="s">
        <v>156</v>
      </c>
      <c r="H914" t="s">
        <v>65</v>
      </c>
      <c r="I914">
        <v>1.5020908723382876E-2</v>
      </c>
      <c r="J914" t="s">
        <v>62</v>
      </c>
    </row>
    <row r="915" spans="2:10" x14ac:dyDescent="0.25">
      <c r="B915" t="s">
        <v>136</v>
      </c>
      <c r="C915" t="s">
        <v>66</v>
      </c>
      <c r="D915">
        <v>1.647898387597331E-2</v>
      </c>
      <c r="E915" t="s">
        <v>62</v>
      </c>
      <c r="G915" t="s">
        <v>156</v>
      </c>
      <c r="H915" t="s">
        <v>66</v>
      </c>
      <c r="I915">
        <v>1.4765169353135413E-2</v>
      </c>
      <c r="J915" t="s">
        <v>62</v>
      </c>
    </row>
    <row r="916" spans="2:10" x14ac:dyDescent="0.25">
      <c r="B916" t="s">
        <v>136</v>
      </c>
      <c r="C916" t="s">
        <v>67</v>
      </c>
      <c r="D916">
        <v>1.656141519752953E-2</v>
      </c>
      <c r="E916" t="s">
        <v>62</v>
      </c>
      <c r="G916" t="s">
        <v>156</v>
      </c>
      <c r="H916" t="s">
        <v>67</v>
      </c>
      <c r="I916">
        <v>1.5688425537798544E-2</v>
      </c>
      <c r="J916" t="s">
        <v>62</v>
      </c>
    </row>
    <row r="917" spans="2:10" x14ac:dyDescent="0.25">
      <c r="B917" t="s">
        <v>136</v>
      </c>
      <c r="C917" t="s">
        <v>68</v>
      </c>
      <c r="D917">
        <v>8.2707677285789854E-3</v>
      </c>
      <c r="E917" t="s">
        <v>62</v>
      </c>
      <c r="G917" t="s">
        <v>156</v>
      </c>
      <c r="H917" t="s">
        <v>68</v>
      </c>
      <c r="I917">
        <v>1.6340543472468331E-2</v>
      </c>
      <c r="J917" t="s">
        <v>62</v>
      </c>
    </row>
    <row r="918" spans="2:10" x14ac:dyDescent="0.25">
      <c r="B918" t="s">
        <v>136</v>
      </c>
      <c r="C918" t="s">
        <v>69</v>
      </c>
      <c r="D918">
        <v>6.6194114499329632E-4</v>
      </c>
      <c r="E918" t="s">
        <v>62</v>
      </c>
      <c r="G918" t="s">
        <v>156</v>
      </c>
      <c r="H918" t="s">
        <v>69</v>
      </c>
      <c r="I918">
        <v>1.7341304148330784E-2</v>
      </c>
      <c r="J918" t="s">
        <v>62</v>
      </c>
    </row>
    <row r="919" spans="2:10" x14ac:dyDescent="0.25">
      <c r="B919" t="s">
        <v>136</v>
      </c>
      <c r="C919" t="s">
        <v>70</v>
      </c>
      <c r="D919">
        <v>0</v>
      </c>
      <c r="E919" t="s">
        <v>62</v>
      </c>
      <c r="G919" t="s">
        <v>156</v>
      </c>
      <c r="H919" t="s">
        <v>70</v>
      </c>
      <c r="I919">
        <v>1.7413946715179349E-2</v>
      </c>
      <c r="J919" t="s">
        <v>62</v>
      </c>
    </row>
    <row r="920" spans="2:10" x14ac:dyDescent="0.25">
      <c r="B920" t="s">
        <v>136</v>
      </c>
      <c r="C920" t="s">
        <v>71</v>
      </c>
      <c r="D920">
        <v>0</v>
      </c>
      <c r="E920" t="s">
        <v>62</v>
      </c>
      <c r="G920" t="s">
        <v>156</v>
      </c>
      <c r="H920" t="s">
        <v>71</v>
      </c>
      <c r="I920">
        <v>2.5036283897956754E-2</v>
      </c>
      <c r="J920" t="s">
        <v>62</v>
      </c>
    </row>
    <row r="921" spans="2:10" x14ac:dyDescent="0.25">
      <c r="B921" t="s">
        <v>136</v>
      </c>
      <c r="C921" t="s">
        <v>72</v>
      </c>
      <c r="D921">
        <v>0</v>
      </c>
      <c r="E921" t="s">
        <v>62</v>
      </c>
      <c r="G921" t="s">
        <v>156</v>
      </c>
      <c r="H921" t="s">
        <v>72</v>
      </c>
      <c r="I921">
        <v>3.9613627300251864E-2</v>
      </c>
      <c r="J921" t="s">
        <v>62</v>
      </c>
    </row>
    <row r="922" spans="2:10" x14ac:dyDescent="0.25">
      <c r="B922" t="s">
        <v>136</v>
      </c>
      <c r="C922" t="s">
        <v>73</v>
      </c>
      <c r="D922">
        <v>2.8551323564016524E-3</v>
      </c>
      <c r="E922" t="s">
        <v>62</v>
      </c>
      <c r="G922" t="s">
        <v>156</v>
      </c>
      <c r="H922" t="s">
        <v>73</v>
      </c>
      <c r="I922">
        <v>1.560648553676694E-2</v>
      </c>
      <c r="J922" t="s">
        <v>62</v>
      </c>
    </row>
    <row r="923" spans="2:10" x14ac:dyDescent="0.25">
      <c r="B923" t="s">
        <v>136</v>
      </c>
      <c r="C923" t="s">
        <v>74</v>
      </c>
      <c r="D923">
        <v>2.3695277186281456E-2</v>
      </c>
      <c r="E923" t="s">
        <v>62</v>
      </c>
      <c r="G923" t="s">
        <v>156</v>
      </c>
      <c r="H923" t="s">
        <v>74</v>
      </c>
      <c r="I923">
        <v>1.4487992646915611E-2</v>
      </c>
      <c r="J923" t="s">
        <v>62</v>
      </c>
    </row>
    <row r="924" spans="2:10" x14ac:dyDescent="0.25">
      <c r="B924" t="s">
        <v>136</v>
      </c>
      <c r="C924" t="s">
        <v>75</v>
      </c>
      <c r="D924">
        <v>4.1665231165400031E-2</v>
      </c>
      <c r="E924" t="s">
        <v>62</v>
      </c>
      <c r="G924" t="s">
        <v>156</v>
      </c>
      <c r="H924" t="s">
        <v>75</v>
      </c>
      <c r="I924">
        <v>1.4830232476143096E-2</v>
      </c>
      <c r="J924" t="s">
        <v>62</v>
      </c>
    </row>
    <row r="925" spans="2:10" x14ac:dyDescent="0.25">
      <c r="B925" t="s">
        <v>136</v>
      </c>
      <c r="C925" t="s">
        <v>76</v>
      </c>
      <c r="D925">
        <v>4.5380884326859779E-2</v>
      </c>
      <c r="E925" t="s">
        <v>62</v>
      </c>
      <c r="G925" t="s">
        <v>156</v>
      </c>
      <c r="H925" t="s">
        <v>76</v>
      </c>
      <c r="I925">
        <v>1.3925540800221011E-2</v>
      </c>
      <c r="J925" t="s">
        <v>62</v>
      </c>
    </row>
    <row r="926" spans="2:10" x14ac:dyDescent="0.25">
      <c r="B926" t="s">
        <v>136</v>
      </c>
      <c r="C926" t="s">
        <v>77</v>
      </c>
      <c r="D926">
        <v>4.3482705831556411E-2</v>
      </c>
      <c r="E926" t="s">
        <v>62</v>
      </c>
      <c r="G926" t="s">
        <v>156</v>
      </c>
      <c r="H926" t="s">
        <v>77</v>
      </c>
      <c r="I926">
        <v>1.5314315651905407E-2</v>
      </c>
      <c r="J926" t="s">
        <v>62</v>
      </c>
    </row>
    <row r="927" spans="2:10" x14ac:dyDescent="0.25">
      <c r="B927" t="s">
        <v>136</v>
      </c>
      <c r="C927" t="s">
        <v>78</v>
      </c>
      <c r="D927">
        <v>3.4358189378832234E-2</v>
      </c>
      <c r="E927" t="s">
        <v>62</v>
      </c>
      <c r="G927" t="s">
        <v>156</v>
      </c>
      <c r="H927" t="s">
        <v>78</v>
      </c>
      <c r="I927">
        <v>1.517708342878102E-2</v>
      </c>
      <c r="J927" t="s">
        <v>62</v>
      </c>
    </row>
    <row r="928" spans="2:10" x14ac:dyDescent="0.25">
      <c r="B928" t="s">
        <v>136</v>
      </c>
      <c r="C928" t="s">
        <v>79</v>
      </c>
      <c r="D928">
        <v>1.708664536585406E-2</v>
      </c>
      <c r="E928" t="s">
        <v>62</v>
      </c>
      <c r="G928" t="s">
        <v>156</v>
      </c>
      <c r="H928" t="s">
        <v>79</v>
      </c>
      <c r="I928">
        <v>1.5588467117220823E-2</v>
      </c>
      <c r="J928" t="s">
        <v>62</v>
      </c>
    </row>
    <row r="929" spans="2:10" x14ac:dyDescent="0.25">
      <c r="B929" t="s">
        <v>136</v>
      </c>
      <c r="C929" t="s">
        <v>80</v>
      </c>
      <c r="D929">
        <v>1.3799589148515768E-3</v>
      </c>
      <c r="E929" t="s">
        <v>62</v>
      </c>
      <c r="G929" t="s">
        <v>156</v>
      </c>
      <c r="H929" t="s">
        <v>80</v>
      </c>
      <c r="I929">
        <v>1.6637720818982904E-2</v>
      </c>
      <c r="J929" t="s">
        <v>62</v>
      </c>
    </row>
    <row r="930" spans="2:10" x14ac:dyDescent="0.25">
      <c r="B930" t="s">
        <v>136</v>
      </c>
      <c r="C930" t="s">
        <v>81</v>
      </c>
      <c r="D930">
        <v>0</v>
      </c>
      <c r="E930" t="s">
        <v>62</v>
      </c>
      <c r="G930" t="s">
        <v>156</v>
      </c>
      <c r="H930" t="s">
        <v>81</v>
      </c>
      <c r="I930">
        <v>2.4080969247594567E-2</v>
      </c>
      <c r="J930" t="s">
        <v>62</v>
      </c>
    </row>
    <row r="931" spans="2:10" x14ac:dyDescent="0.25">
      <c r="B931" t="s">
        <v>136</v>
      </c>
      <c r="C931" t="s">
        <v>82</v>
      </c>
      <c r="D931">
        <v>0</v>
      </c>
      <c r="E931" t="s">
        <v>62</v>
      </c>
      <c r="G931" t="s">
        <v>156</v>
      </c>
      <c r="H931" t="s">
        <v>82</v>
      </c>
      <c r="I931">
        <v>1.6433774663200954E-2</v>
      </c>
      <c r="J931" t="s">
        <v>62</v>
      </c>
    </row>
    <row r="932" spans="2:10" x14ac:dyDescent="0.25">
      <c r="B932" t="s">
        <v>136</v>
      </c>
      <c r="C932" t="s">
        <v>83</v>
      </c>
      <c r="D932">
        <v>1.3760902019288925E-2</v>
      </c>
      <c r="E932" t="s">
        <v>62</v>
      </c>
      <c r="G932" t="s">
        <v>156</v>
      </c>
      <c r="H932" t="s">
        <v>83</v>
      </c>
      <c r="I932">
        <v>6.6917698964782217E-3</v>
      </c>
      <c r="J932" t="s">
        <v>62</v>
      </c>
    </row>
    <row r="933" spans="2:10" x14ac:dyDescent="0.25">
      <c r="B933" t="s">
        <v>136</v>
      </c>
      <c r="C933" t="s">
        <v>84</v>
      </c>
      <c r="D933">
        <v>3.3284324344982553E-2</v>
      </c>
      <c r="E933" t="s">
        <v>62</v>
      </c>
      <c r="G933" t="s">
        <v>156</v>
      </c>
      <c r="H933" t="s">
        <v>84</v>
      </c>
      <c r="I933">
        <v>6.7646627807888557E-3</v>
      </c>
      <c r="J933" t="s">
        <v>62</v>
      </c>
    </row>
    <row r="934" spans="2:10" x14ac:dyDescent="0.25">
      <c r="B934" t="s">
        <v>136</v>
      </c>
      <c r="C934" t="s">
        <v>85</v>
      </c>
      <c r="D934">
        <v>4.4458993261572224E-2</v>
      </c>
      <c r="E934" t="s">
        <v>62</v>
      </c>
      <c r="G934" t="s">
        <v>156</v>
      </c>
      <c r="H934" t="s">
        <v>85</v>
      </c>
      <c r="I934">
        <v>7.0256710385058338E-3</v>
      </c>
      <c r="J934" t="s">
        <v>62</v>
      </c>
    </row>
    <row r="935" spans="2:10" x14ac:dyDescent="0.25">
      <c r="B935" t="s">
        <v>136</v>
      </c>
      <c r="C935" t="s">
        <v>86</v>
      </c>
      <c r="D935">
        <v>4.554830634986462E-2</v>
      </c>
      <c r="E935" t="s">
        <v>62</v>
      </c>
      <c r="G935" t="s">
        <v>156</v>
      </c>
      <c r="H935" t="s">
        <v>86</v>
      </c>
      <c r="I935">
        <v>5.0321504758725731E-3</v>
      </c>
      <c r="J935" t="s">
        <v>62</v>
      </c>
    </row>
    <row r="936" spans="2:10" x14ac:dyDescent="0.25">
      <c r="B936" t="s">
        <v>136</v>
      </c>
      <c r="C936" t="s">
        <v>87</v>
      </c>
      <c r="D936">
        <v>4.4044751973072262E-2</v>
      </c>
      <c r="E936" t="s">
        <v>62</v>
      </c>
      <c r="G936" t="s">
        <v>156</v>
      </c>
      <c r="H936" t="s">
        <v>87</v>
      </c>
      <c r="I936">
        <v>6.2549562906912262E-3</v>
      </c>
      <c r="J936" t="s">
        <v>62</v>
      </c>
    </row>
    <row r="937" spans="2:10" x14ac:dyDescent="0.25">
      <c r="B937" t="s">
        <v>136</v>
      </c>
      <c r="C937" t="s">
        <v>88</v>
      </c>
      <c r="D937">
        <v>3.70854523276231E-2</v>
      </c>
      <c r="E937" t="s">
        <v>62</v>
      </c>
      <c r="G937" t="s">
        <v>156</v>
      </c>
      <c r="H937" t="s">
        <v>88</v>
      </c>
      <c r="I937">
        <v>7.1239898451042494E-3</v>
      </c>
      <c r="J937" t="s">
        <v>62</v>
      </c>
    </row>
    <row r="938" spans="2:10" x14ac:dyDescent="0.25">
      <c r="B938" t="s">
        <v>136</v>
      </c>
      <c r="C938" t="s">
        <v>89</v>
      </c>
      <c r="D938">
        <v>2.3299425587163886E-2</v>
      </c>
      <c r="E938" t="s">
        <v>62</v>
      </c>
      <c r="G938" t="s">
        <v>156</v>
      </c>
      <c r="H938" t="s">
        <v>89</v>
      </c>
      <c r="I938">
        <v>7.0283121873375596E-3</v>
      </c>
      <c r="J938" t="s">
        <v>62</v>
      </c>
    </row>
    <row r="939" spans="2:10" x14ac:dyDescent="0.25">
      <c r="B939" t="s">
        <v>136</v>
      </c>
      <c r="C939" t="s">
        <v>90</v>
      </c>
      <c r="D939">
        <v>7.4644405746431795E-3</v>
      </c>
      <c r="E939" t="s">
        <v>62</v>
      </c>
      <c r="G939" t="s">
        <v>156</v>
      </c>
      <c r="H939" t="s">
        <v>90</v>
      </c>
      <c r="I939">
        <v>7.7586823974157932E-3</v>
      </c>
      <c r="J939" t="s">
        <v>62</v>
      </c>
    </row>
    <row r="940" spans="2:10" x14ac:dyDescent="0.25">
      <c r="B940" t="s">
        <v>136</v>
      </c>
      <c r="C940" t="s">
        <v>91</v>
      </c>
      <c r="D940">
        <v>0</v>
      </c>
      <c r="E940" t="s">
        <v>62</v>
      </c>
      <c r="G940" t="s">
        <v>156</v>
      </c>
      <c r="H940" t="s">
        <v>91</v>
      </c>
      <c r="I940">
        <v>1.0900996362472708E-2</v>
      </c>
      <c r="J940" t="s">
        <v>62</v>
      </c>
    </row>
    <row r="941" spans="2:10" x14ac:dyDescent="0.25">
      <c r="B941" t="s">
        <v>136</v>
      </c>
      <c r="C941" t="s">
        <v>92</v>
      </c>
      <c r="D941">
        <v>0</v>
      </c>
      <c r="E941" t="s">
        <v>62</v>
      </c>
      <c r="G941" t="s">
        <v>156</v>
      </c>
      <c r="H941" t="s">
        <v>92</v>
      </c>
      <c r="I941">
        <v>1.5955480575208399E-2</v>
      </c>
      <c r="J941" t="s">
        <v>62</v>
      </c>
    </row>
    <row r="942" spans="2:10" x14ac:dyDescent="0.25">
      <c r="B942" t="s">
        <v>136</v>
      </c>
      <c r="C942" t="s">
        <v>93</v>
      </c>
      <c r="D942">
        <v>1.4693872560174603E-2</v>
      </c>
      <c r="E942" t="s">
        <v>62</v>
      </c>
      <c r="G942" t="s">
        <v>156</v>
      </c>
      <c r="H942" t="s">
        <v>93</v>
      </c>
      <c r="I942">
        <v>6.2622458850974142E-3</v>
      </c>
      <c r="J942" t="s">
        <v>62</v>
      </c>
    </row>
    <row r="943" spans="2:10" x14ac:dyDescent="0.25">
      <c r="B943" t="s">
        <v>136</v>
      </c>
      <c r="C943" t="s">
        <v>94</v>
      </c>
      <c r="D943">
        <v>4.0378285294986022E-2</v>
      </c>
      <c r="E943" t="s">
        <v>62</v>
      </c>
      <c r="G943" t="s">
        <v>156</v>
      </c>
      <c r="H943" t="s">
        <v>94</v>
      </c>
      <c r="I943">
        <v>5.3843135908382559E-3</v>
      </c>
      <c r="J943" t="s">
        <v>62</v>
      </c>
    </row>
    <row r="944" spans="2:10" x14ac:dyDescent="0.25">
      <c r="B944" t="s">
        <v>136</v>
      </c>
      <c r="C944" t="s">
        <v>95</v>
      </c>
      <c r="D944">
        <v>5.3724313596447242E-2</v>
      </c>
      <c r="E944" t="s">
        <v>62</v>
      </c>
      <c r="G944" t="s">
        <v>156</v>
      </c>
      <c r="H944" t="s">
        <v>95</v>
      </c>
      <c r="I944">
        <v>6.4609163632629966E-3</v>
      </c>
      <c r="J944" t="s">
        <v>62</v>
      </c>
    </row>
    <row r="945" spans="2:10" x14ac:dyDescent="0.25">
      <c r="B945" t="s">
        <v>136</v>
      </c>
      <c r="C945" t="s">
        <v>96</v>
      </c>
      <c r="D945">
        <v>5.2561449896511625E-2</v>
      </c>
      <c r="E945" t="s">
        <v>62</v>
      </c>
      <c r="G945" t="s">
        <v>156</v>
      </c>
      <c r="H945" t="s">
        <v>96</v>
      </c>
      <c r="I945">
        <v>6.048048793492921E-3</v>
      </c>
      <c r="J945" t="s">
        <v>62</v>
      </c>
    </row>
    <row r="946" spans="2:10" x14ac:dyDescent="0.25">
      <c r="B946" t="s">
        <v>136</v>
      </c>
      <c r="C946" t="s">
        <v>97</v>
      </c>
      <c r="D946">
        <v>4.9075272487393719E-2</v>
      </c>
      <c r="E946" t="s">
        <v>62</v>
      </c>
      <c r="G946" t="s">
        <v>156</v>
      </c>
      <c r="H946" t="s">
        <v>97</v>
      </c>
      <c r="I946">
        <v>7.4108177245802345E-3</v>
      </c>
      <c r="J946" t="s">
        <v>62</v>
      </c>
    </row>
    <row r="947" spans="2:10" x14ac:dyDescent="0.25">
      <c r="B947" t="s">
        <v>136</v>
      </c>
      <c r="C947" t="s">
        <v>98</v>
      </c>
      <c r="D947">
        <v>4.3492202663663063E-2</v>
      </c>
      <c r="E947" t="s">
        <v>62</v>
      </c>
      <c r="G947" t="s">
        <v>156</v>
      </c>
      <c r="H947" t="s">
        <v>98</v>
      </c>
      <c r="I947">
        <v>7.2690508297012218E-3</v>
      </c>
      <c r="J947" t="s">
        <v>62</v>
      </c>
    </row>
    <row r="948" spans="2:10" x14ac:dyDescent="0.25">
      <c r="B948" t="s">
        <v>136</v>
      </c>
      <c r="C948" t="s">
        <v>99</v>
      </c>
      <c r="D948">
        <v>3.0402896461322541E-2</v>
      </c>
      <c r="E948" t="s">
        <v>62</v>
      </c>
      <c r="G948" t="s">
        <v>156</v>
      </c>
      <c r="H948" t="s">
        <v>99</v>
      </c>
      <c r="I948">
        <v>6.2357844366478302E-3</v>
      </c>
      <c r="J948" t="s">
        <v>62</v>
      </c>
    </row>
    <row r="949" spans="2:10" x14ac:dyDescent="0.25">
      <c r="B949" t="s">
        <v>136</v>
      </c>
      <c r="C949" t="s">
        <v>100</v>
      </c>
      <c r="D949">
        <v>8.9880390655974318E-3</v>
      </c>
      <c r="E949" t="s">
        <v>62</v>
      </c>
      <c r="G949" t="s">
        <v>156</v>
      </c>
      <c r="H949" t="s">
        <v>100</v>
      </c>
      <c r="I949">
        <v>7.0743066857507095E-3</v>
      </c>
      <c r="J949" t="s">
        <v>62</v>
      </c>
    </row>
    <row r="950" spans="2:10" x14ac:dyDescent="0.25">
      <c r="B950" t="s">
        <v>136</v>
      </c>
      <c r="C950" t="s">
        <v>101</v>
      </c>
      <c r="D950">
        <v>0</v>
      </c>
      <c r="E950" t="s">
        <v>62</v>
      </c>
      <c r="G950" t="s">
        <v>156</v>
      </c>
      <c r="H950" t="s">
        <v>101</v>
      </c>
      <c r="I950">
        <v>9.9142004712961928E-3</v>
      </c>
      <c r="J950" t="s">
        <v>62</v>
      </c>
    </row>
    <row r="951" spans="2:10" x14ac:dyDescent="0.25">
      <c r="B951" t="s">
        <v>136</v>
      </c>
      <c r="C951" t="s">
        <v>102</v>
      </c>
      <c r="D951">
        <v>0</v>
      </c>
      <c r="E951" t="s">
        <v>62</v>
      </c>
      <c r="G951" t="s">
        <v>156</v>
      </c>
      <c r="H951" t="s">
        <v>102</v>
      </c>
      <c r="I951">
        <v>3.6254521417407384E-2</v>
      </c>
      <c r="J951" t="s">
        <v>62</v>
      </c>
    </row>
    <row r="952" spans="2:10" x14ac:dyDescent="0.25">
      <c r="B952" t="s">
        <v>136</v>
      </c>
      <c r="C952" t="s">
        <v>103</v>
      </c>
      <c r="D952">
        <v>1.2164968810401819E-3</v>
      </c>
      <c r="E952" t="s">
        <v>62</v>
      </c>
      <c r="G952" t="s">
        <v>156</v>
      </c>
      <c r="H952" t="s">
        <v>103</v>
      </c>
      <c r="I952">
        <v>1.3721234383583254E-2</v>
      </c>
      <c r="J952" t="s">
        <v>62</v>
      </c>
    </row>
    <row r="953" spans="2:10" x14ac:dyDescent="0.25">
      <c r="B953" t="s">
        <v>136</v>
      </c>
      <c r="C953" t="s">
        <v>104</v>
      </c>
      <c r="D953">
        <v>1.6897178005414411E-2</v>
      </c>
      <c r="E953" t="s">
        <v>62</v>
      </c>
      <c r="G953" t="s">
        <v>156</v>
      </c>
      <c r="H953" t="s">
        <v>104</v>
      </c>
      <c r="I953">
        <v>1.3470632710172244E-2</v>
      </c>
      <c r="J953" t="s">
        <v>62</v>
      </c>
    </row>
    <row r="954" spans="2:10" x14ac:dyDescent="0.25">
      <c r="B954" t="s">
        <v>136</v>
      </c>
      <c r="C954" t="s">
        <v>105</v>
      </c>
      <c r="D954">
        <v>3.1859564672413229E-2</v>
      </c>
      <c r="E954" t="s">
        <v>62</v>
      </c>
      <c r="G954" t="s">
        <v>156</v>
      </c>
      <c r="H954" t="s">
        <v>105</v>
      </c>
      <c r="I954">
        <v>1.3701038137497222E-2</v>
      </c>
      <c r="J954" t="s">
        <v>62</v>
      </c>
    </row>
    <row r="955" spans="2:10" x14ac:dyDescent="0.25">
      <c r="B955" t="s">
        <v>136</v>
      </c>
      <c r="C955" t="s">
        <v>106</v>
      </c>
      <c r="D955">
        <v>3.4066779708650442E-2</v>
      </c>
      <c r="E955" t="s">
        <v>62</v>
      </c>
      <c r="G955" t="s">
        <v>156</v>
      </c>
      <c r="H955" t="s">
        <v>106</v>
      </c>
      <c r="I955">
        <v>1.2632461823058943E-2</v>
      </c>
      <c r="J955" t="s">
        <v>62</v>
      </c>
    </row>
    <row r="956" spans="2:10" x14ac:dyDescent="0.25">
      <c r="B956" t="s">
        <v>136</v>
      </c>
      <c r="C956" t="s">
        <v>107</v>
      </c>
      <c r="D956">
        <v>3.3216410208835451E-2</v>
      </c>
      <c r="E956" t="s">
        <v>62</v>
      </c>
      <c r="G956" t="s">
        <v>156</v>
      </c>
      <c r="H956" t="s">
        <v>107</v>
      </c>
      <c r="I956">
        <v>1.37837746133432E-2</v>
      </c>
      <c r="J956" t="s">
        <v>62</v>
      </c>
    </row>
    <row r="957" spans="2:10" x14ac:dyDescent="0.25">
      <c r="B957" t="s">
        <v>136</v>
      </c>
      <c r="C957" t="s">
        <v>108</v>
      </c>
      <c r="D957">
        <v>2.5345606769898617E-2</v>
      </c>
      <c r="E957" t="s">
        <v>62</v>
      </c>
      <c r="G957" t="s">
        <v>156</v>
      </c>
      <c r="H957" t="s">
        <v>108</v>
      </c>
      <c r="I957">
        <v>1.3943775316032398E-2</v>
      </c>
      <c r="J957" t="s">
        <v>62</v>
      </c>
    </row>
    <row r="958" spans="2:10" x14ac:dyDescent="0.25">
      <c r="B958" t="s">
        <v>136</v>
      </c>
      <c r="C958" t="s">
        <v>109</v>
      </c>
      <c r="D958">
        <v>7.5377796545978357E-3</v>
      </c>
      <c r="E958" t="s">
        <v>62</v>
      </c>
      <c r="G958" t="s">
        <v>156</v>
      </c>
      <c r="H958" t="s">
        <v>109</v>
      </c>
      <c r="I958">
        <v>1.4288083116379555E-2</v>
      </c>
      <c r="J958" t="s">
        <v>62</v>
      </c>
    </row>
    <row r="959" spans="2:10" x14ac:dyDescent="0.25">
      <c r="B959" t="s">
        <v>136</v>
      </c>
      <c r="C959" t="s">
        <v>110</v>
      </c>
      <c r="D959">
        <v>0</v>
      </c>
      <c r="E959" t="s">
        <v>62</v>
      </c>
      <c r="G959" t="s">
        <v>156</v>
      </c>
      <c r="H959" t="s">
        <v>110</v>
      </c>
      <c r="I959">
        <v>1.5393110485401521E-2</v>
      </c>
      <c r="J959" t="s">
        <v>62</v>
      </c>
    </row>
    <row r="960" spans="2:10" x14ac:dyDescent="0.25">
      <c r="B960" t="s">
        <v>136</v>
      </c>
      <c r="C960" t="s">
        <v>111</v>
      </c>
      <c r="D960">
        <v>0</v>
      </c>
      <c r="E960" t="s">
        <v>62</v>
      </c>
      <c r="G960" t="s">
        <v>156</v>
      </c>
      <c r="H960" t="s">
        <v>111</v>
      </c>
      <c r="I960">
        <v>2.3391747867155289E-2</v>
      </c>
      <c r="J960" t="s">
        <v>62</v>
      </c>
    </row>
    <row r="961" spans="2:10" x14ac:dyDescent="0.25">
      <c r="B961" t="s">
        <v>136</v>
      </c>
      <c r="C961" t="s">
        <v>112</v>
      </c>
      <c r="D961">
        <v>0</v>
      </c>
      <c r="E961" t="s">
        <v>62</v>
      </c>
      <c r="G961" t="s">
        <v>156</v>
      </c>
      <c r="H961" t="s">
        <v>112</v>
      </c>
      <c r="I961">
        <v>6.1977017269893381E-2</v>
      </c>
      <c r="J961" t="s">
        <v>62</v>
      </c>
    </row>
    <row r="962" spans="2:10" x14ac:dyDescent="0.25">
      <c r="B962" t="s">
        <v>136</v>
      </c>
      <c r="C962" t="s">
        <v>113</v>
      </c>
      <c r="D962">
        <v>0</v>
      </c>
      <c r="E962" t="s">
        <v>62</v>
      </c>
      <c r="G962" t="s">
        <v>156</v>
      </c>
      <c r="H962" t="s">
        <v>113</v>
      </c>
      <c r="I962">
        <v>2.5198149534076883E-2</v>
      </c>
      <c r="J962" t="s">
        <v>62</v>
      </c>
    </row>
    <row r="963" spans="2:10" x14ac:dyDescent="0.25">
      <c r="B963" t="s">
        <v>136</v>
      </c>
      <c r="C963" t="s">
        <v>114</v>
      </c>
      <c r="D963">
        <v>8.6006775561668853E-4</v>
      </c>
      <c r="E963" t="s">
        <v>62</v>
      </c>
      <c r="G963" t="s">
        <v>156</v>
      </c>
      <c r="H963" t="s">
        <v>114</v>
      </c>
      <c r="I963">
        <v>2.4972726657087767E-2</v>
      </c>
      <c r="J963" t="s">
        <v>62</v>
      </c>
    </row>
    <row r="964" spans="2:10" x14ac:dyDescent="0.25">
      <c r="B964" t="s">
        <v>136</v>
      </c>
      <c r="C964" t="s">
        <v>115</v>
      </c>
      <c r="D964">
        <v>1.124999566187501E-2</v>
      </c>
      <c r="E964" t="s">
        <v>62</v>
      </c>
      <c r="G964" t="s">
        <v>156</v>
      </c>
      <c r="H964" t="s">
        <v>115</v>
      </c>
      <c r="I964">
        <v>2.4485997177751195E-2</v>
      </c>
      <c r="J964" t="s">
        <v>62</v>
      </c>
    </row>
    <row r="965" spans="2:10" x14ac:dyDescent="0.25">
      <c r="B965" t="s">
        <v>136</v>
      </c>
      <c r="C965" t="s">
        <v>116</v>
      </c>
      <c r="D965">
        <v>1.4275617013315336E-2</v>
      </c>
      <c r="E965" t="s">
        <v>62</v>
      </c>
      <c r="G965" t="s">
        <v>156</v>
      </c>
      <c r="H965" t="s">
        <v>116</v>
      </c>
      <c r="I965">
        <v>2.2990467466690541E-2</v>
      </c>
      <c r="J965" t="s">
        <v>62</v>
      </c>
    </row>
    <row r="966" spans="2:10" x14ac:dyDescent="0.25">
      <c r="B966" t="s">
        <v>136</v>
      </c>
      <c r="C966" t="s">
        <v>117</v>
      </c>
      <c r="D966">
        <v>1.4083292602920242E-2</v>
      </c>
      <c r="E966" t="s">
        <v>62</v>
      </c>
      <c r="G966" t="s">
        <v>156</v>
      </c>
      <c r="H966" t="s">
        <v>117</v>
      </c>
      <c r="I966">
        <v>2.2824771003828362E-2</v>
      </c>
      <c r="J966" t="s">
        <v>62</v>
      </c>
    </row>
    <row r="967" spans="2:10" x14ac:dyDescent="0.25">
      <c r="B967" t="s">
        <v>136</v>
      </c>
      <c r="C967" t="s">
        <v>118</v>
      </c>
      <c r="D967">
        <v>4.6441570542618818E-3</v>
      </c>
      <c r="E967" t="s">
        <v>62</v>
      </c>
      <c r="G967" t="s">
        <v>156</v>
      </c>
      <c r="H967" t="s">
        <v>118</v>
      </c>
      <c r="I967">
        <v>2.3676097478734989E-2</v>
      </c>
      <c r="J967" t="s">
        <v>62</v>
      </c>
    </row>
    <row r="968" spans="2:10" x14ac:dyDescent="0.25">
      <c r="B968" t="s">
        <v>136</v>
      </c>
      <c r="C968" t="s">
        <v>119</v>
      </c>
      <c r="D968">
        <v>0</v>
      </c>
      <c r="E968" t="s">
        <v>62</v>
      </c>
      <c r="G968" t="s">
        <v>156</v>
      </c>
      <c r="H968" t="s">
        <v>119</v>
      </c>
      <c r="I968">
        <v>2.4949365170151266E-2</v>
      </c>
      <c r="J968" t="s">
        <v>62</v>
      </c>
    </row>
    <row r="969" spans="2:10" x14ac:dyDescent="0.25">
      <c r="B969" t="s">
        <v>136</v>
      </c>
      <c r="C969" t="s">
        <v>120</v>
      </c>
      <c r="D969">
        <v>0</v>
      </c>
      <c r="E969" t="s">
        <v>62</v>
      </c>
      <c r="G969" t="s">
        <v>156</v>
      </c>
      <c r="H969" t="s">
        <v>120</v>
      </c>
      <c r="I969">
        <v>2.5162625665127954E-2</v>
      </c>
      <c r="J969" t="s">
        <v>62</v>
      </c>
    </row>
    <row r="970" spans="2:10" x14ac:dyDescent="0.25">
      <c r="B970" t="s">
        <v>136</v>
      </c>
      <c r="C970" t="s">
        <v>121</v>
      </c>
      <c r="D970">
        <v>0</v>
      </c>
      <c r="E970" t="s">
        <v>62</v>
      </c>
      <c r="G970" t="s">
        <v>156</v>
      </c>
      <c r="H970" t="s">
        <v>121</v>
      </c>
      <c r="I970">
        <v>3.7414331047349002E-2</v>
      </c>
      <c r="J970" t="s">
        <v>62</v>
      </c>
    </row>
    <row r="971" spans="2:10" x14ac:dyDescent="0.25">
      <c r="B971" t="s">
        <v>137</v>
      </c>
      <c r="C971" t="s">
        <v>61</v>
      </c>
      <c r="D971">
        <v>0</v>
      </c>
      <c r="E971" t="s">
        <v>62</v>
      </c>
      <c r="G971" t="s">
        <v>157</v>
      </c>
      <c r="H971" t="s">
        <v>61</v>
      </c>
      <c r="I971">
        <v>3.5754498888857705E-2</v>
      </c>
      <c r="J971" t="s">
        <v>62</v>
      </c>
    </row>
    <row r="972" spans="2:10" x14ac:dyDescent="0.25">
      <c r="B972" t="s">
        <v>137</v>
      </c>
      <c r="C972" t="s">
        <v>63</v>
      </c>
      <c r="D972">
        <v>0</v>
      </c>
      <c r="E972" t="s">
        <v>62</v>
      </c>
      <c r="G972" t="s">
        <v>157</v>
      </c>
      <c r="H972" t="s">
        <v>63</v>
      </c>
      <c r="I972">
        <v>1.4771985163984907E-2</v>
      </c>
      <c r="J972" t="s">
        <v>62</v>
      </c>
    </row>
    <row r="973" spans="2:10" x14ac:dyDescent="0.25">
      <c r="B973" t="s">
        <v>137</v>
      </c>
      <c r="C973" t="s">
        <v>64</v>
      </c>
      <c r="D973">
        <v>6.9556965445075557E-4</v>
      </c>
      <c r="E973" t="s">
        <v>62</v>
      </c>
      <c r="G973" t="s">
        <v>157</v>
      </c>
      <c r="H973" t="s">
        <v>64</v>
      </c>
      <c r="I973">
        <v>1.4999490863554869E-2</v>
      </c>
      <c r="J973" t="s">
        <v>62</v>
      </c>
    </row>
    <row r="974" spans="2:10" x14ac:dyDescent="0.25">
      <c r="B974" t="s">
        <v>137</v>
      </c>
      <c r="C974" t="s">
        <v>65</v>
      </c>
      <c r="D974">
        <v>9.4829503247442909E-3</v>
      </c>
      <c r="E974" t="s">
        <v>62</v>
      </c>
      <c r="G974" t="s">
        <v>157</v>
      </c>
      <c r="H974" t="s">
        <v>65</v>
      </c>
      <c r="I974">
        <v>1.4523904618663415E-2</v>
      </c>
      <c r="J974" t="s">
        <v>62</v>
      </c>
    </row>
    <row r="975" spans="2:10" x14ac:dyDescent="0.25">
      <c r="B975" t="s">
        <v>137</v>
      </c>
      <c r="C975" t="s">
        <v>66</v>
      </c>
      <c r="D975">
        <v>1.6171250685481729E-2</v>
      </c>
      <c r="E975" t="s">
        <v>62</v>
      </c>
      <c r="G975" t="s">
        <v>157</v>
      </c>
      <c r="H975" t="s">
        <v>66</v>
      </c>
      <c r="I975">
        <v>1.3705587254913788E-2</v>
      </c>
      <c r="J975" t="s">
        <v>62</v>
      </c>
    </row>
    <row r="976" spans="2:10" x14ac:dyDescent="0.25">
      <c r="B976" t="s">
        <v>137</v>
      </c>
      <c r="C976" t="s">
        <v>67</v>
      </c>
      <c r="D976">
        <v>1.5916811804301649E-2</v>
      </c>
      <c r="E976" t="s">
        <v>62</v>
      </c>
      <c r="G976" t="s">
        <v>157</v>
      </c>
      <c r="H976" t="s">
        <v>67</v>
      </c>
      <c r="I976">
        <v>1.4754586931125703E-2</v>
      </c>
      <c r="J976" t="s">
        <v>62</v>
      </c>
    </row>
    <row r="977" spans="2:10" x14ac:dyDescent="0.25">
      <c r="B977" t="s">
        <v>137</v>
      </c>
      <c r="C977" t="s">
        <v>68</v>
      </c>
      <c r="D977">
        <v>8.169775063540323E-3</v>
      </c>
      <c r="E977" t="s">
        <v>62</v>
      </c>
      <c r="G977" t="s">
        <v>157</v>
      </c>
      <c r="H977" t="s">
        <v>68</v>
      </c>
      <c r="I977">
        <v>1.5368539518580492E-2</v>
      </c>
      <c r="J977" t="s">
        <v>62</v>
      </c>
    </row>
    <row r="978" spans="2:10" x14ac:dyDescent="0.25">
      <c r="B978" t="s">
        <v>137</v>
      </c>
      <c r="C978" t="s">
        <v>69</v>
      </c>
      <c r="D978">
        <v>6.7834931051908079E-4</v>
      </c>
      <c r="E978" t="s">
        <v>62</v>
      </c>
      <c r="G978" t="s">
        <v>157</v>
      </c>
      <c r="H978" t="s">
        <v>69</v>
      </c>
      <c r="I978">
        <v>1.6669404905875651E-2</v>
      </c>
      <c r="J978" t="s">
        <v>62</v>
      </c>
    </row>
    <row r="979" spans="2:10" x14ac:dyDescent="0.25">
      <c r="B979" t="s">
        <v>137</v>
      </c>
      <c r="C979" t="s">
        <v>70</v>
      </c>
      <c r="D979">
        <v>0</v>
      </c>
      <c r="E979" t="s">
        <v>62</v>
      </c>
      <c r="G979" t="s">
        <v>157</v>
      </c>
      <c r="H979" t="s">
        <v>70</v>
      </c>
      <c r="I979">
        <v>1.6320040977789711E-2</v>
      </c>
      <c r="J979" t="s">
        <v>62</v>
      </c>
    </row>
    <row r="980" spans="2:10" x14ac:dyDescent="0.25">
      <c r="B980" t="s">
        <v>137</v>
      </c>
      <c r="C980" t="s">
        <v>71</v>
      </c>
      <c r="D980">
        <v>0</v>
      </c>
      <c r="E980" t="s">
        <v>62</v>
      </c>
      <c r="G980" t="s">
        <v>157</v>
      </c>
      <c r="H980" t="s">
        <v>71</v>
      </c>
      <c r="I980">
        <v>2.2538368345340693E-2</v>
      </c>
      <c r="J980" t="s">
        <v>62</v>
      </c>
    </row>
    <row r="981" spans="2:10" x14ac:dyDescent="0.25">
      <c r="B981" t="s">
        <v>137</v>
      </c>
      <c r="C981" t="s">
        <v>72</v>
      </c>
      <c r="D981">
        <v>0</v>
      </c>
      <c r="E981" t="s">
        <v>62</v>
      </c>
      <c r="G981" t="s">
        <v>157</v>
      </c>
      <c r="H981" t="s">
        <v>72</v>
      </c>
      <c r="I981">
        <v>4.1029394665620819E-2</v>
      </c>
      <c r="J981" t="s">
        <v>62</v>
      </c>
    </row>
    <row r="982" spans="2:10" x14ac:dyDescent="0.25">
      <c r="B982" t="s">
        <v>137</v>
      </c>
      <c r="C982" t="s">
        <v>73</v>
      </c>
      <c r="D982">
        <v>2.9680496664516859E-3</v>
      </c>
      <c r="E982" t="s">
        <v>62</v>
      </c>
      <c r="G982" t="s">
        <v>157</v>
      </c>
      <c r="H982" t="s">
        <v>73</v>
      </c>
      <c r="I982">
        <v>1.6139981856910377E-2</v>
      </c>
      <c r="J982" t="s">
        <v>62</v>
      </c>
    </row>
    <row r="983" spans="2:10" x14ac:dyDescent="0.25">
      <c r="B983" t="s">
        <v>137</v>
      </c>
      <c r="C983" t="s">
        <v>74</v>
      </c>
      <c r="D983">
        <v>2.4455606174264791E-2</v>
      </c>
      <c r="E983" t="s">
        <v>62</v>
      </c>
      <c r="G983" t="s">
        <v>157</v>
      </c>
      <c r="H983" t="s">
        <v>74</v>
      </c>
      <c r="I983">
        <v>1.4955296723313789E-2</v>
      </c>
      <c r="J983" t="s">
        <v>62</v>
      </c>
    </row>
    <row r="984" spans="2:10" x14ac:dyDescent="0.25">
      <c r="B984" t="s">
        <v>137</v>
      </c>
      <c r="C984" t="s">
        <v>75</v>
      </c>
      <c r="D984">
        <v>4.4103431660043373E-2</v>
      </c>
      <c r="E984" t="s">
        <v>62</v>
      </c>
      <c r="G984" t="s">
        <v>157</v>
      </c>
      <c r="H984" t="s">
        <v>75</v>
      </c>
      <c r="I984">
        <v>1.5107186123940486E-2</v>
      </c>
      <c r="J984" t="s">
        <v>62</v>
      </c>
    </row>
    <row r="985" spans="2:10" x14ac:dyDescent="0.25">
      <c r="B985" t="s">
        <v>137</v>
      </c>
      <c r="C985" t="s">
        <v>76</v>
      </c>
      <c r="D985">
        <v>4.7442929273387988E-2</v>
      </c>
      <c r="E985" t="s">
        <v>62</v>
      </c>
      <c r="G985" t="s">
        <v>157</v>
      </c>
      <c r="H985" t="s">
        <v>76</v>
      </c>
      <c r="I985">
        <v>1.4277929427246188E-2</v>
      </c>
      <c r="J985" t="s">
        <v>62</v>
      </c>
    </row>
    <row r="986" spans="2:10" x14ac:dyDescent="0.25">
      <c r="B986" t="s">
        <v>137</v>
      </c>
      <c r="C986" t="s">
        <v>77</v>
      </c>
      <c r="D986">
        <v>4.6110342431017533E-2</v>
      </c>
      <c r="E986" t="s">
        <v>62</v>
      </c>
      <c r="G986" t="s">
        <v>157</v>
      </c>
      <c r="H986" t="s">
        <v>77</v>
      </c>
      <c r="I986">
        <v>1.6061397430538419E-2</v>
      </c>
      <c r="J986" t="s">
        <v>62</v>
      </c>
    </row>
    <row r="987" spans="2:10" x14ac:dyDescent="0.25">
      <c r="B987" t="s">
        <v>137</v>
      </c>
      <c r="C987" t="s">
        <v>78</v>
      </c>
      <c r="D987">
        <v>3.6619493181127137E-2</v>
      </c>
      <c r="E987" t="s">
        <v>62</v>
      </c>
      <c r="G987" t="s">
        <v>157</v>
      </c>
      <c r="H987" t="s">
        <v>78</v>
      </c>
      <c r="I987">
        <v>1.5892573222803186E-2</v>
      </c>
      <c r="J987" t="s">
        <v>62</v>
      </c>
    </row>
    <row r="988" spans="2:10" x14ac:dyDescent="0.25">
      <c r="B988" t="s">
        <v>137</v>
      </c>
      <c r="C988" t="s">
        <v>79</v>
      </c>
      <c r="D988">
        <v>1.8019865929907921E-2</v>
      </c>
      <c r="E988" t="s">
        <v>62</v>
      </c>
      <c r="G988" t="s">
        <v>157</v>
      </c>
      <c r="H988" t="s">
        <v>79</v>
      </c>
      <c r="I988">
        <v>1.6907728400574133E-2</v>
      </c>
      <c r="J988" t="s">
        <v>62</v>
      </c>
    </row>
    <row r="989" spans="2:10" x14ac:dyDescent="0.25">
      <c r="B989" t="s">
        <v>137</v>
      </c>
      <c r="C989" t="s">
        <v>80</v>
      </c>
      <c r="D989">
        <v>1.4144308300594096E-3</v>
      </c>
      <c r="E989" t="s">
        <v>62</v>
      </c>
      <c r="G989" t="s">
        <v>157</v>
      </c>
      <c r="H989" t="s">
        <v>80</v>
      </c>
      <c r="I989">
        <v>1.8353988510571153E-2</v>
      </c>
      <c r="J989" t="s">
        <v>62</v>
      </c>
    </row>
    <row r="990" spans="2:10" x14ac:dyDescent="0.25">
      <c r="B990" t="s">
        <v>137</v>
      </c>
      <c r="C990" t="s">
        <v>81</v>
      </c>
      <c r="D990">
        <v>0</v>
      </c>
      <c r="E990" t="s">
        <v>62</v>
      </c>
      <c r="G990" t="s">
        <v>157</v>
      </c>
      <c r="H990" t="s">
        <v>81</v>
      </c>
      <c r="I990">
        <v>2.5892077762681528E-2</v>
      </c>
      <c r="J990" t="s">
        <v>62</v>
      </c>
    </row>
    <row r="991" spans="2:10" x14ac:dyDescent="0.25">
      <c r="B991" t="s">
        <v>137</v>
      </c>
      <c r="C991" t="s">
        <v>82</v>
      </c>
      <c r="D991">
        <v>6.9977608612445701E-6</v>
      </c>
      <c r="E991" t="s">
        <v>62</v>
      </c>
      <c r="G991" t="s">
        <v>157</v>
      </c>
      <c r="H991" t="s">
        <v>82</v>
      </c>
      <c r="I991">
        <v>1.9422309796338192E-2</v>
      </c>
      <c r="J991" t="s">
        <v>62</v>
      </c>
    </row>
    <row r="992" spans="2:10" x14ac:dyDescent="0.25">
      <c r="B992" t="s">
        <v>137</v>
      </c>
      <c r="C992" t="s">
        <v>83</v>
      </c>
      <c r="D992">
        <v>1.5335992900138425E-2</v>
      </c>
      <c r="E992" t="s">
        <v>62</v>
      </c>
      <c r="G992" t="s">
        <v>157</v>
      </c>
      <c r="H992" t="s">
        <v>83</v>
      </c>
      <c r="I992">
        <v>8.5767903549066188E-3</v>
      </c>
      <c r="J992" t="s">
        <v>62</v>
      </c>
    </row>
    <row r="993" spans="2:10" x14ac:dyDescent="0.25">
      <c r="B993" t="s">
        <v>137</v>
      </c>
      <c r="C993" t="s">
        <v>84</v>
      </c>
      <c r="D993">
        <v>3.5495496081879366E-2</v>
      </c>
      <c r="E993" t="s">
        <v>62</v>
      </c>
      <c r="G993" t="s">
        <v>157</v>
      </c>
      <c r="H993" t="s">
        <v>84</v>
      </c>
      <c r="I993">
        <v>8.381444436235997E-3</v>
      </c>
      <c r="J993" t="s">
        <v>62</v>
      </c>
    </row>
    <row r="994" spans="2:10" x14ac:dyDescent="0.25">
      <c r="B994" t="s">
        <v>137</v>
      </c>
      <c r="C994" t="s">
        <v>85</v>
      </c>
      <c r="D994">
        <v>4.6957737304863856E-2</v>
      </c>
      <c r="E994" t="s">
        <v>62</v>
      </c>
      <c r="G994" t="s">
        <v>157</v>
      </c>
      <c r="H994" t="s">
        <v>85</v>
      </c>
      <c r="I994">
        <v>9.0389142906143281E-3</v>
      </c>
      <c r="J994" t="s">
        <v>62</v>
      </c>
    </row>
    <row r="995" spans="2:10" x14ac:dyDescent="0.25">
      <c r="B995" t="s">
        <v>137</v>
      </c>
      <c r="C995" t="s">
        <v>86</v>
      </c>
      <c r="D995">
        <v>4.7859538300811022E-2</v>
      </c>
      <c r="E995" t="s">
        <v>62</v>
      </c>
      <c r="G995" t="s">
        <v>157</v>
      </c>
      <c r="H995" t="s">
        <v>86</v>
      </c>
      <c r="I995">
        <v>6.4553517203883894E-3</v>
      </c>
      <c r="J995" t="s">
        <v>62</v>
      </c>
    </row>
    <row r="996" spans="2:10" x14ac:dyDescent="0.25">
      <c r="B996" t="s">
        <v>137</v>
      </c>
      <c r="C996" t="s">
        <v>87</v>
      </c>
      <c r="D996">
        <v>4.5863071151320857E-2</v>
      </c>
      <c r="E996" t="s">
        <v>62</v>
      </c>
      <c r="G996" t="s">
        <v>157</v>
      </c>
      <c r="H996" t="s">
        <v>87</v>
      </c>
      <c r="I996">
        <v>7.6114763783801335E-3</v>
      </c>
      <c r="J996" t="s">
        <v>62</v>
      </c>
    </row>
    <row r="997" spans="2:10" x14ac:dyDescent="0.25">
      <c r="B997" t="s">
        <v>137</v>
      </c>
      <c r="C997" t="s">
        <v>88</v>
      </c>
      <c r="D997">
        <v>3.7843382364211413E-2</v>
      </c>
      <c r="E997" t="s">
        <v>62</v>
      </c>
      <c r="G997" t="s">
        <v>157</v>
      </c>
      <c r="H997" t="s">
        <v>88</v>
      </c>
      <c r="I997">
        <v>8.4048928124350053E-3</v>
      </c>
      <c r="J997" t="s">
        <v>62</v>
      </c>
    </row>
    <row r="998" spans="2:10" x14ac:dyDescent="0.25">
      <c r="B998" t="s">
        <v>137</v>
      </c>
      <c r="C998" t="s">
        <v>89</v>
      </c>
      <c r="D998">
        <v>2.4320154538684271E-2</v>
      </c>
      <c r="E998" t="s">
        <v>62</v>
      </c>
      <c r="G998" t="s">
        <v>157</v>
      </c>
      <c r="H998" t="s">
        <v>89</v>
      </c>
      <c r="I998">
        <v>7.6030102958689399E-3</v>
      </c>
      <c r="J998" t="s">
        <v>62</v>
      </c>
    </row>
    <row r="999" spans="2:10" x14ac:dyDescent="0.25">
      <c r="B999" t="s">
        <v>137</v>
      </c>
      <c r="C999" t="s">
        <v>90</v>
      </c>
      <c r="D999">
        <v>8.1969420811831787E-3</v>
      </c>
      <c r="E999" t="s">
        <v>62</v>
      </c>
      <c r="G999" t="s">
        <v>157</v>
      </c>
      <c r="H999" t="s">
        <v>90</v>
      </c>
      <c r="I999">
        <v>8.269173432175099E-3</v>
      </c>
      <c r="J999" t="s">
        <v>62</v>
      </c>
    </row>
    <row r="1000" spans="2:10" x14ac:dyDescent="0.25">
      <c r="B1000" t="s">
        <v>137</v>
      </c>
      <c r="C1000" t="s">
        <v>91</v>
      </c>
      <c r="D1000">
        <v>0</v>
      </c>
      <c r="E1000" t="s">
        <v>62</v>
      </c>
      <c r="G1000" t="s">
        <v>157</v>
      </c>
      <c r="H1000" t="s">
        <v>91</v>
      </c>
      <c r="I1000">
        <v>1.1545985261933152E-2</v>
      </c>
      <c r="J1000" t="s">
        <v>62</v>
      </c>
    </row>
    <row r="1001" spans="2:10" x14ac:dyDescent="0.25">
      <c r="B1001" t="s">
        <v>137</v>
      </c>
      <c r="C1001" t="s">
        <v>92</v>
      </c>
      <c r="D1001">
        <v>0</v>
      </c>
      <c r="E1001" t="s">
        <v>62</v>
      </c>
      <c r="G1001" t="s">
        <v>157</v>
      </c>
      <c r="H1001" t="s">
        <v>92</v>
      </c>
      <c r="I1001">
        <v>1.7679845829508288E-2</v>
      </c>
      <c r="J1001" t="s">
        <v>62</v>
      </c>
    </row>
    <row r="1002" spans="2:10" x14ac:dyDescent="0.25">
      <c r="B1002" t="s">
        <v>137</v>
      </c>
      <c r="C1002" t="s">
        <v>93</v>
      </c>
      <c r="D1002">
        <v>1.4836803284784017E-2</v>
      </c>
      <c r="E1002" t="s">
        <v>62</v>
      </c>
      <c r="G1002" t="s">
        <v>157</v>
      </c>
      <c r="H1002" t="s">
        <v>93</v>
      </c>
      <c r="I1002">
        <v>6.5061485241877355E-3</v>
      </c>
      <c r="J1002" t="s">
        <v>62</v>
      </c>
    </row>
    <row r="1003" spans="2:10" x14ac:dyDescent="0.25">
      <c r="B1003" t="s">
        <v>137</v>
      </c>
      <c r="C1003" t="s">
        <v>94</v>
      </c>
      <c r="D1003">
        <v>3.8693326844171962E-2</v>
      </c>
      <c r="E1003" t="s">
        <v>62</v>
      </c>
      <c r="G1003" t="s">
        <v>157</v>
      </c>
      <c r="H1003" t="s">
        <v>94</v>
      </c>
      <c r="I1003">
        <v>5.988719131866967E-3</v>
      </c>
      <c r="J1003" t="s">
        <v>62</v>
      </c>
    </row>
    <row r="1004" spans="2:10" x14ac:dyDescent="0.25">
      <c r="B1004" t="s">
        <v>137</v>
      </c>
      <c r="C1004" t="s">
        <v>95</v>
      </c>
      <c r="D1004">
        <v>5.094058836286821E-2</v>
      </c>
      <c r="E1004" t="s">
        <v>62</v>
      </c>
      <c r="G1004" t="s">
        <v>157</v>
      </c>
      <c r="H1004" t="s">
        <v>95</v>
      </c>
      <c r="I1004">
        <v>7.1735013445280863E-3</v>
      </c>
      <c r="J1004" t="s">
        <v>62</v>
      </c>
    </row>
    <row r="1005" spans="2:10" x14ac:dyDescent="0.25">
      <c r="B1005" t="s">
        <v>137</v>
      </c>
      <c r="C1005" t="s">
        <v>96</v>
      </c>
      <c r="D1005">
        <v>5.0700877060738038E-2</v>
      </c>
      <c r="E1005" t="s">
        <v>62</v>
      </c>
      <c r="G1005" t="s">
        <v>157</v>
      </c>
      <c r="H1005" t="s">
        <v>96</v>
      </c>
      <c r="I1005">
        <v>6.3092635529770243E-3</v>
      </c>
      <c r="J1005" t="s">
        <v>62</v>
      </c>
    </row>
    <row r="1006" spans="2:10" x14ac:dyDescent="0.25">
      <c r="B1006" t="s">
        <v>137</v>
      </c>
      <c r="C1006" t="s">
        <v>97</v>
      </c>
      <c r="D1006">
        <v>4.7341555025371643E-2</v>
      </c>
      <c r="E1006" t="s">
        <v>62</v>
      </c>
      <c r="G1006" t="s">
        <v>157</v>
      </c>
      <c r="H1006" t="s">
        <v>97</v>
      </c>
      <c r="I1006">
        <v>7.7668096350757198E-3</v>
      </c>
      <c r="J1006" t="s">
        <v>62</v>
      </c>
    </row>
    <row r="1007" spans="2:10" x14ac:dyDescent="0.25">
      <c r="B1007" t="s">
        <v>137</v>
      </c>
      <c r="C1007" t="s">
        <v>98</v>
      </c>
      <c r="D1007">
        <v>4.2497197700986519E-2</v>
      </c>
      <c r="E1007" t="s">
        <v>62</v>
      </c>
      <c r="G1007" t="s">
        <v>157</v>
      </c>
      <c r="H1007" t="s">
        <v>98</v>
      </c>
      <c r="I1007">
        <v>8.9567353708432419E-3</v>
      </c>
      <c r="J1007" t="s">
        <v>62</v>
      </c>
    </row>
    <row r="1008" spans="2:10" x14ac:dyDescent="0.25">
      <c r="B1008" t="s">
        <v>137</v>
      </c>
      <c r="C1008" t="s">
        <v>99</v>
      </c>
      <c r="D1008">
        <v>2.9108946490122585E-2</v>
      </c>
      <c r="E1008" t="s">
        <v>62</v>
      </c>
      <c r="G1008" t="s">
        <v>157</v>
      </c>
      <c r="H1008" t="s">
        <v>99</v>
      </c>
      <c r="I1008">
        <v>8.1430060222292613E-3</v>
      </c>
      <c r="J1008" t="s">
        <v>62</v>
      </c>
    </row>
    <row r="1009" spans="2:10" x14ac:dyDescent="0.25">
      <c r="B1009" t="s">
        <v>137</v>
      </c>
      <c r="C1009" t="s">
        <v>100</v>
      </c>
      <c r="D1009">
        <v>8.8455025422016081E-3</v>
      </c>
      <c r="E1009" t="s">
        <v>62</v>
      </c>
      <c r="G1009" t="s">
        <v>157</v>
      </c>
      <c r="H1009" t="s">
        <v>100</v>
      </c>
      <c r="I1009">
        <v>8.0470341030179637E-3</v>
      </c>
      <c r="J1009" t="s">
        <v>62</v>
      </c>
    </row>
    <row r="1010" spans="2:10" x14ac:dyDescent="0.25">
      <c r="B1010" t="s">
        <v>137</v>
      </c>
      <c r="C1010" t="s">
        <v>101</v>
      </c>
      <c r="D1010">
        <v>0</v>
      </c>
      <c r="E1010" t="s">
        <v>62</v>
      </c>
      <c r="G1010" t="s">
        <v>157</v>
      </c>
      <c r="H1010" t="s">
        <v>101</v>
      </c>
      <c r="I1010">
        <v>1.1624255836486687E-2</v>
      </c>
      <c r="J1010" t="s">
        <v>62</v>
      </c>
    </row>
    <row r="1011" spans="2:10" x14ac:dyDescent="0.25">
      <c r="B1011" t="s">
        <v>137</v>
      </c>
      <c r="C1011" t="s">
        <v>102</v>
      </c>
      <c r="D1011">
        <v>0</v>
      </c>
      <c r="E1011" t="s">
        <v>62</v>
      </c>
      <c r="G1011" t="s">
        <v>157</v>
      </c>
      <c r="H1011" t="s">
        <v>102</v>
      </c>
      <c r="I1011">
        <v>3.2437195244563774E-2</v>
      </c>
      <c r="J1011" t="s">
        <v>62</v>
      </c>
    </row>
    <row r="1012" spans="2:10" x14ac:dyDescent="0.25">
      <c r="B1012" t="s">
        <v>137</v>
      </c>
      <c r="C1012" t="s">
        <v>103</v>
      </c>
      <c r="D1012">
        <v>1.2367901120842041E-3</v>
      </c>
      <c r="E1012" t="s">
        <v>62</v>
      </c>
      <c r="G1012" t="s">
        <v>157</v>
      </c>
      <c r="H1012" t="s">
        <v>103</v>
      </c>
      <c r="I1012">
        <v>1.1852878507053459E-2</v>
      </c>
      <c r="J1012" t="s">
        <v>62</v>
      </c>
    </row>
    <row r="1013" spans="2:10" x14ac:dyDescent="0.25">
      <c r="B1013" t="s">
        <v>137</v>
      </c>
      <c r="C1013" t="s">
        <v>104</v>
      </c>
      <c r="D1013">
        <v>1.6879068017875046E-2</v>
      </c>
      <c r="E1013" t="s">
        <v>62</v>
      </c>
      <c r="G1013" t="s">
        <v>157</v>
      </c>
      <c r="H1013" t="s">
        <v>104</v>
      </c>
      <c r="I1013">
        <v>1.2416434119830854E-2</v>
      </c>
      <c r="J1013" t="s">
        <v>62</v>
      </c>
    </row>
    <row r="1014" spans="2:10" x14ac:dyDescent="0.25">
      <c r="B1014" t="s">
        <v>137</v>
      </c>
      <c r="C1014" t="s">
        <v>105</v>
      </c>
      <c r="D1014">
        <v>3.1135751769480288E-2</v>
      </c>
      <c r="E1014" t="s">
        <v>62</v>
      </c>
      <c r="G1014" t="s">
        <v>157</v>
      </c>
      <c r="H1014" t="s">
        <v>105</v>
      </c>
      <c r="I1014">
        <v>1.2626398531146311E-2</v>
      </c>
      <c r="J1014" t="s">
        <v>62</v>
      </c>
    </row>
    <row r="1015" spans="2:10" x14ac:dyDescent="0.25">
      <c r="B1015" t="s">
        <v>137</v>
      </c>
      <c r="C1015" t="s">
        <v>106</v>
      </c>
      <c r="D1015">
        <v>3.2188073393425755E-2</v>
      </c>
      <c r="E1015" t="s">
        <v>62</v>
      </c>
      <c r="G1015" t="s">
        <v>157</v>
      </c>
      <c r="H1015" t="s">
        <v>106</v>
      </c>
      <c r="I1015">
        <v>1.212593643667456E-2</v>
      </c>
      <c r="J1015" t="s">
        <v>62</v>
      </c>
    </row>
    <row r="1016" spans="2:10" x14ac:dyDescent="0.25">
      <c r="B1016" t="s">
        <v>137</v>
      </c>
      <c r="C1016" t="s">
        <v>107</v>
      </c>
      <c r="D1016">
        <v>3.1458623982403101E-2</v>
      </c>
      <c r="E1016" t="s">
        <v>62</v>
      </c>
      <c r="G1016" t="s">
        <v>157</v>
      </c>
      <c r="H1016" t="s">
        <v>107</v>
      </c>
      <c r="I1016">
        <v>1.3971180777581558E-2</v>
      </c>
      <c r="J1016" t="s">
        <v>62</v>
      </c>
    </row>
    <row r="1017" spans="2:10" x14ac:dyDescent="0.25">
      <c r="B1017" t="s">
        <v>137</v>
      </c>
      <c r="C1017" t="s">
        <v>108</v>
      </c>
      <c r="D1017">
        <v>2.3413800662215472E-2</v>
      </c>
      <c r="E1017" t="s">
        <v>62</v>
      </c>
      <c r="G1017" t="s">
        <v>157</v>
      </c>
      <c r="H1017" t="s">
        <v>108</v>
      </c>
      <c r="I1017">
        <v>1.4695163610580125E-2</v>
      </c>
      <c r="J1017" t="s">
        <v>62</v>
      </c>
    </row>
    <row r="1018" spans="2:10" x14ac:dyDescent="0.25">
      <c r="B1018" t="s">
        <v>137</v>
      </c>
      <c r="C1018" t="s">
        <v>109</v>
      </c>
      <c r="D1018">
        <v>7.6465007749158109E-3</v>
      </c>
      <c r="E1018" t="s">
        <v>62</v>
      </c>
      <c r="G1018" t="s">
        <v>157</v>
      </c>
      <c r="H1018" t="s">
        <v>109</v>
      </c>
      <c r="I1018">
        <v>1.6694098905481739E-2</v>
      </c>
      <c r="J1018" t="s">
        <v>62</v>
      </c>
    </row>
    <row r="1019" spans="2:10" x14ac:dyDescent="0.25">
      <c r="B1019" t="s">
        <v>137</v>
      </c>
      <c r="C1019" t="s">
        <v>110</v>
      </c>
      <c r="D1019">
        <v>0</v>
      </c>
      <c r="E1019" t="s">
        <v>62</v>
      </c>
      <c r="G1019" t="s">
        <v>157</v>
      </c>
      <c r="H1019" t="s">
        <v>110</v>
      </c>
      <c r="I1019">
        <v>1.7221891799189617E-2</v>
      </c>
      <c r="J1019" t="s">
        <v>62</v>
      </c>
    </row>
    <row r="1020" spans="2:10" x14ac:dyDescent="0.25">
      <c r="B1020" t="s">
        <v>137</v>
      </c>
      <c r="C1020" t="s">
        <v>111</v>
      </c>
      <c r="D1020">
        <v>0</v>
      </c>
      <c r="E1020" t="s">
        <v>62</v>
      </c>
      <c r="G1020" t="s">
        <v>157</v>
      </c>
      <c r="H1020" t="s">
        <v>111</v>
      </c>
      <c r="I1020">
        <v>2.396174401765129E-2</v>
      </c>
      <c r="J1020" t="s">
        <v>62</v>
      </c>
    </row>
    <row r="1021" spans="2:10" x14ac:dyDescent="0.25">
      <c r="B1021" t="s">
        <v>137</v>
      </c>
      <c r="C1021" t="s">
        <v>112</v>
      </c>
      <c r="D1021">
        <v>0</v>
      </c>
      <c r="E1021" t="s">
        <v>62</v>
      </c>
      <c r="G1021" t="s">
        <v>157</v>
      </c>
      <c r="H1021" t="s">
        <v>112</v>
      </c>
      <c r="I1021">
        <v>5.8669945847267917E-2</v>
      </c>
      <c r="J1021" t="s">
        <v>62</v>
      </c>
    </row>
    <row r="1022" spans="2:10" x14ac:dyDescent="0.25">
      <c r="B1022" t="s">
        <v>137</v>
      </c>
      <c r="C1022" t="s">
        <v>113</v>
      </c>
      <c r="D1022">
        <v>0</v>
      </c>
      <c r="E1022" t="s">
        <v>62</v>
      </c>
      <c r="G1022" t="s">
        <v>157</v>
      </c>
      <c r="H1022" t="s">
        <v>113</v>
      </c>
      <c r="I1022">
        <v>2.3746882065559742E-2</v>
      </c>
      <c r="J1022" t="s">
        <v>62</v>
      </c>
    </row>
    <row r="1023" spans="2:10" x14ac:dyDescent="0.25">
      <c r="B1023" t="s">
        <v>137</v>
      </c>
      <c r="C1023" t="s">
        <v>114</v>
      </c>
      <c r="D1023">
        <v>7.0947580314271487E-4</v>
      </c>
      <c r="E1023" t="s">
        <v>62</v>
      </c>
      <c r="G1023" t="s">
        <v>157</v>
      </c>
      <c r="H1023" t="s">
        <v>114</v>
      </c>
      <c r="I1023">
        <v>2.3019204915143119E-2</v>
      </c>
      <c r="J1023" t="s">
        <v>62</v>
      </c>
    </row>
    <row r="1024" spans="2:10" x14ac:dyDescent="0.25">
      <c r="B1024" t="s">
        <v>137</v>
      </c>
      <c r="C1024" t="s">
        <v>115</v>
      </c>
      <c r="D1024">
        <v>1.0158927940109704E-2</v>
      </c>
      <c r="E1024" t="s">
        <v>62</v>
      </c>
      <c r="G1024" t="s">
        <v>157</v>
      </c>
      <c r="H1024" t="s">
        <v>115</v>
      </c>
      <c r="I1024">
        <v>2.1819885304583814E-2</v>
      </c>
      <c r="J1024" t="s">
        <v>62</v>
      </c>
    </row>
    <row r="1025" spans="2:10" x14ac:dyDescent="0.25">
      <c r="B1025" t="s">
        <v>137</v>
      </c>
      <c r="C1025" t="s">
        <v>116</v>
      </c>
      <c r="D1025">
        <v>1.3034573557898374E-2</v>
      </c>
      <c r="E1025" t="s">
        <v>62</v>
      </c>
      <c r="G1025" t="s">
        <v>157</v>
      </c>
      <c r="H1025" t="s">
        <v>116</v>
      </c>
      <c r="I1025">
        <v>2.0158983504024095E-2</v>
      </c>
      <c r="J1025" t="s">
        <v>62</v>
      </c>
    </row>
    <row r="1026" spans="2:10" x14ac:dyDescent="0.25">
      <c r="B1026" t="s">
        <v>137</v>
      </c>
      <c r="C1026" t="s">
        <v>117</v>
      </c>
      <c r="D1026">
        <v>1.1667488931901211E-2</v>
      </c>
      <c r="E1026" t="s">
        <v>62</v>
      </c>
      <c r="G1026" t="s">
        <v>157</v>
      </c>
      <c r="H1026" t="s">
        <v>117</v>
      </c>
      <c r="I1026">
        <v>2.1260015287527103E-2</v>
      </c>
      <c r="J1026" t="s">
        <v>62</v>
      </c>
    </row>
    <row r="1027" spans="2:10" x14ac:dyDescent="0.25">
      <c r="B1027" t="s">
        <v>137</v>
      </c>
      <c r="C1027" t="s">
        <v>118</v>
      </c>
      <c r="D1027">
        <v>3.3779592700530258E-3</v>
      </c>
      <c r="E1027" t="s">
        <v>62</v>
      </c>
      <c r="G1027" t="s">
        <v>157</v>
      </c>
      <c r="H1027" t="s">
        <v>118</v>
      </c>
      <c r="I1027">
        <v>2.2612595457264108E-2</v>
      </c>
      <c r="J1027" t="s">
        <v>62</v>
      </c>
    </row>
    <row r="1028" spans="2:10" x14ac:dyDescent="0.25">
      <c r="B1028" t="s">
        <v>137</v>
      </c>
      <c r="C1028" t="s">
        <v>119</v>
      </c>
      <c r="D1028">
        <v>0</v>
      </c>
      <c r="E1028" t="s">
        <v>62</v>
      </c>
      <c r="G1028" t="s">
        <v>157</v>
      </c>
      <c r="H1028" t="s">
        <v>119</v>
      </c>
      <c r="I1028">
        <v>2.3560482471040631E-2</v>
      </c>
      <c r="J1028" t="s">
        <v>62</v>
      </c>
    </row>
    <row r="1029" spans="2:10" x14ac:dyDescent="0.25">
      <c r="B1029" t="s">
        <v>137</v>
      </c>
      <c r="C1029" t="s">
        <v>120</v>
      </c>
      <c r="D1029">
        <v>0</v>
      </c>
      <c r="E1029" t="s">
        <v>62</v>
      </c>
      <c r="G1029" t="s">
        <v>157</v>
      </c>
      <c r="H1029" t="s">
        <v>120</v>
      </c>
      <c r="I1029">
        <v>2.4001530115414439E-2</v>
      </c>
      <c r="J1029" t="s">
        <v>62</v>
      </c>
    </row>
    <row r="1030" spans="2:10" x14ac:dyDescent="0.25">
      <c r="B1030" t="s">
        <v>137</v>
      </c>
      <c r="C1030" t="s">
        <v>121</v>
      </c>
      <c r="D1030">
        <v>0</v>
      </c>
      <c r="E1030" t="s">
        <v>62</v>
      </c>
      <c r="G1030" t="s">
        <v>157</v>
      </c>
      <c r="H1030" t="s">
        <v>121</v>
      </c>
      <c r="I1030">
        <v>3.5618923359535787E-2</v>
      </c>
      <c r="J1030" t="s">
        <v>62</v>
      </c>
    </row>
    <row r="1031" spans="2:10" x14ac:dyDescent="0.25">
      <c r="B1031" t="s">
        <v>138</v>
      </c>
      <c r="C1031" t="s">
        <v>61</v>
      </c>
      <c r="D1031">
        <v>0</v>
      </c>
      <c r="E1031" t="s">
        <v>62</v>
      </c>
      <c r="G1031" t="s">
        <v>158</v>
      </c>
      <c r="H1031" t="s">
        <v>61</v>
      </c>
      <c r="I1031">
        <v>3.5733599454028202E-2</v>
      </c>
      <c r="J1031" t="s">
        <v>62</v>
      </c>
    </row>
    <row r="1032" spans="2:10" x14ac:dyDescent="0.25">
      <c r="B1032" t="s">
        <v>138</v>
      </c>
      <c r="C1032" t="s">
        <v>63</v>
      </c>
      <c r="D1032">
        <v>0</v>
      </c>
      <c r="E1032" t="s">
        <v>62</v>
      </c>
      <c r="G1032" t="s">
        <v>158</v>
      </c>
      <c r="H1032" t="s">
        <v>63</v>
      </c>
      <c r="I1032">
        <v>1.4840584834224388E-2</v>
      </c>
      <c r="J1032" t="s">
        <v>62</v>
      </c>
    </row>
    <row r="1033" spans="2:10" x14ac:dyDescent="0.25">
      <c r="B1033" t="s">
        <v>138</v>
      </c>
      <c r="C1033" t="s">
        <v>64</v>
      </c>
      <c r="D1033">
        <v>1.0062934291106042E-3</v>
      </c>
      <c r="E1033" t="s">
        <v>62</v>
      </c>
      <c r="G1033" t="s">
        <v>158</v>
      </c>
      <c r="H1033" t="s">
        <v>64</v>
      </c>
      <c r="I1033">
        <v>1.4658430152782247E-2</v>
      </c>
      <c r="J1033" t="s">
        <v>62</v>
      </c>
    </row>
    <row r="1034" spans="2:10" x14ac:dyDescent="0.25">
      <c r="B1034" t="s">
        <v>138</v>
      </c>
      <c r="C1034" t="s">
        <v>65</v>
      </c>
      <c r="D1034">
        <v>1.1038887131103856E-2</v>
      </c>
      <c r="E1034" t="s">
        <v>62</v>
      </c>
      <c r="G1034" t="s">
        <v>158</v>
      </c>
      <c r="H1034" t="s">
        <v>65</v>
      </c>
      <c r="I1034">
        <v>1.4870320071389978E-2</v>
      </c>
      <c r="J1034" t="s">
        <v>62</v>
      </c>
    </row>
    <row r="1035" spans="2:10" x14ac:dyDescent="0.25">
      <c r="B1035" t="s">
        <v>138</v>
      </c>
      <c r="C1035" t="s">
        <v>66</v>
      </c>
      <c r="D1035">
        <v>1.7293384846390605E-2</v>
      </c>
      <c r="E1035" t="s">
        <v>62</v>
      </c>
      <c r="G1035" t="s">
        <v>158</v>
      </c>
      <c r="H1035" t="s">
        <v>66</v>
      </c>
      <c r="I1035">
        <v>1.4364989013882598E-2</v>
      </c>
      <c r="J1035" t="s">
        <v>62</v>
      </c>
    </row>
    <row r="1036" spans="2:10" x14ac:dyDescent="0.25">
      <c r="B1036" t="s">
        <v>138</v>
      </c>
      <c r="C1036" t="s">
        <v>67</v>
      </c>
      <c r="D1036">
        <v>1.6069435185591653E-2</v>
      </c>
      <c r="E1036" t="s">
        <v>62</v>
      </c>
      <c r="G1036" t="s">
        <v>158</v>
      </c>
      <c r="H1036" t="s">
        <v>67</v>
      </c>
      <c r="I1036">
        <v>1.5311511654450423E-2</v>
      </c>
      <c r="J1036" t="s">
        <v>62</v>
      </c>
    </row>
    <row r="1037" spans="2:10" x14ac:dyDescent="0.25">
      <c r="B1037" t="s">
        <v>138</v>
      </c>
      <c r="C1037" t="s">
        <v>68</v>
      </c>
      <c r="D1037">
        <v>7.5869548971684488E-3</v>
      </c>
      <c r="E1037" t="s">
        <v>62</v>
      </c>
      <c r="G1037" t="s">
        <v>158</v>
      </c>
      <c r="H1037" t="s">
        <v>68</v>
      </c>
      <c r="I1037">
        <v>1.5782788147379587E-2</v>
      </c>
      <c r="J1037" t="s">
        <v>62</v>
      </c>
    </row>
    <row r="1038" spans="2:10" x14ac:dyDescent="0.25">
      <c r="B1038" t="s">
        <v>138</v>
      </c>
      <c r="C1038" t="s">
        <v>69</v>
      </c>
      <c r="D1038">
        <v>5.5385951073383313E-4</v>
      </c>
      <c r="E1038" t="s">
        <v>62</v>
      </c>
      <c r="G1038" t="s">
        <v>158</v>
      </c>
      <c r="H1038" t="s">
        <v>69</v>
      </c>
      <c r="I1038">
        <v>1.6028134611248898E-2</v>
      </c>
      <c r="J1038" t="s">
        <v>62</v>
      </c>
    </row>
    <row r="1039" spans="2:10" x14ac:dyDescent="0.25">
      <c r="B1039" t="s">
        <v>138</v>
      </c>
      <c r="C1039" t="s">
        <v>70</v>
      </c>
      <c r="D1039">
        <v>0</v>
      </c>
      <c r="E1039" t="s">
        <v>62</v>
      </c>
      <c r="G1039" t="s">
        <v>158</v>
      </c>
      <c r="H1039" t="s">
        <v>70</v>
      </c>
      <c r="I1039">
        <v>1.6102451901880439E-2</v>
      </c>
      <c r="J1039" t="s">
        <v>62</v>
      </c>
    </row>
    <row r="1040" spans="2:10" x14ac:dyDescent="0.25">
      <c r="B1040" t="s">
        <v>138</v>
      </c>
      <c r="C1040" t="s">
        <v>71</v>
      </c>
      <c r="D1040">
        <v>0</v>
      </c>
      <c r="E1040" t="s">
        <v>62</v>
      </c>
      <c r="G1040" t="s">
        <v>158</v>
      </c>
      <c r="H1040" t="s">
        <v>71</v>
      </c>
      <c r="I1040">
        <v>2.2536925630682283E-2</v>
      </c>
      <c r="J1040" t="s">
        <v>62</v>
      </c>
    </row>
    <row r="1041" spans="2:10" x14ac:dyDescent="0.25">
      <c r="B1041" t="s">
        <v>138</v>
      </c>
      <c r="C1041" t="s">
        <v>72</v>
      </c>
      <c r="D1041">
        <v>0</v>
      </c>
      <c r="E1041" t="s">
        <v>62</v>
      </c>
      <c r="G1041" t="s">
        <v>158</v>
      </c>
      <c r="H1041" t="s">
        <v>72</v>
      </c>
      <c r="I1041">
        <v>3.4384118772205929E-2</v>
      </c>
      <c r="J1041" t="s">
        <v>62</v>
      </c>
    </row>
    <row r="1042" spans="2:10" x14ac:dyDescent="0.25">
      <c r="B1042" t="s">
        <v>138</v>
      </c>
      <c r="C1042" t="s">
        <v>73</v>
      </c>
      <c r="D1042">
        <v>4.0469143974148662E-3</v>
      </c>
      <c r="E1042" t="s">
        <v>62</v>
      </c>
      <c r="G1042" t="s">
        <v>158</v>
      </c>
      <c r="H1042" t="s">
        <v>73</v>
      </c>
      <c r="I1042">
        <v>1.3782736693488352E-2</v>
      </c>
      <c r="J1042" t="s">
        <v>62</v>
      </c>
    </row>
    <row r="1043" spans="2:10" x14ac:dyDescent="0.25">
      <c r="B1043" t="s">
        <v>138</v>
      </c>
      <c r="C1043" t="s">
        <v>74</v>
      </c>
      <c r="D1043">
        <v>2.6293041481148378E-2</v>
      </c>
      <c r="E1043" t="s">
        <v>62</v>
      </c>
      <c r="G1043" t="s">
        <v>158</v>
      </c>
      <c r="H1043" t="s">
        <v>74</v>
      </c>
      <c r="I1043">
        <v>1.3332689025361241E-2</v>
      </c>
      <c r="J1043" t="s">
        <v>62</v>
      </c>
    </row>
    <row r="1044" spans="2:10" x14ac:dyDescent="0.25">
      <c r="B1044" t="s">
        <v>138</v>
      </c>
      <c r="C1044" t="s">
        <v>75</v>
      </c>
      <c r="D1044">
        <v>4.1950310660362596E-2</v>
      </c>
      <c r="E1044" t="s">
        <v>62</v>
      </c>
      <c r="G1044" t="s">
        <v>158</v>
      </c>
      <c r="H1044" t="s">
        <v>75</v>
      </c>
      <c r="I1044">
        <v>1.4380926067470145E-2</v>
      </c>
      <c r="J1044" t="s">
        <v>62</v>
      </c>
    </row>
    <row r="1045" spans="2:10" x14ac:dyDescent="0.25">
      <c r="B1045" t="s">
        <v>138</v>
      </c>
      <c r="C1045" t="s">
        <v>76</v>
      </c>
      <c r="D1045">
        <v>4.3906742577475823E-2</v>
      </c>
      <c r="E1045" t="s">
        <v>62</v>
      </c>
      <c r="G1045" t="s">
        <v>158</v>
      </c>
      <c r="H1045" t="s">
        <v>76</v>
      </c>
      <c r="I1045">
        <v>1.4181078606284602E-2</v>
      </c>
      <c r="J1045" t="s">
        <v>62</v>
      </c>
    </row>
    <row r="1046" spans="2:10" x14ac:dyDescent="0.25">
      <c r="B1046" t="s">
        <v>138</v>
      </c>
      <c r="C1046" t="s">
        <v>77</v>
      </c>
      <c r="D1046">
        <v>4.2529331129918697E-2</v>
      </c>
      <c r="E1046" t="s">
        <v>62</v>
      </c>
      <c r="G1046" t="s">
        <v>158</v>
      </c>
      <c r="H1046" t="s">
        <v>77</v>
      </c>
      <c r="I1046">
        <v>1.6192958924977907E-2</v>
      </c>
      <c r="J1046" t="s">
        <v>62</v>
      </c>
    </row>
    <row r="1047" spans="2:10" x14ac:dyDescent="0.25">
      <c r="B1047" t="s">
        <v>138</v>
      </c>
      <c r="C1047" t="s">
        <v>78</v>
      </c>
      <c r="D1047">
        <v>3.3100036147559006E-2</v>
      </c>
      <c r="E1047" t="s">
        <v>62</v>
      </c>
      <c r="G1047" t="s">
        <v>158</v>
      </c>
      <c r="H1047" t="s">
        <v>78</v>
      </c>
      <c r="I1047">
        <v>1.6636674662810314E-2</v>
      </c>
      <c r="J1047" t="s">
        <v>62</v>
      </c>
    </row>
    <row r="1048" spans="2:10" x14ac:dyDescent="0.25">
      <c r="B1048" t="s">
        <v>138</v>
      </c>
      <c r="C1048" t="s">
        <v>79</v>
      </c>
      <c r="D1048">
        <v>1.5139730483290172E-2</v>
      </c>
      <c r="E1048" t="s">
        <v>62</v>
      </c>
      <c r="G1048" t="s">
        <v>158</v>
      </c>
      <c r="H1048" t="s">
        <v>79</v>
      </c>
      <c r="I1048">
        <v>1.641161574681374E-2</v>
      </c>
      <c r="J1048" t="s">
        <v>62</v>
      </c>
    </row>
    <row r="1049" spans="2:10" x14ac:dyDescent="0.25">
      <c r="B1049" t="s">
        <v>138</v>
      </c>
      <c r="C1049" t="s">
        <v>80</v>
      </c>
      <c r="D1049">
        <v>7.4339631870082366E-4</v>
      </c>
      <c r="E1049" t="s">
        <v>62</v>
      </c>
      <c r="G1049" t="s">
        <v>158</v>
      </c>
      <c r="H1049" t="s">
        <v>80</v>
      </c>
      <c r="I1049">
        <v>1.711363071572412E-2</v>
      </c>
      <c r="J1049" t="s">
        <v>62</v>
      </c>
    </row>
    <row r="1050" spans="2:10" x14ac:dyDescent="0.25">
      <c r="B1050" t="s">
        <v>138</v>
      </c>
      <c r="C1050" t="s">
        <v>81</v>
      </c>
      <c r="D1050">
        <v>0</v>
      </c>
      <c r="E1050" t="s">
        <v>62</v>
      </c>
      <c r="G1050" t="s">
        <v>158</v>
      </c>
      <c r="H1050" t="s">
        <v>81</v>
      </c>
      <c r="I1050">
        <v>2.3277726262879054E-2</v>
      </c>
      <c r="J1050" t="s">
        <v>62</v>
      </c>
    </row>
    <row r="1051" spans="2:10" x14ac:dyDescent="0.25">
      <c r="B1051" t="s">
        <v>138</v>
      </c>
      <c r="C1051" t="s">
        <v>82</v>
      </c>
      <c r="D1051">
        <v>5.4568355729578963E-4</v>
      </c>
      <c r="E1051" t="s">
        <v>62</v>
      </c>
      <c r="G1051" t="s">
        <v>158</v>
      </c>
      <c r="H1051" t="s">
        <v>82</v>
      </c>
      <c r="I1051">
        <v>2.7371819890781413E-2</v>
      </c>
      <c r="J1051" t="s">
        <v>62</v>
      </c>
    </row>
    <row r="1052" spans="2:10" x14ac:dyDescent="0.25">
      <c r="B1052" t="s">
        <v>138</v>
      </c>
      <c r="C1052" t="s">
        <v>83</v>
      </c>
      <c r="D1052">
        <v>1.813547268525011E-2</v>
      </c>
      <c r="E1052" t="s">
        <v>62</v>
      </c>
      <c r="G1052" t="s">
        <v>158</v>
      </c>
      <c r="H1052" t="s">
        <v>83</v>
      </c>
      <c r="I1052">
        <v>1.1253106277726747E-2</v>
      </c>
      <c r="J1052" t="s">
        <v>62</v>
      </c>
    </row>
    <row r="1053" spans="2:10" x14ac:dyDescent="0.25">
      <c r="B1053" t="s">
        <v>138</v>
      </c>
      <c r="C1053" t="s">
        <v>84</v>
      </c>
      <c r="D1053">
        <v>3.8027495512891675E-2</v>
      </c>
      <c r="E1053" t="s">
        <v>62</v>
      </c>
      <c r="G1053" t="s">
        <v>158</v>
      </c>
      <c r="H1053" t="s">
        <v>84</v>
      </c>
      <c r="I1053">
        <v>1.1333803827274336E-2</v>
      </c>
      <c r="J1053" t="s">
        <v>62</v>
      </c>
    </row>
    <row r="1054" spans="2:10" x14ac:dyDescent="0.25">
      <c r="B1054" t="s">
        <v>138</v>
      </c>
      <c r="C1054" t="s">
        <v>85</v>
      </c>
      <c r="D1054">
        <v>4.8808437747623078E-2</v>
      </c>
      <c r="E1054" t="s">
        <v>62</v>
      </c>
      <c r="G1054" t="s">
        <v>158</v>
      </c>
      <c r="H1054" t="s">
        <v>85</v>
      </c>
      <c r="I1054">
        <v>1.239394189992175E-2</v>
      </c>
      <c r="J1054" t="s">
        <v>62</v>
      </c>
    </row>
    <row r="1055" spans="2:10" x14ac:dyDescent="0.25">
      <c r="B1055" t="s">
        <v>138</v>
      </c>
      <c r="C1055" t="s">
        <v>86</v>
      </c>
      <c r="D1055">
        <v>4.8698054648448064E-2</v>
      </c>
      <c r="E1055" t="s">
        <v>62</v>
      </c>
      <c r="G1055" t="s">
        <v>158</v>
      </c>
      <c r="H1055" t="s">
        <v>86</v>
      </c>
      <c r="I1055">
        <v>1.0213306600641923E-2</v>
      </c>
      <c r="J1055" t="s">
        <v>62</v>
      </c>
    </row>
    <row r="1056" spans="2:10" x14ac:dyDescent="0.25">
      <c r="B1056" t="s">
        <v>138</v>
      </c>
      <c r="C1056" t="s">
        <v>87</v>
      </c>
      <c r="D1056">
        <v>4.6141134986707764E-2</v>
      </c>
      <c r="E1056" t="s">
        <v>62</v>
      </c>
      <c r="G1056" t="s">
        <v>158</v>
      </c>
      <c r="H1056" t="s">
        <v>87</v>
      </c>
      <c r="I1056">
        <v>1.1672494273523897E-2</v>
      </c>
      <c r="J1056" t="s">
        <v>62</v>
      </c>
    </row>
    <row r="1057" spans="2:10" x14ac:dyDescent="0.25">
      <c r="B1057" t="s">
        <v>138</v>
      </c>
      <c r="C1057" t="s">
        <v>88</v>
      </c>
      <c r="D1057">
        <v>3.7011422713775936E-2</v>
      </c>
      <c r="E1057" t="s">
        <v>62</v>
      </c>
      <c r="G1057" t="s">
        <v>158</v>
      </c>
      <c r="H1057" t="s">
        <v>88</v>
      </c>
      <c r="I1057">
        <v>1.1652218211646215E-2</v>
      </c>
      <c r="J1057" t="s">
        <v>62</v>
      </c>
    </row>
    <row r="1058" spans="2:10" x14ac:dyDescent="0.25">
      <c r="B1058" t="s">
        <v>138</v>
      </c>
      <c r="C1058" t="s">
        <v>89</v>
      </c>
      <c r="D1058">
        <v>2.3642886656000887E-2</v>
      </c>
      <c r="E1058" t="s">
        <v>62</v>
      </c>
      <c r="G1058" t="s">
        <v>158</v>
      </c>
      <c r="H1058" t="s">
        <v>89</v>
      </c>
      <c r="I1058">
        <v>1.0310673438157083E-2</v>
      </c>
      <c r="J1058" t="s">
        <v>62</v>
      </c>
    </row>
    <row r="1059" spans="2:10" x14ac:dyDescent="0.25">
      <c r="B1059" t="s">
        <v>138</v>
      </c>
      <c r="C1059" t="s">
        <v>90</v>
      </c>
      <c r="D1059">
        <v>6.490054543466732E-3</v>
      </c>
      <c r="E1059" t="s">
        <v>62</v>
      </c>
      <c r="G1059" t="s">
        <v>158</v>
      </c>
      <c r="H1059" t="s">
        <v>90</v>
      </c>
      <c r="I1059">
        <v>1.042972066349644E-2</v>
      </c>
      <c r="J1059" t="s">
        <v>62</v>
      </c>
    </row>
    <row r="1060" spans="2:10" x14ac:dyDescent="0.25">
      <c r="B1060" t="s">
        <v>138</v>
      </c>
      <c r="C1060" t="s">
        <v>91</v>
      </c>
      <c r="D1060">
        <v>0</v>
      </c>
      <c r="E1060" t="s">
        <v>62</v>
      </c>
      <c r="G1060" t="s">
        <v>158</v>
      </c>
      <c r="H1060" t="s">
        <v>91</v>
      </c>
      <c r="I1060">
        <v>1.5966277587424128E-2</v>
      </c>
      <c r="J1060" t="s">
        <v>62</v>
      </c>
    </row>
    <row r="1061" spans="2:10" x14ac:dyDescent="0.25">
      <c r="B1061" t="s">
        <v>138</v>
      </c>
      <c r="C1061" t="s">
        <v>92</v>
      </c>
      <c r="D1061">
        <v>1.8435189936914204E-5</v>
      </c>
      <c r="E1061" t="s">
        <v>62</v>
      </c>
      <c r="G1061" t="s">
        <v>158</v>
      </c>
      <c r="H1061" t="s">
        <v>92</v>
      </c>
      <c r="I1061">
        <v>1.698605850282876E-2</v>
      </c>
      <c r="J1061" t="s">
        <v>62</v>
      </c>
    </row>
    <row r="1062" spans="2:10" x14ac:dyDescent="0.25">
      <c r="B1062" t="s">
        <v>138</v>
      </c>
      <c r="C1062" t="s">
        <v>93</v>
      </c>
      <c r="D1062">
        <v>1.6778334571212455E-2</v>
      </c>
      <c r="E1062" t="s">
        <v>62</v>
      </c>
      <c r="G1062" t="s">
        <v>158</v>
      </c>
      <c r="H1062" t="s">
        <v>93</v>
      </c>
      <c r="I1062">
        <v>6.1727194036499781E-3</v>
      </c>
      <c r="J1062" t="s">
        <v>62</v>
      </c>
    </row>
    <row r="1063" spans="2:10" x14ac:dyDescent="0.25">
      <c r="B1063" t="s">
        <v>138</v>
      </c>
      <c r="C1063" t="s">
        <v>94</v>
      </c>
      <c r="D1063">
        <v>4.1344352666307559E-2</v>
      </c>
      <c r="E1063" t="s">
        <v>62</v>
      </c>
      <c r="G1063" t="s">
        <v>158</v>
      </c>
      <c r="H1063" t="s">
        <v>94</v>
      </c>
      <c r="I1063">
        <v>5.2703676391205895E-3</v>
      </c>
      <c r="J1063" t="s">
        <v>62</v>
      </c>
    </row>
    <row r="1064" spans="2:10" x14ac:dyDescent="0.25">
      <c r="B1064" t="s">
        <v>138</v>
      </c>
      <c r="C1064" t="s">
        <v>95</v>
      </c>
      <c r="D1064">
        <v>5.2075833163130712E-2</v>
      </c>
      <c r="E1064" t="s">
        <v>62</v>
      </c>
      <c r="G1064" t="s">
        <v>158</v>
      </c>
      <c r="H1064" t="s">
        <v>95</v>
      </c>
      <c r="I1064">
        <v>6.6969497231236328E-3</v>
      </c>
      <c r="J1064" t="s">
        <v>62</v>
      </c>
    </row>
    <row r="1065" spans="2:10" x14ac:dyDescent="0.25">
      <c r="B1065" t="s">
        <v>138</v>
      </c>
      <c r="C1065" t="s">
        <v>96</v>
      </c>
      <c r="D1065">
        <v>5.1147800140532988E-2</v>
      </c>
      <c r="E1065" t="s">
        <v>62</v>
      </c>
      <c r="G1065" t="s">
        <v>158</v>
      </c>
      <c r="H1065" t="s">
        <v>96</v>
      </c>
      <c r="I1065">
        <v>5.9611637506573056E-3</v>
      </c>
      <c r="J1065" t="s">
        <v>62</v>
      </c>
    </row>
    <row r="1066" spans="2:10" x14ac:dyDescent="0.25">
      <c r="B1066" t="s">
        <v>138</v>
      </c>
      <c r="C1066" t="s">
        <v>97</v>
      </c>
      <c r="D1066">
        <v>4.9140306964560551E-2</v>
      </c>
      <c r="E1066" t="s">
        <v>62</v>
      </c>
      <c r="G1066" t="s">
        <v>158</v>
      </c>
      <c r="H1066" t="s">
        <v>97</v>
      </c>
      <c r="I1066">
        <v>7.0179068980083907E-3</v>
      </c>
      <c r="J1066" t="s">
        <v>62</v>
      </c>
    </row>
    <row r="1067" spans="2:10" x14ac:dyDescent="0.25">
      <c r="B1067" t="s">
        <v>138</v>
      </c>
      <c r="C1067" t="s">
        <v>98</v>
      </c>
      <c r="D1067">
        <v>4.3902273396455291E-2</v>
      </c>
      <c r="E1067" t="s">
        <v>62</v>
      </c>
      <c r="G1067" t="s">
        <v>158</v>
      </c>
      <c r="H1067" t="s">
        <v>98</v>
      </c>
      <c r="I1067">
        <v>7.0077794341975377E-3</v>
      </c>
      <c r="J1067" t="s">
        <v>62</v>
      </c>
    </row>
    <row r="1068" spans="2:10" x14ac:dyDescent="0.25">
      <c r="B1068" t="s">
        <v>138</v>
      </c>
      <c r="C1068" t="s">
        <v>99</v>
      </c>
      <c r="D1068">
        <v>2.9184395035478532E-2</v>
      </c>
      <c r="E1068" t="s">
        <v>62</v>
      </c>
      <c r="G1068" t="s">
        <v>158</v>
      </c>
      <c r="H1068" t="s">
        <v>99</v>
      </c>
      <c r="I1068">
        <v>6.4457854996455045E-3</v>
      </c>
      <c r="J1068" t="s">
        <v>62</v>
      </c>
    </row>
    <row r="1069" spans="2:10" x14ac:dyDescent="0.25">
      <c r="B1069" t="s">
        <v>138</v>
      </c>
      <c r="C1069" t="s">
        <v>100</v>
      </c>
      <c r="D1069">
        <v>7.1489959045009082E-3</v>
      </c>
      <c r="E1069" t="s">
        <v>62</v>
      </c>
      <c r="G1069" t="s">
        <v>158</v>
      </c>
      <c r="H1069" t="s">
        <v>100</v>
      </c>
      <c r="I1069">
        <v>6.5669698748663128E-3</v>
      </c>
      <c r="J1069" t="s">
        <v>62</v>
      </c>
    </row>
    <row r="1070" spans="2:10" x14ac:dyDescent="0.25">
      <c r="B1070" t="s">
        <v>138</v>
      </c>
      <c r="C1070" t="s">
        <v>101</v>
      </c>
      <c r="D1070">
        <v>0</v>
      </c>
      <c r="E1070" t="s">
        <v>62</v>
      </c>
      <c r="G1070" t="s">
        <v>158</v>
      </c>
      <c r="H1070" t="s">
        <v>101</v>
      </c>
      <c r="I1070">
        <v>1.0720618530159596E-2</v>
      </c>
      <c r="J1070" t="s">
        <v>62</v>
      </c>
    </row>
    <row r="1071" spans="2:10" x14ac:dyDescent="0.25">
      <c r="B1071" t="s">
        <v>138</v>
      </c>
      <c r="C1071" t="s">
        <v>102</v>
      </c>
      <c r="D1071">
        <v>0</v>
      </c>
      <c r="E1071" t="s">
        <v>62</v>
      </c>
      <c r="G1071" t="s">
        <v>158</v>
      </c>
      <c r="H1071" t="s">
        <v>102</v>
      </c>
      <c r="I1071">
        <v>3.0917568527129867E-2</v>
      </c>
      <c r="J1071" t="s">
        <v>62</v>
      </c>
    </row>
    <row r="1072" spans="2:10" x14ac:dyDescent="0.25">
      <c r="B1072" t="s">
        <v>138</v>
      </c>
      <c r="C1072" t="s">
        <v>103</v>
      </c>
      <c r="D1072">
        <v>1.4394091864683987E-3</v>
      </c>
      <c r="E1072" t="s">
        <v>62</v>
      </c>
      <c r="G1072" t="s">
        <v>158</v>
      </c>
      <c r="H1072" t="s">
        <v>103</v>
      </c>
      <c r="I1072">
        <v>1.282024156516012E-2</v>
      </c>
      <c r="J1072" t="s">
        <v>62</v>
      </c>
    </row>
    <row r="1073" spans="2:10" x14ac:dyDescent="0.25">
      <c r="B1073" t="s">
        <v>138</v>
      </c>
      <c r="C1073" t="s">
        <v>104</v>
      </c>
      <c r="D1073">
        <v>1.6627051518295532E-2</v>
      </c>
      <c r="E1073" t="s">
        <v>62</v>
      </c>
      <c r="G1073" t="s">
        <v>158</v>
      </c>
      <c r="H1073" t="s">
        <v>104</v>
      </c>
      <c r="I1073">
        <v>1.3465142020131446E-2</v>
      </c>
      <c r="J1073" t="s">
        <v>62</v>
      </c>
    </row>
    <row r="1074" spans="2:10" x14ac:dyDescent="0.25">
      <c r="B1074" t="s">
        <v>138</v>
      </c>
      <c r="C1074" t="s">
        <v>105</v>
      </c>
      <c r="D1074">
        <v>2.8416585253694737E-2</v>
      </c>
      <c r="E1074" t="s">
        <v>62</v>
      </c>
      <c r="G1074" t="s">
        <v>158</v>
      </c>
      <c r="H1074" t="s">
        <v>105</v>
      </c>
      <c r="I1074">
        <v>1.5088880307315256E-2</v>
      </c>
      <c r="J1074" t="s">
        <v>62</v>
      </c>
    </row>
    <row r="1075" spans="2:10" x14ac:dyDescent="0.25">
      <c r="B1075" t="s">
        <v>138</v>
      </c>
      <c r="C1075" t="s">
        <v>106</v>
      </c>
      <c r="D1075">
        <v>3.1036921620851619E-2</v>
      </c>
      <c r="E1075" t="s">
        <v>62</v>
      </c>
      <c r="G1075" t="s">
        <v>158</v>
      </c>
      <c r="H1075" t="s">
        <v>106</v>
      </c>
      <c r="I1075">
        <v>1.426393538812064E-2</v>
      </c>
      <c r="J1075" t="s">
        <v>62</v>
      </c>
    </row>
    <row r="1076" spans="2:10" x14ac:dyDescent="0.25">
      <c r="B1076" t="s">
        <v>138</v>
      </c>
      <c r="C1076" t="s">
        <v>107</v>
      </c>
      <c r="D1076">
        <v>3.1589641834240845E-2</v>
      </c>
      <c r="E1076" t="s">
        <v>62</v>
      </c>
      <c r="G1076" t="s">
        <v>158</v>
      </c>
      <c r="H1076" t="s">
        <v>107</v>
      </c>
      <c r="I1076">
        <v>1.5065576627273067E-2</v>
      </c>
      <c r="J1076" t="s">
        <v>62</v>
      </c>
    </row>
    <row r="1077" spans="2:10" x14ac:dyDescent="0.25">
      <c r="B1077" t="s">
        <v>138</v>
      </c>
      <c r="C1077" t="s">
        <v>108</v>
      </c>
      <c r="D1077">
        <v>2.2869083294821194E-2</v>
      </c>
      <c r="E1077" t="s">
        <v>62</v>
      </c>
      <c r="G1077" t="s">
        <v>158</v>
      </c>
      <c r="H1077" t="s">
        <v>108</v>
      </c>
      <c r="I1077">
        <v>1.470675566086105E-2</v>
      </c>
      <c r="J1077" t="s">
        <v>62</v>
      </c>
    </row>
    <row r="1078" spans="2:10" x14ac:dyDescent="0.25">
      <c r="B1078" t="s">
        <v>138</v>
      </c>
      <c r="C1078" t="s">
        <v>109</v>
      </c>
      <c r="D1078">
        <v>6.3883486743517128E-3</v>
      </c>
      <c r="E1078" t="s">
        <v>62</v>
      </c>
      <c r="G1078" t="s">
        <v>158</v>
      </c>
      <c r="H1078" t="s">
        <v>109</v>
      </c>
      <c r="I1078">
        <v>1.4954723026865525E-2</v>
      </c>
      <c r="J1078" t="s">
        <v>62</v>
      </c>
    </row>
    <row r="1079" spans="2:10" x14ac:dyDescent="0.25">
      <c r="B1079" t="s">
        <v>138</v>
      </c>
      <c r="C1079" t="s">
        <v>110</v>
      </c>
      <c r="D1079">
        <v>0</v>
      </c>
      <c r="E1079" t="s">
        <v>62</v>
      </c>
      <c r="G1079" t="s">
        <v>158</v>
      </c>
      <c r="H1079" t="s">
        <v>110</v>
      </c>
      <c r="I1079">
        <v>1.562060087830631E-2</v>
      </c>
      <c r="J1079" t="s">
        <v>62</v>
      </c>
    </row>
    <row r="1080" spans="2:10" x14ac:dyDescent="0.25">
      <c r="B1080" t="s">
        <v>138</v>
      </c>
      <c r="C1080" t="s">
        <v>111</v>
      </c>
      <c r="D1080">
        <v>0</v>
      </c>
      <c r="E1080" t="s">
        <v>62</v>
      </c>
      <c r="G1080" t="s">
        <v>158</v>
      </c>
      <c r="H1080" t="s">
        <v>111</v>
      </c>
      <c r="I1080">
        <v>2.2081319979298551E-2</v>
      </c>
      <c r="J1080" t="s">
        <v>62</v>
      </c>
    </row>
    <row r="1081" spans="2:10" x14ac:dyDescent="0.25">
      <c r="B1081" t="s">
        <v>138</v>
      </c>
      <c r="C1081" t="s">
        <v>112</v>
      </c>
      <c r="D1081">
        <v>0</v>
      </c>
      <c r="E1081" t="s">
        <v>62</v>
      </c>
      <c r="G1081" t="s">
        <v>158</v>
      </c>
      <c r="H1081" t="s">
        <v>112</v>
      </c>
      <c r="I1081">
        <v>5.2732815231102681E-2</v>
      </c>
      <c r="J1081" t="s">
        <v>62</v>
      </c>
    </row>
    <row r="1082" spans="2:10" x14ac:dyDescent="0.25">
      <c r="B1082" t="s">
        <v>138</v>
      </c>
      <c r="C1082" t="s">
        <v>113</v>
      </c>
      <c r="D1082">
        <v>0</v>
      </c>
      <c r="E1082" t="s">
        <v>62</v>
      </c>
      <c r="G1082" t="s">
        <v>158</v>
      </c>
      <c r="H1082" t="s">
        <v>113</v>
      </c>
      <c r="I1082">
        <v>2.0435600613668788E-2</v>
      </c>
      <c r="J1082" t="s">
        <v>62</v>
      </c>
    </row>
    <row r="1083" spans="2:10" x14ac:dyDescent="0.25">
      <c r="B1083" t="s">
        <v>138</v>
      </c>
      <c r="C1083" t="s">
        <v>114</v>
      </c>
      <c r="D1083">
        <v>1.2636065857962835E-3</v>
      </c>
      <c r="E1083" t="s">
        <v>62</v>
      </c>
      <c r="G1083" t="s">
        <v>158</v>
      </c>
      <c r="H1083" t="s">
        <v>114</v>
      </c>
      <c r="I1083">
        <v>2.1245265877602251E-2</v>
      </c>
      <c r="J1083" t="s">
        <v>62</v>
      </c>
    </row>
    <row r="1084" spans="2:10" x14ac:dyDescent="0.25">
      <c r="B1084" t="s">
        <v>138</v>
      </c>
      <c r="C1084" t="s">
        <v>115</v>
      </c>
      <c r="D1084">
        <v>1.0658868233745254E-2</v>
      </c>
      <c r="E1084" t="s">
        <v>62</v>
      </c>
      <c r="G1084" t="s">
        <v>158</v>
      </c>
      <c r="H1084" t="s">
        <v>115</v>
      </c>
      <c r="I1084">
        <v>2.2138265832027326E-2</v>
      </c>
      <c r="J1084" t="s">
        <v>62</v>
      </c>
    </row>
    <row r="1085" spans="2:10" x14ac:dyDescent="0.25">
      <c r="B1085" t="s">
        <v>138</v>
      </c>
      <c r="C1085" t="s">
        <v>116</v>
      </c>
      <c r="D1085">
        <v>1.402844761930858E-2</v>
      </c>
      <c r="E1085" t="s">
        <v>62</v>
      </c>
      <c r="G1085" t="s">
        <v>158</v>
      </c>
      <c r="H1085" t="s">
        <v>116</v>
      </c>
      <c r="I1085">
        <v>2.0538335415061486E-2</v>
      </c>
      <c r="J1085" t="s">
        <v>62</v>
      </c>
    </row>
    <row r="1086" spans="2:10" x14ac:dyDescent="0.25">
      <c r="B1086" t="s">
        <v>138</v>
      </c>
      <c r="C1086" t="s">
        <v>117</v>
      </c>
      <c r="D1086">
        <v>1.2965322337726241E-2</v>
      </c>
      <c r="E1086" t="s">
        <v>62</v>
      </c>
      <c r="G1086" t="s">
        <v>158</v>
      </c>
      <c r="H1086" t="s">
        <v>117</v>
      </c>
      <c r="I1086">
        <v>2.1305689116756902E-2</v>
      </c>
      <c r="J1086" t="s">
        <v>62</v>
      </c>
    </row>
    <row r="1087" spans="2:10" x14ac:dyDescent="0.25">
      <c r="B1087" t="s">
        <v>138</v>
      </c>
      <c r="C1087" t="s">
        <v>118</v>
      </c>
      <c r="D1087">
        <v>3.2170255611533149E-3</v>
      </c>
      <c r="E1087" t="s">
        <v>62</v>
      </c>
      <c r="G1087" t="s">
        <v>158</v>
      </c>
      <c r="H1087" t="s">
        <v>118</v>
      </c>
      <c r="I1087">
        <v>2.2053045779634507E-2</v>
      </c>
      <c r="J1087" t="s">
        <v>62</v>
      </c>
    </row>
    <row r="1088" spans="2:10" x14ac:dyDescent="0.25">
      <c r="B1088" t="s">
        <v>138</v>
      </c>
      <c r="C1088" t="s">
        <v>119</v>
      </c>
      <c r="D1088">
        <v>0</v>
      </c>
      <c r="E1088" t="s">
        <v>62</v>
      </c>
      <c r="G1088" t="s">
        <v>158</v>
      </c>
      <c r="H1088" t="s">
        <v>119</v>
      </c>
      <c r="I1088">
        <v>2.2852682167347229E-2</v>
      </c>
      <c r="J1088" t="s">
        <v>62</v>
      </c>
    </row>
    <row r="1089" spans="2:10" x14ac:dyDescent="0.25">
      <c r="B1089" t="s">
        <v>138</v>
      </c>
      <c r="C1089" t="s">
        <v>120</v>
      </c>
      <c r="D1089">
        <v>0</v>
      </c>
      <c r="E1089" t="s">
        <v>62</v>
      </c>
      <c r="G1089" t="s">
        <v>158</v>
      </c>
      <c r="H1089" t="s">
        <v>120</v>
      </c>
      <c r="I1089">
        <v>2.297101682794854E-2</v>
      </c>
      <c r="J1089" t="s">
        <v>62</v>
      </c>
    </row>
    <row r="1090" spans="2:10" x14ac:dyDescent="0.25">
      <c r="B1090" t="s">
        <v>138</v>
      </c>
      <c r="C1090" t="s">
        <v>121</v>
      </c>
      <c r="D1090">
        <v>0</v>
      </c>
      <c r="E1090" t="s">
        <v>62</v>
      </c>
      <c r="G1090" t="s">
        <v>158</v>
      </c>
      <c r="H1090" t="s">
        <v>121</v>
      </c>
      <c r="I1090">
        <v>3.3374966281572715E-2</v>
      </c>
      <c r="J1090" t="s">
        <v>62</v>
      </c>
    </row>
    <row r="1091" spans="2:10" x14ac:dyDescent="0.25">
      <c r="B1091" t="s">
        <v>139</v>
      </c>
      <c r="C1091" t="s">
        <v>61</v>
      </c>
      <c r="D1091">
        <v>0</v>
      </c>
      <c r="E1091" t="s">
        <v>62</v>
      </c>
      <c r="G1091" t="s">
        <v>159</v>
      </c>
      <c r="H1091" t="s">
        <v>61</v>
      </c>
      <c r="I1091">
        <v>3.9104512492243448E-2</v>
      </c>
      <c r="J1091" t="s">
        <v>62</v>
      </c>
    </row>
    <row r="1092" spans="2:10" x14ac:dyDescent="0.25">
      <c r="B1092" t="s">
        <v>139</v>
      </c>
      <c r="C1092" t="s">
        <v>63</v>
      </c>
      <c r="D1092">
        <v>0</v>
      </c>
      <c r="E1092" t="s">
        <v>62</v>
      </c>
      <c r="G1092" t="s">
        <v>159</v>
      </c>
      <c r="H1092" t="s">
        <v>63</v>
      </c>
      <c r="I1092">
        <v>1.6946050110310869E-2</v>
      </c>
      <c r="J1092" t="s">
        <v>62</v>
      </c>
    </row>
    <row r="1093" spans="2:10" x14ac:dyDescent="0.25">
      <c r="B1093" t="s">
        <v>139</v>
      </c>
      <c r="C1093" t="s">
        <v>64</v>
      </c>
      <c r="D1093">
        <v>1.2895694239945577E-3</v>
      </c>
      <c r="E1093" t="s">
        <v>62</v>
      </c>
      <c r="G1093" t="s">
        <v>159</v>
      </c>
      <c r="H1093" t="s">
        <v>64</v>
      </c>
      <c r="I1093">
        <v>1.7048409643904916E-2</v>
      </c>
      <c r="J1093" t="s">
        <v>62</v>
      </c>
    </row>
    <row r="1094" spans="2:10" x14ac:dyDescent="0.25">
      <c r="B1094" t="s">
        <v>139</v>
      </c>
      <c r="C1094" t="s">
        <v>65</v>
      </c>
      <c r="D1094">
        <v>1.2521364091215483E-2</v>
      </c>
      <c r="E1094" t="s">
        <v>62</v>
      </c>
      <c r="G1094" t="s">
        <v>159</v>
      </c>
      <c r="H1094" t="s">
        <v>65</v>
      </c>
      <c r="I1094">
        <v>1.6894765115842494E-2</v>
      </c>
      <c r="J1094" t="s">
        <v>62</v>
      </c>
    </row>
    <row r="1095" spans="2:10" x14ac:dyDescent="0.25">
      <c r="B1095" t="s">
        <v>139</v>
      </c>
      <c r="C1095" t="s">
        <v>66</v>
      </c>
      <c r="D1095">
        <v>1.8831335221337949E-2</v>
      </c>
      <c r="E1095" t="s">
        <v>62</v>
      </c>
      <c r="G1095" t="s">
        <v>159</v>
      </c>
      <c r="H1095" t="s">
        <v>66</v>
      </c>
      <c r="I1095">
        <v>1.6034022297922387E-2</v>
      </c>
      <c r="J1095" t="s">
        <v>62</v>
      </c>
    </row>
    <row r="1096" spans="2:10" x14ac:dyDescent="0.25">
      <c r="B1096" t="s">
        <v>139</v>
      </c>
      <c r="C1096" t="s">
        <v>67</v>
      </c>
      <c r="D1096">
        <v>1.7336936162328877E-2</v>
      </c>
      <c r="E1096" t="s">
        <v>62</v>
      </c>
      <c r="G1096" t="s">
        <v>159</v>
      </c>
      <c r="H1096" t="s">
        <v>67</v>
      </c>
      <c r="I1096">
        <v>1.6798604474589023E-2</v>
      </c>
      <c r="J1096" t="s">
        <v>62</v>
      </c>
    </row>
    <row r="1097" spans="2:10" x14ac:dyDescent="0.25">
      <c r="B1097" t="s">
        <v>139</v>
      </c>
      <c r="C1097" t="s">
        <v>68</v>
      </c>
      <c r="D1097">
        <v>8.7305254251645332E-3</v>
      </c>
      <c r="E1097" t="s">
        <v>62</v>
      </c>
      <c r="G1097" t="s">
        <v>159</v>
      </c>
      <c r="H1097" t="s">
        <v>68</v>
      </c>
      <c r="I1097">
        <v>1.7670666276669869E-2</v>
      </c>
      <c r="J1097" t="s">
        <v>62</v>
      </c>
    </row>
    <row r="1098" spans="2:10" x14ac:dyDescent="0.25">
      <c r="B1098" t="s">
        <v>139</v>
      </c>
      <c r="C1098" t="s">
        <v>69</v>
      </c>
      <c r="D1098">
        <v>7.0698694884020123E-4</v>
      </c>
      <c r="E1098" t="s">
        <v>62</v>
      </c>
      <c r="G1098" t="s">
        <v>159</v>
      </c>
      <c r="H1098" t="s">
        <v>69</v>
      </c>
      <c r="I1098">
        <v>1.836185559908159E-2</v>
      </c>
      <c r="J1098" t="s">
        <v>62</v>
      </c>
    </row>
    <row r="1099" spans="2:10" x14ac:dyDescent="0.25">
      <c r="B1099" t="s">
        <v>139</v>
      </c>
      <c r="C1099" t="s">
        <v>70</v>
      </c>
      <c r="D1099">
        <v>0</v>
      </c>
      <c r="E1099" t="s">
        <v>62</v>
      </c>
      <c r="G1099" t="s">
        <v>159</v>
      </c>
      <c r="H1099" t="s">
        <v>70</v>
      </c>
      <c r="I1099">
        <v>1.7855947983226501E-2</v>
      </c>
      <c r="J1099" t="s">
        <v>62</v>
      </c>
    </row>
    <row r="1100" spans="2:10" x14ac:dyDescent="0.25">
      <c r="B1100" t="s">
        <v>139</v>
      </c>
      <c r="C1100" t="s">
        <v>71</v>
      </c>
      <c r="D1100">
        <v>0</v>
      </c>
      <c r="E1100" t="s">
        <v>62</v>
      </c>
      <c r="G1100" t="s">
        <v>159</v>
      </c>
      <c r="H1100" t="s">
        <v>71</v>
      </c>
      <c r="I1100">
        <v>2.4829188155792426E-2</v>
      </c>
      <c r="J1100" t="s">
        <v>62</v>
      </c>
    </row>
    <row r="1101" spans="2:10" x14ac:dyDescent="0.25">
      <c r="B1101" t="s">
        <v>139</v>
      </c>
      <c r="C1101" t="s">
        <v>72</v>
      </c>
      <c r="D1101">
        <v>0</v>
      </c>
      <c r="E1101" t="s">
        <v>62</v>
      </c>
      <c r="G1101" t="s">
        <v>159</v>
      </c>
      <c r="H1101" t="s">
        <v>72</v>
      </c>
      <c r="I1101">
        <v>4.0909201805902989E-2</v>
      </c>
      <c r="J1101" t="s">
        <v>62</v>
      </c>
    </row>
    <row r="1102" spans="2:10" x14ac:dyDescent="0.25">
      <c r="B1102" t="s">
        <v>139</v>
      </c>
      <c r="C1102" t="s">
        <v>73</v>
      </c>
      <c r="D1102">
        <v>3.6600352490017826E-3</v>
      </c>
      <c r="E1102" t="s">
        <v>62</v>
      </c>
      <c r="G1102" t="s">
        <v>159</v>
      </c>
      <c r="H1102" t="s">
        <v>73</v>
      </c>
      <c r="I1102">
        <v>1.5612551354179433E-2</v>
      </c>
      <c r="J1102" t="s">
        <v>62</v>
      </c>
    </row>
    <row r="1103" spans="2:10" x14ac:dyDescent="0.25">
      <c r="B1103" t="s">
        <v>139</v>
      </c>
      <c r="C1103" t="s">
        <v>74</v>
      </c>
      <c r="D1103">
        <v>2.5361902733355982E-2</v>
      </c>
      <c r="E1103" t="s">
        <v>62</v>
      </c>
      <c r="G1103" t="s">
        <v>159</v>
      </c>
      <c r="H1103" t="s">
        <v>74</v>
      </c>
      <c r="I1103">
        <v>1.3297822816498016E-2</v>
      </c>
      <c r="J1103" t="s">
        <v>62</v>
      </c>
    </row>
    <row r="1104" spans="2:10" x14ac:dyDescent="0.25">
      <c r="B1104" t="s">
        <v>139</v>
      </c>
      <c r="C1104" t="s">
        <v>75</v>
      </c>
      <c r="D1104">
        <v>4.0761579268727907E-2</v>
      </c>
      <c r="E1104" t="s">
        <v>62</v>
      </c>
      <c r="G1104" t="s">
        <v>159</v>
      </c>
      <c r="H1104" t="s">
        <v>75</v>
      </c>
      <c r="I1104">
        <v>1.2660307850613742E-2</v>
      </c>
      <c r="J1104" t="s">
        <v>62</v>
      </c>
    </row>
    <row r="1105" spans="2:10" x14ac:dyDescent="0.25">
      <c r="B1105" t="s">
        <v>139</v>
      </c>
      <c r="C1105" t="s">
        <v>76</v>
      </c>
      <c r="D1105">
        <v>4.3411888755492269E-2</v>
      </c>
      <c r="E1105" t="s">
        <v>62</v>
      </c>
      <c r="G1105" t="s">
        <v>159</v>
      </c>
      <c r="H1105" t="s">
        <v>76</v>
      </c>
      <c r="I1105">
        <v>1.2136223716225436E-2</v>
      </c>
      <c r="J1105" t="s">
        <v>62</v>
      </c>
    </row>
    <row r="1106" spans="2:10" x14ac:dyDescent="0.25">
      <c r="B1106" t="s">
        <v>139</v>
      </c>
      <c r="C1106" t="s">
        <v>77</v>
      </c>
      <c r="D1106">
        <v>4.1764795555520123E-2</v>
      </c>
      <c r="E1106" t="s">
        <v>62</v>
      </c>
      <c r="G1106" t="s">
        <v>159</v>
      </c>
      <c r="H1106" t="s">
        <v>77</v>
      </c>
      <c r="I1106">
        <v>1.3949463372161717E-2</v>
      </c>
      <c r="J1106" t="s">
        <v>62</v>
      </c>
    </row>
    <row r="1107" spans="2:10" x14ac:dyDescent="0.25">
      <c r="B1107" t="s">
        <v>139</v>
      </c>
      <c r="C1107" t="s">
        <v>78</v>
      </c>
      <c r="D1107">
        <v>3.2680572130281874E-2</v>
      </c>
      <c r="E1107" t="s">
        <v>62</v>
      </c>
      <c r="G1107" t="s">
        <v>159</v>
      </c>
      <c r="H1107" t="s">
        <v>78</v>
      </c>
      <c r="I1107">
        <v>1.5329457726190907E-2</v>
      </c>
      <c r="J1107" t="s">
        <v>62</v>
      </c>
    </row>
    <row r="1108" spans="2:10" x14ac:dyDescent="0.25">
      <c r="B1108" t="s">
        <v>139</v>
      </c>
      <c r="C1108" t="s">
        <v>79</v>
      </c>
      <c r="D1108">
        <v>1.5137303506716764E-2</v>
      </c>
      <c r="E1108" t="s">
        <v>62</v>
      </c>
      <c r="G1108" t="s">
        <v>159</v>
      </c>
      <c r="H1108" t="s">
        <v>79</v>
      </c>
      <c r="I1108">
        <v>1.5985221978003158E-2</v>
      </c>
      <c r="J1108" t="s">
        <v>62</v>
      </c>
    </row>
    <row r="1109" spans="2:10" x14ac:dyDescent="0.25">
      <c r="B1109" t="s">
        <v>139</v>
      </c>
      <c r="C1109" t="s">
        <v>80</v>
      </c>
      <c r="D1109">
        <v>5.5594519688407379E-4</v>
      </c>
      <c r="E1109" t="s">
        <v>62</v>
      </c>
      <c r="G1109" t="s">
        <v>159</v>
      </c>
      <c r="H1109" t="s">
        <v>80</v>
      </c>
      <c r="I1109">
        <v>1.7756982457678528E-2</v>
      </c>
      <c r="J1109" t="s">
        <v>62</v>
      </c>
    </row>
    <row r="1110" spans="2:10" x14ac:dyDescent="0.25">
      <c r="B1110" t="s">
        <v>139</v>
      </c>
      <c r="C1110" t="s">
        <v>81</v>
      </c>
      <c r="D1110">
        <v>0</v>
      </c>
      <c r="E1110" t="s">
        <v>62</v>
      </c>
      <c r="G1110" t="s">
        <v>159</v>
      </c>
      <c r="H1110" t="s">
        <v>81</v>
      </c>
      <c r="I1110">
        <v>2.6071223637724832E-2</v>
      </c>
      <c r="J1110" t="s">
        <v>62</v>
      </c>
    </row>
    <row r="1111" spans="2:10" x14ac:dyDescent="0.25">
      <c r="B1111" t="s">
        <v>139</v>
      </c>
      <c r="C1111" t="s">
        <v>82</v>
      </c>
      <c r="D1111">
        <v>0</v>
      </c>
      <c r="E1111" t="s">
        <v>62</v>
      </c>
      <c r="G1111" t="s">
        <v>159</v>
      </c>
      <c r="H1111" t="s">
        <v>82</v>
      </c>
      <c r="I1111">
        <v>2.3492306788736234E-2</v>
      </c>
      <c r="J1111" t="s">
        <v>62</v>
      </c>
    </row>
    <row r="1112" spans="2:10" x14ac:dyDescent="0.25">
      <c r="B1112" t="s">
        <v>139</v>
      </c>
      <c r="C1112" t="s">
        <v>83</v>
      </c>
      <c r="D1112">
        <v>1.5350920134583564E-2</v>
      </c>
      <c r="E1112" t="s">
        <v>62</v>
      </c>
      <c r="G1112" t="s">
        <v>159</v>
      </c>
      <c r="H1112" t="s">
        <v>83</v>
      </c>
      <c r="I1112">
        <v>8.5484122226728403E-3</v>
      </c>
      <c r="J1112" t="s">
        <v>62</v>
      </c>
    </row>
    <row r="1113" spans="2:10" x14ac:dyDescent="0.25">
      <c r="B1113" t="s">
        <v>139</v>
      </c>
      <c r="C1113" t="s">
        <v>84</v>
      </c>
      <c r="D1113">
        <v>3.3869503932787232E-2</v>
      </c>
      <c r="E1113" t="s">
        <v>62</v>
      </c>
      <c r="G1113" t="s">
        <v>159</v>
      </c>
      <c r="H1113" t="s">
        <v>84</v>
      </c>
      <c r="I1113">
        <v>7.1159659431762117E-3</v>
      </c>
      <c r="J1113" t="s">
        <v>62</v>
      </c>
    </row>
    <row r="1114" spans="2:10" x14ac:dyDescent="0.25">
      <c r="B1114" t="s">
        <v>139</v>
      </c>
      <c r="C1114" t="s">
        <v>85</v>
      </c>
      <c r="D1114">
        <v>4.5652700339442479E-2</v>
      </c>
      <c r="E1114" t="s">
        <v>62</v>
      </c>
      <c r="G1114" t="s">
        <v>159</v>
      </c>
      <c r="H1114" t="s">
        <v>85</v>
      </c>
      <c r="I1114">
        <v>7.5566157806366708E-3</v>
      </c>
      <c r="J1114" t="s">
        <v>62</v>
      </c>
    </row>
    <row r="1115" spans="2:10" x14ac:dyDescent="0.25">
      <c r="B1115" t="s">
        <v>139</v>
      </c>
      <c r="C1115" t="s">
        <v>86</v>
      </c>
      <c r="D1115">
        <v>4.6052853920367384E-2</v>
      </c>
      <c r="E1115" t="s">
        <v>62</v>
      </c>
      <c r="G1115" t="s">
        <v>159</v>
      </c>
      <c r="H1115" t="s">
        <v>86</v>
      </c>
      <c r="I1115">
        <v>6.3967436547457011E-3</v>
      </c>
      <c r="J1115" t="s">
        <v>62</v>
      </c>
    </row>
    <row r="1116" spans="2:10" x14ac:dyDescent="0.25">
      <c r="B1116" t="s">
        <v>139</v>
      </c>
      <c r="C1116" t="s">
        <v>87</v>
      </c>
      <c r="D1116">
        <v>4.4189514584119058E-2</v>
      </c>
      <c r="E1116" t="s">
        <v>62</v>
      </c>
      <c r="G1116" t="s">
        <v>159</v>
      </c>
      <c r="H1116" t="s">
        <v>87</v>
      </c>
      <c r="I1116">
        <v>7.6311696119434761E-3</v>
      </c>
      <c r="J1116" t="s">
        <v>62</v>
      </c>
    </row>
    <row r="1117" spans="2:10" x14ac:dyDescent="0.25">
      <c r="B1117" t="s">
        <v>139</v>
      </c>
      <c r="C1117" t="s">
        <v>88</v>
      </c>
      <c r="D1117">
        <v>3.603237542105487E-2</v>
      </c>
      <c r="E1117" t="s">
        <v>62</v>
      </c>
      <c r="G1117" t="s">
        <v>159</v>
      </c>
      <c r="H1117" t="s">
        <v>88</v>
      </c>
      <c r="I1117">
        <v>8.5065983593019655E-3</v>
      </c>
      <c r="J1117" t="s">
        <v>62</v>
      </c>
    </row>
    <row r="1118" spans="2:10" x14ac:dyDescent="0.25">
      <c r="B1118" t="s">
        <v>139</v>
      </c>
      <c r="C1118" t="s">
        <v>89</v>
      </c>
      <c r="D1118">
        <v>2.1130682316407901E-2</v>
      </c>
      <c r="E1118" t="s">
        <v>62</v>
      </c>
      <c r="G1118" t="s">
        <v>159</v>
      </c>
      <c r="H1118" t="s">
        <v>89</v>
      </c>
      <c r="I1118">
        <v>7.9808967258787715E-3</v>
      </c>
      <c r="J1118" t="s">
        <v>62</v>
      </c>
    </row>
    <row r="1119" spans="2:10" x14ac:dyDescent="0.25">
      <c r="B1119" t="s">
        <v>139</v>
      </c>
      <c r="C1119" t="s">
        <v>90</v>
      </c>
      <c r="D1119">
        <v>5.6335124941122826E-3</v>
      </c>
      <c r="E1119" t="s">
        <v>62</v>
      </c>
      <c r="G1119" t="s">
        <v>159</v>
      </c>
      <c r="H1119" t="s">
        <v>90</v>
      </c>
      <c r="I1119">
        <v>9.1546562349280932E-3</v>
      </c>
      <c r="J1119" t="s">
        <v>62</v>
      </c>
    </row>
    <row r="1120" spans="2:10" x14ac:dyDescent="0.25">
      <c r="B1120" t="s">
        <v>139</v>
      </c>
      <c r="C1120" t="s">
        <v>91</v>
      </c>
      <c r="D1120">
        <v>0</v>
      </c>
      <c r="E1120" t="s">
        <v>62</v>
      </c>
      <c r="G1120" t="s">
        <v>159</v>
      </c>
      <c r="H1120" t="s">
        <v>91</v>
      </c>
      <c r="I1120">
        <v>1.4650846714512047E-2</v>
      </c>
      <c r="J1120" t="s">
        <v>62</v>
      </c>
    </row>
    <row r="1121" spans="2:10" x14ac:dyDescent="0.25">
      <c r="B1121" t="s">
        <v>139</v>
      </c>
      <c r="C1121" t="s">
        <v>92</v>
      </c>
      <c r="D1121">
        <v>0</v>
      </c>
      <c r="E1121" t="s">
        <v>62</v>
      </c>
      <c r="G1121" t="s">
        <v>159</v>
      </c>
      <c r="H1121" t="s">
        <v>92</v>
      </c>
      <c r="I1121">
        <v>2.0135588972866086E-2</v>
      </c>
      <c r="J1121" t="s">
        <v>62</v>
      </c>
    </row>
    <row r="1122" spans="2:10" x14ac:dyDescent="0.25">
      <c r="B1122" t="s">
        <v>139</v>
      </c>
      <c r="C1122" t="s">
        <v>93</v>
      </c>
      <c r="D1122">
        <v>1.6661757221916283E-2</v>
      </c>
      <c r="E1122" t="s">
        <v>62</v>
      </c>
      <c r="G1122" t="s">
        <v>159</v>
      </c>
      <c r="H1122" t="s">
        <v>93</v>
      </c>
      <c r="I1122">
        <v>7.1729784837720814E-3</v>
      </c>
      <c r="J1122" t="s">
        <v>62</v>
      </c>
    </row>
    <row r="1123" spans="2:10" x14ac:dyDescent="0.25">
      <c r="B1123" t="s">
        <v>139</v>
      </c>
      <c r="C1123" t="s">
        <v>94</v>
      </c>
      <c r="D1123">
        <v>4.2176409287808365E-2</v>
      </c>
      <c r="E1123" t="s">
        <v>62</v>
      </c>
      <c r="G1123" t="s">
        <v>159</v>
      </c>
      <c r="H1123" t="s">
        <v>94</v>
      </c>
      <c r="I1123">
        <v>5.937825909001224E-3</v>
      </c>
      <c r="J1123" t="s">
        <v>62</v>
      </c>
    </row>
    <row r="1124" spans="2:10" x14ac:dyDescent="0.25">
      <c r="B1124" t="s">
        <v>139</v>
      </c>
      <c r="C1124" t="s">
        <v>95</v>
      </c>
      <c r="D1124">
        <v>5.3250629343256153E-2</v>
      </c>
      <c r="E1124" t="s">
        <v>62</v>
      </c>
      <c r="G1124" t="s">
        <v>159</v>
      </c>
      <c r="H1124" t="s">
        <v>95</v>
      </c>
      <c r="I1124">
        <v>6.9522160775447629E-3</v>
      </c>
      <c r="J1124" t="s">
        <v>62</v>
      </c>
    </row>
    <row r="1125" spans="2:10" x14ac:dyDescent="0.25">
      <c r="B1125" t="s">
        <v>139</v>
      </c>
      <c r="C1125" t="s">
        <v>96</v>
      </c>
      <c r="D1125">
        <v>5.1779239898161154E-2</v>
      </c>
      <c r="E1125" t="s">
        <v>62</v>
      </c>
      <c r="G1125" t="s">
        <v>159</v>
      </c>
      <c r="H1125" t="s">
        <v>96</v>
      </c>
      <c r="I1125">
        <v>5.7691113437469783E-3</v>
      </c>
      <c r="J1125" t="s">
        <v>62</v>
      </c>
    </row>
    <row r="1126" spans="2:10" x14ac:dyDescent="0.25">
      <c r="B1126" t="s">
        <v>139</v>
      </c>
      <c r="C1126" t="s">
        <v>97</v>
      </c>
      <c r="D1126">
        <v>4.9657667549408452E-2</v>
      </c>
      <c r="E1126" t="s">
        <v>62</v>
      </c>
      <c r="G1126" t="s">
        <v>159</v>
      </c>
      <c r="H1126" t="s">
        <v>97</v>
      </c>
      <c r="I1126">
        <v>6.4006090345982217E-3</v>
      </c>
      <c r="J1126" t="s">
        <v>62</v>
      </c>
    </row>
    <row r="1127" spans="2:10" x14ac:dyDescent="0.25">
      <c r="B1127" t="s">
        <v>139</v>
      </c>
      <c r="C1127" t="s">
        <v>98</v>
      </c>
      <c r="D1127">
        <v>4.3478745510571223E-2</v>
      </c>
      <c r="E1127" t="s">
        <v>62</v>
      </c>
      <c r="G1127" t="s">
        <v>159</v>
      </c>
      <c r="H1127" t="s">
        <v>98</v>
      </c>
      <c r="I1127">
        <v>6.7963674886640348E-3</v>
      </c>
      <c r="J1127" t="s">
        <v>62</v>
      </c>
    </row>
    <row r="1128" spans="2:10" x14ac:dyDescent="0.25">
      <c r="B1128" t="s">
        <v>139</v>
      </c>
      <c r="C1128" t="s">
        <v>99</v>
      </c>
      <c r="D1128">
        <v>2.8311895664001375E-2</v>
      </c>
      <c r="E1128" t="s">
        <v>62</v>
      </c>
      <c r="G1128" t="s">
        <v>159</v>
      </c>
      <c r="H1128" t="s">
        <v>99</v>
      </c>
      <c r="I1128">
        <v>6.1360868450887106E-3</v>
      </c>
      <c r="J1128" t="s">
        <v>62</v>
      </c>
    </row>
    <row r="1129" spans="2:10" x14ac:dyDescent="0.25">
      <c r="B1129" t="s">
        <v>139</v>
      </c>
      <c r="C1129" t="s">
        <v>100</v>
      </c>
      <c r="D1129">
        <v>7.1464646621349943E-3</v>
      </c>
      <c r="E1129" t="s">
        <v>62</v>
      </c>
      <c r="G1129" t="s">
        <v>159</v>
      </c>
      <c r="H1129" t="s">
        <v>100</v>
      </c>
      <c r="I1129">
        <v>7.1203738528537539E-3</v>
      </c>
      <c r="J1129" t="s">
        <v>62</v>
      </c>
    </row>
    <row r="1130" spans="2:10" x14ac:dyDescent="0.25">
      <c r="B1130" t="s">
        <v>139</v>
      </c>
      <c r="C1130" t="s">
        <v>101</v>
      </c>
      <c r="D1130">
        <v>0</v>
      </c>
      <c r="E1130" t="s">
        <v>62</v>
      </c>
      <c r="G1130" t="s">
        <v>159</v>
      </c>
      <c r="H1130" t="s">
        <v>101</v>
      </c>
      <c r="I1130">
        <v>1.2364900526119096E-2</v>
      </c>
      <c r="J1130" t="s">
        <v>62</v>
      </c>
    </row>
    <row r="1131" spans="2:10" x14ac:dyDescent="0.25">
      <c r="B1131" t="s">
        <v>139</v>
      </c>
      <c r="C1131" t="s">
        <v>102</v>
      </c>
      <c r="D1131">
        <v>0</v>
      </c>
      <c r="E1131" t="s">
        <v>62</v>
      </c>
      <c r="G1131" t="s">
        <v>159</v>
      </c>
      <c r="H1131" t="s">
        <v>102</v>
      </c>
      <c r="I1131">
        <v>3.2640745688189761E-2</v>
      </c>
      <c r="J1131" t="s">
        <v>62</v>
      </c>
    </row>
    <row r="1132" spans="2:10" x14ac:dyDescent="0.25">
      <c r="B1132" t="s">
        <v>139</v>
      </c>
      <c r="C1132" t="s">
        <v>103</v>
      </c>
      <c r="D1132">
        <v>1.39672268858783E-3</v>
      </c>
      <c r="E1132" t="s">
        <v>62</v>
      </c>
      <c r="G1132" t="s">
        <v>159</v>
      </c>
      <c r="H1132" t="s">
        <v>103</v>
      </c>
      <c r="I1132">
        <v>1.2144455626442235E-2</v>
      </c>
      <c r="J1132" t="s">
        <v>62</v>
      </c>
    </row>
    <row r="1133" spans="2:10" x14ac:dyDescent="0.25">
      <c r="B1133" t="s">
        <v>139</v>
      </c>
      <c r="C1133" t="s">
        <v>104</v>
      </c>
      <c r="D1133">
        <v>1.7326401015470245E-2</v>
      </c>
      <c r="E1133" t="s">
        <v>62</v>
      </c>
      <c r="G1133" t="s">
        <v>159</v>
      </c>
      <c r="H1133" t="s">
        <v>104</v>
      </c>
      <c r="I1133">
        <v>1.193706598966647E-2</v>
      </c>
      <c r="J1133" t="s">
        <v>62</v>
      </c>
    </row>
    <row r="1134" spans="2:10" x14ac:dyDescent="0.25">
      <c r="B1134" t="s">
        <v>139</v>
      </c>
      <c r="C1134" t="s">
        <v>105</v>
      </c>
      <c r="D1134">
        <v>3.107725602325807E-2</v>
      </c>
      <c r="E1134" t="s">
        <v>62</v>
      </c>
      <c r="G1134" t="s">
        <v>159</v>
      </c>
      <c r="H1134" t="s">
        <v>105</v>
      </c>
      <c r="I1134">
        <v>1.2307633119417958E-2</v>
      </c>
      <c r="J1134" t="s">
        <v>62</v>
      </c>
    </row>
    <row r="1135" spans="2:10" x14ac:dyDescent="0.25">
      <c r="B1135" t="s">
        <v>139</v>
      </c>
      <c r="C1135" t="s">
        <v>106</v>
      </c>
      <c r="D1135">
        <v>3.1777540215826725E-2</v>
      </c>
      <c r="E1135" t="s">
        <v>62</v>
      </c>
      <c r="G1135" t="s">
        <v>159</v>
      </c>
      <c r="H1135" t="s">
        <v>106</v>
      </c>
      <c r="I1135">
        <v>1.1554040800029013E-2</v>
      </c>
      <c r="J1135" t="s">
        <v>62</v>
      </c>
    </row>
    <row r="1136" spans="2:10" x14ac:dyDescent="0.25">
      <c r="B1136" t="s">
        <v>139</v>
      </c>
      <c r="C1136" t="s">
        <v>107</v>
      </c>
      <c r="D1136">
        <v>3.2860871335369822E-2</v>
      </c>
      <c r="E1136" t="s">
        <v>62</v>
      </c>
      <c r="G1136" t="s">
        <v>159</v>
      </c>
      <c r="H1136" t="s">
        <v>107</v>
      </c>
      <c r="I1136">
        <v>1.3972512818549438E-2</v>
      </c>
      <c r="J1136" t="s">
        <v>62</v>
      </c>
    </row>
    <row r="1137" spans="2:10" x14ac:dyDescent="0.25">
      <c r="B1137" t="s">
        <v>139</v>
      </c>
      <c r="C1137" t="s">
        <v>108</v>
      </c>
      <c r="D1137">
        <v>2.3213637660477213E-2</v>
      </c>
      <c r="E1137" t="s">
        <v>62</v>
      </c>
      <c r="G1137" t="s">
        <v>159</v>
      </c>
      <c r="H1137" t="s">
        <v>108</v>
      </c>
      <c r="I1137">
        <v>1.4674628160922182E-2</v>
      </c>
      <c r="J1137" t="s">
        <v>62</v>
      </c>
    </row>
    <row r="1138" spans="2:10" x14ac:dyDescent="0.25">
      <c r="B1138" t="s">
        <v>139</v>
      </c>
      <c r="C1138" t="s">
        <v>109</v>
      </c>
      <c r="D1138">
        <v>6.862352187573903E-3</v>
      </c>
      <c r="E1138" t="s">
        <v>62</v>
      </c>
      <c r="G1138" t="s">
        <v>159</v>
      </c>
      <c r="H1138" t="s">
        <v>109</v>
      </c>
      <c r="I1138">
        <v>1.6128577909738817E-2</v>
      </c>
      <c r="J1138" t="s">
        <v>62</v>
      </c>
    </row>
    <row r="1139" spans="2:10" x14ac:dyDescent="0.25">
      <c r="B1139" t="s">
        <v>139</v>
      </c>
      <c r="C1139" t="s">
        <v>110</v>
      </c>
      <c r="D1139">
        <v>0</v>
      </c>
      <c r="E1139" t="s">
        <v>62</v>
      </c>
      <c r="G1139" t="s">
        <v>159</v>
      </c>
      <c r="H1139" t="s">
        <v>110</v>
      </c>
      <c r="I1139">
        <v>1.6839763149237012E-2</v>
      </c>
      <c r="J1139" t="s">
        <v>62</v>
      </c>
    </row>
    <row r="1140" spans="2:10" x14ac:dyDescent="0.25">
      <c r="B1140" t="s">
        <v>139</v>
      </c>
      <c r="C1140" t="s">
        <v>111</v>
      </c>
      <c r="D1140">
        <v>0</v>
      </c>
      <c r="E1140" t="s">
        <v>62</v>
      </c>
      <c r="G1140" t="s">
        <v>159</v>
      </c>
      <c r="H1140" t="s">
        <v>111</v>
      </c>
      <c r="I1140">
        <v>2.3825868801004325E-2</v>
      </c>
      <c r="J1140" t="s">
        <v>62</v>
      </c>
    </row>
    <row r="1141" spans="2:10" x14ac:dyDescent="0.25">
      <c r="B1141" t="s">
        <v>139</v>
      </c>
      <c r="C1141" t="s">
        <v>112</v>
      </c>
      <c r="D1141">
        <v>0</v>
      </c>
      <c r="E1141" t="s">
        <v>62</v>
      </c>
      <c r="G1141" t="s">
        <v>159</v>
      </c>
      <c r="H1141" t="s">
        <v>112</v>
      </c>
      <c r="I1141">
        <v>5.5724566664711921E-2</v>
      </c>
      <c r="J1141" t="s">
        <v>62</v>
      </c>
    </row>
    <row r="1142" spans="2:10" x14ac:dyDescent="0.25">
      <c r="B1142" t="s">
        <v>139</v>
      </c>
      <c r="C1142" t="s">
        <v>113</v>
      </c>
      <c r="D1142">
        <v>0</v>
      </c>
      <c r="E1142" t="s">
        <v>62</v>
      </c>
      <c r="G1142" t="s">
        <v>159</v>
      </c>
      <c r="H1142" t="s">
        <v>113</v>
      </c>
      <c r="I1142">
        <v>2.1257844534498051E-2</v>
      </c>
      <c r="J1142" t="s">
        <v>62</v>
      </c>
    </row>
    <row r="1143" spans="2:10" x14ac:dyDescent="0.25">
      <c r="B1143" t="s">
        <v>139</v>
      </c>
      <c r="C1143" t="s">
        <v>114</v>
      </c>
      <c r="D1143">
        <v>1.6202980871613364E-3</v>
      </c>
      <c r="E1143" t="s">
        <v>62</v>
      </c>
      <c r="G1143" t="s">
        <v>159</v>
      </c>
      <c r="H1143" t="s">
        <v>114</v>
      </c>
      <c r="I1143">
        <v>2.1180925287853983E-2</v>
      </c>
      <c r="J1143" t="s">
        <v>62</v>
      </c>
    </row>
    <row r="1144" spans="2:10" x14ac:dyDescent="0.25">
      <c r="B1144" t="s">
        <v>139</v>
      </c>
      <c r="C1144" t="s">
        <v>115</v>
      </c>
      <c r="D1144">
        <v>1.3448541223218044E-2</v>
      </c>
      <c r="E1144" t="s">
        <v>62</v>
      </c>
      <c r="G1144" t="s">
        <v>159</v>
      </c>
      <c r="H1144" t="s">
        <v>115</v>
      </c>
      <c r="I1144">
        <v>2.0436324168192119E-2</v>
      </c>
      <c r="J1144" t="s">
        <v>62</v>
      </c>
    </row>
    <row r="1145" spans="2:10" x14ac:dyDescent="0.25">
      <c r="B1145" t="s">
        <v>139</v>
      </c>
      <c r="C1145" t="s">
        <v>116</v>
      </c>
      <c r="D1145">
        <v>1.5951629061453036E-2</v>
      </c>
      <c r="E1145" t="s">
        <v>62</v>
      </c>
      <c r="G1145" t="s">
        <v>159</v>
      </c>
      <c r="H1145" t="s">
        <v>116</v>
      </c>
      <c r="I1145">
        <v>1.9252868237124535E-2</v>
      </c>
      <c r="J1145" t="s">
        <v>62</v>
      </c>
    </row>
    <row r="1146" spans="2:10" x14ac:dyDescent="0.25">
      <c r="B1146" t="s">
        <v>139</v>
      </c>
      <c r="C1146" t="s">
        <v>117</v>
      </c>
      <c r="D1146">
        <v>1.6039933553313231E-2</v>
      </c>
      <c r="E1146" t="s">
        <v>62</v>
      </c>
      <c r="G1146" t="s">
        <v>159</v>
      </c>
      <c r="H1146" t="s">
        <v>117</v>
      </c>
      <c r="I1146">
        <v>2.0024805624859365E-2</v>
      </c>
      <c r="J1146" t="s">
        <v>62</v>
      </c>
    </row>
    <row r="1147" spans="2:10" x14ac:dyDescent="0.25">
      <c r="B1147" t="s">
        <v>139</v>
      </c>
      <c r="C1147" t="s">
        <v>118</v>
      </c>
      <c r="D1147">
        <v>5.2992049992943565E-3</v>
      </c>
      <c r="E1147" t="s">
        <v>62</v>
      </c>
      <c r="G1147" t="s">
        <v>159</v>
      </c>
      <c r="H1147" t="s">
        <v>118</v>
      </c>
      <c r="I1147">
        <v>2.219911979820198E-2</v>
      </c>
      <c r="J1147" t="s">
        <v>62</v>
      </c>
    </row>
    <row r="1148" spans="2:10" x14ac:dyDescent="0.25">
      <c r="B1148" t="s">
        <v>139</v>
      </c>
      <c r="C1148" t="s">
        <v>119</v>
      </c>
      <c r="D1148">
        <v>0</v>
      </c>
      <c r="E1148" t="s">
        <v>62</v>
      </c>
      <c r="G1148" t="s">
        <v>159</v>
      </c>
      <c r="H1148" t="s">
        <v>119</v>
      </c>
      <c r="I1148">
        <v>2.4305904845282441E-2</v>
      </c>
      <c r="J1148" t="s">
        <v>62</v>
      </c>
    </row>
    <row r="1149" spans="2:10" x14ac:dyDescent="0.25">
      <c r="B1149" t="s">
        <v>139</v>
      </c>
      <c r="C1149" t="s">
        <v>120</v>
      </c>
      <c r="D1149">
        <v>0</v>
      </c>
      <c r="E1149" t="s">
        <v>62</v>
      </c>
      <c r="G1149" t="s">
        <v>159</v>
      </c>
      <c r="H1149" t="s">
        <v>120</v>
      </c>
      <c r="I1149">
        <v>2.4273203337001729E-2</v>
      </c>
      <c r="J1149" t="s">
        <v>62</v>
      </c>
    </row>
    <row r="1150" spans="2:10" x14ac:dyDescent="0.25">
      <c r="B1150" t="s">
        <v>139</v>
      </c>
      <c r="C1150" t="s">
        <v>121</v>
      </c>
      <c r="D1150">
        <v>0</v>
      </c>
      <c r="E1150" t="s">
        <v>62</v>
      </c>
      <c r="G1150" t="s">
        <v>159</v>
      </c>
      <c r="H1150" t="s">
        <v>121</v>
      </c>
      <c r="I1150">
        <v>3.4246396003529363E-2</v>
      </c>
      <c r="J1150" t="s">
        <v>62</v>
      </c>
    </row>
    <row r="1151" spans="2:10" x14ac:dyDescent="0.25">
      <c r="B1151" t="s">
        <v>140</v>
      </c>
      <c r="C1151" t="s">
        <v>61</v>
      </c>
      <c r="D1151">
        <v>0</v>
      </c>
      <c r="E1151" t="s">
        <v>62</v>
      </c>
      <c r="G1151" t="s">
        <v>160</v>
      </c>
      <c r="H1151" t="s">
        <v>61</v>
      </c>
      <c r="I1151">
        <v>3.8893297631175321E-2</v>
      </c>
      <c r="J1151" t="s">
        <v>62</v>
      </c>
    </row>
    <row r="1152" spans="2:10" x14ac:dyDescent="0.25">
      <c r="B1152" t="s">
        <v>140</v>
      </c>
      <c r="C1152" t="s">
        <v>63</v>
      </c>
      <c r="D1152">
        <v>0</v>
      </c>
      <c r="E1152" t="s">
        <v>62</v>
      </c>
      <c r="G1152" t="s">
        <v>160</v>
      </c>
      <c r="H1152" t="s">
        <v>63</v>
      </c>
      <c r="I1152">
        <v>1.6547953468788058E-2</v>
      </c>
      <c r="J1152" t="s">
        <v>62</v>
      </c>
    </row>
    <row r="1153" spans="2:10" x14ac:dyDescent="0.25">
      <c r="B1153" t="s">
        <v>140</v>
      </c>
      <c r="C1153" t="s">
        <v>64</v>
      </c>
      <c r="D1153">
        <v>1.3125607082344116E-3</v>
      </c>
      <c r="E1153" t="s">
        <v>62</v>
      </c>
      <c r="G1153" t="s">
        <v>160</v>
      </c>
      <c r="H1153" t="s">
        <v>64</v>
      </c>
      <c r="I1153">
        <v>1.6517051099846178E-2</v>
      </c>
      <c r="J1153" t="s">
        <v>62</v>
      </c>
    </row>
    <row r="1154" spans="2:10" x14ac:dyDescent="0.25">
      <c r="B1154" t="s">
        <v>140</v>
      </c>
      <c r="C1154" t="s">
        <v>65</v>
      </c>
      <c r="D1154">
        <v>1.2137409052663497E-2</v>
      </c>
      <c r="E1154" t="s">
        <v>62</v>
      </c>
      <c r="G1154" t="s">
        <v>160</v>
      </c>
      <c r="H1154" t="s">
        <v>65</v>
      </c>
      <c r="I1154">
        <v>1.6099965639416892E-2</v>
      </c>
      <c r="J1154" t="s">
        <v>62</v>
      </c>
    </row>
    <row r="1155" spans="2:10" x14ac:dyDescent="0.25">
      <c r="B1155" t="s">
        <v>140</v>
      </c>
      <c r="C1155" t="s">
        <v>66</v>
      </c>
      <c r="D1155">
        <v>1.7915637983674581E-2</v>
      </c>
      <c r="E1155" t="s">
        <v>62</v>
      </c>
      <c r="G1155" t="s">
        <v>160</v>
      </c>
      <c r="H1155" t="s">
        <v>66</v>
      </c>
      <c r="I1155">
        <v>1.4915926059562877E-2</v>
      </c>
      <c r="J1155" t="s">
        <v>62</v>
      </c>
    </row>
    <row r="1156" spans="2:10" x14ac:dyDescent="0.25">
      <c r="B1156" t="s">
        <v>140</v>
      </c>
      <c r="C1156" t="s">
        <v>67</v>
      </c>
      <c r="D1156">
        <v>1.6338335617096206E-2</v>
      </c>
      <c r="E1156" t="s">
        <v>62</v>
      </c>
      <c r="G1156" t="s">
        <v>160</v>
      </c>
      <c r="H1156" t="s">
        <v>67</v>
      </c>
      <c r="I1156">
        <v>1.51893791864982E-2</v>
      </c>
      <c r="J1156" t="s">
        <v>62</v>
      </c>
    </row>
    <row r="1157" spans="2:10" x14ac:dyDescent="0.25">
      <c r="B1157" t="s">
        <v>140</v>
      </c>
      <c r="C1157" t="s">
        <v>68</v>
      </c>
      <c r="D1157">
        <v>7.0739709202330353E-3</v>
      </c>
      <c r="E1157" t="s">
        <v>62</v>
      </c>
      <c r="G1157" t="s">
        <v>160</v>
      </c>
      <c r="H1157" t="s">
        <v>68</v>
      </c>
      <c r="I1157">
        <v>1.6059419194400602E-2</v>
      </c>
      <c r="J1157" t="s">
        <v>62</v>
      </c>
    </row>
    <row r="1158" spans="2:10" x14ac:dyDescent="0.25">
      <c r="B1158" t="s">
        <v>140</v>
      </c>
      <c r="C1158" t="s">
        <v>69</v>
      </c>
      <c r="D1158">
        <v>4.9277305922839352E-4</v>
      </c>
      <c r="E1158" t="s">
        <v>62</v>
      </c>
      <c r="G1158" t="s">
        <v>160</v>
      </c>
      <c r="H1158" t="s">
        <v>69</v>
      </c>
      <c r="I1158">
        <v>1.6302914527695552E-2</v>
      </c>
      <c r="J1158" t="s">
        <v>62</v>
      </c>
    </row>
    <row r="1159" spans="2:10" x14ac:dyDescent="0.25">
      <c r="B1159" t="s">
        <v>140</v>
      </c>
      <c r="C1159" t="s">
        <v>70</v>
      </c>
      <c r="D1159">
        <v>0</v>
      </c>
      <c r="E1159" t="s">
        <v>62</v>
      </c>
      <c r="G1159" t="s">
        <v>160</v>
      </c>
      <c r="H1159" t="s">
        <v>70</v>
      </c>
      <c r="I1159">
        <v>1.6274199420948692E-2</v>
      </c>
      <c r="J1159" t="s">
        <v>62</v>
      </c>
    </row>
    <row r="1160" spans="2:10" x14ac:dyDescent="0.25">
      <c r="B1160" t="s">
        <v>140</v>
      </c>
      <c r="C1160" t="s">
        <v>71</v>
      </c>
      <c r="D1160">
        <v>0</v>
      </c>
      <c r="E1160" t="s">
        <v>62</v>
      </c>
      <c r="G1160" t="s">
        <v>160</v>
      </c>
      <c r="H1160" t="s">
        <v>71</v>
      </c>
      <c r="I1160">
        <v>2.3107537780111757E-2</v>
      </c>
      <c r="J1160" t="s">
        <v>62</v>
      </c>
    </row>
    <row r="1161" spans="2:10" x14ac:dyDescent="0.25">
      <c r="B1161" t="s">
        <v>140</v>
      </c>
      <c r="C1161" t="s">
        <v>72</v>
      </c>
      <c r="D1161">
        <v>0</v>
      </c>
      <c r="E1161" t="s">
        <v>62</v>
      </c>
      <c r="G1161" t="s">
        <v>160</v>
      </c>
      <c r="H1161" t="s">
        <v>72</v>
      </c>
      <c r="I1161">
        <v>3.99653565107711E-2</v>
      </c>
      <c r="J1161" t="s">
        <v>62</v>
      </c>
    </row>
    <row r="1162" spans="2:10" x14ac:dyDescent="0.25">
      <c r="B1162" t="s">
        <v>140</v>
      </c>
      <c r="C1162" t="s">
        <v>73</v>
      </c>
      <c r="D1162">
        <v>4.6361907557135274E-3</v>
      </c>
      <c r="E1162" t="s">
        <v>62</v>
      </c>
      <c r="G1162" t="s">
        <v>160</v>
      </c>
      <c r="H1162" t="s">
        <v>73</v>
      </c>
      <c r="I1162">
        <v>1.4829602598064744E-2</v>
      </c>
      <c r="J1162" t="s">
        <v>62</v>
      </c>
    </row>
    <row r="1163" spans="2:10" x14ac:dyDescent="0.25">
      <c r="B1163" t="s">
        <v>140</v>
      </c>
      <c r="C1163" t="s">
        <v>74</v>
      </c>
      <c r="D1163">
        <v>2.7424192166804147E-2</v>
      </c>
      <c r="E1163" t="s">
        <v>62</v>
      </c>
      <c r="G1163" t="s">
        <v>160</v>
      </c>
      <c r="H1163" t="s">
        <v>74</v>
      </c>
      <c r="I1163">
        <v>1.3433251268364584E-2</v>
      </c>
      <c r="J1163" t="s">
        <v>62</v>
      </c>
    </row>
    <row r="1164" spans="2:10" x14ac:dyDescent="0.25">
      <c r="B1164" t="s">
        <v>140</v>
      </c>
      <c r="C1164" t="s">
        <v>75</v>
      </c>
      <c r="D1164">
        <v>4.0905356141853949E-2</v>
      </c>
      <c r="E1164" t="s">
        <v>62</v>
      </c>
      <c r="G1164" t="s">
        <v>160</v>
      </c>
      <c r="H1164" t="s">
        <v>75</v>
      </c>
      <c r="I1164">
        <v>1.3019141442470036E-2</v>
      </c>
      <c r="J1164" t="s">
        <v>62</v>
      </c>
    </row>
    <row r="1165" spans="2:10" x14ac:dyDescent="0.25">
      <c r="B1165" t="s">
        <v>140</v>
      </c>
      <c r="C1165" t="s">
        <v>76</v>
      </c>
      <c r="D1165">
        <v>4.2511374959664922E-2</v>
      </c>
      <c r="E1165" t="s">
        <v>62</v>
      </c>
      <c r="G1165" t="s">
        <v>160</v>
      </c>
      <c r="H1165" t="s">
        <v>76</v>
      </c>
      <c r="I1165">
        <v>1.3422070446894719E-2</v>
      </c>
      <c r="J1165" t="s">
        <v>62</v>
      </c>
    </row>
    <row r="1166" spans="2:10" x14ac:dyDescent="0.25">
      <c r="B1166" t="s">
        <v>140</v>
      </c>
      <c r="C1166" t="s">
        <v>77</v>
      </c>
      <c r="D1166">
        <v>4.0961969560780881E-2</v>
      </c>
      <c r="E1166" t="s">
        <v>62</v>
      </c>
      <c r="G1166" t="s">
        <v>160</v>
      </c>
      <c r="H1166" t="s">
        <v>77</v>
      </c>
      <c r="I1166">
        <v>1.5131798771354656E-2</v>
      </c>
      <c r="J1166" t="s">
        <v>62</v>
      </c>
    </row>
    <row r="1167" spans="2:10" x14ac:dyDescent="0.25">
      <c r="B1167" t="s">
        <v>140</v>
      </c>
      <c r="C1167" t="s">
        <v>78</v>
      </c>
      <c r="D1167">
        <v>3.2290881305210323E-2</v>
      </c>
      <c r="E1167" t="s">
        <v>62</v>
      </c>
      <c r="G1167" t="s">
        <v>160</v>
      </c>
      <c r="H1167" t="s">
        <v>78</v>
      </c>
      <c r="I1167">
        <v>1.6056564290067354E-2</v>
      </c>
      <c r="J1167" t="s">
        <v>62</v>
      </c>
    </row>
    <row r="1168" spans="2:10" x14ac:dyDescent="0.25">
      <c r="B1168" t="s">
        <v>140</v>
      </c>
      <c r="C1168" t="s">
        <v>79</v>
      </c>
      <c r="D1168">
        <v>1.5051689810156905E-2</v>
      </c>
      <c r="E1168" t="s">
        <v>62</v>
      </c>
      <c r="G1168" t="s">
        <v>160</v>
      </c>
      <c r="H1168" t="s">
        <v>79</v>
      </c>
      <c r="I1168">
        <v>1.5917505916163636E-2</v>
      </c>
      <c r="J1168" t="s">
        <v>62</v>
      </c>
    </row>
    <row r="1169" spans="2:10" x14ac:dyDescent="0.25">
      <c r="B1169" t="s">
        <v>140</v>
      </c>
      <c r="C1169" t="s">
        <v>80</v>
      </c>
      <c r="D1169">
        <v>3.3036466205091646E-4</v>
      </c>
      <c r="E1169" t="s">
        <v>62</v>
      </c>
      <c r="G1169" t="s">
        <v>160</v>
      </c>
      <c r="H1169" t="s">
        <v>80</v>
      </c>
      <c r="I1169">
        <v>1.7400784673500969E-2</v>
      </c>
      <c r="J1169" t="s">
        <v>62</v>
      </c>
    </row>
    <row r="1170" spans="2:10" x14ac:dyDescent="0.25">
      <c r="B1170" t="s">
        <v>140</v>
      </c>
      <c r="C1170" t="s">
        <v>81</v>
      </c>
      <c r="D1170">
        <v>0</v>
      </c>
      <c r="E1170" t="s">
        <v>62</v>
      </c>
      <c r="G1170" t="s">
        <v>160</v>
      </c>
      <c r="H1170" t="s">
        <v>81</v>
      </c>
      <c r="I1170">
        <v>2.5505166970079755E-2</v>
      </c>
      <c r="J1170" t="s">
        <v>62</v>
      </c>
    </row>
    <row r="1171" spans="2:10" x14ac:dyDescent="0.25">
      <c r="B1171" t="s">
        <v>140</v>
      </c>
      <c r="C1171" t="s">
        <v>82</v>
      </c>
      <c r="D1171">
        <v>6.8213935075864263E-4</v>
      </c>
      <c r="E1171" t="s">
        <v>62</v>
      </c>
      <c r="G1171" t="s">
        <v>160</v>
      </c>
      <c r="H1171" t="s">
        <v>82</v>
      </c>
      <c r="I1171">
        <v>2.3575839957807838E-2</v>
      </c>
      <c r="J1171" t="s">
        <v>62</v>
      </c>
    </row>
    <row r="1172" spans="2:10" x14ac:dyDescent="0.25">
      <c r="B1172" t="s">
        <v>140</v>
      </c>
      <c r="C1172" t="s">
        <v>83</v>
      </c>
      <c r="D1172">
        <v>1.8313427992784646E-2</v>
      </c>
      <c r="E1172" t="s">
        <v>62</v>
      </c>
      <c r="G1172" t="s">
        <v>160</v>
      </c>
      <c r="H1172" t="s">
        <v>83</v>
      </c>
      <c r="I1172">
        <v>8.6998346478894106E-3</v>
      </c>
      <c r="J1172" t="s">
        <v>62</v>
      </c>
    </row>
    <row r="1173" spans="2:10" x14ac:dyDescent="0.25">
      <c r="B1173" t="s">
        <v>140</v>
      </c>
      <c r="C1173" t="s">
        <v>84</v>
      </c>
      <c r="D1173">
        <v>3.8545873627901808E-2</v>
      </c>
      <c r="E1173" t="s">
        <v>62</v>
      </c>
      <c r="G1173" t="s">
        <v>160</v>
      </c>
      <c r="H1173" t="s">
        <v>84</v>
      </c>
      <c r="I1173">
        <v>8.3314441005160663E-3</v>
      </c>
      <c r="J1173" t="s">
        <v>62</v>
      </c>
    </row>
    <row r="1174" spans="2:10" x14ac:dyDescent="0.25">
      <c r="B1174" t="s">
        <v>140</v>
      </c>
      <c r="C1174" t="s">
        <v>85</v>
      </c>
      <c r="D1174">
        <v>4.8416544661821645E-2</v>
      </c>
      <c r="E1174" t="s">
        <v>62</v>
      </c>
      <c r="G1174" t="s">
        <v>160</v>
      </c>
      <c r="H1174" t="s">
        <v>85</v>
      </c>
      <c r="I1174">
        <v>9.634889032309156E-3</v>
      </c>
      <c r="J1174" t="s">
        <v>62</v>
      </c>
    </row>
    <row r="1175" spans="2:10" x14ac:dyDescent="0.25">
      <c r="B1175" t="s">
        <v>140</v>
      </c>
      <c r="C1175" t="s">
        <v>86</v>
      </c>
      <c r="D1175">
        <v>4.855295980267408E-2</v>
      </c>
      <c r="E1175" t="s">
        <v>62</v>
      </c>
      <c r="G1175" t="s">
        <v>160</v>
      </c>
      <c r="H1175" t="s">
        <v>86</v>
      </c>
      <c r="I1175">
        <v>7.5728224881070729E-3</v>
      </c>
      <c r="J1175" t="s">
        <v>62</v>
      </c>
    </row>
    <row r="1176" spans="2:10" x14ac:dyDescent="0.25">
      <c r="B1176" t="s">
        <v>140</v>
      </c>
      <c r="C1176" t="s">
        <v>87</v>
      </c>
      <c r="D1176">
        <v>4.565319065893237E-2</v>
      </c>
      <c r="E1176" t="s">
        <v>62</v>
      </c>
      <c r="G1176" t="s">
        <v>160</v>
      </c>
      <c r="H1176" t="s">
        <v>87</v>
      </c>
      <c r="I1176">
        <v>8.4009186065466899E-3</v>
      </c>
      <c r="J1176" t="s">
        <v>62</v>
      </c>
    </row>
    <row r="1177" spans="2:10" x14ac:dyDescent="0.25">
      <c r="B1177" t="s">
        <v>140</v>
      </c>
      <c r="C1177" t="s">
        <v>88</v>
      </c>
      <c r="D1177">
        <v>3.7165762304132891E-2</v>
      </c>
      <c r="E1177" t="s">
        <v>62</v>
      </c>
      <c r="G1177" t="s">
        <v>160</v>
      </c>
      <c r="H1177" t="s">
        <v>88</v>
      </c>
      <c r="I1177">
        <v>8.3895830208297866E-3</v>
      </c>
      <c r="J1177" t="s">
        <v>62</v>
      </c>
    </row>
    <row r="1178" spans="2:10" x14ac:dyDescent="0.25">
      <c r="B1178" t="s">
        <v>140</v>
      </c>
      <c r="C1178" t="s">
        <v>89</v>
      </c>
      <c r="D1178">
        <v>2.2993866810837277E-2</v>
      </c>
      <c r="E1178" t="s">
        <v>62</v>
      </c>
      <c r="G1178" t="s">
        <v>160</v>
      </c>
      <c r="H1178" t="s">
        <v>89</v>
      </c>
      <c r="I1178">
        <v>7.8303302281177434E-3</v>
      </c>
      <c r="J1178" t="s">
        <v>62</v>
      </c>
    </row>
    <row r="1179" spans="2:10" x14ac:dyDescent="0.25">
      <c r="B1179" t="s">
        <v>140</v>
      </c>
      <c r="C1179" t="s">
        <v>90</v>
      </c>
      <c r="D1179">
        <v>5.6153929753684747E-3</v>
      </c>
      <c r="E1179" t="s">
        <v>62</v>
      </c>
      <c r="G1179" t="s">
        <v>160</v>
      </c>
      <c r="H1179" t="s">
        <v>90</v>
      </c>
      <c r="I1179">
        <v>8.7527121386743751E-3</v>
      </c>
      <c r="J1179" t="s">
        <v>62</v>
      </c>
    </row>
    <row r="1180" spans="2:10" x14ac:dyDescent="0.25">
      <c r="B1180" t="s">
        <v>140</v>
      </c>
      <c r="C1180" t="s">
        <v>91</v>
      </c>
      <c r="D1180">
        <v>0</v>
      </c>
      <c r="E1180" t="s">
        <v>62</v>
      </c>
      <c r="G1180" t="s">
        <v>160</v>
      </c>
      <c r="H1180" t="s">
        <v>91</v>
      </c>
      <c r="I1180">
        <v>1.4324206360791047E-2</v>
      </c>
      <c r="J1180" t="s">
        <v>62</v>
      </c>
    </row>
    <row r="1181" spans="2:10" x14ac:dyDescent="0.25">
      <c r="B1181" t="s">
        <v>140</v>
      </c>
      <c r="C1181" t="s">
        <v>92</v>
      </c>
      <c r="D1181">
        <v>1.7131005023777769E-5</v>
      </c>
      <c r="E1181" t="s">
        <v>62</v>
      </c>
      <c r="G1181" t="s">
        <v>160</v>
      </c>
      <c r="H1181" t="s">
        <v>92</v>
      </c>
      <c r="I1181">
        <v>1.7104432448812098E-2</v>
      </c>
      <c r="J1181" t="s">
        <v>62</v>
      </c>
    </row>
    <row r="1182" spans="2:10" x14ac:dyDescent="0.25">
      <c r="B1182" t="s">
        <v>140</v>
      </c>
      <c r="C1182" t="s">
        <v>93</v>
      </c>
      <c r="D1182">
        <v>1.7287197270996254E-2</v>
      </c>
      <c r="E1182" t="s">
        <v>62</v>
      </c>
      <c r="G1182" t="s">
        <v>160</v>
      </c>
      <c r="H1182" t="s">
        <v>93</v>
      </c>
      <c r="I1182">
        <v>6.9422237925585882E-3</v>
      </c>
      <c r="J1182" t="s">
        <v>62</v>
      </c>
    </row>
    <row r="1183" spans="2:10" x14ac:dyDescent="0.25">
      <c r="B1183" t="s">
        <v>140</v>
      </c>
      <c r="C1183" t="s">
        <v>94</v>
      </c>
      <c r="D1183">
        <v>4.1585490774537083E-2</v>
      </c>
      <c r="E1183" t="s">
        <v>62</v>
      </c>
      <c r="G1183" t="s">
        <v>160</v>
      </c>
      <c r="H1183" t="s">
        <v>94</v>
      </c>
      <c r="I1183">
        <v>5.5883549794376059E-3</v>
      </c>
      <c r="J1183" t="s">
        <v>62</v>
      </c>
    </row>
    <row r="1184" spans="2:10" x14ac:dyDescent="0.25">
      <c r="B1184" t="s">
        <v>140</v>
      </c>
      <c r="C1184" t="s">
        <v>95</v>
      </c>
      <c r="D1184">
        <v>5.1370199701861186E-2</v>
      </c>
      <c r="E1184" t="s">
        <v>62</v>
      </c>
      <c r="G1184" t="s">
        <v>160</v>
      </c>
      <c r="H1184" t="s">
        <v>95</v>
      </c>
      <c r="I1184">
        <v>6.7600458678084008E-3</v>
      </c>
      <c r="J1184" t="s">
        <v>62</v>
      </c>
    </row>
    <row r="1185" spans="2:10" x14ac:dyDescent="0.25">
      <c r="B1185" t="s">
        <v>140</v>
      </c>
      <c r="C1185" t="s">
        <v>96</v>
      </c>
      <c r="D1185">
        <v>5.0462692521447083E-2</v>
      </c>
      <c r="E1185" t="s">
        <v>62</v>
      </c>
      <c r="G1185" t="s">
        <v>160</v>
      </c>
      <c r="H1185" t="s">
        <v>96</v>
      </c>
      <c r="I1185">
        <v>5.3776746587858694E-3</v>
      </c>
      <c r="J1185" t="s">
        <v>62</v>
      </c>
    </row>
    <row r="1186" spans="2:10" x14ac:dyDescent="0.25">
      <c r="B1186" t="s">
        <v>140</v>
      </c>
      <c r="C1186" t="s">
        <v>97</v>
      </c>
      <c r="D1186">
        <v>4.9273171350001664E-2</v>
      </c>
      <c r="E1186" t="s">
        <v>62</v>
      </c>
      <c r="G1186" t="s">
        <v>160</v>
      </c>
      <c r="H1186" t="s">
        <v>97</v>
      </c>
      <c r="I1186">
        <v>5.7144537967456274E-3</v>
      </c>
      <c r="J1186" t="s">
        <v>62</v>
      </c>
    </row>
    <row r="1187" spans="2:10" x14ac:dyDescent="0.25">
      <c r="B1187" t="s">
        <v>140</v>
      </c>
      <c r="C1187" t="s">
        <v>98</v>
      </c>
      <c r="D1187">
        <v>4.3281712965850157E-2</v>
      </c>
      <c r="E1187" t="s">
        <v>62</v>
      </c>
      <c r="G1187" t="s">
        <v>160</v>
      </c>
      <c r="H1187" t="s">
        <v>98</v>
      </c>
      <c r="I1187">
        <v>5.9106258689825171E-3</v>
      </c>
      <c r="J1187" t="s">
        <v>62</v>
      </c>
    </row>
    <row r="1188" spans="2:10" x14ac:dyDescent="0.25">
      <c r="B1188" t="s">
        <v>140</v>
      </c>
      <c r="C1188" t="s">
        <v>99</v>
      </c>
      <c r="D1188">
        <v>2.8543428570722222E-2</v>
      </c>
      <c r="E1188" t="s">
        <v>62</v>
      </c>
      <c r="G1188" t="s">
        <v>160</v>
      </c>
      <c r="H1188" t="s">
        <v>99</v>
      </c>
      <c r="I1188">
        <v>5.2057637585390107E-3</v>
      </c>
      <c r="J1188" t="s">
        <v>62</v>
      </c>
    </row>
    <row r="1189" spans="2:10" x14ac:dyDescent="0.25">
      <c r="B1189" t="s">
        <v>140</v>
      </c>
      <c r="C1189" t="s">
        <v>100</v>
      </c>
      <c r="D1189">
        <v>6.2818869469964053E-3</v>
      </c>
      <c r="E1189" t="s">
        <v>62</v>
      </c>
      <c r="G1189" t="s">
        <v>160</v>
      </c>
      <c r="H1189" t="s">
        <v>100</v>
      </c>
      <c r="I1189">
        <v>6.3840886407180658E-3</v>
      </c>
      <c r="J1189" t="s">
        <v>62</v>
      </c>
    </row>
    <row r="1190" spans="2:10" x14ac:dyDescent="0.25">
      <c r="B1190" t="s">
        <v>140</v>
      </c>
      <c r="C1190" t="s">
        <v>101</v>
      </c>
      <c r="D1190">
        <v>0</v>
      </c>
      <c r="E1190" t="s">
        <v>62</v>
      </c>
      <c r="G1190" t="s">
        <v>160</v>
      </c>
      <c r="H1190" t="s">
        <v>101</v>
      </c>
      <c r="I1190">
        <v>1.1574930011375224E-2</v>
      </c>
      <c r="J1190" t="s">
        <v>62</v>
      </c>
    </row>
    <row r="1191" spans="2:10" x14ac:dyDescent="0.25">
      <c r="B1191" t="s">
        <v>140</v>
      </c>
      <c r="C1191" t="s">
        <v>102</v>
      </c>
      <c r="D1191">
        <v>0</v>
      </c>
      <c r="E1191" t="s">
        <v>62</v>
      </c>
      <c r="G1191" t="s">
        <v>160</v>
      </c>
      <c r="H1191" t="s">
        <v>102</v>
      </c>
      <c r="I1191">
        <v>3.092674163753285E-2</v>
      </c>
      <c r="J1191" t="s">
        <v>62</v>
      </c>
    </row>
    <row r="1192" spans="2:10" x14ac:dyDescent="0.25">
      <c r="B1192" t="s">
        <v>140</v>
      </c>
      <c r="C1192" t="s">
        <v>103</v>
      </c>
      <c r="D1192">
        <v>1.7239329126335552E-3</v>
      </c>
      <c r="E1192" t="s">
        <v>62</v>
      </c>
      <c r="G1192" t="s">
        <v>160</v>
      </c>
      <c r="H1192" t="s">
        <v>103</v>
      </c>
      <c r="I1192">
        <v>1.1957405086456359E-2</v>
      </c>
      <c r="J1192" t="s">
        <v>62</v>
      </c>
    </row>
    <row r="1193" spans="2:10" x14ac:dyDescent="0.25">
      <c r="B1193" t="s">
        <v>140</v>
      </c>
      <c r="C1193" t="s">
        <v>104</v>
      </c>
      <c r="D1193">
        <v>1.7310095145013672E-2</v>
      </c>
      <c r="E1193" t="s">
        <v>62</v>
      </c>
      <c r="G1193" t="s">
        <v>160</v>
      </c>
      <c r="H1193" t="s">
        <v>104</v>
      </c>
      <c r="I1193">
        <v>1.1573175194194388E-2</v>
      </c>
      <c r="J1193" t="s">
        <v>62</v>
      </c>
    </row>
    <row r="1194" spans="2:10" x14ac:dyDescent="0.25">
      <c r="B1194" t="s">
        <v>140</v>
      </c>
      <c r="C1194" t="s">
        <v>105</v>
      </c>
      <c r="D1194">
        <v>2.968954330549398E-2</v>
      </c>
      <c r="E1194" t="s">
        <v>62</v>
      </c>
      <c r="G1194" t="s">
        <v>160</v>
      </c>
      <c r="H1194" t="s">
        <v>105</v>
      </c>
      <c r="I1194">
        <v>1.2503424967205079E-2</v>
      </c>
      <c r="J1194" t="s">
        <v>62</v>
      </c>
    </row>
    <row r="1195" spans="2:10" x14ac:dyDescent="0.25">
      <c r="B1195" t="s">
        <v>140</v>
      </c>
      <c r="C1195" t="s">
        <v>106</v>
      </c>
      <c r="D1195">
        <v>3.1519004782666338E-2</v>
      </c>
      <c r="E1195" t="s">
        <v>62</v>
      </c>
      <c r="G1195" t="s">
        <v>160</v>
      </c>
      <c r="H1195" t="s">
        <v>106</v>
      </c>
      <c r="I1195">
        <v>1.2240526866003385E-2</v>
      </c>
      <c r="J1195" t="s">
        <v>62</v>
      </c>
    </row>
    <row r="1196" spans="2:10" x14ac:dyDescent="0.25">
      <c r="B1196" t="s">
        <v>140</v>
      </c>
      <c r="C1196" t="s">
        <v>107</v>
      </c>
      <c r="D1196">
        <v>3.0541049038256839E-2</v>
      </c>
      <c r="E1196" t="s">
        <v>62</v>
      </c>
      <c r="G1196" t="s">
        <v>160</v>
      </c>
      <c r="H1196" t="s">
        <v>107</v>
      </c>
      <c r="I1196">
        <v>1.4338327477120071E-2</v>
      </c>
      <c r="J1196" t="s">
        <v>62</v>
      </c>
    </row>
    <row r="1197" spans="2:10" x14ac:dyDescent="0.25">
      <c r="B1197" t="s">
        <v>140</v>
      </c>
      <c r="C1197" t="s">
        <v>108</v>
      </c>
      <c r="D1197">
        <v>2.1642854427780505E-2</v>
      </c>
      <c r="E1197" t="s">
        <v>62</v>
      </c>
      <c r="G1197" t="s">
        <v>160</v>
      </c>
      <c r="H1197" t="s">
        <v>108</v>
      </c>
      <c r="I1197">
        <v>1.3715599472720743E-2</v>
      </c>
      <c r="J1197" t="s">
        <v>62</v>
      </c>
    </row>
    <row r="1198" spans="2:10" x14ac:dyDescent="0.25">
      <c r="B1198" t="s">
        <v>140</v>
      </c>
      <c r="C1198" t="s">
        <v>109</v>
      </c>
      <c r="D1198">
        <v>6.1394137174750575E-3</v>
      </c>
      <c r="E1198" t="s">
        <v>62</v>
      </c>
      <c r="G1198" t="s">
        <v>160</v>
      </c>
      <c r="H1198" t="s">
        <v>109</v>
      </c>
      <c r="I1198">
        <v>1.4245917315398336E-2</v>
      </c>
      <c r="J1198" t="s">
        <v>62</v>
      </c>
    </row>
    <row r="1199" spans="2:10" x14ac:dyDescent="0.25">
      <c r="B1199" t="s">
        <v>140</v>
      </c>
      <c r="C1199" t="s">
        <v>110</v>
      </c>
      <c r="D1199">
        <v>0</v>
      </c>
      <c r="E1199" t="s">
        <v>62</v>
      </c>
      <c r="G1199" t="s">
        <v>160</v>
      </c>
      <c r="H1199" t="s">
        <v>110</v>
      </c>
      <c r="I1199">
        <v>1.498338047536075E-2</v>
      </c>
      <c r="J1199" t="s">
        <v>62</v>
      </c>
    </row>
    <row r="1200" spans="2:10" x14ac:dyDescent="0.25">
      <c r="B1200" t="s">
        <v>140</v>
      </c>
      <c r="C1200" t="s">
        <v>111</v>
      </c>
      <c r="D1200">
        <v>0</v>
      </c>
      <c r="E1200" t="s">
        <v>62</v>
      </c>
      <c r="G1200" t="s">
        <v>160</v>
      </c>
      <c r="H1200" t="s">
        <v>111</v>
      </c>
      <c r="I1200">
        <v>2.1759997197309155E-2</v>
      </c>
      <c r="J1200" t="s">
        <v>62</v>
      </c>
    </row>
    <row r="1201" spans="2:10" x14ac:dyDescent="0.25">
      <c r="B1201" t="s">
        <v>140</v>
      </c>
      <c r="C1201" t="s">
        <v>112</v>
      </c>
      <c r="D1201">
        <v>0</v>
      </c>
      <c r="E1201" t="s">
        <v>62</v>
      </c>
      <c r="G1201" t="s">
        <v>160</v>
      </c>
      <c r="H1201" t="s">
        <v>112</v>
      </c>
      <c r="I1201">
        <v>6.0388969682419649E-2</v>
      </c>
      <c r="J1201" t="s">
        <v>62</v>
      </c>
    </row>
    <row r="1202" spans="2:10" x14ac:dyDescent="0.25">
      <c r="B1202" t="s">
        <v>140</v>
      </c>
      <c r="C1202" t="s">
        <v>113</v>
      </c>
      <c r="D1202">
        <v>0</v>
      </c>
      <c r="E1202" t="s">
        <v>62</v>
      </c>
      <c r="G1202" t="s">
        <v>160</v>
      </c>
      <c r="H1202" t="s">
        <v>113</v>
      </c>
      <c r="I1202">
        <v>2.394211307398814E-2</v>
      </c>
      <c r="J1202" t="s">
        <v>62</v>
      </c>
    </row>
    <row r="1203" spans="2:10" x14ac:dyDescent="0.25">
      <c r="B1203" t="s">
        <v>140</v>
      </c>
      <c r="C1203" t="s">
        <v>114</v>
      </c>
      <c r="D1203">
        <v>1.5640151577576028E-3</v>
      </c>
      <c r="E1203" t="s">
        <v>62</v>
      </c>
      <c r="G1203" t="s">
        <v>160</v>
      </c>
      <c r="H1203" t="s">
        <v>114</v>
      </c>
      <c r="I1203">
        <v>2.4082192700713451E-2</v>
      </c>
      <c r="J1203" t="s">
        <v>62</v>
      </c>
    </row>
    <row r="1204" spans="2:10" x14ac:dyDescent="0.25">
      <c r="B1204" t="s">
        <v>140</v>
      </c>
      <c r="C1204" t="s">
        <v>115</v>
      </c>
      <c r="D1204">
        <v>1.2202029886375568E-2</v>
      </c>
      <c r="E1204" t="s">
        <v>62</v>
      </c>
      <c r="G1204" t="s">
        <v>160</v>
      </c>
      <c r="H1204" t="s">
        <v>115</v>
      </c>
      <c r="I1204">
        <v>2.2940690712358151E-2</v>
      </c>
      <c r="J1204" t="s">
        <v>62</v>
      </c>
    </row>
    <row r="1205" spans="2:10" x14ac:dyDescent="0.25">
      <c r="B1205" t="s">
        <v>140</v>
      </c>
      <c r="C1205" t="s">
        <v>116</v>
      </c>
      <c r="D1205">
        <v>1.5314000372623236E-2</v>
      </c>
      <c r="E1205" t="s">
        <v>62</v>
      </c>
      <c r="G1205" t="s">
        <v>160</v>
      </c>
      <c r="H1205" t="s">
        <v>116</v>
      </c>
      <c r="I1205">
        <v>2.1105003403066723E-2</v>
      </c>
      <c r="J1205" t="s">
        <v>62</v>
      </c>
    </row>
    <row r="1206" spans="2:10" x14ac:dyDescent="0.25">
      <c r="B1206" t="s">
        <v>140</v>
      </c>
      <c r="C1206" t="s">
        <v>117</v>
      </c>
      <c r="D1206">
        <v>1.4805740103431353E-2</v>
      </c>
      <c r="E1206" t="s">
        <v>62</v>
      </c>
      <c r="G1206" t="s">
        <v>160</v>
      </c>
      <c r="H1206" t="s">
        <v>117</v>
      </c>
      <c r="I1206">
        <v>2.1909922103726394E-2</v>
      </c>
      <c r="J1206" t="s">
        <v>62</v>
      </c>
    </row>
    <row r="1207" spans="2:10" x14ac:dyDescent="0.25">
      <c r="B1207" t="s">
        <v>140</v>
      </c>
      <c r="C1207" t="s">
        <v>118</v>
      </c>
      <c r="D1207">
        <v>4.1235451544767128E-3</v>
      </c>
      <c r="E1207" t="s">
        <v>62</v>
      </c>
      <c r="G1207" t="s">
        <v>160</v>
      </c>
      <c r="H1207" t="s">
        <v>118</v>
      </c>
      <c r="I1207">
        <v>2.4123177297161142E-2</v>
      </c>
      <c r="J1207" t="s">
        <v>62</v>
      </c>
    </row>
    <row r="1208" spans="2:10" x14ac:dyDescent="0.25">
      <c r="B1208" t="s">
        <v>140</v>
      </c>
      <c r="C1208" t="s">
        <v>119</v>
      </c>
      <c r="D1208">
        <v>0</v>
      </c>
      <c r="E1208" t="s">
        <v>62</v>
      </c>
      <c r="G1208" t="s">
        <v>160</v>
      </c>
      <c r="H1208" t="s">
        <v>119</v>
      </c>
      <c r="I1208">
        <v>2.5827476322455876E-2</v>
      </c>
      <c r="J1208" t="s">
        <v>62</v>
      </c>
    </row>
    <row r="1209" spans="2:10" x14ac:dyDescent="0.25">
      <c r="B1209" t="s">
        <v>140</v>
      </c>
      <c r="C1209" t="s">
        <v>120</v>
      </c>
      <c r="D1209">
        <v>0</v>
      </c>
      <c r="E1209" t="s">
        <v>62</v>
      </c>
      <c r="G1209" t="s">
        <v>160</v>
      </c>
      <c r="H1209" t="s">
        <v>120</v>
      </c>
      <c r="I1209">
        <v>2.4860751341398136E-2</v>
      </c>
      <c r="J1209" t="s">
        <v>62</v>
      </c>
    </row>
    <row r="1210" spans="2:10" x14ac:dyDescent="0.25">
      <c r="B1210" t="s">
        <v>140</v>
      </c>
      <c r="C1210" t="s">
        <v>121</v>
      </c>
      <c r="D1210">
        <v>0</v>
      </c>
      <c r="E1210" t="s">
        <v>62</v>
      </c>
      <c r="G1210" t="s">
        <v>160</v>
      </c>
      <c r="H1210" t="s">
        <v>121</v>
      </c>
      <c r="I1210">
        <v>3.5911146371884965E-2</v>
      </c>
      <c r="J1210" t="s">
        <v>62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A034BD-D333-4AEB-B3DD-BDC54FD370A3}">
  <dimension ref="B9:IV60"/>
  <sheetViews>
    <sheetView workbookViewId="0"/>
  </sheetViews>
  <sheetFormatPr defaultRowHeight="15" x14ac:dyDescent="0.25"/>
  <sheetData>
    <row r="9" spans="2:256" x14ac:dyDescent="0.25">
      <c r="B9" t="str">
        <f>IF(A11="x","DeActivated","~TFM_DINS-TSL: attribute=FLO_EMIS; other_indexes=ACT")</f>
        <v>~TFM_DINS-TSL: attribute=FLO_EMIS; other_indexes=ACT</v>
      </c>
      <c r="BM9" t="str">
        <f>IF(A11="x","DeActivated","~TFM_INS-TSL: attribute=FLO_SHAR; limtype=FX")</f>
        <v>~TFM_INS-TSL: attribute=FLO_SHAR; limtype=FX</v>
      </c>
      <c r="DX9" t="str">
        <f>IF(A11="x","DeActivated","~TFM_INS-TSL: attribute=FLO_SHAR; limtype=FX")</f>
        <v>~TFM_INS-TSL: attribute=FLO_SHAR; limtype=FX</v>
      </c>
      <c r="GI9" t="str">
        <f>IF(A11="x","DeActivated","~TFM_DINS-TSL: attribute=NCAP_PKCNT")</f>
        <v>~TFM_DINS-TSL: attribute=NCAP_PKCNT</v>
      </c>
      <c r="IS9" t="str">
        <f>IF(A11="x","DeActivated","~TFM_DINS-AT")</f>
        <v>~TFM_DINS-AT</v>
      </c>
    </row>
    <row r="10" spans="2:256" x14ac:dyDescent="0.25">
      <c r="B10" t="s">
        <v>59</v>
      </c>
      <c r="C10" t="s">
        <v>56</v>
      </c>
      <c r="D10" t="s">
        <v>61</v>
      </c>
      <c r="E10" t="s">
        <v>63</v>
      </c>
      <c r="F10" t="s">
        <v>64</v>
      </c>
      <c r="G10" t="s">
        <v>65</v>
      </c>
      <c r="H10" t="s">
        <v>66</v>
      </c>
      <c r="I10" t="s">
        <v>67</v>
      </c>
      <c r="J10" t="s">
        <v>68</v>
      </c>
      <c r="K10" t="s">
        <v>69</v>
      </c>
      <c r="L10" t="s">
        <v>70</v>
      </c>
      <c r="M10" t="s">
        <v>71</v>
      </c>
      <c r="N10" t="s">
        <v>72</v>
      </c>
      <c r="O10" t="s">
        <v>73</v>
      </c>
      <c r="P10" t="s">
        <v>74</v>
      </c>
      <c r="Q10" t="s">
        <v>75</v>
      </c>
      <c r="R10" t="s">
        <v>76</v>
      </c>
      <c r="S10" t="s">
        <v>77</v>
      </c>
      <c r="T10" t="s">
        <v>78</v>
      </c>
      <c r="U10" t="s">
        <v>79</v>
      </c>
      <c r="V10" t="s">
        <v>80</v>
      </c>
      <c r="W10" t="s">
        <v>81</v>
      </c>
      <c r="X10" t="s">
        <v>82</v>
      </c>
      <c r="Y10" t="s">
        <v>83</v>
      </c>
      <c r="Z10" t="s">
        <v>84</v>
      </c>
      <c r="AA10" t="s">
        <v>85</v>
      </c>
      <c r="AB10" t="s">
        <v>86</v>
      </c>
      <c r="AC10" t="s">
        <v>87</v>
      </c>
      <c r="AD10" t="s">
        <v>88</v>
      </c>
      <c r="AE10" t="s">
        <v>89</v>
      </c>
      <c r="AF10" t="s">
        <v>90</v>
      </c>
      <c r="AG10" t="s">
        <v>91</v>
      </c>
      <c r="AH10" t="s">
        <v>92</v>
      </c>
      <c r="AI10" t="s">
        <v>93</v>
      </c>
      <c r="AJ10" t="s">
        <v>94</v>
      </c>
      <c r="AK10" t="s">
        <v>95</v>
      </c>
      <c r="AL10" t="s">
        <v>96</v>
      </c>
      <c r="AM10" t="s">
        <v>97</v>
      </c>
      <c r="AN10" t="s">
        <v>98</v>
      </c>
      <c r="AO10" t="s">
        <v>99</v>
      </c>
      <c r="AP10" t="s">
        <v>100</v>
      </c>
      <c r="AQ10" t="s">
        <v>101</v>
      </c>
      <c r="AR10" t="s">
        <v>102</v>
      </c>
      <c r="AS10" t="s">
        <v>103</v>
      </c>
      <c r="AT10" t="s">
        <v>104</v>
      </c>
      <c r="AU10" t="s">
        <v>105</v>
      </c>
      <c r="AV10" t="s">
        <v>106</v>
      </c>
      <c r="AW10" t="s">
        <v>107</v>
      </c>
      <c r="AX10" t="s">
        <v>108</v>
      </c>
      <c r="AY10" t="s">
        <v>109</v>
      </c>
      <c r="AZ10" t="s">
        <v>110</v>
      </c>
      <c r="BA10" t="s">
        <v>111</v>
      </c>
      <c r="BB10" t="s">
        <v>112</v>
      </c>
      <c r="BC10" t="s">
        <v>113</v>
      </c>
      <c r="BD10" t="s">
        <v>114</v>
      </c>
      <c r="BE10" t="s">
        <v>115</v>
      </c>
      <c r="BF10" t="s">
        <v>116</v>
      </c>
      <c r="BG10" t="s">
        <v>117</v>
      </c>
      <c r="BH10" t="s">
        <v>118</v>
      </c>
      <c r="BI10" t="s">
        <v>119</v>
      </c>
      <c r="BJ10" t="s">
        <v>120</v>
      </c>
      <c r="BK10" t="s">
        <v>121</v>
      </c>
      <c r="BM10" t="s">
        <v>59</v>
      </c>
      <c r="BN10" t="s">
        <v>56</v>
      </c>
      <c r="BO10" t="s">
        <v>61</v>
      </c>
      <c r="BP10" t="s">
        <v>63</v>
      </c>
      <c r="BQ10" t="s">
        <v>64</v>
      </c>
      <c r="BR10" t="s">
        <v>65</v>
      </c>
      <c r="BS10" t="s">
        <v>66</v>
      </c>
      <c r="BT10" t="s">
        <v>67</v>
      </c>
      <c r="BU10" t="s">
        <v>68</v>
      </c>
      <c r="BV10" t="s">
        <v>69</v>
      </c>
      <c r="BW10" t="s">
        <v>70</v>
      </c>
      <c r="BX10" t="s">
        <v>71</v>
      </c>
      <c r="BY10" t="s">
        <v>72</v>
      </c>
      <c r="BZ10" t="s">
        <v>73</v>
      </c>
      <c r="CA10" t="s">
        <v>74</v>
      </c>
      <c r="CB10" t="s">
        <v>75</v>
      </c>
      <c r="CC10" t="s">
        <v>76</v>
      </c>
      <c r="CD10" t="s">
        <v>77</v>
      </c>
      <c r="CE10" t="s">
        <v>78</v>
      </c>
      <c r="CF10" t="s">
        <v>79</v>
      </c>
      <c r="CG10" t="s">
        <v>80</v>
      </c>
      <c r="CH10" t="s">
        <v>81</v>
      </c>
      <c r="CI10" t="s">
        <v>82</v>
      </c>
      <c r="CJ10" t="s">
        <v>83</v>
      </c>
      <c r="CK10" t="s">
        <v>84</v>
      </c>
      <c r="CL10" t="s">
        <v>85</v>
      </c>
      <c r="CM10" t="s">
        <v>86</v>
      </c>
      <c r="CN10" t="s">
        <v>87</v>
      </c>
      <c r="CO10" t="s">
        <v>88</v>
      </c>
      <c r="CP10" t="s">
        <v>89</v>
      </c>
      <c r="CQ10" t="s">
        <v>90</v>
      </c>
      <c r="CR10" t="s">
        <v>91</v>
      </c>
      <c r="CS10" t="s">
        <v>92</v>
      </c>
      <c r="CT10" t="s">
        <v>93</v>
      </c>
      <c r="CU10" t="s">
        <v>94</v>
      </c>
      <c r="CV10" t="s">
        <v>95</v>
      </c>
      <c r="CW10" t="s">
        <v>96</v>
      </c>
      <c r="CX10" t="s">
        <v>97</v>
      </c>
      <c r="CY10" t="s">
        <v>98</v>
      </c>
      <c r="CZ10" t="s">
        <v>99</v>
      </c>
      <c r="DA10" t="s">
        <v>100</v>
      </c>
      <c r="DB10" t="s">
        <v>101</v>
      </c>
      <c r="DC10" t="s">
        <v>102</v>
      </c>
      <c r="DD10" t="s">
        <v>103</v>
      </c>
      <c r="DE10" t="s">
        <v>104</v>
      </c>
      <c r="DF10" t="s">
        <v>105</v>
      </c>
      <c r="DG10" t="s">
        <v>106</v>
      </c>
      <c r="DH10" t="s">
        <v>107</v>
      </c>
      <c r="DI10" t="s">
        <v>108</v>
      </c>
      <c r="DJ10" t="s">
        <v>109</v>
      </c>
      <c r="DK10" t="s">
        <v>110</v>
      </c>
      <c r="DL10" t="s">
        <v>111</v>
      </c>
      <c r="DM10" t="s">
        <v>112</v>
      </c>
      <c r="DN10" t="s">
        <v>113</v>
      </c>
      <c r="DO10" t="s">
        <v>114</v>
      </c>
      <c r="DP10" t="s">
        <v>115</v>
      </c>
      <c r="DQ10" t="s">
        <v>116</v>
      </c>
      <c r="DR10" t="s">
        <v>117</v>
      </c>
      <c r="DS10" t="s">
        <v>118</v>
      </c>
      <c r="DT10" t="s">
        <v>119</v>
      </c>
      <c r="DU10" t="s">
        <v>120</v>
      </c>
      <c r="DV10" t="s">
        <v>121</v>
      </c>
      <c r="DX10" t="s">
        <v>59</v>
      </c>
      <c r="DY10" t="s">
        <v>56</v>
      </c>
      <c r="DZ10" t="s">
        <v>61</v>
      </c>
      <c r="EA10" t="s">
        <v>63</v>
      </c>
      <c r="EB10" t="s">
        <v>64</v>
      </c>
      <c r="EC10" t="s">
        <v>65</v>
      </c>
      <c r="ED10" t="s">
        <v>66</v>
      </c>
      <c r="EE10" t="s">
        <v>67</v>
      </c>
      <c r="EF10" t="s">
        <v>68</v>
      </c>
      <c r="EG10" t="s">
        <v>69</v>
      </c>
      <c r="EH10" t="s">
        <v>70</v>
      </c>
      <c r="EI10" t="s">
        <v>71</v>
      </c>
      <c r="EJ10" t="s">
        <v>72</v>
      </c>
      <c r="EK10" t="s">
        <v>73</v>
      </c>
      <c r="EL10" t="s">
        <v>74</v>
      </c>
      <c r="EM10" t="s">
        <v>75</v>
      </c>
      <c r="EN10" t="s">
        <v>76</v>
      </c>
      <c r="EO10" t="s">
        <v>77</v>
      </c>
      <c r="EP10" t="s">
        <v>78</v>
      </c>
      <c r="EQ10" t="s">
        <v>79</v>
      </c>
      <c r="ER10" t="s">
        <v>80</v>
      </c>
      <c r="ES10" t="s">
        <v>81</v>
      </c>
      <c r="ET10" t="s">
        <v>82</v>
      </c>
      <c r="EU10" t="s">
        <v>83</v>
      </c>
      <c r="EV10" t="s">
        <v>84</v>
      </c>
      <c r="EW10" t="s">
        <v>85</v>
      </c>
      <c r="EX10" t="s">
        <v>86</v>
      </c>
      <c r="EY10" t="s">
        <v>87</v>
      </c>
      <c r="EZ10" t="s">
        <v>88</v>
      </c>
      <c r="FA10" t="s">
        <v>89</v>
      </c>
      <c r="FB10" t="s">
        <v>90</v>
      </c>
      <c r="FC10" t="s">
        <v>91</v>
      </c>
      <c r="FD10" t="s">
        <v>92</v>
      </c>
      <c r="FE10" t="s">
        <v>93</v>
      </c>
      <c r="FF10" t="s">
        <v>94</v>
      </c>
      <c r="FG10" t="s">
        <v>95</v>
      </c>
      <c r="FH10" t="s">
        <v>96</v>
      </c>
      <c r="FI10" t="s">
        <v>97</v>
      </c>
      <c r="FJ10" t="s">
        <v>98</v>
      </c>
      <c r="FK10" t="s">
        <v>99</v>
      </c>
      <c r="FL10" t="s">
        <v>100</v>
      </c>
      <c r="FM10" t="s">
        <v>101</v>
      </c>
      <c r="FN10" t="s">
        <v>102</v>
      </c>
      <c r="FO10" t="s">
        <v>103</v>
      </c>
      <c r="FP10" t="s">
        <v>104</v>
      </c>
      <c r="FQ10" t="s">
        <v>105</v>
      </c>
      <c r="FR10" t="s">
        <v>106</v>
      </c>
      <c r="FS10" t="s">
        <v>107</v>
      </c>
      <c r="FT10" t="s">
        <v>108</v>
      </c>
      <c r="FU10" t="s">
        <v>109</v>
      </c>
      <c r="FV10" t="s">
        <v>110</v>
      </c>
      <c r="FW10" t="s">
        <v>111</v>
      </c>
      <c r="FX10" t="s">
        <v>112</v>
      </c>
      <c r="FY10" t="s">
        <v>113</v>
      </c>
      <c r="FZ10" t="s">
        <v>114</v>
      </c>
      <c r="GA10" t="s">
        <v>115</v>
      </c>
      <c r="GB10" t="s">
        <v>116</v>
      </c>
      <c r="GC10" t="s">
        <v>117</v>
      </c>
      <c r="GD10" t="s">
        <v>118</v>
      </c>
      <c r="GE10" t="s">
        <v>119</v>
      </c>
      <c r="GF10" t="s">
        <v>120</v>
      </c>
      <c r="GG10" t="s">
        <v>121</v>
      </c>
      <c r="GI10" t="s">
        <v>59</v>
      </c>
      <c r="GJ10" t="s">
        <v>61</v>
      </c>
      <c r="GK10" t="s">
        <v>63</v>
      </c>
      <c r="GL10" t="s">
        <v>64</v>
      </c>
      <c r="GM10" t="s">
        <v>65</v>
      </c>
      <c r="GN10" t="s">
        <v>66</v>
      </c>
      <c r="GO10" t="s">
        <v>67</v>
      </c>
      <c r="GP10" t="s">
        <v>68</v>
      </c>
      <c r="GQ10" t="s">
        <v>69</v>
      </c>
      <c r="GR10" t="s">
        <v>70</v>
      </c>
      <c r="GS10" t="s">
        <v>71</v>
      </c>
      <c r="GT10" t="s">
        <v>72</v>
      </c>
      <c r="GU10" t="s">
        <v>73</v>
      </c>
      <c r="GV10" t="s">
        <v>74</v>
      </c>
      <c r="GW10" t="s">
        <v>75</v>
      </c>
      <c r="GX10" t="s">
        <v>76</v>
      </c>
      <c r="GY10" t="s">
        <v>77</v>
      </c>
      <c r="GZ10" t="s">
        <v>78</v>
      </c>
      <c r="HA10" t="s">
        <v>79</v>
      </c>
      <c r="HB10" t="s">
        <v>80</v>
      </c>
      <c r="HC10" t="s">
        <v>81</v>
      </c>
      <c r="HD10" t="s">
        <v>82</v>
      </c>
      <c r="HE10" t="s">
        <v>83</v>
      </c>
      <c r="HF10" t="s">
        <v>84</v>
      </c>
      <c r="HG10" t="s">
        <v>85</v>
      </c>
      <c r="HH10" t="s">
        <v>86</v>
      </c>
      <c r="HI10" t="s">
        <v>87</v>
      </c>
      <c r="HJ10" t="s">
        <v>88</v>
      </c>
      <c r="HK10" t="s">
        <v>89</v>
      </c>
      <c r="HL10" t="s">
        <v>90</v>
      </c>
      <c r="HM10" t="s">
        <v>91</v>
      </c>
      <c r="HN10" t="s">
        <v>92</v>
      </c>
      <c r="HO10" t="s">
        <v>93</v>
      </c>
      <c r="HP10" t="s">
        <v>94</v>
      </c>
      <c r="HQ10" t="s">
        <v>95</v>
      </c>
      <c r="HR10" t="s">
        <v>96</v>
      </c>
      <c r="HS10" t="s">
        <v>97</v>
      </c>
      <c r="HT10" t="s">
        <v>98</v>
      </c>
      <c r="HU10" t="s">
        <v>99</v>
      </c>
      <c r="HV10" t="s">
        <v>100</v>
      </c>
      <c r="HW10" t="s">
        <v>101</v>
      </c>
      <c r="HX10" t="s">
        <v>102</v>
      </c>
      <c r="HY10" t="s">
        <v>103</v>
      </c>
      <c r="HZ10" t="s">
        <v>104</v>
      </c>
      <c r="IA10" t="s">
        <v>105</v>
      </c>
      <c r="IB10" t="s">
        <v>106</v>
      </c>
      <c r="IC10" t="s">
        <v>107</v>
      </c>
      <c r="ID10" t="s">
        <v>108</v>
      </c>
      <c r="IE10" t="s">
        <v>109</v>
      </c>
      <c r="IF10" t="s">
        <v>110</v>
      </c>
      <c r="IG10" t="s">
        <v>111</v>
      </c>
      <c r="IH10" t="s">
        <v>112</v>
      </c>
      <c r="II10" t="s">
        <v>113</v>
      </c>
      <c r="IJ10" t="s">
        <v>114</v>
      </c>
      <c r="IK10" t="s">
        <v>115</v>
      </c>
      <c r="IL10" t="s">
        <v>116</v>
      </c>
      <c r="IM10" t="s">
        <v>117</v>
      </c>
      <c r="IN10" t="s">
        <v>118</v>
      </c>
      <c r="IO10" t="s">
        <v>119</v>
      </c>
      <c r="IP10" t="s">
        <v>120</v>
      </c>
      <c r="IQ10" t="s">
        <v>121</v>
      </c>
      <c r="IS10" t="s">
        <v>59</v>
      </c>
      <c r="IT10" t="s">
        <v>56</v>
      </c>
      <c r="IU10" t="s">
        <v>226</v>
      </c>
      <c r="IV10" t="s">
        <v>227</v>
      </c>
    </row>
    <row r="11" spans="2:256" x14ac:dyDescent="0.25">
      <c r="B11" t="s">
        <v>171</v>
      </c>
      <c r="C11" t="s">
        <v>31</v>
      </c>
      <c r="D11">
        <v>0</v>
      </c>
      <c r="E11">
        <v>0</v>
      </c>
      <c r="F11">
        <v>0.87452796083542805</v>
      </c>
      <c r="G11">
        <v>0.35655928999300457</v>
      </c>
      <c r="H11">
        <v>0.21674433645925775</v>
      </c>
      <c r="I11">
        <v>0.22125481655145693</v>
      </c>
      <c r="J11">
        <v>0.32860330937097287</v>
      </c>
      <c r="K11">
        <v>0.75517147604022528</v>
      </c>
      <c r="L11">
        <v>0</v>
      </c>
      <c r="M11">
        <v>0</v>
      </c>
      <c r="N11">
        <v>0</v>
      </c>
      <c r="O11">
        <v>0.8355695487380117</v>
      </c>
      <c r="P11">
        <v>0.38211136248523725</v>
      </c>
      <c r="Q11">
        <v>0.24722588407301524</v>
      </c>
      <c r="R11">
        <v>0.17497578457136503</v>
      </c>
      <c r="S11">
        <v>0.17293529178105052</v>
      </c>
      <c r="T11">
        <v>0.25236051757133587</v>
      </c>
      <c r="U11">
        <v>0.31410852276138629</v>
      </c>
      <c r="V11">
        <v>0.83080150784001017</v>
      </c>
      <c r="W11">
        <v>0</v>
      </c>
      <c r="X11">
        <v>0</v>
      </c>
      <c r="Y11">
        <v>0.35819220416233333</v>
      </c>
      <c r="Z11">
        <v>0.24660065275519399</v>
      </c>
      <c r="AA11">
        <v>0.21659121678702226</v>
      </c>
      <c r="AB11">
        <v>0.18349304050064733</v>
      </c>
      <c r="AC11">
        <v>0.1758141496909375</v>
      </c>
      <c r="AD11">
        <v>0.212523855568343</v>
      </c>
      <c r="AE11">
        <v>0.25774647910583787</v>
      </c>
      <c r="AF11">
        <v>0.37597835671086555</v>
      </c>
      <c r="AG11">
        <v>0</v>
      </c>
      <c r="AH11">
        <v>0</v>
      </c>
      <c r="AI11">
        <v>0.39374598367456026</v>
      </c>
      <c r="AJ11">
        <v>0.18175230799171432</v>
      </c>
      <c r="AK11">
        <v>0.12882580256865708</v>
      </c>
      <c r="AL11">
        <v>9.6475555061099824E-2</v>
      </c>
      <c r="AM11">
        <v>0.10215244865417936</v>
      </c>
      <c r="AN11">
        <v>0.12213910933768678</v>
      </c>
      <c r="AO11">
        <v>0.17387980906437062</v>
      </c>
      <c r="AP11">
        <v>0.37461200235798731</v>
      </c>
      <c r="AQ11">
        <v>0</v>
      </c>
      <c r="AR11">
        <v>0</v>
      </c>
      <c r="AS11">
        <v>0.95081967213114771</v>
      </c>
      <c r="AT11">
        <v>0.44465733247566125</v>
      </c>
      <c r="AU11">
        <v>0.27804437193874298</v>
      </c>
      <c r="AV11">
        <v>0.18396166720034676</v>
      </c>
      <c r="AW11">
        <v>0.1912374900149334</v>
      </c>
      <c r="AX11">
        <v>0.24809993840334807</v>
      </c>
      <c r="AY11">
        <v>0.47785962847653884</v>
      </c>
      <c r="AZ11">
        <v>0.98050299760128012</v>
      </c>
      <c r="BA11">
        <v>0</v>
      </c>
      <c r="BB11">
        <v>0</v>
      </c>
      <c r="BC11">
        <v>0</v>
      </c>
      <c r="BD11">
        <v>0.90891918619746459</v>
      </c>
      <c r="BE11">
        <v>0.35489679969814875</v>
      </c>
      <c r="BF11">
        <v>0.27161133959704836</v>
      </c>
      <c r="BG11">
        <v>0.30717905136065599</v>
      </c>
      <c r="BH11">
        <v>0.43089846494509432</v>
      </c>
      <c r="BI11">
        <v>0</v>
      </c>
      <c r="BJ11">
        <v>0</v>
      </c>
      <c r="BK11">
        <v>0</v>
      </c>
      <c r="BM11" t="s">
        <v>221</v>
      </c>
      <c r="BN11" t="s">
        <v>222</v>
      </c>
      <c r="BO11">
        <v>0</v>
      </c>
      <c r="BP11">
        <v>0</v>
      </c>
      <c r="BQ11">
        <v>0.55083650932160488</v>
      </c>
      <c r="BR11">
        <v>0.15864378224233808</v>
      </c>
      <c r="BS11">
        <v>8.0761820530917072E-2</v>
      </c>
      <c r="BT11">
        <v>1.4293693974534888E-2</v>
      </c>
      <c r="BU11">
        <v>5.6720718052103896E-3</v>
      </c>
      <c r="BV11">
        <v>4.6527357549199136E-2</v>
      </c>
      <c r="BW11">
        <v>0</v>
      </c>
      <c r="BX11">
        <v>0</v>
      </c>
      <c r="BY11">
        <v>0</v>
      </c>
      <c r="BZ11">
        <v>0.48719193457417215</v>
      </c>
      <c r="CA11">
        <v>0.16086278057000861</v>
      </c>
      <c r="CB11">
        <v>8.5243988514980967E-2</v>
      </c>
      <c r="CC11">
        <v>2.5368181484731404E-2</v>
      </c>
      <c r="CD11">
        <v>0</v>
      </c>
      <c r="CE11">
        <v>0</v>
      </c>
      <c r="CF11">
        <v>5.6046739586221124E-3</v>
      </c>
      <c r="CG11">
        <v>0.15076965138634804</v>
      </c>
      <c r="CH11">
        <v>0</v>
      </c>
      <c r="CI11">
        <v>0.77102664732386184</v>
      </c>
      <c r="CJ11">
        <v>0.1410266820223742</v>
      </c>
      <c r="CK11">
        <v>8.8093331974970282E-2</v>
      </c>
      <c r="CL11">
        <v>4.0140390075244697E-2</v>
      </c>
      <c r="CM11">
        <v>3.3766212695589973E-3</v>
      </c>
      <c r="CN11">
        <v>2.9615264950199629E-3</v>
      </c>
      <c r="CO11">
        <v>1.8448807622906474E-3</v>
      </c>
      <c r="CP11">
        <v>3.5336599839820818E-3</v>
      </c>
      <c r="CQ11">
        <v>5.7368402251652593E-2</v>
      </c>
      <c r="CR11">
        <v>0</v>
      </c>
      <c r="CS11">
        <v>0.9135346411862062</v>
      </c>
      <c r="CT11">
        <v>0.16415378808052519</v>
      </c>
      <c r="CU11">
        <v>6.6406187291705249E-2</v>
      </c>
      <c r="CV11">
        <v>3.2217506397823212E-2</v>
      </c>
      <c r="CW11">
        <v>2.2010026946108056E-3</v>
      </c>
      <c r="CX11">
        <v>3.0857659638478443E-3</v>
      </c>
      <c r="CY11">
        <v>3.3567234706413348E-3</v>
      </c>
      <c r="CZ11">
        <v>1.0658190012541131E-2</v>
      </c>
      <c r="DA11">
        <v>7.7874786171991575E-2</v>
      </c>
      <c r="DB11">
        <v>0</v>
      </c>
      <c r="DC11">
        <v>0</v>
      </c>
      <c r="DD11">
        <v>0.70376048621760912</v>
      </c>
      <c r="DE11">
        <v>0.19096440328260028</v>
      </c>
      <c r="DF11">
        <v>0.11952692843967473</v>
      </c>
      <c r="DG11">
        <v>2.7795902282453003E-2</v>
      </c>
      <c r="DH11">
        <v>8.6255609772839317E-3</v>
      </c>
      <c r="DI11">
        <v>5.006132979464257E-3</v>
      </c>
      <c r="DJ11">
        <v>5.6796628982184988E-2</v>
      </c>
      <c r="DK11">
        <v>1.1157500597344281E-2</v>
      </c>
      <c r="DL11">
        <v>0</v>
      </c>
      <c r="DM11">
        <v>0</v>
      </c>
      <c r="DN11">
        <v>0</v>
      </c>
      <c r="DO11">
        <v>0.57464560894018235</v>
      </c>
      <c r="DP11">
        <v>0.17103404974692218</v>
      </c>
      <c r="DQ11">
        <v>0.10366568685814175</v>
      </c>
      <c r="DR11">
        <v>3.1295754757704748E-2</v>
      </c>
      <c r="DS11">
        <v>0.1009916343577241</v>
      </c>
      <c r="DT11">
        <v>0</v>
      </c>
      <c r="DU11">
        <v>0</v>
      </c>
      <c r="DV11">
        <v>0</v>
      </c>
      <c r="DX11" t="s">
        <v>221</v>
      </c>
      <c r="DY11" t="s">
        <v>225</v>
      </c>
      <c r="DZ11">
        <v>0</v>
      </c>
      <c r="EA11">
        <v>0</v>
      </c>
      <c r="EB11">
        <v>0</v>
      </c>
      <c r="EC11">
        <v>0</v>
      </c>
      <c r="ED11">
        <v>1.2748748957929127E-2</v>
      </c>
      <c r="EE11">
        <v>9.2420683259381825E-2</v>
      </c>
      <c r="EF11">
        <v>0.2060571620743096</v>
      </c>
      <c r="EG11">
        <v>0.27604960933829947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1.5678466441001241E-2</v>
      </c>
      <c r="EN11">
        <v>4.7716958827553023E-2</v>
      </c>
      <c r="EO11">
        <v>8.5004885064937349E-2</v>
      </c>
      <c r="EP11">
        <v>7.9476441082192498E-2</v>
      </c>
      <c r="EQ11">
        <v>2.973732809787772E-2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2.852640720633539E-2</v>
      </c>
      <c r="EX11">
        <v>4.7601405102568994E-2</v>
      </c>
      <c r="EY11">
        <v>4.1550476035103624E-2</v>
      </c>
      <c r="EZ11">
        <v>2.6979612993530831E-2</v>
      </c>
      <c r="FA11">
        <v>1.8171608902741328E-2</v>
      </c>
      <c r="FB11">
        <v>1.4570478085040356E-2</v>
      </c>
      <c r="FC11">
        <v>0</v>
      </c>
      <c r="FD11">
        <v>0</v>
      </c>
      <c r="FE11">
        <v>0</v>
      </c>
      <c r="FF11">
        <v>0</v>
      </c>
      <c r="FG11">
        <v>2.040887419119539E-2</v>
      </c>
      <c r="FH11">
        <v>4.1380983358079063E-2</v>
      </c>
      <c r="FI11">
        <v>3.7612952594055456E-2</v>
      </c>
      <c r="FJ11">
        <v>2.6101008270099087E-2</v>
      </c>
      <c r="FK11">
        <v>9.2467217756746038E-3</v>
      </c>
      <c r="FL11">
        <v>1.8585213670316836E-2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6.3432655563156151E-2</v>
      </c>
      <c r="FS11">
        <v>9.2169625428659141E-2</v>
      </c>
      <c r="FT11">
        <v>0.10229628561198537</v>
      </c>
      <c r="FU11">
        <v>3.8277909633240577E-2</v>
      </c>
      <c r="FV11">
        <v>0.7818979334125572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5.5148565233414963E-3</v>
      </c>
      <c r="GC11">
        <v>8.6937204824753422E-2</v>
      </c>
      <c r="GD11">
        <v>0.17171567945851884</v>
      </c>
      <c r="GE11">
        <v>0</v>
      </c>
      <c r="GF11">
        <v>0</v>
      </c>
      <c r="GG11">
        <v>0</v>
      </c>
      <c r="GI11" t="s">
        <v>171</v>
      </c>
      <c r="GJ11">
        <v>0</v>
      </c>
      <c r="GK11">
        <v>0</v>
      </c>
      <c r="GL11">
        <v>2.8586811357246291E-3</v>
      </c>
      <c r="GM11">
        <v>8.8592189288673781E-2</v>
      </c>
      <c r="GN11">
        <v>0.17454880941953041</v>
      </c>
      <c r="GO11">
        <v>0.16800618209423376</v>
      </c>
      <c r="GP11">
        <v>0.10221700728634744</v>
      </c>
      <c r="GQ11">
        <v>1.3605204801008368E-2</v>
      </c>
      <c r="GR11">
        <v>0</v>
      </c>
      <c r="GS11">
        <v>0</v>
      </c>
      <c r="GT11">
        <v>0</v>
      </c>
      <c r="GU11">
        <v>1.9140350865627518E-2</v>
      </c>
      <c r="GV11">
        <v>0.18567337768851419</v>
      </c>
      <c r="GW11">
        <v>0.38743686987758102</v>
      </c>
      <c r="GX11">
        <v>0.43665422940661941</v>
      </c>
      <c r="GY11">
        <v>0.40050578390933256</v>
      </c>
      <c r="GZ11">
        <v>0.32880244117236535</v>
      </c>
      <c r="HA11">
        <v>0.18594163832642649</v>
      </c>
      <c r="HB11">
        <v>1.9254298492292619E-2</v>
      </c>
      <c r="HC11">
        <v>0</v>
      </c>
      <c r="HD11">
        <v>0</v>
      </c>
      <c r="HE11">
        <v>0.11193806736679164</v>
      </c>
      <c r="HF11">
        <v>0.31624440944998511</v>
      </c>
      <c r="HG11">
        <v>0.43275848112064813</v>
      </c>
      <c r="HH11">
        <v>0.445071324534975</v>
      </c>
      <c r="HI11">
        <v>0.41565043997657136</v>
      </c>
      <c r="HJ11">
        <v>0.35574262984579091</v>
      </c>
      <c r="HK11">
        <v>0.23686226269820079</v>
      </c>
      <c r="HL11">
        <v>8.4892013715286596E-2</v>
      </c>
      <c r="HM11">
        <v>0</v>
      </c>
      <c r="HN11">
        <v>0</v>
      </c>
      <c r="HO11">
        <v>0.10364885031614288</v>
      </c>
      <c r="HP11">
        <v>0.34527580270844582</v>
      </c>
      <c r="HQ11">
        <v>0.50003355821401974</v>
      </c>
      <c r="HR11">
        <v>0.51831441918130605</v>
      </c>
      <c r="HS11">
        <v>0.48422406173080601</v>
      </c>
      <c r="HT11">
        <v>0.43428299966233269</v>
      </c>
      <c r="HU11">
        <v>0.30559069946286604</v>
      </c>
      <c r="HV11">
        <v>0.10905068796844067</v>
      </c>
      <c r="HW11">
        <v>0</v>
      </c>
      <c r="HX11">
        <v>0</v>
      </c>
      <c r="HY11">
        <v>1.6244154738502224E-3</v>
      </c>
      <c r="HZ11">
        <v>0.12678320101602233</v>
      </c>
      <c r="IA11">
        <v>0.27482382027688762</v>
      </c>
      <c r="IB11">
        <v>0.31820859786850092</v>
      </c>
      <c r="IC11">
        <v>0.32580260841722669</v>
      </c>
      <c r="ID11">
        <v>0.25743783063790981</v>
      </c>
      <c r="IE11">
        <v>9.0552199663824967E-2</v>
      </c>
      <c r="IF11">
        <v>5.9832722218211044E-4</v>
      </c>
      <c r="IG11">
        <v>0</v>
      </c>
      <c r="IH11">
        <v>0</v>
      </c>
      <c r="II11">
        <v>0</v>
      </c>
      <c r="IJ11">
        <v>2.4412597050556804E-3</v>
      </c>
      <c r="IK11">
        <v>8.533450447512321E-2</v>
      </c>
      <c r="IL11">
        <v>0.14065907888394427</v>
      </c>
      <c r="IM11">
        <v>0.1396170552932669</v>
      </c>
      <c r="IN11">
        <v>7.4738490264272886E-2</v>
      </c>
      <c r="IO11">
        <v>0</v>
      </c>
      <c r="IP11">
        <v>0</v>
      </c>
      <c r="IQ11">
        <v>0</v>
      </c>
      <c r="IS11" t="s">
        <v>171</v>
      </c>
      <c r="IT11" t="s">
        <v>228</v>
      </c>
      <c r="IU11" t="s">
        <v>229</v>
      </c>
      <c r="IV11">
        <v>0.43906640533417379</v>
      </c>
    </row>
    <row r="12" spans="2:256" x14ac:dyDescent="0.25">
      <c r="B12" t="s">
        <v>172</v>
      </c>
      <c r="C12" t="s">
        <v>31</v>
      </c>
      <c r="D12">
        <v>0</v>
      </c>
      <c r="E12">
        <v>0</v>
      </c>
      <c r="F12">
        <v>0.83081739851094805</v>
      </c>
      <c r="G12">
        <v>0.3130418964469579</v>
      </c>
      <c r="H12">
        <v>0.2020975263318962</v>
      </c>
      <c r="I12">
        <v>0.21184095681112713</v>
      </c>
      <c r="J12">
        <v>0.31195326719129229</v>
      </c>
      <c r="K12">
        <v>0.78411893904246011</v>
      </c>
      <c r="L12">
        <v>0</v>
      </c>
      <c r="M12">
        <v>0</v>
      </c>
      <c r="N12">
        <v>0</v>
      </c>
      <c r="O12">
        <v>0.81916066765691153</v>
      </c>
      <c r="P12">
        <v>0.39284479864976701</v>
      </c>
      <c r="Q12">
        <v>0.26589494995059892</v>
      </c>
      <c r="R12">
        <v>0.181698845437399</v>
      </c>
      <c r="S12">
        <v>0.17598748293889088</v>
      </c>
      <c r="T12">
        <v>0.24683337609052938</v>
      </c>
      <c r="U12">
        <v>0.35079015926937518</v>
      </c>
      <c r="V12">
        <v>0.84154609975318984</v>
      </c>
      <c r="W12">
        <v>0</v>
      </c>
      <c r="X12">
        <v>0</v>
      </c>
      <c r="Y12">
        <v>0.38412068045287046</v>
      </c>
      <c r="Z12">
        <v>0.27911231227443595</v>
      </c>
      <c r="AA12">
        <v>0.25564990422073325</v>
      </c>
      <c r="AB12">
        <v>0.19122035272355414</v>
      </c>
      <c r="AC12">
        <v>0.17094468551790146</v>
      </c>
      <c r="AD12">
        <v>0.19610117035628274</v>
      </c>
      <c r="AE12">
        <v>0.24351092018234155</v>
      </c>
      <c r="AF12">
        <v>0.43082704373636482</v>
      </c>
      <c r="AG12">
        <v>0</v>
      </c>
      <c r="AH12">
        <v>0</v>
      </c>
      <c r="AI12">
        <v>0.39767825864961581</v>
      </c>
      <c r="AJ12">
        <v>0.16526233998708637</v>
      </c>
      <c r="AK12">
        <v>0.11350799530847699</v>
      </c>
      <c r="AL12">
        <v>9.7876914573124169E-2</v>
      </c>
      <c r="AM12">
        <v>0.10179986907825744</v>
      </c>
      <c r="AN12">
        <v>0.12318229411141053</v>
      </c>
      <c r="AO12">
        <v>0.17955315438958055</v>
      </c>
      <c r="AP12">
        <v>0.39239667719870225</v>
      </c>
      <c r="AQ12">
        <v>0</v>
      </c>
      <c r="AR12">
        <v>0</v>
      </c>
      <c r="AS12">
        <v>0.92919930750649971</v>
      </c>
      <c r="AT12">
        <v>0.38814990916254977</v>
      </c>
      <c r="AU12">
        <v>0.25517837225069157</v>
      </c>
      <c r="AV12">
        <v>0.18573235392812504</v>
      </c>
      <c r="AW12">
        <v>0.18572470343246913</v>
      </c>
      <c r="AX12">
        <v>0.23662357437796533</v>
      </c>
      <c r="AY12">
        <v>0.50559347224095763</v>
      </c>
      <c r="AZ12">
        <v>0.99180327868852436</v>
      </c>
      <c r="BA12">
        <v>0</v>
      </c>
      <c r="BB12">
        <v>0</v>
      </c>
      <c r="BC12">
        <v>0</v>
      </c>
      <c r="BD12">
        <v>0.86070701080933554</v>
      </c>
      <c r="BE12">
        <v>0.31588402927255738</v>
      </c>
      <c r="BF12">
        <v>0.2125177348645669</v>
      </c>
      <c r="BG12">
        <v>0.23851597780321268</v>
      </c>
      <c r="BH12">
        <v>0.33739866995605167</v>
      </c>
      <c r="BI12">
        <v>0</v>
      </c>
      <c r="BJ12">
        <v>0</v>
      </c>
      <c r="BK12">
        <v>0</v>
      </c>
      <c r="BM12" t="s">
        <v>223</v>
      </c>
      <c r="BN12" t="s">
        <v>222</v>
      </c>
      <c r="BO12">
        <v>1.7672589756929199E-2</v>
      </c>
      <c r="BP12">
        <v>5.0985153599194318E-4</v>
      </c>
      <c r="BQ12">
        <v>5.384161916203241E-3</v>
      </c>
      <c r="BR12">
        <v>6.4992930306153056E-4</v>
      </c>
      <c r="BS12">
        <v>3.0335277686898204E-3</v>
      </c>
      <c r="BT12">
        <v>9.5993315511242478E-3</v>
      </c>
      <c r="BU12">
        <v>9.7834070476843747E-3</v>
      </c>
      <c r="BV12">
        <v>5.8451165760929815E-3</v>
      </c>
      <c r="BW12">
        <v>0</v>
      </c>
      <c r="BX12">
        <v>9.5202823708277469E-4</v>
      </c>
      <c r="BY12">
        <v>4.102989481982954E-3</v>
      </c>
      <c r="BZ12">
        <v>8.5932068966983501E-3</v>
      </c>
      <c r="CA12">
        <v>4.0835914823848891E-3</v>
      </c>
      <c r="CB12">
        <v>0</v>
      </c>
      <c r="CC12">
        <v>3.7498070891332429E-3</v>
      </c>
      <c r="CD12">
        <v>1.1426945082078846E-2</v>
      </c>
      <c r="CE12">
        <v>1.4680501685889632E-2</v>
      </c>
      <c r="CF12">
        <v>2.0547350388572166E-2</v>
      </c>
      <c r="CG12">
        <v>2.1953551072747032E-2</v>
      </c>
      <c r="CH12">
        <v>2.0609024479369391E-2</v>
      </c>
      <c r="CI12">
        <v>6.4959502405835812E-3</v>
      </c>
      <c r="CJ12">
        <v>3.4854139294009734E-3</v>
      </c>
      <c r="CK12">
        <v>6.8611392280990263E-3</v>
      </c>
      <c r="CL12">
        <v>4.7036245113350264E-3</v>
      </c>
      <c r="CM12">
        <v>1.7465575584651668E-2</v>
      </c>
      <c r="CN12">
        <v>3.3085625152640893E-2</v>
      </c>
      <c r="CO12">
        <v>7.7401769423966248E-3</v>
      </c>
      <c r="CP12">
        <v>2.5010200360003801E-2</v>
      </c>
      <c r="CQ12">
        <v>1.6667044418691043E-2</v>
      </c>
      <c r="CR12">
        <v>1.7108173526759186E-2</v>
      </c>
      <c r="CS12">
        <v>1.2669984080505204E-2</v>
      </c>
      <c r="CT12">
        <v>0</v>
      </c>
      <c r="CU12">
        <v>0</v>
      </c>
      <c r="CV12">
        <v>2.9795336966350824E-3</v>
      </c>
      <c r="CW12">
        <v>1.0700776163767628E-2</v>
      </c>
      <c r="CX12">
        <v>6.6461047975683281E-3</v>
      </c>
      <c r="CY12">
        <v>9.5823061641327166E-3</v>
      </c>
      <c r="CZ12">
        <v>4.7525996009786693E-3</v>
      </c>
      <c r="DA12">
        <v>2.1880298499206533E-2</v>
      </c>
      <c r="DB12">
        <v>3.9508295287225076E-2</v>
      </c>
      <c r="DC12">
        <v>3.8396857968940397E-3</v>
      </c>
      <c r="DD12">
        <v>0</v>
      </c>
      <c r="DE12">
        <v>0</v>
      </c>
      <c r="DF12">
        <v>2.2831986675886312E-3</v>
      </c>
      <c r="DG12">
        <v>3.5263185588110366E-3</v>
      </c>
      <c r="DH12">
        <v>0</v>
      </c>
      <c r="DI12">
        <v>0</v>
      </c>
      <c r="DJ12">
        <v>6.3512059742147353E-3</v>
      </c>
      <c r="DK12">
        <v>1.634349465389982E-2</v>
      </c>
      <c r="DL12">
        <v>6.0583904350016236E-3</v>
      </c>
      <c r="DM12">
        <v>4.71434733297426E-3</v>
      </c>
      <c r="DN12">
        <v>1.4774154350675848E-3</v>
      </c>
      <c r="DO12">
        <v>2.999395519105347E-3</v>
      </c>
      <c r="DP12">
        <v>0</v>
      </c>
      <c r="DQ12">
        <v>4.5161623815071061E-3</v>
      </c>
      <c r="DR12">
        <v>8.1812930575851997E-3</v>
      </c>
      <c r="DS12">
        <v>9.2165708722169448E-4</v>
      </c>
      <c r="DT12">
        <v>2.7228997670246317E-3</v>
      </c>
      <c r="DU12">
        <v>0</v>
      </c>
      <c r="DV12">
        <v>1.6796509692183889E-3</v>
      </c>
      <c r="DX12" t="s">
        <v>223</v>
      </c>
      <c r="DY12" t="s">
        <v>225</v>
      </c>
      <c r="DZ12">
        <v>1.3445359174210116E-2</v>
      </c>
      <c r="EA12">
        <v>3.121437743096998E-2</v>
      </c>
      <c r="EB12">
        <v>2.0838320195000877E-2</v>
      </c>
      <c r="EC12">
        <v>2.4666480298114715E-2</v>
      </c>
      <c r="ED12">
        <v>2.9507900894330846E-2</v>
      </c>
      <c r="EE12">
        <v>2.1501532162019235E-2</v>
      </c>
      <c r="EF12">
        <v>2.1193284865806843E-2</v>
      </c>
      <c r="EG12">
        <v>4.0573339970941452E-2</v>
      </c>
      <c r="EH12">
        <v>4.6396235970044566E-2</v>
      </c>
      <c r="EI12">
        <v>1.2123963990984621E-2</v>
      </c>
      <c r="EJ12">
        <v>3.2295220993597856E-2</v>
      </c>
      <c r="EK12">
        <v>9.6491128510763774E-3</v>
      </c>
      <c r="EL12">
        <v>1.9137811796175491E-2</v>
      </c>
      <c r="EM12">
        <v>2.9177704549552461E-2</v>
      </c>
      <c r="EN12">
        <v>2.8856196132601528E-2</v>
      </c>
      <c r="EO12">
        <v>0</v>
      </c>
      <c r="EP12">
        <v>3.145386700851419E-3</v>
      </c>
      <c r="EQ12">
        <v>1.250772924338674E-2</v>
      </c>
      <c r="ER12">
        <v>2.6389965136141398E-2</v>
      </c>
      <c r="ES12">
        <v>4.3632922969082777E-2</v>
      </c>
      <c r="ET12">
        <v>3.7658589562879492E-2</v>
      </c>
      <c r="EU12">
        <v>3.285563238587022E-2</v>
      </c>
      <c r="EV12">
        <v>2.5834706626280693E-2</v>
      </c>
      <c r="EW12">
        <v>1.4142863589466936E-2</v>
      </c>
      <c r="EX12">
        <v>1.7749864347496914E-2</v>
      </c>
      <c r="EY12">
        <v>1.6362445263111803E-2</v>
      </c>
      <c r="EZ12">
        <v>3.3389666796450092E-2</v>
      </c>
      <c r="FA12">
        <v>4.5506456360761033E-2</v>
      </c>
      <c r="FB12">
        <v>7.778892157517027E-2</v>
      </c>
      <c r="FC12">
        <v>4.9775112759854828E-2</v>
      </c>
      <c r="FD12">
        <v>3.892597360216575E-2</v>
      </c>
      <c r="FE12">
        <v>2.3162182500417364E-2</v>
      </c>
      <c r="FF12">
        <v>3.1851293784491606E-2</v>
      </c>
      <c r="FG12">
        <v>2.3369747683328609E-2</v>
      </c>
      <c r="FH12">
        <v>0</v>
      </c>
      <c r="FI12">
        <v>6.5220629910375839E-3</v>
      </c>
      <c r="FJ12">
        <v>7.9935319632671985E-3</v>
      </c>
      <c r="FK12">
        <v>1.0747566023924867E-2</v>
      </c>
      <c r="FL12">
        <v>1.4779161484616851E-2</v>
      </c>
      <c r="FM12">
        <v>3.4358705973785118E-2</v>
      </c>
      <c r="FN12">
        <v>2.065608926024038E-2</v>
      </c>
      <c r="FO12">
        <v>1.6101736961653755E-2</v>
      </c>
      <c r="FP12">
        <v>1.0469387886696709E-2</v>
      </c>
      <c r="FQ12">
        <v>1.5915292765233623E-3</v>
      </c>
      <c r="FR12">
        <v>9.0741031446292392E-3</v>
      </c>
      <c r="FS12">
        <v>1.3498562115706488E-2</v>
      </c>
      <c r="FT12">
        <v>5.9738092025542252E-3</v>
      </c>
      <c r="FU12">
        <v>1.554751838174087E-3</v>
      </c>
      <c r="FV12">
        <v>3.3406639119888037E-3</v>
      </c>
      <c r="FW12">
        <v>2.005015646674559E-2</v>
      </c>
      <c r="FX12">
        <v>1.3585946730876956E-2</v>
      </c>
      <c r="FY12">
        <v>1.3322669487056025E-2</v>
      </c>
      <c r="FZ12">
        <v>5.469557454527812E-3</v>
      </c>
      <c r="GA12">
        <v>1.2273493142347167E-2</v>
      </c>
      <c r="GB12">
        <v>1.4652859093788636E-2</v>
      </c>
      <c r="GC12">
        <v>2.2264126575565106E-3</v>
      </c>
      <c r="GD12">
        <v>1.0939273602151023E-2</v>
      </c>
      <c r="GE12">
        <v>1.3866456941064146E-2</v>
      </c>
      <c r="GF12">
        <v>1.4908465057774548E-2</v>
      </c>
      <c r="GG12">
        <v>1.3108008339872133E-2</v>
      </c>
      <c r="GI12" t="s">
        <v>172</v>
      </c>
      <c r="GJ12">
        <v>0</v>
      </c>
      <c r="GK12">
        <v>0</v>
      </c>
      <c r="GL12">
        <v>8.0551878353134973E-3</v>
      </c>
      <c r="GM12">
        <v>0.11176469718026581</v>
      </c>
      <c r="GN12">
        <v>0.20422569565950002</v>
      </c>
      <c r="GO12">
        <v>0.20584861075581221</v>
      </c>
      <c r="GP12">
        <v>0.1261870153102371</v>
      </c>
      <c r="GQ12">
        <v>1.5439928612387561E-2</v>
      </c>
      <c r="GR12">
        <v>0</v>
      </c>
      <c r="GS12">
        <v>0</v>
      </c>
      <c r="GT12">
        <v>0</v>
      </c>
      <c r="GU12">
        <v>2.923614084591147E-2</v>
      </c>
      <c r="GV12">
        <v>0.20693357279409091</v>
      </c>
      <c r="GW12">
        <v>0.38359508847145901</v>
      </c>
      <c r="GX12">
        <v>0.43449306577182895</v>
      </c>
      <c r="GY12">
        <v>0.41116478073105428</v>
      </c>
      <c r="GZ12">
        <v>0.33958033586498859</v>
      </c>
      <c r="HA12">
        <v>0.18164465504323407</v>
      </c>
      <c r="HB12">
        <v>1.557916646271656E-2</v>
      </c>
      <c r="HC12">
        <v>0</v>
      </c>
      <c r="HD12">
        <v>0</v>
      </c>
      <c r="HE12">
        <v>0.10274998019140923</v>
      </c>
      <c r="HF12">
        <v>0.28885089801075048</v>
      </c>
      <c r="HG12">
        <v>0.39373623077756104</v>
      </c>
      <c r="HH12">
        <v>0.4297728779484673</v>
      </c>
      <c r="HI12">
        <v>0.42627590196601906</v>
      </c>
      <c r="HJ12">
        <v>0.36197690001554195</v>
      </c>
      <c r="HK12">
        <v>0.22632712087304344</v>
      </c>
      <c r="HL12">
        <v>7.0711826587022297E-2</v>
      </c>
      <c r="HM12">
        <v>0</v>
      </c>
      <c r="HN12">
        <v>0</v>
      </c>
      <c r="HO12">
        <v>0.11999271652411758</v>
      </c>
      <c r="HP12">
        <v>0.38870133164078341</v>
      </c>
      <c r="HQ12">
        <v>0.53525709163244251</v>
      </c>
      <c r="HR12">
        <v>0.53085173190725643</v>
      </c>
      <c r="HS12">
        <v>0.49793322910722987</v>
      </c>
      <c r="HT12">
        <v>0.45044792822864133</v>
      </c>
      <c r="HU12">
        <v>0.30738874669091037</v>
      </c>
      <c r="HV12">
        <v>9.5184367570911879E-2</v>
      </c>
      <c r="HW12">
        <v>0</v>
      </c>
      <c r="HX12">
        <v>0</v>
      </c>
      <c r="HY12">
        <v>6.3124239107509618E-3</v>
      </c>
      <c r="HZ12">
        <v>0.15102732123008192</v>
      </c>
      <c r="IA12">
        <v>0.31343762042520906</v>
      </c>
      <c r="IB12">
        <v>0.33894782192390777</v>
      </c>
      <c r="IC12">
        <v>0.34061734221624934</v>
      </c>
      <c r="ID12">
        <v>0.26414562857315099</v>
      </c>
      <c r="IE12">
        <v>8.3315132561633407E-2</v>
      </c>
      <c r="IF12">
        <v>6.1183207621782268E-6</v>
      </c>
      <c r="IG12">
        <v>0</v>
      </c>
      <c r="IH12">
        <v>0</v>
      </c>
      <c r="II12">
        <v>0</v>
      </c>
      <c r="IJ12">
        <v>8.7397084416750044E-3</v>
      </c>
      <c r="IK12">
        <v>0.105015894334236</v>
      </c>
      <c r="IL12">
        <v>0.17166743316465782</v>
      </c>
      <c r="IM12">
        <v>0.19034008655811277</v>
      </c>
      <c r="IN12">
        <v>0.10069104874570529</v>
      </c>
      <c r="IO12">
        <v>0</v>
      </c>
      <c r="IP12">
        <v>0</v>
      </c>
      <c r="IQ12">
        <v>0</v>
      </c>
      <c r="IS12" t="s">
        <v>172</v>
      </c>
      <c r="IT12" t="s">
        <v>228</v>
      </c>
      <c r="IU12" t="s">
        <v>229</v>
      </c>
      <c r="IV12">
        <v>0.43583718589452125</v>
      </c>
    </row>
    <row r="13" spans="2:256" x14ac:dyDescent="0.25">
      <c r="B13" t="s">
        <v>173</v>
      </c>
      <c r="C13" t="s">
        <v>31</v>
      </c>
      <c r="D13">
        <v>0</v>
      </c>
      <c r="E13">
        <v>0</v>
      </c>
      <c r="F13">
        <v>0.8277493778576801</v>
      </c>
      <c r="G13">
        <v>0.33572124373404777</v>
      </c>
      <c r="H13">
        <v>0.21295107780865746</v>
      </c>
      <c r="I13">
        <v>0.22862470027476131</v>
      </c>
      <c r="J13">
        <v>0.34564972094739238</v>
      </c>
      <c r="K13">
        <v>0.78654748758581639</v>
      </c>
      <c r="L13">
        <v>0</v>
      </c>
      <c r="M13">
        <v>0</v>
      </c>
      <c r="N13">
        <v>0</v>
      </c>
      <c r="O13">
        <v>0.83646572259856211</v>
      </c>
      <c r="P13">
        <v>0.3852042891893398</v>
      </c>
      <c r="Q13">
        <v>0.26993763188303171</v>
      </c>
      <c r="R13">
        <v>0.1787202024561593</v>
      </c>
      <c r="S13">
        <v>0.18123084398720932</v>
      </c>
      <c r="T13">
        <v>0.25537226842450639</v>
      </c>
      <c r="U13">
        <v>0.36196074208797174</v>
      </c>
      <c r="V13">
        <v>0.83781059943421854</v>
      </c>
      <c r="W13">
        <v>0</v>
      </c>
      <c r="X13">
        <v>0</v>
      </c>
      <c r="Y13">
        <v>0.35724044213393435</v>
      </c>
      <c r="Z13">
        <v>0.26633821613392472</v>
      </c>
      <c r="AA13">
        <v>0.21505412624423714</v>
      </c>
      <c r="AB13">
        <v>0.17432257234864032</v>
      </c>
      <c r="AC13">
        <v>0.16497460627459892</v>
      </c>
      <c r="AD13">
        <v>0.19028134870534152</v>
      </c>
      <c r="AE13">
        <v>0.22341609458838449</v>
      </c>
      <c r="AF13">
        <v>0.40584254709903517</v>
      </c>
      <c r="AG13">
        <v>0</v>
      </c>
      <c r="AH13">
        <v>0</v>
      </c>
      <c r="AI13">
        <v>0.3784934194555713</v>
      </c>
      <c r="AJ13">
        <v>0.15704565488350344</v>
      </c>
      <c r="AK13">
        <v>0.11694461002098755</v>
      </c>
      <c r="AL13">
        <v>9.5057168173923096E-2</v>
      </c>
      <c r="AM13">
        <v>9.5220531322228699E-2</v>
      </c>
      <c r="AN13">
        <v>0.1256429986853374</v>
      </c>
      <c r="AO13">
        <v>0.15912299158344312</v>
      </c>
      <c r="AP13">
        <v>0.37066051520832061</v>
      </c>
      <c r="AQ13">
        <v>0</v>
      </c>
      <c r="AR13">
        <v>0</v>
      </c>
      <c r="AS13">
        <v>0.91780579995677958</v>
      </c>
      <c r="AT13">
        <v>0.37188326115937564</v>
      </c>
      <c r="AU13">
        <v>0.2347727082065402</v>
      </c>
      <c r="AV13">
        <v>0.16242896723083342</v>
      </c>
      <c r="AW13">
        <v>0.17350950948416954</v>
      </c>
      <c r="AX13">
        <v>0.23628678438714601</v>
      </c>
      <c r="AY13">
        <v>0.51719286410340293</v>
      </c>
      <c r="AZ13">
        <v>0.99180327868852469</v>
      </c>
      <c r="BA13">
        <v>0</v>
      </c>
      <c r="BB13">
        <v>0</v>
      </c>
      <c r="BC13">
        <v>0</v>
      </c>
      <c r="BD13">
        <v>0.86153829502296486</v>
      </c>
      <c r="BE13">
        <v>0.30997042570013889</v>
      </c>
      <c r="BF13">
        <v>0.2255040322530239</v>
      </c>
      <c r="BG13">
        <v>0.26038244124132948</v>
      </c>
      <c r="BH13">
        <v>0.39107698442367056</v>
      </c>
      <c r="BI13">
        <v>0</v>
      </c>
      <c r="BJ13">
        <v>0</v>
      </c>
      <c r="BK13">
        <v>0</v>
      </c>
      <c r="BM13" t="s">
        <v>224</v>
      </c>
      <c r="BN13" t="s">
        <v>222</v>
      </c>
      <c r="BO13">
        <v>1.6049219154105714E-2</v>
      </c>
      <c r="BP13">
        <v>8.8032203947494246E-3</v>
      </c>
      <c r="BQ13">
        <v>6.466354742895807E-3</v>
      </c>
      <c r="BR13">
        <v>1.8656120782329481E-2</v>
      </c>
      <c r="BS13">
        <v>8.6595432883891015E-4</v>
      </c>
      <c r="BT13">
        <v>3.2369770839954992E-3</v>
      </c>
      <c r="BU13">
        <v>1.066441174709097E-3</v>
      </c>
      <c r="BV13">
        <v>1.492016088000697E-2</v>
      </c>
      <c r="BW13">
        <v>4.053073546273836E-3</v>
      </c>
      <c r="BX13">
        <v>0</v>
      </c>
      <c r="BY13">
        <v>9.9801336339087731E-3</v>
      </c>
      <c r="BZ13">
        <v>1.5379342526802557E-2</v>
      </c>
      <c r="CA13">
        <v>1.4879335159236244E-2</v>
      </c>
      <c r="CB13">
        <v>5.6703680419515189E-3</v>
      </c>
      <c r="CC13">
        <v>3.6683001965137738E-4</v>
      </c>
      <c r="CD13">
        <v>7.7113760581223973E-3</v>
      </c>
      <c r="CE13">
        <v>1.1632553004844058E-2</v>
      </c>
      <c r="CF13">
        <v>4.0293166954711527E-4</v>
      </c>
      <c r="CG13">
        <v>8.4821351258707583E-3</v>
      </c>
      <c r="CH13">
        <v>9.2281321013108989E-3</v>
      </c>
      <c r="CI13">
        <v>1.8150964654321821E-2</v>
      </c>
      <c r="CJ13">
        <v>7.4149707076849548E-3</v>
      </c>
      <c r="CK13">
        <v>7.6120504739544169E-3</v>
      </c>
      <c r="CL13">
        <v>5.3608466756252336E-3</v>
      </c>
      <c r="CM13">
        <v>1.7387147296950907E-2</v>
      </c>
      <c r="CN13">
        <v>1.6759665069488512E-2</v>
      </c>
      <c r="CO13">
        <v>1.9056622641500686E-3</v>
      </c>
      <c r="CP13">
        <v>0</v>
      </c>
      <c r="CQ13">
        <v>1.0669221670509023E-2</v>
      </c>
      <c r="CR13">
        <v>1.7599505086553571E-2</v>
      </c>
      <c r="CS13">
        <v>1.2713384217919002E-2</v>
      </c>
      <c r="CT13">
        <v>8.2462858274395239E-3</v>
      </c>
      <c r="CU13">
        <v>1.5088471101891708E-2</v>
      </c>
      <c r="CV13">
        <v>1.922367781392522E-2</v>
      </c>
      <c r="CW13">
        <v>2.4234214794021668E-2</v>
      </c>
      <c r="CX13">
        <v>1.9328237918745699E-2</v>
      </c>
      <c r="CY13">
        <v>3.3638706115193949E-2</v>
      </c>
      <c r="CZ13">
        <v>4.7878544882742147E-3</v>
      </c>
      <c r="DA13">
        <v>1.0023696179017806E-2</v>
      </c>
      <c r="DB13">
        <v>1.9910756904251477E-2</v>
      </c>
      <c r="DC13">
        <v>4.7281371730360346E-3</v>
      </c>
      <c r="DD13">
        <v>9.7986143783198257E-3</v>
      </c>
      <c r="DE13">
        <v>0</v>
      </c>
      <c r="DF13">
        <v>4.0882003079846215E-3</v>
      </c>
      <c r="DG13">
        <v>8.7555882972362217E-3</v>
      </c>
      <c r="DH13">
        <v>0</v>
      </c>
      <c r="DI13">
        <v>0</v>
      </c>
      <c r="DJ13">
        <v>5.8595302797672302E-3</v>
      </c>
      <c r="DK13">
        <v>4.7069780350019498E-3</v>
      </c>
      <c r="DL13">
        <v>8.0237283407236983E-3</v>
      </c>
      <c r="DM13">
        <v>5.7702242810299407E-3</v>
      </c>
      <c r="DN13">
        <v>0</v>
      </c>
      <c r="DO13">
        <v>3.132494619148002E-3</v>
      </c>
      <c r="DP13">
        <v>7.815936029233056E-3</v>
      </c>
      <c r="DQ13">
        <v>5.8763750443166004E-3</v>
      </c>
      <c r="DR13">
        <v>9.6458339012625127E-4</v>
      </c>
      <c r="DS13">
        <v>5.2274555981880614E-3</v>
      </c>
      <c r="DT13">
        <v>1.011785615949257E-2</v>
      </c>
      <c r="DU13">
        <v>5.803625280623924E-3</v>
      </c>
      <c r="DV13">
        <v>5.3849555546133547E-3</v>
      </c>
      <c r="DX13" t="s">
        <v>224</v>
      </c>
      <c r="DY13" t="s">
        <v>225</v>
      </c>
      <c r="DZ13">
        <v>3.8879021146975452E-3</v>
      </c>
      <c r="EA13">
        <v>2.6172311229198001E-2</v>
      </c>
      <c r="EB13">
        <v>3.3832738367986726E-2</v>
      </c>
      <c r="EC13">
        <v>2.1969286507811412E-2</v>
      </c>
      <c r="ED13">
        <v>4.1808378997263557E-2</v>
      </c>
      <c r="EE13">
        <v>3.7551355510739855E-2</v>
      </c>
      <c r="EF13">
        <v>2.1398303821081693E-2</v>
      </c>
      <c r="EG13">
        <v>8.4332855920108071E-3</v>
      </c>
      <c r="EH13">
        <v>2.5343991222900725E-2</v>
      </c>
      <c r="EI13">
        <v>2.0236403219986692E-2</v>
      </c>
      <c r="EJ13">
        <v>1.8491733342219104E-2</v>
      </c>
      <c r="EK13">
        <v>2.4348300688633664E-2</v>
      </c>
      <c r="EL13">
        <v>2.7517642514135063E-2</v>
      </c>
      <c r="EM13">
        <v>2.7010104108553239E-2</v>
      </c>
      <c r="EN13">
        <v>1.7218115149667916E-2</v>
      </c>
      <c r="EO13">
        <v>1.6507252955842922E-2</v>
      </c>
      <c r="EP13">
        <v>0</v>
      </c>
      <c r="EQ13">
        <v>1.0979878968750925E-2</v>
      </c>
      <c r="ER13">
        <v>1.4137459043216873E-2</v>
      </c>
      <c r="ES13">
        <v>2.0050213798649824E-2</v>
      </c>
      <c r="ET13">
        <v>3.2970780399799116E-2</v>
      </c>
      <c r="EU13">
        <v>3.7405443398591427E-2</v>
      </c>
      <c r="EV13">
        <v>4.1737141665762305E-2</v>
      </c>
      <c r="EW13">
        <v>1.6781932809338644E-2</v>
      </c>
      <c r="EX13">
        <v>2.1747767540674361E-2</v>
      </c>
      <c r="EY13">
        <v>2.2719885720329243E-2</v>
      </c>
      <c r="EZ13">
        <v>4.2053904935207186E-2</v>
      </c>
      <c r="FA13">
        <v>3.8441907671873249E-2</v>
      </c>
      <c r="FB13">
        <v>3.6181246380652517E-2</v>
      </c>
      <c r="FC13">
        <v>1.3392979040156025E-2</v>
      </c>
      <c r="FD13">
        <v>2.9184720628912541E-2</v>
      </c>
      <c r="FE13">
        <v>3.9237976377044861E-2</v>
      </c>
      <c r="FF13">
        <v>2.2362933012510577E-2</v>
      </c>
      <c r="FG13">
        <v>3.6435725454667445E-2</v>
      </c>
      <c r="FH13">
        <v>5.093243156740361E-2</v>
      </c>
      <c r="FI13">
        <v>4.5257689233171784E-2</v>
      </c>
      <c r="FJ13">
        <v>3.5872386258827688E-2</v>
      </c>
      <c r="FK13">
        <v>7.2056007107884068E-2</v>
      </c>
      <c r="FL13">
        <v>4.8762052001375192E-2</v>
      </c>
      <c r="FM13">
        <v>2.1706881126317752E-2</v>
      </c>
      <c r="FN13">
        <v>1.7054344481537399E-2</v>
      </c>
      <c r="FO13">
        <v>1.3044427140568516E-2</v>
      </c>
      <c r="FP13">
        <v>1.4985073415511337E-2</v>
      </c>
      <c r="FQ13">
        <v>1.2754019851787302E-2</v>
      </c>
      <c r="FR13">
        <v>1.2735455014242331E-2</v>
      </c>
      <c r="FS13">
        <v>1.7174743056131921E-2</v>
      </c>
      <c r="FT13">
        <v>2.1957792834430341E-2</v>
      </c>
      <c r="FU13">
        <v>1.065047173342098E-2</v>
      </c>
      <c r="FV13">
        <v>2.519234465333229E-3</v>
      </c>
      <c r="FW13">
        <v>4.8185079851866576E-3</v>
      </c>
      <c r="FX13">
        <v>1.1707362792469611E-2</v>
      </c>
      <c r="FY13">
        <v>1.2772535341587383E-2</v>
      </c>
      <c r="FZ13">
        <v>9.7725781529222362E-3</v>
      </c>
      <c r="GA13">
        <v>5.127268118966139E-3</v>
      </c>
      <c r="GB13">
        <v>1.0206884676950079E-2</v>
      </c>
      <c r="GC13">
        <v>1.5399780341678956E-2</v>
      </c>
      <c r="GD13">
        <v>1.3056398737861364E-2</v>
      </c>
      <c r="GE13">
        <v>4.383751613198858E-3</v>
      </c>
      <c r="GF13">
        <v>1.1693225320972124E-2</v>
      </c>
      <c r="GG13">
        <v>1.5075181836182176E-2</v>
      </c>
      <c r="GI13" t="s">
        <v>173</v>
      </c>
      <c r="GJ13">
        <v>0</v>
      </c>
      <c r="GK13">
        <v>0</v>
      </c>
      <c r="GL13">
        <v>5.056328574841347E-3</v>
      </c>
      <c r="GM13">
        <v>8.7647614340550337E-2</v>
      </c>
      <c r="GN13">
        <v>0.17446249181048323</v>
      </c>
      <c r="GO13">
        <v>0.17294896580886004</v>
      </c>
      <c r="GP13">
        <v>9.6571973200536176E-2</v>
      </c>
      <c r="GQ13">
        <v>1.0466742873092795E-2</v>
      </c>
      <c r="GR13">
        <v>0</v>
      </c>
      <c r="GS13">
        <v>0</v>
      </c>
      <c r="GT13">
        <v>0</v>
      </c>
      <c r="GU13">
        <v>2.5589392048224614E-2</v>
      </c>
      <c r="GV13">
        <v>0.20100611035933472</v>
      </c>
      <c r="GW13">
        <v>0.37610664704172952</v>
      </c>
      <c r="GX13">
        <v>0.43029056609206001</v>
      </c>
      <c r="GY13">
        <v>0.4003074979772599</v>
      </c>
      <c r="GZ13">
        <v>0.32675774378556172</v>
      </c>
      <c r="HA13">
        <v>0.17981347236789832</v>
      </c>
      <c r="HB13">
        <v>1.7639440176248935E-2</v>
      </c>
      <c r="HC13">
        <v>0</v>
      </c>
      <c r="HD13">
        <v>0</v>
      </c>
      <c r="HE13">
        <v>0.1192006175772909</v>
      </c>
      <c r="HF13">
        <v>0.31029761333042283</v>
      </c>
      <c r="HG13">
        <v>0.41992869230937391</v>
      </c>
      <c r="HH13">
        <v>0.44717184464522319</v>
      </c>
      <c r="HI13">
        <v>0.4261335855195863</v>
      </c>
      <c r="HJ13">
        <v>0.35643679990082422</v>
      </c>
      <c r="HK13">
        <v>0.23335185049526139</v>
      </c>
      <c r="HL13">
        <v>7.704608757724983E-2</v>
      </c>
      <c r="HM13">
        <v>0</v>
      </c>
      <c r="HN13">
        <v>0</v>
      </c>
      <c r="HO13">
        <v>0.11814474105542533</v>
      </c>
      <c r="HP13">
        <v>0.37742711610987989</v>
      </c>
      <c r="HQ13">
        <v>0.5186185948985822</v>
      </c>
      <c r="HR13">
        <v>0.52009012254386522</v>
      </c>
      <c r="HS13">
        <v>0.49271857639867184</v>
      </c>
      <c r="HT13">
        <v>0.44511118032535019</v>
      </c>
      <c r="HU13">
        <v>0.3113504545455581</v>
      </c>
      <c r="HV13">
        <v>0.10085899723480672</v>
      </c>
      <c r="HW13">
        <v>0</v>
      </c>
      <c r="HX13">
        <v>0</v>
      </c>
      <c r="HY13">
        <v>6.5755657004526995E-3</v>
      </c>
      <c r="HZ13">
        <v>0.14408717198766804</v>
      </c>
      <c r="IA13">
        <v>0.29712756971775434</v>
      </c>
      <c r="IB13">
        <v>0.33847479478334164</v>
      </c>
      <c r="IC13">
        <v>0.33388943126003617</v>
      </c>
      <c r="ID13">
        <v>0.25415129000200626</v>
      </c>
      <c r="IE13">
        <v>7.7290364435877626E-2</v>
      </c>
      <c r="IF13">
        <v>2.0620218022452007E-4</v>
      </c>
      <c r="IG13">
        <v>0</v>
      </c>
      <c r="IH13">
        <v>0</v>
      </c>
      <c r="II13">
        <v>0</v>
      </c>
      <c r="IJ13">
        <v>7.4393181550168799E-3</v>
      </c>
      <c r="IK13">
        <v>0.10959367884539793</v>
      </c>
      <c r="IL13">
        <v>0.15795210298512588</v>
      </c>
      <c r="IM13">
        <v>0.15985175313601055</v>
      </c>
      <c r="IN13">
        <v>7.3547896584217898E-2</v>
      </c>
      <c r="IO13">
        <v>0</v>
      </c>
      <c r="IP13">
        <v>0</v>
      </c>
      <c r="IQ13">
        <v>0</v>
      </c>
      <c r="IS13" t="s">
        <v>173</v>
      </c>
      <c r="IT13" t="s">
        <v>228</v>
      </c>
      <c r="IU13" t="s">
        <v>229</v>
      </c>
      <c r="IV13">
        <v>0.40572133355912582</v>
      </c>
    </row>
    <row r="14" spans="2:256" x14ac:dyDescent="0.25">
      <c r="B14" t="s">
        <v>174</v>
      </c>
      <c r="C14" t="s">
        <v>31</v>
      </c>
      <c r="D14">
        <v>0</v>
      </c>
      <c r="E14">
        <v>0</v>
      </c>
      <c r="F14">
        <v>0.89330724492247715</v>
      </c>
      <c r="G14">
        <v>0.40401709213883258</v>
      </c>
      <c r="H14">
        <v>0.2353867138355234</v>
      </c>
      <c r="I14">
        <v>0.22349115771026229</v>
      </c>
      <c r="J14">
        <v>0.3465737340331832</v>
      </c>
      <c r="K14">
        <v>0.78943816402856648</v>
      </c>
      <c r="L14">
        <v>0</v>
      </c>
      <c r="M14">
        <v>0</v>
      </c>
      <c r="N14">
        <v>0</v>
      </c>
      <c r="O14">
        <v>0.83141056915294975</v>
      </c>
      <c r="P14">
        <v>0.36453276582486382</v>
      </c>
      <c r="Q14">
        <v>0.21887933842072918</v>
      </c>
      <c r="R14">
        <v>0.16695467782114815</v>
      </c>
      <c r="S14">
        <v>0.17391540922384954</v>
      </c>
      <c r="T14">
        <v>0.22616108345428276</v>
      </c>
      <c r="U14">
        <v>0.32234642186969203</v>
      </c>
      <c r="V14">
        <v>0.81705275336717498</v>
      </c>
      <c r="W14">
        <v>0</v>
      </c>
      <c r="X14">
        <v>0</v>
      </c>
      <c r="Y14">
        <v>0.34286036700124045</v>
      </c>
      <c r="Z14">
        <v>0.2121511086240942</v>
      </c>
      <c r="AA14">
        <v>0.1779770755633257</v>
      </c>
      <c r="AB14">
        <v>0.1401363142735198</v>
      </c>
      <c r="AC14">
        <v>0.15550781292884122</v>
      </c>
      <c r="AD14">
        <v>0.19987534354706157</v>
      </c>
      <c r="AE14">
        <v>0.24253473270594156</v>
      </c>
      <c r="AF14">
        <v>0.36209036361807356</v>
      </c>
      <c r="AG14">
        <v>0</v>
      </c>
      <c r="AH14">
        <v>0</v>
      </c>
      <c r="AI14">
        <v>0.41784603764143413</v>
      </c>
      <c r="AJ14">
        <v>0.19683602329648259</v>
      </c>
      <c r="AK14">
        <v>0.12965629158396721</v>
      </c>
      <c r="AL14">
        <v>0.10390345209726927</v>
      </c>
      <c r="AM14">
        <v>0.1031950501458742</v>
      </c>
      <c r="AN14">
        <v>0.1398365920545229</v>
      </c>
      <c r="AO14">
        <v>0.20367768306026793</v>
      </c>
      <c r="AP14">
        <v>0.374829686062704</v>
      </c>
      <c r="AQ14">
        <v>0</v>
      </c>
      <c r="AR14">
        <v>0</v>
      </c>
      <c r="AS14">
        <v>0.96713847874977044</v>
      </c>
      <c r="AT14">
        <v>0.4461731259555558</v>
      </c>
      <c r="AU14">
        <v>0.28594320648405602</v>
      </c>
      <c r="AV14">
        <v>0.20047207202721173</v>
      </c>
      <c r="AW14">
        <v>0.18970583256146473</v>
      </c>
      <c r="AX14">
        <v>0.26518613791338363</v>
      </c>
      <c r="AY14">
        <v>0.50432296612695926</v>
      </c>
      <c r="AZ14">
        <v>0.97540983606557352</v>
      </c>
      <c r="BA14">
        <v>0</v>
      </c>
      <c r="BB14">
        <v>0</v>
      </c>
      <c r="BC14">
        <v>0</v>
      </c>
      <c r="BD14">
        <v>0.94171129220557559</v>
      </c>
      <c r="BE14">
        <v>0.40492316678975032</v>
      </c>
      <c r="BF14">
        <v>0.29394048199366174</v>
      </c>
      <c r="BG14">
        <v>0.3309293383459051</v>
      </c>
      <c r="BH14">
        <v>0.4832226327936508</v>
      </c>
      <c r="BI14">
        <v>0</v>
      </c>
      <c r="BJ14">
        <v>0</v>
      </c>
      <c r="BK14">
        <v>0</v>
      </c>
      <c r="GI14" t="s">
        <v>174</v>
      </c>
      <c r="GJ14">
        <v>0</v>
      </c>
      <c r="GK14">
        <v>0</v>
      </c>
      <c r="GL14">
        <v>3.3672133339037852E-3</v>
      </c>
      <c r="GM14">
        <v>8.0859285586378685E-2</v>
      </c>
      <c r="GN14">
        <v>0.15932843888526352</v>
      </c>
      <c r="GO14">
        <v>0.14837757183255115</v>
      </c>
      <c r="GP14">
        <v>9.2180594843962765E-2</v>
      </c>
      <c r="GQ14">
        <v>1.2569068815978045E-2</v>
      </c>
      <c r="GR14">
        <v>0</v>
      </c>
      <c r="GS14">
        <v>0</v>
      </c>
      <c r="GT14">
        <v>0</v>
      </c>
      <c r="GU14">
        <v>2.0667457407407341E-2</v>
      </c>
      <c r="GV14">
        <v>0.20582516959566768</v>
      </c>
      <c r="GW14">
        <v>0.41423300542973529</v>
      </c>
      <c r="GX14">
        <v>0.45841607663970546</v>
      </c>
      <c r="GY14">
        <v>0.42211028249280719</v>
      </c>
      <c r="GZ14">
        <v>0.35666758822259531</v>
      </c>
      <c r="HA14">
        <v>0.19055349022703869</v>
      </c>
      <c r="HB14">
        <v>1.8519989048809929E-2</v>
      </c>
      <c r="HC14">
        <v>0</v>
      </c>
      <c r="HD14">
        <v>0</v>
      </c>
      <c r="HE14">
        <v>0.12742714750959233</v>
      </c>
      <c r="HF14">
        <v>0.3472624595145149</v>
      </c>
      <c r="HG14">
        <v>0.46602353550040887</v>
      </c>
      <c r="HH14">
        <v>0.48598094580436713</v>
      </c>
      <c r="HI14">
        <v>0.45507849113021193</v>
      </c>
      <c r="HJ14">
        <v>0.39107732358737113</v>
      </c>
      <c r="HK14">
        <v>0.260836379563128</v>
      </c>
      <c r="HL14">
        <v>9.6559672488320439E-2</v>
      </c>
      <c r="HM14">
        <v>0</v>
      </c>
      <c r="HN14">
        <v>0</v>
      </c>
      <c r="HO14">
        <v>0.10469985528274932</v>
      </c>
      <c r="HP14">
        <v>0.3374859132429931</v>
      </c>
      <c r="HQ14">
        <v>0.48946922121089564</v>
      </c>
      <c r="HR14">
        <v>0.50957496869926799</v>
      </c>
      <c r="HS14">
        <v>0.4942744449373172</v>
      </c>
      <c r="HT14">
        <v>0.43684137075334883</v>
      </c>
      <c r="HU14">
        <v>0.29862229085276931</v>
      </c>
      <c r="HV14">
        <v>0.11130986062511265</v>
      </c>
      <c r="HW14">
        <v>0</v>
      </c>
      <c r="HX14">
        <v>0</v>
      </c>
      <c r="HY14">
        <v>2.1433712547583397E-3</v>
      </c>
      <c r="HZ14">
        <v>0.12137484063038272</v>
      </c>
      <c r="IA14">
        <v>0.26883846023515984</v>
      </c>
      <c r="IB14">
        <v>0.31585719247590277</v>
      </c>
      <c r="IC14">
        <v>0.31333512808862174</v>
      </c>
      <c r="ID14">
        <v>0.23964978944716667</v>
      </c>
      <c r="IE14">
        <v>8.5260698900421955E-2</v>
      </c>
      <c r="IF14">
        <v>8.3642482720712517E-4</v>
      </c>
      <c r="IG14">
        <v>0</v>
      </c>
      <c r="IH14">
        <v>0</v>
      </c>
      <c r="II14">
        <v>0</v>
      </c>
      <c r="IJ14">
        <v>1.4139673738209466E-3</v>
      </c>
      <c r="IK14">
        <v>6.9352537748164217E-2</v>
      </c>
      <c r="IL14">
        <v>0.12024231748213174</v>
      </c>
      <c r="IM14">
        <v>0.1246199014404813</v>
      </c>
      <c r="IN14">
        <v>6.2681028943082473E-2</v>
      </c>
      <c r="IO14">
        <v>0</v>
      </c>
      <c r="IP14">
        <v>0</v>
      </c>
      <c r="IQ14">
        <v>0</v>
      </c>
      <c r="IS14" t="s">
        <v>174</v>
      </c>
      <c r="IT14" t="s">
        <v>228</v>
      </c>
      <c r="IU14" t="s">
        <v>229</v>
      </c>
      <c r="IV14">
        <v>0.45274393125234169</v>
      </c>
    </row>
    <row r="15" spans="2:256" x14ac:dyDescent="0.25">
      <c r="B15" t="s">
        <v>175</v>
      </c>
      <c r="C15" t="s">
        <v>31</v>
      </c>
      <c r="D15">
        <v>0</v>
      </c>
      <c r="E15">
        <v>0</v>
      </c>
      <c r="F15">
        <v>0.85502444763760155</v>
      </c>
      <c r="G15">
        <v>0.37948647134067459</v>
      </c>
      <c r="H15">
        <v>0.24362088112124519</v>
      </c>
      <c r="I15">
        <v>0.21823460492186067</v>
      </c>
      <c r="J15">
        <v>0.34482166773649142</v>
      </c>
      <c r="K15">
        <v>0.79447163421831213</v>
      </c>
      <c r="L15">
        <v>0</v>
      </c>
      <c r="M15">
        <v>0</v>
      </c>
      <c r="N15">
        <v>0</v>
      </c>
      <c r="O15">
        <v>0.80944219481377166</v>
      </c>
      <c r="P15">
        <v>0.36765782758809296</v>
      </c>
      <c r="Q15">
        <v>0.22346681095772081</v>
      </c>
      <c r="R15">
        <v>0.16252554387720397</v>
      </c>
      <c r="S15">
        <v>0.15933470383820875</v>
      </c>
      <c r="T15">
        <v>0.2176915214173874</v>
      </c>
      <c r="U15">
        <v>0.34996563594502661</v>
      </c>
      <c r="V15">
        <v>0.83507111101748066</v>
      </c>
      <c r="W15">
        <v>0</v>
      </c>
      <c r="X15">
        <v>0</v>
      </c>
      <c r="Y15">
        <v>0.31701004921574621</v>
      </c>
      <c r="Z15">
        <v>0.22027914523798137</v>
      </c>
      <c r="AA15">
        <v>0.1626694508574299</v>
      </c>
      <c r="AB15">
        <v>0.14064615832235972</v>
      </c>
      <c r="AC15">
        <v>0.14454178484036234</v>
      </c>
      <c r="AD15">
        <v>0.17948003565437332</v>
      </c>
      <c r="AE15">
        <v>0.21444608500353751</v>
      </c>
      <c r="AF15">
        <v>0.36416766905529707</v>
      </c>
      <c r="AG15">
        <v>0</v>
      </c>
      <c r="AH15">
        <v>0</v>
      </c>
      <c r="AI15">
        <v>0.3583280208759077</v>
      </c>
      <c r="AJ15">
        <v>0.18677968713704995</v>
      </c>
      <c r="AK15">
        <v>0.13826546317723692</v>
      </c>
      <c r="AL15">
        <v>0.10476608660967336</v>
      </c>
      <c r="AM15">
        <v>0.10150493264469307</v>
      </c>
      <c r="AN15">
        <v>0.12687768664827806</v>
      </c>
      <c r="AO15">
        <v>0.18383438921941633</v>
      </c>
      <c r="AP15">
        <v>0.37305058022506898</v>
      </c>
      <c r="AQ15">
        <v>0</v>
      </c>
      <c r="AR15">
        <v>0</v>
      </c>
      <c r="AS15">
        <v>0.92111092886492985</v>
      </c>
      <c r="AT15">
        <v>0.41502011623226243</v>
      </c>
      <c r="AU15">
        <v>0.27172885026954557</v>
      </c>
      <c r="AV15">
        <v>0.1992887344379134</v>
      </c>
      <c r="AW15">
        <v>0.18905489797301941</v>
      </c>
      <c r="AX15">
        <v>0.25984855157690528</v>
      </c>
      <c r="AY15">
        <v>0.53507293479250195</v>
      </c>
      <c r="AZ15">
        <v>0.98360655737704961</v>
      </c>
      <c r="BA15">
        <v>0</v>
      </c>
      <c r="BB15">
        <v>0</v>
      </c>
      <c r="BC15">
        <v>0</v>
      </c>
      <c r="BD15">
        <v>0.90378031164543482</v>
      </c>
      <c r="BE15">
        <v>0.41331153885237193</v>
      </c>
      <c r="BF15">
        <v>0.27717210415908744</v>
      </c>
      <c r="BG15">
        <v>0.32332648560842669</v>
      </c>
      <c r="BH15">
        <v>0.52075947550851709</v>
      </c>
      <c r="BI15">
        <v>0</v>
      </c>
      <c r="BJ15">
        <v>0</v>
      </c>
      <c r="BK15">
        <v>0</v>
      </c>
      <c r="GI15" t="s">
        <v>175</v>
      </c>
      <c r="GJ15">
        <v>0</v>
      </c>
      <c r="GK15">
        <v>0</v>
      </c>
      <c r="GL15">
        <v>4.4039462142190008E-3</v>
      </c>
      <c r="GM15">
        <v>8.6289009944742714E-2</v>
      </c>
      <c r="GN15">
        <v>0.15597415748399035</v>
      </c>
      <c r="GO15">
        <v>0.15099510957430765</v>
      </c>
      <c r="GP15">
        <v>8.6884597674986241E-2</v>
      </c>
      <c r="GQ15">
        <v>9.5967940769877708E-3</v>
      </c>
      <c r="GR15">
        <v>0</v>
      </c>
      <c r="GS15">
        <v>0</v>
      </c>
      <c r="GT15">
        <v>0</v>
      </c>
      <c r="GU15">
        <v>2.4483764309097374E-2</v>
      </c>
      <c r="GV15">
        <v>0.2184320404440564</v>
      </c>
      <c r="GW15">
        <v>0.42217160654669</v>
      </c>
      <c r="GX15">
        <v>0.46623915622437195</v>
      </c>
      <c r="GY15">
        <v>0.44312752316066317</v>
      </c>
      <c r="GZ15">
        <v>0.36598556643109392</v>
      </c>
      <c r="HA15">
        <v>0.19334575682871008</v>
      </c>
      <c r="HB15">
        <v>1.6075245270089977E-2</v>
      </c>
      <c r="HC15">
        <v>0</v>
      </c>
      <c r="HD15">
        <v>0</v>
      </c>
      <c r="HE15">
        <v>0.14047944450750016</v>
      </c>
      <c r="HF15">
        <v>0.34935883555466113</v>
      </c>
      <c r="HG15">
        <v>0.47706718974786699</v>
      </c>
      <c r="HH15">
        <v>0.48702693876816583</v>
      </c>
      <c r="HI15">
        <v>0.45207027081575041</v>
      </c>
      <c r="HJ15">
        <v>0.37973234892615365</v>
      </c>
      <c r="HK15">
        <v>0.25243656973175388</v>
      </c>
      <c r="HL15">
        <v>9.3026346118489936E-2</v>
      </c>
      <c r="HM15">
        <v>0</v>
      </c>
      <c r="HN15">
        <v>0</v>
      </c>
      <c r="HO15">
        <v>0.12162425043722479</v>
      </c>
      <c r="HP15">
        <v>0.35355709609607011</v>
      </c>
      <c r="HQ15">
        <v>0.49028270046449379</v>
      </c>
      <c r="HR15">
        <v>0.50694804553313044</v>
      </c>
      <c r="HS15">
        <v>0.48578099842666805</v>
      </c>
      <c r="HT15">
        <v>0.44142019886924361</v>
      </c>
      <c r="HU15">
        <v>0.29865097910585348</v>
      </c>
      <c r="HV15">
        <v>0.10677590702567061</v>
      </c>
      <c r="HW15">
        <v>0</v>
      </c>
      <c r="HX15">
        <v>0</v>
      </c>
      <c r="HY15">
        <v>9.1867505460343207E-3</v>
      </c>
      <c r="HZ15">
        <v>0.14966672343726395</v>
      </c>
      <c r="IA15">
        <v>0.29997486693268988</v>
      </c>
      <c r="IB15">
        <v>0.32224863974094614</v>
      </c>
      <c r="IC15">
        <v>0.32109518338930193</v>
      </c>
      <c r="ID15">
        <v>0.23711662552186197</v>
      </c>
      <c r="IE15">
        <v>7.4818525620697948E-2</v>
      </c>
      <c r="IF15">
        <v>5.4494346418645879E-4</v>
      </c>
      <c r="IG15">
        <v>0</v>
      </c>
      <c r="IH15">
        <v>0</v>
      </c>
      <c r="II15">
        <v>0</v>
      </c>
      <c r="IJ15">
        <v>4.180105500581302E-3</v>
      </c>
      <c r="IK15">
        <v>8.2438322484438067E-2</v>
      </c>
      <c r="IL15">
        <v>0.12027861983696399</v>
      </c>
      <c r="IM15">
        <v>0.11342877704211263</v>
      </c>
      <c r="IN15">
        <v>4.0488578746219826E-2</v>
      </c>
      <c r="IO15">
        <v>0</v>
      </c>
      <c r="IP15">
        <v>0</v>
      </c>
      <c r="IQ15">
        <v>0</v>
      </c>
      <c r="IS15" t="s">
        <v>175</v>
      </c>
      <c r="IT15" t="s">
        <v>228</v>
      </c>
      <c r="IU15" t="s">
        <v>229</v>
      </c>
      <c r="IV15">
        <v>0.4530372332227694</v>
      </c>
    </row>
    <row r="16" spans="2:256" x14ac:dyDescent="0.25">
      <c r="B16" t="s">
        <v>176</v>
      </c>
      <c r="C16" t="s">
        <v>31</v>
      </c>
      <c r="D16">
        <v>0</v>
      </c>
      <c r="E16">
        <v>0</v>
      </c>
      <c r="F16">
        <v>0.80258339655438227</v>
      </c>
      <c r="G16">
        <v>0.29900800773642744</v>
      </c>
      <c r="H16">
        <v>0.20525809327483982</v>
      </c>
      <c r="I16">
        <v>0.22150016500022615</v>
      </c>
      <c r="J16">
        <v>0.39215232060274735</v>
      </c>
      <c r="K16">
        <v>0.87933865139742307</v>
      </c>
      <c r="L16">
        <v>0</v>
      </c>
      <c r="M16">
        <v>0</v>
      </c>
      <c r="N16">
        <v>0</v>
      </c>
      <c r="O16">
        <v>0.73190983326534553</v>
      </c>
      <c r="P16">
        <v>0.29221431046045537</v>
      </c>
      <c r="Q16">
        <v>0.18036435651177887</v>
      </c>
      <c r="R16">
        <v>0.13163656291573195</v>
      </c>
      <c r="S16">
        <v>0.15755897550225254</v>
      </c>
      <c r="T16">
        <v>0.23083129814568043</v>
      </c>
      <c r="U16">
        <v>0.38158426073589619</v>
      </c>
      <c r="V16">
        <v>0.89359208577306382</v>
      </c>
      <c r="W16">
        <v>0</v>
      </c>
      <c r="X16">
        <v>0.89126255879438765</v>
      </c>
      <c r="Y16">
        <v>0.30468788665736368</v>
      </c>
      <c r="Z16">
        <v>0.20842319700394554</v>
      </c>
      <c r="AA16">
        <v>0.15131773434413631</v>
      </c>
      <c r="AB16">
        <v>0.11361240479099183</v>
      </c>
      <c r="AC16">
        <v>0.11221451930046386</v>
      </c>
      <c r="AD16">
        <v>0.15012701954779339</v>
      </c>
      <c r="AE16">
        <v>0.21926191039684534</v>
      </c>
      <c r="AF16">
        <v>0.39997297913075203</v>
      </c>
      <c r="AG16">
        <v>0</v>
      </c>
      <c r="AH16">
        <v>0.97096774193548385</v>
      </c>
      <c r="AI16">
        <v>0.32016813545915485</v>
      </c>
      <c r="AJ16">
        <v>0.16993917146966678</v>
      </c>
      <c r="AK16">
        <v>0.15113656641844672</v>
      </c>
      <c r="AL16">
        <v>0.12448854446320459</v>
      </c>
      <c r="AM16">
        <v>0.12414330625089315</v>
      </c>
      <c r="AN16">
        <v>0.13394447462571954</v>
      </c>
      <c r="AO16">
        <v>0.19022853029711884</v>
      </c>
      <c r="AP16">
        <v>0.44931406520214556</v>
      </c>
      <c r="AQ16">
        <v>0</v>
      </c>
      <c r="AR16">
        <v>0</v>
      </c>
      <c r="AS16">
        <v>0.88141407028041385</v>
      </c>
      <c r="AT16">
        <v>0.39092173875272124</v>
      </c>
      <c r="AU16">
        <v>0.27454920395250859</v>
      </c>
      <c r="AV16">
        <v>0.20055739224099067</v>
      </c>
      <c r="AW16">
        <v>0.22588315742851314</v>
      </c>
      <c r="AX16">
        <v>0.30809751003656993</v>
      </c>
      <c r="AY16">
        <v>0.62486881681962692</v>
      </c>
      <c r="AZ16">
        <v>0</v>
      </c>
      <c r="BA16">
        <v>0</v>
      </c>
      <c r="BB16">
        <v>0</v>
      </c>
      <c r="BC16">
        <v>0</v>
      </c>
      <c r="BD16">
        <v>0.88460560396160259</v>
      </c>
      <c r="BE16">
        <v>0.43011435712109913</v>
      </c>
      <c r="BF16">
        <v>0.28887200685411635</v>
      </c>
      <c r="BG16">
        <v>0.33387191878152384</v>
      </c>
      <c r="BH16">
        <v>0.62820083018010253</v>
      </c>
      <c r="BI16">
        <v>0</v>
      </c>
      <c r="BJ16">
        <v>0</v>
      </c>
      <c r="BK16">
        <v>0</v>
      </c>
      <c r="GI16" t="s">
        <v>176</v>
      </c>
      <c r="GJ16">
        <v>0</v>
      </c>
      <c r="GK16">
        <v>0</v>
      </c>
      <c r="GL16">
        <v>1.0986734763618201E-2</v>
      </c>
      <c r="GM16">
        <v>0.10379812404519644</v>
      </c>
      <c r="GN16">
        <v>0.17508763348669776</v>
      </c>
      <c r="GO16">
        <v>0.15875051716941652</v>
      </c>
      <c r="GP16">
        <v>7.6353975353671832E-2</v>
      </c>
      <c r="GQ16">
        <v>6.577122325485363E-3</v>
      </c>
      <c r="GR16">
        <v>0</v>
      </c>
      <c r="GS16">
        <v>0</v>
      </c>
      <c r="GT16">
        <v>0</v>
      </c>
      <c r="GU16">
        <v>4.1576447654257769E-2</v>
      </c>
      <c r="GV16">
        <v>0.292972841187504</v>
      </c>
      <c r="GW16">
        <v>0.47893462470095416</v>
      </c>
      <c r="GX16">
        <v>0.47520488180791964</v>
      </c>
      <c r="GY16">
        <v>0.46295508537441721</v>
      </c>
      <c r="GZ16">
        <v>0.38435607511316827</v>
      </c>
      <c r="HA16">
        <v>0.18442292246185332</v>
      </c>
      <c r="HB16">
        <v>1.0821306471133949E-2</v>
      </c>
      <c r="HC16">
        <v>0</v>
      </c>
      <c r="HD16">
        <v>4.1306583315338591E-3</v>
      </c>
      <c r="HE16">
        <v>0.17448508079543446</v>
      </c>
      <c r="HF16">
        <v>0.38316205152423605</v>
      </c>
      <c r="HG16">
        <v>0.49816914660541534</v>
      </c>
      <c r="HH16">
        <v>0.50298444063466119</v>
      </c>
      <c r="HI16">
        <v>0.48943429638902625</v>
      </c>
      <c r="HJ16">
        <v>0.41198747703462091</v>
      </c>
      <c r="HK16">
        <v>0.26482849606147529</v>
      </c>
      <c r="HL16">
        <v>8.0891862630830966E-2</v>
      </c>
      <c r="HM16">
        <v>0</v>
      </c>
      <c r="HN16">
        <v>9.2309662914276164E-4</v>
      </c>
      <c r="HO16">
        <v>0.14754974663748954</v>
      </c>
      <c r="HP16">
        <v>0.36905409613590429</v>
      </c>
      <c r="HQ16">
        <v>0.473377439058764</v>
      </c>
      <c r="HR16">
        <v>0.47453986078337212</v>
      </c>
      <c r="HS16">
        <v>0.46669686081762601</v>
      </c>
      <c r="HT16">
        <v>0.41749235263403695</v>
      </c>
      <c r="HU16">
        <v>0.28243458118055664</v>
      </c>
      <c r="HV16">
        <v>8.2086429101108319E-2</v>
      </c>
      <c r="HW16">
        <v>0</v>
      </c>
      <c r="HX16">
        <v>0</v>
      </c>
      <c r="HY16">
        <v>1.2601190217262906E-2</v>
      </c>
      <c r="HZ16">
        <v>0.14955300752983944</v>
      </c>
      <c r="IA16">
        <v>0.27766719337588069</v>
      </c>
      <c r="IB16">
        <v>0.29125115923848383</v>
      </c>
      <c r="IC16">
        <v>0.29773162256632968</v>
      </c>
      <c r="ID16">
        <v>0.21210871039605556</v>
      </c>
      <c r="IE16">
        <v>6.6116525875092813E-2</v>
      </c>
      <c r="IF16">
        <v>0</v>
      </c>
      <c r="IG16">
        <v>0</v>
      </c>
      <c r="IH16">
        <v>0</v>
      </c>
      <c r="II16">
        <v>0</v>
      </c>
      <c r="IJ16">
        <v>6.0102285601102354E-3</v>
      </c>
      <c r="IK16">
        <v>8.0657288331906718E-2</v>
      </c>
      <c r="IL16">
        <v>0.11194046508970683</v>
      </c>
      <c r="IM16">
        <v>0.10231267010257751</v>
      </c>
      <c r="IN16">
        <v>2.7317916193107836E-2</v>
      </c>
      <c r="IO16">
        <v>0</v>
      </c>
      <c r="IP16">
        <v>0</v>
      </c>
      <c r="IQ16">
        <v>0</v>
      </c>
      <c r="IS16" t="s">
        <v>176</v>
      </c>
      <c r="IT16" t="s">
        <v>228</v>
      </c>
      <c r="IU16" t="s">
        <v>229</v>
      </c>
      <c r="IV16">
        <v>0.44250137417724295</v>
      </c>
    </row>
    <row r="17" spans="2:256" x14ac:dyDescent="0.25">
      <c r="B17" t="s">
        <v>177</v>
      </c>
      <c r="C17" t="s">
        <v>31</v>
      </c>
      <c r="D17">
        <v>0</v>
      </c>
      <c r="E17">
        <v>0</v>
      </c>
      <c r="F17">
        <v>0.86116064690725258</v>
      </c>
      <c r="G17">
        <v>0.35363043748171363</v>
      </c>
      <c r="H17">
        <v>0.25620914100751252</v>
      </c>
      <c r="I17">
        <v>0.22243557823010579</v>
      </c>
      <c r="J17">
        <v>0.34581296072956186</v>
      </c>
      <c r="K17">
        <v>0.82252264287664778</v>
      </c>
      <c r="L17">
        <v>0</v>
      </c>
      <c r="M17">
        <v>0</v>
      </c>
      <c r="N17">
        <v>0</v>
      </c>
      <c r="O17">
        <v>0.79470887317525385</v>
      </c>
      <c r="P17">
        <v>0.30574457626420604</v>
      </c>
      <c r="Q17">
        <v>0.15784573846441491</v>
      </c>
      <c r="R17">
        <v>0.1272002782177212</v>
      </c>
      <c r="S17">
        <v>0.14439511600474997</v>
      </c>
      <c r="T17">
        <v>0.19962925997550826</v>
      </c>
      <c r="U17">
        <v>0.31097934724088444</v>
      </c>
      <c r="V17">
        <v>0.81744385470849801</v>
      </c>
      <c r="W17">
        <v>0</v>
      </c>
      <c r="X17">
        <v>0.96721311475409821</v>
      </c>
      <c r="Y17">
        <v>0.30812919798206562</v>
      </c>
      <c r="Z17">
        <v>0.20799508907890737</v>
      </c>
      <c r="AA17">
        <v>0.1596737208357476</v>
      </c>
      <c r="AB17">
        <v>0.11127323591382962</v>
      </c>
      <c r="AC17">
        <v>0.1170680047011812</v>
      </c>
      <c r="AD17">
        <v>0.15638467318256949</v>
      </c>
      <c r="AE17">
        <v>0.2076903125325823</v>
      </c>
      <c r="AF17">
        <v>0.33509336795438083</v>
      </c>
      <c r="AG17">
        <v>0</v>
      </c>
      <c r="AH17">
        <v>0</v>
      </c>
      <c r="AI17">
        <v>0.35769258692465195</v>
      </c>
      <c r="AJ17">
        <v>0.18757551693057031</v>
      </c>
      <c r="AK17">
        <v>0.14342000859144072</v>
      </c>
      <c r="AL17">
        <v>0.10847026663284154</v>
      </c>
      <c r="AM17">
        <v>9.4012091036044354E-2</v>
      </c>
      <c r="AN17">
        <v>0.11764095309229267</v>
      </c>
      <c r="AO17">
        <v>0.17553194180727225</v>
      </c>
      <c r="AP17">
        <v>0.36078527034059515</v>
      </c>
      <c r="AQ17">
        <v>0</v>
      </c>
      <c r="AR17">
        <v>0</v>
      </c>
      <c r="AS17">
        <v>0.92509615460616201</v>
      </c>
      <c r="AT17">
        <v>0.4076102513980806</v>
      </c>
      <c r="AU17">
        <v>0.23209162668406508</v>
      </c>
      <c r="AV17">
        <v>0.19335304964159303</v>
      </c>
      <c r="AW17">
        <v>0.20159278792376084</v>
      </c>
      <c r="AX17">
        <v>0.27660225605767919</v>
      </c>
      <c r="AY17">
        <v>0.54434299041759415</v>
      </c>
      <c r="AZ17">
        <v>0.97540983606557363</v>
      </c>
      <c r="BA17">
        <v>0</v>
      </c>
      <c r="BB17">
        <v>0</v>
      </c>
      <c r="BC17">
        <v>0</v>
      </c>
      <c r="BD17">
        <v>0.91965076752801334</v>
      </c>
      <c r="BE17">
        <v>0.44534038612481219</v>
      </c>
      <c r="BF17">
        <v>0.3058779943411512</v>
      </c>
      <c r="BG17">
        <v>0.35445297997030006</v>
      </c>
      <c r="BH17">
        <v>0.5820523856902563</v>
      </c>
      <c r="BI17">
        <v>0</v>
      </c>
      <c r="BJ17">
        <v>0</v>
      </c>
      <c r="BK17">
        <v>0</v>
      </c>
      <c r="GI17" t="s">
        <v>177</v>
      </c>
      <c r="GJ17">
        <v>0</v>
      </c>
      <c r="GK17">
        <v>0</v>
      </c>
      <c r="GL17">
        <v>5.610595264574034E-3</v>
      </c>
      <c r="GM17">
        <v>8.7875908638767472E-2</v>
      </c>
      <c r="GN17">
        <v>0.17168660207374109</v>
      </c>
      <c r="GO17">
        <v>0.1645855948150462</v>
      </c>
      <c r="GP17">
        <v>9.7552974703131609E-2</v>
      </c>
      <c r="GQ17">
        <v>1.2292464820873168E-2</v>
      </c>
      <c r="GR17">
        <v>0</v>
      </c>
      <c r="GS17">
        <v>0</v>
      </c>
      <c r="GT17">
        <v>0</v>
      </c>
      <c r="GU17">
        <v>2.8609513018829739E-2</v>
      </c>
      <c r="GV17">
        <v>0.24998086818165785</v>
      </c>
      <c r="GW17">
        <v>0.48046419344645119</v>
      </c>
      <c r="GX17">
        <v>0.49471061079388112</v>
      </c>
      <c r="GY17">
        <v>0.46841731121826985</v>
      </c>
      <c r="GZ17">
        <v>0.42065191101731875</v>
      </c>
      <c r="HA17">
        <v>0.23034340637400624</v>
      </c>
      <c r="HB17">
        <v>2.0573665646556459E-2</v>
      </c>
      <c r="HC17">
        <v>0</v>
      </c>
      <c r="HD17">
        <v>7.9820836456094538E-6</v>
      </c>
      <c r="HE17">
        <v>0.16237020235357669</v>
      </c>
      <c r="HF17">
        <v>0.37802772720275013</v>
      </c>
      <c r="HG17">
        <v>0.49275258822535445</v>
      </c>
      <c r="HH17">
        <v>0.52082403206947847</v>
      </c>
      <c r="HI17">
        <v>0.49777783482385302</v>
      </c>
      <c r="HJ17">
        <v>0.43544663437575654</v>
      </c>
      <c r="HK17">
        <v>0.31167972244253761</v>
      </c>
      <c r="HL17">
        <v>0.11813816791016393</v>
      </c>
      <c r="HM17">
        <v>0</v>
      </c>
      <c r="HN17">
        <v>0</v>
      </c>
      <c r="HO17">
        <v>0.1163252335729565</v>
      </c>
      <c r="HP17">
        <v>0.32134821964712951</v>
      </c>
      <c r="HQ17">
        <v>0.45674580391365793</v>
      </c>
      <c r="HR17">
        <v>0.47955795039273036</v>
      </c>
      <c r="HS17">
        <v>0.47670079051602765</v>
      </c>
      <c r="HT17">
        <v>0.45452929430269667</v>
      </c>
      <c r="HU17">
        <v>0.33165107705751462</v>
      </c>
      <c r="HV17">
        <v>0.11716233474607138</v>
      </c>
      <c r="HW17">
        <v>0</v>
      </c>
      <c r="HX17">
        <v>0</v>
      </c>
      <c r="HY17">
        <v>1.0661619892000308E-2</v>
      </c>
      <c r="HZ17">
        <v>0.1546660130714172</v>
      </c>
      <c r="IA17">
        <v>0.30983149563573148</v>
      </c>
      <c r="IB17">
        <v>0.31204875279400929</v>
      </c>
      <c r="IC17">
        <v>0.31053298026566117</v>
      </c>
      <c r="ID17">
        <v>0.24832562693471205</v>
      </c>
      <c r="IE17">
        <v>9.1392409027241883E-2</v>
      </c>
      <c r="IF17">
        <v>5.2908896459731667E-4</v>
      </c>
      <c r="IG17">
        <v>0</v>
      </c>
      <c r="IH17">
        <v>0</v>
      </c>
      <c r="II17">
        <v>0</v>
      </c>
      <c r="IJ17">
        <v>2.3220383530025744E-3</v>
      </c>
      <c r="IK17">
        <v>6.2260892097716604E-2</v>
      </c>
      <c r="IL17">
        <v>0.10359146711354116</v>
      </c>
      <c r="IM17">
        <v>0.10558715333017075</v>
      </c>
      <c r="IN17">
        <v>3.9457078542185754E-2</v>
      </c>
      <c r="IO17">
        <v>0</v>
      </c>
      <c r="IP17">
        <v>0</v>
      </c>
      <c r="IQ17">
        <v>0</v>
      </c>
      <c r="IS17" t="s">
        <v>177</v>
      </c>
      <c r="IT17" t="s">
        <v>228</v>
      </c>
      <c r="IU17" t="s">
        <v>229</v>
      </c>
      <c r="IV17">
        <v>0.44717163751703071</v>
      </c>
    </row>
    <row r="18" spans="2:256" x14ac:dyDescent="0.25">
      <c r="B18" t="s">
        <v>178</v>
      </c>
      <c r="C18" t="s">
        <v>31</v>
      </c>
      <c r="D18">
        <v>0</v>
      </c>
      <c r="E18">
        <v>0</v>
      </c>
      <c r="F18">
        <v>0.83406605618746299</v>
      </c>
      <c r="G18">
        <v>0.33401557497936085</v>
      </c>
      <c r="H18">
        <v>0.22497305895150799</v>
      </c>
      <c r="I18">
        <v>0.21741749587362103</v>
      </c>
      <c r="J18">
        <v>0.3635445841599827</v>
      </c>
      <c r="K18">
        <v>0.84279327784567004</v>
      </c>
      <c r="L18">
        <v>0</v>
      </c>
      <c r="M18">
        <v>0</v>
      </c>
      <c r="N18">
        <v>0</v>
      </c>
      <c r="O18">
        <v>0.76761820371017275</v>
      </c>
      <c r="P18">
        <v>0.29878870859283491</v>
      </c>
      <c r="Q18">
        <v>0.16452556422339842</v>
      </c>
      <c r="R18">
        <v>0.11837593616820513</v>
      </c>
      <c r="S18">
        <v>0.13203318347989607</v>
      </c>
      <c r="T18">
        <v>0.20188960420917818</v>
      </c>
      <c r="U18">
        <v>0.34984496401866605</v>
      </c>
      <c r="V18">
        <v>0.86297660810979171</v>
      </c>
      <c r="W18">
        <v>0</v>
      </c>
      <c r="X18">
        <v>0.91929899017719652</v>
      </c>
      <c r="Y18">
        <v>0.30730176523110736</v>
      </c>
      <c r="Z18">
        <v>0.20666730939207692</v>
      </c>
      <c r="AA18">
        <v>0.14960432750280034</v>
      </c>
      <c r="AB18">
        <v>0.10904769858700127</v>
      </c>
      <c r="AC18">
        <v>0.11709374468036282</v>
      </c>
      <c r="AD18">
        <v>0.15650601812022108</v>
      </c>
      <c r="AE18">
        <v>0.20884586806187372</v>
      </c>
      <c r="AF18">
        <v>0.38541693199024907</v>
      </c>
      <c r="AG18">
        <v>0</v>
      </c>
      <c r="AH18">
        <v>0.99354838709677418</v>
      </c>
      <c r="AI18">
        <v>0.34525581749967682</v>
      </c>
      <c r="AJ18">
        <v>0.18287205634051096</v>
      </c>
      <c r="AK18">
        <v>0.14634342039201642</v>
      </c>
      <c r="AL18">
        <v>0.12489660327675128</v>
      </c>
      <c r="AM18">
        <v>0.11938824653872725</v>
      </c>
      <c r="AN18">
        <v>0.13536561915993903</v>
      </c>
      <c r="AO18">
        <v>0.20326485343820602</v>
      </c>
      <c r="AP18">
        <v>0.41963140187009168</v>
      </c>
      <c r="AQ18">
        <v>0</v>
      </c>
      <c r="AR18">
        <v>0</v>
      </c>
      <c r="AS18">
        <v>0.89408158762062173</v>
      </c>
      <c r="AT18">
        <v>0.37750503837591742</v>
      </c>
      <c r="AU18">
        <v>0.25011963704817314</v>
      </c>
      <c r="AV18">
        <v>0.18730088975967191</v>
      </c>
      <c r="AW18">
        <v>0.20751419364417964</v>
      </c>
      <c r="AX18">
        <v>0.2864033868038518</v>
      </c>
      <c r="AY18">
        <v>0.58358903847315391</v>
      </c>
      <c r="AZ18">
        <v>0</v>
      </c>
      <c r="BA18">
        <v>0</v>
      </c>
      <c r="BB18">
        <v>0</v>
      </c>
      <c r="BC18">
        <v>0</v>
      </c>
      <c r="BD18">
        <v>0.89979884949222555</v>
      </c>
      <c r="BE18">
        <v>0.39220618578161726</v>
      </c>
      <c r="BF18">
        <v>0.28372797918374637</v>
      </c>
      <c r="BG18">
        <v>0.35396264746934342</v>
      </c>
      <c r="BH18">
        <v>0.60849697689916837</v>
      </c>
      <c r="BI18">
        <v>0</v>
      </c>
      <c r="BJ18">
        <v>0</v>
      </c>
      <c r="BK18">
        <v>0</v>
      </c>
      <c r="GI18" t="s">
        <v>178</v>
      </c>
      <c r="GJ18">
        <v>0</v>
      </c>
      <c r="GK18">
        <v>0</v>
      </c>
      <c r="GL18">
        <v>8.3947423215227166E-3</v>
      </c>
      <c r="GM18">
        <v>0.10083078851177374</v>
      </c>
      <c r="GN18">
        <v>0.18284965545910981</v>
      </c>
      <c r="GO18">
        <v>0.17178157986261941</v>
      </c>
      <c r="GP18">
        <v>9.0397205316613938E-2</v>
      </c>
      <c r="GQ18">
        <v>8.2022755759162628E-3</v>
      </c>
      <c r="GR18">
        <v>0</v>
      </c>
      <c r="GS18">
        <v>0</v>
      </c>
      <c r="GT18">
        <v>0</v>
      </c>
      <c r="GU18">
        <v>3.4141500309490869E-2</v>
      </c>
      <c r="GV18">
        <v>0.27211230133556247</v>
      </c>
      <c r="GW18">
        <v>0.49693355791596733</v>
      </c>
      <c r="GX18">
        <v>0.51557260127755844</v>
      </c>
      <c r="GY18">
        <v>0.49915154232011771</v>
      </c>
      <c r="GZ18">
        <v>0.42653767621370781</v>
      </c>
      <c r="HA18">
        <v>0.21296209195919977</v>
      </c>
      <c r="HB18">
        <v>1.5731687609432769E-2</v>
      </c>
      <c r="HC18">
        <v>0</v>
      </c>
      <c r="HD18">
        <v>1.5732648887957443E-3</v>
      </c>
      <c r="HE18">
        <v>0.16536654620871344</v>
      </c>
      <c r="HF18">
        <v>0.38089709432532837</v>
      </c>
      <c r="HG18">
        <v>0.50313725575954427</v>
      </c>
      <c r="HH18">
        <v>0.51589539327803013</v>
      </c>
      <c r="HI18">
        <v>0.4853956389476114</v>
      </c>
      <c r="HJ18">
        <v>0.40350648922899746</v>
      </c>
      <c r="HK18">
        <v>0.26683780645388905</v>
      </c>
      <c r="HL18">
        <v>9.1977571592017041E-2</v>
      </c>
      <c r="HM18">
        <v>0</v>
      </c>
      <c r="HN18">
        <v>9.7719282617354799E-6</v>
      </c>
      <c r="HO18">
        <v>0.13074144517640396</v>
      </c>
      <c r="HP18">
        <v>0.34616263106632045</v>
      </c>
      <c r="HQ18">
        <v>0.46357031207101473</v>
      </c>
      <c r="HR18">
        <v>0.47348947038812317</v>
      </c>
      <c r="HS18">
        <v>0.45618282845107949</v>
      </c>
      <c r="HT18">
        <v>0.41934810368281827</v>
      </c>
      <c r="HU18">
        <v>0.28154958240594885</v>
      </c>
      <c r="HV18">
        <v>8.8973085895689988E-2</v>
      </c>
      <c r="HW18">
        <v>0</v>
      </c>
      <c r="HX18">
        <v>0</v>
      </c>
      <c r="HY18">
        <v>1.1507385325616824E-2</v>
      </c>
      <c r="HZ18">
        <v>0.15917844004581377</v>
      </c>
      <c r="IA18">
        <v>0.2994756972194515</v>
      </c>
      <c r="IB18">
        <v>0.31178516793599365</v>
      </c>
      <c r="IC18">
        <v>0.31240678093124657</v>
      </c>
      <c r="ID18">
        <v>0.23208428776143661</v>
      </c>
      <c r="IE18">
        <v>7.650372763877232E-2</v>
      </c>
      <c r="IF18">
        <v>0</v>
      </c>
      <c r="IG18">
        <v>0</v>
      </c>
      <c r="IH18">
        <v>0</v>
      </c>
      <c r="II18">
        <v>0</v>
      </c>
      <c r="IJ18">
        <v>6.9301443457875931E-3</v>
      </c>
      <c r="IK18">
        <v>8.8277469486282248E-2</v>
      </c>
      <c r="IL18">
        <v>0.11933807212947203</v>
      </c>
      <c r="IM18">
        <v>0.10274623156708432</v>
      </c>
      <c r="IN18">
        <v>2.9578443038352418E-2</v>
      </c>
      <c r="IO18">
        <v>0</v>
      </c>
      <c r="IP18">
        <v>0</v>
      </c>
      <c r="IQ18">
        <v>0</v>
      </c>
      <c r="IS18" t="s">
        <v>178</v>
      </c>
      <c r="IT18" t="s">
        <v>228</v>
      </c>
      <c r="IU18" t="s">
        <v>229</v>
      </c>
      <c r="IV18">
        <v>0.44622795493405554</v>
      </c>
    </row>
    <row r="19" spans="2:256" x14ac:dyDescent="0.25">
      <c r="B19" t="s">
        <v>179</v>
      </c>
      <c r="C19" t="s">
        <v>31</v>
      </c>
      <c r="D19">
        <v>0</v>
      </c>
      <c r="E19">
        <v>0</v>
      </c>
      <c r="F19">
        <v>0.75000097645684349</v>
      </c>
      <c r="G19">
        <v>0.31438913364835763</v>
      </c>
      <c r="H19">
        <v>0.20664311644608116</v>
      </c>
      <c r="I19">
        <v>0.2400009225557288</v>
      </c>
      <c r="J19">
        <v>0.4384985036433991</v>
      </c>
      <c r="K19">
        <v>0.89380309308712969</v>
      </c>
      <c r="L19">
        <v>0</v>
      </c>
      <c r="M19">
        <v>0</v>
      </c>
      <c r="N19">
        <v>0</v>
      </c>
      <c r="O19">
        <v>0.68442910234115895</v>
      </c>
      <c r="P19">
        <v>0.34759918844185272</v>
      </c>
      <c r="Q19">
        <v>0.23743858970129106</v>
      </c>
      <c r="R19">
        <v>0.17011304625271662</v>
      </c>
      <c r="S19">
        <v>0.20187364644103351</v>
      </c>
      <c r="T19">
        <v>0.29359956466423504</v>
      </c>
      <c r="U19">
        <v>0.45273475075330027</v>
      </c>
      <c r="V19">
        <v>0.9412369742725315</v>
      </c>
      <c r="W19">
        <v>0</v>
      </c>
      <c r="X19">
        <v>0.89327411893647246</v>
      </c>
      <c r="Y19">
        <v>0.26210762717107772</v>
      </c>
      <c r="Z19">
        <v>0.19319372079156599</v>
      </c>
      <c r="AA19">
        <v>0.16314045690191983</v>
      </c>
      <c r="AB19">
        <v>0.12118305039593257</v>
      </c>
      <c r="AC19">
        <v>0.13305155943302888</v>
      </c>
      <c r="AD19">
        <v>0.1701412062902542</v>
      </c>
      <c r="AE19">
        <v>0.22415135352693177</v>
      </c>
      <c r="AF19">
        <v>0.45556903172514568</v>
      </c>
      <c r="AG19">
        <v>0</v>
      </c>
      <c r="AH19">
        <v>0.96312123577092246</v>
      </c>
      <c r="AI19">
        <v>0.27299509172638647</v>
      </c>
      <c r="AJ19">
        <v>0.15506400999601858</v>
      </c>
      <c r="AK19">
        <v>0.13890518980386454</v>
      </c>
      <c r="AL19">
        <v>0.11107977820477971</v>
      </c>
      <c r="AM19">
        <v>0.13204255369005388</v>
      </c>
      <c r="AN19">
        <v>0.14986069637541086</v>
      </c>
      <c r="AO19">
        <v>0.18107693755642676</v>
      </c>
      <c r="AP19">
        <v>0.52267663732605041</v>
      </c>
      <c r="AQ19">
        <v>0</v>
      </c>
      <c r="AR19">
        <v>0</v>
      </c>
      <c r="AS19">
        <v>0.8508153800649404</v>
      </c>
      <c r="AT19">
        <v>0.36180934112184715</v>
      </c>
      <c r="AU19">
        <v>0.27138083706006816</v>
      </c>
      <c r="AV19">
        <v>0.21572205875405898</v>
      </c>
      <c r="AW19">
        <v>0.25008786150578149</v>
      </c>
      <c r="AX19">
        <v>0.33568123282676809</v>
      </c>
      <c r="AY19">
        <v>0.66073727814640359</v>
      </c>
      <c r="AZ19">
        <v>0</v>
      </c>
      <c r="BA19">
        <v>0</v>
      </c>
      <c r="BB19">
        <v>0</v>
      </c>
      <c r="BC19">
        <v>0</v>
      </c>
      <c r="BD19">
        <v>0.82048980205544608</v>
      </c>
      <c r="BE19">
        <v>0.3672195058686189</v>
      </c>
      <c r="BF19">
        <v>0.23751159171806044</v>
      </c>
      <c r="BG19">
        <v>0.32635184600340272</v>
      </c>
      <c r="BH19">
        <v>0.63756441872350966</v>
      </c>
      <c r="BI19">
        <v>0</v>
      </c>
      <c r="BJ19">
        <v>0</v>
      </c>
      <c r="BK19">
        <v>0</v>
      </c>
      <c r="GI19" t="s">
        <v>179</v>
      </c>
      <c r="GJ19">
        <v>0</v>
      </c>
      <c r="GK19">
        <v>0</v>
      </c>
      <c r="GL19">
        <v>1.6065128478278481E-2</v>
      </c>
      <c r="GM19">
        <v>0.12171388886678788</v>
      </c>
      <c r="GN19">
        <v>0.18296100721866868</v>
      </c>
      <c r="GO19">
        <v>0.18333157167260505</v>
      </c>
      <c r="GP19">
        <v>8.8808380698745984E-2</v>
      </c>
      <c r="GQ19">
        <v>6.9150379305717574E-3</v>
      </c>
      <c r="GR19">
        <v>0</v>
      </c>
      <c r="GS19">
        <v>0</v>
      </c>
      <c r="GT19">
        <v>0</v>
      </c>
      <c r="GU19">
        <v>5.8847397227179375E-2</v>
      </c>
      <c r="GV19">
        <v>0.28895466109734902</v>
      </c>
      <c r="GW19">
        <v>0.43631840134685895</v>
      </c>
      <c r="GX19">
        <v>0.44138985305769968</v>
      </c>
      <c r="GY19">
        <v>0.43067380140504402</v>
      </c>
      <c r="GZ19">
        <v>0.33683370118784395</v>
      </c>
      <c r="HA19">
        <v>0.14860117117632143</v>
      </c>
      <c r="HB19">
        <v>2.7783434393743524E-3</v>
      </c>
      <c r="HC19">
        <v>0</v>
      </c>
      <c r="HD19">
        <v>5.6402606656384673E-3</v>
      </c>
      <c r="HE19">
        <v>0.20716836045801437</v>
      </c>
      <c r="HF19">
        <v>0.40946871576307337</v>
      </c>
      <c r="HG19">
        <v>0.49828044546512301</v>
      </c>
      <c r="HH19">
        <v>0.49436940588365402</v>
      </c>
      <c r="HI19">
        <v>0.46539480204935196</v>
      </c>
      <c r="HJ19">
        <v>0.38560481851035766</v>
      </c>
      <c r="HK19">
        <v>0.23802149606084005</v>
      </c>
      <c r="HL19">
        <v>5.9494621525141518E-2</v>
      </c>
      <c r="HM19">
        <v>0</v>
      </c>
      <c r="HN19">
        <v>1.6910815943988176E-3</v>
      </c>
      <c r="HO19">
        <v>0.17721371113502707</v>
      </c>
      <c r="HP19">
        <v>0.39904310073903254</v>
      </c>
      <c r="HQ19">
        <v>0.48640088498021783</v>
      </c>
      <c r="HR19">
        <v>0.47740699969954686</v>
      </c>
      <c r="HS19">
        <v>0.45731556572235948</v>
      </c>
      <c r="HT19">
        <v>0.40475608466063567</v>
      </c>
      <c r="HU19">
        <v>0.26167722729582282</v>
      </c>
      <c r="HV19">
        <v>5.7873750388233482E-2</v>
      </c>
      <c r="HW19">
        <v>0</v>
      </c>
      <c r="HX19">
        <v>0</v>
      </c>
      <c r="HY19">
        <v>1.7899049189295697E-2</v>
      </c>
      <c r="HZ19">
        <v>0.17098423108913702</v>
      </c>
      <c r="IA19">
        <v>0.28751874595971583</v>
      </c>
      <c r="IB19">
        <v>0.29218883473062712</v>
      </c>
      <c r="IC19">
        <v>0.28956567731068494</v>
      </c>
      <c r="ID19">
        <v>0.20266184476103474</v>
      </c>
      <c r="IE19">
        <v>5.8907170058115299E-2</v>
      </c>
      <c r="IF19">
        <v>0</v>
      </c>
      <c r="IG19">
        <v>0</v>
      </c>
      <c r="IH19">
        <v>0</v>
      </c>
      <c r="II19">
        <v>0</v>
      </c>
      <c r="IJ19">
        <v>1.4033239726903316E-2</v>
      </c>
      <c r="IK19">
        <v>0.11200278937396352</v>
      </c>
      <c r="IL19">
        <v>0.1364582483701765</v>
      </c>
      <c r="IM19">
        <v>0.12821230936212949</v>
      </c>
      <c r="IN19">
        <v>3.1408934520273504E-2</v>
      </c>
      <c r="IO19">
        <v>0</v>
      </c>
      <c r="IP19">
        <v>0</v>
      </c>
      <c r="IQ19">
        <v>0</v>
      </c>
      <c r="IS19" t="s">
        <v>179</v>
      </c>
      <c r="IT19" t="s">
        <v>228</v>
      </c>
      <c r="IU19" t="s">
        <v>229</v>
      </c>
      <c r="IV19">
        <v>0.45721673713312577</v>
      </c>
    </row>
    <row r="20" spans="2:256" x14ac:dyDescent="0.25">
      <c r="B20" t="s">
        <v>180</v>
      </c>
      <c r="C20" t="s">
        <v>31</v>
      </c>
      <c r="D20">
        <v>0</v>
      </c>
      <c r="E20">
        <v>0</v>
      </c>
      <c r="F20">
        <v>0.79386981830418812</v>
      </c>
      <c r="G20">
        <v>0.32549723852961177</v>
      </c>
      <c r="H20">
        <v>0.20823623598038551</v>
      </c>
      <c r="I20">
        <v>0.25416807041719436</v>
      </c>
      <c r="J20">
        <v>0.43583794969976636</v>
      </c>
      <c r="K20">
        <v>0.91306761216673826</v>
      </c>
      <c r="L20">
        <v>0</v>
      </c>
      <c r="M20">
        <v>0</v>
      </c>
      <c r="N20">
        <v>0</v>
      </c>
      <c r="O20">
        <v>0.69283421918864341</v>
      </c>
      <c r="P20">
        <v>0.29908603538978185</v>
      </c>
      <c r="Q20">
        <v>0.18602144482809885</v>
      </c>
      <c r="R20">
        <v>0.13854298452162878</v>
      </c>
      <c r="S20">
        <v>0.159112564330853</v>
      </c>
      <c r="T20">
        <v>0.25433895079943331</v>
      </c>
      <c r="U20">
        <v>0.41404971362506748</v>
      </c>
      <c r="V20">
        <v>0.91283454533305219</v>
      </c>
      <c r="W20">
        <v>0</v>
      </c>
      <c r="X20">
        <v>0.8766263796874989</v>
      </c>
      <c r="Y20">
        <v>0.27572208276041288</v>
      </c>
      <c r="Z20">
        <v>0.19416858741529319</v>
      </c>
      <c r="AA20">
        <v>0.15709134575083133</v>
      </c>
      <c r="AB20">
        <v>0.11512779117048851</v>
      </c>
      <c r="AC20">
        <v>0.11465804702581428</v>
      </c>
      <c r="AD20">
        <v>0.13910953682976043</v>
      </c>
      <c r="AE20">
        <v>0.2226939670682121</v>
      </c>
      <c r="AF20">
        <v>0.4138832137922494</v>
      </c>
      <c r="AG20">
        <v>0</v>
      </c>
      <c r="AH20">
        <v>0.95657824002297498</v>
      </c>
      <c r="AI20">
        <v>0.35508303100862265</v>
      </c>
      <c r="AJ20">
        <v>0.21936494094409412</v>
      </c>
      <c r="AK20">
        <v>0.16189898318723786</v>
      </c>
      <c r="AL20">
        <v>0.11643592046720064</v>
      </c>
      <c r="AM20">
        <v>0.11394102887713432</v>
      </c>
      <c r="AN20">
        <v>0.15098278697692505</v>
      </c>
      <c r="AO20">
        <v>0.18684067557443937</v>
      </c>
      <c r="AP20">
        <v>0.45380164101280968</v>
      </c>
      <c r="AQ20">
        <v>0</v>
      </c>
      <c r="AR20">
        <v>0</v>
      </c>
      <c r="AS20">
        <v>0.87240263052850364</v>
      </c>
      <c r="AT20">
        <v>0.44224046789703503</v>
      </c>
      <c r="AU20">
        <v>0.33242686933602872</v>
      </c>
      <c r="AV20">
        <v>0.25907411034175948</v>
      </c>
      <c r="AW20">
        <v>0.28257389794653143</v>
      </c>
      <c r="AX20">
        <v>0.36503433787104017</v>
      </c>
      <c r="AY20">
        <v>0.68098668572297827</v>
      </c>
      <c r="AZ20">
        <v>0</v>
      </c>
      <c r="BA20">
        <v>0</v>
      </c>
      <c r="BB20">
        <v>0</v>
      </c>
      <c r="BC20">
        <v>0</v>
      </c>
      <c r="BD20">
        <v>0.86961197933714129</v>
      </c>
      <c r="BE20">
        <v>0.45322434690144586</v>
      </c>
      <c r="BF20">
        <v>0.30748917298726364</v>
      </c>
      <c r="BG20">
        <v>0.37643025888035631</v>
      </c>
      <c r="BH20">
        <v>0.6624498489743198</v>
      </c>
      <c r="BI20">
        <v>0</v>
      </c>
      <c r="BJ20">
        <v>0</v>
      </c>
      <c r="BK20">
        <v>0</v>
      </c>
      <c r="GI20" t="s">
        <v>180</v>
      </c>
      <c r="GJ20">
        <v>0</v>
      </c>
      <c r="GK20">
        <v>0</v>
      </c>
      <c r="GL20">
        <v>1.3179678995245173E-2</v>
      </c>
      <c r="GM20">
        <v>0.11025614930949874</v>
      </c>
      <c r="GN20">
        <v>0.17920708369038293</v>
      </c>
      <c r="GO20">
        <v>0.16059962388430626</v>
      </c>
      <c r="GP20">
        <v>7.2780129154341108E-2</v>
      </c>
      <c r="GQ20">
        <v>6.5170327596495809E-3</v>
      </c>
      <c r="GR20">
        <v>0</v>
      </c>
      <c r="GS20">
        <v>0</v>
      </c>
      <c r="GT20">
        <v>0</v>
      </c>
      <c r="GU20">
        <v>5.5212080955274134E-2</v>
      </c>
      <c r="GV20">
        <v>0.30762309714989106</v>
      </c>
      <c r="GW20">
        <v>0.48579502116283413</v>
      </c>
      <c r="GX20">
        <v>0.46703391146666773</v>
      </c>
      <c r="GY20">
        <v>0.45565523593250901</v>
      </c>
      <c r="GZ20">
        <v>0.35998655567989019</v>
      </c>
      <c r="HA20">
        <v>0.16022347108601434</v>
      </c>
      <c r="HB20">
        <v>7.3305511903044253E-3</v>
      </c>
      <c r="HC20">
        <v>0</v>
      </c>
      <c r="HD20">
        <v>6.798044810009592E-3</v>
      </c>
      <c r="HE20">
        <v>0.20230446566490323</v>
      </c>
      <c r="HF20">
        <v>0.39942364051524964</v>
      </c>
      <c r="HG20">
        <v>0.49856301274479037</v>
      </c>
      <c r="HH20">
        <v>0.49906120376846763</v>
      </c>
      <c r="HI20">
        <v>0.49338698853465746</v>
      </c>
      <c r="HJ20">
        <v>0.42416065404072589</v>
      </c>
      <c r="HK20">
        <v>0.25851030328282038</v>
      </c>
      <c r="HL20">
        <v>7.4971577128437522E-2</v>
      </c>
      <c r="HM20">
        <v>0</v>
      </c>
      <c r="HN20">
        <v>2.4938656702954442E-3</v>
      </c>
      <c r="HO20">
        <v>0.14832891331303544</v>
      </c>
      <c r="HP20">
        <v>0.34566285148720849</v>
      </c>
      <c r="HQ20">
        <v>0.45579875402267001</v>
      </c>
      <c r="HR20">
        <v>0.46605460493811773</v>
      </c>
      <c r="HS20">
        <v>0.46000383531173272</v>
      </c>
      <c r="HT20">
        <v>0.40220416059916592</v>
      </c>
      <c r="HU20">
        <v>0.27609747754461716</v>
      </c>
      <c r="HV20">
        <v>7.5632636143070545E-2</v>
      </c>
      <c r="HW20">
        <v>0</v>
      </c>
      <c r="HX20">
        <v>0</v>
      </c>
      <c r="HY20">
        <v>1.4927252401426361E-2</v>
      </c>
      <c r="HZ20">
        <v>0.14710677802551189</v>
      </c>
      <c r="IA20">
        <v>0.25536167387186426</v>
      </c>
      <c r="IB20">
        <v>0.26126935869931961</v>
      </c>
      <c r="IC20">
        <v>0.26135418495885859</v>
      </c>
      <c r="ID20">
        <v>0.18836695485788088</v>
      </c>
      <c r="IE20">
        <v>5.8115409762986972E-2</v>
      </c>
      <c r="IF20">
        <v>0</v>
      </c>
      <c r="IG20">
        <v>0</v>
      </c>
      <c r="IH20">
        <v>0</v>
      </c>
      <c r="II20">
        <v>0</v>
      </c>
      <c r="IJ20">
        <v>5.473937010128738E-3</v>
      </c>
      <c r="IK20">
        <v>7.3460810479628574E-2</v>
      </c>
      <c r="IL20">
        <v>0.10203314731964769</v>
      </c>
      <c r="IM20">
        <v>9.250194935717522E-2</v>
      </c>
      <c r="IN20">
        <v>2.4262930843490165E-2</v>
      </c>
      <c r="IO20">
        <v>0</v>
      </c>
      <c r="IP20">
        <v>0</v>
      </c>
      <c r="IQ20">
        <v>0</v>
      </c>
      <c r="IS20" t="s">
        <v>180</v>
      </c>
      <c r="IT20" t="s">
        <v>228</v>
      </c>
      <c r="IU20" t="s">
        <v>229</v>
      </c>
      <c r="IV20">
        <v>0.45660383317570685</v>
      </c>
    </row>
    <row r="21" spans="2:256" x14ac:dyDescent="0.25">
      <c r="B21" t="s">
        <v>181</v>
      </c>
      <c r="C21" t="s">
        <v>31</v>
      </c>
      <c r="D21">
        <v>0</v>
      </c>
      <c r="E21">
        <v>0</v>
      </c>
      <c r="F21">
        <v>0.76335820202820026</v>
      </c>
      <c r="G21">
        <v>0.3168394920473428</v>
      </c>
      <c r="H21">
        <v>0.19468801638201064</v>
      </c>
      <c r="I21">
        <v>0.24080403956699201</v>
      </c>
      <c r="J21">
        <v>0.44027990704716313</v>
      </c>
      <c r="K21">
        <v>0.90959105180037447</v>
      </c>
      <c r="L21">
        <v>0</v>
      </c>
      <c r="M21">
        <v>0</v>
      </c>
      <c r="N21">
        <v>0</v>
      </c>
      <c r="O21">
        <v>0.6854115389043639</v>
      </c>
      <c r="P21">
        <v>0.33322884806992492</v>
      </c>
      <c r="Q21">
        <v>0.20529494115165972</v>
      </c>
      <c r="R21">
        <v>0.15249765907115809</v>
      </c>
      <c r="S21">
        <v>0.1815735815396472</v>
      </c>
      <c r="T21">
        <v>0.27662902652292737</v>
      </c>
      <c r="U21">
        <v>0.43964692943265743</v>
      </c>
      <c r="V21">
        <v>0.91394815124000117</v>
      </c>
      <c r="W21">
        <v>0</v>
      </c>
      <c r="X21">
        <v>0.86849348222419087</v>
      </c>
      <c r="Y21">
        <v>0.24211219391736405</v>
      </c>
      <c r="Z21">
        <v>0.17535608542687625</v>
      </c>
      <c r="AA21">
        <v>0.14266778959890944</v>
      </c>
      <c r="AB21">
        <v>0.11203475507984058</v>
      </c>
      <c r="AC21">
        <v>0.1143821374889244</v>
      </c>
      <c r="AD21">
        <v>0.16046796836935198</v>
      </c>
      <c r="AE21">
        <v>0.22641155365335591</v>
      </c>
      <c r="AF21">
        <v>0.41174978015545016</v>
      </c>
      <c r="AG21">
        <v>0</v>
      </c>
      <c r="AH21">
        <v>0.9456863618541328</v>
      </c>
      <c r="AI21">
        <v>0.29798374478152534</v>
      </c>
      <c r="AJ21">
        <v>0.19225901429716133</v>
      </c>
      <c r="AK21">
        <v>0.15738354117665374</v>
      </c>
      <c r="AL21">
        <v>0.11456363381257512</v>
      </c>
      <c r="AM21">
        <v>0.11421789803148295</v>
      </c>
      <c r="AN21">
        <v>0.13041963446916269</v>
      </c>
      <c r="AO21">
        <v>0.17156432634192215</v>
      </c>
      <c r="AP21">
        <v>0.47978506462592713</v>
      </c>
      <c r="AQ21">
        <v>0</v>
      </c>
      <c r="AR21">
        <v>0</v>
      </c>
      <c r="AS21">
        <v>0.84421486332382423</v>
      </c>
      <c r="AT21">
        <v>0.40198977178563361</v>
      </c>
      <c r="AU21">
        <v>0.30062605241267842</v>
      </c>
      <c r="AV21">
        <v>0.23681353418046042</v>
      </c>
      <c r="AW21">
        <v>0.28202526269585065</v>
      </c>
      <c r="AX21">
        <v>0.34806562234129518</v>
      </c>
      <c r="AY21">
        <v>0.65331883267873048</v>
      </c>
      <c r="AZ21">
        <v>0</v>
      </c>
      <c r="BA21">
        <v>0</v>
      </c>
      <c r="BB21">
        <v>0</v>
      </c>
      <c r="BC21">
        <v>0</v>
      </c>
      <c r="BD21">
        <v>0.83328155909300905</v>
      </c>
      <c r="BE21">
        <v>0.40390687107788464</v>
      </c>
      <c r="BF21">
        <v>0.27440962688645282</v>
      </c>
      <c r="BG21">
        <v>0.34476577108987</v>
      </c>
      <c r="BH21">
        <v>0.63085552388423016</v>
      </c>
      <c r="BI21">
        <v>0</v>
      </c>
      <c r="BJ21">
        <v>0</v>
      </c>
      <c r="BK21">
        <v>0</v>
      </c>
      <c r="GI21" t="s">
        <v>181</v>
      </c>
      <c r="GJ21">
        <v>0</v>
      </c>
      <c r="GK21">
        <v>0</v>
      </c>
      <c r="GL21">
        <v>1.1381021375903806E-2</v>
      </c>
      <c r="GM21">
        <v>0.11068846241894705</v>
      </c>
      <c r="GN21">
        <v>0.17893959778067428</v>
      </c>
      <c r="GO21">
        <v>0.17252264686898613</v>
      </c>
      <c r="GP21">
        <v>8.5280639126055782E-2</v>
      </c>
      <c r="GQ21">
        <v>7.3984466342294029E-3</v>
      </c>
      <c r="GR21">
        <v>0</v>
      </c>
      <c r="GS21">
        <v>0</v>
      </c>
      <c r="GT21">
        <v>0</v>
      </c>
      <c r="GU21">
        <v>5.5620644684333351E-2</v>
      </c>
      <c r="GV21">
        <v>0.29156714841745696</v>
      </c>
      <c r="GW21">
        <v>0.46553498130429183</v>
      </c>
      <c r="GX21">
        <v>0.46030887600748199</v>
      </c>
      <c r="GY21">
        <v>0.45018972735122592</v>
      </c>
      <c r="GZ21">
        <v>0.35474267647270741</v>
      </c>
      <c r="HA21">
        <v>0.15468717064060822</v>
      </c>
      <c r="HB21">
        <v>5.1360091717219522E-3</v>
      </c>
      <c r="HC21">
        <v>0</v>
      </c>
      <c r="HD21">
        <v>6.6283640311602015E-3</v>
      </c>
      <c r="HE21">
        <v>0.20855414699838221</v>
      </c>
      <c r="HF21">
        <v>0.4111769828092508</v>
      </c>
      <c r="HG21">
        <v>0.510082613331443</v>
      </c>
      <c r="HH21">
        <v>0.50343351072998588</v>
      </c>
      <c r="HI21">
        <v>0.48396336964414821</v>
      </c>
      <c r="HJ21">
        <v>0.39087422298355995</v>
      </c>
      <c r="HK21">
        <v>0.23270251090331787</v>
      </c>
      <c r="HL21">
        <v>6.3081110496442702E-2</v>
      </c>
      <c r="HM21">
        <v>0</v>
      </c>
      <c r="HN21">
        <v>2.4079391139638921E-3</v>
      </c>
      <c r="HO21">
        <v>0.16664797415649885</v>
      </c>
      <c r="HP21">
        <v>0.36932129367073113</v>
      </c>
      <c r="HQ21">
        <v>0.46561897777114036</v>
      </c>
      <c r="HR21">
        <v>0.46663129194303771</v>
      </c>
      <c r="HS21">
        <v>0.46292566298914456</v>
      </c>
      <c r="HT21">
        <v>0.41409239151055288</v>
      </c>
      <c r="HU21">
        <v>0.27299897311189231</v>
      </c>
      <c r="HV21">
        <v>6.6549424270389665E-2</v>
      </c>
      <c r="HW21">
        <v>0</v>
      </c>
      <c r="HX21">
        <v>0</v>
      </c>
      <c r="HY21">
        <v>1.5540864898667855E-2</v>
      </c>
      <c r="HZ21">
        <v>0.16192799998339338</v>
      </c>
      <c r="IA21">
        <v>0.26924939320882363</v>
      </c>
      <c r="IB21">
        <v>0.27936053819265527</v>
      </c>
      <c r="IC21">
        <v>0.27723960281759857</v>
      </c>
      <c r="ID21">
        <v>0.20043449610462521</v>
      </c>
      <c r="IE21">
        <v>5.9269382086055318E-2</v>
      </c>
      <c r="IF21">
        <v>0</v>
      </c>
      <c r="IG21">
        <v>0</v>
      </c>
      <c r="IH21">
        <v>0</v>
      </c>
      <c r="II21">
        <v>0</v>
      </c>
      <c r="IJ21">
        <v>8.8860677617315087E-3</v>
      </c>
      <c r="IK21">
        <v>8.5475978986363776E-2</v>
      </c>
      <c r="IL21">
        <v>0.11162646673765346</v>
      </c>
      <c r="IM21">
        <v>0.10392904226843502</v>
      </c>
      <c r="IN21">
        <v>2.4111047832258488E-2</v>
      </c>
      <c r="IO21">
        <v>0</v>
      </c>
      <c r="IP21">
        <v>0</v>
      </c>
      <c r="IQ21">
        <v>0</v>
      </c>
      <c r="IS21" t="s">
        <v>181</v>
      </c>
      <c r="IT21" t="s">
        <v>228</v>
      </c>
      <c r="IU21" t="s">
        <v>229</v>
      </c>
      <c r="IV21">
        <v>0.45575133225457182</v>
      </c>
    </row>
    <row r="22" spans="2:256" x14ac:dyDescent="0.25">
      <c r="B22" t="s">
        <v>182</v>
      </c>
      <c r="C22" t="s">
        <v>31</v>
      </c>
      <c r="D22">
        <v>0</v>
      </c>
      <c r="E22">
        <v>0</v>
      </c>
      <c r="F22">
        <v>0.72499562569110809</v>
      </c>
      <c r="G22">
        <v>0.33745506221750088</v>
      </c>
      <c r="H22">
        <v>0.23384425962945468</v>
      </c>
      <c r="I22">
        <v>0.26605442107723831</v>
      </c>
      <c r="J22">
        <v>0.40071137896325271</v>
      </c>
      <c r="K22">
        <v>0.86352411846344523</v>
      </c>
      <c r="L22">
        <v>0</v>
      </c>
      <c r="M22">
        <v>0</v>
      </c>
      <c r="N22">
        <v>0</v>
      </c>
      <c r="O22">
        <v>0.72623590061269083</v>
      </c>
      <c r="P22">
        <v>0.36010004801576223</v>
      </c>
      <c r="Q22">
        <v>0.26312230746363863</v>
      </c>
      <c r="R22">
        <v>0.20678859541879588</v>
      </c>
      <c r="S22">
        <v>0.22893742883573989</v>
      </c>
      <c r="T22">
        <v>0.28059283614920061</v>
      </c>
      <c r="U22">
        <v>0.43201414884941708</v>
      </c>
      <c r="V22">
        <v>0.94065123257446137</v>
      </c>
      <c r="W22">
        <v>0</v>
      </c>
      <c r="X22">
        <v>0</v>
      </c>
      <c r="Y22">
        <v>0.31449426704689992</v>
      </c>
      <c r="Z22">
        <v>0.23971443022485969</v>
      </c>
      <c r="AA22">
        <v>0.19047757209666563</v>
      </c>
      <c r="AB22">
        <v>0.14457972410568778</v>
      </c>
      <c r="AC22">
        <v>0.14471051410106722</v>
      </c>
      <c r="AD22">
        <v>0.16810002578282962</v>
      </c>
      <c r="AE22">
        <v>0.26267516715144706</v>
      </c>
      <c r="AF22">
        <v>0.57549010147692647</v>
      </c>
      <c r="AG22">
        <v>0</v>
      </c>
      <c r="AH22">
        <v>0</v>
      </c>
      <c r="AI22">
        <v>0.30582284977077973</v>
      </c>
      <c r="AJ22">
        <v>0.15706543325496505</v>
      </c>
      <c r="AK22">
        <v>0.12247937041137641</v>
      </c>
      <c r="AL22">
        <v>0.10852996749085111</v>
      </c>
      <c r="AM22">
        <v>0.1307012000753125</v>
      </c>
      <c r="AN22">
        <v>0.16634370363979542</v>
      </c>
      <c r="AO22">
        <v>0.20604161118591702</v>
      </c>
      <c r="AP22">
        <v>0.60319045126805726</v>
      </c>
      <c r="AQ22">
        <v>0</v>
      </c>
      <c r="AR22">
        <v>0</v>
      </c>
      <c r="AS22">
        <v>0.85462414162350975</v>
      </c>
      <c r="AT22">
        <v>0.29396857151796218</v>
      </c>
      <c r="AU22">
        <v>0.19500759565324188</v>
      </c>
      <c r="AV22">
        <v>0.15569825818994143</v>
      </c>
      <c r="AW22">
        <v>0.17078046312906625</v>
      </c>
      <c r="AX22">
        <v>0.2466547227051204</v>
      </c>
      <c r="AY22">
        <v>0.60123766072501661</v>
      </c>
      <c r="AZ22">
        <v>0</v>
      </c>
      <c r="BA22">
        <v>0</v>
      </c>
      <c r="BB22">
        <v>0</v>
      </c>
      <c r="BC22">
        <v>0</v>
      </c>
      <c r="BD22">
        <v>0.73811440628000979</v>
      </c>
      <c r="BE22">
        <v>0.30419221207344427</v>
      </c>
      <c r="BF22">
        <v>0.20811308408924983</v>
      </c>
      <c r="BG22">
        <v>0.25262218011900067</v>
      </c>
      <c r="BH22">
        <v>0.54429097054702302</v>
      </c>
      <c r="BI22">
        <v>0</v>
      </c>
      <c r="BJ22">
        <v>0</v>
      </c>
      <c r="BK22">
        <v>0</v>
      </c>
      <c r="GI22" t="s">
        <v>182</v>
      </c>
      <c r="GJ22">
        <v>0</v>
      </c>
      <c r="GK22">
        <v>0</v>
      </c>
      <c r="GL22">
        <v>2.8641519579440226E-2</v>
      </c>
      <c r="GM22">
        <v>0.15773291084640617</v>
      </c>
      <c r="GN22">
        <v>0.21611606287519178</v>
      </c>
      <c r="GO22">
        <v>0.21437498890298809</v>
      </c>
      <c r="GP22">
        <v>0.1151075902580314</v>
      </c>
      <c r="GQ22">
        <v>1.0455289413766914E-2</v>
      </c>
      <c r="GR22">
        <v>0</v>
      </c>
      <c r="GS22">
        <v>0</v>
      </c>
      <c r="GT22">
        <v>0</v>
      </c>
      <c r="GU22">
        <v>4.8242537320365299E-2</v>
      </c>
      <c r="GV22">
        <v>0.27087403273044591</v>
      </c>
      <c r="GW22">
        <v>0.41708989477650416</v>
      </c>
      <c r="GX22">
        <v>0.42206837370020389</v>
      </c>
      <c r="GY22">
        <v>0.4060870028105189</v>
      </c>
      <c r="GZ22">
        <v>0.31083644659393861</v>
      </c>
      <c r="HA22">
        <v>0.140292276780111</v>
      </c>
      <c r="HB22">
        <v>1.592434050222269E-3</v>
      </c>
      <c r="HC22">
        <v>0</v>
      </c>
      <c r="HD22">
        <v>0</v>
      </c>
      <c r="HE22">
        <v>0.15267772851278816</v>
      </c>
      <c r="HF22">
        <v>0.34773505856454273</v>
      </c>
      <c r="HG22">
        <v>0.45931243661828675</v>
      </c>
      <c r="HH22">
        <v>0.47031991810371998</v>
      </c>
      <c r="HI22">
        <v>0.46027601019413594</v>
      </c>
      <c r="HJ22">
        <v>0.37730931606005591</v>
      </c>
      <c r="HK22">
        <v>0.21501348316882266</v>
      </c>
      <c r="HL22">
        <v>3.8763856403527072E-2</v>
      </c>
      <c r="HM22">
        <v>0</v>
      </c>
      <c r="HN22">
        <v>0</v>
      </c>
      <c r="HO22">
        <v>0.16696118090946568</v>
      </c>
      <c r="HP22">
        <v>0.41108589517371502</v>
      </c>
      <c r="HQ22">
        <v>0.51383518605700318</v>
      </c>
      <c r="HR22">
        <v>0.50542675615703081</v>
      </c>
      <c r="HS22">
        <v>0.47173800533841004</v>
      </c>
      <c r="HT22">
        <v>0.3968214033045856</v>
      </c>
      <c r="HU22">
        <v>0.26086973669626323</v>
      </c>
      <c r="HV22">
        <v>5.1281930285790929E-2</v>
      </c>
      <c r="HW22">
        <v>0</v>
      </c>
      <c r="HX22">
        <v>0</v>
      </c>
      <c r="HY22">
        <v>1.836047863930456E-2</v>
      </c>
      <c r="HZ22">
        <v>0.20994090023610723</v>
      </c>
      <c r="IA22">
        <v>0.35202535682827163</v>
      </c>
      <c r="IB22">
        <v>0.34330627417180226</v>
      </c>
      <c r="IC22">
        <v>0.34987647783873826</v>
      </c>
      <c r="ID22">
        <v>0.24215681506455122</v>
      </c>
      <c r="IE22">
        <v>6.7666695494085979E-2</v>
      </c>
      <c r="IF22">
        <v>0</v>
      </c>
      <c r="IG22">
        <v>0</v>
      </c>
      <c r="IH22">
        <v>0</v>
      </c>
      <c r="II22">
        <v>0</v>
      </c>
      <c r="IJ22">
        <v>2.6576501125137202E-2</v>
      </c>
      <c r="IK22">
        <v>0.16328139321711538</v>
      </c>
      <c r="IL22">
        <v>0.19249817651324641</v>
      </c>
      <c r="IM22">
        <v>0.20143169373351272</v>
      </c>
      <c r="IN22">
        <v>6.8746214614171866E-2</v>
      </c>
      <c r="IO22">
        <v>0</v>
      </c>
      <c r="IP22">
        <v>0</v>
      </c>
      <c r="IQ22">
        <v>0</v>
      </c>
      <c r="IS22" t="s">
        <v>182</v>
      </c>
      <c r="IT22" t="s">
        <v>228</v>
      </c>
      <c r="IU22" t="s">
        <v>229</v>
      </c>
      <c r="IV22">
        <v>0.47310566468437143</v>
      </c>
    </row>
    <row r="23" spans="2:256" x14ac:dyDescent="0.25">
      <c r="B23" t="s">
        <v>183</v>
      </c>
      <c r="C23" t="s">
        <v>31</v>
      </c>
      <c r="D23">
        <v>0</v>
      </c>
      <c r="E23">
        <v>0</v>
      </c>
      <c r="F23">
        <v>0.70420304541538825</v>
      </c>
      <c r="G23">
        <v>0.31736409047890807</v>
      </c>
      <c r="H23">
        <v>0.20589195835164725</v>
      </c>
      <c r="I23">
        <v>0.25045252519499089</v>
      </c>
      <c r="J23">
        <v>0.40947775218788307</v>
      </c>
      <c r="K23">
        <v>0.88500054320581489</v>
      </c>
      <c r="L23">
        <v>0</v>
      </c>
      <c r="M23">
        <v>0</v>
      </c>
      <c r="N23">
        <v>0</v>
      </c>
      <c r="O23">
        <v>0.67704415828346109</v>
      </c>
      <c r="P23">
        <v>0.34016977505919305</v>
      </c>
      <c r="Q23">
        <v>0.2554866707138998</v>
      </c>
      <c r="R23">
        <v>0.1965701219484054</v>
      </c>
      <c r="S23">
        <v>0.21666893016948269</v>
      </c>
      <c r="T23">
        <v>0.27801072941842009</v>
      </c>
      <c r="U23">
        <v>0.42707027893827598</v>
      </c>
      <c r="V23">
        <v>0.95376280937972135</v>
      </c>
      <c r="W23">
        <v>0</v>
      </c>
      <c r="X23">
        <v>0.89936476078476457</v>
      </c>
      <c r="Y23">
        <v>0.27008744060432827</v>
      </c>
      <c r="Z23">
        <v>0.18984026120892675</v>
      </c>
      <c r="AA23">
        <v>0.14992341983104132</v>
      </c>
      <c r="AB23">
        <v>0.12795224973859964</v>
      </c>
      <c r="AC23">
        <v>0.13797318528803257</v>
      </c>
      <c r="AD23">
        <v>0.16023867233189268</v>
      </c>
      <c r="AE23">
        <v>0.22570661014088839</v>
      </c>
      <c r="AF23">
        <v>0.54289949576201879</v>
      </c>
      <c r="AG23">
        <v>0</v>
      </c>
      <c r="AH23">
        <v>0.97419354838709682</v>
      </c>
      <c r="AI23">
        <v>0.29093928102854139</v>
      </c>
      <c r="AJ23">
        <v>0.14648279937287081</v>
      </c>
      <c r="AK23">
        <v>0.11612639252220704</v>
      </c>
      <c r="AL23">
        <v>9.823844393979235E-2</v>
      </c>
      <c r="AM23">
        <v>0.11735413395140352</v>
      </c>
      <c r="AN23">
        <v>0.15262917308812951</v>
      </c>
      <c r="AO23">
        <v>0.19457130457699495</v>
      </c>
      <c r="AP23">
        <v>0.60743204597090472</v>
      </c>
      <c r="AQ23">
        <v>0</v>
      </c>
      <c r="AR23">
        <v>0</v>
      </c>
      <c r="AS23">
        <v>0.82100152249228631</v>
      </c>
      <c r="AT23">
        <v>0.30950730347791783</v>
      </c>
      <c r="AU23">
        <v>0.20492292953657407</v>
      </c>
      <c r="AV23">
        <v>0.1442883643557758</v>
      </c>
      <c r="AW23">
        <v>0.17706849292077037</v>
      </c>
      <c r="AX23">
        <v>0.25901183422462781</v>
      </c>
      <c r="AY23">
        <v>0.6173027034437174</v>
      </c>
      <c r="AZ23">
        <v>0</v>
      </c>
      <c r="BA23">
        <v>0</v>
      </c>
      <c r="BB23">
        <v>0</v>
      </c>
      <c r="BC23">
        <v>0</v>
      </c>
      <c r="BD23">
        <v>0.74752139627415748</v>
      </c>
      <c r="BE23">
        <v>0.34118266940208347</v>
      </c>
      <c r="BF23">
        <v>0.23805452811080183</v>
      </c>
      <c r="BG23">
        <v>0.29235955781963008</v>
      </c>
      <c r="BH23">
        <v>0.57194277738368571</v>
      </c>
      <c r="BI23">
        <v>0</v>
      </c>
      <c r="BJ23">
        <v>0</v>
      </c>
      <c r="BK23">
        <v>0</v>
      </c>
      <c r="GI23" t="s">
        <v>183</v>
      </c>
      <c r="GJ23">
        <v>0</v>
      </c>
      <c r="GK23">
        <v>0</v>
      </c>
      <c r="GL23">
        <v>2.5449275809976142E-2</v>
      </c>
      <c r="GM23">
        <v>0.14165482805572666</v>
      </c>
      <c r="GN23">
        <v>0.19380324655294118</v>
      </c>
      <c r="GO23">
        <v>0.18878317126806843</v>
      </c>
      <c r="GP23">
        <v>8.90723639224799E-2</v>
      </c>
      <c r="GQ23">
        <v>6.2176902208102586E-3</v>
      </c>
      <c r="GR23">
        <v>0</v>
      </c>
      <c r="GS23">
        <v>0</v>
      </c>
      <c r="GT23">
        <v>0</v>
      </c>
      <c r="GU23">
        <v>5.8029376671964887E-2</v>
      </c>
      <c r="GV23">
        <v>0.28609121454077452</v>
      </c>
      <c r="GW23">
        <v>0.42313577512640477</v>
      </c>
      <c r="GX23">
        <v>0.4318980739166246</v>
      </c>
      <c r="GY23">
        <v>0.41639261567690472</v>
      </c>
      <c r="GZ23">
        <v>0.31996750251579248</v>
      </c>
      <c r="HA23">
        <v>0.13937279705995501</v>
      </c>
      <c r="HB23">
        <v>7.7249495605593872E-4</v>
      </c>
      <c r="HC23">
        <v>0</v>
      </c>
      <c r="HD23">
        <v>2.2235273512333053E-3</v>
      </c>
      <c r="HE23">
        <v>0.18414817618290691</v>
      </c>
      <c r="HF23">
        <v>0.38956598454009267</v>
      </c>
      <c r="HG23">
        <v>0.48931999658167602</v>
      </c>
      <c r="HH23">
        <v>0.48818750258049659</v>
      </c>
      <c r="HI23">
        <v>0.46602088337670167</v>
      </c>
      <c r="HJ23">
        <v>0.38603972259598734</v>
      </c>
      <c r="HK23">
        <v>0.22974966274631289</v>
      </c>
      <c r="HL23">
        <v>4.4158813100223002E-2</v>
      </c>
      <c r="HM23">
        <v>0</v>
      </c>
      <c r="HN23">
        <v>1.725713514864459E-4</v>
      </c>
      <c r="HO23">
        <v>0.17173548651450177</v>
      </c>
      <c r="HP23">
        <v>0.41138990356847288</v>
      </c>
      <c r="HQ23">
        <v>0.51271501197526914</v>
      </c>
      <c r="HR23">
        <v>0.50315569013393324</v>
      </c>
      <c r="HS23">
        <v>0.47587529793784195</v>
      </c>
      <c r="HT23">
        <v>0.39772489151370455</v>
      </c>
      <c r="HU23">
        <v>0.25145773098826241</v>
      </c>
      <c r="HV23">
        <v>4.6548075492627808E-2</v>
      </c>
      <c r="HW23">
        <v>0</v>
      </c>
      <c r="HX23">
        <v>0</v>
      </c>
      <c r="HY23">
        <v>2.2738673794084379E-2</v>
      </c>
      <c r="HZ23">
        <v>0.19692521297866061</v>
      </c>
      <c r="IA23">
        <v>0.33556663264418013</v>
      </c>
      <c r="IB23">
        <v>0.33273780609230963</v>
      </c>
      <c r="IC23">
        <v>0.32089046752661682</v>
      </c>
      <c r="ID23">
        <v>0.21156581943650651</v>
      </c>
      <c r="IE23">
        <v>5.6546934978963764E-2</v>
      </c>
      <c r="IF23">
        <v>0</v>
      </c>
      <c r="IG23">
        <v>0</v>
      </c>
      <c r="IH23">
        <v>0</v>
      </c>
      <c r="II23">
        <v>0</v>
      </c>
      <c r="IJ23">
        <v>2.7591341896981279E-2</v>
      </c>
      <c r="IK23">
        <v>0.15699116320846104</v>
      </c>
      <c r="IL23">
        <v>0.1775841639070701</v>
      </c>
      <c r="IM23">
        <v>0.1730130996300816</v>
      </c>
      <c r="IN23">
        <v>4.9368288259664744E-2</v>
      </c>
      <c r="IO23">
        <v>0</v>
      </c>
      <c r="IP23">
        <v>0</v>
      </c>
      <c r="IQ23">
        <v>0</v>
      </c>
      <c r="IS23" t="s">
        <v>183</v>
      </c>
      <c r="IT23" t="s">
        <v>228</v>
      </c>
      <c r="IU23" t="s">
        <v>229</v>
      </c>
      <c r="IV23">
        <v>0.43986412835921762</v>
      </c>
    </row>
    <row r="24" spans="2:256" x14ac:dyDescent="0.25">
      <c r="B24" t="s">
        <v>184</v>
      </c>
      <c r="C24" t="s">
        <v>31</v>
      </c>
      <c r="D24">
        <v>0</v>
      </c>
      <c r="E24">
        <v>0</v>
      </c>
      <c r="F24">
        <v>0.76505568940722657</v>
      </c>
      <c r="G24">
        <v>0.31689844611669798</v>
      </c>
      <c r="H24">
        <v>0.20166837981706154</v>
      </c>
      <c r="I24">
        <v>0.22317536348361502</v>
      </c>
      <c r="J24">
        <v>0.36137752665262651</v>
      </c>
      <c r="K24">
        <v>0.82683030576364724</v>
      </c>
      <c r="L24">
        <v>0</v>
      </c>
      <c r="M24">
        <v>0</v>
      </c>
      <c r="N24">
        <v>0</v>
      </c>
      <c r="O24">
        <v>0.80319602126767198</v>
      </c>
      <c r="P24">
        <v>0.36753701107815134</v>
      </c>
      <c r="Q24">
        <v>0.25319462897562972</v>
      </c>
      <c r="R24">
        <v>0.17525285607109498</v>
      </c>
      <c r="S24">
        <v>0.186085895287882</v>
      </c>
      <c r="T24">
        <v>0.26863878647026102</v>
      </c>
      <c r="U24">
        <v>0.38626946321397371</v>
      </c>
      <c r="V24">
        <v>0.91049151270718265</v>
      </c>
      <c r="W24">
        <v>0</v>
      </c>
      <c r="X24">
        <v>0</v>
      </c>
      <c r="Y24">
        <v>0.38164278427699344</v>
      </c>
      <c r="Z24">
        <v>0.27817286530541424</v>
      </c>
      <c r="AA24">
        <v>0.20555203356899149</v>
      </c>
      <c r="AB24">
        <v>0.14892334772691346</v>
      </c>
      <c r="AC24">
        <v>0.14344027855425426</v>
      </c>
      <c r="AD24">
        <v>0.17782855812691367</v>
      </c>
      <c r="AE24">
        <v>0.24417610024376929</v>
      </c>
      <c r="AF24">
        <v>0.47210156409295956</v>
      </c>
      <c r="AG24">
        <v>0</v>
      </c>
      <c r="AH24">
        <v>0</v>
      </c>
      <c r="AI24">
        <v>0.33968740328351243</v>
      </c>
      <c r="AJ24">
        <v>0.17179660932817345</v>
      </c>
      <c r="AK24">
        <v>0.13108757894566786</v>
      </c>
      <c r="AL24">
        <v>0.11488278407472167</v>
      </c>
      <c r="AM24">
        <v>0.11887045266346069</v>
      </c>
      <c r="AN24">
        <v>0.14364731398844965</v>
      </c>
      <c r="AO24">
        <v>0.18381366624685255</v>
      </c>
      <c r="AP24">
        <v>0.50290209997759194</v>
      </c>
      <c r="AQ24">
        <v>0</v>
      </c>
      <c r="AR24">
        <v>0</v>
      </c>
      <c r="AS24">
        <v>0.87371449958697256</v>
      </c>
      <c r="AT24">
        <v>0.30651586442802015</v>
      </c>
      <c r="AU24">
        <v>0.19796818385600157</v>
      </c>
      <c r="AV24">
        <v>0.15680716876463782</v>
      </c>
      <c r="AW24">
        <v>0.17505499779666786</v>
      </c>
      <c r="AX24">
        <v>0.25130427681828266</v>
      </c>
      <c r="AY24">
        <v>0.55533368994453614</v>
      </c>
      <c r="AZ24">
        <v>0</v>
      </c>
      <c r="BA24">
        <v>0</v>
      </c>
      <c r="BB24">
        <v>0</v>
      </c>
      <c r="BC24">
        <v>0</v>
      </c>
      <c r="BD24">
        <v>0.77441092239249776</v>
      </c>
      <c r="BE24">
        <v>0.28840513691853387</v>
      </c>
      <c r="BF24">
        <v>0.20160803618068091</v>
      </c>
      <c r="BG24">
        <v>0.24010286618601093</v>
      </c>
      <c r="BH24">
        <v>0.43215673461000864</v>
      </c>
      <c r="BI24">
        <v>0</v>
      </c>
      <c r="BJ24">
        <v>0</v>
      </c>
      <c r="BK24">
        <v>0</v>
      </c>
      <c r="GI24" t="s">
        <v>184</v>
      </c>
      <c r="GJ24">
        <v>0</v>
      </c>
      <c r="GK24">
        <v>0</v>
      </c>
      <c r="GL24">
        <v>1.5707848905463114E-2</v>
      </c>
      <c r="GM24">
        <v>0.13755111617820753</v>
      </c>
      <c r="GN24">
        <v>0.21745401606745504</v>
      </c>
      <c r="GO24">
        <v>0.21123105299005321</v>
      </c>
      <c r="GP24">
        <v>0.12414569656128026</v>
      </c>
      <c r="GQ24">
        <v>1.4440923901537174E-2</v>
      </c>
      <c r="GR24">
        <v>0</v>
      </c>
      <c r="GS24">
        <v>0</v>
      </c>
      <c r="GT24">
        <v>0</v>
      </c>
      <c r="GU24">
        <v>3.7987615232880446E-2</v>
      </c>
      <c r="GV24">
        <v>0.24770354029879191</v>
      </c>
      <c r="GW24">
        <v>0.40328597847188213</v>
      </c>
      <c r="GX24">
        <v>0.4387213383800963</v>
      </c>
      <c r="GY24">
        <v>0.41792005888838463</v>
      </c>
      <c r="GZ24">
        <v>0.32421829047959239</v>
      </c>
      <c r="HA24">
        <v>0.16389281914913439</v>
      </c>
      <c r="HB24">
        <v>6.3473576481389675E-3</v>
      </c>
      <c r="HC24">
        <v>0</v>
      </c>
      <c r="HD24">
        <v>0</v>
      </c>
      <c r="HE24">
        <v>0.11626929092532567</v>
      </c>
      <c r="HF24">
        <v>0.29785436493084289</v>
      </c>
      <c r="HG24">
        <v>0.42198089339152411</v>
      </c>
      <c r="HH24">
        <v>0.44701973012563334</v>
      </c>
      <c r="HI24">
        <v>0.43130904364004413</v>
      </c>
      <c r="HJ24">
        <v>0.34871325915011886</v>
      </c>
      <c r="HK24">
        <v>0.20957572759344437</v>
      </c>
      <c r="HL24">
        <v>5.0386779093798732E-2</v>
      </c>
      <c r="HM24">
        <v>0</v>
      </c>
      <c r="HN24">
        <v>0</v>
      </c>
      <c r="HO24">
        <v>0.14680112489214076</v>
      </c>
      <c r="HP24">
        <v>0.40024750867083331</v>
      </c>
      <c r="HQ24">
        <v>0.52119104100150471</v>
      </c>
      <c r="HR24">
        <v>0.50767622164827819</v>
      </c>
      <c r="HS24">
        <v>0.47667329260056213</v>
      </c>
      <c r="HT24">
        <v>0.41170011908493742</v>
      </c>
      <c r="HU24">
        <v>0.27479385405679302</v>
      </c>
      <c r="HV24">
        <v>6.9044412886426182E-2</v>
      </c>
      <c r="HW24">
        <v>0</v>
      </c>
      <c r="HX24">
        <v>0</v>
      </c>
      <c r="HY24">
        <v>1.2291659184545591E-2</v>
      </c>
      <c r="HZ24">
        <v>0.18645771640479172</v>
      </c>
      <c r="IA24">
        <v>0.33643342761745204</v>
      </c>
      <c r="IB24">
        <v>0.35195429931411309</v>
      </c>
      <c r="IC24">
        <v>0.36380710899774094</v>
      </c>
      <c r="ID24">
        <v>0.25977998344681402</v>
      </c>
      <c r="IE24">
        <v>7.9951419067534724E-2</v>
      </c>
      <c r="IF24">
        <v>0</v>
      </c>
      <c r="IG24">
        <v>0</v>
      </c>
      <c r="IH24">
        <v>0</v>
      </c>
      <c r="II24">
        <v>0</v>
      </c>
      <c r="IJ24">
        <v>1.6000427017116951E-2</v>
      </c>
      <c r="IK24">
        <v>0.15329669035970436</v>
      </c>
      <c r="IL24">
        <v>0.19540828350056735</v>
      </c>
      <c r="IM24">
        <v>0.22009314051955858</v>
      </c>
      <c r="IN24">
        <v>9.8766855505583742E-2</v>
      </c>
      <c r="IO24">
        <v>0</v>
      </c>
      <c r="IP24">
        <v>0</v>
      </c>
      <c r="IQ24">
        <v>0</v>
      </c>
      <c r="IS24" t="s">
        <v>184</v>
      </c>
      <c r="IT24" t="s">
        <v>228</v>
      </c>
      <c r="IU24" t="s">
        <v>229</v>
      </c>
      <c r="IV24">
        <v>0.44771773301986362</v>
      </c>
    </row>
    <row r="25" spans="2:256" x14ac:dyDescent="0.25">
      <c r="B25" t="s">
        <v>185</v>
      </c>
      <c r="C25" t="s">
        <v>31</v>
      </c>
      <c r="D25">
        <v>0</v>
      </c>
      <c r="E25">
        <v>0</v>
      </c>
      <c r="F25">
        <v>0.78971204407495932</v>
      </c>
      <c r="G25">
        <v>0.31362014455659543</v>
      </c>
      <c r="H25">
        <v>0.19794012544931125</v>
      </c>
      <c r="I25">
        <v>0.20647198416448781</v>
      </c>
      <c r="J25">
        <v>0.32572702417730176</v>
      </c>
      <c r="K25">
        <v>0.79798923893146523</v>
      </c>
      <c r="L25">
        <v>0</v>
      </c>
      <c r="M25">
        <v>0</v>
      </c>
      <c r="N25">
        <v>0</v>
      </c>
      <c r="O25">
        <v>0.81356677810622291</v>
      </c>
      <c r="P25">
        <v>0.37311730287795186</v>
      </c>
      <c r="Q25">
        <v>0.26469121525662781</v>
      </c>
      <c r="R25">
        <v>0.19291030360115283</v>
      </c>
      <c r="S25">
        <v>0.19824360744953151</v>
      </c>
      <c r="T25">
        <v>0.25447898327135687</v>
      </c>
      <c r="U25">
        <v>0.36713035138473304</v>
      </c>
      <c r="V25">
        <v>0.88057371610537949</v>
      </c>
      <c r="W25">
        <v>0</v>
      </c>
      <c r="X25">
        <v>0</v>
      </c>
      <c r="Y25">
        <v>0.37319973449280547</v>
      </c>
      <c r="Z25">
        <v>0.28777587554891593</v>
      </c>
      <c r="AA25">
        <v>0.23945708451036612</v>
      </c>
      <c r="AB25">
        <v>0.18225256412342164</v>
      </c>
      <c r="AC25">
        <v>0.16753762195876171</v>
      </c>
      <c r="AD25">
        <v>0.18933772283221589</v>
      </c>
      <c r="AE25">
        <v>0.24882702636154003</v>
      </c>
      <c r="AF25">
        <v>0.44731765848469141</v>
      </c>
      <c r="AG25">
        <v>0</v>
      </c>
      <c r="AH25">
        <v>0</v>
      </c>
      <c r="AI25">
        <v>0.34471943920087389</v>
      </c>
      <c r="AJ25">
        <v>0.15647354044042311</v>
      </c>
      <c r="AK25">
        <v>0.10270505671192769</v>
      </c>
      <c r="AL25">
        <v>9.5295712144140052E-2</v>
      </c>
      <c r="AM25">
        <v>9.9948688587968515E-2</v>
      </c>
      <c r="AN25">
        <v>0.12054044705767654</v>
      </c>
      <c r="AO25">
        <v>0.17915112995752996</v>
      </c>
      <c r="AP25">
        <v>0.44177796488324877</v>
      </c>
      <c r="AQ25">
        <v>0</v>
      </c>
      <c r="AR25">
        <v>0</v>
      </c>
      <c r="AS25">
        <v>0.90313632243191211</v>
      </c>
      <c r="AT25">
        <v>0.32879939285451437</v>
      </c>
      <c r="AU25">
        <v>0.21282338107516618</v>
      </c>
      <c r="AV25">
        <v>0.14933181879938612</v>
      </c>
      <c r="AW25">
        <v>0.16585604645025517</v>
      </c>
      <c r="AX25">
        <v>0.24335599185346082</v>
      </c>
      <c r="AY25">
        <v>0.51910949250788929</v>
      </c>
      <c r="AZ25">
        <v>0</v>
      </c>
      <c r="BA25">
        <v>0</v>
      </c>
      <c r="BB25">
        <v>0</v>
      </c>
      <c r="BC25">
        <v>0</v>
      </c>
      <c r="BD25">
        <v>0.83377102660425351</v>
      </c>
      <c r="BE25">
        <v>0.31054491279990376</v>
      </c>
      <c r="BF25">
        <v>0.21638532968686111</v>
      </c>
      <c r="BG25">
        <v>0.23746723422937691</v>
      </c>
      <c r="BH25">
        <v>0.37506627885456767</v>
      </c>
      <c r="BI25">
        <v>0</v>
      </c>
      <c r="BJ25">
        <v>0</v>
      </c>
      <c r="BK25">
        <v>0</v>
      </c>
      <c r="GI25" t="s">
        <v>185</v>
      </c>
      <c r="GJ25">
        <v>0</v>
      </c>
      <c r="GK25">
        <v>0</v>
      </c>
      <c r="GL25">
        <v>9.0818627693967542E-3</v>
      </c>
      <c r="GM25">
        <v>0.11814502783444136</v>
      </c>
      <c r="GN25">
        <v>0.19697053278987164</v>
      </c>
      <c r="GO25">
        <v>0.19298428789596622</v>
      </c>
      <c r="GP25">
        <v>0.10783785949020398</v>
      </c>
      <c r="GQ25">
        <v>1.1512084458824253E-2</v>
      </c>
      <c r="GR25">
        <v>0</v>
      </c>
      <c r="GS25">
        <v>0</v>
      </c>
      <c r="GT25">
        <v>0</v>
      </c>
      <c r="GU25">
        <v>3.2511924913949324E-2</v>
      </c>
      <c r="GV25">
        <v>0.23103766860104866</v>
      </c>
      <c r="GW25">
        <v>0.38834759906788552</v>
      </c>
      <c r="GX25">
        <v>0.42759329811843638</v>
      </c>
      <c r="GY25">
        <v>0.40633735204341004</v>
      </c>
      <c r="GZ25">
        <v>0.33252720947420128</v>
      </c>
      <c r="HA25">
        <v>0.16474848360026012</v>
      </c>
      <c r="HB25">
        <v>9.5154027989410341E-3</v>
      </c>
      <c r="HC25">
        <v>0</v>
      </c>
      <c r="HD25">
        <v>0</v>
      </c>
      <c r="HE25">
        <v>0.11779057652795631</v>
      </c>
      <c r="HF25">
        <v>0.3023449914058296</v>
      </c>
      <c r="HG25">
        <v>0.4130762758416428</v>
      </c>
      <c r="HH25">
        <v>0.43512095168876541</v>
      </c>
      <c r="HI25">
        <v>0.42398325235582912</v>
      </c>
      <c r="HJ25">
        <v>0.35698788378845608</v>
      </c>
      <c r="HK25">
        <v>0.22542507455327224</v>
      </c>
      <c r="HL25">
        <v>5.9016136128409731E-2</v>
      </c>
      <c r="HM25">
        <v>0</v>
      </c>
      <c r="HN25">
        <v>0</v>
      </c>
      <c r="HO25">
        <v>0.13883148146442326</v>
      </c>
      <c r="HP25">
        <v>0.39836436141268805</v>
      </c>
      <c r="HQ25">
        <v>0.53663932838834083</v>
      </c>
      <c r="HR25">
        <v>0.51784008102189893</v>
      </c>
      <c r="HS25">
        <v>0.49041299868925464</v>
      </c>
      <c r="HT25">
        <v>0.43245180737155009</v>
      </c>
      <c r="HU25">
        <v>0.29092134782653845</v>
      </c>
      <c r="HV25">
        <v>8.1878741518078141E-2</v>
      </c>
      <c r="HW25">
        <v>0</v>
      </c>
      <c r="HX25">
        <v>0</v>
      </c>
      <c r="HY25">
        <v>1.036507796895972E-2</v>
      </c>
      <c r="HZ25">
        <v>0.17487039115059261</v>
      </c>
      <c r="IA25">
        <v>0.32869426077871505</v>
      </c>
      <c r="IB25">
        <v>0.34782978271363707</v>
      </c>
      <c r="IC25">
        <v>0.3609222364123521</v>
      </c>
      <c r="ID25">
        <v>0.26707609708585306</v>
      </c>
      <c r="IE25">
        <v>8.2655023240628359E-2</v>
      </c>
      <c r="IF25">
        <v>0</v>
      </c>
      <c r="IG25">
        <v>0</v>
      </c>
      <c r="IH25">
        <v>0</v>
      </c>
      <c r="II25">
        <v>0</v>
      </c>
      <c r="IJ25">
        <v>1.3350193458467836E-2</v>
      </c>
      <c r="IK25">
        <v>0.13012117779657495</v>
      </c>
      <c r="IL25">
        <v>0.17110762860398626</v>
      </c>
      <c r="IM25">
        <v>0.19141995946714779</v>
      </c>
      <c r="IN25">
        <v>8.9394832796961199E-2</v>
      </c>
      <c r="IO25">
        <v>0</v>
      </c>
      <c r="IP25">
        <v>0</v>
      </c>
      <c r="IQ25">
        <v>0</v>
      </c>
      <c r="IS25" t="s">
        <v>185</v>
      </c>
      <c r="IT25" t="s">
        <v>228</v>
      </c>
      <c r="IU25" t="s">
        <v>229</v>
      </c>
      <c r="IV25">
        <v>0.4894163050295674</v>
      </c>
    </row>
    <row r="26" spans="2:256" x14ac:dyDescent="0.25">
      <c r="B26" t="s">
        <v>186</v>
      </c>
      <c r="C26" t="s">
        <v>31</v>
      </c>
      <c r="D26">
        <v>0</v>
      </c>
      <c r="E26">
        <v>0</v>
      </c>
      <c r="F26">
        <v>0.81295654952153606</v>
      </c>
      <c r="G26">
        <v>0.33890685188462805</v>
      </c>
      <c r="H26">
        <v>0.21487031346703164</v>
      </c>
      <c r="I26">
        <v>0.20132333370563485</v>
      </c>
      <c r="J26">
        <v>0.33626057249476132</v>
      </c>
      <c r="K26">
        <v>0.81782549096722901</v>
      </c>
      <c r="L26">
        <v>0</v>
      </c>
      <c r="M26">
        <v>0</v>
      </c>
      <c r="N26">
        <v>0</v>
      </c>
      <c r="O26">
        <v>0.80586789948447823</v>
      </c>
      <c r="P26">
        <v>0.35978970931053517</v>
      </c>
      <c r="Q26">
        <v>0.24719029202801526</v>
      </c>
      <c r="R26">
        <v>0.18060741037384115</v>
      </c>
      <c r="S26">
        <v>0.18333586125955784</v>
      </c>
      <c r="T26">
        <v>0.24981243056812991</v>
      </c>
      <c r="U26">
        <v>0.35963033151401669</v>
      </c>
      <c r="V26">
        <v>0.86623276451591735</v>
      </c>
      <c r="W26">
        <v>0</v>
      </c>
      <c r="X26">
        <v>0</v>
      </c>
      <c r="Y26">
        <v>0.34759001969741371</v>
      </c>
      <c r="Z26">
        <v>0.26465427851163636</v>
      </c>
      <c r="AA26">
        <v>0.21207322442071772</v>
      </c>
      <c r="AB26">
        <v>0.15930067808337786</v>
      </c>
      <c r="AC26">
        <v>0.1463754001785495</v>
      </c>
      <c r="AD26">
        <v>0.17639602354044645</v>
      </c>
      <c r="AE26">
        <v>0.23511829357927844</v>
      </c>
      <c r="AF26">
        <v>0.41971771617336417</v>
      </c>
      <c r="AG26">
        <v>0</v>
      </c>
      <c r="AH26">
        <v>0</v>
      </c>
      <c r="AI26">
        <v>0.33850025678500423</v>
      </c>
      <c r="AJ26">
        <v>0.15251013162522872</v>
      </c>
      <c r="AK26">
        <v>0.11890528739779548</v>
      </c>
      <c r="AL26">
        <v>9.9203607773786756E-2</v>
      </c>
      <c r="AM26">
        <v>0.10419062618284489</v>
      </c>
      <c r="AN26">
        <v>0.13043938470181488</v>
      </c>
      <c r="AO26">
        <v>0.16637407012992381</v>
      </c>
      <c r="AP26">
        <v>0.40746438399280499</v>
      </c>
      <c r="AQ26">
        <v>0</v>
      </c>
      <c r="AR26">
        <v>0</v>
      </c>
      <c r="AS26">
        <v>0.90519022473512312</v>
      </c>
      <c r="AT26">
        <v>0.38495366093040179</v>
      </c>
      <c r="AU26">
        <v>0.2347129814718415</v>
      </c>
      <c r="AV26">
        <v>0.15436097029173654</v>
      </c>
      <c r="AW26">
        <v>0.15911729182597165</v>
      </c>
      <c r="AX26">
        <v>0.22946976852340861</v>
      </c>
      <c r="AY26">
        <v>0.54517952993087315</v>
      </c>
      <c r="AZ26">
        <v>0</v>
      </c>
      <c r="BA26">
        <v>0</v>
      </c>
      <c r="BB26">
        <v>0</v>
      </c>
      <c r="BC26">
        <v>0</v>
      </c>
      <c r="BD26">
        <v>0.84358093402278411</v>
      </c>
      <c r="BE26">
        <v>0.35806965721322015</v>
      </c>
      <c r="BF26">
        <v>0.25845262255372714</v>
      </c>
      <c r="BG26">
        <v>0.31278920321019382</v>
      </c>
      <c r="BH26">
        <v>0.5516834579591593</v>
      </c>
      <c r="BI26">
        <v>0</v>
      </c>
      <c r="BJ26">
        <v>0</v>
      </c>
      <c r="BK26">
        <v>0</v>
      </c>
      <c r="GI26" t="s">
        <v>186</v>
      </c>
      <c r="GJ26">
        <v>0</v>
      </c>
      <c r="GK26">
        <v>0</v>
      </c>
      <c r="GL26">
        <v>8.8187456203679387E-3</v>
      </c>
      <c r="GM26">
        <v>0.10002160479462191</v>
      </c>
      <c r="GN26">
        <v>0.1690939521761439</v>
      </c>
      <c r="GO26">
        <v>0.16993979546660107</v>
      </c>
      <c r="GP26">
        <v>8.4867902856281333E-2</v>
      </c>
      <c r="GQ26">
        <v>6.7923025568411991E-3</v>
      </c>
      <c r="GR26">
        <v>0</v>
      </c>
      <c r="GS26">
        <v>0</v>
      </c>
      <c r="GT26">
        <v>0</v>
      </c>
      <c r="GU26">
        <v>2.8336490958154496E-2</v>
      </c>
      <c r="GV26">
        <v>0.23516983590429832</v>
      </c>
      <c r="GW26">
        <v>0.41351723801545709</v>
      </c>
      <c r="GX26">
        <v>0.45039418768725398</v>
      </c>
      <c r="GY26">
        <v>0.43155522995959317</v>
      </c>
      <c r="GZ26">
        <v>0.34099663382991602</v>
      </c>
      <c r="HA26">
        <v>0.16958077996948856</v>
      </c>
      <c r="HB26">
        <v>1.369575502362997E-2</v>
      </c>
      <c r="HC26">
        <v>0</v>
      </c>
      <c r="HD26">
        <v>0</v>
      </c>
      <c r="HE26">
        <v>0.13657358993229649</v>
      </c>
      <c r="HF26">
        <v>0.33033878577823744</v>
      </c>
      <c r="HG26">
        <v>0.44124464413724934</v>
      </c>
      <c r="HH26">
        <v>0.45205581035439069</v>
      </c>
      <c r="HI26">
        <v>0.4371334005727418</v>
      </c>
      <c r="HJ26">
        <v>0.36806405216365673</v>
      </c>
      <c r="HK26">
        <v>0.23124110551321303</v>
      </c>
      <c r="HL26">
        <v>7.4082748695277145E-2</v>
      </c>
      <c r="HM26">
        <v>0</v>
      </c>
      <c r="HN26">
        <v>0</v>
      </c>
      <c r="HO26">
        <v>0.14348094788361904</v>
      </c>
      <c r="HP26">
        <v>0.39428099191102189</v>
      </c>
      <c r="HQ26">
        <v>0.52460067335193061</v>
      </c>
      <c r="HR26">
        <v>0.51324568267517512</v>
      </c>
      <c r="HS26">
        <v>0.47920427955953848</v>
      </c>
      <c r="HT26">
        <v>0.42468739525087362</v>
      </c>
      <c r="HU26">
        <v>0.29687452268377712</v>
      </c>
      <c r="HV26">
        <v>8.7765315744074548E-2</v>
      </c>
      <c r="HW26">
        <v>0</v>
      </c>
      <c r="HX26">
        <v>0</v>
      </c>
      <c r="HY26">
        <v>1.2073434281576591E-2</v>
      </c>
      <c r="HZ26">
        <v>0.16770036271530214</v>
      </c>
      <c r="IA26">
        <v>0.31619839418175627</v>
      </c>
      <c r="IB26">
        <v>0.33810446406212563</v>
      </c>
      <c r="IC26">
        <v>0.32966475457245176</v>
      </c>
      <c r="ID26">
        <v>0.25154895374774577</v>
      </c>
      <c r="IE26">
        <v>7.4810621142715486E-2</v>
      </c>
      <c r="IF26">
        <v>0</v>
      </c>
      <c r="IG26">
        <v>0</v>
      </c>
      <c r="IH26">
        <v>0</v>
      </c>
      <c r="II26">
        <v>0</v>
      </c>
      <c r="IJ26">
        <v>8.5359623086433325E-3</v>
      </c>
      <c r="IK26">
        <v>0.111653457899152</v>
      </c>
      <c r="IL26">
        <v>0.14168201047243489</v>
      </c>
      <c r="IM26">
        <v>0.13977323769558841</v>
      </c>
      <c r="IN26">
        <v>4.6092123918975422E-2</v>
      </c>
      <c r="IO26">
        <v>0</v>
      </c>
      <c r="IP26">
        <v>0</v>
      </c>
      <c r="IQ26">
        <v>0</v>
      </c>
      <c r="IS26" t="s">
        <v>186</v>
      </c>
      <c r="IT26" t="s">
        <v>228</v>
      </c>
      <c r="IU26" t="s">
        <v>229</v>
      </c>
      <c r="IV26">
        <v>0.49632480828975123</v>
      </c>
    </row>
    <row r="27" spans="2:256" x14ac:dyDescent="0.25">
      <c r="B27" t="s">
        <v>187</v>
      </c>
      <c r="C27" t="s">
        <v>31</v>
      </c>
      <c r="D27">
        <v>0</v>
      </c>
      <c r="E27">
        <v>0</v>
      </c>
      <c r="F27">
        <v>0.83201456531866591</v>
      </c>
      <c r="G27">
        <v>0.36492677565450282</v>
      </c>
      <c r="H27">
        <v>0.24173856670137917</v>
      </c>
      <c r="I27">
        <v>0.23799677419022336</v>
      </c>
      <c r="J27">
        <v>0.37599018034092196</v>
      </c>
      <c r="K27">
        <v>0.82209319902085209</v>
      </c>
      <c r="L27">
        <v>0</v>
      </c>
      <c r="M27">
        <v>0</v>
      </c>
      <c r="N27">
        <v>0</v>
      </c>
      <c r="O27">
        <v>0.78644207722985104</v>
      </c>
      <c r="P27">
        <v>0.34910876304904714</v>
      </c>
      <c r="Q27">
        <v>0.22043587053987462</v>
      </c>
      <c r="R27">
        <v>0.15212514099048247</v>
      </c>
      <c r="S27">
        <v>0.16810435694620654</v>
      </c>
      <c r="T27">
        <v>0.23773050209959071</v>
      </c>
      <c r="U27">
        <v>0.36938884859579785</v>
      </c>
      <c r="V27">
        <v>0.86964231001508663</v>
      </c>
      <c r="W27">
        <v>0</v>
      </c>
      <c r="X27">
        <v>0.94657657821880958</v>
      </c>
      <c r="Y27">
        <v>0.33972377989457631</v>
      </c>
      <c r="Z27">
        <v>0.25036337212434667</v>
      </c>
      <c r="AA27">
        <v>0.19495178465128193</v>
      </c>
      <c r="AB27">
        <v>0.14206676070459376</v>
      </c>
      <c r="AC27">
        <v>0.13448716098527316</v>
      </c>
      <c r="AD27">
        <v>0.1755214595921506</v>
      </c>
      <c r="AE27">
        <v>0.21894571916733138</v>
      </c>
      <c r="AF27">
        <v>0.40513725526990585</v>
      </c>
      <c r="AG27">
        <v>0</v>
      </c>
      <c r="AH27">
        <v>0</v>
      </c>
      <c r="AI27">
        <v>0.33270308622079725</v>
      </c>
      <c r="AJ27">
        <v>0.17195200521241752</v>
      </c>
      <c r="AK27">
        <v>0.12812957095266048</v>
      </c>
      <c r="AL27">
        <v>0.10304845078855898</v>
      </c>
      <c r="AM27">
        <v>0.11356442533073845</v>
      </c>
      <c r="AN27">
        <v>0.1372786787189634</v>
      </c>
      <c r="AO27">
        <v>0.17630010915780922</v>
      </c>
      <c r="AP27">
        <v>0.40999494415102328</v>
      </c>
      <c r="AQ27">
        <v>0</v>
      </c>
      <c r="AR27">
        <v>0</v>
      </c>
      <c r="AS27">
        <v>0.89370373504642098</v>
      </c>
      <c r="AT27">
        <v>0.39542830690336556</v>
      </c>
      <c r="AU27">
        <v>0.27300417173232017</v>
      </c>
      <c r="AV27">
        <v>0.16845332801024399</v>
      </c>
      <c r="AW27">
        <v>0.18580540481597299</v>
      </c>
      <c r="AX27">
        <v>0.25819769306205759</v>
      </c>
      <c r="AY27">
        <v>0.57944983576202125</v>
      </c>
      <c r="AZ27">
        <v>0</v>
      </c>
      <c r="BA27">
        <v>0</v>
      </c>
      <c r="BB27">
        <v>0</v>
      </c>
      <c r="BC27">
        <v>0</v>
      </c>
      <c r="BD27">
        <v>0.86962216560414984</v>
      </c>
      <c r="BE27">
        <v>0.41002151295505634</v>
      </c>
      <c r="BF27">
        <v>0.274521014524649</v>
      </c>
      <c r="BG27">
        <v>0.32085622553488058</v>
      </c>
      <c r="BH27">
        <v>0.59138409090779298</v>
      </c>
      <c r="BI27">
        <v>0</v>
      </c>
      <c r="BJ27">
        <v>0</v>
      </c>
      <c r="BK27">
        <v>0</v>
      </c>
      <c r="GI27" t="s">
        <v>187</v>
      </c>
      <c r="GJ27">
        <v>0</v>
      </c>
      <c r="GK27">
        <v>0</v>
      </c>
      <c r="GL27">
        <v>7.1427182927226805E-3</v>
      </c>
      <c r="GM27">
        <v>9.7379237751561376E-2</v>
      </c>
      <c r="GN27">
        <v>0.16606056251634843</v>
      </c>
      <c r="GO27">
        <v>0.16344776128306301</v>
      </c>
      <c r="GP27">
        <v>8.3894404277681744E-2</v>
      </c>
      <c r="GQ27">
        <v>6.965884722107997E-3</v>
      </c>
      <c r="GR27">
        <v>0</v>
      </c>
      <c r="GS27">
        <v>0</v>
      </c>
      <c r="GT27">
        <v>0</v>
      </c>
      <c r="GU27">
        <v>2.9479236807278687E-2</v>
      </c>
      <c r="GV27">
        <v>0.24289775667351823</v>
      </c>
      <c r="GW27">
        <v>0.43804371625437366</v>
      </c>
      <c r="GX27">
        <v>0.4712122450946678</v>
      </c>
      <c r="GY27">
        <v>0.45797673777262687</v>
      </c>
      <c r="GZ27">
        <v>0.36371180827965649</v>
      </c>
      <c r="HA27">
        <v>0.17897675399018323</v>
      </c>
      <c r="HB27">
        <v>1.4048397457137304E-2</v>
      </c>
      <c r="HC27">
        <v>0</v>
      </c>
      <c r="HD27">
        <v>2.7801239565637592E-5</v>
      </c>
      <c r="HE27">
        <v>0.15232001387578009</v>
      </c>
      <c r="HF27">
        <v>0.35254805417070595</v>
      </c>
      <c r="HG27">
        <v>0.46639322568984354</v>
      </c>
      <c r="HH27">
        <v>0.47535008561474779</v>
      </c>
      <c r="HI27">
        <v>0.45552079214199609</v>
      </c>
      <c r="HJ27">
        <v>0.37586770966561311</v>
      </c>
      <c r="HK27">
        <v>0.24155242512925706</v>
      </c>
      <c r="HL27">
        <v>8.141359608568402E-2</v>
      </c>
      <c r="HM27">
        <v>0</v>
      </c>
      <c r="HN27">
        <v>0</v>
      </c>
      <c r="HO27">
        <v>0.14498516124411615</v>
      </c>
      <c r="HP27">
        <v>0.37811098010087463</v>
      </c>
      <c r="HQ27">
        <v>0.49779115324896006</v>
      </c>
      <c r="HR27">
        <v>0.49544869570441452</v>
      </c>
      <c r="HS27">
        <v>0.46262141899124221</v>
      </c>
      <c r="HT27">
        <v>0.41528238548660573</v>
      </c>
      <c r="HU27">
        <v>0.28445246725384549</v>
      </c>
      <c r="HV27">
        <v>8.6438202876328613E-2</v>
      </c>
      <c r="HW27">
        <v>0</v>
      </c>
      <c r="HX27">
        <v>0</v>
      </c>
      <c r="HY27">
        <v>1.2284035879567548E-2</v>
      </c>
      <c r="HZ27">
        <v>0.16764613099617154</v>
      </c>
      <c r="IA27">
        <v>0.30924624003427098</v>
      </c>
      <c r="IB27">
        <v>0.31969809961746826</v>
      </c>
      <c r="IC27">
        <v>0.31245306858934035</v>
      </c>
      <c r="ID27">
        <v>0.23255034512445677</v>
      </c>
      <c r="IE27">
        <v>7.5946507782083464E-2</v>
      </c>
      <c r="IF27">
        <v>0</v>
      </c>
      <c r="IG27">
        <v>0</v>
      </c>
      <c r="IH27">
        <v>0</v>
      </c>
      <c r="II27">
        <v>0</v>
      </c>
      <c r="IJ27">
        <v>7.0466493355153502E-3</v>
      </c>
      <c r="IK27">
        <v>0.10090041478739814</v>
      </c>
      <c r="IL27">
        <v>0.1294618769147993</v>
      </c>
      <c r="IM27">
        <v>0.11588373100946479</v>
      </c>
      <c r="IN27">
        <v>3.3550537368966349E-2</v>
      </c>
      <c r="IO27">
        <v>0</v>
      </c>
      <c r="IP27">
        <v>0</v>
      </c>
      <c r="IQ27">
        <v>0</v>
      </c>
      <c r="IS27" t="s">
        <v>187</v>
      </c>
      <c r="IT27" t="s">
        <v>228</v>
      </c>
      <c r="IU27" t="s">
        <v>229</v>
      </c>
      <c r="IV27">
        <v>0.48183714476846201</v>
      </c>
    </row>
    <row r="28" spans="2:256" x14ac:dyDescent="0.25">
      <c r="B28" t="s">
        <v>188</v>
      </c>
      <c r="C28" t="s">
        <v>31</v>
      </c>
      <c r="D28">
        <v>0</v>
      </c>
      <c r="E28">
        <v>0</v>
      </c>
      <c r="F28">
        <v>0.80237760762054522</v>
      </c>
      <c r="G28">
        <v>0.3400887271997145</v>
      </c>
      <c r="H28">
        <v>0.21523872817790426</v>
      </c>
      <c r="I28">
        <v>0.24146754344583624</v>
      </c>
      <c r="J28">
        <v>0.3985904706139714</v>
      </c>
      <c r="K28">
        <v>0.86904743779924032</v>
      </c>
      <c r="L28">
        <v>0</v>
      </c>
      <c r="M28">
        <v>0</v>
      </c>
      <c r="N28">
        <v>0</v>
      </c>
      <c r="O28">
        <v>0.74502092232175066</v>
      </c>
      <c r="P28">
        <v>0.34713486032620122</v>
      </c>
      <c r="Q28">
        <v>0.24119210097757207</v>
      </c>
      <c r="R28">
        <v>0.17599601934051043</v>
      </c>
      <c r="S28">
        <v>0.19299130806736561</v>
      </c>
      <c r="T28">
        <v>0.27082926783449274</v>
      </c>
      <c r="U28">
        <v>0.41435715962860692</v>
      </c>
      <c r="V28">
        <v>0.90621036325866022</v>
      </c>
      <c r="W28">
        <v>0</v>
      </c>
      <c r="X28">
        <v>0.91329740118982872</v>
      </c>
      <c r="Y28">
        <v>0.29984624683346167</v>
      </c>
      <c r="Z28">
        <v>0.22898157011831674</v>
      </c>
      <c r="AA28">
        <v>0.16964906002391025</v>
      </c>
      <c r="AB28">
        <v>0.13369936515427397</v>
      </c>
      <c r="AC28">
        <v>0.14036678469567981</v>
      </c>
      <c r="AD28">
        <v>0.19665888269010021</v>
      </c>
      <c r="AE28">
        <v>0.24961226491831956</v>
      </c>
      <c r="AF28">
        <v>0.4362323385272508</v>
      </c>
      <c r="AG28">
        <v>0</v>
      </c>
      <c r="AH28">
        <v>0.9838709677419355</v>
      </c>
      <c r="AI28">
        <v>0.32034756369311124</v>
      </c>
      <c r="AJ28">
        <v>0.15704073604769453</v>
      </c>
      <c r="AK28">
        <v>0.11969144421852777</v>
      </c>
      <c r="AL28">
        <v>9.3921305636918542E-2</v>
      </c>
      <c r="AM28">
        <v>0.11182582750132526</v>
      </c>
      <c r="AN28">
        <v>0.12966049761831294</v>
      </c>
      <c r="AO28">
        <v>0.17064583566786984</v>
      </c>
      <c r="AP28">
        <v>0.45692468192669178</v>
      </c>
      <c r="AQ28">
        <v>0</v>
      </c>
      <c r="AR28">
        <v>0</v>
      </c>
      <c r="AS28">
        <v>0.86306917888395829</v>
      </c>
      <c r="AT28">
        <v>0.37605383814593302</v>
      </c>
      <c r="AU28">
        <v>0.2578057335058499</v>
      </c>
      <c r="AV28">
        <v>0.18367400641061257</v>
      </c>
      <c r="AW28">
        <v>0.20672552773968542</v>
      </c>
      <c r="AX28">
        <v>0.25842958691246926</v>
      </c>
      <c r="AY28">
        <v>0.60181989131120017</v>
      </c>
      <c r="AZ28">
        <v>0</v>
      </c>
      <c r="BA28">
        <v>0</v>
      </c>
      <c r="BB28">
        <v>0</v>
      </c>
      <c r="BC28">
        <v>0</v>
      </c>
      <c r="BD28">
        <v>0.83505964982675362</v>
      </c>
      <c r="BE28">
        <v>0.37151543592523012</v>
      </c>
      <c r="BF28">
        <v>0.27046542126756229</v>
      </c>
      <c r="BG28">
        <v>0.32324928002940317</v>
      </c>
      <c r="BH28">
        <v>0.60258552822936962</v>
      </c>
      <c r="BI28">
        <v>0</v>
      </c>
      <c r="BJ28">
        <v>0</v>
      </c>
      <c r="BK28">
        <v>0</v>
      </c>
      <c r="GI28" t="s">
        <v>188</v>
      </c>
      <c r="GJ28">
        <v>0</v>
      </c>
      <c r="GK28">
        <v>0</v>
      </c>
      <c r="GL28">
        <v>1.0336974054779135E-2</v>
      </c>
      <c r="GM28">
        <v>0.11339504618320816</v>
      </c>
      <c r="GN28">
        <v>0.17764328505498198</v>
      </c>
      <c r="GO28">
        <v>0.16507047525415008</v>
      </c>
      <c r="GP28">
        <v>7.7935673291760862E-2</v>
      </c>
      <c r="GQ28">
        <v>5.6894253970320085E-3</v>
      </c>
      <c r="GR28">
        <v>0</v>
      </c>
      <c r="GS28">
        <v>0</v>
      </c>
      <c r="GT28">
        <v>0</v>
      </c>
      <c r="GU28">
        <v>4.0208232642323968E-2</v>
      </c>
      <c r="GV28">
        <v>0.26123525850302554</v>
      </c>
      <c r="GW28">
        <v>0.41679849999473723</v>
      </c>
      <c r="GX28">
        <v>0.43623668473183147</v>
      </c>
      <c r="GY28">
        <v>0.42255137427333606</v>
      </c>
      <c r="GZ28">
        <v>0.3288663468494783</v>
      </c>
      <c r="HA28">
        <v>0.15042122111677825</v>
      </c>
      <c r="HB28">
        <v>7.3860351844515946E-3</v>
      </c>
      <c r="HC28">
        <v>0</v>
      </c>
      <c r="HD28">
        <v>2.1686617769682229E-3</v>
      </c>
      <c r="HE28">
        <v>0.18018550263204272</v>
      </c>
      <c r="HF28">
        <v>0.37782325896589325</v>
      </c>
      <c r="HG28">
        <v>0.4849376159570965</v>
      </c>
      <c r="HH28">
        <v>0.48384090154815207</v>
      </c>
      <c r="HI28">
        <v>0.45843655381283549</v>
      </c>
      <c r="HJ28">
        <v>0.36772803888550804</v>
      </c>
      <c r="HK28">
        <v>0.23490457016037705</v>
      </c>
      <c r="HL28">
        <v>6.4482120776208379E-2</v>
      </c>
      <c r="HM28">
        <v>0</v>
      </c>
      <c r="HN28">
        <v>7.208364170634272E-5</v>
      </c>
      <c r="HO28">
        <v>0.16401288267156122</v>
      </c>
      <c r="HP28">
        <v>0.40415253577225185</v>
      </c>
      <c r="HQ28">
        <v>0.50905573961213169</v>
      </c>
      <c r="HR28">
        <v>0.49998395894137238</v>
      </c>
      <c r="HS28">
        <v>0.48036015531907206</v>
      </c>
      <c r="HT28">
        <v>0.42915692168530239</v>
      </c>
      <c r="HU28">
        <v>0.28528557101293628</v>
      </c>
      <c r="HV28">
        <v>6.9883421475940233E-2</v>
      </c>
      <c r="HW28">
        <v>0</v>
      </c>
      <c r="HX28">
        <v>0</v>
      </c>
      <c r="HY28">
        <v>1.4301290749809384E-2</v>
      </c>
      <c r="HZ28">
        <v>0.16519854139504228</v>
      </c>
      <c r="IA28">
        <v>0.28233378781396046</v>
      </c>
      <c r="IB28">
        <v>0.30836821402250297</v>
      </c>
      <c r="IC28">
        <v>0.31385978136088444</v>
      </c>
      <c r="ID28">
        <v>0.22721642494396221</v>
      </c>
      <c r="IE28">
        <v>6.3471619232346038E-2</v>
      </c>
      <c r="IF28">
        <v>0</v>
      </c>
      <c r="IG28">
        <v>0</v>
      </c>
      <c r="IH28">
        <v>0</v>
      </c>
      <c r="II28">
        <v>0</v>
      </c>
      <c r="IJ28">
        <v>1.2554599030442792E-2</v>
      </c>
      <c r="IK28">
        <v>0.10590148729611761</v>
      </c>
      <c r="IL28">
        <v>0.13938003873967067</v>
      </c>
      <c r="IM28">
        <v>0.12881732738676813</v>
      </c>
      <c r="IN28">
        <v>3.196284859936338E-2</v>
      </c>
      <c r="IO28">
        <v>0</v>
      </c>
      <c r="IP28">
        <v>0</v>
      </c>
      <c r="IQ28">
        <v>0</v>
      </c>
      <c r="IS28" t="s">
        <v>188</v>
      </c>
      <c r="IT28" t="s">
        <v>228</v>
      </c>
      <c r="IU28" t="s">
        <v>229</v>
      </c>
      <c r="IV28">
        <v>0.45405763076212929</v>
      </c>
    </row>
    <row r="29" spans="2:256" x14ac:dyDescent="0.25">
      <c r="B29" t="s">
        <v>189</v>
      </c>
      <c r="C29" t="s">
        <v>31</v>
      </c>
      <c r="D29">
        <v>0</v>
      </c>
      <c r="E29">
        <v>0</v>
      </c>
      <c r="F29">
        <v>0.7819465669100446</v>
      </c>
      <c r="G29">
        <v>0.317931107072637</v>
      </c>
      <c r="H29">
        <v>0.21966437069550285</v>
      </c>
      <c r="I29">
        <v>0.23431737749152026</v>
      </c>
      <c r="J29">
        <v>0.36267200464020827</v>
      </c>
      <c r="K29">
        <v>0.8304171299874189</v>
      </c>
      <c r="L29">
        <v>0</v>
      </c>
      <c r="M29">
        <v>0</v>
      </c>
      <c r="N29">
        <v>0</v>
      </c>
      <c r="O29">
        <v>0.77678220411282073</v>
      </c>
      <c r="P29">
        <v>0.36337663531170139</v>
      </c>
      <c r="Q29">
        <v>0.26647988962893787</v>
      </c>
      <c r="R29">
        <v>0.18588237383942319</v>
      </c>
      <c r="S29">
        <v>0.18837735468306815</v>
      </c>
      <c r="T29">
        <v>0.25428840311655115</v>
      </c>
      <c r="U29">
        <v>0.40070257705099799</v>
      </c>
      <c r="V29">
        <v>0.90991736563477577</v>
      </c>
      <c r="W29">
        <v>0</v>
      </c>
      <c r="X29">
        <v>0</v>
      </c>
      <c r="Y29">
        <v>0.33259855982570252</v>
      </c>
      <c r="Z29">
        <v>0.25679255146118035</v>
      </c>
      <c r="AA29">
        <v>0.19002517202386784</v>
      </c>
      <c r="AB29">
        <v>0.15265171991043891</v>
      </c>
      <c r="AC29">
        <v>0.14410301097642458</v>
      </c>
      <c r="AD29">
        <v>0.19029701876216376</v>
      </c>
      <c r="AE29">
        <v>0.26345827452797876</v>
      </c>
      <c r="AF29">
        <v>0.47105188520687258</v>
      </c>
      <c r="AG29">
        <v>0</v>
      </c>
      <c r="AH29">
        <v>0</v>
      </c>
      <c r="AI29">
        <v>0.30901143176645246</v>
      </c>
      <c r="AJ29">
        <v>0.15627052004462286</v>
      </c>
      <c r="AK29">
        <v>0.11957488742986168</v>
      </c>
      <c r="AL29">
        <v>9.5071679507942403E-2</v>
      </c>
      <c r="AM29">
        <v>0.10307968405125988</v>
      </c>
      <c r="AN29">
        <v>0.12338642120702421</v>
      </c>
      <c r="AO29">
        <v>0.17874178109880887</v>
      </c>
      <c r="AP29">
        <v>0.47248042376200805</v>
      </c>
      <c r="AQ29">
        <v>0</v>
      </c>
      <c r="AR29">
        <v>0</v>
      </c>
      <c r="AS29">
        <v>0.89144665073419016</v>
      </c>
      <c r="AT29">
        <v>0.37119056638630504</v>
      </c>
      <c r="AU29">
        <v>0.24313909946703413</v>
      </c>
      <c r="AV29">
        <v>0.15857772306253987</v>
      </c>
      <c r="AW29">
        <v>0.17372134630391359</v>
      </c>
      <c r="AX29">
        <v>0.26258538699234096</v>
      </c>
      <c r="AY29">
        <v>0.59024363486340659</v>
      </c>
      <c r="AZ29">
        <v>0</v>
      </c>
      <c r="BA29">
        <v>0</v>
      </c>
      <c r="BB29">
        <v>0</v>
      </c>
      <c r="BC29">
        <v>0</v>
      </c>
      <c r="BD29">
        <v>0.81753262336054844</v>
      </c>
      <c r="BE29">
        <v>0.32324744422925544</v>
      </c>
      <c r="BF29">
        <v>0.22641280580173415</v>
      </c>
      <c r="BG29">
        <v>0.28633722821078994</v>
      </c>
      <c r="BH29">
        <v>0.54532677520977546</v>
      </c>
      <c r="BI29">
        <v>0</v>
      </c>
      <c r="BJ29">
        <v>0</v>
      </c>
      <c r="BK29">
        <v>0</v>
      </c>
      <c r="GI29" t="s">
        <v>189</v>
      </c>
      <c r="GJ29">
        <v>0</v>
      </c>
      <c r="GK29">
        <v>0</v>
      </c>
      <c r="GL29">
        <v>1.3214842628857368E-2</v>
      </c>
      <c r="GM29">
        <v>0.12831248390760275</v>
      </c>
      <c r="GN29">
        <v>0.19297381498887808</v>
      </c>
      <c r="GO29">
        <v>0.17765998385883669</v>
      </c>
      <c r="GP29">
        <v>8.9465923597514083E-2</v>
      </c>
      <c r="GQ29">
        <v>7.244837769679254E-3</v>
      </c>
      <c r="GR29">
        <v>0</v>
      </c>
      <c r="GS29">
        <v>0</v>
      </c>
      <c r="GT29">
        <v>0</v>
      </c>
      <c r="GU29">
        <v>3.6276444348997287E-2</v>
      </c>
      <c r="GV29">
        <v>0.25137453343986155</v>
      </c>
      <c r="GW29">
        <v>0.40400844836741334</v>
      </c>
      <c r="GX29">
        <v>0.43027699445052786</v>
      </c>
      <c r="GY29">
        <v>0.41395182795856655</v>
      </c>
      <c r="GZ29">
        <v>0.32391353512261889</v>
      </c>
      <c r="HA29">
        <v>0.15003340429714665</v>
      </c>
      <c r="HB29">
        <v>5.510251575133838E-3</v>
      </c>
      <c r="HC29">
        <v>0</v>
      </c>
      <c r="HD29">
        <v>0</v>
      </c>
      <c r="HE29">
        <v>0.1521506657948177</v>
      </c>
      <c r="HF29">
        <v>0.33569763430037997</v>
      </c>
      <c r="HG29">
        <v>0.45248680151288567</v>
      </c>
      <c r="HH29">
        <v>0.45645292427452677</v>
      </c>
      <c r="HI29">
        <v>0.43798443390871789</v>
      </c>
      <c r="HJ29">
        <v>0.35713493799836299</v>
      </c>
      <c r="HK29">
        <v>0.20943678652181721</v>
      </c>
      <c r="HL29">
        <v>5.5836566748307177E-2</v>
      </c>
      <c r="HM29">
        <v>0</v>
      </c>
      <c r="HN29">
        <v>0</v>
      </c>
      <c r="HO29">
        <v>0.16247943212107879</v>
      </c>
      <c r="HP29">
        <v>0.41128909386432355</v>
      </c>
      <c r="HQ29">
        <v>0.51928088379547432</v>
      </c>
      <c r="HR29">
        <v>0.50493242592972654</v>
      </c>
      <c r="HS29">
        <v>0.48424361947084354</v>
      </c>
      <c r="HT29">
        <v>0.42398900582960442</v>
      </c>
      <c r="HU29">
        <v>0.27608736992682664</v>
      </c>
      <c r="HV29">
        <v>6.9689739474160087E-2</v>
      </c>
      <c r="HW29">
        <v>0</v>
      </c>
      <c r="HX29">
        <v>0</v>
      </c>
      <c r="HY29">
        <v>1.3843618827812444E-2</v>
      </c>
      <c r="HZ29">
        <v>0.17173064723284864</v>
      </c>
      <c r="IA29">
        <v>0.30802226534696225</v>
      </c>
      <c r="IB29">
        <v>0.31496313307415919</v>
      </c>
      <c r="IC29">
        <v>0.32570057093909782</v>
      </c>
      <c r="ID29">
        <v>0.23008200124787351</v>
      </c>
      <c r="IE29">
        <v>6.8016213041565507E-2</v>
      </c>
      <c r="IF29">
        <v>0</v>
      </c>
      <c r="IG29">
        <v>0</v>
      </c>
      <c r="IH29">
        <v>0</v>
      </c>
      <c r="II29">
        <v>0</v>
      </c>
      <c r="IJ29">
        <v>1.6059586694889327E-2</v>
      </c>
      <c r="IK29">
        <v>0.1332952346271318</v>
      </c>
      <c r="IL29">
        <v>0.15810459314059114</v>
      </c>
      <c r="IM29">
        <v>0.15897982323177848</v>
      </c>
      <c r="IN29">
        <v>5.2523077558681817E-2</v>
      </c>
      <c r="IO29">
        <v>0</v>
      </c>
      <c r="IP29">
        <v>0</v>
      </c>
      <c r="IQ29">
        <v>0</v>
      </c>
      <c r="IS29" t="s">
        <v>189</v>
      </c>
      <c r="IT29" t="s">
        <v>228</v>
      </c>
      <c r="IU29" t="s">
        <v>229</v>
      </c>
      <c r="IV29">
        <v>0.45477884469619129</v>
      </c>
    </row>
    <row r="30" spans="2:256" x14ac:dyDescent="0.25">
      <c r="B30" t="s">
        <v>190</v>
      </c>
      <c r="C30" t="s">
        <v>31</v>
      </c>
      <c r="D30">
        <v>0</v>
      </c>
      <c r="E30">
        <v>0</v>
      </c>
      <c r="F30">
        <v>0.7801400559958559</v>
      </c>
      <c r="G30">
        <v>0.33951128317979562</v>
      </c>
      <c r="H30">
        <v>0.2147151618861802</v>
      </c>
      <c r="I30">
        <v>0.24111073412739584</v>
      </c>
      <c r="J30">
        <v>0.38851184871972722</v>
      </c>
      <c r="K30">
        <v>0.86299861158119673</v>
      </c>
      <c r="L30">
        <v>0</v>
      </c>
      <c r="M30">
        <v>0</v>
      </c>
      <c r="N30">
        <v>0</v>
      </c>
      <c r="O30">
        <v>0.723959579296932</v>
      </c>
      <c r="P30">
        <v>0.35731388164873595</v>
      </c>
      <c r="Q30">
        <v>0.26430091272325168</v>
      </c>
      <c r="R30">
        <v>0.19204804188865834</v>
      </c>
      <c r="S30">
        <v>0.21016551640899356</v>
      </c>
      <c r="T30">
        <v>0.28506210482169292</v>
      </c>
      <c r="U30">
        <v>0.41872550516441454</v>
      </c>
      <c r="V30">
        <v>0.92653855669946805</v>
      </c>
      <c r="W30">
        <v>0</v>
      </c>
      <c r="X30">
        <v>0.91471464997200458</v>
      </c>
      <c r="Y30">
        <v>0.29100794838320365</v>
      </c>
      <c r="Z30">
        <v>0.21130500891258441</v>
      </c>
      <c r="AA30">
        <v>0.15790639664270401</v>
      </c>
      <c r="AB30">
        <v>0.13131969072274954</v>
      </c>
      <c r="AC30">
        <v>0.14043741906813631</v>
      </c>
      <c r="AD30">
        <v>0.17656853906370007</v>
      </c>
      <c r="AE30">
        <v>0.23957457758028702</v>
      </c>
      <c r="AF30">
        <v>0.45039143703534451</v>
      </c>
      <c r="AG30">
        <v>0</v>
      </c>
      <c r="AH30">
        <v>0.98709677419354847</v>
      </c>
      <c r="AI30">
        <v>0.29719600906145521</v>
      </c>
      <c r="AJ30">
        <v>0.1547428430834053</v>
      </c>
      <c r="AK30">
        <v>0.12951708540687984</v>
      </c>
      <c r="AL30">
        <v>0.10028401017033689</v>
      </c>
      <c r="AM30">
        <v>0.10637542359142962</v>
      </c>
      <c r="AN30">
        <v>0.13541453103567436</v>
      </c>
      <c r="AO30">
        <v>0.17627109742284186</v>
      </c>
      <c r="AP30">
        <v>0.49656988130366891</v>
      </c>
      <c r="AQ30">
        <v>0</v>
      </c>
      <c r="AR30">
        <v>0</v>
      </c>
      <c r="AS30">
        <v>0.85394830677613831</v>
      </c>
      <c r="AT30">
        <v>0.35133525265490478</v>
      </c>
      <c r="AU30">
        <v>0.24922328326112414</v>
      </c>
      <c r="AV30">
        <v>0.18303941900520218</v>
      </c>
      <c r="AW30">
        <v>0.20746565560464081</v>
      </c>
      <c r="AX30">
        <v>0.27262202995944063</v>
      </c>
      <c r="AY30">
        <v>0.62060073835228657</v>
      </c>
      <c r="AZ30">
        <v>0</v>
      </c>
      <c r="BA30">
        <v>0</v>
      </c>
      <c r="BB30">
        <v>0</v>
      </c>
      <c r="BC30">
        <v>0</v>
      </c>
      <c r="BD30">
        <v>0.79649392431736554</v>
      </c>
      <c r="BE30">
        <v>0.34409255083945212</v>
      </c>
      <c r="BF30">
        <v>0.23982294359564302</v>
      </c>
      <c r="BG30">
        <v>0.30399828284348951</v>
      </c>
      <c r="BH30">
        <v>0.58436118518271718</v>
      </c>
      <c r="BI30">
        <v>0</v>
      </c>
      <c r="BJ30">
        <v>0</v>
      </c>
      <c r="BK30">
        <v>0</v>
      </c>
      <c r="GI30" t="s">
        <v>190</v>
      </c>
      <c r="GJ30">
        <v>0</v>
      </c>
      <c r="GK30">
        <v>0</v>
      </c>
      <c r="GL30">
        <v>1.3478272953011287E-2</v>
      </c>
      <c r="GM30">
        <v>0.12463523487169087</v>
      </c>
      <c r="GN30">
        <v>0.18397004980906229</v>
      </c>
      <c r="GO30">
        <v>0.16777322805994038</v>
      </c>
      <c r="GP30">
        <v>7.2640381756374758E-2</v>
      </c>
      <c r="GQ30">
        <v>5.0601315082064238E-3</v>
      </c>
      <c r="GR30">
        <v>0</v>
      </c>
      <c r="GS30">
        <v>0</v>
      </c>
      <c r="GT30">
        <v>0</v>
      </c>
      <c r="GU30">
        <v>4.6046679824209215E-2</v>
      </c>
      <c r="GV30">
        <v>0.27237727321426153</v>
      </c>
      <c r="GW30">
        <v>0.40627229046560487</v>
      </c>
      <c r="GX30">
        <v>0.42222328087821048</v>
      </c>
      <c r="GY30">
        <v>0.40683457534826845</v>
      </c>
      <c r="GZ30">
        <v>0.32071326462789707</v>
      </c>
      <c r="HA30">
        <v>0.14949349110527263</v>
      </c>
      <c r="HB30">
        <v>3.281184191988756E-3</v>
      </c>
      <c r="HC30">
        <v>0</v>
      </c>
      <c r="HD30">
        <v>2.7100051688915463E-3</v>
      </c>
      <c r="HE30">
        <v>0.18188909811966575</v>
      </c>
      <c r="HF30">
        <v>0.38283789322108225</v>
      </c>
      <c r="HG30">
        <v>0.48087346869624448</v>
      </c>
      <c r="HH30">
        <v>0.48222834485319849</v>
      </c>
      <c r="HI30">
        <v>0.45342781692810319</v>
      </c>
      <c r="HJ30">
        <v>0.36913061765891181</v>
      </c>
      <c r="HK30">
        <v>0.22837525001625664</v>
      </c>
      <c r="HL30">
        <v>5.5772123290063098E-2</v>
      </c>
      <c r="HM30">
        <v>0</v>
      </c>
      <c r="HN30">
        <v>6.6960394500461848E-5</v>
      </c>
      <c r="HO30">
        <v>0.16892726776195138</v>
      </c>
      <c r="HP30">
        <v>0.40636566037622024</v>
      </c>
      <c r="HQ30">
        <v>0.50198001121792712</v>
      </c>
      <c r="HR30">
        <v>0.49311202029617657</v>
      </c>
      <c r="HS30">
        <v>0.48148824124817535</v>
      </c>
      <c r="HT30">
        <v>0.42294082729332655</v>
      </c>
      <c r="HU30">
        <v>0.27892106079568385</v>
      </c>
      <c r="HV30">
        <v>6.1385427707588917E-2</v>
      </c>
      <c r="HW30">
        <v>0</v>
      </c>
      <c r="HX30">
        <v>0</v>
      </c>
      <c r="HY30">
        <v>1.712211404775053E-2</v>
      </c>
      <c r="HZ30">
        <v>0.17192398908236256</v>
      </c>
      <c r="IA30">
        <v>0.2948767569648183</v>
      </c>
      <c r="IB30">
        <v>0.31304698147213927</v>
      </c>
      <c r="IC30">
        <v>0.30333391800735959</v>
      </c>
      <c r="ID30">
        <v>0.21495698534185961</v>
      </c>
      <c r="IE30">
        <v>6.0976701057552471E-2</v>
      </c>
      <c r="IF30">
        <v>0</v>
      </c>
      <c r="IG30">
        <v>0</v>
      </c>
      <c r="IH30">
        <v>0</v>
      </c>
      <c r="II30">
        <v>0</v>
      </c>
      <c r="IJ30">
        <v>1.5533809759816622E-2</v>
      </c>
      <c r="IK30">
        <v>0.12119064831207421</v>
      </c>
      <c r="IL30">
        <v>0.15209876149228374</v>
      </c>
      <c r="IM30">
        <v>0.1470507168547755</v>
      </c>
      <c r="IN30">
        <v>4.0955080037390727E-2</v>
      </c>
      <c r="IO30">
        <v>0</v>
      </c>
      <c r="IP30">
        <v>0</v>
      </c>
      <c r="IQ30">
        <v>0</v>
      </c>
      <c r="IS30" t="s">
        <v>190</v>
      </c>
      <c r="IT30" t="s">
        <v>228</v>
      </c>
      <c r="IU30" t="s">
        <v>229</v>
      </c>
      <c r="IV30">
        <v>0.44376762970617961</v>
      </c>
    </row>
    <row r="31" spans="2:256" x14ac:dyDescent="0.25">
      <c r="B31" t="s">
        <v>191</v>
      </c>
      <c r="C31" t="s">
        <v>31</v>
      </c>
      <c r="D31">
        <v>0.38652115267099352</v>
      </c>
      <c r="E31">
        <v>0.39554756074758735</v>
      </c>
      <c r="F31">
        <v>0.37961876944740169</v>
      </c>
      <c r="G31">
        <v>0.38616403663775184</v>
      </c>
      <c r="H31">
        <v>0.39396138290848298</v>
      </c>
      <c r="I31">
        <v>0.40770606564661876</v>
      </c>
      <c r="J31">
        <v>0.38829663477997456</v>
      </c>
      <c r="K31">
        <v>0.37784715621199227</v>
      </c>
      <c r="L31">
        <v>0.37513992459199996</v>
      </c>
      <c r="M31">
        <v>0.38597645416127885</v>
      </c>
      <c r="N31">
        <v>0.32384865892340026</v>
      </c>
      <c r="O31">
        <v>0.31295345923340329</v>
      </c>
      <c r="P31">
        <v>0.33634414056532469</v>
      </c>
      <c r="Q31">
        <v>0.36065664115820822</v>
      </c>
      <c r="R31">
        <v>0.4062980087079785</v>
      </c>
      <c r="S31">
        <v>0.4020250144951833</v>
      </c>
      <c r="T31">
        <v>0.38446034915417532</v>
      </c>
      <c r="U31">
        <v>0.36955185723519757</v>
      </c>
      <c r="V31">
        <v>0.33726290419157001</v>
      </c>
      <c r="W31">
        <v>0.32862028324876802</v>
      </c>
      <c r="X31">
        <v>0.37152604321798155</v>
      </c>
      <c r="Y31">
        <v>0.38607623510340988</v>
      </c>
      <c r="Z31">
        <v>0.44896117963592447</v>
      </c>
      <c r="AA31">
        <v>0.45601055263076906</v>
      </c>
      <c r="AB31">
        <v>0.43172417886895614</v>
      </c>
      <c r="AC31">
        <v>0.40011237056982135</v>
      </c>
      <c r="AD31">
        <v>0.37902477308790555</v>
      </c>
      <c r="AE31">
        <v>0.38989849272473032</v>
      </c>
      <c r="AF31">
        <v>0.4086656700529851</v>
      </c>
      <c r="AG31">
        <v>0.3975551421965452</v>
      </c>
      <c r="AH31">
        <v>0.40816479208153356</v>
      </c>
      <c r="AI31">
        <v>0.39288335174134204</v>
      </c>
      <c r="AJ31">
        <v>0.47351236391307389</v>
      </c>
      <c r="AK31">
        <v>0.45967372895649006</v>
      </c>
      <c r="AL31">
        <v>0.47429133865258044</v>
      </c>
      <c r="AM31">
        <v>0.45527396318632068</v>
      </c>
      <c r="AN31">
        <v>0.42829024480967359</v>
      </c>
      <c r="AO31">
        <v>0.42160918707807932</v>
      </c>
      <c r="AP31">
        <v>0.40118430543259087</v>
      </c>
      <c r="AQ31">
        <v>0.40566661226506134</v>
      </c>
      <c r="AR31">
        <v>0.40897457527721981</v>
      </c>
      <c r="AS31">
        <v>0.42428460758196085</v>
      </c>
      <c r="AT31">
        <v>0.44172964077777621</v>
      </c>
      <c r="AU31">
        <v>0.45215169074413614</v>
      </c>
      <c r="AV31">
        <v>0.46267009960100025</v>
      </c>
      <c r="AW31">
        <v>0.45409319896269817</v>
      </c>
      <c r="AX31">
        <v>0.44033584889437166</v>
      </c>
      <c r="AY31">
        <v>0.38475659162250497</v>
      </c>
      <c r="AZ31">
        <v>0.34400411916646467</v>
      </c>
      <c r="BA31">
        <v>0.37035645987121807</v>
      </c>
      <c r="BB31">
        <v>0.28222615805458473</v>
      </c>
      <c r="BC31">
        <v>0.2854699158573954</v>
      </c>
      <c r="BD31">
        <v>0.27379139156971011</v>
      </c>
      <c r="BE31">
        <v>0.2732882295054701</v>
      </c>
      <c r="BF31">
        <v>0.30922009874935225</v>
      </c>
      <c r="BG31">
        <v>0.32354653786964971</v>
      </c>
      <c r="BH31">
        <v>0.32672572500815955</v>
      </c>
      <c r="BI31">
        <v>0.31167648742164794</v>
      </c>
      <c r="BJ31">
        <v>0.30418682104213657</v>
      </c>
      <c r="BK31">
        <v>0.28926746586664509</v>
      </c>
      <c r="GI31" t="s">
        <v>191</v>
      </c>
      <c r="GJ31">
        <v>0.32184424575344567</v>
      </c>
      <c r="GK31">
        <v>0.31346318722826311</v>
      </c>
      <c r="GL31">
        <v>0.32252795115653848</v>
      </c>
      <c r="GM31">
        <v>0.32229703293867334</v>
      </c>
      <c r="GN31">
        <v>0.29304574497068175</v>
      </c>
      <c r="GO31">
        <v>0.29625312443569901</v>
      </c>
      <c r="GP31">
        <v>0.30797725762659744</v>
      </c>
      <c r="GQ31">
        <v>0.34158735851647559</v>
      </c>
      <c r="GR31">
        <v>0.350179681560635</v>
      </c>
      <c r="GS31">
        <v>0.338807490653184</v>
      </c>
      <c r="GT31">
        <v>0.33618973714730943</v>
      </c>
      <c r="GU31">
        <v>0.33947962127823211</v>
      </c>
      <c r="GV31">
        <v>0.31168056139648126</v>
      </c>
      <c r="GW31">
        <v>0.28585833804954774</v>
      </c>
      <c r="GX31">
        <v>0.25576984585356799</v>
      </c>
      <c r="GY31">
        <v>0.27929819289376856</v>
      </c>
      <c r="GZ31">
        <v>0.30106238911775868</v>
      </c>
      <c r="HA31">
        <v>0.31902587395785414</v>
      </c>
      <c r="HB31">
        <v>0.33413015505117</v>
      </c>
      <c r="HC31">
        <v>0.33462815631142029</v>
      </c>
      <c r="HD31">
        <v>0.20379051374372101</v>
      </c>
      <c r="HE31">
        <v>0.19277690001362616</v>
      </c>
      <c r="HF31">
        <v>0.1559467871370912</v>
      </c>
      <c r="HG31">
        <v>0.15781031364219331</v>
      </c>
      <c r="HH31">
        <v>0.14598370401400532</v>
      </c>
      <c r="HI31">
        <v>0.16786296129658004</v>
      </c>
      <c r="HJ31">
        <v>0.17325634703327603</v>
      </c>
      <c r="HK31">
        <v>0.17918697285986579</v>
      </c>
      <c r="HL31">
        <v>0.19428207000329864</v>
      </c>
      <c r="HM31">
        <v>0.21544916376134435</v>
      </c>
      <c r="HN31">
        <v>0.16976501848184022</v>
      </c>
      <c r="HO31">
        <v>0.15604733295986664</v>
      </c>
      <c r="HP31">
        <v>0.15415763229292095</v>
      </c>
      <c r="HQ31">
        <v>0.16743898049118397</v>
      </c>
      <c r="HR31">
        <v>0.15671576916932631</v>
      </c>
      <c r="HS31">
        <v>0.19240158148135963</v>
      </c>
      <c r="HT31">
        <v>0.20789613787421771</v>
      </c>
      <c r="HU31">
        <v>0.18963760262972501</v>
      </c>
      <c r="HV31">
        <v>0.18068690791370576</v>
      </c>
      <c r="HW31">
        <v>0.17682136092696066</v>
      </c>
      <c r="HX31">
        <v>0.28737403024684072</v>
      </c>
      <c r="HY31">
        <v>0.27867925103162439</v>
      </c>
      <c r="HZ31">
        <v>0.2711411070951894</v>
      </c>
      <c r="IA31">
        <v>0.26937702109876926</v>
      </c>
      <c r="IB31">
        <v>0.26044347578050558</v>
      </c>
      <c r="IC31">
        <v>0.27795693498017193</v>
      </c>
      <c r="ID31">
        <v>0.30565588242019859</v>
      </c>
      <c r="IE31">
        <v>0.31860981567680952</v>
      </c>
      <c r="IF31">
        <v>0.32512597281894995</v>
      </c>
      <c r="IG31">
        <v>0.32248137292260809</v>
      </c>
      <c r="IH31">
        <v>0.49653488596821366</v>
      </c>
      <c r="II31">
        <v>0.49436285486066495</v>
      </c>
      <c r="IJ31">
        <v>0.48803180019228509</v>
      </c>
      <c r="IK31">
        <v>0.48601370190749676</v>
      </c>
      <c r="IL31">
        <v>0.46639208942130039</v>
      </c>
      <c r="IM31">
        <v>0.45484287828341952</v>
      </c>
      <c r="IN31">
        <v>0.46749608711834106</v>
      </c>
      <c r="IO31">
        <v>0.48514086249993987</v>
      </c>
      <c r="IP31">
        <v>0.4980917180843904</v>
      </c>
      <c r="IQ31">
        <v>0.50860579608700829</v>
      </c>
      <c r="IS31" t="s">
        <v>201</v>
      </c>
      <c r="IT31" t="s">
        <v>228</v>
      </c>
      <c r="IU31" t="s">
        <v>229</v>
      </c>
      <c r="IV31">
        <v>0.4859258609564876</v>
      </c>
    </row>
    <row r="32" spans="2:256" x14ac:dyDescent="0.25">
      <c r="B32" t="s">
        <v>192</v>
      </c>
      <c r="C32" t="s">
        <v>31</v>
      </c>
      <c r="D32">
        <v>0.34288462041276163</v>
      </c>
      <c r="E32">
        <v>0.35501961199842486</v>
      </c>
      <c r="F32">
        <v>0.34274834407498234</v>
      </c>
      <c r="G32">
        <v>0.32569488925032503</v>
      </c>
      <c r="H32">
        <v>0.33811330940477413</v>
      </c>
      <c r="I32">
        <v>0.34350153764467339</v>
      </c>
      <c r="J32">
        <v>0.32021667121256137</v>
      </c>
      <c r="K32">
        <v>0.30511495438455988</v>
      </c>
      <c r="L32">
        <v>0.30740248115696817</v>
      </c>
      <c r="M32">
        <v>0.32700881604833199</v>
      </c>
      <c r="N32">
        <v>0.2638160146132551</v>
      </c>
      <c r="O32">
        <v>0.28217401768147687</v>
      </c>
      <c r="P32">
        <v>0.2936198220736978</v>
      </c>
      <c r="Q32">
        <v>0.32329289849541043</v>
      </c>
      <c r="R32">
        <v>0.36394715481160927</v>
      </c>
      <c r="S32">
        <v>0.36078449708088911</v>
      </c>
      <c r="T32">
        <v>0.3300856394686143</v>
      </c>
      <c r="U32">
        <v>0.29605070101933595</v>
      </c>
      <c r="V32">
        <v>0.27641504091587482</v>
      </c>
      <c r="W32">
        <v>0.25934882192151432</v>
      </c>
      <c r="X32">
        <v>0.38294167644414789</v>
      </c>
      <c r="Y32">
        <v>0.36539085843334163</v>
      </c>
      <c r="Z32">
        <v>0.38740932387593618</v>
      </c>
      <c r="AA32">
        <v>0.39784879648715532</v>
      </c>
      <c r="AB32">
        <v>0.4008707510711928</v>
      </c>
      <c r="AC32">
        <v>0.41423674932879151</v>
      </c>
      <c r="AD32">
        <v>0.41205960618012027</v>
      </c>
      <c r="AE32">
        <v>0.41322602321348784</v>
      </c>
      <c r="AF32">
        <v>0.42117505563434149</v>
      </c>
      <c r="AG32">
        <v>0.43240504209534608</v>
      </c>
      <c r="AH32">
        <v>0.36895316413499996</v>
      </c>
      <c r="AI32">
        <v>0.37778956928333707</v>
      </c>
      <c r="AJ32">
        <v>0.39238114365181964</v>
      </c>
      <c r="AK32">
        <v>0.39966739613652452</v>
      </c>
      <c r="AL32">
        <v>0.4241053691962271</v>
      </c>
      <c r="AM32">
        <v>0.40555741990981153</v>
      </c>
      <c r="AN32">
        <v>0.36890400604553181</v>
      </c>
      <c r="AO32">
        <v>0.36216937754826661</v>
      </c>
      <c r="AP32">
        <v>0.36043699141952135</v>
      </c>
      <c r="AQ32">
        <v>0.38351475256101641</v>
      </c>
      <c r="AR32">
        <v>0.36945176288142761</v>
      </c>
      <c r="AS32">
        <v>0.37948306337894955</v>
      </c>
      <c r="AT32">
        <v>0.37833110337688736</v>
      </c>
      <c r="AU32">
        <v>0.36239123320436911</v>
      </c>
      <c r="AV32">
        <v>0.37568013265091865</v>
      </c>
      <c r="AW32">
        <v>0.39442909126642478</v>
      </c>
      <c r="AX32">
        <v>0.37511951974001528</v>
      </c>
      <c r="AY32">
        <v>0.34965444894584491</v>
      </c>
      <c r="AZ32">
        <v>0.32414111306622706</v>
      </c>
      <c r="BA32">
        <v>0.32815771184896508</v>
      </c>
      <c r="BB32">
        <v>0.24728661662887888</v>
      </c>
      <c r="BC32">
        <v>0.24245168533978398</v>
      </c>
      <c r="BD32">
        <v>0.21846882183079763</v>
      </c>
      <c r="BE32">
        <v>0.22307755641849525</v>
      </c>
      <c r="BF32">
        <v>0.24964746017113948</v>
      </c>
      <c r="BG32">
        <v>0.26065946120376904</v>
      </c>
      <c r="BH32">
        <v>0.26163009783689389</v>
      </c>
      <c r="BI32">
        <v>0.25048714327173299</v>
      </c>
      <c r="BJ32">
        <v>0.24958817809928879</v>
      </c>
      <c r="BK32">
        <v>0.24046241276683489</v>
      </c>
      <c r="GI32" t="s">
        <v>192</v>
      </c>
      <c r="GJ32">
        <v>0.48834918940311917</v>
      </c>
      <c r="GK32">
        <v>0.48724314992208123</v>
      </c>
      <c r="GL32">
        <v>0.49004656725260737</v>
      </c>
      <c r="GM32">
        <v>0.50461054153927787</v>
      </c>
      <c r="GN32">
        <v>0.50039517350489959</v>
      </c>
      <c r="GO32">
        <v>0.48667305388879939</v>
      </c>
      <c r="GP32">
        <v>0.50083298909764684</v>
      </c>
      <c r="GQ32">
        <v>0.52646256319870699</v>
      </c>
      <c r="GR32">
        <v>0.53214678980673369</v>
      </c>
      <c r="GS32">
        <v>0.51815135804838774</v>
      </c>
      <c r="GT32">
        <v>0.56234566015686416</v>
      </c>
      <c r="GU32">
        <v>0.55317275942184707</v>
      </c>
      <c r="GV32">
        <v>0.54346374701667366</v>
      </c>
      <c r="GW32">
        <v>0.52682356271323294</v>
      </c>
      <c r="GX32">
        <v>0.4528188958870113</v>
      </c>
      <c r="GY32">
        <v>0.46229960849411844</v>
      </c>
      <c r="GZ32">
        <v>0.50333117699342866</v>
      </c>
      <c r="HA32">
        <v>0.55255775156071485</v>
      </c>
      <c r="HB32">
        <v>0.59336357915274696</v>
      </c>
      <c r="HC32">
        <v>0.5954619465451807</v>
      </c>
      <c r="HD32">
        <v>0.38714847464323904</v>
      </c>
      <c r="HE32">
        <v>0.38825565163069103</v>
      </c>
      <c r="HF32">
        <v>0.37626467644692596</v>
      </c>
      <c r="HG32">
        <v>0.34932736491980404</v>
      </c>
      <c r="HH32">
        <v>0.29312058347203268</v>
      </c>
      <c r="HI32">
        <v>0.30213701883830307</v>
      </c>
      <c r="HJ32">
        <v>0.31828607871609849</v>
      </c>
      <c r="HK32">
        <v>0.32424029876606064</v>
      </c>
      <c r="HL32">
        <v>0.33799072424255094</v>
      </c>
      <c r="HM32">
        <v>0.35621039633545404</v>
      </c>
      <c r="HN32">
        <v>0.33255293342289066</v>
      </c>
      <c r="HO32">
        <v>0.31407648510440578</v>
      </c>
      <c r="HP32">
        <v>0.3208079486850734</v>
      </c>
      <c r="HQ32">
        <v>0.31822518733952287</v>
      </c>
      <c r="HR32">
        <v>0.30021174244404386</v>
      </c>
      <c r="HS32">
        <v>0.33259005296097865</v>
      </c>
      <c r="HT32">
        <v>0.37201232431027409</v>
      </c>
      <c r="HU32">
        <v>0.37748523214295493</v>
      </c>
      <c r="HV32">
        <v>0.36569330201328221</v>
      </c>
      <c r="HW32">
        <v>0.35525918538770102</v>
      </c>
      <c r="HX32">
        <v>0.43667475799387623</v>
      </c>
      <c r="HY32">
        <v>0.43995550916899701</v>
      </c>
      <c r="HZ32">
        <v>0.45212518841341248</v>
      </c>
      <c r="IA32">
        <v>0.46035004586809936</v>
      </c>
      <c r="IB32">
        <v>0.4409205538864206</v>
      </c>
      <c r="IC32">
        <v>0.44193110218847809</v>
      </c>
      <c r="ID32">
        <v>0.46529084046399072</v>
      </c>
      <c r="IE32">
        <v>0.49283055338707926</v>
      </c>
      <c r="IF32">
        <v>0.50942885703736618</v>
      </c>
      <c r="IG32">
        <v>0.49529451751096359</v>
      </c>
      <c r="IH32">
        <v>0.68634609588191531</v>
      </c>
      <c r="II32">
        <v>0.68115972584257733</v>
      </c>
      <c r="IJ32">
        <v>0.70100492614685184</v>
      </c>
      <c r="IK32">
        <v>0.70295332561207235</v>
      </c>
      <c r="IL32">
        <v>0.67100222338593862</v>
      </c>
      <c r="IM32">
        <v>0.65816805757793628</v>
      </c>
      <c r="IN32">
        <v>0.66407680470976982</v>
      </c>
      <c r="IO32">
        <v>0.68094969472347666</v>
      </c>
      <c r="IP32">
        <v>0.68017017572170457</v>
      </c>
      <c r="IQ32">
        <v>0.68811908733664884</v>
      </c>
      <c r="IS32" t="s">
        <v>202</v>
      </c>
      <c r="IT32" t="s">
        <v>228</v>
      </c>
      <c r="IU32" t="s">
        <v>229</v>
      </c>
      <c r="IV32">
        <v>0.45694563811015632</v>
      </c>
    </row>
    <row r="33" spans="2:256" x14ac:dyDescent="0.25">
      <c r="B33" t="s">
        <v>193</v>
      </c>
      <c r="C33" t="s">
        <v>31</v>
      </c>
      <c r="D33">
        <v>0.36147817860653414</v>
      </c>
      <c r="E33">
        <v>0.36700148161801194</v>
      </c>
      <c r="F33">
        <v>0.35613598846354116</v>
      </c>
      <c r="G33">
        <v>0.35073763952654896</v>
      </c>
      <c r="H33">
        <v>0.36606245679067084</v>
      </c>
      <c r="I33">
        <v>0.37843912133267082</v>
      </c>
      <c r="J33">
        <v>0.3541114447523499</v>
      </c>
      <c r="K33">
        <v>0.34232303716283224</v>
      </c>
      <c r="L33">
        <v>0.33418846237792738</v>
      </c>
      <c r="M33">
        <v>0.34561936677856753</v>
      </c>
      <c r="N33">
        <v>0.29021062050546259</v>
      </c>
      <c r="O33">
        <v>0.3005459631283024</v>
      </c>
      <c r="P33">
        <v>0.31637542552705328</v>
      </c>
      <c r="Q33">
        <v>0.33812695522654723</v>
      </c>
      <c r="R33">
        <v>0.38438309897568207</v>
      </c>
      <c r="S33">
        <v>0.37323131205252297</v>
      </c>
      <c r="T33">
        <v>0.34772208778954072</v>
      </c>
      <c r="U33">
        <v>0.31973928677168673</v>
      </c>
      <c r="V33">
        <v>0.30435931236717378</v>
      </c>
      <c r="W33">
        <v>0.29925042895877391</v>
      </c>
      <c r="X33">
        <v>0.37914448447815047</v>
      </c>
      <c r="Y33">
        <v>0.37414515347362998</v>
      </c>
      <c r="Z33">
        <v>0.41490580862418069</v>
      </c>
      <c r="AA33">
        <v>0.43146055564036351</v>
      </c>
      <c r="AB33">
        <v>0.41246532278271619</v>
      </c>
      <c r="AC33">
        <v>0.41134060062668831</v>
      </c>
      <c r="AD33">
        <v>0.39152620309577785</v>
      </c>
      <c r="AE33">
        <v>0.39237462802184248</v>
      </c>
      <c r="AF33">
        <v>0.42052440244498213</v>
      </c>
      <c r="AG33">
        <v>0.43146166813564457</v>
      </c>
      <c r="AH33">
        <v>0.39295411949248238</v>
      </c>
      <c r="AI33">
        <v>0.39487630544714902</v>
      </c>
      <c r="AJ33">
        <v>0.41487038401813808</v>
      </c>
      <c r="AK33">
        <v>0.41741383702481183</v>
      </c>
      <c r="AL33">
        <v>0.4424920371947495</v>
      </c>
      <c r="AM33">
        <v>0.42481256468929096</v>
      </c>
      <c r="AN33">
        <v>0.38179500351915102</v>
      </c>
      <c r="AO33">
        <v>0.38112454357641395</v>
      </c>
      <c r="AP33">
        <v>0.38280323143080819</v>
      </c>
      <c r="AQ33">
        <v>0.41244138493075111</v>
      </c>
      <c r="AR33">
        <v>0.39491827601808205</v>
      </c>
      <c r="AS33">
        <v>0.40953224690152878</v>
      </c>
      <c r="AT33">
        <v>0.41423519797777369</v>
      </c>
      <c r="AU33">
        <v>0.40801516481526617</v>
      </c>
      <c r="AV33">
        <v>0.41838527556296201</v>
      </c>
      <c r="AW33">
        <v>0.4166777851381927</v>
      </c>
      <c r="AX33">
        <v>0.39665988237364597</v>
      </c>
      <c r="AY33">
        <v>0.35778038026439135</v>
      </c>
      <c r="AZ33">
        <v>0.33463721592998724</v>
      </c>
      <c r="BA33">
        <v>0.35107759454973231</v>
      </c>
      <c r="BB33">
        <v>0.24601740045678225</v>
      </c>
      <c r="BC33">
        <v>0.24942536334350279</v>
      </c>
      <c r="BD33">
        <v>0.23243062316922303</v>
      </c>
      <c r="BE33">
        <v>0.23119172476024405</v>
      </c>
      <c r="BF33">
        <v>0.26381198415322166</v>
      </c>
      <c r="BG33">
        <v>0.27998521872888849</v>
      </c>
      <c r="BH33">
        <v>0.28185568319979004</v>
      </c>
      <c r="BI33">
        <v>0.26990566700753194</v>
      </c>
      <c r="BJ33">
        <v>0.26199608363680288</v>
      </c>
      <c r="BK33">
        <v>0.25343583169373757</v>
      </c>
      <c r="GI33" t="s">
        <v>193</v>
      </c>
      <c r="GJ33">
        <v>0.42107432156661784</v>
      </c>
      <c r="GK33">
        <v>0.41440242511082509</v>
      </c>
      <c r="GL33">
        <v>0.41647745893967819</v>
      </c>
      <c r="GM33">
        <v>0.42212777584210248</v>
      </c>
      <c r="GN33">
        <v>0.4028476583895173</v>
      </c>
      <c r="GO33">
        <v>0.40037658248129354</v>
      </c>
      <c r="GP33">
        <v>0.41920968500440237</v>
      </c>
      <c r="GQ33">
        <v>0.45294497655752669</v>
      </c>
      <c r="GR33">
        <v>0.46266284599035562</v>
      </c>
      <c r="GS33">
        <v>0.44980702642369214</v>
      </c>
      <c r="GT33">
        <v>0.46174681157841996</v>
      </c>
      <c r="GU33">
        <v>0.45922104377287942</v>
      </c>
      <c r="GV33">
        <v>0.44059092187359911</v>
      </c>
      <c r="GW33">
        <v>0.41716861295431318</v>
      </c>
      <c r="GX33">
        <v>0.35615736980094737</v>
      </c>
      <c r="GY33">
        <v>0.36749535155882262</v>
      </c>
      <c r="GZ33">
        <v>0.40813688376794277</v>
      </c>
      <c r="HA33">
        <v>0.44528765231006417</v>
      </c>
      <c r="HB33">
        <v>0.47000901140969292</v>
      </c>
      <c r="HC33">
        <v>0.47152490406302511</v>
      </c>
      <c r="HD33">
        <v>0.29351862995832334</v>
      </c>
      <c r="HE33">
        <v>0.29507080786398737</v>
      </c>
      <c r="HF33">
        <v>0.2657523002297898</v>
      </c>
      <c r="HG33">
        <v>0.24795413176826445</v>
      </c>
      <c r="HH33">
        <v>0.20922869063594851</v>
      </c>
      <c r="HI33">
        <v>0.2254366971734946</v>
      </c>
      <c r="HJ33">
        <v>0.23891290350374611</v>
      </c>
      <c r="HK33">
        <v>0.25090825669131123</v>
      </c>
      <c r="HL33">
        <v>0.26440579724333141</v>
      </c>
      <c r="HM33">
        <v>0.28598241586923384</v>
      </c>
      <c r="HN33">
        <v>0.2568039650353976</v>
      </c>
      <c r="HO33">
        <v>0.24234527798908995</v>
      </c>
      <c r="HP33">
        <v>0.24523403800624974</v>
      </c>
      <c r="HQ33">
        <v>0.25044158791665921</v>
      </c>
      <c r="HR33">
        <v>0.23313895476910959</v>
      </c>
      <c r="HS33">
        <v>0.26772624054287031</v>
      </c>
      <c r="HT33">
        <v>0.29982917439869494</v>
      </c>
      <c r="HU33">
        <v>0.29432802641663003</v>
      </c>
      <c r="HV33">
        <v>0.27972846964661008</v>
      </c>
      <c r="HW33">
        <v>0.27150158847174394</v>
      </c>
      <c r="HX33">
        <v>0.36910557521410592</v>
      </c>
      <c r="HY33">
        <v>0.3651024739127135</v>
      </c>
      <c r="HZ33">
        <v>0.36727505185230003</v>
      </c>
      <c r="IA33">
        <v>0.36843663607271748</v>
      </c>
      <c r="IB33">
        <v>0.35296637498872507</v>
      </c>
      <c r="IC33">
        <v>0.36588083540037697</v>
      </c>
      <c r="ID33">
        <v>0.39994642576536843</v>
      </c>
      <c r="IE33">
        <v>0.42352724194388836</v>
      </c>
      <c r="IF33">
        <v>0.43371604829657984</v>
      </c>
      <c r="IG33">
        <v>0.41757889412348015</v>
      </c>
      <c r="IH33">
        <v>0.615644764711897</v>
      </c>
      <c r="II33">
        <v>0.61180977571648676</v>
      </c>
      <c r="IJ33">
        <v>0.61862460983675871</v>
      </c>
      <c r="IK33">
        <v>0.61886259341832883</v>
      </c>
      <c r="IL33">
        <v>0.59049198147350623</v>
      </c>
      <c r="IM33">
        <v>0.57003200976198132</v>
      </c>
      <c r="IN33">
        <v>0.58107053710603473</v>
      </c>
      <c r="IO33">
        <v>0.59893819898965883</v>
      </c>
      <c r="IP33">
        <v>0.6068011412115687</v>
      </c>
      <c r="IQ33">
        <v>0.62020673540402915</v>
      </c>
      <c r="IS33" t="s">
        <v>203</v>
      </c>
      <c r="IT33" t="s">
        <v>228</v>
      </c>
      <c r="IU33" t="s">
        <v>229</v>
      </c>
      <c r="IV33">
        <v>0.4704844945291643</v>
      </c>
    </row>
    <row r="34" spans="2:256" x14ac:dyDescent="0.25">
      <c r="B34" t="s">
        <v>194</v>
      </c>
      <c r="C34" t="s">
        <v>31</v>
      </c>
      <c r="D34">
        <v>0.33895743179637072</v>
      </c>
      <c r="E34">
        <v>0.34914825128836197</v>
      </c>
      <c r="F34">
        <v>0.35446705149099167</v>
      </c>
      <c r="G34">
        <v>0.34309515799404378</v>
      </c>
      <c r="H34">
        <v>0.33847425674759368</v>
      </c>
      <c r="I34">
        <v>0.34326758579882621</v>
      </c>
      <c r="J34">
        <v>0.32237344894397196</v>
      </c>
      <c r="K34">
        <v>0.31369211730351465</v>
      </c>
      <c r="L34">
        <v>0.33377940971962111</v>
      </c>
      <c r="M34">
        <v>0.33096544334026251</v>
      </c>
      <c r="N34">
        <v>0.26623770340440195</v>
      </c>
      <c r="O34">
        <v>0.3081212935636603</v>
      </c>
      <c r="P34">
        <v>0.32097271854483705</v>
      </c>
      <c r="Q34">
        <v>0.31523245483958168</v>
      </c>
      <c r="R34">
        <v>0.3447903284563682</v>
      </c>
      <c r="S34">
        <v>0.33590662383291309</v>
      </c>
      <c r="T34">
        <v>0.29997378312235595</v>
      </c>
      <c r="U34">
        <v>0.26243438317153084</v>
      </c>
      <c r="V34">
        <v>0.23528926763213492</v>
      </c>
      <c r="W34">
        <v>0.22841333694993077</v>
      </c>
      <c r="X34">
        <v>0.32236829834509012</v>
      </c>
      <c r="Y34">
        <v>0.33794486377787836</v>
      </c>
      <c r="Z34">
        <v>0.36014818675940086</v>
      </c>
      <c r="AA34">
        <v>0.3712589461813906</v>
      </c>
      <c r="AB34">
        <v>0.3998289724780964</v>
      </c>
      <c r="AC34">
        <v>0.40366713634483686</v>
      </c>
      <c r="AD34">
        <v>0.39310424619720646</v>
      </c>
      <c r="AE34">
        <v>0.37690378461938673</v>
      </c>
      <c r="AF34">
        <v>0.38536378292413809</v>
      </c>
      <c r="AG34">
        <v>0.3594904431386956</v>
      </c>
      <c r="AH34">
        <v>0.32541015659877737</v>
      </c>
      <c r="AI34">
        <v>0.33865961780116954</v>
      </c>
      <c r="AJ34">
        <v>0.36027569868808557</v>
      </c>
      <c r="AK34">
        <v>0.36037306420508874</v>
      </c>
      <c r="AL34">
        <v>0.37662348897510156</v>
      </c>
      <c r="AM34">
        <v>0.37620975645521282</v>
      </c>
      <c r="AN34">
        <v>0.37873954547796052</v>
      </c>
      <c r="AO34">
        <v>0.38163276216505088</v>
      </c>
      <c r="AP34">
        <v>0.36831572776764498</v>
      </c>
      <c r="AQ34">
        <v>0.3571028449627634</v>
      </c>
      <c r="AR34">
        <v>0.3451733403703085</v>
      </c>
      <c r="AS34">
        <v>0.3337673205018668</v>
      </c>
      <c r="AT34">
        <v>0.32965882971862576</v>
      </c>
      <c r="AU34">
        <v>0.33835605242352229</v>
      </c>
      <c r="AV34">
        <v>0.35933569386422398</v>
      </c>
      <c r="AW34">
        <v>0.37346989131864777</v>
      </c>
      <c r="AX34">
        <v>0.37623496110863375</v>
      </c>
      <c r="AY34">
        <v>0.36252362679135186</v>
      </c>
      <c r="AZ34">
        <v>0.34418997983210825</v>
      </c>
      <c r="BA34">
        <v>0.35695334384674887</v>
      </c>
      <c r="BB34">
        <v>0.25229928504271687</v>
      </c>
      <c r="BC34">
        <v>0.23551035412727578</v>
      </c>
      <c r="BD34">
        <v>0.23756535820315028</v>
      </c>
      <c r="BE34">
        <v>0.25493450428963377</v>
      </c>
      <c r="BF34">
        <v>0.24724559253178216</v>
      </c>
      <c r="BG34">
        <v>0.23636863500257976</v>
      </c>
      <c r="BH34">
        <v>0.2335987339253679</v>
      </c>
      <c r="BI34">
        <v>0.25610462112555676</v>
      </c>
      <c r="BJ34">
        <v>0.25706018451239981</v>
      </c>
      <c r="BK34">
        <v>0.2623387394575239</v>
      </c>
      <c r="GI34" t="s">
        <v>194</v>
      </c>
      <c r="GJ34">
        <v>0.49113661649797313</v>
      </c>
      <c r="GK34">
        <v>0.51055406141095405</v>
      </c>
      <c r="GL34">
        <v>0.52381488703176682</v>
      </c>
      <c r="GM34">
        <v>0.53163159953421435</v>
      </c>
      <c r="GN34">
        <v>0.5312927507113494</v>
      </c>
      <c r="GO34">
        <v>0.51463753913484234</v>
      </c>
      <c r="GP34">
        <v>0.52254722985260105</v>
      </c>
      <c r="GQ34">
        <v>0.53910784958926272</v>
      </c>
      <c r="GR34">
        <v>0.53275463823672986</v>
      </c>
      <c r="GS34">
        <v>0.51245638080293066</v>
      </c>
      <c r="GT34">
        <v>0.60850181751250898</v>
      </c>
      <c r="GU34">
        <v>0.56734843458543049</v>
      </c>
      <c r="GV34">
        <v>0.56152504162295436</v>
      </c>
      <c r="GW34">
        <v>0.56222117999394838</v>
      </c>
      <c r="GX34">
        <v>0.5302570926903587</v>
      </c>
      <c r="GY34">
        <v>0.53762769617525918</v>
      </c>
      <c r="GZ34">
        <v>0.56879224226583158</v>
      </c>
      <c r="HA34">
        <v>0.61274294595919709</v>
      </c>
      <c r="HB34">
        <v>0.64708013900233396</v>
      </c>
      <c r="HC34">
        <v>0.63988844822319713</v>
      </c>
      <c r="HD34">
        <v>0.47453279886811167</v>
      </c>
      <c r="HE34">
        <v>0.44669176980750691</v>
      </c>
      <c r="HF34">
        <v>0.43549099808474384</v>
      </c>
      <c r="HG34">
        <v>0.42185003071326144</v>
      </c>
      <c r="HH34">
        <v>0.39308245412142623</v>
      </c>
      <c r="HI34">
        <v>0.40231773946014665</v>
      </c>
      <c r="HJ34">
        <v>0.41226079970075313</v>
      </c>
      <c r="HK34">
        <v>0.40953624695614094</v>
      </c>
      <c r="HL34">
        <v>0.4127504152860354</v>
      </c>
      <c r="HM34">
        <v>0.44623231480660824</v>
      </c>
      <c r="HN34">
        <v>0.3587682786303224</v>
      </c>
      <c r="HO34">
        <v>0.35071592438062721</v>
      </c>
      <c r="HP34">
        <v>0.33043808099359856</v>
      </c>
      <c r="HQ34">
        <v>0.34734571893447191</v>
      </c>
      <c r="HR34">
        <v>0.321094770382016</v>
      </c>
      <c r="HS34">
        <v>0.35458799583949563</v>
      </c>
      <c r="HT34">
        <v>0.3632055480771616</v>
      </c>
      <c r="HU34">
        <v>0.36251815250167324</v>
      </c>
      <c r="HV34">
        <v>0.36203261421436467</v>
      </c>
      <c r="HW34">
        <v>0.38772474180221045</v>
      </c>
      <c r="HX34">
        <v>0.50388545793027861</v>
      </c>
      <c r="HY34">
        <v>0.49317532884929277</v>
      </c>
      <c r="HZ34">
        <v>0.51073802475460695</v>
      </c>
      <c r="IA34">
        <v>0.52164600780216086</v>
      </c>
      <c r="IB34">
        <v>0.49521024652903489</v>
      </c>
      <c r="IC34">
        <v>0.48406982552524358</v>
      </c>
      <c r="ID34">
        <v>0.4879024590939105</v>
      </c>
      <c r="IE34">
        <v>0.4941615974758698</v>
      </c>
      <c r="IF34">
        <v>0.50701534971588647</v>
      </c>
      <c r="IG34">
        <v>0.51463166413479566</v>
      </c>
      <c r="IH34">
        <v>0.68219611595950347</v>
      </c>
      <c r="II34">
        <v>0.70065094785448001</v>
      </c>
      <c r="IJ34">
        <v>0.69140325430928129</v>
      </c>
      <c r="IK34">
        <v>0.68848239406800227</v>
      </c>
      <c r="IL34">
        <v>0.70429890914131277</v>
      </c>
      <c r="IM34">
        <v>0.70408711907528587</v>
      </c>
      <c r="IN34">
        <v>0.70165637791556845</v>
      </c>
      <c r="IO34">
        <v>0.69007072533710834</v>
      </c>
      <c r="IP34">
        <v>0.68921464829342982</v>
      </c>
      <c r="IQ34">
        <v>0.68084020891973873</v>
      </c>
      <c r="IS34" t="s">
        <v>204</v>
      </c>
      <c r="IT34" t="s">
        <v>228</v>
      </c>
      <c r="IU34" t="s">
        <v>229</v>
      </c>
      <c r="IV34">
        <v>0.50662802569419607</v>
      </c>
    </row>
    <row r="35" spans="2:256" x14ac:dyDescent="0.25">
      <c r="B35" t="s">
        <v>195</v>
      </c>
      <c r="C35" t="s">
        <v>31</v>
      </c>
      <c r="D35">
        <v>0.34882434260011924</v>
      </c>
      <c r="E35">
        <v>0.34878918709686796</v>
      </c>
      <c r="F35">
        <v>0.34274215315006645</v>
      </c>
      <c r="G35">
        <v>0.33549494657767637</v>
      </c>
      <c r="H35">
        <v>0.32362904408134635</v>
      </c>
      <c r="I35">
        <v>0.32729550958460346</v>
      </c>
      <c r="J35">
        <v>0.31683841018906345</v>
      </c>
      <c r="K35">
        <v>0.31200319702479262</v>
      </c>
      <c r="L35">
        <v>0.33036194028380228</v>
      </c>
      <c r="M35">
        <v>0.34375106384660042</v>
      </c>
      <c r="N35">
        <v>0.25747824779537065</v>
      </c>
      <c r="O35">
        <v>0.28646150418021343</v>
      </c>
      <c r="P35">
        <v>0.31054490154823705</v>
      </c>
      <c r="Q35">
        <v>0.33418297902157273</v>
      </c>
      <c r="R35">
        <v>0.3609323184448876</v>
      </c>
      <c r="S35">
        <v>0.36942714908283969</v>
      </c>
      <c r="T35">
        <v>0.32795886719027117</v>
      </c>
      <c r="U35">
        <v>0.28588137441666456</v>
      </c>
      <c r="V35">
        <v>0.24700421995722086</v>
      </c>
      <c r="W35">
        <v>0.23951116534167916</v>
      </c>
      <c r="X35">
        <v>0.35907579893771102</v>
      </c>
      <c r="Y35">
        <v>0.36266469445394367</v>
      </c>
      <c r="Z35">
        <v>0.36845845836269131</v>
      </c>
      <c r="AA35">
        <v>0.37178343349345039</v>
      </c>
      <c r="AB35">
        <v>0.39024472463155258</v>
      </c>
      <c r="AC35">
        <v>0.39826816632829221</v>
      </c>
      <c r="AD35">
        <v>0.40323380132913361</v>
      </c>
      <c r="AE35">
        <v>0.40782918016346942</v>
      </c>
      <c r="AF35">
        <v>0.41852885687924507</v>
      </c>
      <c r="AG35">
        <v>0.40146767064251004</v>
      </c>
      <c r="AH35">
        <v>0.34606590231527107</v>
      </c>
      <c r="AI35">
        <v>0.35096162410594189</v>
      </c>
      <c r="AJ35">
        <v>0.39213250041842657</v>
      </c>
      <c r="AK35">
        <v>0.41568204250462293</v>
      </c>
      <c r="AL35">
        <v>0.42378879274558645</v>
      </c>
      <c r="AM35">
        <v>0.4134123117868464</v>
      </c>
      <c r="AN35">
        <v>0.40477642854975865</v>
      </c>
      <c r="AO35">
        <v>0.37426178641191982</v>
      </c>
      <c r="AP35">
        <v>0.35274958435971726</v>
      </c>
      <c r="AQ35">
        <v>0.35318915098852</v>
      </c>
      <c r="AR35">
        <v>0.35998912903368713</v>
      </c>
      <c r="AS35">
        <v>0.34505509720945049</v>
      </c>
      <c r="AT35">
        <v>0.35000224132952079</v>
      </c>
      <c r="AU35">
        <v>0.33690556369149322</v>
      </c>
      <c r="AV35">
        <v>0.34473190650561802</v>
      </c>
      <c r="AW35">
        <v>0.36116408451941556</v>
      </c>
      <c r="AX35">
        <v>0.35284113169074771</v>
      </c>
      <c r="AY35">
        <v>0.34008717444100439</v>
      </c>
      <c r="AZ35">
        <v>0.3211532059056848</v>
      </c>
      <c r="BA35">
        <v>0.33549980986348349</v>
      </c>
      <c r="BB35">
        <v>0.25831039658087701</v>
      </c>
      <c r="BC35">
        <v>0.24233009144424922</v>
      </c>
      <c r="BD35">
        <v>0.2312784139191372</v>
      </c>
      <c r="BE35">
        <v>0.23172854567169532</v>
      </c>
      <c r="BF35">
        <v>0.2465833440814536</v>
      </c>
      <c r="BG35">
        <v>0.25379940754828045</v>
      </c>
      <c r="BH35">
        <v>0.25170783161350835</v>
      </c>
      <c r="BI35">
        <v>0.25481382543682662</v>
      </c>
      <c r="BJ35">
        <v>0.25891794601816825</v>
      </c>
      <c r="BK35">
        <v>0.25459977440755516</v>
      </c>
      <c r="GI35" t="s">
        <v>195</v>
      </c>
      <c r="GJ35">
        <v>0.49801371137324674</v>
      </c>
      <c r="GK35">
        <v>0.49812411116548372</v>
      </c>
      <c r="GL35">
        <v>0.51231162365938054</v>
      </c>
      <c r="GM35">
        <v>0.52866752731436428</v>
      </c>
      <c r="GN35">
        <v>0.53264553135682302</v>
      </c>
      <c r="GO35">
        <v>0.51292242147734246</v>
      </c>
      <c r="GP35">
        <v>0.51136398267630878</v>
      </c>
      <c r="GQ35">
        <v>0.5218551494020891</v>
      </c>
      <c r="GR35">
        <v>0.52901231751602373</v>
      </c>
      <c r="GS35">
        <v>0.51688324155555598</v>
      </c>
      <c r="GT35">
        <v>0.59789612907290468</v>
      </c>
      <c r="GU35">
        <v>0.56884768175209699</v>
      </c>
      <c r="GV35">
        <v>0.55760548156406831</v>
      </c>
      <c r="GW35">
        <v>0.55122442369585511</v>
      </c>
      <c r="GX35">
        <v>0.50997986389082417</v>
      </c>
      <c r="GY35">
        <v>0.51777990177021127</v>
      </c>
      <c r="GZ35">
        <v>0.54651635928145614</v>
      </c>
      <c r="HA35">
        <v>0.58644368142098979</v>
      </c>
      <c r="HB35">
        <v>0.63460732070945003</v>
      </c>
      <c r="HC35">
        <v>0.63683523618634874</v>
      </c>
      <c r="HD35">
        <v>0.42696494117794193</v>
      </c>
      <c r="HE35">
        <v>0.39790373937013612</v>
      </c>
      <c r="HF35">
        <v>0.40205486738203794</v>
      </c>
      <c r="HG35">
        <v>0.39876010095742104</v>
      </c>
      <c r="HH35">
        <v>0.35628448413104297</v>
      </c>
      <c r="HI35">
        <v>0.37674011994532264</v>
      </c>
      <c r="HJ35">
        <v>0.39332302558695692</v>
      </c>
      <c r="HK35">
        <v>0.38670628708183791</v>
      </c>
      <c r="HL35">
        <v>0.39523632191486319</v>
      </c>
      <c r="HM35">
        <v>0.40996895069186107</v>
      </c>
      <c r="HN35">
        <v>0.34418746872311279</v>
      </c>
      <c r="HO35">
        <v>0.33203312949238362</v>
      </c>
      <c r="HP35">
        <v>0.32578783224221142</v>
      </c>
      <c r="HQ35">
        <v>0.32417830962979721</v>
      </c>
      <c r="HR35">
        <v>0.3171021324685766</v>
      </c>
      <c r="HS35">
        <v>0.36118100696933431</v>
      </c>
      <c r="HT35">
        <v>0.3988898012388718</v>
      </c>
      <c r="HU35">
        <v>0.38244994367583179</v>
      </c>
      <c r="HV35">
        <v>0.36232882232876168</v>
      </c>
      <c r="HW35">
        <v>0.36615760682972787</v>
      </c>
      <c r="HX35">
        <v>0.4694289538295221</v>
      </c>
      <c r="HY35">
        <v>0.48252931107554298</v>
      </c>
      <c r="HZ35">
        <v>0.49882371736843673</v>
      </c>
      <c r="IA35">
        <v>0.51411376287978516</v>
      </c>
      <c r="IB35">
        <v>0.49660247068249952</v>
      </c>
      <c r="IC35">
        <v>0.48832046698060599</v>
      </c>
      <c r="ID35">
        <v>0.50053326002957299</v>
      </c>
      <c r="IE35">
        <v>0.51568515585500063</v>
      </c>
      <c r="IF35">
        <v>0.52181433464987248</v>
      </c>
      <c r="IG35">
        <v>0.50894112268298608</v>
      </c>
      <c r="IH35">
        <v>0.68943126633559981</v>
      </c>
      <c r="II35">
        <v>0.69627717415823787</v>
      </c>
      <c r="IJ35">
        <v>0.70799902686638394</v>
      </c>
      <c r="IK35">
        <v>0.70506050340512194</v>
      </c>
      <c r="IL35">
        <v>0.6966881234901906</v>
      </c>
      <c r="IM35">
        <v>0.68900578307312044</v>
      </c>
      <c r="IN35">
        <v>0.68308448905551711</v>
      </c>
      <c r="IO35">
        <v>0.69292823596515196</v>
      </c>
      <c r="IP35">
        <v>0.68346744792792935</v>
      </c>
      <c r="IQ35">
        <v>0.68598361387773732</v>
      </c>
      <c r="IS35" t="s">
        <v>205</v>
      </c>
      <c r="IT35" t="s">
        <v>228</v>
      </c>
      <c r="IU35" t="s">
        <v>229</v>
      </c>
      <c r="IV35">
        <v>0.50392090887966079</v>
      </c>
    </row>
    <row r="36" spans="2:256" x14ac:dyDescent="0.25">
      <c r="B36" t="s">
        <v>196</v>
      </c>
      <c r="C36" t="s">
        <v>31</v>
      </c>
      <c r="D36">
        <v>0.34652154615656983</v>
      </c>
      <c r="E36">
        <v>0.36465085167261008</v>
      </c>
      <c r="F36">
        <v>0.36589909248859193</v>
      </c>
      <c r="G36">
        <v>0.35258671169653044</v>
      </c>
      <c r="H36">
        <v>0.34097252009072748</v>
      </c>
      <c r="I36">
        <v>0.33645245177299754</v>
      </c>
      <c r="J36">
        <v>0.32388792805765704</v>
      </c>
      <c r="K36">
        <v>0.31295924112467571</v>
      </c>
      <c r="L36">
        <v>0.32223110544899602</v>
      </c>
      <c r="M36">
        <v>0.3306999410241373</v>
      </c>
      <c r="N36">
        <v>0.27045878357152348</v>
      </c>
      <c r="O36">
        <v>0.30024839611726056</v>
      </c>
      <c r="P36">
        <v>0.31965557599340472</v>
      </c>
      <c r="Q36">
        <v>0.32516325031952287</v>
      </c>
      <c r="R36">
        <v>0.34019653937218264</v>
      </c>
      <c r="S36">
        <v>0.33640313477880568</v>
      </c>
      <c r="T36">
        <v>0.30681953033578563</v>
      </c>
      <c r="U36">
        <v>0.28589592099305483</v>
      </c>
      <c r="V36">
        <v>0.26261883167728378</v>
      </c>
      <c r="W36">
        <v>0.25352392562766618</v>
      </c>
      <c r="X36">
        <v>0.32989064371137233</v>
      </c>
      <c r="Y36">
        <v>0.35288678493365028</v>
      </c>
      <c r="Z36">
        <v>0.37130300546005202</v>
      </c>
      <c r="AA36">
        <v>0.38595794484860418</v>
      </c>
      <c r="AB36">
        <v>0.41606157677516847</v>
      </c>
      <c r="AC36">
        <v>0.4170507731352443</v>
      </c>
      <c r="AD36">
        <v>0.42016366586025361</v>
      </c>
      <c r="AE36">
        <v>0.44043577216669239</v>
      </c>
      <c r="AF36">
        <v>0.43821725259756933</v>
      </c>
      <c r="AG36">
        <v>0.3850551850100426</v>
      </c>
      <c r="AH36">
        <v>0.3462842319051031</v>
      </c>
      <c r="AI36">
        <v>0.34476661994855329</v>
      </c>
      <c r="AJ36">
        <v>0.37569525612105076</v>
      </c>
      <c r="AK36">
        <v>0.39630075465462422</v>
      </c>
      <c r="AL36">
        <v>0.40821045094632563</v>
      </c>
      <c r="AM36">
        <v>0.37460229270045642</v>
      </c>
      <c r="AN36">
        <v>0.35571217422683477</v>
      </c>
      <c r="AO36">
        <v>0.36913036003736488</v>
      </c>
      <c r="AP36">
        <v>0.3657902453744496</v>
      </c>
      <c r="AQ36">
        <v>0.36609244321281581</v>
      </c>
      <c r="AR36">
        <v>0.3637441811455992</v>
      </c>
      <c r="AS36">
        <v>0.3585550445451966</v>
      </c>
      <c r="AT36">
        <v>0.35671052388596097</v>
      </c>
      <c r="AU36">
        <v>0.35299013088833375</v>
      </c>
      <c r="AV36">
        <v>0.36414556952761457</v>
      </c>
      <c r="AW36">
        <v>0.37199670975255467</v>
      </c>
      <c r="AX36">
        <v>0.36235964736294479</v>
      </c>
      <c r="AY36">
        <v>0.35123191872379766</v>
      </c>
      <c r="AZ36">
        <v>0.33260163646257401</v>
      </c>
      <c r="BA36">
        <v>0.34277663959277199</v>
      </c>
      <c r="BB36">
        <v>0.26098465024162887</v>
      </c>
      <c r="BC36">
        <v>0.24638403111186377</v>
      </c>
      <c r="BD36">
        <v>0.23037367302162493</v>
      </c>
      <c r="BE36">
        <v>0.22954590340158088</v>
      </c>
      <c r="BF36">
        <v>0.25611790054603395</v>
      </c>
      <c r="BG36">
        <v>0.26321446549608118</v>
      </c>
      <c r="BH36">
        <v>0.26829976640524755</v>
      </c>
      <c r="BI36">
        <v>0.26525404162207716</v>
      </c>
      <c r="BJ36">
        <v>0.25351405253770382</v>
      </c>
      <c r="BK36">
        <v>0.25924378846552576</v>
      </c>
      <c r="GI36" t="s">
        <v>196</v>
      </c>
      <c r="GJ36">
        <v>0.47138017805616528</v>
      </c>
      <c r="GK36">
        <v>0.48091109317427921</v>
      </c>
      <c r="GL36">
        <v>0.49677949625344697</v>
      </c>
      <c r="GM36">
        <v>0.51050500375391628</v>
      </c>
      <c r="GN36">
        <v>0.50729967803086051</v>
      </c>
      <c r="GO36">
        <v>0.49450908769749075</v>
      </c>
      <c r="GP36">
        <v>0.5041751028974617</v>
      </c>
      <c r="GQ36">
        <v>0.52468657232111904</v>
      </c>
      <c r="GR36">
        <v>0.52992440534506435</v>
      </c>
      <c r="GS36">
        <v>0.50935480595554528</v>
      </c>
      <c r="GT36">
        <v>0.56326896660498427</v>
      </c>
      <c r="GU36">
        <v>0.53542327110430354</v>
      </c>
      <c r="GV36">
        <v>0.5332896534911471</v>
      </c>
      <c r="GW36">
        <v>0.53073804337127573</v>
      </c>
      <c r="GX36">
        <v>0.49330261491895078</v>
      </c>
      <c r="GY36">
        <v>0.49990243368592113</v>
      </c>
      <c r="GZ36">
        <v>0.52395884650893432</v>
      </c>
      <c r="HA36">
        <v>0.55788089023474885</v>
      </c>
      <c r="HB36">
        <v>0.58943860896739708</v>
      </c>
      <c r="HC36">
        <v>0.59266656723540811</v>
      </c>
      <c r="HD36">
        <v>0.40227121855948123</v>
      </c>
      <c r="HE36">
        <v>0.37679248379008751</v>
      </c>
      <c r="HF36">
        <v>0.36827844890398653</v>
      </c>
      <c r="HG36">
        <v>0.36198916405048259</v>
      </c>
      <c r="HH36">
        <v>0.32922233394534145</v>
      </c>
      <c r="HI36">
        <v>0.35411834915324125</v>
      </c>
      <c r="HJ36">
        <v>0.36232361664714469</v>
      </c>
      <c r="HK36">
        <v>0.34781253168101711</v>
      </c>
      <c r="HL36">
        <v>0.34467922879663154</v>
      </c>
      <c r="HM36">
        <v>0.38178222690148589</v>
      </c>
      <c r="HN36">
        <v>0.32714101671755552</v>
      </c>
      <c r="HO36">
        <v>0.32800023675312578</v>
      </c>
      <c r="HP36">
        <v>0.31835572542734025</v>
      </c>
      <c r="HQ36">
        <v>0.32161315678206903</v>
      </c>
      <c r="HR36">
        <v>0.31075898724459033</v>
      </c>
      <c r="HS36">
        <v>0.35578898622263277</v>
      </c>
      <c r="HT36">
        <v>0.37423468504753066</v>
      </c>
      <c r="HU36">
        <v>0.34779921417424409</v>
      </c>
      <c r="HV36">
        <v>0.33063893116352311</v>
      </c>
      <c r="HW36">
        <v>0.33187909740333488</v>
      </c>
      <c r="HX36">
        <v>0.4485444191399886</v>
      </c>
      <c r="HY36">
        <v>0.4516564015140147</v>
      </c>
      <c r="HZ36">
        <v>0.45847496582211317</v>
      </c>
      <c r="IA36">
        <v>0.46809081710795875</v>
      </c>
      <c r="IB36">
        <v>0.45182419560597381</v>
      </c>
      <c r="IC36">
        <v>0.45079047504945163</v>
      </c>
      <c r="ID36">
        <v>0.46717811844846796</v>
      </c>
      <c r="IE36">
        <v>0.47673294309226272</v>
      </c>
      <c r="IF36">
        <v>0.48382839552481383</v>
      </c>
      <c r="IG36">
        <v>0.48133675002163429</v>
      </c>
      <c r="IH36">
        <v>0.66960417660565663</v>
      </c>
      <c r="II36">
        <v>0.67590389427070385</v>
      </c>
      <c r="IJ36">
        <v>0.68915601073802613</v>
      </c>
      <c r="IK36">
        <v>0.68084274946443368</v>
      </c>
      <c r="IL36">
        <v>0.67247127762024028</v>
      </c>
      <c r="IM36">
        <v>0.65994683978295121</v>
      </c>
      <c r="IN36">
        <v>0.66216954586738253</v>
      </c>
      <c r="IO36">
        <v>0.66730718531315802</v>
      </c>
      <c r="IP36">
        <v>0.66882163573677278</v>
      </c>
      <c r="IQ36">
        <v>0.66877288918476485</v>
      </c>
      <c r="IS36" t="s">
        <v>206</v>
      </c>
      <c r="IT36" t="s">
        <v>228</v>
      </c>
      <c r="IU36" t="s">
        <v>229</v>
      </c>
      <c r="IV36">
        <v>0.4996022054043493</v>
      </c>
    </row>
    <row r="37" spans="2:256" x14ac:dyDescent="0.25">
      <c r="B37" t="s">
        <v>197</v>
      </c>
      <c r="C37" t="s">
        <v>31</v>
      </c>
      <c r="D37">
        <v>0.37744724646761368</v>
      </c>
      <c r="E37">
        <v>0.37681929742552789</v>
      </c>
      <c r="F37">
        <v>0.37131752703745419</v>
      </c>
      <c r="G37">
        <v>0.3623187352608716</v>
      </c>
      <c r="H37">
        <v>0.37139820458592093</v>
      </c>
      <c r="I37">
        <v>0.36832920798572305</v>
      </c>
      <c r="J37">
        <v>0.36413140258991505</v>
      </c>
      <c r="K37">
        <v>0.34889098745291192</v>
      </c>
      <c r="L37">
        <v>0.34072119255161176</v>
      </c>
      <c r="M37">
        <v>0.36039960309474006</v>
      </c>
      <c r="N37">
        <v>0.31240386851931617</v>
      </c>
      <c r="O37">
        <v>0.32531928177163927</v>
      </c>
      <c r="P37">
        <v>0.33993428675656312</v>
      </c>
      <c r="Q37">
        <v>0.35541337109402787</v>
      </c>
      <c r="R37">
        <v>0.35255482350448358</v>
      </c>
      <c r="S37">
        <v>0.35389106050807156</v>
      </c>
      <c r="T37">
        <v>0.33443022641882758</v>
      </c>
      <c r="U37">
        <v>0.31696887973682714</v>
      </c>
      <c r="V37">
        <v>0.28929618762968484</v>
      </c>
      <c r="W37">
        <v>0.27518921219150855</v>
      </c>
      <c r="X37">
        <v>0.38589347545387537</v>
      </c>
      <c r="Y37">
        <v>0.38775148509374735</v>
      </c>
      <c r="Z37">
        <v>0.41804565784109149</v>
      </c>
      <c r="AA37">
        <v>0.42198489540512135</v>
      </c>
      <c r="AB37">
        <v>0.44119136083042715</v>
      </c>
      <c r="AC37">
        <v>0.42967273833190833</v>
      </c>
      <c r="AD37">
        <v>0.43496221643043392</v>
      </c>
      <c r="AE37">
        <v>0.43770382387443491</v>
      </c>
      <c r="AF37">
        <v>0.42749012871425385</v>
      </c>
      <c r="AG37">
        <v>0.39322877078094687</v>
      </c>
      <c r="AH37">
        <v>0.3958031298540618</v>
      </c>
      <c r="AI37">
        <v>0.40669125403662215</v>
      </c>
      <c r="AJ37">
        <v>0.42306603945288068</v>
      </c>
      <c r="AK37">
        <v>0.41602395341985593</v>
      </c>
      <c r="AL37">
        <v>0.44533658386005837</v>
      </c>
      <c r="AM37">
        <v>0.43815828840983684</v>
      </c>
      <c r="AN37">
        <v>0.42018206447602152</v>
      </c>
      <c r="AO37">
        <v>0.42146392560342449</v>
      </c>
      <c r="AP37">
        <v>0.39803057116951135</v>
      </c>
      <c r="AQ37">
        <v>0.36359183430895303</v>
      </c>
      <c r="AR37">
        <v>0.35141143751089576</v>
      </c>
      <c r="AS37">
        <v>0.35036280674106368</v>
      </c>
      <c r="AT37">
        <v>0.35684712464116547</v>
      </c>
      <c r="AU37">
        <v>0.3909734774545518</v>
      </c>
      <c r="AV37">
        <v>0.40878652599189458</v>
      </c>
      <c r="AW37">
        <v>0.40249695362465554</v>
      </c>
      <c r="AX37">
        <v>0.38067931696594171</v>
      </c>
      <c r="AY37">
        <v>0.35040386513901944</v>
      </c>
      <c r="AZ37">
        <v>0.3317657215689877</v>
      </c>
      <c r="BA37">
        <v>0.33358647304235534</v>
      </c>
      <c r="BB37">
        <v>0.25731283835095786</v>
      </c>
      <c r="BC37">
        <v>0.24466312660350256</v>
      </c>
      <c r="BD37">
        <v>0.25608990806846271</v>
      </c>
      <c r="BE37">
        <v>0.26533283933523061</v>
      </c>
      <c r="BF37">
        <v>0.26878044874782592</v>
      </c>
      <c r="BG37">
        <v>0.29243636156245412</v>
      </c>
      <c r="BH37">
        <v>0.28859573583116738</v>
      </c>
      <c r="BI37">
        <v>0.2663666483314619</v>
      </c>
      <c r="BJ37">
        <v>0.26874599151784934</v>
      </c>
      <c r="BK37">
        <v>0.26687165347531189</v>
      </c>
      <c r="GI37" t="s">
        <v>197</v>
      </c>
      <c r="GJ37">
        <v>0.36858485707869126</v>
      </c>
      <c r="GK37">
        <v>0.37588594367724631</v>
      </c>
      <c r="GL37">
        <v>0.39291529323485264</v>
      </c>
      <c r="GM37">
        <v>0.39294983152788676</v>
      </c>
      <c r="GN37">
        <v>0.40418684070226402</v>
      </c>
      <c r="GO37">
        <v>0.41624503342046865</v>
      </c>
      <c r="GP37">
        <v>0.42564962954099256</v>
      </c>
      <c r="GQ37">
        <v>0.44201387841704726</v>
      </c>
      <c r="GR37">
        <v>0.44457652938644743</v>
      </c>
      <c r="GS37">
        <v>0.40041752116263318</v>
      </c>
      <c r="GT37">
        <v>0.40532942397141741</v>
      </c>
      <c r="GU37">
        <v>0.39868981373983475</v>
      </c>
      <c r="GV37">
        <v>0.39199814612187672</v>
      </c>
      <c r="GW37">
        <v>0.38773117288818704</v>
      </c>
      <c r="GX37">
        <v>0.36573481052644236</v>
      </c>
      <c r="GY37">
        <v>0.38237272571729825</v>
      </c>
      <c r="GZ37">
        <v>0.39263078729550144</v>
      </c>
      <c r="HA37">
        <v>0.41616852384819342</v>
      </c>
      <c r="HB37">
        <v>0.43561905267371948</v>
      </c>
      <c r="HC37">
        <v>0.42122986261475454</v>
      </c>
      <c r="HD37">
        <v>0.30417201592576482</v>
      </c>
      <c r="HE37">
        <v>0.28875791475424978</v>
      </c>
      <c r="HF37">
        <v>0.27889321637997355</v>
      </c>
      <c r="HG37">
        <v>0.28101947443202674</v>
      </c>
      <c r="HH37">
        <v>0.27052195168950738</v>
      </c>
      <c r="HI37">
        <v>0.27698414221649731</v>
      </c>
      <c r="HJ37">
        <v>0.27356634142664493</v>
      </c>
      <c r="HK37">
        <v>0.27127677206190198</v>
      </c>
      <c r="HL37">
        <v>0.27961075474687291</v>
      </c>
      <c r="HM37">
        <v>0.30422899119739327</v>
      </c>
      <c r="HN37">
        <v>0.2435662947037126</v>
      </c>
      <c r="HO37">
        <v>0.24235009091543136</v>
      </c>
      <c r="HP37">
        <v>0.23156264370560709</v>
      </c>
      <c r="HQ37">
        <v>0.24289549188603299</v>
      </c>
      <c r="HR37">
        <v>0.22486911676777419</v>
      </c>
      <c r="HS37">
        <v>0.23091496520410279</v>
      </c>
      <c r="HT37">
        <v>0.25059981093503264</v>
      </c>
      <c r="HU37">
        <v>0.26052950207240366</v>
      </c>
      <c r="HV37">
        <v>0.27645294834413792</v>
      </c>
      <c r="HW37">
        <v>0.27398531920551483</v>
      </c>
      <c r="HX37">
        <v>0.3769710086013745</v>
      </c>
      <c r="HY37">
        <v>0.35812904117712546</v>
      </c>
      <c r="HZ37">
        <v>0.37196359739655577</v>
      </c>
      <c r="IA37">
        <v>0.37945999976095118</v>
      </c>
      <c r="IB37">
        <v>0.37312325770662469</v>
      </c>
      <c r="IC37">
        <v>0.3671058920039536</v>
      </c>
      <c r="ID37">
        <v>0.37367874508467025</v>
      </c>
      <c r="IE37">
        <v>0.40936660302573119</v>
      </c>
      <c r="IF37">
        <v>0.43822713519111267</v>
      </c>
      <c r="IG37">
        <v>0.42809942925813488</v>
      </c>
      <c r="IH37">
        <v>0.54411201102739737</v>
      </c>
      <c r="II37">
        <v>0.55209613134104096</v>
      </c>
      <c r="IJ37">
        <v>0.56681598951462409</v>
      </c>
      <c r="IK37">
        <v>0.56429612531685358</v>
      </c>
      <c r="IL37">
        <v>0.56134797124782299</v>
      </c>
      <c r="IM37">
        <v>0.55161805608803827</v>
      </c>
      <c r="IN37">
        <v>0.54781071958528604</v>
      </c>
      <c r="IO37">
        <v>0.56476662653779564</v>
      </c>
      <c r="IP37">
        <v>0.56828454710066145</v>
      </c>
      <c r="IQ37">
        <v>0.56627204722756386</v>
      </c>
      <c r="IS37" t="s">
        <v>207</v>
      </c>
      <c r="IT37" t="s">
        <v>228</v>
      </c>
      <c r="IU37" t="s">
        <v>229</v>
      </c>
      <c r="IV37">
        <v>0.5031418818285478</v>
      </c>
    </row>
    <row r="38" spans="2:256" x14ac:dyDescent="0.25">
      <c r="B38" t="s">
        <v>198</v>
      </c>
      <c r="C38" t="s">
        <v>31</v>
      </c>
      <c r="D38">
        <v>0.33629883581408826</v>
      </c>
      <c r="E38">
        <v>0.34866088709546983</v>
      </c>
      <c r="F38">
        <v>0.34279123497577413</v>
      </c>
      <c r="G38">
        <v>0.34916101982991526</v>
      </c>
      <c r="H38">
        <v>0.33739731482469287</v>
      </c>
      <c r="I38">
        <v>0.33896004623812009</v>
      </c>
      <c r="J38">
        <v>0.33546653795637327</v>
      </c>
      <c r="K38">
        <v>0.31852808690198392</v>
      </c>
      <c r="L38">
        <v>0.30817604723462733</v>
      </c>
      <c r="M38">
        <v>0.31097175617371853</v>
      </c>
      <c r="N38">
        <v>0.27768846352835619</v>
      </c>
      <c r="O38">
        <v>0.29898925483273542</v>
      </c>
      <c r="P38">
        <v>0.2994587924330338</v>
      </c>
      <c r="Q38">
        <v>0.29629799894183673</v>
      </c>
      <c r="R38">
        <v>0.31698398198644129</v>
      </c>
      <c r="S38">
        <v>0.31820047579552951</v>
      </c>
      <c r="T38">
        <v>0.30816538093122103</v>
      </c>
      <c r="U38">
        <v>0.29895794125495634</v>
      </c>
      <c r="V38">
        <v>0.27578561594959078</v>
      </c>
      <c r="W38">
        <v>0.24550152087763166</v>
      </c>
      <c r="X38">
        <v>0.37204747143300354</v>
      </c>
      <c r="Y38">
        <v>0.38176117833327211</v>
      </c>
      <c r="Z38">
        <v>0.4020230960129077</v>
      </c>
      <c r="AA38">
        <v>0.40436222606647237</v>
      </c>
      <c r="AB38">
        <v>0.41932624760195236</v>
      </c>
      <c r="AC38">
        <v>0.42795689672695364</v>
      </c>
      <c r="AD38">
        <v>0.43790111967792872</v>
      </c>
      <c r="AE38">
        <v>0.4342363975713891</v>
      </c>
      <c r="AF38">
        <v>0.4174681817902221</v>
      </c>
      <c r="AG38">
        <v>0.38398452137092437</v>
      </c>
      <c r="AH38">
        <v>0.38775567902624686</v>
      </c>
      <c r="AI38">
        <v>0.39457323674171568</v>
      </c>
      <c r="AJ38">
        <v>0.38705005044030533</v>
      </c>
      <c r="AK38">
        <v>0.39307969184233998</v>
      </c>
      <c r="AL38">
        <v>0.44215184667619095</v>
      </c>
      <c r="AM38">
        <v>0.43561849824818305</v>
      </c>
      <c r="AN38">
        <v>0.40889015316075306</v>
      </c>
      <c r="AO38">
        <v>0.38289002824327806</v>
      </c>
      <c r="AP38">
        <v>0.36030304138321534</v>
      </c>
      <c r="AQ38">
        <v>0.3386770707684304</v>
      </c>
      <c r="AR38">
        <v>0.33068795593012201</v>
      </c>
      <c r="AS38">
        <v>0.34811175712506154</v>
      </c>
      <c r="AT38">
        <v>0.35752340598621873</v>
      </c>
      <c r="AU38">
        <v>0.36165192128153201</v>
      </c>
      <c r="AV38">
        <v>0.38457508511355093</v>
      </c>
      <c r="AW38">
        <v>0.38842150218755045</v>
      </c>
      <c r="AX38">
        <v>0.35363499088119793</v>
      </c>
      <c r="AY38">
        <v>0.31534596756077621</v>
      </c>
      <c r="AZ38">
        <v>0.30307899251558934</v>
      </c>
      <c r="BA38">
        <v>0.31266865177531744</v>
      </c>
      <c r="BB38">
        <v>0.23865170304903491</v>
      </c>
      <c r="BC38">
        <v>0.2386116121521332</v>
      </c>
      <c r="BD38">
        <v>0.23180107281972309</v>
      </c>
      <c r="BE38">
        <v>0.24667524769920945</v>
      </c>
      <c r="BF38">
        <v>0.23576178413190868</v>
      </c>
      <c r="BG38">
        <v>0.25192046259011841</v>
      </c>
      <c r="BH38">
        <v>0.24822115201926151</v>
      </c>
      <c r="BI38">
        <v>0.23606850839899066</v>
      </c>
      <c r="BJ38">
        <v>0.25073844387585703</v>
      </c>
      <c r="BK38">
        <v>0.25041345619226563</v>
      </c>
      <c r="GI38" t="s">
        <v>198</v>
      </c>
      <c r="GJ38">
        <v>0.50067501070814069</v>
      </c>
      <c r="GK38">
        <v>0.49621149374613027</v>
      </c>
      <c r="GL38">
        <v>0.51458759680626354</v>
      </c>
      <c r="GM38">
        <v>0.51162193382677701</v>
      </c>
      <c r="GN38">
        <v>0.5280759648946598</v>
      </c>
      <c r="GO38">
        <v>0.54337769941758562</v>
      </c>
      <c r="GP38">
        <v>0.55653392857112294</v>
      </c>
      <c r="GQ38">
        <v>0.57774279225750258</v>
      </c>
      <c r="GR38">
        <v>0.58165843636351489</v>
      </c>
      <c r="GS38">
        <v>0.539615964337404</v>
      </c>
      <c r="GT38">
        <v>0.5612613600355657</v>
      </c>
      <c r="GU38">
        <v>0.53226378332255941</v>
      </c>
      <c r="GV38">
        <v>0.53332817160489099</v>
      </c>
      <c r="GW38">
        <v>0.54139953742109848</v>
      </c>
      <c r="GX38">
        <v>0.5205655643435636</v>
      </c>
      <c r="GY38">
        <v>0.52979617990399785</v>
      </c>
      <c r="GZ38">
        <v>0.55368205645663227</v>
      </c>
      <c r="HA38">
        <v>0.58970857946005151</v>
      </c>
      <c r="HB38">
        <v>0.60735171454730452</v>
      </c>
      <c r="HC38">
        <v>0.59929136405836436</v>
      </c>
      <c r="HD38">
        <v>0.43423990893069658</v>
      </c>
      <c r="HE38">
        <v>0.41202327560193658</v>
      </c>
      <c r="HF38">
        <v>0.41242969059515533</v>
      </c>
      <c r="HG38">
        <v>0.39632148325914407</v>
      </c>
      <c r="HH38">
        <v>0.36666475893843853</v>
      </c>
      <c r="HI38">
        <v>0.36296547318723749</v>
      </c>
      <c r="HJ38">
        <v>0.35991992113667459</v>
      </c>
      <c r="HK38">
        <v>0.36995025196329751</v>
      </c>
      <c r="HL38">
        <v>0.39236266685692395</v>
      </c>
      <c r="HM38">
        <v>0.42345480113458339</v>
      </c>
      <c r="HN38">
        <v>0.34412048530824557</v>
      </c>
      <c r="HO38">
        <v>0.32817663124046365</v>
      </c>
      <c r="HP38">
        <v>0.33063339495131849</v>
      </c>
      <c r="HQ38">
        <v>0.3360917812905509</v>
      </c>
      <c r="HR38">
        <v>0.3059683061246663</v>
      </c>
      <c r="HS38">
        <v>0.32043479171107853</v>
      </c>
      <c r="HT38">
        <v>0.36324185770602363</v>
      </c>
      <c r="HU38">
        <v>0.40723624415474052</v>
      </c>
      <c r="HV38">
        <v>0.43904618294704706</v>
      </c>
      <c r="HW38">
        <v>0.41237344933287245</v>
      </c>
      <c r="HX38">
        <v>0.47527549569599192</v>
      </c>
      <c r="HY38">
        <v>0.44770193098019245</v>
      </c>
      <c r="HZ38">
        <v>0.46538750916143135</v>
      </c>
      <c r="IA38">
        <v>0.47770612383603511</v>
      </c>
      <c r="IB38">
        <v>0.46619470704585891</v>
      </c>
      <c r="IC38">
        <v>0.46458836408080306</v>
      </c>
      <c r="ID38">
        <v>0.47606267409466785</v>
      </c>
      <c r="IE38">
        <v>0.51642149762394163</v>
      </c>
      <c r="IF38">
        <v>0.54589708640906243</v>
      </c>
      <c r="IG38">
        <v>0.52955308006598079</v>
      </c>
      <c r="IH38">
        <v>0.65865012953399016</v>
      </c>
      <c r="II38">
        <v>0.66398124510728929</v>
      </c>
      <c r="IJ38">
        <v>0.67336981985624234</v>
      </c>
      <c r="IK38">
        <v>0.6666695061363993</v>
      </c>
      <c r="IL38">
        <v>0.68045189912991888</v>
      </c>
      <c r="IM38">
        <v>0.66554430039101542</v>
      </c>
      <c r="IN38">
        <v>0.65989331853971733</v>
      </c>
      <c r="IO38">
        <v>0.67831779027654693</v>
      </c>
      <c r="IP38">
        <v>0.67989099237104311</v>
      </c>
      <c r="IQ38">
        <v>0.67565364489159629</v>
      </c>
      <c r="IS38" t="s">
        <v>208</v>
      </c>
      <c r="IT38" t="s">
        <v>228</v>
      </c>
      <c r="IU38" t="s">
        <v>229</v>
      </c>
      <c r="IV38">
        <v>0.53223163677334051</v>
      </c>
    </row>
    <row r="39" spans="2:256" x14ac:dyDescent="0.25">
      <c r="B39" t="s">
        <v>199</v>
      </c>
      <c r="C39" t="s">
        <v>31</v>
      </c>
      <c r="D39">
        <v>0.33148769907152514</v>
      </c>
      <c r="E39">
        <v>0.34518718469452575</v>
      </c>
      <c r="F39">
        <v>0.35262701735850233</v>
      </c>
      <c r="G39">
        <v>0.34247220215495483</v>
      </c>
      <c r="H39">
        <v>0.34029852508298591</v>
      </c>
      <c r="I39">
        <v>0.34214418823753107</v>
      </c>
      <c r="J39">
        <v>0.32547573184209649</v>
      </c>
      <c r="K39">
        <v>0.31466213069057308</v>
      </c>
      <c r="L39">
        <v>0.31120487281322262</v>
      </c>
      <c r="M39">
        <v>0.30689162453482377</v>
      </c>
      <c r="N39">
        <v>0.269440256809231</v>
      </c>
      <c r="O39">
        <v>0.30601666327053412</v>
      </c>
      <c r="P39">
        <v>0.31432305966881596</v>
      </c>
      <c r="Q39">
        <v>0.29993956118020598</v>
      </c>
      <c r="R39">
        <v>0.31601561317664206</v>
      </c>
      <c r="S39">
        <v>0.30979004574701691</v>
      </c>
      <c r="T39">
        <v>0.29136327378931459</v>
      </c>
      <c r="U39">
        <v>0.27240211077287396</v>
      </c>
      <c r="V39">
        <v>0.24288975064787716</v>
      </c>
      <c r="W39">
        <v>0.23674348607328832</v>
      </c>
      <c r="X39">
        <v>0.33057869822509406</v>
      </c>
      <c r="Y39">
        <v>0.34705428462656013</v>
      </c>
      <c r="Z39">
        <v>0.36782997356513336</v>
      </c>
      <c r="AA39">
        <v>0.38066270197156271</v>
      </c>
      <c r="AB39">
        <v>0.41975912331346243</v>
      </c>
      <c r="AC39">
        <v>0.42582373086746861</v>
      </c>
      <c r="AD39">
        <v>0.41638707561371147</v>
      </c>
      <c r="AE39">
        <v>0.41400773842182209</v>
      </c>
      <c r="AF39">
        <v>0.40623811770187296</v>
      </c>
      <c r="AG39">
        <v>0.37473896939472934</v>
      </c>
      <c r="AH39">
        <v>0.3403272938937697</v>
      </c>
      <c r="AI39">
        <v>0.35953116417022729</v>
      </c>
      <c r="AJ39">
        <v>0.35675153290207617</v>
      </c>
      <c r="AK39">
        <v>0.36266996478727376</v>
      </c>
      <c r="AL39">
        <v>0.38425074765093209</v>
      </c>
      <c r="AM39">
        <v>0.37399879022976262</v>
      </c>
      <c r="AN39">
        <v>0.38163549533524282</v>
      </c>
      <c r="AO39">
        <v>0.38457082213681693</v>
      </c>
      <c r="AP39">
        <v>0.3819583944699218</v>
      </c>
      <c r="AQ39">
        <v>0.36856878378672941</v>
      </c>
      <c r="AR39">
        <v>0.3303065611663053</v>
      </c>
      <c r="AS39">
        <v>0.33915666017518276</v>
      </c>
      <c r="AT39">
        <v>0.34047095302299163</v>
      </c>
      <c r="AU39">
        <v>0.35802810114825134</v>
      </c>
      <c r="AV39">
        <v>0.37535031756975423</v>
      </c>
      <c r="AW39">
        <v>0.3838724303963294</v>
      </c>
      <c r="AX39">
        <v>0.35784473108052312</v>
      </c>
      <c r="AY39">
        <v>0.32853188462269928</v>
      </c>
      <c r="AZ39">
        <v>0.31881699987253365</v>
      </c>
      <c r="BA39">
        <v>0.3342248272814346</v>
      </c>
      <c r="BB39">
        <v>0.24680953525008439</v>
      </c>
      <c r="BC39">
        <v>0.23074927648424509</v>
      </c>
      <c r="BD39">
        <v>0.23129745939789972</v>
      </c>
      <c r="BE39">
        <v>0.25053576988435905</v>
      </c>
      <c r="BF39">
        <v>0.23690074896160257</v>
      </c>
      <c r="BG39">
        <v>0.24073945720764456</v>
      </c>
      <c r="BH39">
        <v>0.24179801470777046</v>
      </c>
      <c r="BI39">
        <v>0.2495085147344196</v>
      </c>
      <c r="BJ39">
        <v>0.25278801071599788</v>
      </c>
      <c r="BK39">
        <v>0.25708891378750354</v>
      </c>
      <c r="GI39" t="s">
        <v>199</v>
      </c>
      <c r="GJ39">
        <v>0.49186753992611293</v>
      </c>
      <c r="GK39">
        <v>0.51240129246933919</v>
      </c>
      <c r="GL39">
        <v>0.52582635839663949</v>
      </c>
      <c r="GM39">
        <v>0.5257196209514069</v>
      </c>
      <c r="GN39">
        <v>0.53432451898379485</v>
      </c>
      <c r="GO39">
        <v>0.52989389346441107</v>
      </c>
      <c r="GP39">
        <v>0.55001320359358452</v>
      </c>
      <c r="GQ39">
        <v>0.56588729644462898</v>
      </c>
      <c r="GR39">
        <v>0.56180609401309844</v>
      </c>
      <c r="GS39">
        <v>0.52738190198018653</v>
      </c>
      <c r="GT39">
        <v>0.59333629786641573</v>
      </c>
      <c r="GU39">
        <v>0.55646037664059644</v>
      </c>
      <c r="GV39">
        <v>0.55754595738089308</v>
      </c>
      <c r="GW39">
        <v>0.56301781899183934</v>
      </c>
      <c r="GX39">
        <v>0.54547121747997518</v>
      </c>
      <c r="GY39">
        <v>0.54934870619764631</v>
      </c>
      <c r="GZ39">
        <v>0.57598024134497472</v>
      </c>
      <c r="HA39">
        <v>0.60682898915372341</v>
      </c>
      <c r="HB39">
        <v>0.63235309231302428</v>
      </c>
      <c r="HC39">
        <v>0.62567314150570918</v>
      </c>
      <c r="HD39">
        <v>0.46235169684894362</v>
      </c>
      <c r="HE39">
        <v>0.43815528186439212</v>
      </c>
      <c r="HF39">
        <v>0.4299620503898946</v>
      </c>
      <c r="HG39">
        <v>0.41192213882918677</v>
      </c>
      <c r="HH39">
        <v>0.37565173247441253</v>
      </c>
      <c r="HI39">
        <v>0.3774944005677594</v>
      </c>
      <c r="HJ39">
        <v>0.38519482461944565</v>
      </c>
      <c r="HK39">
        <v>0.37745136971319554</v>
      </c>
      <c r="HL39">
        <v>0.38469038152557122</v>
      </c>
      <c r="HM39">
        <v>0.42964603896283388</v>
      </c>
      <c r="HN39">
        <v>0.35953182020844632</v>
      </c>
      <c r="HO39">
        <v>0.33727579760925186</v>
      </c>
      <c r="HP39">
        <v>0.33400909732189465</v>
      </c>
      <c r="HQ39">
        <v>0.34331512755698945</v>
      </c>
      <c r="HR39">
        <v>0.30919754479518019</v>
      </c>
      <c r="HS39">
        <v>0.33780593189755143</v>
      </c>
      <c r="HT39">
        <v>0.35619799236000316</v>
      </c>
      <c r="HU39">
        <v>0.37839194853184571</v>
      </c>
      <c r="HV39">
        <v>0.37210688213367465</v>
      </c>
      <c r="HW39">
        <v>0.38407407849388003</v>
      </c>
      <c r="HX39">
        <v>0.50268090147298983</v>
      </c>
      <c r="HY39">
        <v>0.47365030167490246</v>
      </c>
      <c r="HZ39">
        <v>0.49107021750796559</v>
      </c>
      <c r="IA39">
        <v>0.49201769972028436</v>
      </c>
      <c r="IB39">
        <v>0.47103341347665761</v>
      </c>
      <c r="IC39">
        <v>0.47008260681351138</v>
      </c>
      <c r="ID39">
        <v>0.48431335983120716</v>
      </c>
      <c r="IE39">
        <v>0.51086739315458862</v>
      </c>
      <c r="IF39">
        <v>0.52794568225991323</v>
      </c>
      <c r="IG39">
        <v>0.52310757551911879</v>
      </c>
      <c r="IH39">
        <v>0.68086814324108158</v>
      </c>
      <c r="II39">
        <v>0.69131855581700308</v>
      </c>
      <c r="IJ39">
        <v>0.69082958099542424</v>
      </c>
      <c r="IK39">
        <v>0.67824096171358017</v>
      </c>
      <c r="IL39">
        <v>0.69776314494170211</v>
      </c>
      <c r="IM39">
        <v>0.68895961162567243</v>
      </c>
      <c r="IN39">
        <v>0.68691039492813699</v>
      </c>
      <c r="IO39">
        <v>0.68338729520182162</v>
      </c>
      <c r="IP39">
        <v>0.68852062987474871</v>
      </c>
      <c r="IQ39">
        <v>0.68164825364610637</v>
      </c>
      <c r="IS39" t="s">
        <v>209</v>
      </c>
      <c r="IT39" t="s">
        <v>228</v>
      </c>
      <c r="IU39" t="s">
        <v>229</v>
      </c>
      <c r="IV39">
        <v>0.55738032407323812</v>
      </c>
    </row>
    <row r="40" spans="2:256" x14ac:dyDescent="0.25">
      <c r="B40" t="s">
        <v>200</v>
      </c>
      <c r="C40" t="s">
        <v>31</v>
      </c>
      <c r="D40">
        <v>0.35128769403067472</v>
      </c>
      <c r="E40">
        <v>0.36759303949145627</v>
      </c>
      <c r="F40">
        <v>0.36954204559858828</v>
      </c>
      <c r="G40">
        <v>0.35266963043827226</v>
      </c>
      <c r="H40">
        <v>0.36128034917700247</v>
      </c>
      <c r="I40">
        <v>0.35905899544392084</v>
      </c>
      <c r="J40">
        <v>0.35022859071039431</v>
      </c>
      <c r="K40">
        <v>0.33330727382557584</v>
      </c>
      <c r="L40">
        <v>0.32336774712739857</v>
      </c>
      <c r="M40">
        <v>0.3323940462199072</v>
      </c>
      <c r="N40">
        <v>0.29148757160353944</v>
      </c>
      <c r="O40">
        <v>0.32543850466552582</v>
      </c>
      <c r="P40">
        <v>0.33505620648827728</v>
      </c>
      <c r="Q40">
        <v>0.32379221458803881</v>
      </c>
      <c r="R40">
        <v>0.33042153597803753</v>
      </c>
      <c r="S40">
        <v>0.33097319393642421</v>
      </c>
      <c r="T40">
        <v>0.31359241046687342</v>
      </c>
      <c r="U40">
        <v>0.29737688772299381</v>
      </c>
      <c r="V40">
        <v>0.2781930167022561</v>
      </c>
      <c r="W40">
        <v>0.25739138601124739</v>
      </c>
      <c r="X40">
        <v>0.3718849461973342</v>
      </c>
      <c r="Y40">
        <v>0.36706077682743493</v>
      </c>
      <c r="Z40">
        <v>0.39071080565814748</v>
      </c>
      <c r="AA40">
        <v>0.40965534693722494</v>
      </c>
      <c r="AB40">
        <v>0.44668812957328002</v>
      </c>
      <c r="AC40">
        <v>0.45292363725314977</v>
      </c>
      <c r="AD40">
        <v>0.45431898415643129</v>
      </c>
      <c r="AE40">
        <v>0.44769919451329049</v>
      </c>
      <c r="AF40">
        <v>0.44499426390846081</v>
      </c>
      <c r="AG40">
        <v>0.39839347682085535</v>
      </c>
      <c r="AH40">
        <v>0.38147632727216746</v>
      </c>
      <c r="AI40">
        <v>0.40030080359053621</v>
      </c>
      <c r="AJ40">
        <v>0.39651187698455675</v>
      </c>
      <c r="AK40">
        <v>0.39087218735781148</v>
      </c>
      <c r="AL40">
        <v>0.41641034924572162</v>
      </c>
      <c r="AM40">
        <v>0.40404879474046013</v>
      </c>
      <c r="AN40">
        <v>0.40485650908423659</v>
      </c>
      <c r="AO40">
        <v>0.40430016151540044</v>
      </c>
      <c r="AP40">
        <v>0.39836164619500808</v>
      </c>
      <c r="AQ40">
        <v>0.37878668851500247</v>
      </c>
      <c r="AR40">
        <v>0.33662609006621269</v>
      </c>
      <c r="AS40">
        <v>0.35858426771889773</v>
      </c>
      <c r="AT40">
        <v>0.36013412939006889</v>
      </c>
      <c r="AU40">
        <v>0.3804592324753554</v>
      </c>
      <c r="AV40">
        <v>0.39901375237447934</v>
      </c>
      <c r="AW40">
        <v>0.39792990294931757</v>
      </c>
      <c r="AX40">
        <v>0.36560857775561156</v>
      </c>
      <c r="AY40">
        <v>0.32684037541929278</v>
      </c>
      <c r="AZ40">
        <v>0.31624138978872984</v>
      </c>
      <c r="BA40">
        <v>0.33069713802573503</v>
      </c>
      <c r="BB40">
        <v>0.251142398693393</v>
      </c>
      <c r="BC40">
        <v>0.23756090308856376</v>
      </c>
      <c r="BD40">
        <v>0.23468752844674026</v>
      </c>
      <c r="BE40">
        <v>0.24924404892374624</v>
      </c>
      <c r="BF40">
        <v>0.24627825458546282</v>
      </c>
      <c r="BG40">
        <v>0.25804440023143527</v>
      </c>
      <c r="BH40">
        <v>0.2666330237665987</v>
      </c>
      <c r="BI40">
        <v>0.24985300949093425</v>
      </c>
      <c r="BJ40">
        <v>0.24400010699047794</v>
      </c>
      <c r="BK40">
        <v>0.25739420732831697</v>
      </c>
      <c r="GI40" t="s">
        <v>200</v>
      </c>
      <c r="GJ40">
        <v>0.44402571453529799</v>
      </c>
      <c r="GK40">
        <v>0.46315321079702082</v>
      </c>
      <c r="GL40">
        <v>0.48186421912997862</v>
      </c>
      <c r="GM40">
        <v>0.48658533619064986</v>
      </c>
      <c r="GN40">
        <v>0.49401361673337885</v>
      </c>
      <c r="GO40">
        <v>0.50367826938017013</v>
      </c>
      <c r="GP40">
        <v>0.52063655114945684</v>
      </c>
      <c r="GQ40">
        <v>0.53195412684613674</v>
      </c>
      <c r="GR40">
        <v>0.53365664346975783</v>
      </c>
      <c r="GS40">
        <v>0.48093462665360076</v>
      </c>
      <c r="GT40">
        <v>0.5146853813451725</v>
      </c>
      <c r="GU40">
        <v>0.48949554600163203</v>
      </c>
      <c r="GV40">
        <v>0.49017056104685874</v>
      </c>
      <c r="GW40">
        <v>0.49411577314952232</v>
      </c>
      <c r="GX40">
        <v>0.47780825630698986</v>
      </c>
      <c r="GY40">
        <v>0.48559096200228546</v>
      </c>
      <c r="GZ40">
        <v>0.50459199748464101</v>
      </c>
      <c r="HA40">
        <v>0.52588261901773192</v>
      </c>
      <c r="HB40">
        <v>0.54337120581650888</v>
      </c>
      <c r="HC40">
        <v>0.53859949206184154</v>
      </c>
      <c r="HD40">
        <v>0.39193149424482637</v>
      </c>
      <c r="HE40">
        <v>0.3717482601707493</v>
      </c>
      <c r="HF40">
        <v>0.36343024824845027</v>
      </c>
      <c r="HG40">
        <v>0.35306348747106131</v>
      </c>
      <c r="HH40">
        <v>0.32365014810072157</v>
      </c>
      <c r="HI40">
        <v>0.32804437060332675</v>
      </c>
      <c r="HJ40">
        <v>0.32583351300183028</v>
      </c>
      <c r="HK40">
        <v>0.31531665615409249</v>
      </c>
      <c r="HL40">
        <v>0.3225604615920426</v>
      </c>
      <c r="HM40">
        <v>0.36718180524948041</v>
      </c>
      <c r="HN40">
        <v>0.3102138924851055</v>
      </c>
      <c r="HO40">
        <v>0.29919268944598959</v>
      </c>
      <c r="HP40">
        <v>0.2982599033140107</v>
      </c>
      <c r="HQ40">
        <v>0.3109833010005475</v>
      </c>
      <c r="HR40">
        <v>0.28810984983989435</v>
      </c>
      <c r="HS40">
        <v>0.30707369988496508</v>
      </c>
      <c r="HT40">
        <v>0.32238801036068881</v>
      </c>
      <c r="HU40">
        <v>0.34116856825684116</v>
      </c>
      <c r="HV40">
        <v>0.34136864512851206</v>
      </c>
      <c r="HW40">
        <v>0.34073802071316073</v>
      </c>
      <c r="HX40">
        <v>0.46032253165827425</v>
      </c>
      <c r="HY40">
        <v>0.42760192734255548</v>
      </c>
      <c r="HZ40">
        <v>0.43743015497716276</v>
      </c>
      <c r="IA40">
        <v>0.44349375012477871</v>
      </c>
      <c r="IB40">
        <v>0.43365250677703959</v>
      </c>
      <c r="IC40">
        <v>0.4373772119670376</v>
      </c>
      <c r="ID40">
        <v>0.44921636874855225</v>
      </c>
      <c r="IE40">
        <v>0.47950629302564268</v>
      </c>
      <c r="IF40">
        <v>0.50434705527206591</v>
      </c>
      <c r="IG40">
        <v>0.49644441665208305</v>
      </c>
      <c r="IH40">
        <v>0.646291215569335</v>
      </c>
      <c r="II40">
        <v>0.65268098603512104</v>
      </c>
      <c r="IJ40">
        <v>0.663153936394976</v>
      </c>
      <c r="IK40">
        <v>0.6492887410005268</v>
      </c>
      <c r="IL40">
        <v>0.65604307704585274</v>
      </c>
      <c r="IM40">
        <v>0.64752619716517046</v>
      </c>
      <c r="IN40">
        <v>0.64243142335903036</v>
      </c>
      <c r="IO40">
        <v>0.65042626999751618</v>
      </c>
      <c r="IP40">
        <v>0.66214699840305757</v>
      </c>
      <c r="IQ40">
        <v>0.66355978378658709</v>
      </c>
      <c r="IS40" t="s">
        <v>210</v>
      </c>
      <c r="IT40" t="s">
        <v>228</v>
      </c>
      <c r="IU40" t="s">
        <v>229</v>
      </c>
      <c r="IV40">
        <v>0.57337543522238743</v>
      </c>
    </row>
    <row r="41" spans="2:256" x14ac:dyDescent="0.25">
      <c r="B41" t="s">
        <v>201</v>
      </c>
      <c r="C41" t="s">
        <v>31</v>
      </c>
      <c r="D41">
        <v>0.36936188174760337</v>
      </c>
      <c r="E41">
        <v>0.35968505474990248</v>
      </c>
      <c r="F41">
        <v>0.35951628523059487</v>
      </c>
      <c r="G41">
        <v>0.39661355718892866</v>
      </c>
      <c r="H41">
        <v>0.4438880861720797</v>
      </c>
      <c r="I41">
        <v>0.45402948720720787</v>
      </c>
      <c r="J41">
        <v>0.44267952714149245</v>
      </c>
      <c r="K41">
        <v>0.41324079785664836</v>
      </c>
      <c r="L41">
        <v>0.39568538126155145</v>
      </c>
      <c r="M41">
        <v>0.3762491281325831</v>
      </c>
      <c r="N41">
        <v>0.31988090905421362</v>
      </c>
      <c r="O41">
        <v>0.30177217097181819</v>
      </c>
      <c r="P41">
        <v>0.34818179027930807</v>
      </c>
      <c r="Q41">
        <v>0.35829051505079829</v>
      </c>
      <c r="R41">
        <v>0.38864926118694942</v>
      </c>
      <c r="S41">
        <v>0.38949778225357234</v>
      </c>
      <c r="T41">
        <v>0.37715588160633118</v>
      </c>
      <c r="U41">
        <v>0.37087683062226878</v>
      </c>
      <c r="V41">
        <v>0.33832379392958756</v>
      </c>
      <c r="W41">
        <v>0.32496824618032921</v>
      </c>
      <c r="X41">
        <v>0.3126172157558349</v>
      </c>
      <c r="Y41">
        <v>0.34381917339806456</v>
      </c>
      <c r="Z41">
        <v>0.42715115328844999</v>
      </c>
      <c r="AA41">
        <v>0.37789109101956436</v>
      </c>
      <c r="AB41">
        <v>0.44522729886854623</v>
      </c>
      <c r="AC41">
        <v>0.44435030152063559</v>
      </c>
      <c r="AD41">
        <v>0.43963718485416931</v>
      </c>
      <c r="AE41">
        <v>0.43051847169733021</v>
      </c>
      <c r="AF41">
        <v>0.36442841987106417</v>
      </c>
      <c r="AG41">
        <v>0.32375477209028503</v>
      </c>
      <c r="AH41">
        <v>0.30735876911476934</v>
      </c>
      <c r="AI41">
        <v>0.32986488235601646</v>
      </c>
      <c r="AJ41">
        <v>0.45486423742008902</v>
      </c>
      <c r="AK41">
        <v>0.43895690284120825</v>
      </c>
      <c r="AL41">
        <v>0.44196874506910322</v>
      </c>
      <c r="AM41">
        <v>0.41852368948355134</v>
      </c>
      <c r="AN41">
        <v>0.40459618319950147</v>
      </c>
      <c r="AO41">
        <v>0.39353619719230831</v>
      </c>
      <c r="AP41">
        <v>0.33173798634601975</v>
      </c>
      <c r="AQ41">
        <v>0.30943001713725943</v>
      </c>
      <c r="AR41">
        <v>0.35371080648133663</v>
      </c>
      <c r="AS41">
        <v>0.37736725965344842</v>
      </c>
      <c r="AT41">
        <v>0.43143920460300822</v>
      </c>
      <c r="AU41">
        <v>0.47370504336385522</v>
      </c>
      <c r="AV41">
        <v>0.45836276377531671</v>
      </c>
      <c r="AW41">
        <v>0.44238425741719467</v>
      </c>
      <c r="AX41">
        <v>0.43191258837267599</v>
      </c>
      <c r="AY41">
        <v>0.39015357984987314</v>
      </c>
      <c r="AZ41">
        <v>0.33936671982247452</v>
      </c>
      <c r="BA41">
        <v>0.32173397843445778</v>
      </c>
      <c r="BB41">
        <v>0.33800452213157761</v>
      </c>
      <c r="BC41">
        <v>0.29934792697978202</v>
      </c>
      <c r="BD41">
        <v>0.29049511276678808</v>
      </c>
      <c r="BE41">
        <v>0.32102220487309435</v>
      </c>
      <c r="BF41">
        <v>0.37348323192851307</v>
      </c>
      <c r="BG41">
        <v>0.37631447582014482</v>
      </c>
      <c r="BH41">
        <v>0.33840856944107761</v>
      </c>
      <c r="BI41">
        <v>0.31511139060882243</v>
      </c>
      <c r="BJ41">
        <v>0.31829383362884095</v>
      </c>
      <c r="BK41">
        <v>0.33251768892363193</v>
      </c>
      <c r="GI41" t="s">
        <v>201</v>
      </c>
      <c r="GJ41">
        <v>0.33926046988615088</v>
      </c>
      <c r="GK41">
        <v>0.34928579575500712</v>
      </c>
      <c r="GL41">
        <v>0.35962231308059872</v>
      </c>
      <c r="GM41">
        <v>0.35168453988995757</v>
      </c>
      <c r="GN41">
        <v>0.30730170885974711</v>
      </c>
      <c r="GO41">
        <v>0.29798603550500508</v>
      </c>
      <c r="GP41">
        <v>0.31271462843520559</v>
      </c>
      <c r="GQ41">
        <v>0.35496610145633484</v>
      </c>
      <c r="GR41">
        <v>0.37983510933643222</v>
      </c>
      <c r="GS41">
        <v>0.3679628709756268</v>
      </c>
      <c r="GT41">
        <v>0.37590492096912381</v>
      </c>
      <c r="GU41">
        <v>0.37151356194726942</v>
      </c>
      <c r="GV41">
        <v>0.32658813938217146</v>
      </c>
      <c r="GW41">
        <v>0.30287361640383836</v>
      </c>
      <c r="GX41">
        <v>0.2738415425095907</v>
      </c>
      <c r="GY41">
        <v>0.29880502050872737</v>
      </c>
      <c r="GZ41">
        <v>0.29704669935535266</v>
      </c>
      <c r="HA41">
        <v>0.31669203665859058</v>
      </c>
      <c r="HB41">
        <v>0.37449426024260613</v>
      </c>
      <c r="HC41">
        <v>0.38328101403450515</v>
      </c>
      <c r="HD41">
        <v>0.2429419339371035</v>
      </c>
      <c r="HE41">
        <v>0.19850254876930976</v>
      </c>
      <c r="HF41">
        <v>0.14312091896130646</v>
      </c>
      <c r="HG41">
        <v>0.15199722126427276</v>
      </c>
      <c r="HH41">
        <v>0.12592743484692201</v>
      </c>
      <c r="HI41">
        <v>0.15312032879451576</v>
      </c>
      <c r="HJ41">
        <v>0.16002289881795062</v>
      </c>
      <c r="HK41">
        <v>0.16486194971161733</v>
      </c>
      <c r="HL41">
        <v>0.18726518388482077</v>
      </c>
      <c r="HM41">
        <v>0.23776758356214139</v>
      </c>
      <c r="HN41">
        <v>0.18952519619258923</v>
      </c>
      <c r="HO41">
        <v>0.14480366689186161</v>
      </c>
      <c r="HP41">
        <v>0.10750855869484227</v>
      </c>
      <c r="HQ41">
        <v>0.13092930985409157</v>
      </c>
      <c r="HR41">
        <v>0.11391266189613806</v>
      </c>
      <c r="HS41">
        <v>0.14889788532306741</v>
      </c>
      <c r="HT41">
        <v>0.15574910219532689</v>
      </c>
      <c r="HU41">
        <v>0.14074205323623248</v>
      </c>
      <c r="HV41">
        <v>0.16281377703582223</v>
      </c>
      <c r="HW41">
        <v>0.20993919828899113</v>
      </c>
      <c r="HX41">
        <v>0.30442241675499704</v>
      </c>
      <c r="HY41">
        <v>0.27382411295605852</v>
      </c>
      <c r="HZ41">
        <v>0.25537563014994036</v>
      </c>
      <c r="IA41">
        <v>0.23785165422690482</v>
      </c>
      <c r="IB41">
        <v>0.21808395282592036</v>
      </c>
      <c r="IC41">
        <v>0.24026794662592599</v>
      </c>
      <c r="ID41">
        <v>0.24657227880560231</v>
      </c>
      <c r="IE41">
        <v>0.28873231363519536</v>
      </c>
      <c r="IF41">
        <v>0.33571189466807239</v>
      </c>
      <c r="IG41">
        <v>0.35434507404706328</v>
      </c>
      <c r="IH41">
        <v>0.4548618377276506</v>
      </c>
      <c r="II41">
        <v>0.45819666618653837</v>
      </c>
      <c r="IJ41">
        <v>0.45756863093550654</v>
      </c>
      <c r="IK41">
        <v>0.43803947010981592</v>
      </c>
      <c r="IL41">
        <v>0.40439688771095289</v>
      </c>
      <c r="IM41">
        <v>0.40140300786502581</v>
      </c>
      <c r="IN41">
        <v>0.43319697539472668</v>
      </c>
      <c r="IO41">
        <v>0.47626511305370417</v>
      </c>
      <c r="IP41">
        <v>0.48599673205049776</v>
      </c>
      <c r="IQ41">
        <v>0.47568205497962451</v>
      </c>
      <c r="IS41" t="s">
        <v>211</v>
      </c>
      <c r="IT41" t="s">
        <v>228</v>
      </c>
      <c r="IU41" t="s">
        <v>229</v>
      </c>
      <c r="IV41">
        <v>0.43058864206397163</v>
      </c>
    </row>
    <row r="42" spans="2:256" x14ac:dyDescent="0.25">
      <c r="B42" t="s">
        <v>202</v>
      </c>
      <c r="C42" t="s">
        <v>31</v>
      </c>
      <c r="D42">
        <v>0.32986397039911497</v>
      </c>
      <c r="E42">
        <v>0.35157421296122776</v>
      </c>
      <c r="F42">
        <v>0.34565303465410518</v>
      </c>
      <c r="G42">
        <v>0.37242231543043103</v>
      </c>
      <c r="H42">
        <v>0.42318800952062469</v>
      </c>
      <c r="I42">
        <v>0.43202052227490023</v>
      </c>
      <c r="J42">
        <v>0.4157223609580703</v>
      </c>
      <c r="K42">
        <v>0.37459281352295715</v>
      </c>
      <c r="L42">
        <v>0.35425880302787438</v>
      </c>
      <c r="M42">
        <v>0.33748033280315454</v>
      </c>
      <c r="N42">
        <v>0.34802588560825592</v>
      </c>
      <c r="O42">
        <v>0.36936739372894295</v>
      </c>
      <c r="P42">
        <v>0.43464588799326304</v>
      </c>
      <c r="Q42">
        <v>0.44408842492809641</v>
      </c>
      <c r="R42">
        <v>0.45840976695895225</v>
      </c>
      <c r="S42">
        <v>0.4177700535696256</v>
      </c>
      <c r="T42">
        <v>0.40179538561298406</v>
      </c>
      <c r="U42">
        <v>0.35661674636288199</v>
      </c>
      <c r="V42">
        <v>0.31653908467634212</v>
      </c>
      <c r="W42">
        <v>0.32917778330703445</v>
      </c>
      <c r="X42">
        <v>0.33074972932370283</v>
      </c>
      <c r="Y42">
        <v>0.3552706664520327</v>
      </c>
      <c r="Z42">
        <v>0.45828305158542559</v>
      </c>
      <c r="AA42">
        <v>0.43664862213167277</v>
      </c>
      <c r="AB42">
        <v>0.45364915168111725</v>
      </c>
      <c r="AC42">
        <v>0.439273659707761</v>
      </c>
      <c r="AD42">
        <v>0.4212078784341422</v>
      </c>
      <c r="AE42">
        <v>0.39291752095374366</v>
      </c>
      <c r="AF42">
        <v>0.34041268454939871</v>
      </c>
      <c r="AG42">
        <v>0.32200797851496105</v>
      </c>
      <c r="AH42">
        <v>0.30485861871685349</v>
      </c>
      <c r="AI42">
        <v>0.34313290056360618</v>
      </c>
      <c r="AJ42">
        <v>0.48675371859317756</v>
      </c>
      <c r="AK42">
        <v>0.45229454684151127</v>
      </c>
      <c r="AL42">
        <v>0.44293682515220717</v>
      </c>
      <c r="AM42">
        <v>0.42349210896381412</v>
      </c>
      <c r="AN42">
        <v>0.42820796723068799</v>
      </c>
      <c r="AO42">
        <v>0.41879259082435832</v>
      </c>
      <c r="AP42">
        <v>0.35349334973224511</v>
      </c>
      <c r="AQ42">
        <v>0.34010537424590942</v>
      </c>
      <c r="AR42">
        <v>0.36471916230428353</v>
      </c>
      <c r="AS42">
        <v>0.38221412303242863</v>
      </c>
      <c r="AT42">
        <v>0.43223502060497315</v>
      </c>
      <c r="AU42">
        <v>0.47651222104416119</v>
      </c>
      <c r="AV42">
        <v>0.4918236994194628</v>
      </c>
      <c r="AW42">
        <v>0.47596215008759296</v>
      </c>
      <c r="AX42">
        <v>0.43643648481837194</v>
      </c>
      <c r="AY42">
        <v>0.38553468366644889</v>
      </c>
      <c r="AZ42">
        <v>0.32990912520120463</v>
      </c>
      <c r="BA42">
        <v>0.31938003621135663</v>
      </c>
      <c r="BB42">
        <v>0.33016916943909519</v>
      </c>
      <c r="BC42">
        <v>0.3178347270934746</v>
      </c>
      <c r="BD42">
        <v>0.31163831130109454</v>
      </c>
      <c r="BE42">
        <v>0.35679082796064443</v>
      </c>
      <c r="BF42">
        <v>0.3895468922520699</v>
      </c>
      <c r="BG42">
        <v>0.36839173039149481</v>
      </c>
      <c r="BH42">
        <v>0.33717250555348088</v>
      </c>
      <c r="BI42">
        <v>0.30931528636510836</v>
      </c>
      <c r="BJ42">
        <v>0.29925681303487345</v>
      </c>
      <c r="BK42">
        <v>0.31839469742304172</v>
      </c>
      <c r="GI42" t="s">
        <v>202</v>
      </c>
      <c r="GJ42">
        <v>0.33206049242889468</v>
      </c>
      <c r="GK42">
        <v>0.34225891709216155</v>
      </c>
      <c r="GL42">
        <v>0.34907427297973526</v>
      </c>
      <c r="GM42">
        <v>0.33449236144424027</v>
      </c>
      <c r="GN42">
        <v>0.30504513194708588</v>
      </c>
      <c r="GO42">
        <v>0.31665202934997239</v>
      </c>
      <c r="GP42">
        <v>0.3331681014464512</v>
      </c>
      <c r="GQ42">
        <v>0.36736581525046819</v>
      </c>
      <c r="GR42">
        <v>0.37383747149404978</v>
      </c>
      <c r="GS42">
        <v>0.35389449650679911</v>
      </c>
      <c r="GT42">
        <v>0.35786181285491603</v>
      </c>
      <c r="GU42">
        <v>0.34614298891624173</v>
      </c>
      <c r="GV42">
        <v>0.30383652586937082</v>
      </c>
      <c r="GW42">
        <v>0.29096422892208473</v>
      </c>
      <c r="GX42">
        <v>0.26118389855264285</v>
      </c>
      <c r="GY42">
        <v>0.29262580429493923</v>
      </c>
      <c r="GZ42">
        <v>0.29884913762228316</v>
      </c>
      <c r="HA42">
        <v>0.32423043850851857</v>
      </c>
      <c r="HB42">
        <v>0.37655232999209426</v>
      </c>
      <c r="HC42">
        <v>0.37534759736517503</v>
      </c>
      <c r="HD42">
        <v>0.18838783697130387</v>
      </c>
      <c r="HE42">
        <v>0.17326873471076359</v>
      </c>
      <c r="HF42">
        <v>0.13689937636032509</v>
      </c>
      <c r="HG42">
        <v>0.13040325848290965</v>
      </c>
      <c r="HH42">
        <v>0.10322811716183185</v>
      </c>
      <c r="HI42">
        <v>0.12527372714113266</v>
      </c>
      <c r="HJ42">
        <v>0.15230702908027857</v>
      </c>
      <c r="HK42">
        <v>0.15017522692968607</v>
      </c>
      <c r="HL42">
        <v>0.18443251622088447</v>
      </c>
      <c r="HM42">
        <v>0.19480328299842237</v>
      </c>
      <c r="HN42">
        <v>0.16675019486185103</v>
      </c>
      <c r="HO42">
        <v>0.13326647829689539</v>
      </c>
      <c r="HP42">
        <v>0.10404603466285746</v>
      </c>
      <c r="HQ42">
        <v>0.12908037936048664</v>
      </c>
      <c r="HR42">
        <v>0.10977157196905127</v>
      </c>
      <c r="HS42">
        <v>0.13067537222947695</v>
      </c>
      <c r="HT42">
        <v>0.14940769514260852</v>
      </c>
      <c r="HU42">
        <v>0.13917104843455599</v>
      </c>
      <c r="HV42">
        <v>0.15750690483443661</v>
      </c>
      <c r="HW42">
        <v>0.18187093824275699</v>
      </c>
      <c r="HX42">
        <v>0.2729864205319642</v>
      </c>
      <c r="HY42">
        <v>0.23862393599985751</v>
      </c>
      <c r="HZ42">
        <v>0.22610297045001168</v>
      </c>
      <c r="IA42">
        <v>0.22083464757818874</v>
      </c>
      <c r="IB42">
        <v>0.21416133891576122</v>
      </c>
      <c r="IC42">
        <v>0.24014961600819448</v>
      </c>
      <c r="ID42">
        <v>0.24602998491017658</v>
      </c>
      <c r="IE42">
        <v>0.28738594625493197</v>
      </c>
      <c r="IF42">
        <v>0.3195611318752703</v>
      </c>
      <c r="IG42">
        <v>0.3212943280231691</v>
      </c>
      <c r="IH42">
        <v>0.43414709933361273</v>
      </c>
      <c r="II42">
        <v>0.42668284542472862</v>
      </c>
      <c r="IJ42">
        <v>0.41756295256999176</v>
      </c>
      <c r="IK42">
        <v>0.38603828729701561</v>
      </c>
      <c r="IL42">
        <v>0.35704546434979983</v>
      </c>
      <c r="IM42">
        <v>0.37670047084161357</v>
      </c>
      <c r="IN42">
        <v>0.40985334893530756</v>
      </c>
      <c r="IO42">
        <v>0.44967536057187124</v>
      </c>
      <c r="IP42">
        <v>0.45768096921419704</v>
      </c>
      <c r="IQ42">
        <v>0.45613444351492793</v>
      </c>
      <c r="IS42" t="s">
        <v>212</v>
      </c>
      <c r="IT42" t="s">
        <v>228</v>
      </c>
      <c r="IU42" t="s">
        <v>229</v>
      </c>
      <c r="IV42">
        <v>0.46953380974631043</v>
      </c>
    </row>
    <row r="43" spans="2:256" x14ac:dyDescent="0.25">
      <c r="B43" t="s">
        <v>203</v>
      </c>
      <c r="C43" t="s">
        <v>31</v>
      </c>
      <c r="D43">
        <v>0.36602119380474912</v>
      </c>
      <c r="E43">
        <v>0.35611354843184295</v>
      </c>
      <c r="F43">
        <v>0.34911227777813519</v>
      </c>
      <c r="G43">
        <v>0.37294817625813914</v>
      </c>
      <c r="H43">
        <v>0.39756112632365548</v>
      </c>
      <c r="I43">
        <v>0.40632760926091493</v>
      </c>
      <c r="J43">
        <v>0.41169826439577634</v>
      </c>
      <c r="K43">
        <v>0.39637038211706049</v>
      </c>
      <c r="L43">
        <v>0.3970124749042564</v>
      </c>
      <c r="M43">
        <v>0.39371125902963383</v>
      </c>
      <c r="N43">
        <v>0.33935475636625262</v>
      </c>
      <c r="O43">
        <v>0.32234800733138458</v>
      </c>
      <c r="P43">
        <v>0.36475659189088755</v>
      </c>
      <c r="Q43">
        <v>0.38602954470296075</v>
      </c>
      <c r="R43">
        <v>0.38114124245595049</v>
      </c>
      <c r="S43">
        <v>0.36639666258584835</v>
      </c>
      <c r="T43">
        <v>0.37721115895679974</v>
      </c>
      <c r="U43">
        <v>0.37003289716041859</v>
      </c>
      <c r="V43">
        <v>0.32193681242482025</v>
      </c>
      <c r="W43">
        <v>0.3256775468151929</v>
      </c>
      <c r="X43">
        <v>0.32314428103089926</v>
      </c>
      <c r="Y43">
        <v>0.37548548564175371</v>
      </c>
      <c r="Z43">
        <v>0.45609777587968647</v>
      </c>
      <c r="AA43">
        <v>0.42614726386058405</v>
      </c>
      <c r="AB43">
        <v>0.46894579287232141</v>
      </c>
      <c r="AC43">
        <v>0.47015039289565269</v>
      </c>
      <c r="AD43">
        <v>0.46136415938830605</v>
      </c>
      <c r="AE43">
        <v>0.4585121825761686</v>
      </c>
      <c r="AF43">
        <v>0.40158468084139226</v>
      </c>
      <c r="AG43">
        <v>0.33234996215975143</v>
      </c>
      <c r="AH43">
        <v>0.31869549267591124</v>
      </c>
      <c r="AI43">
        <v>0.34872169789805352</v>
      </c>
      <c r="AJ43">
        <v>0.47710763855988153</v>
      </c>
      <c r="AK43">
        <v>0.4683241891814709</v>
      </c>
      <c r="AL43">
        <v>0.46977325869799486</v>
      </c>
      <c r="AM43">
        <v>0.44876134310126775</v>
      </c>
      <c r="AN43">
        <v>0.42384870876493208</v>
      </c>
      <c r="AO43">
        <v>0.41866120600518159</v>
      </c>
      <c r="AP43">
        <v>0.36560786119462657</v>
      </c>
      <c r="AQ43">
        <v>0.32392804654554552</v>
      </c>
      <c r="AR43">
        <v>0.38163219753397148</v>
      </c>
      <c r="AS43">
        <v>0.38608435233409472</v>
      </c>
      <c r="AT43">
        <v>0.42145608685151603</v>
      </c>
      <c r="AU43">
        <v>0.4506190248268015</v>
      </c>
      <c r="AV43">
        <v>0.43401283962273979</v>
      </c>
      <c r="AW43">
        <v>0.42300876874015148</v>
      </c>
      <c r="AX43">
        <v>0.41879185060255303</v>
      </c>
      <c r="AY43">
        <v>0.3872903552642934</v>
      </c>
      <c r="AZ43">
        <v>0.36402789225081528</v>
      </c>
      <c r="BA43">
        <v>0.3535404492652815</v>
      </c>
      <c r="BB43">
        <v>0.34088083383904089</v>
      </c>
      <c r="BC43">
        <v>0.32701015955068191</v>
      </c>
      <c r="BD43">
        <v>0.32994939634566106</v>
      </c>
      <c r="BE43">
        <v>0.34504471444869206</v>
      </c>
      <c r="BF43">
        <v>0.37740497588899874</v>
      </c>
      <c r="BG43">
        <v>0.37676177474635147</v>
      </c>
      <c r="BH43">
        <v>0.33837493021613929</v>
      </c>
      <c r="BI43">
        <v>0.32266226737501524</v>
      </c>
      <c r="BJ43">
        <v>0.33380935163459124</v>
      </c>
      <c r="BK43">
        <v>0.33364688409873405</v>
      </c>
      <c r="GI43" t="s">
        <v>203</v>
      </c>
      <c r="GJ43">
        <v>0.35546716468809009</v>
      </c>
      <c r="GK43">
        <v>0.36278320124162605</v>
      </c>
      <c r="GL43">
        <v>0.36746442333951795</v>
      </c>
      <c r="GM43">
        <v>0.36219031311124122</v>
      </c>
      <c r="GN43">
        <v>0.32896066972020488</v>
      </c>
      <c r="GO43">
        <v>0.31837684898194596</v>
      </c>
      <c r="GP43">
        <v>0.33131395878696157</v>
      </c>
      <c r="GQ43">
        <v>0.36567829498754034</v>
      </c>
      <c r="GR43">
        <v>0.37738718225747114</v>
      </c>
      <c r="GS43">
        <v>0.36758931575829717</v>
      </c>
      <c r="GT43">
        <v>0.3655435602748156</v>
      </c>
      <c r="GU43">
        <v>0.36962952758989837</v>
      </c>
      <c r="GV43">
        <v>0.33384615479807062</v>
      </c>
      <c r="GW43">
        <v>0.32667271113615143</v>
      </c>
      <c r="GX43">
        <v>0.30915998674259182</v>
      </c>
      <c r="GY43">
        <v>0.35080734100109712</v>
      </c>
      <c r="GZ43">
        <v>0.33695243236026495</v>
      </c>
      <c r="HA43">
        <v>0.33965478317547521</v>
      </c>
      <c r="HB43">
        <v>0.38017387557969573</v>
      </c>
      <c r="HC43">
        <v>0.37865893184843669</v>
      </c>
      <c r="HD43">
        <v>0.22475017220370683</v>
      </c>
      <c r="HE43">
        <v>0.18849591862744697</v>
      </c>
      <c r="HF43">
        <v>0.14296549568814837</v>
      </c>
      <c r="HG43">
        <v>0.15185367140506334</v>
      </c>
      <c r="HH43">
        <v>0.13331219279070577</v>
      </c>
      <c r="HI43">
        <v>0.15968627660369744</v>
      </c>
      <c r="HJ43">
        <v>0.17060709200213758</v>
      </c>
      <c r="HK43">
        <v>0.15445382115313475</v>
      </c>
      <c r="HL43">
        <v>0.18591055802562467</v>
      </c>
      <c r="HM43">
        <v>0.22925794566729185</v>
      </c>
      <c r="HN43">
        <v>0.18734644056679212</v>
      </c>
      <c r="HO43">
        <v>0.1435595647605282</v>
      </c>
      <c r="HP43">
        <v>0.11738025102832247</v>
      </c>
      <c r="HQ43">
        <v>0.1431382358197984</v>
      </c>
      <c r="HR43">
        <v>0.13441181819279094</v>
      </c>
      <c r="HS43">
        <v>0.17024332971516434</v>
      </c>
      <c r="HT43">
        <v>0.18441668943273612</v>
      </c>
      <c r="HU43">
        <v>0.16992227878211655</v>
      </c>
      <c r="HV43">
        <v>0.19235758050452942</v>
      </c>
      <c r="HW43">
        <v>0.2189688891088758</v>
      </c>
      <c r="HX43">
        <v>0.3096873045088544</v>
      </c>
      <c r="HY43">
        <v>0.28644271940653271</v>
      </c>
      <c r="HZ43">
        <v>0.26512954022510971</v>
      </c>
      <c r="IA43">
        <v>0.24611998978841321</v>
      </c>
      <c r="IB43">
        <v>0.22982189850248594</v>
      </c>
      <c r="IC43">
        <v>0.25223092637831512</v>
      </c>
      <c r="ID43">
        <v>0.27083982534528489</v>
      </c>
      <c r="IE43">
        <v>0.29689958997915372</v>
      </c>
      <c r="IF43">
        <v>0.32515014858557473</v>
      </c>
      <c r="IG43">
        <v>0.33285050490168439</v>
      </c>
      <c r="IH43">
        <v>0.46035771397102004</v>
      </c>
      <c r="II43">
        <v>0.46120346535595325</v>
      </c>
      <c r="IJ43">
        <v>0.45354491030456823</v>
      </c>
      <c r="IK43">
        <v>0.43193046892589715</v>
      </c>
      <c r="IL43">
        <v>0.40732788844899048</v>
      </c>
      <c r="IM43">
        <v>0.40327230410426057</v>
      </c>
      <c r="IN43">
        <v>0.43090786195239233</v>
      </c>
      <c r="IO43">
        <v>0.46112409416239541</v>
      </c>
      <c r="IP43">
        <v>0.46896018148646906</v>
      </c>
      <c r="IQ43">
        <v>0.47514077080515249</v>
      </c>
      <c r="IS43" t="s">
        <v>213</v>
      </c>
      <c r="IT43" t="s">
        <v>228</v>
      </c>
      <c r="IU43" t="s">
        <v>229</v>
      </c>
      <c r="IV43">
        <v>0.45876275744790007</v>
      </c>
    </row>
    <row r="44" spans="2:256" x14ac:dyDescent="0.25">
      <c r="B44" t="s">
        <v>204</v>
      </c>
      <c r="C44" t="s">
        <v>31</v>
      </c>
      <c r="D44">
        <v>0.33853759683824303</v>
      </c>
      <c r="E44">
        <v>0.33320258900226274</v>
      </c>
      <c r="F44">
        <v>0.3333488452031268</v>
      </c>
      <c r="G44">
        <v>0.36185082346746705</v>
      </c>
      <c r="H44">
        <v>0.38609129567456801</v>
      </c>
      <c r="I44">
        <v>0.38819625687010945</v>
      </c>
      <c r="J44">
        <v>0.3957685285338719</v>
      </c>
      <c r="K44">
        <v>0.3789856498947119</v>
      </c>
      <c r="L44">
        <v>0.36247839599306436</v>
      </c>
      <c r="M44">
        <v>0.35034235540265979</v>
      </c>
      <c r="N44">
        <v>0.3276864799462843</v>
      </c>
      <c r="O44">
        <v>0.33529735548162476</v>
      </c>
      <c r="P44">
        <v>0.39089393665749134</v>
      </c>
      <c r="Q44">
        <v>0.41225846112615094</v>
      </c>
      <c r="R44">
        <v>0.41652473889258074</v>
      </c>
      <c r="S44">
        <v>0.40288249907345935</v>
      </c>
      <c r="T44">
        <v>0.38380258220153129</v>
      </c>
      <c r="U44">
        <v>0.35438188292738432</v>
      </c>
      <c r="V44">
        <v>0.30353554102790503</v>
      </c>
      <c r="W44">
        <v>0.30635663251074069</v>
      </c>
      <c r="X44">
        <v>0.34035303119503402</v>
      </c>
      <c r="Y44">
        <v>0.38331646518399093</v>
      </c>
      <c r="Z44">
        <v>0.45297486425787781</v>
      </c>
      <c r="AA44">
        <v>0.44487770730259668</v>
      </c>
      <c r="AB44">
        <v>0.47086809928402878</v>
      </c>
      <c r="AC44">
        <v>0.47154511851369124</v>
      </c>
      <c r="AD44">
        <v>0.44414159671477493</v>
      </c>
      <c r="AE44">
        <v>0.42252720791492065</v>
      </c>
      <c r="AF44">
        <v>0.36711080239232013</v>
      </c>
      <c r="AG44">
        <v>0.3281426009427999</v>
      </c>
      <c r="AH44">
        <v>0.33205011792563205</v>
      </c>
      <c r="AI44">
        <v>0.36241113606723413</v>
      </c>
      <c r="AJ44">
        <v>0.4435059167507735</v>
      </c>
      <c r="AK44">
        <v>0.41419165669094382</v>
      </c>
      <c r="AL44">
        <v>0.43560936142538204</v>
      </c>
      <c r="AM44">
        <v>0.43563613166414367</v>
      </c>
      <c r="AN44">
        <v>0.41172504592997722</v>
      </c>
      <c r="AO44">
        <v>0.36611347052252635</v>
      </c>
      <c r="AP44">
        <v>0.33580602046074043</v>
      </c>
      <c r="AQ44">
        <v>0.34425017495463606</v>
      </c>
      <c r="AR44">
        <v>0.35297935946158721</v>
      </c>
      <c r="AS44">
        <v>0.35649180187601781</v>
      </c>
      <c r="AT44">
        <v>0.40725565387351886</v>
      </c>
      <c r="AU44">
        <v>0.42621218958759011</v>
      </c>
      <c r="AV44">
        <v>0.44624022558514642</v>
      </c>
      <c r="AW44">
        <v>0.44194489731506953</v>
      </c>
      <c r="AX44">
        <v>0.44506217069414594</v>
      </c>
      <c r="AY44">
        <v>0.39987939497178082</v>
      </c>
      <c r="AZ44">
        <v>0.35043651740042081</v>
      </c>
      <c r="BA44">
        <v>0.33495034136477347</v>
      </c>
      <c r="BB44">
        <v>0.28380943027240668</v>
      </c>
      <c r="BC44">
        <v>0.28417727054272801</v>
      </c>
      <c r="BD44">
        <v>0.28467317546210541</v>
      </c>
      <c r="BE44">
        <v>0.3059734853629742</v>
      </c>
      <c r="BF44">
        <v>0.34278768279889527</v>
      </c>
      <c r="BG44">
        <v>0.34710317080996045</v>
      </c>
      <c r="BH44">
        <v>0.30929960291678205</v>
      </c>
      <c r="BI44">
        <v>0.28882481377066677</v>
      </c>
      <c r="BJ44">
        <v>0.27137060974737054</v>
      </c>
      <c r="BK44">
        <v>0.28359579232667054</v>
      </c>
      <c r="GI44" t="s">
        <v>204</v>
      </c>
      <c r="GJ44">
        <v>0.37401548971947945</v>
      </c>
      <c r="GK44">
        <v>0.37077023649474661</v>
      </c>
      <c r="GL44">
        <v>0.36962636091167289</v>
      </c>
      <c r="GM44">
        <v>0.35139804430328259</v>
      </c>
      <c r="GN44">
        <v>0.33525819371569371</v>
      </c>
      <c r="GO44">
        <v>0.34654084604868718</v>
      </c>
      <c r="GP44">
        <v>0.35821224561980508</v>
      </c>
      <c r="GQ44">
        <v>0.39080767760674345</v>
      </c>
      <c r="GR44">
        <v>0.40515611911785865</v>
      </c>
      <c r="GS44">
        <v>0.39665233931425015</v>
      </c>
      <c r="GT44">
        <v>0.40525040014856689</v>
      </c>
      <c r="GU44">
        <v>0.40447908629100271</v>
      </c>
      <c r="GV44">
        <v>0.36299005871201734</v>
      </c>
      <c r="GW44">
        <v>0.34720617832077311</v>
      </c>
      <c r="GX44">
        <v>0.31147522890665563</v>
      </c>
      <c r="GY44">
        <v>0.34859342145011918</v>
      </c>
      <c r="GZ44">
        <v>0.34778866758342625</v>
      </c>
      <c r="HA44">
        <v>0.36878511549541132</v>
      </c>
      <c r="HB44">
        <v>0.41581011741591856</v>
      </c>
      <c r="HC44">
        <v>0.40717065665362434</v>
      </c>
      <c r="HD44">
        <v>0.21696381858191505</v>
      </c>
      <c r="HE44">
        <v>0.17719380066226539</v>
      </c>
      <c r="HF44">
        <v>0.1418096733820384</v>
      </c>
      <c r="HG44">
        <v>0.14208415895286561</v>
      </c>
      <c r="HH44">
        <v>0.12031345693647953</v>
      </c>
      <c r="HI44">
        <v>0.14450144665911266</v>
      </c>
      <c r="HJ44">
        <v>0.15567408758037085</v>
      </c>
      <c r="HK44">
        <v>0.16116726553652433</v>
      </c>
      <c r="HL44">
        <v>0.2091740741784783</v>
      </c>
      <c r="HM44">
        <v>0.23766170774775106</v>
      </c>
      <c r="HN44">
        <v>0.19287626695020557</v>
      </c>
      <c r="HO44">
        <v>0.16056216444049401</v>
      </c>
      <c r="HP44">
        <v>0.1217061810697386</v>
      </c>
      <c r="HQ44">
        <v>0.14750175047087644</v>
      </c>
      <c r="HR44">
        <v>0.13533761259395199</v>
      </c>
      <c r="HS44">
        <v>0.16133669424458891</v>
      </c>
      <c r="HT44">
        <v>0.17017406280865843</v>
      </c>
      <c r="HU44">
        <v>0.14790023062574528</v>
      </c>
      <c r="HV44">
        <v>0.17953434440637128</v>
      </c>
      <c r="HW44">
        <v>0.20232327127563629</v>
      </c>
      <c r="HX44">
        <v>0.3342122943271153</v>
      </c>
      <c r="HY44">
        <v>0.32061269669693176</v>
      </c>
      <c r="HZ44">
        <v>0.29042152294605078</v>
      </c>
      <c r="IA44">
        <v>0.26832059022727334</v>
      </c>
      <c r="IB44">
        <v>0.25125025493521819</v>
      </c>
      <c r="IC44">
        <v>0.28060573481494272</v>
      </c>
      <c r="ID44">
        <v>0.29194399991564446</v>
      </c>
      <c r="IE44">
        <v>0.30977427696005977</v>
      </c>
      <c r="IF44">
        <v>0.34171159669776974</v>
      </c>
      <c r="IG44">
        <v>0.3517134331451936</v>
      </c>
      <c r="IH44">
        <v>0.50563437846299519</v>
      </c>
      <c r="II44">
        <v>0.49307342222459233</v>
      </c>
      <c r="IJ44">
        <v>0.4915589024070296</v>
      </c>
      <c r="IK44">
        <v>0.47273083464495036</v>
      </c>
      <c r="IL44">
        <v>0.43003511253795584</v>
      </c>
      <c r="IM44">
        <v>0.43362496658645439</v>
      </c>
      <c r="IN44">
        <v>0.47158603345460165</v>
      </c>
      <c r="IO44">
        <v>0.5041048765893974</v>
      </c>
      <c r="IP44">
        <v>0.50699293489805242</v>
      </c>
      <c r="IQ44">
        <v>0.50649533638064914</v>
      </c>
      <c r="IS44" t="s">
        <v>214</v>
      </c>
      <c r="IT44" t="s">
        <v>228</v>
      </c>
      <c r="IU44" t="s">
        <v>229</v>
      </c>
      <c r="IV44">
        <v>0.47107728748903355</v>
      </c>
    </row>
    <row r="45" spans="2:256" x14ac:dyDescent="0.25">
      <c r="B45" t="s">
        <v>205</v>
      </c>
      <c r="C45" t="s">
        <v>31</v>
      </c>
      <c r="D45">
        <v>0.36817209173269366</v>
      </c>
      <c r="E45">
        <v>0.3519992113700548</v>
      </c>
      <c r="F45">
        <v>0.34307072433366004</v>
      </c>
      <c r="G45">
        <v>0.36942201352911175</v>
      </c>
      <c r="H45">
        <v>0.3765848539477698</v>
      </c>
      <c r="I45">
        <v>0.38380625344926961</v>
      </c>
      <c r="J45">
        <v>0.37869807166602132</v>
      </c>
      <c r="K45">
        <v>0.35179347589486665</v>
      </c>
      <c r="L45">
        <v>0.34373282554954276</v>
      </c>
      <c r="M45">
        <v>0.35742221455545842</v>
      </c>
      <c r="N45">
        <v>0.30506356427937509</v>
      </c>
      <c r="O45">
        <v>0.31221664406131305</v>
      </c>
      <c r="P45">
        <v>0.34478889359694648</v>
      </c>
      <c r="Q45">
        <v>0.35912481485650688</v>
      </c>
      <c r="R45">
        <v>0.35950049333002293</v>
      </c>
      <c r="S45">
        <v>0.33624686132910858</v>
      </c>
      <c r="T45">
        <v>0.33563883579371939</v>
      </c>
      <c r="U45">
        <v>0.34460611240953909</v>
      </c>
      <c r="V45">
        <v>0.30655296209885702</v>
      </c>
      <c r="W45">
        <v>0.30347770682505687</v>
      </c>
      <c r="X45">
        <v>0.31487159793627073</v>
      </c>
      <c r="Y45">
        <v>0.36272494287231782</v>
      </c>
      <c r="Z45">
        <v>0.42512985447677809</v>
      </c>
      <c r="AA45">
        <v>0.42603630904513523</v>
      </c>
      <c r="AB45">
        <v>0.44408970734901471</v>
      </c>
      <c r="AC45">
        <v>0.42945860688251664</v>
      </c>
      <c r="AD45">
        <v>0.40855852598229903</v>
      </c>
      <c r="AE45">
        <v>0.40843741403232342</v>
      </c>
      <c r="AF45">
        <v>0.357932151736157</v>
      </c>
      <c r="AG45">
        <v>0.32359457835032596</v>
      </c>
      <c r="AH45">
        <v>0.32726344461588147</v>
      </c>
      <c r="AI45">
        <v>0.36867471016636721</v>
      </c>
      <c r="AJ45">
        <v>0.47726519337309392</v>
      </c>
      <c r="AK45">
        <v>0.49617279161919126</v>
      </c>
      <c r="AL45">
        <v>0.47078882598111765</v>
      </c>
      <c r="AM45">
        <v>0.44391042967776773</v>
      </c>
      <c r="AN45">
        <v>0.42461080718168503</v>
      </c>
      <c r="AO45">
        <v>0.40822349053210683</v>
      </c>
      <c r="AP45">
        <v>0.35433079578544752</v>
      </c>
      <c r="AQ45">
        <v>0.31169557651143592</v>
      </c>
      <c r="AR45">
        <v>0.39392675656467524</v>
      </c>
      <c r="AS45">
        <v>0.38134693283369009</v>
      </c>
      <c r="AT45">
        <v>0.39732876449837662</v>
      </c>
      <c r="AU45">
        <v>0.41406023929081026</v>
      </c>
      <c r="AV45">
        <v>0.4063572313450326</v>
      </c>
      <c r="AW45">
        <v>0.38969831322505577</v>
      </c>
      <c r="AX45">
        <v>0.40070611425945662</v>
      </c>
      <c r="AY45">
        <v>0.38081246954699816</v>
      </c>
      <c r="AZ45">
        <v>0.35663176813545922</v>
      </c>
      <c r="BA45">
        <v>0.35758297860958599</v>
      </c>
      <c r="BB45">
        <v>0.29984498798939158</v>
      </c>
      <c r="BC45">
        <v>0.30601186433359623</v>
      </c>
      <c r="BD45">
        <v>0.30083720982413792</v>
      </c>
      <c r="BE45">
        <v>0.3031833043113939</v>
      </c>
      <c r="BF45">
        <v>0.32200392759055513</v>
      </c>
      <c r="BG45">
        <v>0.33648905121298045</v>
      </c>
      <c r="BH45">
        <v>0.32789351913115317</v>
      </c>
      <c r="BI45">
        <v>0.31165314892333951</v>
      </c>
      <c r="BJ45">
        <v>0.31111443325907234</v>
      </c>
      <c r="BK45">
        <v>0.30041524284724996</v>
      </c>
      <c r="GI45" t="s">
        <v>205</v>
      </c>
      <c r="GJ45">
        <v>0.35186307674249195</v>
      </c>
      <c r="GK45">
        <v>0.359475716509426</v>
      </c>
      <c r="GL45">
        <v>0.35747505621452713</v>
      </c>
      <c r="GM45">
        <v>0.34526594337534888</v>
      </c>
      <c r="GN45">
        <v>0.31026018534945599</v>
      </c>
      <c r="GO45">
        <v>0.30137467050803296</v>
      </c>
      <c r="GP45">
        <v>0.32416655036320047</v>
      </c>
      <c r="GQ45">
        <v>0.36195515862467603</v>
      </c>
      <c r="GR45">
        <v>0.38065560037085844</v>
      </c>
      <c r="GS45">
        <v>0.36743124340627442</v>
      </c>
      <c r="GT45">
        <v>0.40314708545769312</v>
      </c>
      <c r="GU45">
        <v>0.39433890742548161</v>
      </c>
      <c r="GV45">
        <v>0.34816446266577378</v>
      </c>
      <c r="GW45">
        <v>0.32786562442158457</v>
      </c>
      <c r="GX45">
        <v>0.30464061373823531</v>
      </c>
      <c r="GY45">
        <v>0.34606719644357992</v>
      </c>
      <c r="GZ45">
        <v>0.35671823070306374</v>
      </c>
      <c r="HA45">
        <v>0.36778998714077343</v>
      </c>
      <c r="HB45">
        <v>0.41412586964607673</v>
      </c>
      <c r="HC45">
        <v>0.40899827701854374</v>
      </c>
      <c r="HD45">
        <v>0.19696589499954484</v>
      </c>
      <c r="HE45">
        <v>0.17066413800022801</v>
      </c>
      <c r="HF45">
        <v>0.13097511128183253</v>
      </c>
      <c r="HG45">
        <v>0.14885364243837276</v>
      </c>
      <c r="HH45">
        <v>0.14092489764428565</v>
      </c>
      <c r="HI45">
        <v>0.16947827807463103</v>
      </c>
      <c r="HJ45">
        <v>0.16893507443257841</v>
      </c>
      <c r="HK45">
        <v>0.16061853332220649</v>
      </c>
      <c r="HL45">
        <v>0.19094782791823386</v>
      </c>
      <c r="HM45">
        <v>0.21546969923703466</v>
      </c>
      <c r="HN45">
        <v>0.20443358764148589</v>
      </c>
      <c r="HO45">
        <v>0.17454719084829851</v>
      </c>
      <c r="HP45">
        <v>0.1602839679784028</v>
      </c>
      <c r="HQ45">
        <v>0.1747165780063985</v>
      </c>
      <c r="HR45">
        <v>0.16421060814514807</v>
      </c>
      <c r="HS45">
        <v>0.20472298099536188</v>
      </c>
      <c r="HT45">
        <v>0.23338679974165991</v>
      </c>
      <c r="HU45">
        <v>0.21890790754087078</v>
      </c>
      <c r="HV45">
        <v>0.2245332693952572</v>
      </c>
      <c r="HW45">
        <v>0.24182562552847861</v>
      </c>
      <c r="HX45">
        <v>0.30874000968598014</v>
      </c>
      <c r="HY45">
        <v>0.29567282502575859</v>
      </c>
      <c r="HZ45">
        <v>0.28145836329651491</v>
      </c>
      <c r="IA45">
        <v>0.27760718025442993</v>
      </c>
      <c r="IB45">
        <v>0.25988146147171326</v>
      </c>
      <c r="IC45">
        <v>0.2807135172109837</v>
      </c>
      <c r="ID45">
        <v>0.30495511322989427</v>
      </c>
      <c r="IE45">
        <v>0.33018791206241371</v>
      </c>
      <c r="IF45">
        <v>0.34793889138723882</v>
      </c>
      <c r="IG45">
        <v>0.33894280949625982</v>
      </c>
      <c r="IH45">
        <v>0.50062066975191566</v>
      </c>
      <c r="II45">
        <v>0.50540789162919553</v>
      </c>
      <c r="IJ45">
        <v>0.50225853448876467</v>
      </c>
      <c r="IK45">
        <v>0.48279534691623299</v>
      </c>
      <c r="IL45">
        <v>0.44632600292545255</v>
      </c>
      <c r="IM45">
        <v>0.44205243032362668</v>
      </c>
      <c r="IN45">
        <v>0.45859898519388831</v>
      </c>
      <c r="IO45">
        <v>0.48476228714149749</v>
      </c>
      <c r="IP45">
        <v>0.48647324378984769</v>
      </c>
      <c r="IQ45">
        <v>0.49555253851056763</v>
      </c>
      <c r="IS45" t="s">
        <v>215</v>
      </c>
      <c r="IT45" t="s">
        <v>228</v>
      </c>
      <c r="IU45" t="s">
        <v>229</v>
      </c>
      <c r="IV45">
        <v>0.23539698842948828</v>
      </c>
    </row>
    <row r="46" spans="2:256" x14ac:dyDescent="0.25">
      <c r="B46" t="s">
        <v>206</v>
      </c>
      <c r="C46" t="s">
        <v>31</v>
      </c>
      <c r="D46">
        <v>0.37105665639524782</v>
      </c>
      <c r="E46">
        <v>0.37320978746417843</v>
      </c>
      <c r="F46">
        <v>0.38998138686688233</v>
      </c>
      <c r="G46">
        <v>0.41865674135110587</v>
      </c>
      <c r="H46">
        <v>0.43621306492917294</v>
      </c>
      <c r="I46">
        <v>0.44852924169954644</v>
      </c>
      <c r="J46">
        <v>0.42984433959920426</v>
      </c>
      <c r="K46">
        <v>0.39504274125775168</v>
      </c>
      <c r="L46">
        <v>0.38006901053280145</v>
      </c>
      <c r="M46">
        <v>0.38648832995003202</v>
      </c>
      <c r="N46">
        <v>0.28305942392822525</v>
      </c>
      <c r="O46">
        <v>0.2830250736107523</v>
      </c>
      <c r="P46">
        <v>0.33055602663358818</v>
      </c>
      <c r="Q46">
        <v>0.3485910045626609</v>
      </c>
      <c r="R46">
        <v>0.36321166914429937</v>
      </c>
      <c r="S46">
        <v>0.3725808093449009</v>
      </c>
      <c r="T46">
        <v>0.38047145929712783</v>
      </c>
      <c r="U46">
        <v>0.3809350395426952</v>
      </c>
      <c r="V46">
        <v>0.33923163151154367</v>
      </c>
      <c r="W46">
        <v>0.30419666155540503</v>
      </c>
      <c r="X46">
        <v>0.33767008523789155</v>
      </c>
      <c r="Y46">
        <v>0.35589962977697498</v>
      </c>
      <c r="Z46">
        <v>0.43394270130438917</v>
      </c>
      <c r="AA46">
        <v>0.38592109489705301</v>
      </c>
      <c r="AB46">
        <v>0.38903284036609886</v>
      </c>
      <c r="AC46">
        <v>0.40468958435730806</v>
      </c>
      <c r="AD46">
        <v>0.413738677896481</v>
      </c>
      <c r="AE46">
        <v>0.39674523012007595</v>
      </c>
      <c r="AF46">
        <v>0.37045840586542483</v>
      </c>
      <c r="AG46">
        <v>0.33890560116822732</v>
      </c>
      <c r="AH46">
        <v>0.31529163883343847</v>
      </c>
      <c r="AI46">
        <v>0.33732032237478771</v>
      </c>
      <c r="AJ46">
        <v>0.44697243543622744</v>
      </c>
      <c r="AK46">
        <v>0.44271167303856523</v>
      </c>
      <c r="AL46">
        <v>0.44278440993707491</v>
      </c>
      <c r="AM46">
        <v>0.39841869435363658</v>
      </c>
      <c r="AN46">
        <v>0.39682248514966523</v>
      </c>
      <c r="AO46">
        <v>0.40202443597461979</v>
      </c>
      <c r="AP46">
        <v>0.34364922150609511</v>
      </c>
      <c r="AQ46">
        <v>0.31800992753013535</v>
      </c>
      <c r="AR46">
        <v>0.34983475697183924</v>
      </c>
      <c r="AS46">
        <v>0.39209104928569222</v>
      </c>
      <c r="AT46">
        <v>0.43317711455404911</v>
      </c>
      <c r="AU46">
        <v>0.45208757434433133</v>
      </c>
      <c r="AV46">
        <v>0.43260491520164202</v>
      </c>
      <c r="AW46">
        <v>0.42503725322890396</v>
      </c>
      <c r="AX46">
        <v>0.40540899359193222</v>
      </c>
      <c r="AY46">
        <v>0.35059228979130835</v>
      </c>
      <c r="AZ46">
        <v>0.32014889206563568</v>
      </c>
      <c r="BA46">
        <v>0.31988194905671075</v>
      </c>
      <c r="BB46">
        <v>0.31716499903022294</v>
      </c>
      <c r="BC46">
        <v>0.30477521862099827</v>
      </c>
      <c r="BD46">
        <v>0.28762475013192235</v>
      </c>
      <c r="BE46">
        <v>0.29664476835351605</v>
      </c>
      <c r="BF46">
        <v>0.33583395834862129</v>
      </c>
      <c r="BG46">
        <v>0.34555827462814237</v>
      </c>
      <c r="BH46">
        <v>0.32298717942218447</v>
      </c>
      <c r="BI46">
        <v>0.30031745244002217</v>
      </c>
      <c r="BJ46">
        <v>0.2997947984560197</v>
      </c>
      <c r="BK46">
        <v>0.3195709725441262</v>
      </c>
      <c r="GI46" t="s">
        <v>206</v>
      </c>
      <c r="GJ46">
        <v>0.34439256817227992</v>
      </c>
      <c r="GK46">
        <v>0.35248236438088287</v>
      </c>
      <c r="GL46">
        <v>0.35998648068935013</v>
      </c>
      <c r="GM46">
        <v>0.35219952793123016</v>
      </c>
      <c r="GN46">
        <v>0.32031003488765825</v>
      </c>
      <c r="GO46">
        <v>0.31986234533714369</v>
      </c>
      <c r="GP46">
        <v>0.33792252472020051</v>
      </c>
      <c r="GQ46">
        <v>0.3704953442048482</v>
      </c>
      <c r="GR46">
        <v>0.38123544980735286</v>
      </c>
      <c r="GS46">
        <v>0.36210303154515294</v>
      </c>
      <c r="GT46">
        <v>0.39714072150420765</v>
      </c>
      <c r="GU46">
        <v>0.39365147628083547</v>
      </c>
      <c r="GV46">
        <v>0.35889052000150845</v>
      </c>
      <c r="GW46">
        <v>0.31649849499360788</v>
      </c>
      <c r="GX46">
        <v>0.26294481325646241</v>
      </c>
      <c r="GY46">
        <v>0.29890848981740437</v>
      </c>
      <c r="GZ46">
        <v>0.31734160010806362</v>
      </c>
      <c r="HA46">
        <v>0.32562717354792631</v>
      </c>
      <c r="HB46">
        <v>0.38669349885110077</v>
      </c>
      <c r="HC46">
        <v>0.40687815836055075</v>
      </c>
      <c r="HD46">
        <v>0.26570984303326067</v>
      </c>
      <c r="HE46">
        <v>0.24031797126856963</v>
      </c>
      <c r="HF46">
        <v>0.18851534364211328</v>
      </c>
      <c r="HG46">
        <v>0.18966241498211109</v>
      </c>
      <c r="HH46">
        <v>0.16520893963304067</v>
      </c>
      <c r="HI46">
        <v>0.18975088150699623</v>
      </c>
      <c r="HJ46">
        <v>0.20292216515529676</v>
      </c>
      <c r="HK46">
        <v>0.2003318406333171</v>
      </c>
      <c r="HL46">
        <v>0.23746678038481761</v>
      </c>
      <c r="HM46">
        <v>0.2885214714948256</v>
      </c>
      <c r="HN46">
        <v>0.17667878433186182</v>
      </c>
      <c r="HO46">
        <v>0.15478988295998686</v>
      </c>
      <c r="HP46">
        <v>0.11508915147157642</v>
      </c>
      <c r="HQ46">
        <v>0.14969572575026632</v>
      </c>
      <c r="HR46">
        <v>0.13917998661166461</v>
      </c>
      <c r="HS46">
        <v>0.17377809074994363</v>
      </c>
      <c r="HT46">
        <v>0.18153623681160019</v>
      </c>
      <c r="HU46">
        <v>0.16624076353349906</v>
      </c>
      <c r="HV46">
        <v>0.18161153115120363</v>
      </c>
      <c r="HW46">
        <v>0.20120826387397953</v>
      </c>
      <c r="HX46">
        <v>0.31400157692779446</v>
      </c>
      <c r="HY46">
        <v>0.30680593224678149</v>
      </c>
      <c r="HZ46">
        <v>0.2874104521123968</v>
      </c>
      <c r="IA46">
        <v>0.25951849741232802</v>
      </c>
      <c r="IB46">
        <v>0.26013116559543925</v>
      </c>
      <c r="IC46">
        <v>0.27970669261515491</v>
      </c>
      <c r="ID46">
        <v>0.285585921126356</v>
      </c>
      <c r="IE46">
        <v>0.3280527184775146</v>
      </c>
      <c r="IF46">
        <v>0.36924828859531811</v>
      </c>
      <c r="IG46">
        <v>0.36546319746012795</v>
      </c>
      <c r="IH46">
        <v>0.47053884545995528</v>
      </c>
      <c r="II46">
        <v>0.46199513137067177</v>
      </c>
      <c r="IJ46">
        <v>0.47006773858368361</v>
      </c>
      <c r="IK46">
        <v>0.46087779534594997</v>
      </c>
      <c r="IL46">
        <v>0.43444522043672235</v>
      </c>
      <c r="IM46">
        <v>0.4448111606882072</v>
      </c>
      <c r="IN46">
        <v>0.47268525181390436</v>
      </c>
      <c r="IO46">
        <v>0.49684349742515965</v>
      </c>
      <c r="IP46">
        <v>0.50082609515310128</v>
      </c>
      <c r="IQ46">
        <v>0.49719612610975888</v>
      </c>
      <c r="IS46" t="s">
        <v>216</v>
      </c>
      <c r="IT46" t="s">
        <v>228</v>
      </c>
      <c r="IU46" t="s">
        <v>229</v>
      </c>
      <c r="IV46">
        <v>0.53778064684343196</v>
      </c>
    </row>
    <row r="47" spans="2:256" x14ac:dyDescent="0.25">
      <c r="B47" t="s">
        <v>207</v>
      </c>
      <c r="C47" t="s">
        <v>31</v>
      </c>
      <c r="D47">
        <v>0.37884498706866571</v>
      </c>
      <c r="E47">
        <v>0.34489071609996941</v>
      </c>
      <c r="F47">
        <v>0.3312446794756162</v>
      </c>
      <c r="G47">
        <v>0.35566376488886853</v>
      </c>
      <c r="H47">
        <v>0.38058442297763168</v>
      </c>
      <c r="I47">
        <v>0.41607044182600406</v>
      </c>
      <c r="J47">
        <v>0.42468745659940921</v>
      </c>
      <c r="K47">
        <v>0.37774991130127944</v>
      </c>
      <c r="L47">
        <v>0.36458758365257438</v>
      </c>
      <c r="M47">
        <v>0.37730657051909033</v>
      </c>
      <c r="N47">
        <v>0.30713836999631638</v>
      </c>
      <c r="O47">
        <v>0.29938168200456555</v>
      </c>
      <c r="P47">
        <v>0.34475382221962897</v>
      </c>
      <c r="Q47">
        <v>0.37787321918819133</v>
      </c>
      <c r="R47">
        <v>0.38409151667690022</v>
      </c>
      <c r="S47">
        <v>0.36831974236628257</v>
      </c>
      <c r="T47">
        <v>0.35994084815008687</v>
      </c>
      <c r="U47">
        <v>0.35150586189779004</v>
      </c>
      <c r="V47">
        <v>0.32672332487039302</v>
      </c>
      <c r="W47">
        <v>0.32989074613875835</v>
      </c>
      <c r="X47">
        <v>0.34307709448464829</v>
      </c>
      <c r="Y47">
        <v>0.37947532981668092</v>
      </c>
      <c r="Z47">
        <v>0.43091830555793714</v>
      </c>
      <c r="AA47">
        <v>0.41649175226312696</v>
      </c>
      <c r="AB47">
        <v>0.41544611993165709</v>
      </c>
      <c r="AC47">
        <v>0.4131277949794866</v>
      </c>
      <c r="AD47">
        <v>0.40517971527161478</v>
      </c>
      <c r="AE47">
        <v>0.40406320236485049</v>
      </c>
      <c r="AF47">
        <v>0.37489391651553861</v>
      </c>
      <c r="AG47">
        <v>0.33548341539455473</v>
      </c>
      <c r="AH47">
        <v>0.33522899883856511</v>
      </c>
      <c r="AI47">
        <v>0.34738200244555262</v>
      </c>
      <c r="AJ47">
        <v>0.48463102496826965</v>
      </c>
      <c r="AK47">
        <v>0.45984293293794726</v>
      </c>
      <c r="AL47">
        <v>0.42843276654998691</v>
      </c>
      <c r="AM47">
        <v>0.40887931502820923</v>
      </c>
      <c r="AN47">
        <v>0.40196612237433127</v>
      </c>
      <c r="AO47">
        <v>0.39642897327914173</v>
      </c>
      <c r="AP47">
        <v>0.33741106710288798</v>
      </c>
      <c r="AQ47">
        <v>0.3166704815373857</v>
      </c>
      <c r="AR47">
        <v>0.36771906226254103</v>
      </c>
      <c r="AS47">
        <v>0.3868419482601228</v>
      </c>
      <c r="AT47">
        <v>0.4307975061827885</v>
      </c>
      <c r="AU47">
        <v>0.47746821469769035</v>
      </c>
      <c r="AV47">
        <v>0.48704028632101604</v>
      </c>
      <c r="AW47">
        <v>0.46127854530974122</v>
      </c>
      <c r="AX47">
        <v>0.43267647632827166</v>
      </c>
      <c r="AY47">
        <v>0.38713545805250499</v>
      </c>
      <c r="AZ47">
        <v>0.35570083217275383</v>
      </c>
      <c r="BA47">
        <v>0.34219943177656109</v>
      </c>
      <c r="BB47">
        <v>0.31462211711485694</v>
      </c>
      <c r="BC47">
        <v>0.32828716148209397</v>
      </c>
      <c r="BD47">
        <v>0.31500886335869377</v>
      </c>
      <c r="BE47">
        <v>0.31841873734925819</v>
      </c>
      <c r="BF47">
        <v>0.34398336860518336</v>
      </c>
      <c r="BG47">
        <v>0.34285167948760031</v>
      </c>
      <c r="BH47">
        <v>0.33244191271043749</v>
      </c>
      <c r="BI47">
        <v>0.30498609063930304</v>
      </c>
      <c r="BJ47">
        <v>0.30499911328168899</v>
      </c>
      <c r="BK47">
        <v>0.31273512712236001</v>
      </c>
      <c r="GI47" t="s">
        <v>207</v>
      </c>
      <c r="GJ47">
        <v>0.36944838828436627</v>
      </c>
      <c r="GK47">
        <v>0.3777388205429113</v>
      </c>
      <c r="GL47">
        <v>0.38474746943811478</v>
      </c>
      <c r="GM47">
        <v>0.37757289035377173</v>
      </c>
      <c r="GN47">
        <v>0.33802023940220977</v>
      </c>
      <c r="GO47">
        <v>0.32021732014115306</v>
      </c>
      <c r="GP47">
        <v>0.33291219732941513</v>
      </c>
      <c r="GQ47">
        <v>0.3773193283698188</v>
      </c>
      <c r="GR47">
        <v>0.39204431139948226</v>
      </c>
      <c r="GS47">
        <v>0.38255549496394026</v>
      </c>
      <c r="GT47">
        <v>0.4012571802417717</v>
      </c>
      <c r="GU47">
        <v>0.39786440721867566</v>
      </c>
      <c r="GV47">
        <v>0.36127997129382161</v>
      </c>
      <c r="GW47">
        <v>0.33017879151520091</v>
      </c>
      <c r="GX47">
        <v>0.30544055046713015</v>
      </c>
      <c r="GY47">
        <v>0.33868219586127574</v>
      </c>
      <c r="GZ47">
        <v>0.34280471443583266</v>
      </c>
      <c r="HA47">
        <v>0.36143637489249292</v>
      </c>
      <c r="HB47">
        <v>0.40628058383334326</v>
      </c>
      <c r="HC47">
        <v>0.40275357241665732</v>
      </c>
      <c r="HD47">
        <v>0.25390578222063775</v>
      </c>
      <c r="HE47">
        <v>0.20409456858596331</v>
      </c>
      <c r="HF47">
        <v>0.15850993152170148</v>
      </c>
      <c r="HG47">
        <v>0.18315132678176405</v>
      </c>
      <c r="HH47">
        <v>0.15418346711837863</v>
      </c>
      <c r="HI47">
        <v>0.18174041960268059</v>
      </c>
      <c r="HJ47">
        <v>0.1878764196032281</v>
      </c>
      <c r="HK47">
        <v>0.19843103070723897</v>
      </c>
      <c r="HL47">
        <v>0.22721723121858925</v>
      </c>
      <c r="HM47">
        <v>0.27508745391384554</v>
      </c>
      <c r="HN47">
        <v>0.1894747114374937</v>
      </c>
      <c r="HO47">
        <v>0.15290435509578312</v>
      </c>
      <c r="HP47">
        <v>0.13039020349723487</v>
      </c>
      <c r="HQ47">
        <v>0.15266335977265238</v>
      </c>
      <c r="HR47">
        <v>0.14598922973048098</v>
      </c>
      <c r="HS47">
        <v>0.1981587270027873</v>
      </c>
      <c r="HT47">
        <v>0.23188011606140715</v>
      </c>
      <c r="HU47">
        <v>0.20794297516939431</v>
      </c>
      <c r="HV47">
        <v>0.20536133619501679</v>
      </c>
      <c r="HW47">
        <v>0.21381739020204549</v>
      </c>
      <c r="HX47">
        <v>0.31888568856414568</v>
      </c>
      <c r="HY47">
        <v>0.29469133315656515</v>
      </c>
      <c r="HZ47">
        <v>0.27514290128075441</v>
      </c>
      <c r="IA47">
        <v>0.26490456754056241</v>
      </c>
      <c r="IB47">
        <v>0.25582387147856495</v>
      </c>
      <c r="IC47">
        <v>0.27382130098788848</v>
      </c>
      <c r="ID47">
        <v>0.28630059402226726</v>
      </c>
      <c r="IE47">
        <v>0.32099857123400977</v>
      </c>
      <c r="IF47">
        <v>0.34367854471533887</v>
      </c>
      <c r="IG47">
        <v>0.34670674640802362</v>
      </c>
      <c r="IH47">
        <v>0.49230378798256991</v>
      </c>
      <c r="II47">
        <v>0.48144922354763758</v>
      </c>
      <c r="IJ47">
        <v>0.47841518299049096</v>
      </c>
      <c r="IK47">
        <v>0.4607199510374404</v>
      </c>
      <c r="IL47">
        <v>0.4508274890710029</v>
      </c>
      <c r="IM47">
        <v>0.43863983893605152</v>
      </c>
      <c r="IN47">
        <v>0.45831317625682333</v>
      </c>
      <c r="IO47">
        <v>0.49086748903020039</v>
      </c>
      <c r="IP47">
        <v>0.50035692461106118</v>
      </c>
      <c r="IQ47">
        <v>0.50316484059089817</v>
      </c>
      <c r="IS47" t="s">
        <v>217</v>
      </c>
      <c r="IT47" t="s">
        <v>228</v>
      </c>
      <c r="IU47" t="s">
        <v>229</v>
      </c>
      <c r="IV47">
        <v>0.38305431701086873</v>
      </c>
    </row>
    <row r="48" spans="2:256" x14ac:dyDescent="0.25">
      <c r="B48" t="s">
        <v>208</v>
      </c>
      <c r="C48" t="s">
        <v>31</v>
      </c>
      <c r="D48">
        <v>0.37971084954951784</v>
      </c>
      <c r="E48">
        <v>0.37095439520524232</v>
      </c>
      <c r="F48">
        <v>0.36164367331465097</v>
      </c>
      <c r="G48">
        <v>0.3816647971175679</v>
      </c>
      <c r="H48">
        <v>0.3877979187408378</v>
      </c>
      <c r="I48">
        <v>0.40382758618577924</v>
      </c>
      <c r="J48">
        <v>0.4004129239258824</v>
      </c>
      <c r="K48">
        <v>0.35892961834667725</v>
      </c>
      <c r="L48">
        <v>0.35127200926707813</v>
      </c>
      <c r="M48">
        <v>0.3739535101089671</v>
      </c>
      <c r="N48">
        <v>0.33470254468882121</v>
      </c>
      <c r="O48">
        <v>0.31397422059610774</v>
      </c>
      <c r="P48">
        <v>0.34771881649372105</v>
      </c>
      <c r="Q48">
        <v>0.37940133335355181</v>
      </c>
      <c r="R48">
        <v>0.39289128878707064</v>
      </c>
      <c r="S48">
        <v>0.36572589509784043</v>
      </c>
      <c r="T48">
        <v>0.36549678982989753</v>
      </c>
      <c r="U48">
        <v>0.37632764817027931</v>
      </c>
      <c r="V48">
        <v>0.33701359916684809</v>
      </c>
      <c r="W48">
        <v>0.32790917077838105</v>
      </c>
      <c r="X48">
        <v>0.35127794607661239</v>
      </c>
      <c r="Y48">
        <v>0.37095198385672745</v>
      </c>
      <c r="Z48">
        <v>0.47544222851084605</v>
      </c>
      <c r="AA48">
        <v>0.46869240352652702</v>
      </c>
      <c r="AB48">
        <v>0.46289949370268935</v>
      </c>
      <c r="AC48">
        <v>0.42644683262717559</v>
      </c>
      <c r="AD48">
        <v>0.38604453621580376</v>
      </c>
      <c r="AE48">
        <v>0.37840966934132614</v>
      </c>
      <c r="AF48">
        <v>0.35214786455150249</v>
      </c>
      <c r="AG48">
        <v>0.37882429472257173</v>
      </c>
      <c r="AH48">
        <v>0.36565496989938745</v>
      </c>
      <c r="AI48">
        <v>0.38748037510178612</v>
      </c>
      <c r="AJ48">
        <v>0.48098848903469132</v>
      </c>
      <c r="AK48">
        <v>0.4778462359785155</v>
      </c>
      <c r="AL48">
        <v>0.45758080380049526</v>
      </c>
      <c r="AM48">
        <v>0.42632522221367553</v>
      </c>
      <c r="AN48">
        <v>0.39063369438488499</v>
      </c>
      <c r="AO48">
        <v>0.38177979444128279</v>
      </c>
      <c r="AP48">
        <v>0.35264446127318472</v>
      </c>
      <c r="AQ48">
        <v>0.35846223328718702</v>
      </c>
      <c r="AR48">
        <v>0.40960695179113316</v>
      </c>
      <c r="AS48">
        <v>0.3988108911062675</v>
      </c>
      <c r="AT48">
        <v>0.43635078069717143</v>
      </c>
      <c r="AU48">
        <v>0.46000915381925056</v>
      </c>
      <c r="AV48">
        <v>0.45146016615005702</v>
      </c>
      <c r="AW48">
        <v>0.43514841182839742</v>
      </c>
      <c r="AX48">
        <v>0.43478295340679657</v>
      </c>
      <c r="AY48">
        <v>0.40076204395776699</v>
      </c>
      <c r="AZ48">
        <v>0.35793935745676819</v>
      </c>
      <c r="BA48">
        <v>0.37307589177386002</v>
      </c>
      <c r="BB48">
        <v>0.27815399201680824</v>
      </c>
      <c r="BC48">
        <v>0.2869414089866803</v>
      </c>
      <c r="BD48">
        <v>0.2827905891619687</v>
      </c>
      <c r="BE48">
        <v>0.27958900794877811</v>
      </c>
      <c r="BF48">
        <v>0.30895692697889959</v>
      </c>
      <c r="BG48">
        <v>0.32653317171993712</v>
      </c>
      <c r="BH48">
        <v>0.32520091186361932</v>
      </c>
      <c r="BI48">
        <v>0.3086535388585287</v>
      </c>
      <c r="BJ48">
        <v>0.30314896060726937</v>
      </c>
      <c r="BK48">
        <v>0.29658523924829849</v>
      </c>
      <c r="GI48" t="s">
        <v>208</v>
      </c>
      <c r="GJ48">
        <v>0.33931894444323307</v>
      </c>
      <c r="GK48">
        <v>0.33580865747507055</v>
      </c>
      <c r="GL48">
        <v>0.33363150602089198</v>
      </c>
      <c r="GM48">
        <v>0.32012401444202099</v>
      </c>
      <c r="GN48">
        <v>0.28844851316046327</v>
      </c>
      <c r="GO48">
        <v>0.28241703721174882</v>
      </c>
      <c r="GP48">
        <v>0.2986827782501239</v>
      </c>
      <c r="GQ48">
        <v>0.34728904807721178</v>
      </c>
      <c r="GR48">
        <v>0.3650613020330275</v>
      </c>
      <c r="GS48">
        <v>0.35325761840568831</v>
      </c>
      <c r="GT48">
        <v>0.37049917141220767</v>
      </c>
      <c r="GU48">
        <v>0.35868291103406502</v>
      </c>
      <c r="GV48">
        <v>0.31882470051740819</v>
      </c>
      <c r="GW48">
        <v>0.31238188314175219</v>
      </c>
      <c r="GX48">
        <v>0.29035322327967195</v>
      </c>
      <c r="GY48">
        <v>0.32855880591308795</v>
      </c>
      <c r="GZ48">
        <v>0.33882579291842968</v>
      </c>
      <c r="HA48">
        <v>0.33932241844705385</v>
      </c>
      <c r="HB48">
        <v>0.37433328039413166</v>
      </c>
      <c r="HC48">
        <v>0.37558041424827421</v>
      </c>
      <c r="HD48">
        <v>0.21082029820548936</v>
      </c>
      <c r="HE48">
        <v>0.17708171062890005</v>
      </c>
      <c r="HF48">
        <v>0.14524620237698768</v>
      </c>
      <c r="HG48">
        <v>0.15577214507918824</v>
      </c>
      <c r="HH48">
        <v>0.14219804022921287</v>
      </c>
      <c r="HI48">
        <v>0.14896962126958255</v>
      </c>
      <c r="HJ48">
        <v>0.1571350386854132</v>
      </c>
      <c r="HK48">
        <v>0.15940141202339214</v>
      </c>
      <c r="HL48">
        <v>0.19359561904463102</v>
      </c>
      <c r="HM48">
        <v>0.21603948678162721</v>
      </c>
      <c r="HN48">
        <v>0.19170199579618963</v>
      </c>
      <c r="HO48">
        <v>0.18259419320000478</v>
      </c>
      <c r="HP48">
        <v>0.16562788022250136</v>
      </c>
      <c r="HQ48">
        <v>0.18257636945914732</v>
      </c>
      <c r="HR48">
        <v>0.1823401320452496</v>
      </c>
      <c r="HS48">
        <v>0.22822746016811904</v>
      </c>
      <c r="HT48">
        <v>0.25532970245757747</v>
      </c>
      <c r="HU48">
        <v>0.21502869215483064</v>
      </c>
      <c r="HV48">
        <v>0.19916991969205397</v>
      </c>
      <c r="HW48">
        <v>0.20675012406371629</v>
      </c>
      <c r="HX48">
        <v>0.31026316832070122</v>
      </c>
      <c r="HY48">
        <v>0.29417640286782459</v>
      </c>
      <c r="HZ48">
        <v>0.27812859642444154</v>
      </c>
      <c r="IA48">
        <v>0.27824882321920774</v>
      </c>
      <c r="IB48">
        <v>0.26824905468689847</v>
      </c>
      <c r="IC48">
        <v>0.28383682645426467</v>
      </c>
      <c r="ID48">
        <v>0.30096784637655316</v>
      </c>
      <c r="IE48">
        <v>0.32294024911186531</v>
      </c>
      <c r="IF48">
        <v>0.33917989007663385</v>
      </c>
      <c r="IG48">
        <v>0.33468972597452462</v>
      </c>
      <c r="IH48">
        <v>0.53237571734969935</v>
      </c>
      <c r="II48">
        <v>0.53012704492132801</v>
      </c>
      <c r="IJ48">
        <v>0.51467386843037832</v>
      </c>
      <c r="IK48">
        <v>0.49129950547929024</v>
      </c>
      <c r="IL48">
        <v>0.46868846976980538</v>
      </c>
      <c r="IM48">
        <v>0.46204071036629923</v>
      </c>
      <c r="IN48">
        <v>0.47334900656390311</v>
      </c>
      <c r="IO48">
        <v>0.50182473637259717</v>
      </c>
      <c r="IP48">
        <v>0.51450589080075992</v>
      </c>
      <c r="IQ48">
        <v>0.53033199211736826</v>
      </c>
      <c r="IS48" t="s">
        <v>218</v>
      </c>
      <c r="IT48" t="s">
        <v>228</v>
      </c>
      <c r="IU48" t="s">
        <v>229</v>
      </c>
      <c r="IV48">
        <v>0.38531616931543206</v>
      </c>
    </row>
    <row r="49" spans="2:256" x14ac:dyDescent="0.25">
      <c r="B49" t="s">
        <v>209</v>
      </c>
      <c r="C49" t="s">
        <v>31</v>
      </c>
      <c r="D49">
        <v>0.38213701919679394</v>
      </c>
      <c r="E49">
        <v>0.38110822711747117</v>
      </c>
      <c r="F49">
        <v>0.37541542381463233</v>
      </c>
      <c r="G49">
        <v>0.39048636030284978</v>
      </c>
      <c r="H49">
        <v>0.40261290279855261</v>
      </c>
      <c r="I49">
        <v>0.40350862112054214</v>
      </c>
      <c r="J49">
        <v>0.38123102789736979</v>
      </c>
      <c r="K49">
        <v>0.36486820629128081</v>
      </c>
      <c r="L49">
        <v>0.37169029132406745</v>
      </c>
      <c r="M49">
        <v>0.39031715292793401</v>
      </c>
      <c r="N49">
        <v>0.32326890770979361</v>
      </c>
      <c r="O49">
        <v>0.29979723320417878</v>
      </c>
      <c r="P49">
        <v>0.32364135276273076</v>
      </c>
      <c r="Q49">
        <v>0.36077847147695274</v>
      </c>
      <c r="R49">
        <v>0.39618652359132572</v>
      </c>
      <c r="S49">
        <v>0.38004679579838585</v>
      </c>
      <c r="T49">
        <v>0.35982179026752775</v>
      </c>
      <c r="U49">
        <v>0.34696605228802413</v>
      </c>
      <c r="V49">
        <v>0.30514542236407499</v>
      </c>
      <c r="W49">
        <v>0.32099425824642996</v>
      </c>
      <c r="X49">
        <v>0.3692924549704607</v>
      </c>
      <c r="Y49">
        <v>0.39555220549561354</v>
      </c>
      <c r="Z49">
        <v>0.45822630477102316</v>
      </c>
      <c r="AA49">
        <v>0.45003145288711466</v>
      </c>
      <c r="AB49">
        <v>0.43845113583350653</v>
      </c>
      <c r="AC49">
        <v>0.40631867441453356</v>
      </c>
      <c r="AD49">
        <v>0.38723786458349246</v>
      </c>
      <c r="AE49">
        <v>0.3903995615022709</v>
      </c>
      <c r="AF49">
        <v>0.39031484492816326</v>
      </c>
      <c r="AG49">
        <v>0.36268185372858042</v>
      </c>
      <c r="AH49">
        <v>0.38686979674368094</v>
      </c>
      <c r="AI49">
        <v>0.36911623292450951</v>
      </c>
      <c r="AJ49">
        <v>0.49633620417725938</v>
      </c>
      <c r="AK49">
        <v>0.46762702781484622</v>
      </c>
      <c r="AL49">
        <v>0.4574279839327246</v>
      </c>
      <c r="AM49">
        <v>0.45158453262773995</v>
      </c>
      <c r="AN49">
        <v>0.44542732823479636</v>
      </c>
      <c r="AO49">
        <v>0.44139502870317954</v>
      </c>
      <c r="AP49">
        <v>0.38056569857690831</v>
      </c>
      <c r="AQ49">
        <v>0.37194005733268726</v>
      </c>
      <c r="AR49">
        <v>0.37081732942713375</v>
      </c>
      <c r="AS49">
        <v>0.39135449231396346</v>
      </c>
      <c r="AT49">
        <v>0.42730404039554742</v>
      </c>
      <c r="AU49">
        <v>0.46649497245029181</v>
      </c>
      <c r="AV49">
        <v>0.46169275927043857</v>
      </c>
      <c r="AW49">
        <v>0.45309628044713074</v>
      </c>
      <c r="AX49">
        <v>0.4405651904455723</v>
      </c>
      <c r="AY49">
        <v>0.3907322775523952</v>
      </c>
      <c r="AZ49">
        <v>0.32904948529805039</v>
      </c>
      <c r="BA49">
        <v>0.33420700767871903</v>
      </c>
      <c r="BB49">
        <v>0.26821365292599159</v>
      </c>
      <c r="BC49">
        <v>0.27234068042134246</v>
      </c>
      <c r="BD49">
        <v>0.26174377036336205</v>
      </c>
      <c r="BE49">
        <v>0.26667204131257244</v>
      </c>
      <c r="BF49">
        <v>0.29889185284217723</v>
      </c>
      <c r="BG49">
        <v>0.30638609939946326</v>
      </c>
      <c r="BH49">
        <v>0.3153467054221033</v>
      </c>
      <c r="BI49">
        <v>0.28976942539695194</v>
      </c>
      <c r="BJ49">
        <v>0.29055422407626819</v>
      </c>
      <c r="BK49">
        <v>0.27687206239517881</v>
      </c>
      <c r="GI49" t="s">
        <v>209</v>
      </c>
      <c r="GJ49">
        <v>0.36406372413486693</v>
      </c>
      <c r="GK49">
        <v>0.35448078737551969</v>
      </c>
      <c r="GL49">
        <v>0.36719926537458775</v>
      </c>
      <c r="GM49">
        <v>0.36399160161711008</v>
      </c>
      <c r="GN49">
        <v>0.32898957054392253</v>
      </c>
      <c r="GO49">
        <v>0.33066373798336712</v>
      </c>
      <c r="GP49">
        <v>0.34297056425935962</v>
      </c>
      <c r="GQ49">
        <v>0.38077752481771648</v>
      </c>
      <c r="GR49">
        <v>0.38775982505428525</v>
      </c>
      <c r="GS49">
        <v>0.37688770881370576</v>
      </c>
      <c r="GT49">
        <v>0.38414530532753655</v>
      </c>
      <c r="GU49">
        <v>0.39843065976881603</v>
      </c>
      <c r="GV49">
        <v>0.35347132521949587</v>
      </c>
      <c r="GW49">
        <v>0.31822730235421692</v>
      </c>
      <c r="GX49">
        <v>0.29592916782472112</v>
      </c>
      <c r="GY49">
        <v>0.33195499309981114</v>
      </c>
      <c r="GZ49">
        <v>0.34186800745958978</v>
      </c>
      <c r="HA49">
        <v>0.36065740209791419</v>
      </c>
      <c r="HB49">
        <v>0.39076931138514986</v>
      </c>
      <c r="HC49">
        <v>0.39090893669765453</v>
      </c>
      <c r="HD49">
        <v>0.25665650642270776</v>
      </c>
      <c r="HE49">
        <v>0.22237689750429723</v>
      </c>
      <c r="HF49">
        <v>0.16880095905315146</v>
      </c>
      <c r="HG49">
        <v>0.18641722654942436</v>
      </c>
      <c r="HH49">
        <v>0.18358306839377445</v>
      </c>
      <c r="HI49">
        <v>0.2087459963489067</v>
      </c>
      <c r="HJ49">
        <v>0.21023420105764842</v>
      </c>
      <c r="HK49">
        <v>0.2074146916934701</v>
      </c>
      <c r="HL49">
        <v>0.2405289620591067</v>
      </c>
      <c r="HM49">
        <v>0.27957973338643233</v>
      </c>
      <c r="HN49">
        <v>0.19265079193113852</v>
      </c>
      <c r="HO49">
        <v>0.17317508333716289</v>
      </c>
      <c r="HP49">
        <v>0.15899056986584725</v>
      </c>
      <c r="HQ49">
        <v>0.18202583467701927</v>
      </c>
      <c r="HR49">
        <v>0.17826687949676054</v>
      </c>
      <c r="HS49">
        <v>0.22996032730441943</v>
      </c>
      <c r="HT49">
        <v>0.23502636065340535</v>
      </c>
      <c r="HU49">
        <v>0.20052016574204096</v>
      </c>
      <c r="HV49">
        <v>0.20095516934188959</v>
      </c>
      <c r="HW49">
        <v>0.19849212663984422</v>
      </c>
      <c r="HX49">
        <v>0.3330243370085722</v>
      </c>
      <c r="HY49">
        <v>0.31790049428105266</v>
      </c>
      <c r="HZ49">
        <v>0.29997466222697772</v>
      </c>
      <c r="IA49">
        <v>0.29738088229022236</v>
      </c>
      <c r="IB49">
        <v>0.29093180968057403</v>
      </c>
      <c r="IC49">
        <v>0.31103950263376395</v>
      </c>
      <c r="ID49">
        <v>0.333057963176567</v>
      </c>
      <c r="IE49">
        <v>0.35622871630076203</v>
      </c>
      <c r="IF49">
        <v>0.37185599025229044</v>
      </c>
      <c r="IG49">
        <v>0.37644839499455274</v>
      </c>
      <c r="IH49">
        <v>0.54602190624737434</v>
      </c>
      <c r="II49">
        <v>0.54000917547629124</v>
      </c>
      <c r="IJ49">
        <v>0.53467322384296612</v>
      </c>
      <c r="IK49">
        <v>0.53056762085469988</v>
      </c>
      <c r="IL49">
        <v>0.50187716218534506</v>
      </c>
      <c r="IM49">
        <v>0.49996837480334838</v>
      </c>
      <c r="IN49">
        <v>0.50908350588171736</v>
      </c>
      <c r="IO49">
        <v>0.5332770089117832</v>
      </c>
      <c r="IP49">
        <v>0.54718048710568767</v>
      </c>
      <c r="IQ49">
        <v>0.55738032407323812</v>
      </c>
      <c r="IS49" t="s">
        <v>219</v>
      </c>
      <c r="IT49" t="s">
        <v>228</v>
      </c>
      <c r="IU49" t="s">
        <v>229</v>
      </c>
      <c r="IV49">
        <v>0.43530219900228068</v>
      </c>
    </row>
    <row r="50" spans="2:256" x14ac:dyDescent="0.25">
      <c r="B50" t="s">
        <v>210</v>
      </c>
      <c r="C50" t="s">
        <v>31</v>
      </c>
      <c r="D50">
        <v>0.37950536463202189</v>
      </c>
      <c r="E50">
        <v>0.36853448004347972</v>
      </c>
      <c r="F50">
        <v>0.36106417709732574</v>
      </c>
      <c r="G50">
        <v>0.37266158882299177</v>
      </c>
      <c r="H50">
        <v>0.38387110050477358</v>
      </c>
      <c r="I50">
        <v>0.38374345643125157</v>
      </c>
      <c r="J50">
        <v>0.38877339483862683</v>
      </c>
      <c r="K50">
        <v>0.37716240609760288</v>
      </c>
      <c r="L50">
        <v>0.36362902377425282</v>
      </c>
      <c r="M50">
        <v>0.37282948324805837</v>
      </c>
      <c r="N50">
        <v>0.3026555586596989</v>
      </c>
      <c r="O50">
        <v>0.29561166685890999</v>
      </c>
      <c r="P50">
        <v>0.3207830579643775</v>
      </c>
      <c r="Q50">
        <v>0.35849036425033626</v>
      </c>
      <c r="R50">
        <v>0.36024822965858744</v>
      </c>
      <c r="S50">
        <v>0.34517076450610712</v>
      </c>
      <c r="T50">
        <v>0.33485821408440181</v>
      </c>
      <c r="U50">
        <v>0.32824260770011654</v>
      </c>
      <c r="V50">
        <v>0.31037021956185573</v>
      </c>
      <c r="W50">
        <v>0.2971440168273925</v>
      </c>
      <c r="X50">
        <v>0.34744425357705561</v>
      </c>
      <c r="Y50">
        <v>0.35896076945912619</v>
      </c>
      <c r="Z50">
        <v>0.41588604742024748</v>
      </c>
      <c r="AA50">
        <v>0.39852588284455148</v>
      </c>
      <c r="AB50">
        <v>0.42844735953113594</v>
      </c>
      <c r="AC50">
        <v>0.42078723114161232</v>
      </c>
      <c r="AD50">
        <v>0.40877373697154606</v>
      </c>
      <c r="AE50">
        <v>0.39880786156402442</v>
      </c>
      <c r="AF50">
        <v>0.36361687705878171</v>
      </c>
      <c r="AG50">
        <v>0.34265072193652907</v>
      </c>
      <c r="AH50">
        <v>0.34865688726880251</v>
      </c>
      <c r="AI50">
        <v>0.35761350824142085</v>
      </c>
      <c r="AJ50">
        <v>0.42297787070425952</v>
      </c>
      <c r="AK50">
        <v>0.41941739175021603</v>
      </c>
      <c r="AL50">
        <v>0.4074804590918969</v>
      </c>
      <c r="AM50">
        <v>0.41477118891787512</v>
      </c>
      <c r="AN50">
        <v>0.39264114867637312</v>
      </c>
      <c r="AO50">
        <v>0.38029402655054456</v>
      </c>
      <c r="AP50">
        <v>0.37174412085850084</v>
      </c>
      <c r="AQ50">
        <v>0.37015880121671257</v>
      </c>
      <c r="AR50">
        <v>0.33528001372272725</v>
      </c>
      <c r="AS50">
        <v>0.33156721919227494</v>
      </c>
      <c r="AT50">
        <v>0.33732764904774332</v>
      </c>
      <c r="AU50">
        <v>0.38505363743220616</v>
      </c>
      <c r="AV50">
        <v>0.38352136273187526</v>
      </c>
      <c r="AW50">
        <v>0.37336867545808516</v>
      </c>
      <c r="AX50">
        <v>0.36717222412885275</v>
      </c>
      <c r="AY50">
        <v>0.34725531604706816</v>
      </c>
      <c r="AZ50">
        <v>0.33268054471518971</v>
      </c>
      <c r="BA50">
        <v>0.3368144567406865</v>
      </c>
      <c r="BB50">
        <v>0.26380354993198912</v>
      </c>
      <c r="BC50">
        <v>0.24575879297293585</v>
      </c>
      <c r="BD50">
        <v>0.24955919403339796</v>
      </c>
      <c r="BE50">
        <v>0.26272124146658682</v>
      </c>
      <c r="BF50">
        <v>0.27097169423998901</v>
      </c>
      <c r="BG50">
        <v>0.28604743614847494</v>
      </c>
      <c r="BH50">
        <v>0.29281898396161588</v>
      </c>
      <c r="BI50">
        <v>0.26346301108398135</v>
      </c>
      <c r="BJ50">
        <v>0.25416554022056181</v>
      </c>
      <c r="BK50">
        <v>0.25542435599409385</v>
      </c>
      <c r="GI50" t="s">
        <v>210</v>
      </c>
      <c r="GJ50">
        <v>0.34451908538719633</v>
      </c>
      <c r="GK50">
        <v>0.36254738413640841</v>
      </c>
      <c r="GL50">
        <v>0.37746689184953391</v>
      </c>
      <c r="GM50">
        <v>0.38569494710546359</v>
      </c>
      <c r="GN50">
        <v>0.38142856817007803</v>
      </c>
      <c r="GO50">
        <v>0.38885732806990253</v>
      </c>
      <c r="GP50">
        <v>0.3921406866398397</v>
      </c>
      <c r="GQ50">
        <v>0.40880807435520555</v>
      </c>
      <c r="GR50">
        <v>0.41691967589658507</v>
      </c>
      <c r="GS50">
        <v>0.37451083044549066</v>
      </c>
      <c r="GT50">
        <v>0.41439650345119011</v>
      </c>
      <c r="GU50">
        <v>0.41677144010867179</v>
      </c>
      <c r="GV50">
        <v>0.39157599153857314</v>
      </c>
      <c r="GW50">
        <v>0.37793827672966673</v>
      </c>
      <c r="GX50">
        <v>0.34997216005611909</v>
      </c>
      <c r="GY50">
        <v>0.36731132333640576</v>
      </c>
      <c r="GZ50">
        <v>0.37013576035928425</v>
      </c>
      <c r="HA50">
        <v>0.36503447766077973</v>
      </c>
      <c r="HB50">
        <v>0.39902305874806537</v>
      </c>
      <c r="HC50">
        <v>0.40526506456559414</v>
      </c>
      <c r="HD50">
        <v>0.29364479784258751</v>
      </c>
      <c r="HE50">
        <v>0.2679876169826661</v>
      </c>
      <c r="HF50">
        <v>0.22516764620083321</v>
      </c>
      <c r="HG50">
        <v>0.26632900995584097</v>
      </c>
      <c r="HH50">
        <v>0.26313218932828253</v>
      </c>
      <c r="HI50">
        <v>0.29012740376248086</v>
      </c>
      <c r="HJ50">
        <v>0.2797182571715045</v>
      </c>
      <c r="HK50">
        <v>0.25231539998301644</v>
      </c>
      <c r="HL50">
        <v>0.24689706782646778</v>
      </c>
      <c r="HM50">
        <v>0.29689723153386205</v>
      </c>
      <c r="HN50">
        <v>0.22339512422406962</v>
      </c>
      <c r="HO50">
        <v>0.23363538972015874</v>
      </c>
      <c r="HP50">
        <v>0.2103021881813803</v>
      </c>
      <c r="HQ50">
        <v>0.22832723405439123</v>
      </c>
      <c r="HR50">
        <v>0.21978735651894946</v>
      </c>
      <c r="HS50">
        <v>0.25695113290225052</v>
      </c>
      <c r="HT50">
        <v>0.25945190452974498</v>
      </c>
      <c r="HU50">
        <v>0.22356026957179059</v>
      </c>
      <c r="HV50">
        <v>0.20345248212052983</v>
      </c>
      <c r="HW50">
        <v>0.22021877677675825</v>
      </c>
      <c r="HX50">
        <v>0.38924345293188595</v>
      </c>
      <c r="HY50">
        <v>0.37399428456156442</v>
      </c>
      <c r="HZ50">
        <v>0.36557941872567684</v>
      </c>
      <c r="IA50">
        <v>0.35656341273773967</v>
      </c>
      <c r="IB50">
        <v>0.3622514450980433</v>
      </c>
      <c r="IC50">
        <v>0.37277944778955485</v>
      </c>
      <c r="ID50">
        <v>0.37303391913843342</v>
      </c>
      <c r="IE50">
        <v>0.3980770154798296</v>
      </c>
      <c r="IF50">
        <v>0.42537329669861251</v>
      </c>
      <c r="IG50">
        <v>0.42806450037635591</v>
      </c>
      <c r="IH50">
        <v>0.55650814716898567</v>
      </c>
      <c r="II50">
        <v>0.56342818481063639</v>
      </c>
      <c r="IJ50">
        <v>0.56753684631412449</v>
      </c>
      <c r="IK50">
        <v>0.56659298253265444</v>
      </c>
      <c r="IL50">
        <v>0.54982830092769175</v>
      </c>
      <c r="IM50">
        <v>0.54186825961578744</v>
      </c>
      <c r="IN50">
        <v>0.54304409133336962</v>
      </c>
      <c r="IO50">
        <v>0.55886465092109117</v>
      </c>
      <c r="IP50">
        <v>0.57203376864515665</v>
      </c>
      <c r="IQ50">
        <v>0.57342682704763859</v>
      </c>
      <c r="IS50" t="s">
        <v>220</v>
      </c>
      <c r="IT50" t="s">
        <v>228</v>
      </c>
      <c r="IU50" t="s">
        <v>229</v>
      </c>
      <c r="IV50">
        <v>0.4842652242202628</v>
      </c>
    </row>
    <row r="51" spans="2:256" x14ac:dyDescent="0.25">
      <c r="B51" t="s">
        <v>211</v>
      </c>
      <c r="C51" t="s">
        <v>31</v>
      </c>
      <c r="D51">
        <v>0.42419644780756821</v>
      </c>
      <c r="E51">
        <v>0.43552297558408715</v>
      </c>
      <c r="F51">
        <v>0.43552387588350205</v>
      </c>
      <c r="G51">
        <v>0.45796414578361772</v>
      </c>
      <c r="H51">
        <v>0.47272773938816959</v>
      </c>
      <c r="I51">
        <v>0.48529032533558458</v>
      </c>
      <c r="J51">
        <v>0.46537724939304448</v>
      </c>
      <c r="K51">
        <v>0.42191378076879837</v>
      </c>
      <c r="L51">
        <v>0.41116189450401047</v>
      </c>
      <c r="M51">
        <v>0.41998699245441784</v>
      </c>
      <c r="N51">
        <v>0.35388011285994769</v>
      </c>
      <c r="O51">
        <v>0.37311704773864107</v>
      </c>
      <c r="P51">
        <v>0.407924872865771</v>
      </c>
      <c r="Q51">
        <v>0.42798091089898549</v>
      </c>
      <c r="R51">
        <v>0.42376223686627285</v>
      </c>
      <c r="S51">
        <v>0.41815561114306182</v>
      </c>
      <c r="T51">
        <v>0.39105314827314247</v>
      </c>
      <c r="U51">
        <v>0.34721801661520879</v>
      </c>
      <c r="V51">
        <v>0.3201460297387631</v>
      </c>
      <c r="W51">
        <v>0.32261488265808946</v>
      </c>
      <c r="X51">
        <v>0.40676527313675143</v>
      </c>
      <c r="Y51">
        <v>0.43328916276611795</v>
      </c>
      <c r="Z51">
        <v>0.50223390444968785</v>
      </c>
      <c r="AA51">
        <v>0.4942631883416192</v>
      </c>
      <c r="AB51">
        <v>0.47853224435190894</v>
      </c>
      <c r="AC51">
        <v>0.4698534418412183</v>
      </c>
      <c r="AD51">
        <v>0.44908783146302655</v>
      </c>
      <c r="AE51">
        <v>0.47096613177745061</v>
      </c>
      <c r="AF51">
        <v>0.45006437789091736</v>
      </c>
      <c r="AG51">
        <v>0.39799740945724027</v>
      </c>
      <c r="AH51">
        <v>0.38955810050899281</v>
      </c>
      <c r="AI51">
        <v>0.43323962491685242</v>
      </c>
      <c r="AJ51">
        <v>0.49250089236061395</v>
      </c>
      <c r="AK51">
        <v>0.50670698499048583</v>
      </c>
      <c r="AL51">
        <v>0.49782514591304899</v>
      </c>
      <c r="AM51">
        <v>0.47108505380524801</v>
      </c>
      <c r="AN51">
        <v>0.45579246874013912</v>
      </c>
      <c r="AO51">
        <v>0.40834027921999644</v>
      </c>
      <c r="AP51">
        <v>0.33400274862023938</v>
      </c>
      <c r="AQ51">
        <v>0.34789244605829911</v>
      </c>
      <c r="AR51">
        <v>0.38749862200195934</v>
      </c>
      <c r="AS51">
        <v>0.34422037785428738</v>
      </c>
      <c r="AT51">
        <v>0.33485978089647622</v>
      </c>
      <c r="AU51">
        <v>0.35000890747101798</v>
      </c>
      <c r="AV51">
        <v>0.35886656755871477</v>
      </c>
      <c r="AW51">
        <v>0.34173323875416345</v>
      </c>
      <c r="AX51">
        <v>0.36926571883391135</v>
      </c>
      <c r="AY51">
        <v>0.3828147220896872</v>
      </c>
      <c r="AZ51">
        <v>0.36205503728780764</v>
      </c>
      <c r="BA51">
        <v>0.37442673327572057</v>
      </c>
      <c r="BB51">
        <v>0.3055775957285069</v>
      </c>
      <c r="BC51">
        <v>0.30911557182235477</v>
      </c>
      <c r="BD51">
        <v>0.3114809105651733</v>
      </c>
      <c r="BE51">
        <v>0.3181353128460786</v>
      </c>
      <c r="BF51">
        <v>0.34927294563307837</v>
      </c>
      <c r="BG51">
        <v>0.35601551612252996</v>
      </c>
      <c r="BH51">
        <v>0.33748448246303736</v>
      </c>
      <c r="BI51">
        <v>0.30462379334785622</v>
      </c>
      <c r="BJ51">
        <v>0.28739923513840471</v>
      </c>
      <c r="BK51">
        <v>0.29847301263249032</v>
      </c>
      <c r="GI51" t="s">
        <v>211</v>
      </c>
      <c r="GJ51">
        <v>0.27049205661959302</v>
      </c>
      <c r="GK51">
        <v>0.27519453140541345</v>
      </c>
      <c r="GL51">
        <v>0.27774461376931808</v>
      </c>
      <c r="GM51">
        <v>0.29832239992207565</v>
      </c>
      <c r="GN51">
        <v>0.27928531292467462</v>
      </c>
      <c r="GO51">
        <v>0.30249936029480562</v>
      </c>
      <c r="GP51">
        <v>0.29975924204283039</v>
      </c>
      <c r="GQ51">
        <v>0.30858481790550329</v>
      </c>
      <c r="GR51">
        <v>0.30769796807844785</v>
      </c>
      <c r="GS51">
        <v>0.2816063120748189</v>
      </c>
      <c r="GT51">
        <v>0.24018073122499442</v>
      </c>
      <c r="GU51">
        <v>0.2363416123469359</v>
      </c>
      <c r="GV51">
        <v>0.221355440206154</v>
      </c>
      <c r="GW51">
        <v>0.22022270279051859</v>
      </c>
      <c r="GX51">
        <v>0.20546506085058749</v>
      </c>
      <c r="GY51">
        <v>0.22580654328827288</v>
      </c>
      <c r="GZ51">
        <v>0.23552473875692054</v>
      </c>
      <c r="HA51">
        <v>0.22726788205136966</v>
      </c>
      <c r="HB51">
        <v>0.26327893120138651</v>
      </c>
      <c r="HC51">
        <v>0.26702725617325979</v>
      </c>
      <c r="HD51">
        <v>0.24661784669364464</v>
      </c>
      <c r="HE51">
        <v>0.23934480155599663</v>
      </c>
      <c r="HF51">
        <v>0.21592678428467285</v>
      </c>
      <c r="HG51">
        <v>0.22585773554152147</v>
      </c>
      <c r="HH51">
        <v>0.18852287111172267</v>
      </c>
      <c r="HI51">
        <v>0.22799440108895636</v>
      </c>
      <c r="HJ51">
        <v>0.21940086551047897</v>
      </c>
      <c r="HK51">
        <v>0.20774931246928516</v>
      </c>
      <c r="HL51">
        <v>0.21149467886048626</v>
      </c>
      <c r="HM51">
        <v>0.22745688556646293</v>
      </c>
      <c r="HN51">
        <v>0.13327254000280586</v>
      </c>
      <c r="HO51">
        <v>0.12205764706306156</v>
      </c>
      <c r="HP51">
        <v>9.9169927812967754E-2</v>
      </c>
      <c r="HQ51">
        <v>0.10232973610532521</v>
      </c>
      <c r="HR51">
        <v>8.1358948160272199E-2</v>
      </c>
      <c r="HS51">
        <v>0.10242122959838409</v>
      </c>
      <c r="HT51">
        <v>0.10959997895283764</v>
      </c>
      <c r="HU51">
        <v>9.9893551836536143E-2</v>
      </c>
      <c r="HV51">
        <v>0.11997041983245266</v>
      </c>
      <c r="HW51">
        <v>0.13556831361101057</v>
      </c>
      <c r="HX51">
        <v>0.29773350943393612</v>
      </c>
      <c r="HY51">
        <v>0.32283827871636339</v>
      </c>
      <c r="HZ51">
        <v>0.32902675786903857</v>
      </c>
      <c r="IA51">
        <v>0.3221300495815011</v>
      </c>
      <c r="IB51">
        <v>0.26970525653616095</v>
      </c>
      <c r="IC51">
        <v>0.27089398032321488</v>
      </c>
      <c r="ID51">
        <v>0.26606490841624331</v>
      </c>
      <c r="IE51">
        <v>0.28091758350052115</v>
      </c>
      <c r="IF51">
        <v>0.30873657903173179</v>
      </c>
      <c r="IG51">
        <v>0.31099899491503691</v>
      </c>
      <c r="IH51">
        <v>0.39200735019288441</v>
      </c>
      <c r="II51">
        <v>0.40655345569233825</v>
      </c>
      <c r="IJ51">
        <v>0.42557934754903015</v>
      </c>
      <c r="IK51">
        <v>0.43061979098909331</v>
      </c>
      <c r="IL51">
        <v>0.38092510859673151</v>
      </c>
      <c r="IM51">
        <v>0.3850461116488938</v>
      </c>
      <c r="IN51">
        <v>0.39210811399857254</v>
      </c>
      <c r="IO51">
        <v>0.41556077035191935</v>
      </c>
      <c r="IP51">
        <v>0.43573635553056633</v>
      </c>
      <c r="IQ51">
        <v>0.41973362053945462</v>
      </c>
      <c r="IS51" t="s">
        <v>191</v>
      </c>
      <c r="IT51" t="s">
        <v>228</v>
      </c>
      <c r="IU51" t="s">
        <v>229</v>
      </c>
      <c r="IV51">
        <v>0.50860579608700829</v>
      </c>
    </row>
    <row r="52" spans="2:256" x14ac:dyDescent="0.25">
      <c r="B52" t="s">
        <v>212</v>
      </c>
      <c r="C52" t="s">
        <v>31</v>
      </c>
      <c r="D52">
        <v>0.41122650767771918</v>
      </c>
      <c r="E52">
        <v>0.42388092113545689</v>
      </c>
      <c r="F52">
        <v>0.41495186871953837</v>
      </c>
      <c r="G52">
        <v>0.41663237495726524</v>
      </c>
      <c r="H52">
        <v>0.4351488525782109</v>
      </c>
      <c r="I52">
        <v>0.42662655205723116</v>
      </c>
      <c r="J52">
        <v>0.4158811284727672</v>
      </c>
      <c r="K52">
        <v>0.39923987846440068</v>
      </c>
      <c r="L52">
        <v>0.388390934208867</v>
      </c>
      <c r="M52">
        <v>0.39420136611410578</v>
      </c>
      <c r="N52">
        <v>0.31208704052838299</v>
      </c>
      <c r="O52">
        <v>0.32940159680545883</v>
      </c>
      <c r="P52">
        <v>0.377342380117829</v>
      </c>
      <c r="Q52">
        <v>0.43060738662903508</v>
      </c>
      <c r="R52">
        <v>0.43015378565397305</v>
      </c>
      <c r="S52">
        <v>0.40492065320046228</v>
      </c>
      <c r="T52">
        <v>0.38775872470316181</v>
      </c>
      <c r="U52">
        <v>0.3735669057907498</v>
      </c>
      <c r="V52">
        <v>0.32088924800747853</v>
      </c>
      <c r="W52">
        <v>0.28649368438094619</v>
      </c>
      <c r="X52">
        <v>0.35066902519819293</v>
      </c>
      <c r="Y52">
        <v>0.37481602459488333</v>
      </c>
      <c r="Z52">
        <v>0.46717041230316325</v>
      </c>
      <c r="AA52">
        <v>0.46617571504180227</v>
      </c>
      <c r="AB52">
        <v>0.48065197610414551</v>
      </c>
      <c r="AC52">
        <v>0.45780713400602002</v>
      </c>
      <c r="AD52">
        <v>0.46066318365508008</v>
      </c>
      <c r="AE52">
        <v>0.45018393215401881</v>
      </c>
      <c r="AF52">
        <v>0.40933860710572673</v>
      </c>
      <c r="AG52">
        <v>0.34255401916930112</v>
      </c>
      <c r="AH52">
        <v>0.34030662583239291</v>
      </c>
      <c r="AI52">
        <v>0.38934888796449429</v>
      </c>
      <c r="AJ52">
        <v>0.5086071838788403</v>
      </c>
      <c r="AK52">
        <v>0.52844542032198505</v>
      </c>
      <c r="AL52">
        <v>0.49121959505294377</v>
      </c>
      <c r="AM52">
        <v>0.50185761622487379</v>
      </c>
      <c r="AN52">
        <v>0.47561376721485238</v>
      </c>
      <c r="AO52">
        <v>0.42161778099918495</v>
      </c>
      <c r="AP52">
        <v>0.32938582400443817</v>
      </c>
      <c r="AQ52">
        <v>0.31644258013918081</v>
      </c>
      <c r="AR52">
        <v>0.35975110569559343</v>
      </c>
      <c r="AS52">
        <v>0.32083077139105376</v>
      </c>
      <c r="AT52">
        <v>0.32613157482548405</v>
      </c>
      <c r="AU52">
        <v>0.35846042808825279</v>
      </c>
      <c r="AV52">
        <v>0.36133107084178229</v>
      </c>
      <c r="AW52">
        <v>0.36030677493803709</v>
      </c>
      <c r="AX52">
        <v>0.37983133435709798</v>
      </c>
      <c r="AY52">
        <v>0.38418113483383609</v>
      </c>
      <c r="AZ52">
        <v>0.36307686017357177</v>
      </c>
      <c r="BA52">
        <v>0.35891784202455757</v>
      </c>
      <c r="BB52">
        <v>0.31429801808228319</v>
      </c>
      <c r="BC52">
        <v>0.29652095998058181</v>
      </c>
      <c r="BD52">
        <v>0.29909353820649348</v>
      </c>
      <c r="BE52">
        <v>0.30703317480212144</v>
      </c>
      <c r="BF52">
        <v>0.34166518692526493</v>
      </c>
      <c r="BG52">
        <v>0.35465836336759116</v>
      </c>
      <c r="BH52">
        <v>0.34917003511979661</v>
      </c>
      <c r="BI52">
        <v>0.31604110382898976</v>
      </c>
      <c r="BJ52">
        <v>0.32745655822310649</v>
      </c>
      <c r="BK52">
        <v>0.33137737982786641</v>
      </c>
      <c r="GI52" t="s">
        <v>212</v>
      </c>
      <c r="GJ52">
        <v>0.31015409645650382</v>
      </c>
      <c r="GK52">
        <v>0.31842062039625801</v>
      </c>
      <c r="GL52">
        <v>0.32583794547732248</v>
      </c>
      <c r="GM52">
        <v>0.33215817335010583</v>
      </c>
      <c r="GN52">
        <v>0.32006553921362413</v>
      </c>
      <c r="GO52">
        <v>0.31974535694281137</v>
      </c>
      <c r="GP52">
        <v>0.31003638925204552</v>
      </c>
      <c r="GQ52">
        <v>0.33182733115706209</v>
      </c>
      <c r="GR52">
        <v>0.34668058972990212</v>
      </c>
      <c r="GS52">
        <v>0.3260782116340315</v>
      </c>
      <c r="GT52">
        <v>0.33668787284483592</v>
      </c>
      <c r="GU52">
        <v>0.31622319052448006</v>
      </c>
      <c r="GV52">
        <v>0.27196613877413334</v>
      </c>
      <c r="GW52">
        <v>0.23302803472073638</v>
      </c>
      <c r="GX52">
        <v>0.21419663927613355</v>
      </c>
      <c r="GY52">
        <v>0.24866856051857478</v>
      </c>
      <c r="GZ52">
        <v>0.25654583495640554</v>
      </c>
      <c r="HA52">
        <v>0.26064377811196243</v>
      </c>
      <c r="HB52">
        <v>0.31922657276665145</v>
      </c>
      <c r="HC52">
        <v>0.34970695536669139</v>
      </c>
      <c r="HD52">
        <v>0.2810760075286543</v>
      </c>
      <c r="HE52">
        <v>0.25238893754022201</v>
      </c>
      <c r="HF52">
        <v>0.21439984901683468</v>
      </c>
      <c r="HG52">
        <v>0.22935006874849029</v>
      </c>
      <c r="HH52">
        <v>0.23218322186193704</v>
      </c>
      <c r="HI52">
        <v>0.26756964841055958</v>
      </c>
      <c r="HJ52">
        <v>0.25924514486836409</v>
      </c>
      <c r="HK52">
        <v>0.24159637356440761</v>
      </c>
      <c r="HL52">
        <v>0.25186007468932142</v>
      </c>
      <c r="HM52">
        <v>0.29260306248639961</v>
      </c>
      <c r="HN52">
        <v>0.18074012342664034</v>
      </c>
      <c r="HO52">
        <v>0.17169621027047605</v>
      </c>
      <c r="HP52">
        <v>0.12947569895826533</v>
      </c>
      <c r="HQ52">
        <v>0.14052462179970576</v>
      </c>
      <c r="HR52">
        <v>0.12710758489542498</v>
      </c>
      <c r="HS52">
        <v>0.15537879957852371</v>
      </c>
      <c r="HT52">
        <v>0.16075089150211494</v>
      </c>
      <c r="HU52">
        <v>0.1383616187505641</v>
      </c>
      <c r="HV52">
        <v>0.15401818452343433</v>
      </c>
      <c r="HW52">
        <v>0.19023099425928333</v>
      </c>
      <c r="HX52">
        <v>0.35932948129705544</v>
      </c>
      <c r="HY52">
        <v>0.34914107777577552</v>
      </c>
      <c r="HZ52">
        <v>0.33110457386738751</v>
      </c>
      <c r="IA52">
        <v>0.30654653113439057</v>
      </c>
      <c r="IB52">
        <v>0.27975790242533938</v>
      </c>
      <c r="IC52">
        <v>0.30431999196460113</v>
      </c>
      <c r="ID52">
        <v>0.31142974098905785</v>
      </c>
      <c r="IE52">
        <v>0.332242920484695</v>
      </c>
      <c r="IF52">
        <v>0.37339038441945338</v>
      </c>
      <c r="IG52">
        <v>0.37926071472106965</v>
      </c>
      <c r="IH52">
        <v>0.42750625984621771</v>
      </c>
      <c r="II52">
        <v>0.43891804965023129</v>
      </c>
      <c r="IJ52">
        <v>0.46026434395308052</v>
      </c>
      <c r="IK52">
        <v>0.46749206511185221</v>
      </c>
      <c r="IL52">
        <v>0.42941139940280065</v>
      </c>
      <c r="IM52">
        <v>0.4296371305478569</v>
      </c>
      <c r="IN52">
        <v>0.44770646037519435</v>
      </c>
      <c r="IO52">
        <v>0.46962131823043279</v>
      </c>
      <c r="IP52">
        <v>0.467113189232294</v>
      </c>
      <c r="IQ52">
        <v>0.44512547631413618</v>
      </c>
      <c r="IS52" t="s">
        <v>192</v>
      </c>
      <c r="IT52" t="s">
        <v>228</v>
      </c>
      <c r="IU52" t="s">
        <v>229</v>
      </c>
      <c r="IV52">
        <v>0.69188207897948795</v>
      </c>
    </row>
    <row r="53" spans="2:256" x14ac:dyDescent="0.25">
      <c r="B53" t="s">
        <v>213</v>
      </c>
      <c r="C53" t="s">
        <v>31</v>
      </c>
      <c r="D53">
        <v>0.40875437842626505</v>
      </c>
      <c r="E53">
        <v>0.43913093701245576</v>
      </c>
      <c r="F53">
        <v>0.44617025339040317</v>
      </c>
      <c r="G53">
        <v>0.45315052635448788</v>
      </c>
      <c r="H53">
        <v>0.47333701737076289</v>
      </c>
      <c r="I53">
        <v>0.48052801078466867</v>
      </c>
      <c r="J53">
        <v>0.47021021223087139</v>
      </c>
      <c r="K53">
        <v>0.42788781263634534</v>
      </c>
      <c r="L53">
        <v>0.40640156566003854</v>
      </c>
      <c r="M53">
        <v>0.39722272086717619</v>
      </c>
      <c r="N53">
        <v>0.27643414732670951</v>
      </c>
      <c r="O53">
        <v>0.31517023689388807</v>
      </c>
      <c r="P53">
        <v>0.37875486440269973</v>
      </c>
      <c r="Q53">
        <v>0.40520091458162649</v>
      </c>
      <c r="R53">
        <v>0.39782342114225433</v>
      </c>
      <c r="S53">
        <v>0.39640601078939797</v>
      </c>
      <c r="T53">
        <v>0.38240678644342901</v>
      </c>
      <c r="U53">
        <v>0.35938959724300495</v>
      </c>
      <c r="V53">
        <v>0.29885878266737093</v>
      </c>
      <c r="W53">
        <v>0.2667963560606702</v>
      </c>
      <c r="X53">
        <v>0.3765011895586165</v>
      </c>
      <c r="Y53">
        <v>0.39762501103988679</v>
      </c>
      <c r="Z53">
        <v>0.48982436554757941</v>
      </c>
      <c r="AA53">
        <v>0.47802039511430794</v>
      </c>
      <c r="AB53">
        <v>0.49210482681650436</v>
      </c>
      <c r="AC53">
        <v>0.45079940485154857</v>
      </c>
      <c r="AD53">
        <v>0.44588263333351741</v>
      </c>
      <c r="AE53">
        <v>0.46500561407789326</v>
      </c>
      <c r="AF53">
        <v>0.43793909247845764</v>
      </c>
      <c r="AG53">
        <v>0.37356139735914767</v>
      </c>
      <c r="AH53">
        <v>0.31216586881422159</v>
      </c>
      <c r="AI53">
        <v>0.38980106571730111</v>
      </c>
      <c r="AJ53">
        <v>0.49868356484099846</v>
      </c>
      <c r="AK53">
        <v>0.53567653504719093</v>
      </c>
      <c r="AL53">
        <v>0.52976286225812785</v>
      </c>
      <c r="AM53">
        <v>0.49939832526627437</v>
      </c>
      <c r="AN53">
        <v>0.49971521908503641</v>
      </c>
      <c r="AO53">
        <v>0.46893372908315434</v>
      </c>
      <c r="AP53">
        <v>0.38310994869099152</v>
      </c>
      <c r="AQ53">
        <v>0.28241314193980965</v>
      </c>
      <c r="AR53">
        <v>0.36176032683356318</v>
      </c>
      <c r="AS53">
        <v>0.36560013505056532</v>
      </c>
      <c r="AT53">
        <v>0.37785708705199628</v>
      </c>
      <c r="AU53">
        <v>0.38330264335045366</v>
      </c>
      <c r="AV53">
        <v>0.36983674011180057</v>
      </c>
      <c r="AW53">
        <v>0.36166374017531228</v>
      </c>
      <c r="AX53">
        <v>0.36303503994095238</v>
      </c>
      <c r="AY53">
        <v>0.34815195619537898</v>
      </c>
      <c r="AZ53">
        <v>0.32623271518332031</v>
      </c>
      <c r="BA53">
        <v>0.33114512101805393</v>
      </c>
      <c r="BB53">
        <v>0.33584217012452211</v>
      </c>
      <c r="BC53">
        <v>0.32229020166722766</v>
      </c>
      <c r="BD53">
        <v>0.30580665706390381</v>
      </c>
      <c r="BE53">
        <v>0.32090149462012579</v>
      </c>
      <c r="BF53">
        <v>0.36438710811563263</v>
      </c>
      <c r="BG53">
        <v>0.37240759244689925</v>
      </c>
      <c r="BH53">
        <v>0.34025854470052591</v>
      </c>
      <c r="BI53">
        <v>0.32372556323531598</v>
      </c>
      <c r="BJ53">
        <v>0.32971973747954375</v>
      </c>
      <c r="BK53">
        <v>0.34093836998104121</v>
      </c>
      <c r="GI53" t="s">
        <v>213</v>
      </c>
      <c r="GJ53">
        <v>0.30189453050313902</v>
      </c>
      <c r="GK53">
        <v>0.30655710415762749</v>
      </c>
      <c r="GL53">
        <v>0.31267571950781387</v>
      </c>
      <c r="GM53">
        <v>0.31186059672290395</v>
      </c>
      <c r="GN53">
        <v>0.29919268967056234</v>
      </c>
      <c r="GO53">
        <v>0.30802347342789749</v>
      </c>
      <c r="GP53">
        <v>0.31370998080350665</v>
      </c>
      <c r="GQ53">
        <v>0.32042487730047403</v>
      </c>
      <c r="GR53">
        <v>0.33045945881792771</v>
      </c>
      <c r="GS53">
        <v>0.31326684930163973</v>
      </c>
      <c r="GT53">
        <v>0.33566053776109123</v>
      </c>
      <c r="GU53">
        <v>0.30344094291667084</v>
      </c>
      <c r="GV53">
        <v>0.26369468946702518</v>
      </c>
      <c r="GW53">
        <v>0.23596136231472181</v>
      </c>
      <c r="GX53">
        <v>0.22010430251033258</v>
      </c>
      <c r="GY53">
        <v>0.26755779019937259</v>
      </c>
      <c r="GZ53">
        <v>0.28195732916250899</v>
      </c>
      <c r="HA53">
        <v>0.28296866377914215</v>
      </c>
      <c r="HB53">
        <v>0.3339174924209668</v>
      </c>
      <c r="HC53">
        <v>0.35079355947972218</v>
      </c>
      <c r="HD53">
        <v>0.28866486842051448</v>
      </c>
      <c r="HE53">
        <v>0.26700769495387905</v>
      </c>
      <c r="HF53">
        <v>0.21234225091497788</v>
      </c>
      <c r="HG53">
        <v>0.21087309780388752</v>
      </c>
      <c r="HH53">
        <v>0.20064070944919934</v>
      </c>
      <c r="HI53">
        <v>0.22611741209613967</v>
      </c>
      <c r="HJ53">
        <v>0.23141924303132613</v>
      </c>
      <c r="HK53">
        <v>0.20656408222063841</v>
      </c>
      <c r="HL53">
        <v>0.23829501340467868</v>
      </c>
      <c r="HM53">
        <v>0.28364925059059759</v>
      </c>
      <c r="HN53">
        <v>0.18128492438729238</v>
      </c>
      <c r="HO53">
        <v>0.15960340651028401</v>
      </c>
      <c r="HP53">
        <v>0.11944975763968554</v>
      </c>
      <c r="HQ53">
        <v>0.14104974301749756</v>
      </c>
      <c r="HR53">
        <v>0.12854205749018299</v>
      </c>
      <c r="HS53">
        <v>0.15109740257311025</v>
      </c>
      <c r="HT53">
        <v>0.1578030771190109</v>
      </c>
      <c r="HU53">
        <v>0.13361735307313991</v>
      </c>
      <c r="HV53">
        <v>0.14949227844278001</v>
      </c>
      <c r="HW53">
        <v>0.19182980506557609</v>
      </c>
      <c r="HX53">
        <v>0.33788503438378636</v>
      </c>
      <c r="HY53">
        <v>0.33156120007813694</v>
      </c>
      <c r="HZ53">
        <v>0.30447002044619909</v>
      </c>
      <c r="IA53">
        <v>0.2776844317004119</v>
      </c>
      <c r="IB53">
        <v>0.26984031135486602</v>
      </c>
      <c r="IC53">
        <v>0.28672883841406738</v>
      </c>
      <c r="ID53">
        <v>0.28878588206737271</v>
      </c>
      <c r="IE53">
        <v>0.32202976137548661</v>
      </c>
      <c r="IF53">
        <v>0.36674879384701886</v>
      </c>
      <c r="IG53">
        <v>0.37431430670587645</v>
      </c>
      <c r="IH53">
        <v>0.41540984011990301</v>
      </c>
      <c r="II53">
        <v>0.40947648722157642</v>
      </c>
      <c r="IJ53">
        <v>0.43295328262598992</v>
      </c>
      <c r="IK53">
        <v>0.43468554810419441</v>
      </c>
      <c r="IL53">
        <v>0.38723686288539261</v>
      </c>
      <c r="IM53">
        <v>0.40487599593424139</v>
      </c>
      <c r="IN53">
        <v>0.42503044661715467</v>
      </c>
      <c r="IO53">
        <v>0.44481834440973173</v>
      </c>
      <c r="IP53">
        <v>0.45887253262293443</v>
      </c>
      <c r="IQ53">
        <v>0.44028573175722047</v>
      </c>
      <c r="IS53" t="s">
        <v>193</v>
      </c>
      <c r="IT53" t="s">
        <v>228</v>
      </c>
      <c r="IU53" t="s">
        <v>229</v>
      </c>
      <c r="IV53">
        <v>0.62020673540402915</v>
      </c>
    </row>
    <row r="54" spans="2:256" x14ac:dyDescent="0.25">
      <c r="B54" t="s">
        <v>214</v>
      </c>
      <c r="C54" t="s">
        <v>31</v>
      </c>
      <c r="D54">
        <v>0.39879304877653721</v>
      </c>
      <c r="E54">
        <v>0.40553626069991283</v>
      </c>
      <c r="F54">
        <v>0.40735850951424246</v>
      </c>
      <c r="G54">
        <v>0.42549753806789792</v>
      </c>
      <c r="H54">
        <v>0.42470267618653612</v>
      </c>
      <c r="I54">
        <v>0.42375690873074323</v>
      </c>
      <c r="J54">
        <v>0.4205593002326522</v>
      </c>
      <c r="K54">
        <v>0.38729978747561022</v>
      </c>
      <c r="L54">
        <v>0.37185525089813626</v>
      </c>
      <c r="M54">
        <v>0.38684814049379074</v>
      </c>
      <c r="N54">
        <v>0.2975356139568136</v>
      </c>
      <c r="O54">
        <v>0.31349473095396346</v>
      </c>
      <c r="P54">
        <v>0.35693217826193557</v>
      </c>
      <c r="Q54">
        <v>0.38847627892763864</v>
      </c>
      <c r="R54">
        <v>0.40167234966558285</v>
      </c>
      <c r="S54">
        <v>0.40667619391719606</v>
      </c>
      <c r="T54">
        <v>0.40281688823730882</v>
      </c>
      <c r="U54">
        <v>0.39352092925965027</v>
      </c>
      <c r="V54">
        <v>0.33943911442806635</v>
      </c>
      <c r="W54">
        <v>0.29252188583829997</v>
      </c>
      <c r="X54">
        <v>0.34114734168629529</v>
      </c>
      <c r="Y54">
        <v>0.37733331564964956</v>
      </c>
      <c r="Z54">
        <v>0.43982687263775921</v>
      </c>
      <c r="AA54">
        <v>0.44126329653579777</v>
      </c>
      <c r="AB54">
        <v>0.45911118864726197</v>
      </c>
      <c r="AC54">
        <v>0.43132874033517782</v>
      </c>
      <c r="AD54">
        <v>0.43155766903284282</v>
      </c>
      <c r="AE54">
        <v>0.43934856418918067</v>
      </c>
      <c r="AF54">
        <v>0.38448339786127578</v>
      </c>
      <c r="AG54">
        <v>0.32765902944485786</v>
      </c>
      <c r="AH54">
        <v>0.34229155632228769</v>
      </c>
      <c r="AI54">
        <v>0.3992743604174141</v>
      </c>
      <c r="AJ54">
        <v>0.50536527811729548</v>
      </c>
      <c r="AK54">
        <v>0.49950864632144132</v>
      </c>
      <c r="AL54">
        <v>0.47516384384414873</v>
      </c>
      <c r="AM54">
        <v>0.45210112407317776</v>
      </c>
      <c r="AN54">
        <v>0.45131319465421216</v>
      </c>
      <c r="AO54">
        <v>0.41514405225242168</v>
      </c>
      <c r="AP54">
        <v>0.33248722948368098</v>
      </c>
      <c r="AQ54">
        <v>0.30337294700787343</v>
      </c>
      <c r="AR54">
        <v>0.36682072840670937</v>
      </c>
      <c r="AS54">
        <v>0.37642173700298542</v>
      </c>
      <c r="AT54">
        <v>0.39127917261479012</v>
      </c>
      <c r="AU54">
        <v>0.41872077850627254</v>
      </c>
      <c r="AV54">
        <v>0.39461131179780373</v>
      </c>
      <c r="AW54">
        <v>0.38452611005869053</v>
      </c>
      <c r="AX54">
        <v>0.36286701919695535</v>
      </c>
      <c r="AY54">
        <v>0.3476043894992466</v>
      </c>
      <c r="AZ54">
        <v>0.33037745067176205</v>
      </c>
      <c r="BA54">
        <v>0.34661795577842219</v>
      </c>
      <c r="BB54">
        <v>0.32064386205579098</v>
      </c>
      <c r="BC54">
        <v>0.3045064944280253</v>
      </c>
      <c r="BD54">
        <v>0.28756681326029837</v>
      </c>
      <c r="BE54">
        <v>0.28732029018608607</v>
      </c>
      <c r="BF54">
        <v>0.31687023361268457</v>
      </c>
      <c r="BG54">
        <v>0.33243303612388925</v>
      </c>
      <c r="BH54">
        <v>0.32051976963790652</v>
      </c>
      <c r="BI54">
        <v>0.30101438690495286</v>
      </c>
      <c r="BJ54">
        <v>0.30394388666064748</v>
      </c>
      <c r="BK54">
        <v>0.31762517305828841</v>
      </c>
      <c r="GI54" t="s">
        <v>214</v>
      </c>
      <c r="GJ54">
        <v>0.30969798189456549</v>
      </c>
      <c r="GK54">
        <v>0.31722148229548719</v>
      </c>
      <c r="GL54">
        <v>0.33063705901599461</v>
      </c>
      <c r="GM54">
        <v>0.32426581152410722</v>
      </c>
      <c r="GN54">
        <v>0.3180186288506559</v>
      </c>
      <c r="GO54">
        <v>0.32965164854643569</v>
      </c>
      <c r="GP54">
        <v>0.32882395596936626</v>
      </c>
      <c r="GQ54">
        <v>0.352037574322494</v>
      </c>
      <c r="GR54">
        <v>0.36318393547281452</v>
      </c>
      <c r="GS54">
        <v>0.33239496392331103</v>
      </c>
      <c r="GT54">
        <v>0.36439083166695752</v>
      </c>
      <c r="GU54">
        <v>0.35508686493540798</v>
      </c>
      <c r="GV54">
        <v>0.3220065690854278</v>
      </c>
      <c r="GW54">
        <v>0.27572848041748577</v>
      </c>
      <c r="GX54">
        <v>0.23667105269625091</v>
      </c>
      <c r="GY54">
        <v>0.27910844558888975</v>
      </c>
      <c r="GZ54">
        <v>0.28791516656217681</v>
      </c>
      <c r="HA54">
        <v>0.29111136630628393</v>
      </c>
      <c r="HB54">
        <v>0.351461596564557</v>
      </c>
      <c r="HC54">
        <v>0.37194831264884459</v>
      </c>
      <c r="HD54">
        <v>0.26764631707529135</v>
      </c>
      <c r="HE54">
        <v>0.24812183020826331</v>
      </c>
      <c r="HF54">
        <v>0.19354569090716997</v>
      </c>
      <c r="HG54">
        <v>0.21207202627567659</v>
      </c>
      <c r="HH54">
        <v>0.2114533872799701</v>
      </c>
      <c r="HI54">
        <v>0.23767190522072928</v>
      </c>
      <c r="HJ54">
        <v>0.22677394321327701</v>
      </c>
      <c r="HK54">
        <v>0.21415586242050758</v>
      </c>
      <c r="HL54">
        <v>0.24192939493618262</v>
      </c>
      <c r="HM54">
        <v>0.28707617955777182</v>
      </c>
      <c r="HN54">
        <v>0.15796844784731776</v>
      </c>
      <c r="HO54">
        <v>0.15731675167727649</v>
      </c>
      <c r="HP54">
        <v>0.12890158126889351</v>
      </c>
      <c r="HQ54">
        <v>0.14944823607834148</v>
      </c>
      <c r="HR54">
        <v>0.13886924649708993</v>
      </c>
      <c r="HS54">
        <v>0.16728308699033401</v>
      </c>
      <c r="HT54">
        <v>0.18260361086763949</v>
      </c>
      <c r="HU54">
        <v>0.16065894274039039</v>
      </c>
      <c r="HV54">
        <v>0.17589212431237292</v>
      </c>
      <c r="HW54">
        <v>0.18680919145645708</v>
      </c>
      <c r="HX54">
        <v>0.32209276870663589</v>
      </c>
      <c r="HY54">
        <v>0.31619436291485709</v>
      </c>
      <c r="HZ54">
        <v>0.29946130748312566</v>
      </c>
      <c r="IA54">
        <v>0.27183998910977897</v>
      </c>
      <c r="IB54">
        <v>0.28201762583009993</v>
      </c>
      <c r="IC54">
        <v>0.30153832250816009</v>
      </c>
      <c r="ID54">
        <v>0.30179675544598872</v>
      </c>
      <c r="IE54">
        <v>0.33696609617593509</v>
      </c>
      <c r="IF54">
        <v>0.37302768732114533</v>
      </c>
      <c r="IG54">
        <v>0.36128867090204658</v>
      </c>
      <c r="IH54">
        <v>0.4260136251960569</v>
      </c>
      <c r="II54">
        <v>0.42735354547777044</v>
      </c>
      <c r="IJ54">
        <v>0.44072171785524505</v>
      </c>
      <c r="IK54">
        <v>0.44560472059360079</v>
      </c>
      <c r="IL54">
        <v>0.41956144822498009</v>
      </c>
      <c r="IM54">
        <v>0.42649325458356557</v>
      </c>
      <c r="IN54">
        <v>0.44454881547442787</v>
      </c>
      <c r="IO54">
        <v>0.47030130010707905</v>
      </c>
      <c r="IP54">
        <v>0.4712215580068877</v>
      </c>
      <c r="IQ54">
        <v>0.45753069498446264</v>
      </c>
      <c r="IS54" t="s">
        <v>194</v>
      </c>
      <c r="IT54" t="s">
        <v>228</v>
      </c>
      <c r="IU54" t="s">
        <v>229</v>
      </c>
      <c r="IV54">
        <v>0.70065094785448001</v>
      </c>
    </row>
    <row r="55" spans="2:256" x14ac:dyDescent="0.25">
      <c r="B55" t="s">
        <v>215</v>
      </c>
      <c r="C55" t="s">
        <v>31</v>
      </c>
      <c r="D55">
        <v>0.4794794897548208</v>
      </c>
      <c r="E55">
        <v>0.49766680243392586</v>
      </c>
      <c r="F55">
        <v>0.49937429866513561</v>
      </c>
      <c r="G55">
        <v>0.52212621910359935</v>
      </c>
      <c r="H55">
        <v>0.51927998139868281</v>
      </c>
      <c r="I55">
        <v>0.5104839198996235</v>
      </c>
      <c r="J55">
        <v>0.49606244434275948</v>
      </c>
      <c r="K55">
        <v>0.46155836846585363</v>
      </c>
      <c r="L55">
        <v>0.46738906813580877</v>
      </c>
      <c r="M55">
        <v>0.47483021132159847</v>
      </c>
      <c r="N55">
        <v>0.47106317505553114</v>
      </c>
      <c r="O55">
        <v>0.4794192232961908</v>
      </c>
      <c r="P55">
        <v>0.49179219039792038</v>
      </c>
      <c r="Q55">
        <v>0.46106856091469356</v>
      </c>
      <c r="R55">
        <v>0.4902355030517041</v>
      </c>
      <c r="S55">
        <v>0.46069896928009579</v>
      </c>
      <c r="T55">
        <v>0.43934588058991325</v>
      </c>
      <c r="U55">
        <v>0.43006791159076974</v>
      </c>
      <c r="V55">
        <v>0.46327623949941721</v>
      </c>
      <c r="W55">
        <v>0.47999468502582993</v>
      </c>
      <c r="X55">
        <v>0.48795823852081094</v>
      </c>
      <c r="Y55">
        <v>0.53176408666922259</v>
      </c>
      <c r="Z55">
        <v>0.55400918014530909</v>
      </c>
      <c r="AA55">
        <v>0.53115957582309525</v>
      </c>
      <c r="AB55">
        <v>0.45606310266879224</v>
      </c>
      <c r="AC55">
        <v>0.41266500476224194</v>
      </c>
      <c r="AD55">
        <v>0.36059938357457533</v>
      </c>
      <c r="AE55">
        <v>0.36609993282285436</v>
      </c>
      <c r="AF55">
        <v>0.38733539809274953</v>
      </c>
      <c r="AG55">
        <v>0.40651297331081687</v>
      </c>
      <c r="AH55">
        <v>0.45301218113201336</v>
      </c>
      <c r="AI55">
        <v>0.51628102033273715</v>
      </c>
      <c r="AJ55">
        <v>0.56686842674602311</v>
      </c>
      <c r="AK55">
        <v>0.51350713782481339</v>
      </c>
      <c r="AL55">
        <v>0.44533038546378484</v>
      </c>
      <c r="AM55">
        <v>0.38334320420715579</v>
      </c>
      <c r="AN55">
        <v>0.35985807589459523</v>
      </c>
      <c r="AO55">
        <v>0.35542293152562415</v>
      </c>
      <c r="AP55">
        <v>0.38553512882050361</v>
      </c>
      <c r="AQ55">
        <v>0.43003269510925152</v>
      </c>
      <c r="AR55">
        <v>0.48082431435054995</v>
      </c>
      <c r="AS55">
        <v>0.49727693182585864</v>
      </c>
      <c r="AT55">
        <v>0.52704108048596454</v>
      </c>
      <c r="AU55">
        <v>0.53578580345583138</v>
      </c>
      <c r="AV55">
        <v>0.5186760258490164</v>
      </c>
      <c r="AW55">
        <v>0.4767987630489291</v>
      </c>
      <c r="AX55">
        <v>0.49000689422578059</v>
      </c>
      <c r="AY55">
        <v>0.45665296822818274</v>
      </c>
      <c r="AZ55">
        <v>0.44628552121996456</v>
      </c>
      <c r="BA55">
        <v>0.45591136041006192</v>
      </c>
      <c r="BB55">
        <v>0.42715477255698359</v>
      </c>
      <c r="BC55">
        <v>0.43561504104317578</v>
      </c>
      <c r="BD55">
        <v>0.43607431525895751</v>
      </c>
      <c r="BE55">
        <v>0.46392330308732049</v>
      </c>
      <c r="BF55">
        <v>0.47782789343035814</v>
      </c>
      <c r="BG55">
        <v>0.4605219688770586</v>
      </c>
      <c r="BH55">
        <v>0.45792544634848631</v>
      </c>
      <c r="BI55">
        <v>0.43654842567062957</v>
      </c>
      <c r="BJ55">
        <v>0.42759608606566601</v>
      </c>
      <c r="BK55">
        <v>0.42032409049633429</v>
      </c>
      <c r="GI55" t="s">
        <v>215</v>
      </c>
      <c r="GJ55">
        <v>0.12895208256609919</v>
      </c>
      <c r="GK55">
        <v>0.1385453108445461</v>
      </c>
      <c r="GL55">
        <v>0.14107787127915425</v>
      </c>
      <c r="GM55">
        <v>0.14479554185475094</v>
      </c>
      <c r="GN55">
        <v>0.14320474406286682</v>
      </c>
      <c r="GO55">
        <v>0.16334222437601015</v>
      </c>
      <c r="GP55">
        <v>0.16102346697578479</v>
      </c>
      <c r="GQ55">
        <v>0.15573999796176591</v>
      </c>
      <c r="GR55">
        <v>0.14594897336683618</v>
      </c>
      <c r="GS55">
        <v>0.13115576714821406</v>
      </c>
      <c r="GT55">
        <v>0.12908732540566506</v>
      </c>
      <c r="GU55">
        <v>0.12512445069636646</v>
      </c>
      <c r="GV55">
        <v>0.11335860898914756</v>
      </c>
      <c r="GW55">
        <v>0.11948553222392033</v>
      </c>
      <c r="GX55">
        <v>0.13142535880905787</v>
      </c>
      <c r="GY55">
        <v>0.16917999374948625</v>
      </c>
      <c r="GZ55">
        <v>0.175621343019572</v>
      </c>
      <c r="HA55">
        <v>0.16010356675119336</v>
      </c>
      <c r="HB55">
        <v>0.15006824163791699</v>
      </c>
      <c r="HC55">
        <v>0.13447409673582958</v>
      </c>
      <c r="HD55">
        <v>4.0416752173981711E-2</v>
      </c>
      <c r="HE55">
        <v>4.5952133426831319E-2</v>
      </c>
      <c r="HF55">
        <v>5.3911928487963612E-2</v>
      </c>
      <c r="HG55">
        <v>7.7182693379523104E-2</v>
      </c>
      <c r="HH55">
        <v>6.0737849838298184E-2</v>
      </c>
      <c r="HI55">
        <v>7.9876826473264786E-2</v>
      </c>
      <c r="HJ55">
        <v>8.8602654767531833E-2</v>
      </c>
      <c r="HK55">
        <v>6.7619227829583198E-2</v>
      </c>
      <c r="HL55">
        <v>5.9593020259447925E-2</v>
      </c>
      <c r="HM55">
        <v>4.5485363622594692E-2</v>
      </c>
      <c r="HN55">
        <v>2.9854226934226187E-2</v>
      </c>
      <c r="HO55">
        <v>3.3028813177594242E-2</v>
      </c>
      <c r="HP55">
        <v>3.5889476719087814E-2</v>
      </c>
      <c r="HQ55">
        <v>6.4272532242996436E-2</v>
      </c>
      <c r="HR55">
        <v>5.8872809382212031E-2</v>
      </c>
      <c r="HS55">
        <v>7.4154698069656286E-2</v>
      </c>
      <c r="HT55">
        <v>8.0021827447617891E-2</v>
      </c>
      <c r="HU55">
        <v>7.1525431379791671E-2</v>
      </c>
      <c r="HV55">
        <v>5.3548540153986829E-2</v>
      </c>
      <c r="HW55">
        <v>3.7589564440775672E-2</v>
      </c>
      <c r="HX55">
        <v>8.7301741980167019E-2</v>
      </c>
      <c r="HY55">
        <v>8.1495837236259541E-2</v>
      </c>
      <c r="HZ55">
        <v>8.8995917233763377E-2</v>
      </c>
      <c r="IA55">
        <v>0.104143613082537</v>
      </c>
      <c r="IB55">
        <v>0.1102801282234975</v>
      </c>
      <c r="IC55">
        <v>0.14628228298234422</v>
      </c>
      <c r="ID55">
        <v>0.14962781280928503</v>
      </c>
      <c r="IE55">
        <v>0.13852041436620716</v>
      </c>
      <c r="IF55">
        <v>0.12992442785265304</v>
      </c>
      <c r="IG55">
        <v>0.11691986242799458</v>
      </c>
      <c r="IH55">
        <v>0.22880173563788389</v>
      </c>
      <c r="II55">
        <v>0.22788949244866225</v>
      </c>
      <c r="IJ55">
        <v>0.2183851310950275</v>
      </c>
      <c r="IK55">
        <v>0.20866418432558653</v>
      </c>
      <c r="IL55">
        <v>0.18745223697699348</v>
      </c>
      <c r="IM55">
        <v>0.2051831146807708</v>
      </c>
      <c r="IN55">
        <v>0.21997279546688786</v>
      </c>
      <c r="IO55">
        <v>0.23044420651062661</v>
      </c>
      <c r="IP55">
        <v>0.23552021087444625</v>
      </c>
      <c r="IQ55">
        <v>0.22358384745582441</v>
      </c>
      <c r="IS55" t="s">
        <v>195</v>
      </c>
      <c r="IT55" t="s">
        <v>228</v>
      </c>
      <c r="IU55" t="s">
        <v>229</v>
      </c>
      <c r="IV55">
        <v>0.70799902686638394</v>
      </c>
    </row>
    <row r="56" spans="2:256" x14ac:dyDescent="0.25">
      <c r="B56" t="s">
        <v>216</v>
      </c>
      <c r="C56" t="s">
        <v>31</v>
      </c>
      <c r="D56">
        <v>0.36945388268291479</v>
      </c>
      <c r="E56">
        <v>0.35795083380650727</v>
      </c>
      <c r="F56">
        <v>0.36828838411472303</v>
      </c>
      <c r="G56">
        <v>0.39538077799297772</v>
      </c>
      <c r="H56">
        <v>0.42232720830876908</v>
      </c>
      <c r="I56">
        <v>0.42608542593316895</v>
      </c>
      <c r="J56">
        <v>0.41963693502930999</v>
      </c>
      <c r="K56">
        <v>0.37969238175885073</v>
      </c>
      <c r="L56">
        <v>0.35847529657254901</v>
      </c>
      <c r="M56">
        <v>0.35766611972736545</v>
      </c>
      <c r="N56">
        <v>0.40573814019337956</v>
      </c>
      <c r="O56">
        <v>0.422435322126331</v>
      </c>
      <c r="P56">
        <v>0.45458145429193986</v>
      </c>
      <c r="Q56">
        <v>0.44865037367357852</v>
      </c>
      <c r="R56">
        <v>0.4729056118359774</v>
      </c>
      <c r="S56">
        <v>0.42932593835869337</v>
      </c>
      <c r="T56">
        <v>0.40162303707225866</v>
      </c>
      <c r="U56">
        <v>0.37560588905528963</v>
      </c>
      <c r="V56">
        <v>0.36188610174316038</v>
      </c>
      <c r="W56">
        <v>0.37852539767172594</v>
      </c>
      <c r="X56">
        <v>0.38280561521718048</v>
      </c>
      <c r="Y56">
        <v>0.44127537859344312</v>
      </c>
      <c r="Z56">
        <v>0.49939556154590448</v>
      </c>
      <c r="AA56">
        <v>0.49400179510438663</v>
      </c>
      <c r="AB56">
        <v>0.50934740116787813</v>
      </c>
      <c r="AC56">
        <v>0.48588293226677765</v>
      </c>
      <c r="AD56">
        <v>0.44069941511639998</v>
      </c>
      <c r="AE56">
        <v>0.40996413434767531</v>
      </c>
      <c r="AF56">
        <v>0.37518597885067223</v>
      </c>
      <c r="AG56">
        <v>0.35656000103032309</v>
      </c>
      <c r="AH56">
        <v>0.41863269319053276</v>
      </c>
      <c r="AI56">
        <v>0.435375706328061</v>
      </c>
      <c r="AJ56">
        <v>0.47247334622101511</v>
      </c>
      <c r="AK56">
        <v>0.4437159475357495</v>
      </c>
      <c r="AL56">
        <v>0.48497560853928084</v>
      </c>
      <c r="AM56">
        <v>0.4586252836382434</v>
      </c>
      <c r="AN56">
        <v>0.40509834157558955</v>
      </c>
      <c r="AO56">
        <v>0.36465229180275593</v>
      </c>
      <c r="AP56">
        <v>0.37206876750981488</v>
      </c>
      <c r="AQ56">
        <v>0.37753375673033157</v>
      </c>
      <c r="AR56">
        <v>0.3978035235008075</v>
      </c>
      <c r="AS56">
        <v>0.41223123879529522</v>
      </c>
      <c r="AT56">
        <v>0.43941240919899222</v>
      </c>
      <c r="AU56">
        <v>0.4432289814629029</v>
      </c>
      <c r="AV56">
        <v>0.46163340071152659</v>
      </c>
      <c r="AW56">
        <v>0.44128648868093739</v>
      </c>
      <c r="AX56">
        <v>0.44577584054521646</v>
      </c>
      <c r="AY56">
        <v>0.40567853354448169</v>
      </c>
      <c r="AZ56">
        <v>0.38334801823270681</v>
      </c>
      <c r="BA56">
        <v>0.38711147246607364</v>
      </c>
      <c r="BB56">
        <v>0.2919207204489509</v>
      </c>
      <c r="BC56">
        <v>0.29730837031041751</v>
      </c>
      <c r="BD56">
        <v>0.29572312733813233</v>
      </c>
      <c r="BE56">
        <v>0.32093163299850558</v>
      </c>
      <c r="BF56">
        <v>0.34580278302375361</v>
      </c>
      <c r="BG56">
        <v>0.34633183659539657</v>
      </c>
      <c r="BH56">
        <v>0.31034088452462083</v>
      </c>
      <c r="BI56">
        <v>0.29688788368901475</v>
      </c>
      <c r="BJ56">
        <v>0.29377923529617372</v>
      </c>
      <c r="BK56">
        <v>0.29748055940278006</v>
      </c>
      <c r="GI56" t="s">
        <v>216</v>
      </c>
      <c r="GJ56">
        <v>0.34570037914048229</v>
      </c>
      <c r="GK56">
        <v>0.3398950126030264</v>
      </c>
      <c r="GL56">
        <v>0.33995269362321667</v>
      </c>
      <c r="GM56">
        <v>0.33196110349814267</v>
      </c>
      <c r="GN56">
        <v>0.3263092800886101</v>
      </c>
      <c r="GO56">
        <v>0.34671318157794906</v>
      </c>
      <c r="GP56">
        <v>0.36112494541930212</v>
      </c>
      <c r="GQ56">
        <v>0.3832416911112384</v>
      </c>
      <c r="GR56">
        <v>0.38484708710265725</v>
      </c>
      <c r="GS56">
        <v>0.36886682793568298</v>
      </c>
      <c r="GT56">
        <v>0.33870200828005947</v>
      </c>
      <c r="GU56">
        <v>0.33359404034322399</v>
      </c>
      <c r="GV56">
        <v>0.30968586695328032</v>
      </c>
      <c r="GW56">
        <v>0.31700136198445839</v>
      </c>
      <c r="GX56">
        <v>0.29766326368393281</v>
      </c>
      <c r="GY56">
        <v>0.32734880773605218</v>
      </c>
      <c r="GZ56">
        <v>0.32441542137757345</v>
      </c>
      <c r="HA56">
        <v>0.33320889037702389</v>
      </c>
      <c r="HB56">
        <v>0.35563705211089303</v>
      </c>
      <c r="HC56">
        <v>0.34315937895437215</v>
      </c>
      <c r="HD56">
        <v>0.14051105292275851</v>
      </c>
      <c r="HE56">
        <v>0.14303890209965753</v>
      </c>
      <c r="HF56">
        <v>0.144597012779488</v>
      </c>
      <c r="HG56">
        <v>0.15017615480026034</v>
      </c>
      <c r="HH56">
        <v>0.10756396146375248</v>
      </c>
      <c r="HI56">
        <v>0.13370185979836036</v>
      </c>
      <c r="HJ56">
        <v>0.15227775338615723</v>
      </c>
      <c r="HK56">
        <v>0.15023261027243234</v>
      </c>
      <c r="HL56">
        <v>0.16584452678959596</v>
      </c>
      <c r="HM56">
        <v>0.15534171831989974</v>
      </c>
      <c r="HN56">
        <v>0.13422122418805599</v>
      </c>
      <c r="HO56">
        <v>0.13169868260978607</v>
      </c>
      <c r="HP56">
        <v>0.11323525452088413</v>
      </c>
      <c r="HQ56">
        <v>0.13587683861450775</v>
      </c>
      <c r="HR56">
        <v>0.12719399287055191</v>
      </c>
      <c r="HS56">
        <v>0.15585381815030516</v>
      </c>
      <c r="HT56">
        <v>0.15287237768376627</v>
      </c>
      <c r="HU56">
        <v>0.1311421829186688</v>
      </c>
      <c r="HV56">
        <v>0.14877679477711489</v>
      </c>
      <c r="HW56">
        <v>0.13900094472562299</v>
      </c>
      <c r="HX56">
        <v>0.30998118703535738</v>
      </c>
      <c r="HY56">
        <v>0.2932961431792126</v>
      </c>
      <c r="HZ56">
        <v>0.28793944550676065</v>
      </c>
      <c r="IA56">
        <v>0.29286444141549811</v>
      </c>
      <c r="IB56">
        <v>0.27002325213500722</v>
      </c>
      <c r="IC56">
        <v>0.29463296227794311</v>
      </c>
      <c r="ID56">
        <v>0.29805303278274065</v>
      </c>
      <c r="IE56">
        <v>0.30541273141372977</v>
      </c>
      <c r="IF56">
        <v>0.3290330746263917</v>
      </c>
      <c r="IG56">
        <v>0.33333781494497311</v>
      </c>
      <c r="IH56">
        <v>0.52991209457830568</v>
      </c>
      <c r="II56">
        <v>0.53861918446930646</v>
      </c>
      <c r="IJ56">
        <v>0.53380069230184002</v>
      </c>
      <c r="IK56">
        <v>0.52339668089366487</v>
      </c>
      <c r="IL56">
        <v>0.4914292147020799</v>
      </c>
      <c r="IM56">
        <v>0.48788739534841735</v>
      </c>
      <c r="IN56">
        <v>0.50608479397132922</v>
      </c>
      <c r="IO56">
        <v>0.53330133241730904</v>
      </c>
      <c r="IP56">
        <v>0.53785984945160636</v>
      </c>
      <c r="IQ56">
        <v>0.53316286708368488</v>
      </c>
      <c r="IS56" t="s">
        <v>196</v>
      </c>
      <c r="IT56" t="s">
        <v>228</v>
      </c>
      <c r="IU56" t="s">
        <v>229</v>
      </c>
      <c r="IV56">
        <v>0.68744536677168466</v>
      </c>
    </row>
    <row r="57" spans="2:256" x14ac:dyDescent="0.25">
      <c r="B57" t="s">
        <v>217</v>
      </c>
      <c r="C57" t="s">
        <v>31</v>
      </c>
      <c r="D57">
        <v>0.37027377608482342</v>
      </c>
      <c r="E57">
        <v>0.40023182196236479</v>
      </c>
      <c r="F57">
        <v>0.3909031096059673</v>
      </c>
      <c r="G57">
        <v>0.4193400329163024</v>
      </c>
      <c r="H57">
        <v>0.43789813542101214</v>
      </c>
      <c r="I57">
        <v>0.42800820903423747</v>
      </c>
      <c r="J57">
        <v>0.41342595952533767</v>
      </c>
      <c r="K57">
        <v>0.36827588711316367</v>
      </c>
      <c r="L57">
        <v>0.35362303774835419</v>
      </c>
      <c r="M57">
        <v>0.35102677798784537</v>
      </c>
      <c r="N57">
        <v>0.44062656678008577</v>
      </c>
      <c r="O57">
        <v>0.44728885472264934</v>
      </c>
      <c r="P57">
        <v>0.47372089651236948</v>
      </c>
      <c r="Q57">
        <v>0.46033187281013938</v>
      </c>
      <c r="R57">
        <v>0.46687017105185624</v>
      </c>
      <c r="S57">
        <v>0.44316776363114174</v>
      </c>
      <c r="T57">
        <v>0.40088853228872562</v>
      </c>
      <c r="U57">
        <v>0.35025252449157368</v>
      </c>
      <c r="V57">
        <v>0.34123616280868058</v>
      </c>
      <c r="W57">
        <v>0.38503927683017825</v>
      </c>
      <c r="X57">
        <v>0.40036495301374181</v>
      </c>
      <c r="Y57">
        <v>0.44152565578299557</v>
      </c>
      <c r="Z57">
        <v>0.4972447494056903</v>
      </c>
      <c r="AA57">
        <v>0.49204136799358822</v>
      </c>
      <c r="AB57">
        <v>0.46205955095205964</v>
      </c>
      <c r="AC57">
        <v>0.4217173290041108</v>
      </c>
      <c r="AD57">
        <v>0.3908533313033028</v>
      </c>
      <c r="AE57">
        <v>0.36760327065207127</v>
      </c>
      <c r="AF57">
        <v>0.34667693684479911</v>
      </c>
      <c r="AG57">
        <v>0.34101160048784729</v>
      </c>
      <c r="AH57">
        <v>0.39021936521855843</v>
      </c>
      <c r="AI57">
        <v>0.42488497254939733</v>
      </c>
      <c r="AJ57">
        <v>0.51747950373592866</v>
      </c>
      <c r="AK57">
        <v>0.46018877010525122</v>
      </c>
      <c r="AL57">
        <v>0.48110985594882527</v>
      </c>
      <c r="AM57">
        <v>0.44696097880990282</v>
      </c>
      <c r="AN57">
        <v>0.43322808722421041</v>
      </c>
      <c r="AO57">
        <v>0.38712622374908978</v>
      </c>
      <c r="AP57">
        <v>0.35032307011401898</v>
      </c>
      <c r="AQ57">
        <v>0.36454534241913139</v>
      </c>
      <c r="AR57">
        <v>0.38805230333257507</v>
      </c>
      <c r="AS57">
        <v>0.38992205617306042</v>
      </c>
      <c r="AT57">
        <v>0.43111577381374672</v>
      </c>
      <c r="AU57">
        <v>0.4535702332497481</v>
      </c>
      <c r="AV57">
        <v>0.46206278863945416</v>
      </c>
      <c r="AW57">
        <v>0.47727483960380063</v>
      </c>
      <c r="AX57">
        <v>0.45931057939644065</v>
      </c>
      <c r="AY57">
        <v>0.4145175719951088</v>
      </c>
      <c r="AZ57">
        <v>0.3851171256685525</v>
      </c>
      <c r="BA57">
        <v>0.37069158988012313</v>
      </c>
      <c r="BB57">
        <v>0.34514978245182337</v>
      </c>
      <c r="BC57">
        <v>0.35485847695196687</v>
      </c>
      <c r="BD57">
        <v>0.35806575190088014</v>
      </c>
      <c r="BE57">
        <v>0.38107024816693974</v>
      </c>
      <c r="BF57">
        <v>0.40222101100815394</v>
      </c>
      <c r="BG57">
        <v>0.38729072535925346</v>
      </c>
      <c r="BH57">
        <v>0.3726467750089954</v>
      </c>
      <c r="BI57">
        <v>0.3495994298252818</v>
      </c>
      <c r="BJ57">
        <v>0.33065261932381906</v>
      </c>
      <c r="BK57">
        <v>0.33886524815413599</v>
      </c>
      <c r="GI57" t="s">
        <v>217</v>
      </c>
      <c r="GJ57">
        <v>0.23699367496997911</v>
      </c>
      <c r="GK57">
        <v>0.24478507316639941</v>
      </c>
      <c r="GL57">
        <v>0.24855504712025789</v>
      </c>
      <c r="GM57">
        <v>0.24067415552306631</v>
      </c>
      <c r="GN57">
        <v>0.22711390119467975</v>
      </c>
      <c r="GO57">
        <v>0.24449676880810708</v>
      </c>
      <c r="GP57">
        <v>0.25467051508340321</v>
      </c>
      <c r="GQ57">
        <v>0.27622702393943976</v>
      </c>
      <c r="GR57">
        <v>0.27043774959690137</v>
      </c>
      <c r="GS57">
        <v>0.24898734928403246</v>
      </c>
      <c r="GT57">
        <v>0.2630409388895813</v>
      </c>
      <c r="GU57">
        <v>0.25868502423092443</v>
      </c>
      <c r="GV57">
        <v>0.23969737571883909</v>
      </c>
      <c r="GW57">
        <v>0.24213179687431982</v>
      </c>
      <c r="GX57">
        <v>0.22884080989677405</v>
      </c>
      <c r="GY57">
        <v>0.25742550520417296</v>
      </c>
      <c r="GZ57">
        <v>0.25471965989059486</v>
      </c>
      <c r="HA57">
        <v>0.27099015164752277</v>
      </c>
      <c r="HB57">
        <v>0.29417021683691541</v>
      </c>
      <c r="HC57">
        <v>0.27665841770284805</v>
      </c>
      <c r="HD57">
        <v>0.12451713328624631</v>
      </c>
      <c r="HE57">
        <v>0.13746528592488105</v>
      </c>
      <c r="HF57">
        <v>0.13433436148192165</v>
      </c>
      <c r="HG57">
        <v>0.14487201925122961</v>
      </c>
      <c r="HH57">
        <v>0.10346373564805691</v>
      </c>
      <c r="HI57">
        <v>0.12199362854496346</v>
      </c>
      <c r="HJ57">
        <v>0.13471018245985039</v>
      </c>
      <c r="HK57">
        <v>0.12185793763905257</v>
      </c>
      <c r="HL57">
        <v>0.13253492777354431</v>
      </c>
      <c r="HM57">
        <v>0.12336955120653903</v>
      </c>
      <c r="HN57">
        <v>0.11151797008578505</v>
      </c>
      <c r="HO57">
        <v>0.10259598464414628</v>
      </c>
      <c r="HP57">
        <v>9.4436598520141524E-2</v>
      </c>
      <c r="HQ57">
        <v>0.11311952548452607</v>
      </c>
      <c r="HR57">
        <v>9.9491289537986055E-2</v>
      </c>
      <c r="HS57">
        <v>0.12247545211915038</v>
      </c>
      <c r="HT57">
        <v>0.14123948771726499</v>
      </c>
      <c r="HU57">
        <v>0.12840772351075788</v>
      </c>
      <c r="HV57">
        <v>0.12689433451985702</v>
      </c>
      <c r="HW57">
        <v>0.12220255643474388</v>
      </c>
      <c r="HX57">
        <v>0.20795603643706878</v>
      </c>
      <c r="HY57">
        <v>0.18997308615254369</v>
      </c>
      <c r="HZ57">
        <v>0.19900552489003687</v>
      </c>
      <c r="IA57">
        <v>0.20237074855077575</v>
      </c>
      <c r="IB57">
        <v>0.19434954690489809</v>
      </c>
      <c r="IC57">
        <v>0.2239243680708296</v>
      </c>
      <c r="ID57">
        <v>0.23552806864232823</v>
      </c>
      <c r="IE57">
        <v>0.26756618552387096</v>
      </c>
      <c r="IF57">
        <v>0.2760254340353106</v>
      </c>
      <c r="IG57">
        <v>0.25603268482681757</v>
      </c>
      <c r="IH57">
        <v>0.37613515300525413</v>
      </c>
      <c r="II57">
        <v>0.380605307800151</v>
      </c>
      <c r="IJ57">
        <v>0.36894239622090291</v>
      </c>
      <c r="IK57">
        <v>0.34972019230093243</v>
      </c>
      <c r="IL57">
        <v>0.32309993793311098</v>
      </c>
      <c r="IM57">
        <v>0.34074682478339241</v>
      </c>
      <c r="IN57">
        <v>0.36242542622697943</v>
      </c>
      <c r="IO57">
        <v>0.37761777137958402</v>
      </c>
      <c r="IP57">
        <v>0.38468670253349246</v>
      </c>
      <c r="IQ57">
        <v>0.38059035150632969</v>
      </c>
      <c r="IS57" t="s">
        <v>197</v>
      </c>
      <c r="IT57" t="s">
        <v>228</v>
      </c>
      <c r="IU57" t="s">
        <v>229</v>
      </c>
      <c r="IV57">
        <v>0.56828454710066145</v>
      </c>
    </row>
    <row r="58" spans="2:256" x14ac:dyDescent="0.25">
      <c r="B58" t="s">
        <v>218</v>
      </c>
      <c r="C58" t="s">
        <v>31</v>
      </c>
      <c r="D58">
        <v>0.39135523589350202</v>
      </c>
      <c r="E58">
        <v>0.398738174652632</v>
      </c>
      <c r="F58">
        <v>0.43424899160829389</v>
      </c>
      <c r="G58">
        <v>0.45675486714801095</v>
      </c>
      <c r="H58">
        <v>0.4526338245213723</v>
      </c>
      <c r="I58">
        <v>0.4572140682715487</v>
      </c>
      <c r="J58">
        <v>0.45499596533472042</v>
      </c>
      <c r="K58">
        <v>0.42492974651194354</v>
      </c>
      <c r="L58">
        <v>0.39950006837940194</v>
      </c>
      <c r="M58">
        <v>0.38769282879497402</v>
      </c>
      <c r="N58">
        <v>0.36604011452821456</v>
      </c>
      <c r="O58">
        <v>0.40881985710882068</v>
      </c>
      <c r="P58">
        <v>0.43718494312880546</v>
      </c>
      <c r="Q58">
        <v>0.44568374651017789</v>
      </c>
      <c r="R58">
        <v>0.44103454472910786</v>
      </c>
      <c r="S58">
        <v>0.42687580325474278</v>
      </c>
      <c r="T58">
        <v>0.40776179041463473</v>
      </c>
      <c r="U58">
        <v>0.38674808798846777</v>
      </c>
      <c r="V58">
        <v>0.3594244318845608</v>
      </c>
      <c r="W58">
        <v>0.35372806998179968</v>
      </c>
      <c r="X58">
        <v>0.39170408587749955</v>
      </c>
      <c r="Y58">
        <v>0.40700237248186877</v>
      </c>
      <c r="Z58">
        <v>0.45135514493655127</v>
      </c>
      <c r="AA58">
        <v>0.44019090582217935</v>
      </c>
      <c r="AB58">
        <v>0.43179194141748939</v>
      </c>
      <c r="AC58">
        <v>0.41785217323159668</v>
      </c>
      <c r="AD58">
        <v>0.39727694901619243</v>
      </c>
      <c r="AE58">
        <v>0.39300519756341507</v>
      </c>
      <c r="AF58">
        <v>0.39669004689559823</v>
      </c>
      <c r="AG58">
        <v>0.3836001153486055</v>
      </c>
      <c r="AH58">
        <v>0.40648532458939773</v>
      </c>
      <c r="AI58">
        <v>0.42668258676190052</v>
      </c>
      <c r="AJ58">
        <v>0.46994988612722122</v>
      </c>
      <c r="AK58">
        <v>0.46038658665457233</v>
      </c>
      <c r="AL58">
        <v>0.47980624962821861</v>
      </c>
      <c r="AM58">
        <v>0.43818915346293869</v>
      </c>
      <c r="AN58">
        <v>0.39837873055231582</v>
      </c>
      <c r="AO58">
        <v>0.36418827115952318</v>
      </c>
      <c r="AP58">
        <v>0.33100772391433142</v>
      </c>
      <c r="AQ58">
        <v>0.35074617592029833</v>
      </c>
      <c r="AR58">
        <v>0.42687895389293129</v>
      </c>
      <c r="AS58">
        <v>0.43084504021823433</v>
      </c>
      <c r="AT58">
        <v>0.43073784062948356</v>
      </c>
      <c r="AU58">
        <v>0.41539352824243975</v>
      </c>
      <c r="AV58">
        <v>0.3978859327347567</v>
      </c>
      <c r="AW58">
        <v>0.35838307660576763</v>
      </c>
      <c r="AX58">
        <v>0.36163616021358574</v>
      </c>
      <c r="AY58">
        <v>0.37000228520398204</v>
      </c>
      <c r="AZ58">
        <v>0.37486575726523824</v>
      </c>
      <c r="BA58">
        <v>0.38466358935126321</v>
      </c>
      <c r="BB58">
        <v>0.3540381235559093</v>
      </c>
      <c r="BC58">
        <v>0.34457473468182198</v>
      </c>
      <c r="BD58">
        <v>0.34724280171978894</v>
      </c>
      <c r="BE58">
        <v>0.35473301652750105</v>
      </c>
      <c r="BF58">
        <v>0.37447955961157947</v>
      </c>
      <c r="BG58">
        <v>0.37062353071776383</v>
      </c>
      <c r="BH58">
        <v>0.37299047858436607</v>
      </c>
      <c r="BI58">
        <v>0.34775970861381389</v>
      </c>
      <c r="BJ58">
        <v>0.33692016108103895</v>
      </c>
      <c r="BK58">
        <v>0.34500013767247562</v>
      </c>
      <c r="GI58" t="s">
        <v>218</v>
      </c>
      <c r="GJ58">
        <v>0.25308232033656564</v>
      </c>
      <c r="GK58">
        <v>0.26277017305723427</v>
      </c>
      <c r="GL58">
        <v>0.25954490817041165</v>
      </c>
      <c r="GM58">
        <v>0.26329667073257401</v>
      </c>
      <c r="GN58">
        <v>0.25434918443633403</v>
      </c>
      <c r="GO58">
        <v>0.27110849148810334</v>
      </c>
      <c r="GP58">
        <v>0.27945300128930861</v>
      </c>
      <c r="GQ58">
        <v>0.28379715170454317</v>
      </c>
      <c r="GR58">
        <v>0.28511302756378554</v>
      </c>
      <c r="GS58">
        <v>0.26602868257569828</v>
      </c>
      <c r="GT58">
        <v>0.23554024231901521</v>
      </c>
      <c r="GU58">
        <v>0.23603841370129983</v>
      </c>
      <c r="GV58">
        <v>0.22833105194600495</v>
      </c>
      <c r="GW58">
        <v>0.24628279941856773</v>
      </c>
      <c r="GX58">
        <v>0.24286028045375613</v>
      </c>
      <c r="GY58">
        <v>0.27731505163179021</v>
      </c>
      <c r="GZ58">
        <v>0.28491397492412474</v>
      </c>
      <c r="HA58">
        <v>0.28105969324534447</v>
      </c>
      <c r="HB58">
        <v>0.29308216043318958</v>
      </c>
      <c r="HC58">
        <v>0.2657642287765633</v>
      </c>
      <c r="HD58">
        <v>0.18750415366173637</v>
      </c>
      <c r="HE58">
        <v>0.19271683222836758</v>
      </c>
      <c r="HF58">
        <v>0.19409883073914186</v>
      </c>
      <c r="HG58">
        <v>0.21225439117223577</v>
      </c>
      <c r="HH58">
        <v>0.1749095801706409</v>
      </c>
      <c r="HI58">
        <v>0.19989912696814116</v>
      </c>
      <c r="HJ58">
        <v>0.19955188609804766</v>
      </c>
      <c r="HK58">
        <v>0.17657705118059266</v>
      </c>
      <c r="HL58">
        <v>0.17861581306435689</v>
      </c>
      <c r="HM58">
        <v>0.18228865661252441</v>
      </c>
      <c r="HN58">
        <v>0.11448220358073394</v>
      </c>
      <c r="HO58">
        <v>0.10400684174285038</v>
      </c>
      <c r="HP58">
        <v>8.8802723260760427E-2</v>
      </c>
      <c r="HQ58">
        <v>0.11283982706242607</v>
      </c>
      <c r="HR58">
        <v>0.10044224826601042</v>
      </c>
      <c r="HS58">
        <v>0.11824777450204765</v>
      </c>
      <c r="HT58">
        <v>0.11807713244674722</v>
      </c>
      <c r="HU58">
        <v>0.10860785150440716</v>
      </c>
      <c r="HV58">
        <v>0.11064973990254885</v>
      </c>
      <c r="HW58">
        <v>0.12042425193154033</v>
      </c>
      <c r="HX58">
        <v>0.21179346287861039</v>
      </c>
      <c r="HY58">
        <v>0.21955505278842985</v>
      </c>
      <c r="HZ58">
        <v>0.23059939643163349</v>
      </c>
      <c r="IA58">
        <v>0.25840698052006827</v>
      </c>
      <c r="IB58">
        <v>0.24427925723492133</v>
      </c>
      <c r="IC58">
        <v>0.2580078897013951</v>
      </c>
      <c r="ID58">
        <v>0.25186284509971785</v>
      </c>
      <c r="IE58">
        <v>0.25610944902338112</v>
      </c>
      <c r="IF58">
        <v>0.26751304435196127</v>
      </c>
      <c r="IG58">
        <v>0.25210473344319562</v>
      </c>
      <c r="IH58">
        <v>0.36123363114188445</v>
      </c>
      <c r="II58">
        <v>0.34997307567825708</v>
      </c>
      <c r="IJ58">
        <v>0.36383912483656322</v>
      </c>
      <c r="IK58">
        <v>0.37913233527548945</v>
      </c>
      <c r="IL58">
        <v>0.35173247659346918</v>
      </c>
      <c r="IM58">
        <v>0.36487391247257006</v>
      </c>
      <c r="IN58">
        <v>0.3776728859346451</v>
      </c>
      <c r="IO58">
        <v>0.39136718400410769</v>
      </c>
      <c r="IP58">
        <v>0.39339374274896222</v>
      </c>
      <c r="IQ58">
        <v>0.38104547128431299</v>
      </c>
      <c r="IS58" t="s">
        <v>198</v>
      </c>
      <c r="IT58" t="s">
        <v>228</v>
      </c>
      <c r="IU58" t="s">
        <v>229</v>
      </c>
      <c r="IV58">
        <v>0.68045189912991888</v>
      </c>
    </row>
    <row r="59" spans="2:256" x14ac:dyDescent="0.25">
      <c r="B59" t="s">
        <v>219</v>
      </c>
      <c r="C59" t="s">
        <v>31</v>
      </c>
      <c r="D59">
        <v>0.38843778835974285</v>
      </c>
      <c r="E59">
        <v>0.41617205487000891</v>
      </c>
      <c r="F59">
        <v>0.42335914821748483</v>
      </c>
      <c r="G59">
        <v>0.44251378422331072</v>
      </c>
      <c r="H59">
        <v>0.45479354804156896</v>
      </c>
      <c r="I59">
        <v>0.44635224428766845</v>
      </c>
      <c r="J59">
        <v>0.41360731246890553</v>
      </c>
      <c r="K59">
        <v>0.38967265740371648</v>
      </c>
      <c r="L59">
        <v>0.37970637309524941</v>
      </c>
      <c r="M59">
        <v>0.37236521845778536</v>
      </c>
      <c r="N59">
        <v>0.33508290887503434</v>
      </c>
      <c r="O59">
        <v>0.3511995024647766</v>
      </c>
      <c r="P59">
        <v>0.41232205055063237</v>
      </c>
      <c r="Q59">
        <v>0.44390144173887236</v>
      </c>
      <c r="R59">
        <v>0.4467862135777691</v>
      </c>
      <c r="S59">
        <v>0.39762347941040432</v>
      </c>
      <c r="T59">
        <v>0.36134549210967826</v>
      </c>
      <c r="U59">
        <v>0.33633987454122544</v>
      </c>
      <c r="V59">
        <v>0.31717107047551385</v>
      </c>
      <c r="W59">
        <v>0.33235134196971372</v>
      </c>
      <c r="X59">
        <v>0.35532704878680088</v>
      </c>
      <c r="Y59">
        <v>0.38614042534653975</v>
      </c>
      <c r="Z59">
        <v>0.44687823679862126</v>
      </c>
      <c r="AA59">
        <v>0.43569720995941968</v>
      </c>
      <c r="AB59">
        <v>0.45654796666628406</v>
      </c>
      <c r="AC59">
        <v>0.42421749325547953</v>
      </c>
      <c r="AD59">
        <v>0.41049997629235663</v>
      </c>
      <c r="AE59">
        <v>0.41455904101752289</v>
      </c>
      <c r="AF59">
        <v>0.39075926777284609</v>
      </c>
      <c r="AG59">
        <v>0.36597234019512015</v>
      </c>
      <c r="AH59">
        <v>0.33049394941750143</v>
      </c>
      <c r="AI59">
        <v>0.40991176230880527</v>
      </c>
      <c r="AJ59">
        <v>0.55567925960446729</v>
      </c>
      <c r="AK59">
        <v>0.52113045211779108</v>
      </c>
      <c r="AL59">
        <v>0.52740378321460202</v>
      </c>
      <c r="AM59">
        <v>0.48617291599847706</v>
      </c>
      <c r="AN59">
        <v>0.45886702566337861</v>
      </c>
      <c r="AO59">
        <v>0.43732162939581959</v>
      </c>
      <c r="AP59">
        <v>0.37786952788903755</v>
      </c>
      <c r="AQ59">
        <v>0.32523278852093312</v>
      </c>
      <c r="AR59">
        <v>0.36471803274582759</v>
      </c>
      <c r="AS59">
        <v>0.39030278363505366</v>
      </c>
      <c r="AT59">
        <v>0.43223682299638638</v>
      </c>
      <c r="AU59">
        <v>0.46821088819943762</v>
      </c>
      <c r="AV59">
        <v>0.46587726537921659</v>
      </c>
      <c r="AW59">
        <v>0.44757888400887491</v>
      </c>
      <c r="AX59">
        <v>0.41780078346221222</v>
      </c>
      <c r="AY59">
        <v>0.35442085109099414</v>
      </c>
      <c r="AZ59">
        <v>0.32068086665127982</v>
      </c>
      <c r="BA59">
        <v>0.33406423990695083</v>
      </c>
      <c r="BB59">
        <v>0.33638436182415105</v>
      </c>
      <c r="BC59">
        <v>0.32907079555916263</v>
      </c>
      <c r="BD59">
        <v>0.32717264395790618</v>
      </c>
      <c r="BE59">
        <v>0.36025859958003387</v>
      </c>
      <c r="BF59">
        <v>0.39955267222707852</v>
      </c>
      <c r="BG59">
        <v>0.38108175911186065</v>
      </c>
      <c r="BH59">
        <v>0.32702159765664279</v>
      </c>
      <c r="BI59">
        <v>0.30417334042099864</v>
      </c>
      <c r="BJ59">
        <v>0.32460179633287911</v>
      </c>
      <c r="BK59">
        <v>0.33965924328687824</v>
      </c>
      <c r="GI59" t="s">
        <v>219</v>
      </c>
      <c r="GJ59">
        <v>0.28966212887586335</v>
      </c>
      <c r="GK59">
        <v>0.31381473889767536</v>
      </c>
      <c r="GL59">
        <v>0.31571027975229371</v>
      </c>
      <c r="GM59">
        <v>0.31286501981601933</v>
      </c>
      <c r="GN59">
        <v>0.29692538899318238</v>
      </c>
      <c r="GO59">
        <v>0.31108427289678114</v>
      </c>
      <c r="GP59">
        <v>0.32723351386687149</v>
      </c>
      <c r="GQ59">
        <v>0.34003327518762422</v>
      </c>
      <c r="GR59">
        <v>0.33066464560477471</v>
      </c>
      <c r="GS59">
        <v>0.30653220651933644</v>
      </c>
      <c r="GT59">
        <v>0.2930947401805622</v>
      </c>
      <c r="GU59">
        <v>0.27964103922266076</v>
      </c>
      <c r="GV59">
        <v>0.23818124965262982</v>
      </c>
      <c r="GW59">
        <v>0.22676252996129931</v>
      </c>
      <c r="GX59">
        <v>0.21737550354545201</v>
      </c>
      <c r="GY59">
        <v>0.24985297697326714</v>
      </c>
      <c r="GZ59">
        <v>0.27457046526379064</v>
      </c>
      <c r="HA59">
        <v>0.28631605332955917</v>
      </c>
      <c r="HB59">
        <v>0.3180505809253597</v>
      </c>
      <c r="HC59">
        <v>0.3113129475752684</v>
      </c>
      <c r="HD59">
        <v>0.16831107062795744</v>
      </c>
      <c r="HE59">
        <v>0.15311314745568491</v>
      </c>
      <c r="HF59">
        <v>0.12745617716672314</v>
      </c>
      <c r="HG59">
        <v>0.13534878713708223</v>
      </c>
      <c r="HH59">
        <v>0.11457397338041067</v>
      </c>
      <c r="HI59">
        <v>0.13668414292818326</v>
      </c>
      <c r="HJ59">
        <v>0.15236420694354907</v>
      </c>
      <c r="HK59">
        <v>0.14294820902260974</v>
      </c>
      <c r="HL59">
        <v>0.16397176381912712</v>
      </c>
      <c r="HM59">
        <v>0.17494377473592984</v>
      </c>
      <c r="HN59">
        <v>0.1419349998839205</v>
      </c>
      <c r="HO59">
        <v>0.12640513044260848</v>
      </c>
      <c r="HP59">
        <v>0.1046387717836976</v>
      </c>
      <c r="HQ59">
        <v>0.12251476595606767</v>
      </c>
      <c r="HR59">
        <v>0.10166561541960434</v>
      </c>
      <c r="HS59">
        <v>0.11279412335627946</v>
      </c>
      <c r="HT59">
        <v>0.11976833903573968</v>
      </c>
      <c r="HU59">
        <v>0.10813260625490226</v>
      </c>
      <c r="HV59">
        <v>0.12547811034235862</v>
      </c>
      <c r="HW59">
        <v>0.14526618823222126</v>
      </c>
      <c r="HX59">
        <v>0.2338552319395128</v>
      </c>
      <c r="HY59">
        <v>0.21752294773158096</v>
      </c>
      <c r="HZ59">
        <v>0.2138083304191159</v>
      </c>
      <c r="IA59">
        <v>0.22044566821962369</v>
      </c>
      <c r="IB59">
        <v>0.20694785261194426</v>
      </c>
      <c r="IC59">
        <v>0.25026582244580703</v>
      </c>
      <c r="ID59">
        <v>0.26284161864600514</v>
      </c>
      <c r="IE59">
        <v>0.28888374395358785</v>
      </c>
      <c r="IF59">
        <v>0.30162199377204901</v>
      </c>
      <c r="IG59">
        <v>0.2845014698216739</v>
      </c>
      <c r="IH59">
        <v>0.39923969833875977</v>
      </c>
      <c r="II59">
        <v>0.38075556021594459</v>
      </c>
      <c r="IJ59">
        <v>0.37937783676896852</v>
      </c>
      <c r="IK59">
        <v>0.366041065207102</v>
      </c>
      <c r="IL59">
        <v>0.34484383491908965</v>
      </c>
      <c r="IM59">
        <v>0.35867023448851088</v>
      </c>
      <c r="IN59">
        <v>0.39761502072085997</v>
      </c>
      <c r="IO59">
        <v>0.435350272738246</v>
      </c>
      <c r="IP59">
        <v>0.43476454632157546</v>
      </c>
      <c r="IQ59">
        <v>0.40893157267316527</v>
      </c>
      <c r="IS59" t="s">
        <v>199</v>
      </c>
      <c r="IT59" t="s">
        <v>228</v>
      </c>
      <c r="IU59" t="s">
        <v>229</v>
      </c>
      <c r="IV59">
        <v>0.68852062987474871</v>
      </c>
    </row>
    <row r="60" spans="2:256" x14ac:dyDescent="0.25">
      <c r="B60" t="s">
        <v>220</v>
      </c>
      <c r="C60" t="s">
        <v>31</v>
      </c>
      <c r="D60">
        <v>0.37787744745539986</v>
      </c>
      <c r="E60">
        <v>0.4085800054668669</v>
      </c>
      <c r="F60">
        <v>0.42061325881713008</v>
      </c>
      <c r="G60">
        <v>0.42530559226984471</v>
      </c>
      <c r="H60">
        <v>0.44649042352761087</v>
      </c>
      <c r="I60">
        <v>0.4444630396747607</v>
      </c>
      <c r="J60">
        <v>0.4235712221822282</v>
      </c>
      <c r="K60">
        <v>0.4079414813802778</v>
      </c>
      <c r="L60">
        <v>0.39561753836347907</v>
      </c>
      <c r="M60">
        <v>0.38523954911058178</v>
      </c>
      <c r="N60">
        <v>0.34359365888776339</v>
      </c>
      <c r="O60">
        <v>0.38193994446088675</v>
      </c>
      <c r="P60">
        <v>0.41507559092615931</v>
      </c>
      <c r="Q60">
        <v>0.4249401429497755</v>
      </c>
      <c r="R60">
        <v>0.4426847781030584</v>
      </c>
      <c r="S60">
        <v>0.41113019615107993</v>
      </c>
      <c r="T60">
        <v>0.39268428504989372</v>
      </c>
      <c r="U60">
        <v>0.38787483084932761</v>
      </c>
      <c r="V60">
        <v>0.35583371040639844</v>
      </c>
      <c r="W60">
        <v>0.32754872154453185</v>
      </c>
      <c r="X60">
        <v>0.36498620477568283</v>
      </c>
      <c r="Y60">
        <v>0.38709137322971832</v>
      </c>
      <c r="Z60">
        <v>0.44464644169027279</v>
      </c>
      <c r="AA60">
        <v>0.42809905954582123</v>
      </c>
      <c r="AB60">
        <v>0.38639905904660554</v>
      </c>
      <c r="AC60">
        <v>0.36002456912455999</v>
      </c>
      <c r="AD60">
        <v>0.36733539445072599</v>
      </c>
      <c r="AE60">
        <v>0.37398481122410621</v>
      </c>
      <c r="AF60">
        <v>0.39852331954392833</v>
      </c>
      <c r="AG60">
        <v>0.37037414310807959</v>
      </c>
      <c r="AH60">
        <v>0.37980205074689383</v>
      </c>
      <c r="AI60">
        <v>0.46142572396093123</v>
      </c>
      <c r="AJ60">
        <v>0.54470845896206477</v>
      </c>
      <c r="AK60">
        <v>0.51401542660159627</v>
      </c>
      <c r="AL60">
        <v>0.50485585574120895</v>
      </c>
      <c r="AM60">
        <v>0.44027151917292395</v>
      </c>
      <c r="AN60">
        <v>0.40743203495259106</v>
      </c>
      <c r="AO60">
        <v>0.42374223245546883</v>
      </c>
      <c r="AP60">
        <v>0.38039601434605119</v>
      </c>
      <c r="AQ60">
        <v>0.33569449566261123</v>
      </c>
      <c r="AR60">
        <v>0.39424358443246621</v>
      </c>
      <c r="AS60">
        <v>0.42696299873795046</v>
      </c>
      <c r="AT60">
        <v>0.46827114210346404</v>
      </c>
      <c r="AU60">
        <v>0.48375511152514067</v>
      </c>
      <c r="AV60">
        <v>0.46743309183627563</v>
      </c>
      <c r="AW60">
        <v>0.42030968609347968</v>
      </c>
      <c r="AX60">
        <v>0.39424877192664554</v>
      </c>
      <c r="AY60">
        <v>0.34947102935429741</v>
      </c>
      <c r="AZ60">
        <v>0.32987309767623002</v>
      </c>
      <c r="BA60">
        <v>0.33775733811584396</v>
      </c>
      <c r="BB60">
        <v>0.31895806534490811</v>
      </c>
      <c r="BC60">
        <v>0.32769180332252534</v>
      </c>
      <c r="BD60">
        <v>0.32438495711241405</v>
      </c>
      <c r="BE60">
        <v>0.33466618813347837</v>
      </c>
      <c r="BF60">
        <v>0.35782720140070506</v>
      </c>
      <c r="BG60">
        <v>0.35184555520506761</v>
      </c>
      <c r="BH60">
        <v>0.33977645931382011</v>
      </c>
      <c r="BI60">
        <v>0.31329191937779599</v>
      </c>
      <c r="BJ60">
        <v>0.3145229082804884</v>
      </c>
      <c r="BK60">
        <v>0.31871508727150893</v>
      </c>
      <c r="GI60" t="s">
        <v>220</v>
      </c>
      <c r="GJ60">
        <v>0.30295532632486205</v>
      </c>
      <c r="GK60">
        <v>0.32224643759230026</v>
      </c>
      <c r="GL60">
        <v>0.32164466056147478</v>
      </c>
      <c r="GM60">
        <v>0.31352255023234021</v>
      </c>
      <c r="GN60">
        <v>0.29046516508221237</v>
      </c>
      <c r="GO60">
        <v>0.2957902523305897</v>
      </c>
      <c r="GP60">
        <v>0.31273296936433892</v>
      </c>
      <c r="GQ60">
        <v>0.31747467376135963</v>
      </c>
      <c r="GR60">
        <v>0.31691549036314004</v>
      </c>
      <c r="GS60">
        <v>0.29998963296641251</v>
      </c>
      <c r="GT60">
        <v>0.30109926358403488</v>
      </c>
      <c r="GU60">
        <v>0.2793158132042291</v>
      </c>
      <c r="GV60">
        <v>0.25301551253232141</v>
      </c>
      <c r="GW60">
        <v>0.2452157470287811</v>
      </c>
      <c r="GX60">
        <v>0.25280492157275286</v>
      </c>
      <c r="GY60">
        <v>0.28500768318735958</v>
      </c>
      <c r="GZ60">
        <v>0.30242565721426823</v>
      </c>
      <c r="HA60">
        <v>0.29980649041374702</v>
      </c>
      <c r="HB60">
        <v>0.32774407064049565</v>
      </c>
      <c r="HC60">
        <v>0.32026016458400802</v>
      </c>
      <c r="HD60">
        <v>0.17762053612002277</v>
      </c>
      <c r="HE60">
        <v>0.16386153124121297</v>
      </c>
      <c r="HF60">
        <v>0.15692288911402849</v>
      </c>
      <c r="HG60">
        <v>0.18147329622596475</v>
      </c>
      <c r="HH60">
        <v>0.14263423834384711</v>
      </c>
      <c r="HI60">
        <v>0.15823144259822225</v>
      </c>
      <c r="HJ60">
        <v>0.15801793665146971</v>
      </c>
      <c r="HK60">
        <v>0.14748440093801193</v>
      </c>
      <c r="HL60">
        <v>0.16485747966539591</v>
      </c>
      <c r="HM60">
        <v>0.1798644444093945</v>
      </c>
      <c r="HN60">
        <v>0.12678644234292413</v>
      </c>
      <c r="HO60">
        <v>0.12864791907609219</v>
      </c>
      <c r="HP60">
        <v>0.10355906992422105</v>
      </c>
      <c r="HQ60">
        <v>0.12527193875321138</v>
      </c>
      <c r="HR60">
        <v>9.9654905257103549E-2</v>
      </c>
      <c r="HS60">
        <v>0.10589583562486327</v>
      </c>
      <c r="HT60">
        <v>0.109531144659581</v>
      </c>
      <c r="HU60">
        <v>9.6469185487170123E-2</v>
      </c>
      <c r="HV60">
        <v>0.11830499035569167</v>
      </c>
      <c r="HW60">
        <v>0.14299843046556115</v>
      </c>
      <c r="HX60">
        <v>0.23300227860109696</v>
      </c>
      <c r="HY60">
        <v>0.22521792498821228</v>
      </c>
      <c r="HZ60">
        <v>0.21798094853487626</v>
      </c>
      <c r="IA60">
        <v>0.23550221858330214</v>
      </c>
      <c r="IB60">
        <v>0.23055052844586163</v>
      </c>
      <c r="IC60">
        <v>0.2700626380765575</v>
      </c>
      <c r="ID60">
        <v>0.25833354568829997</v>
      </c>
      <c r="IE60">
        <v>0.26832209113344468</v>
      </c>
      <c r="IF60">
        <v>0.28221222209757052</v>
      </c>
      <c r="IG60">
        <v>0.27323327433743089</v>
      </c>
      <c r="IH60">
        <v>0.45497090198794127</v>
      </c>
      <c r="II60">
        <v>0.45095010057527157</v>
      </c>
      <c r="IJ60">
        <v>0.45358850268978468</v>
      </c>
      <c r="IK60">
        <v>0.43208829362866574</v>
      </c>
      <c r="IL60">
        <v>0.39751309242601651</v>
      </c>
      <c r="IM60">
        <v>0.4126737496284818</v>
      </c>
      <c r="IN60">
        <v>0.45436044825002025</v>
      </c>
      <c r="IO60">
        <v>0.48646094892395586</v>
      </c>
      <c r="IP60">
        <v>0.46825266772131441</v>
      </c>
      <c r="IQ60">
        <v>0.45092469541375912</v>
      </c>
      <c r="IS60" t="s">
        <v>200</v>
      </c>
      <c r="IT60" t="s">
        <v>228</v>
      </c>
      <c r="IU60" t="s">
        <v>229</v>
      </c>
      <c r="IV60">
        <v>0.66355978378658709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F51F88-88EC-4B80-8C41-B20B3BB4C5B7}">
  <dimension ref="B9:E70"/>
  <sheetViews>
    <sheetView workbookViewId="0"/>
  </sheetViews>
  <sheetFormatPr defaultRowHeight="15" x14ac:dyDescent="0.25"/>
  <sheetData>
    <row r="9" spans="2:5" x14ac:dyDescent="0.25">
      <c r="B9" t="str">
        <f>IF(A11="x","DeActivated","~TFM_DINS-AT")</f>
        <v>~TFM_DINS-AT</v>
      </c>
    </row>
    <row r="10" spans="2:5" x14ac:dyDescent="0.25">
      <c r="B10" t="s">
        <v>230</v>
      </c>
      <c r="C10" t="s">
        <v>58</v>
      </c>
      <c r="D10" t="s">
        <v>57</v>
      </c>
      <c r="E10" t="s">
        <v>56</v>
      </c>
    </row>
    <row r="11" spans="2:5" x14ac:dyDescent="0.25">
      <c r="B11">
        <v>3.3675799086757989E-2</v>
      </c>
      <c r="C11">
        <v>5.2414456074053829E-3</v>
      </c>
      <c r="D11" t="s">
        <v>61</v>
      </c>
      <c r="E11" t="s">
        <v>231</v>
      </c>
    </row>
    <row r="12" spans="2:5" x14ac:dyDescent="0.25">
      <c r="B12">
        <v>1.3470319634703196E-2</v>
      </c>
      <c r="C12">
        <v>1.3377420878601798E-2</v>
      </c>
      <c r="D12" t="s">
        <v>63</v>
      </c>
      <c r="E12" t="s">
        <v>231</v>
      </c>
    </row>
    <row r="13" spans="2:5" x14ac:dyDescent="0.25">
      <c r="B13">
        <v>1.3470319634703196E-2</v>
      </c>
      <c r="C13">
        <v>1.985099735640471E-2</v>
      </c>
      <c r="D13" t="s">
        <v>64</v>
      </c>
      <c r="E13" t="s">
        <v>231</v>
      </c>
    </row>
    <row r="14" spans="2:5" x14ac:dyDescent="0.25">
      <c r="B14">
        <v>1.3470319634703196E-2</v>
      </c>
      <c r="C14">
        <v>1.6839121895432966E-2</v>
      </c>
      <c r="D14" t="s">
        <v>65</v>
      </c>
      <c r="E14" t="s">
        <v>231</v>
      </c>
    </row>
    <row r="15" spans="2:5" x14ac:dyDescent="0.25">
      <c r="B15">
        <v>1.3470319634703196E-2</v>
      </c>
      <c r="C15">
        <v>1.6702218465388795E-2</v>
      </c>
      <c r="D15" t="s">
        <v>66</v>
      </c>
      <c r="E15" t="s">
        <v>231</v>
      </c>
    </row>
    <row r="16" spans="2:5" x14ac:dyDescent="0.25">
      <c r="B16">
        <v>1.3470319634703196E-2</v>
      </c>
      <c r="C16">
        <v>1.7660542475697986E-2</v>
      </c>
      <c r="D16" t="s">
        <v>67</v>
      </c>
      <c r="E16" t="s">
        <v>231</v>
      </c>
    </row>
    <row r="17" spans="2:5" x14ac:dyDescent="0.25">
      <c r="B17">
        <v>1.3470319634703196E-2</v>
      </c>
      <c r="C17">
        <v>2.3273583107508974E-2</v>
      </c>
      <c r="D17" t="s">
        <v>68</v>
      </c>
      <c r="E17" t="s">
        <v>231</v>
      </c>
    </row>
    <row r="18" spans="2:5" x14ac:dyDescent="0.25">
      <c r="B18">
        <v>1.3470319634703196E-2</v>
      </c>
      <c r="C18">
        <v>2.3273583107508974E-2</v>
      </c>
      <c r="D18" t="s">
        <v>69</v>
      </c>
      <c r="E18" t="s">
        <v>231</v>
      </c>
    </row>
    <row r="19" spans="2:5" x14ac:dyDescent="0.25">
      <c r="B19">
        <v>1.3470319634703196E-2</v>
      </c>
      <c r="C19">
        <v>1.5646106290762338E-2</v>
      </c>
      <c r="D19" t="s">
        <v>70</v>
      </c>
      <c r="E19" t="s">
        <v>231</v>
      </c>
    </row>
    <row r="20" spans="2:5" x14ac:dyDescent="0.25">
      <c r="B20">
        <v>2.0205479452054795E-2</v>
      </c>
      <c r="C20">
        <v>9.7788164317264611E-3</v>
      </c>
      <c r="D20" t="s">
        <v>71</v>
      </c>
      <c r="E20" t="s">
        <v>231</v>
      </c>
    </row>
    <row r="21" spans="2:5" x14ac:dyDescent="0.25">
      <c r="B21">
        <v>3.4817351598173514E-2</v>
      </c>
      <c r="C21">
        <v>5.4191217296903106E-3</v>
      </c>
      <c r="D21" t="s">
        <v>72</v>
      </c>
      <c r="E21" t="s">
        <v>231</v>
      </c>
    </row>
    <row r="22" spans="2:5" x14ac:dyDescent="0.25">
      <c r="B22">
        <v>1.3926940639269407E-2</v>
      </c>
      <c r="C22">
        <v>1.3830892772791687E-2</v>
      </c>
      <c r="D22" t="s">
        <v>73</v>
      </c>
      <c r="E22" t="s">
        <v>231</v>
      </c>
    </row>
    <row r="23" spans="2:5" x14ac:dyDescent="0.25">
      <c r="B23">
        <v>1.3926940639269407E-2</v>
      </c>
      <c r="C23">
        <v>2.0523912521028597E-2</v>
      </c>
      <c r="D23" t="s">
        <v>74</v>
      </c>
      <c r="E23" t="s">
        <v>231</v>
      </c>
    </row>
    <row r="24" spans="2:5" x14ac:dyDescent="0.25">
      <c r="B24">
        <v>1.3926940639269407E-2</v>
      </c>
      <c r="C24">
        <v>1.7409939586803577E-2</v>
      </c>
      <c r="D24" t="s">
        <v>75</v>
      </c>
      <c r="E24" t="s">
        <v>231</v>
      </c>
    </row>
    <row r="25" spans="2:5" x14ac:dyDescent="0.25">
      <c r="B25">
        <v>1.3926940639269407E-2</v>
      </c>
      <c r="C25">
        <v>1.7268395362520613E-2</v>
      </c>
      <c r="D25" t="s">
        <v>76</v>
      </c>
      <c r="E25" t="s">
        <v>231</v>
      </c>
    </row>
    <row r="26" spans="2:5" x14ac:dyDescent="0.25">
      <c r="B26">
        <v>1.3926940639269407E-2</v>
      </c>
      <c r="C26">
        <v>1.8259204932501306E-2</v>
      </c>
      <c r="D26" t="s">
        <v>77</v>
      </c>
      <c r="E26" t="s">
        <v>231</v>
      </c>
    </row>
    <row r="27" spans="2:5" x14ac:dyDescent="0.25">
      <c r="B27">
        <v>1.3926940639269407E-2</v>
      </c>
      <c r="C27">
        <v>2.4062518128102495E-2</v>
      </c>
      <c r="D27" t="s">
        <v>78</v>
      </c>
      <c r="E27" t="s">
        <v>231</v>
      </c>
    </row>
    <row r="28" spans="2:5" x14ac:dyDescent="0.25">
      <c r="B28">
        <v>1.3926940639269407E-2</v>
      </c>
      <c r="C28">
        <v>2.4062518128102495E-2</v>
      </c>
      <c r="D28" t="s">
        <v>79</v>
      </c>
      <c r="E28" t="s">
        <v>231</v>
      </c>
    </row>
    <row r="29" spans="2:5" x14ac:dyDescent="0.25">
      <c r="B29">
        <v>1.3926940639269407E-2</v>
      </c>
      <c r="C29">
        <v>1.6176482775194956E-2</v>
      </c>
      <c r="D29" t="s">
        <v>80</v>
      </c>
      <c r="E29" t="s">
        <v>231</v>
      </c>
    </row>
    <row r="30" spans="2:5" x14ac:dyDescent="0.25">
      <c r="B30">
        <v>2.0890410958904111E-2</v>
      </c>
      <c r="C30">
        <v>1.0110301734496849E-2</v>
      </c>
      <c r="D30" t="s">
        <v>81</v>
      </c>
      <c r="E30" t="s">
        <v>231</v>
      </c>
    </row>
    <row r="31" spans="2:5" x14ac:dyDescent="0.25">
      <c r="B31">
        <v>3.4817351598173514E-2</v>
      </c>
      <c r="C31">
        <v>5.4191217296903106E-3</v>
      </c>
      <c r="D31" t="s">
        <v>82</v>
      </c>
      <c r="E31" t="s">
        <v>231</v>
      </c>
    </row>
    <row r="32" spans="2:5" x14ac:dyDescent="0.25">
      <c r="B32">
        <v>1.3926940639269407E-2</v>
      </c>
      <c r="C32">
        <v>1.3830892772791687E-2</v>
      </c>
      <c r="D32" t="s">
        <v>83</v>
      </c>
      <c r="E32" t="s">
        <v>231</v>
      </c>
    </row>
    <row r="33" spans="2:5" x14ac:dyDescent="0.25">
      <c r="B33">
        <v>1.3926940639269407E-2</v>
      </c>
      <c r="C33">
        <v>2.0523912521028597E-2</v>
      </c>
      <c r="D33" t="s">
        <v>84</v>
      </c>
      <c r="E33" t="s">
        <v>231</v>
      </c>
    </row>
    <row r="34" spans="2:5" x14ac:dyDescent="0.25">
      <c r="B34">
        <v>1.3926940639269407E-2</v>
      </c>
      <c r="C34">
        <v>1.7409939586803577E-2</v>
      </c>
      <c r="D34" t="s">
        <v>85</v>
      </c>
      <c r="E34" t="s">
        <v>231</v>
      </c>
    </row>
    <row r="35" spans="2:5" x14ac:dyDescent="0.25">
      <c r="B35">
        <v>1.3926940639269407E-2</v>
      </c>
      <c r="C35">
        <v>1.7268395362520613E-2</v>
      </c>
      <c r="D35" t="s">
        <v>86</v>
      </c>
      <c r="E35" t="s">
        <v>231</v>
      </c>
    </row>
    <row r="36" spans="2:5" x14ac:dyDescent="0.25">
      <c r="B36">
        <v>1.3926940639269407E-2</v>
      </c>
      <c r="C36">
        <v>1.8259204932501306E-2</v>
      </c>
      <c r="D36" t="s">
        <v>87</v>
      </c>
      <c r="E36" t="s">
        <v>231</v>
      </c>
    </row>
    <row r="37" spans="2:5" x14ac:dyDescent="0.25">
      <c r="B37">
        <v>1.3926940639269407E-2</v>
      </c>
      <c r="C37">
        <v>2.4062518128102495E-2</v>
      </c>
      <c r="D37" t="s">
        <v>88</v>
      </c>
      <c r="E37" t="s">
        <v>231</v>
      </c>
    </row>
    <row r="38" spans="2:5" x14ac:dyDescent="0.25">
      <c r="B38">
        <v>1.3926940639269407E-2</v>
      </c>
      <c r="C38">
        <v>2.4062518128102495E-2</v>
      </c>
      <c r="D38" t="s">
        <v>89</v>
      </c>
      <c r="E38" t="s">
        <v>231</v>
      </c>
    </row>
    <row r="39" spans="2:5" x14ac:dyDescent="0.25">
      <c r="B39">
        <v>1.3926940639269407E-2</v>
      </c>
      <c r="C39">
        <v>1.6176482775194956E-2</v>
      </c>
      <c r="D39" t="s">
        <v>90</v>
      </c>
      <c r="E39" t="s">
        <v>231</v>
      </c>
    </row>
    <row r="40" spans="2:5" x14ac:dyDescent="0.25">
      <c r="B40">
        <v>2.0890410958904111E-2</v>
      </c>
      <c r="C40">
        <v>1.0110301734496849E-2</v>
      </c>
      <c r="D40" t="s">
        <v>91</v>
      </c>
      <c r="E40" t="s">
        <v>231</v>
      </c>
    </row>
    <row r="41" spans="2:5" x14ac:dyDescent="0.25">
      <c r="B41">
        <v>3.5388127853881277E-2</v>
      </c>
      <c r="C41">
        <v>5.5079597908327749E-3</v>
      </c>
      <c r="D41" t="s">
        <v>92</v>
      </c>
      <c r="E41" t="s">
        <v>231</v>
      </c>
    </row>
    <row r="42" spans="2:5" x14ac:dyDescent="0.25">
      <c r="B42">
        <v>1.4155251141552512E-2</v>
      </c>
      <c r="C42">
        <v>1.4057628719886634E-2</v>
      </c>
      <c r="D42" t="s">
        <v>93</v>
      </c>
      <c r="E42" t="s">
        <v>231</v>
      </c>
    </row>
    <row r="43" spans="2:5" x14ac:dyDescent="0.25">
      <c r="B43">
        <v>1.4155251141552512E-2</v>
      </c>
      <c r="C43">
        <v>2.0860370103340541E-2</v>
      </c>
      <c r="D43" t="s">
        <v>94</v>
      </c>
      <c r="E43" t="s">
        <v>231</v>
      </c>
    </row>
    <row r="44" spans="2:5" x14ac:dyDescent="0.25">
      <c r="B44">
        <v>1.4155251141552512E-2</v>
      </c>
      <c r="C44">
        <v>1.7695348432488881E-2</v>
      </c>
      <c r="D44" t="s">
        <v>95</v>
      </c>
      <c r="E44" t="s">
        <v>231</v>
      </c>
    </row>
    <row r="45" spans="2:5" x14ac:dyDescent="0.25">
      <c r="B45">
        <v>1.4155251141552512E-2</v>
      </c>
      <c r="C45">
        <v>1.7551483811086524E-2</v>
      </c>
      <c r="D45" t="s">
        <v>96</v>
      </c>
      <c r="E45" t="s">
        <v>231</v>
      </c>
    </row>
    <row r="46" spans="2:5" x14ac:dyDescent="0.25">
      <c r="B46">
        <v>1.4155251141552512E-2</v>
      </c>
      <c r="C46">
        <v>1.8558536160902969E-2</v>
      </c>
      <c r="D46" t="s">
        <v>97</v>
      </c>
      <c r="E46" t="s">
        <v>231</v>
      </c>
    </row>
    <row r="47" spans="2:5" x14ac:dyDescent="0.25">
      <c r="B47">
        <v>1.4155251141552512E-2</v>
      </c>
      <c r="C47">
        <v>2.4456985638399258E-2</v>
      </c>
      <c r="D47" t="s">
        <v>98</v>
      </c>
      <c r="E47" t="s">
        <v>231</v>
      </c>
    </row>
    <row r="48" spans="2:5" x14ac:dyDescent="0.25">
      <c r="B48">
        <v>1.4155251141552512E-2</v>
      </c>
      <c r="C48">
        <v>2.4456985638399258E-2</v>
      </c>
      <c r="D48" t="s">
        <v>99</v>
      </c>
      <c r="E48" t="s">
        <v>231</v>
      </c>
    </row>
    <row r="49" spans="2:5" x14ac:dyDescent="0.25">
      <c r="B49">
        <v>1.4155251141552512E-2</v>
      </c>
      <c r="C49">
        <v>1.6441671017411268E-2</v>
      </c>
      <c r="D49" t="s">
        <v>100</v>
      </c>
      <c r="E49" t="s">
        <v>231</v>
      </c>
    </row>
    <row r="50" spans="2:5" x14ac:dyDescent="0.25">
      <c r="B50">
        <v>2.1232876712328767E-2</v>
      </c>
      <c r="C50">
        <v>1.0276044385882045E-2</v>
      </c>
      <c r="D50" t="s">
        <v>101</v>
      </c>
      <c r="E50" t="s">
        <v>231</v>
      </c>
    </row>
    <row r="51" spans="2:5" x14ac:dyDescent="0.25">
      <c r="B51">
        <v>3.4817351598173514E-2</v>
      </c>
      <c r="C51">
        <v>5.4191217296903106E-3</v>
      </c>
      <c r="D51" t="s">
        <v>102</v>
      </c>
      <c r="E51" t="s">
        <v>231</v>
      </c>
    </row>
    <row r="52" spans="2:5" x14ac:dyDescent="0.25">
      <c r="B52">
        <v>1.3926940639269407E-2</v>
      </c>
      <c r="C52">
        <v>1.3830892772791687E-2</v>
      </c>
      <c r="D52" t="s">
        <v>103</v>
      </c>
      <c r="E52" t="s">
        <v>231</v>
      </c>
    </row>
    <row r="53" spans="2:5" x14ac:dyDescent="0.25">
      <c r="B53">
        <v>1.3926940639269407E-2</v>
      </c>
      <c r="C53">
        <v>2.0523912521028597E-2</v>
      </c>
      <c r="D53" t="s">
        <v>104</v>
      </c>
      <c r="E53" t="s">
        <v>231</v>
      </c>
    </row>
    <row r="54" spans="2:5" x14ac:dyDescent="0.25">
      <c r="B54">
        <v>1.3926940639269407E-2</v>
      </c>
      <c r="C54">
        <v>1.7409939586803577E-2</v>
      </c>
      <c r="D54" t="s">
        <v>105</v>
      </c>
      <c r="E54" t="s">
        <v>231</v>
      </c>
    </row>
    <row r="55" spans="2:5" x14ac:dyDescent="0.25">
      <c r="B55">
        <v>1.3926940639269407E-2</v>
      </c>
      <c r="C55">
        <v>1.7268395362520613E-2</v>
      </c>
      <c r="D55" t="s">
        <v>106</v>
      </c>
      <c r="E55" t="s">
        <v>231</v>
      </c>
    </row>
    <row r="56" spans="2:5" x14ac:dyDescent="0.25">
      <c r="B56">
        <v>1.3926940639269407E-2</v>
      </c>
      <c r="C56">
        <v>1.8259204932501306E-2</v>
      </c>
      <c r="D56" t="s">
        <v>107</v>
      </c>
      <c r="E56" t="s">
        <v>231</v>
      </c>
    </row>
    <row r="57" spans="2:5" x14ac:dyDescent="0.25">
      <c r="B57">
        <v>1.3926940639269407E-2</v>
      </c>
      <c r="C57">
        <v>2.4062518128102495E-2</v>
      </c>
      <c r="D57" t="s">
        <v>108</v>
      </c>
      <c r="E57" t="s">
        <v>231</v>
      </c>
    </row>
    <row r="58" spans="2:5" x14ac:dyDescent="0.25">
      <c r="B58">
        <v>1.3926940639269407E-2</v>
      </c>
      <c r="C58">
        <v>2.4062518128102495E-2</v>
      </c>
      <c r="D58" t="s">
        <v>109</v>
      </c>
      <c r="E58" t="s">
        <v>231</v>
      </c>
    </row>
    <row r="59" spans="2:5" x14ac:dyDescent="0.25">
      <c r="B59">
        <v>1.3926940639269407E-2</v>
      </c>
      <c r="C59">
        <v>1.6176482775194956E-2</v>
      </c>
      <c r="D59" t="s">
        <v>110</v>
      </c>
      <c r="E59" t="s">
        <v>231</v>
      </c>
    </row>
    <row r="60" spans="2:5" x14ac:dyDescent="0.25">
      <c r="B60">
        <v>2.0890410958904111E-2</v>
      </c>
      <c r="C60">
        <v>1.0110301734496849E-2</v>
      </c>
      <c r="D60" t="s">
        <v>111</v>
      </c>
      <c r="E60" t="s">
        <v>231</v>
      </c>
    </row>
    <row r="61" spans="2:5" x14ac:dyDescent="0.25">
      <c r="B61">
        <v>3.4817351598173514E-2</v>
      </c>
      <c r="C61">
        <v>5.4191217296903106E-3</v>
      </c>
      <c r="D61" t="s">
        <v>112</v>
      </c>
      <c r="E61" t="s">
        <v>231</v>
      </c>
    </row>
    <row r="62" spans="2:5" x14ac:dyDescent="0.25">
      <c r="B62">
        <v>1.3926940639269407E-2</v>
      </c>
      <c r="C62">
        <v>1.3830892772791687E-2</v>
      </c>
      <c r="D62" t="s">
        <v>113</v>
      </c>
      <c r="E62" t="s">
        <v>231</v>
      </c>
    </row>
    <row r="63" spans="2:5" x14ac:dyDescent="0.25">
      <c r="B63">
        <v>1.3926940639269407E-2</v>
      </c>
      <c r="C63">
        <v>2.0523912521028597E-2</v>
      </c>
      <c r="D63" t="s">
        <v>114</v>
      </c>
      <c r="E63" t="s">
        <v>231</v>
      </c>
    </row>
    <row r="64" spans="2:5" x14ac:dyDescent="0.25">
      <c r="B64">
        <v>1.3926940639269407E-2</v>
      </c>
      <c r="C64">
        <v>1.7409939586803577E-2</v>
      </c>
      <c r="D64" t="s">
        <v>115</v>
      </c>
      <c r="E64" t="s">
        <v>231</v>
      </c>
    </row>
    <row r="65" spans="2:5" x14ac:dyDescent="0.25">
      <c r="B65">
        <v>1.3926940639269407E-2</v>
      </c>
      <c r="C65">
        <v>1.7268395362520613E-2</v>
      </c>
      <c r="D65" t="s">
        <v>116</v>
      </c>
      <c r="E65" t="s">
        <v>231</v>
      </c>
    </row>
    <row r="66" spans="2:5" x14ac:dyDescent="0.25">
      <c r="B66">
        <v>1.3926940639269407E-2</v>
      </c>
      <c r="C66">
        <v>1.8259204932501306E-2</v>
      </c>
      <c r="D66" t="s">
        <v>117</v>
      </c>
      <c r="E66" t="s">
        <v>231</v>
      </c>
    </row>
    <row r="67" spans="2:5" x14ac:dyDescent="0.25">
      <c r="B67">
        <v>1.3926940639269407E-2</v>
      </c>
      <c r="C67">
        <v>2.4062518128102495E-2</v>
      </c>
      <c r="D67" t="s">
        <v>118</v>
      </c>
      <c r="E67" t="s">
        <v>231</v>
      </c>
    </row>
    <row r="68" spans="2:5" x14ac:dyDescent="0.25">
      <c r="B68">
        <v>1.3926940639269407E-2</v>
      </c>
      <c r="C68">
        <v>2.4062518128102495E-2</v>
      </c>
      <c r="D68" t="s">
        <v>119</v>
      </c>
      <c r="E68" t="s">
        <v>231</v>
      </c>
    </row>
    <row r="69" spans="2:5" x14ac:dyDescent="0.25">
      <c r="B69">
        <v>1.3926940639269407E-2</v>
      </c>
      <c r="C69">
        <v>1.6176482775194956E-2</v>
      </c>
      <c r="D69" t="s">
        <v>120</v>
      </c>
      <c r="E69" t="s">
        <v>231</v>
      </c>
    </row>
    <row r="70" spans="2:5" x14ac:dyDescent="0.25">
      <c r="B70">
        <v>2.0890410958904111E-2</v>
      </c>
      <c r="C70">
        <v>1.0110301734496849E-2</v>
      </c>
      <c r="D70" t="s">
        <v>121</v>
      </c>
      <c r="E70" t="s">
        <v>231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4E7167-8B6E-4D4D-B7C8-6A969726DF8E}">
  <dimension ref="B9:D130"/>
  <sheetViews>
    <sheetView workbookViewId="0"/>
  </sheetViews>
  <sheetFormatPr defaultRowHeight="15" x14ac:dyDescent="0.25"/>
  <sheetData>
    <row r="9" spans="2:4" x14ac:dyDescent="0.25">
      <c r="B9" t="str">
        <f>IF(A11="x","DeActivated","~TFM_DINS-AT")</f>
        <v>~TFM_DINS-AT</v>
      </c>
    </row>
    <row r="10" spans="2:4" x14ac:dyDescent="0.25">
      <c r="B10" t="s">
        <v>56</v>
      </c>
      <c r="C10" t="s">
        <v>57</v>
      </c>
      <c r="D10" t="s">
        <v>58</v>
      </c>
    </row>
    <row r="11" spans="2:4" x14ac:dyDescent="0.25">
      <c r="B11" t="s">
        <v>237</v>
      </c>
      <c r="C11" t="s">
        <v>61</v>
      </c>
      <c r="D11">
        <v>2.809760120831483E-2</v>
      </c>
    </row>
    <row r="12" spans="2:4" x14ac:dyDescent="0.25">
      <c r="B12" t="s">
        <v>237</v>
      </c>
      <c r="C12" t="s">
        <v>63</v>
      </c>
      <c r="D12">
        <v>1.3823565320413797E-2</v>
      </c>
    </row>
    <row r="13" spans="2:4" x14ac:dyDescent="0.25">
      <c r="B13" t="s">
        <v>237</v>
      </c>
      <c r="C13" t="s">
        <v>64</v>
      </c>
      <c r="D13">
        <v>1.6396020390014816E-2</v>
      </c>
    </row>
    <row r="14" spans="2:4" x14ac:dyDescent="0.25">
      <c r="B14" t="s">
        <v>237</v>
      </c>
      <c r="C14" t="s">
        <v>65</v>
      </c>
      <c r="D14">
        <v>1.6507651709155219E-2</v>
      </c>
    </row>
    <row r="15" spans="2:4" x14ac:dyDescent="0.25">
      <c r="B15" t="s">
        <v>237</v>
      </c>
      <c r="C15" t="s">
        <v>66</v>
      </c>
      <c r="D15">
        <v>1.6495208450386514E-2</v>
      </c>
    </row>
    <row r="16" spans="2:4" x14ac:dyDescent="0.25">
      <c r="B16" t="s">
        <v>237</v>
      </c>
      <c r="C16" t="s">
        <v>67</v>
      </c>
      <c r="D16">
        <v>1.6491850899225752E-2</v>
      </c>
    </row>
    <row r="17" spans="2:4" x14ac:dyDescent="0.25">
      <c r="B17" t="s">
        <v>237</v>
      </c>
      <c r="C17" t="s">
        <v>68</v>
      </c>
      <c r="D17">
        <v>1.6554599369766231E-2</v>
      </c>
    </row>
    <row r="18" spans="2:4" x14ac:dyDescent="0.25">
      <c r="B18" t="s">
        <v>237</v>
      </c>
      <c r="C18" t="s">
        <v>69</v>
      </c>
      <c r="D18">
        <v>1.6724479847372895E-2</v>
      </c>
    </row>
    <row r="19" spans="2:4" x14ac:dyDescent="0.25">
      <c r="B19" t="s">
        <v>237</v>
      </c>
      <c r="C19" t="s">
        <v>70</v>
      </c>
      <c r="D19">
        <v>1.6674213339360901E-2</v>
      </c>
    </row>
    <row r="20" spans="2:4" x14ac:dyDescent="0.25">
      <c r="B20" t="s">
        <v>237</v>
      </c>
      <c r="C20" t="s">
        <v>71</v>
      </c>
      <c r="D20">
        <v>2.3438766897371351E-2</v>
      </c>
    </row>
    <row r="21" spans="2:4" x14ac:dyDescent="0.25">
      <c r="B21" t="s">
        <v>237</v>
      </c>
      <c r="C21" t="s">
        <v>72</v>
      </c>
      <c r="D21">
        <v>2.713984775956545E-2</v>
      </c>
    </row>
    <row r="22" spans="2:4" x14ac:dyDescent="0.25">
      <c r="B22" t="s">
        <v>237</v>
      </c>
      <c r="C22" t="s">
        <v>73</v>
      </c>
      <c r="D22">
        <v>1.3388506078599741E-2</v>
      </c>
    </row>
    <row r="23" spans="2:4" x14ac:dyDescent="0.25">
      <c r="B23" t="s">
        <v>237</v>
      </c>
      <c r="C23" t="s">
        <v>74</v>
      </c>
      <c r="D23">
        <v>1.5616410602714875E-2</v>
      </c>
    </row>
    <row r="24" spans="2:4" x14ac:dyDescent="0.25">
      <c r="B24" t="s">
        <v>237</v>
      </c>
      <c r="C24" t="s">
        <v>75</v>
      </c>
      <c r="D24">
        <v>1.6137411589029781E-2</v>
      </c>
    </row>
    <row r="25" spans="2:4" x14ac:dyDescent="0.25">
      <c r="B25" t="s">
        <v>237</v>
      </c>
      <c r="C25" t="s">
        <v>76</v>
      </c>
      <c r="D25">
        <v>1.616017907571933E-2</v>
      </c>
    </row>
    <row r="26" spans="2:4" x14ac:dyDescent="0.25">
      <c r="B26" t="s">
        <v>237</v>
      </c>
      <c r="C26" t="s">
        <v>77</v>
      </c>
      <c r="D26">
        <v>1.6131799543861933E-2</v>
      </c>
    </row>
    <row r="27" spans="2:4" x14ac:dyDescent="0.25">
      <c r="B27" t="s">
        <v>237</v>
      </c>
      <c r="C27" t="s">
        <v>78</v>
      </c>
      <c r="D27">
        <v>1.6147029473334674E-2</v>
      </c>
    </row>
    <row r="28" spans="2:4" x14ac:dyDescent="0.25">
      <c r="B28" t="s">
        <v>237</v>
      </c>
      <c r="C28" t="s">
        <v>79</v>
      </c>
      <c r="D28">
        <v>1.6343334942929933E-2</v>
      </c>
    </row>
    <row r="29" spans="2:4" x14ac:dyDescent="0.25">
      <c r="B29" t="s">
        <v>237</v>
      </c>
      <c r="C29" t="s">
        <v>80</v>
      </c>
      <c r="D29">
        <v>1.6389634315564661E-2</v>
      </c>
    </row>
    <row r="30" spans="2:4" x14ac:dyDescent="0.25">
      <c r="B30" t="s">
        <v>237</v>
      </c>
      <c r="C30" t="s">
        <v>81</v>
      </c>
      <c r="D30">
        <v>2.2197866372111023E-2</v>
      </c>
    </row>
    <row r="31" spans="2:4" x14ac:dyDescent="0.25">
      <c r="B31" t="s">
        <v>237</v>
      </c>
      <c r="C31" t="s">
        <v>82</v>
      </c>
      <c r="D31">
        <v>2.2349655902764186E-2</v>
      </c>
    </row>
    <row r="32" spans="2:4" x14ac:dyDescent="0.25">
      <c r="B32" t="s">
        <v>237</v>
      </c>
      <c r="C32" t="s">
        <v>83</v>
      </c>
      <c r="D32">
        <v>1.0010756690409942E-2</v>
      </c>
    </row>
    <row r="33" spans="2:4" x14ac:dyDescent="0.25">
      <c r="B33" t="s">
        <v>237</v>
      </c>
      <c r="C33" t="s">
        <v>84</v>
      </c>
      <c r="D33">
        <v>1.3044067103630473E-2</v>
      </c>
    </row>
    <row r="34" spans="2:4" x14ac:dyDescent="0.25">
      <c r="B34" t="s">
        <v>237</v>
      </c>
      <c r="C34" t="s">
        <v>85</v>
      </c>
      <c r="D34">
        <v>1.4783897865062047E-2</v>
      </c>
    </row>
    <row r="35" spans="2:4" x14ac:dyDescent="0.25">
      <c r="B35" t="s">
        <v>237</v>
      </c>
      <c r="C35" t="s">
        <v>86</v>
      </c>
      <c r="D35">
        <v>1.487465818174203E-2</v>
      </c>
    </row>
    <row r="36" spans="2:4" x14ac:dyDescent="0.25">
      <c r="B36" t="s">
        <v>237</v>
      </c>
      <c r="C36" t="s">
        <v>87</v>
      </c>
      <c r="D36">
        <v>1.4883647129950529E-2</v>
      </c>
    </row>
    <row r="37" spans="2:4" x14ac:dyDescent="0.25">
      <c r="B37" t="s">
        <v>237</v>
      </c>
      <c r="C37" t="s">
        <v>88</v>
      </c>
      <c r="D37">
        <v>1.4719339993751933E-2</v>
      </c>
    </row>
    <row r="38" spans="2:4" x14ac:dyDescent="0.25">
      <c r="B38" t="s">
        <v>237</v>
      </c>
      <c r="C38" t="s">
        <v>89</v>
      </c>
      <c r="D38">
        <v>1.4691889352129213E-2</v>
      </c>
    </row>
    <row r="39" spans="2:4" x14ac:dyDescent="0.25">
      <c r="B39" t="s">
        <v>237</v>
      </c>
      <c r="C39" t="s">
        <v>90</v>
      </c>
      <c r="D39">
        <v>1.4641835714795996E-2</v>
      </c>
    </row>
    <row r="40" spans="2:4" x14ac:dyDescent="0.25">
      <c r="B40" t="s">
        <v>237</v>
      </c>
      <c r="C40" t="s">
        <v>91</v>
      </c>
      <c r="D40">
        <v>1.8715759701237771E-2</v>
      </c>
    </row>
    <row r="41" spans="2:4" x14ac:dyDescent="0.25">
      <c r="B41" t="s">
        <v>237</v>
      </c>
      <c r="C41" t="s">
        <v>92</v>
      </c>
      <c r="D41">
        <v>2.3435024312468633E-2</v>
      </c>
    </row>
    <row r="42" spans="2:4" x14ac:dyDescent="0.25">
      <c r="B42" t="s">
        <v>237</v>
      </c>
      <c r="C42" t="s">
        <v>93</v>
      </c>
      <c r="D42">
        <v>1.0415096353698507E-2</v>
      </c>
    </row>
    <row r="43" spans="2:4" x14ac:dyDescent="0.25">
      <c r="B43" t="s">
        <v>237</v>
      </c>
      <c r="C43" t="s">
        <v>94</v>
      </c>
      <c r="D43">
        <v>1.3597629112744062E-2</v>
      </c>
    </row>
    <row r="44" spans="2:4" x14ac:dyDescent="0.25">
      <c r="B44" t="s">
        <v>237</v>
      </c>
      <c r="C44" t="s">
        <v>95</v>
      </c>
      <c r="D44">
        <v>1.5281668404455294E-2</v>
      </c>
    </row>
    <row r="45" spans="2:4" x14ac:dyDescent="0.25">
      <c r="B45" t="s">
        <v>237</v>
      </c>
      <c r="C45" t="s">
        <v>96</v>
      </c>
      <c r="D45">
        <v>1.5509082020972318E-2</v>
      </c>
    </row>
    <row r="46" spans="2:4" x14ac:dyDescent="0.25">
      <c r="B46" t="s">
        <v>237</v>
      </c>
      <c r="C46" t="s">
        <v>97</v>
      </c>
      <c r="D46">
        <v>1.5561554643291675E-2</v>
      </c>
    </row>
    <row r="47" spans="2:4" x14ac:dyDescent="0.25">
      <c r="B47" t="s">
        <v>237</v>
      </c>
      <c r="C47" t="s">
        <v>98</v>
      </c>
      <c r="D47">
        <v>1.5421176106575981E-2</v>
      </c>
    </row>
    <row r="48" spans="2:4" x14ac:dyDescent="0.25">
      <c r="B48" t="s">
        <v>237</v>
      </c>
      <c r="C48" t="s">
        <v>99</v>
      </c>
      <c r="D48">
        <v>1.535995643454674E-2</v>
      </c>
    </row>
    <row r="49" spans="2:4" x14ac:dyDescent="0.25">
      <c r="B49" t="s">
        <v>237</v>
      </c>
      <c r="C49" t="s">
        <v>100</v>
      </c>
      <c r="D49">
        <v>1.5219993963248662E-2</v>
      </c>
    </row>
    <row r="50" spans="2:4" x14ac:dyDescent="0.25">
      <c r="B50" t="s">
        <v>237</v>
      </c>
      <c r="C50" t="s">
        <v>101</v>
      </c>
      <c r="D50">
        <v>1.9657825955478034E-2</v>
      </c>
    </row>
    <row r="51" spans="2:4" x14ac:dyDescent="0.25">
      <c r="B51" t="s">
        <v>237</v>
      </c>
      <c r="C51" t="s">
        <v>102</v>
      </c>
      <c r="D51">
        <v>2.3620595413846888E-2</v>
      </c>
    </row>
    <row r="52" spans="2:4" x14ac:dyDescent="0.25">
      <c r="B52" t="s">
        <v>237</v>
      </c>
      <c r="C52" t="s">
        <v>103</v>
      </c>
      <c r="D52">
        <v>1.1010960522225076E-2</v>
      </c>
    </row>
    <row r="53" spans="2:4" x14ac:dyDescent="0.25">
      <c r="B53" t="s">
        <v>237</v>
      </c>
      <c r="C53" t="s">
        <v>104</v>
      </c>
      <c r="D53">
        <v>1.3762052795082587E-2</v>
      </c>
    </row>
    <row r="54" spans="2:4" x14ac:dyDescent="0.25">
      <c r="B54" t="s">
        <v>237</v>
      </c>
      <c r="C54" t="s">
        <v>105</v>
      </c>
      <c r="D54">
        <v>1.511339456774002E-2</v>
      </c>
    </row>
    <row r="55" spans="2:4" x14ac:dyDescent="0.25">
      <c r="B55" t="s">
        <v>237</v>
      </c>
      <c r="C55" t="s">
        <v>106</v>
      </c>
      <c r="D55">
        <v>1.50820348463797E-2</v>
      </c>
    </row>
    <row r="56" spans="2:4" x14ac:dyDescent="0.25">
      <c r="B56" t="s">
        <v>237</v>
      </c>
      <c r="C56" t="s">
        <v>107</v>
      </c>
      <c r="D56">
        <v>1.5027743147350765E-2</v>
      </c>
    </row>
    <row r="57" spans="2:4" x14ac:dyDescent="0.25">
      <c r="B57" t="s">
        <v>237</v>
      </c>
      <c r="C57" t="s">
        <v>108</v>
      </c>
      <c r="D57">
        <v>1.4887935491091797E-2</v>
      </c>
    </row>
    <row r="58" spans="2:4" x14ac:dyDescent="0.25">
      <c r="B58" t="s">
        <v>237</v>
      </c>
      <c r="C58" t="s">
        <v>109</v>
      </c>
      <c r="D58">
        <v>1.506069939880194E-2</v>
      </c>
    </row>
    <row r="59" spans="2:4" x14ac:dyDescent="0.25">
      <c r="B59" t="s">
        <v>237</v>
      </c>
      <c r="C59" t="s">
        <v>110</v>
      </c>
      <c r="D59">
        <v>1.5103883118774518E-2</v>
      </c>
    </row>
    <row r="60" spans="2:4" x14ac:dyDescent="0.25">
      <c r="B60" t="s">
        <v>237</v>
      </c>
      <c r="C60" t="s">
        <v>111</v>
      </c>
      <c r="D60">
        <v>1.9512508503711529E-2</v>
      </c>
    </row>
    <row r="61" spans="2:4" x14ac:dyDescent="0.25">
      <c r="B61" t="s">
        <v>237</v>
      </c>
      <c r="C61" t="s">
        <v>112</v>
      </c>
      <c r="D61">
        <v>2.6835256114710802E-2</v>
      </c>
    </row>
    <row r="62" spans="2:4" x14ac:dyDescent="0.25">
      <c r="B62" t="s">
        <v>237</v>
      </c>
      <c r="C62" t="s">
        <v>113</v>
      </c>
      <c r="D62">
        <v>1.2658089566716761E-2</v>
      </c>
    </row>
    <row r="63" spans="2:4" x14ac:dyDescent="0.25">
      <c r="B63" t="s">
        <v>237</v>
      </c>
      <c r="C63" t="s">
        <v>114</v>
      </c>
      <c r="D63">
        <v>1.5277172990910621E-2</v>
      </c>
    </row>
    <row r="64" spans="2:4" x14ac:dyDescent="0.25">
      <c r="B64" t="s">
        <v>237</v>
      </c>
      <c r="C64" t="s">
        <v>115</v>
      </c>
      <c r="D64">
        <v>1.5767820553619437E-2</v>
      </c>
    </row>
    <row r="65" spans="2:4" x14ac:dyDescent="0.25">
      <c r="B65" t="s">
        <v>237</v>
      </c>
      <c r="C65" t="s">
        <v>116</v>
      </c>
      <c r="D65">
        <v>1.5956762632916885E-2</v>
      </c>
    </row>
    <row r="66" spans="2:4" x14ac:dyDescent="0.25">
      <c r="B66" t="s">
        <v>237</v>
      </c>
      <c r="C66" t="s">
        <v>117</v>
      </c>
      <c r="D66">
        <v>1.5972931128564249E-2</v>
      </c>
    </row>
    <row r="67" spans="2:4" x14ac:dyDescent="0.25">
      <c r="B67" t="s">
        <v>237</v>
      </c>
      <c r="C67" t="s">
        <v>118</v>
      </c>
      <c r="D67">
        <v>1.6012825028955673E-2</v>
      </c>
    </row>
    <row r="68" spans="2:4" x14ac:dyDescent="0.25">
      <c r="B68" t="s">
        <v>237</v>
      </c>
      <c r="C68" t="s">
        <v>119</v>
      </c>
      <c r="D68">
        <v>1.6187224170516448E-2</v>
      </c>
    </row>
    <row r="69" spans="2:4" x14ac:dyDescent="0.25">
      <c r="B69" t="s">
        <v>237</v>
      </c>
      <c r="C69" t="s">
        <v>120</v>
      </c>
      <c r="D69">
        <v>1.6108384611848162E-2</v>
      </c>
    </row>
    <row r="70" spans="2:4" x14ac:dyDescent="0.25">
      <c r="B70" t="s">
        <v>237</v>
      </c>
      <c r="C70" t="s">
        <v>121</v>
      </c>
      <c r="D70">
        <v>2.2011233268468447E-2</v>
      </c>
    </row>
    <row r="71" spans="2:4" x14ac:dyDescent="0.25">
      <c r="B71" t="s">
        <v>238</v>
      </c>
      <c r="C71" t="s">
        <v>61</v>
      </c>
      <c r="D71">
        <v>3.3114494427454795E-2</v>
      </c>
    </row>
    <row r="72" spans="2:4" x14ac:dyDescent="0.25">
      <c r="B72" t="s">
        <v>238</v>
      </c>
      <c r="C72" t="s">
        <v>63</v>
      </c>
      <c r="D72">
        <v>1.3402441768497345E-2</v>
      </c>
    </row>
    <row r="73" spans="2:4" x14ac:dyDescent="0.25">
      <c r="B73" t="s">
        <v>238</v>
      </c>
      <c r="C73" t="s">
        <v>64</v>
      </c>
      <c r="D73">
        <v>1.355835423633231E-2</v>
      </c>
    </row>
    <row r="74" spans="2:4" x14ac:dyDescent="0.25">
      <c r="B74" t="s">
        <v>238</v>
      </c>
      <c r="C74" t="s">
        <v>65</v>
      </c>
      <c r="D74">
        <v>1.3565120035533439E-2</v>
      </c>
    </row>
    <row r="75" spans="2:4" x14ac:dyDescent="0.25">
      <c r="B75" t="s">
        <v>238</v>
      </c>
      <c r="C75" t="s">
        <v>66</v>
      </c>
      <c r="D75">
        <v>1.3564365869132065E-2</v>
      </c>
    </row>
    <row r="76" spans="2:4" x14ac:dyDescent="0.25">
      <c r="B76" t="s">
        <v>238</v>
      </c>
      <c r="C76" t="s">
        <v>67</v>
      </c>
      <c r="D76">
        <v>1.3564162373221274E-2</v>
      </c>
    </row>
    <row r="77" spans="2:4" x14ac:dyDescent="0.25">
      <c r="B77" t="s">
        <v>238</v>
      </c>
      <c r="C77" t="s">
        <v>68</v>
      </c>
      <c r="D77">
        <v>1.356796545962323E-2</v>
      </c>
    </row>
    <row r="78" spans="2:4" x14ac:dyDescent="0.25">
      <c r="B78" t="s">
        <v>238</v>
      </c>
      <c r="C78" t="s">
        <v>69</v>
      </c>
      <c r="D78">
        <v>1.3578261648976983E-2</v>
      </c>
    </row>
    <row r="79" spans="2:4" x14ac:dyDescent="0.25">
      <c r="B79" t="s">
        <v>238</v>
      </c>
      <c r="C79" t="s">
        <v>70</v>
      </c>
      <c r="D79">
        <v>1.3575215074750593E-2</v>
      </c>
    </row>
    <row r="80" spans="2:4" x14ac:dyDescent="0.25">
      <c r="B80" t="s">
        <v>238</v>
      </c>
      <c r="C80" t="s">
        <v>71</v>
      </c>
      <c r="D80">
        <v>2.0267512633988915E-2</v>
      </c>
    </row>
    <row r="81" spans="2:4" x14ac:dyDescent="0.25">
      <c r="B81" t="s">
        <v>238</v>
      </c>
      <c r="C81" t="s">
        <v>72</v>
      </c>
      <c r="D81">
        <v>3.4254700796068141E-2</v>
      </c>
    </row>
    <row r="82" spans="2:4" x14ac:dyDescent="0.25">
      <c r="B82" t="s">
        <v>238</v>
      </c>
      <c r="C82" t="s">
        <v>73</v>
      </c>
      <c r="D82">
        <v>1.3855375231384283E-2</v>
      </c>
    </row>
    <row r="83" spans="2:4" x14ac:dyDescent="0.25">
      <c r="B83" t="s">
        <v>238</v>
      </c>
      <c r="C83" t="s">
        <v>74</v>
      </c>
      <c r="D83">
        <v>1.3990405030956001E-2</v>
      </c>
    </row>
    <row r="84" spans="2:4" x14ac:dyDescent="0.25">
      <c r="B84" t="s">
        <v>238</v>
      </c>
      <c r="C84" t="s">
        <v>75</v>
      </c>
      <c r="D84">
        <v>1.4021982083741381E-2</v>
      </c>
    </row>
    <row r="85" spans="2:4" x14ac:dyDescent="0.25">
      <c r="B85" t="s">
        <v>238</v>
      </c>
      <c r="C85" t="s">
        <v>76</v>
      </c>
      <c r="D85">
        <v>1.4023361985407346E-2</v>
      </c>
    </row>
    <row r="86" spans="2:4" x14ac:dyDescent="0.25">
      <c r="B86" t="s">
        <v>238</v>
      </c>
      <c r="C86" t="s">
        <v>77</v>
      </c>
      <c r="D86">
        <v>1.4021641946484149E-2</v>
      </c>
    </row>
    <row r="87" spans="2:4" x14ac:dyDescent="0.25">
      <c r="B87" t="s">
        <v>238</v>
      </c>
      <c r="C87" t="s">
        <v>78</v>
      </c>
      <c r="D87">
        <v>1.4022565008627046E-2</v>
      </c>
    </row>
    <row r="88" spans="2:4" x14ac:dyDescent="0.25">
      <c r="B88" t="s">
        <v>238</v>
      </c>
      <c r="C88" t="s">
        <v>79</v>
      </c>
      <c r="D88">
        <v>1.4034462775307514E-2</v>
      </c>
    </row>
    <row r="89" spans="2:4" x14ac:dyDescent="0.25">
      <c r="B89" t="s">
        <v>238</v>
      </c>
      <c r="C89" t="s">
        <v>80</v>
      </c>
      <c r="D89">
        <v>1.4037268907679656E-2</v>
      </c>
    </row>
    <row r="90" spans="2:4" x14ac:dyDescent="0.25">
      <c r="B90" t="s">
        <v>238</v>
      </c>
      <c r="C90" t="s">
        <v>81</v>
      </c>
      <c r="D90">
        <v>2.0911256180999604E-2</v>
      </c>
    </row>
    <row r="91" spans="2:4" x14ac:dyDescent="0.25">
      <c r="B91" t="s">
        <v>238</v>
      </c>
      <c r="C91" t="s">
        <v>82</v>
      </c>
      <c r="D91">
        <v>3.4226124758176095E-2</v>
      </c>
    </row>
    <row r="92" spans="2:4" x14ac:dyDescent="0.25">
      <c r="B92" t="s">
        <v>238</v>
      </c>
      <c r="C92" t="s">
        <v>83</v>
      </c>
      <c r="D92">
        <v>1.3755355129272381E-2</v>
      </c>
    </row>
    <row r="93" spans="2:4" x14ac:dyDescent="0.25">
      <c r="B93" t="s">
        <v>238</v>
      </c>
      <c r="C93" t="s">
        <v>84</v>
      </c>
      <c r="D93">
        <v>1.3939199316804899E-2</v>
      </c>
    </row>
    <row r="94" spans="2:4" x14ac:dyDescent="0.25">
      <c r="B94" t="s">
        <v>238</v>
      </c>
      <c r="C94" t="s">
        <v>85</v>
      </c>
      <c r="D94">
        <v>1.40446477309815E-2</v>
      </c>
    </row>
    <row r="95" spans="2:4" x14ac:dyDescent="0.25">
      <c r="B95" t="s">
        <v>238</v>
      </c>
      <c r="C95" t="s">
        <v>86</v>
      </c>
      <c r="D95">
        <v>1.4050148571451865E-2</v>
      </c>
    </row>
    <row r="96" spans="2:4" x14ac:dyDescent="0.25">
      <c r="B96" t="s">
        <v>238</v>
      </c>
      <c r="C96" t="s">
        <v>87</v>
      </c>
      <c r="D96">
        <v>1.4050693377506978E-2</v>
      </c>
    </row>
    <row r="97" spans="2:4" x14ac:dyDescent="0.25">
      <c r="B97" t="s">
        <v>238</v>
      </c>
      <c r="C97" t="s">
        <v>88</v>
      </c>
      <c r="D97">
        <v>1.4040734979636265E-2</v>
      </c>
    </row>
    <row r="98" spans="2:4" x14ac:dyDescent="0.25">
      <c r="B98" t="s">
        <v>238</v>
      </c>
      <c r="C98" t="s">
        <v>89</v>
      </c>
      <c r="D98">
        <v>1.4039071239293576E-2</v>
      </c>
    </row>
    <row r="99" spans="2:4" x14ac:dyDescent="0.25">
      <c r="B99" t="s">
        <v>238</v>
      </c>
      <c r="C99" t="s">
        <v>90</v>
      </c>
      <c r="D99">
        <v>1.4036037566825218E-2</v>
      </c>
    </row>
    <row r="100" spans="2:4" x14ac:dyDescent="0.25">
      <c r="B100" t="s">
        <v>238</v>
      </c>
      <c r="C100" t="s">
        <v>91</v>
      </c>
      <c r="D100">
        <v>2.0857261143414522E-2</v>
      </c>
    </row>
    <row r="101" spans="2:4" x14ac:dyDescent="0.25">
      <c r="B101" t="s">
        <v>238</v>
      </c>
      <c r="C101" t="s">
        <v>92</v>
      </c>
      <c r="D101">
        <v>3.4782398833938591E-2</v>
      </c>
    </row>
    <row r="102" spans="2:4" x14ac:dyDescent="0.25">
      <c r="B102" t="s">
        <v>238</v>
      </c>
      <c r="C102" t="s">
        <v>93</v>
      </c>
      <c r="D102">
        <v>1.3976058161586653E-2</v>
      </c>
    </row>
    <row r="103" spans="2:4" x14ac:dyDescent="0.25">
      <c r="B103" t="s">
        <v>238</v>
      </c>
      <c r="C103" t="s">
        <v>94</v>
      </c>
      <c r="D103">
        <v>1.4168946481500194E-2</v>
      </c>
    </row>
    <row r="104" spans="2:4" x14ac:dyDescent="0.25">
      <c r="B104" t="s">
        <v>238</v>
      </c>
      <c r="C104" t="s">
        <v>95</v>
      </c>
      <c r="D104">
        <v>1.4271013462185095E-2</v>
      </c>
    </row>
    <row r="105" spans="2:4" x14ac:dyDescent="0.25">
      <c r="B105" t="s">
        <v>238</v>
      </c>
      <c r="C105" t="s">
        <v>96</v>
      </c>
      <c r="D105">
        <v>1.4284796644868997E-2</v>
      </c>
    </row>
    <row r="106" spans="2:4" x14ac:dyDescent="0.25">
      <c r="B106" t="s">
        <v>238</v>
      </c>
      <c r="C106" t="s">
        <v>97</v>
      </c>
      <c r="D106">
        <v>1.4287976928224094E-2</v>
      </c>
    </row>
    <row r="107" spans="2:4" x14ac:dyDescent="0.25">
      <c r="B107" t="s">
        <v>238</v>
      </c>
      <c r="C107" t="s">
        <v>98</v>
      </c>
      <c r="D107">
        <v>1.4279468805244982E-2</v>
      </c>
    </row>
    <row r="108" spans="2:4" x14ac:dyDescent="0.25">
      <c r="B108" t="s">
        <v>238</v>
      </c>
      <c r="C108" t="s">
        <v>99</v>
      </c>
      <c r="D108">
        <v>1.4275758376923445E-2</v>
      </c>
    </row>
    <row r="109" spans="2:4" x14ac:dyDescent="0.25">
      <c r="B109" t="s">
        <v>238</v>
      </c>
      <c r="C109" t="s">
        <v>100</v>
      </c>
      <c r="D109">
        <v>1.4267275471016853E-2</v>
      </c>
    </row>
    <row r="110" spans="2:4" x14ac:dyDescent="0.25">
      <c r="B110" t="s">
        <v>238</v>
      </c>
      <c r="C110" t="s">
        <v>101</v>
      </c>
      <c r="D110">
        <v>2.1208653260872293E-2</v>
      </c>
    </row>
    <row r="111" spans="2:4" x14ac:dyDescent="0.25">
      <c r="B111" t="s">
        <v>238</v>
      </c>
      <c r="C111" t="s">
        <v>102</v>
      </c>
      <c r="D111">
        <v>3.4240773348271684E-2</v>
      </c>
    </row>
    <row r="112" spans="2:4" x14ac:dyDescent="0.25">
      <c r="B112" t="s">
        <v>238</v>
      </c>
      <c r="C112" t="s">
        <v>103</v>
      </c>
      <c r="D112">
        <v>1.3791023490801949E-2</v>
      </c>
    </row>
    <row r="113" spans="2:4" x14ac:dyDescent="0.25">
      <c r="B113" t="s">
        <v>238</v>
      </c>
      <c r="C113" t="s">
        <v>104</v>
      </c>
      <c r="D113">
        <v>1.3957762879400657E-2</v>
      </c>
    </row>
    <row r="114" spans="2:4" x14ac:dyDescent="0.25">
      <c r="B114" t="s">
        <v>238</v>
      </c>
      <c r="C114" t="s">
        <v>105</v>
      </c>
      <c r="D114">
        <v>1.4039665585167321E-2</v>
      </c>
    </row>
    <row r="115" spans="2:4" x14ac:dyDescent="0.25">
      <c r="B115" t="s">
        <v>238</v>
      </c>
      <c r="C115" t="s">
        <v>106</v>
      </c>
      <c r="D115">
        <v>1.4037764921631663E-2</v>
      </c>
    </row>
    <row r="116" spans="2:4" x14ac:dyDescent="0.25">
      <c r="B116" t="s">
        <v>238</v>
      </c>
      <c r="C116" t="s">
        <v>107</v>
      </c>
      <c r="D116">
        <v>1.4034474386889742E-2</v>
      </c>
    </row>
    <row r="117" spans="2:4" x14ac:dyDescent="0.25">
      <c r="B117" t="s">
        <v>238</v>
      </c>
      <c r="C117" t="s">
        <v>108</v>
      </c>
      <c r="D117">
        <v>1.40260008640799E-2</v>
      </c>
    </row>
    <row r="118" spans="2:4" x14ac:dyDescent="0.25">
      <c r="B118" t="s">
        <v>238</v>
      </c>
      <c r="C118" t="s">
        <v>109</v>
      </c>
      <c r="D118">
        <v>1.4036471813610644E-2</v>
      </c>
    </row>
    <row r="119" spans="2:4" x14ac:dyDescent="0.25">
      <c r="B119" t="s">
        <v>238</v>
      </c>
      <c r="C119" t="s">
        <v>110</v>
      </c>
      <c r="D119">
        <v>1.403908911116067E-2</v>
      </c>
    </row>
    <row r="120" spans="2:4" x14ac:dyDescent="0.25">
      <c r="B120" t="s">
        <v>238</v>
      </c>
      <c r="C120" t="s">
        <v>111</v>
      </c>
      <c r="D120">
        <v>2.0868122202523244E-2</v>
      </c>
    </row>
    <row r="121" spans="2:4" x14ac:dyDescent="0.25">
      <c r="B121" t="s">
        <v>238</v>
      </c>
      <c r="C121" t="s">
        <v>112</v>
      </c>
      <c r="D121">
        <v>3.4268927403378974E-2</v>
      </c>
    </row>
    <row r="122" spans="2:4" x14ac:dyDescent="0.25">
      <c r="B122" t="s">
        <v>238</v>
      </c>
      <c r="C122" t="s">
        <v>113</v>
      </c>
      <c r="D122">
        <v>1.382418080369111E-2</v>
      </c>
    </row>
    <row r="123" spans="2:4" x14ac:dyDescent="0.25">
      <c r="B123" t="s">
        <v>238</v>
      </c>
      <c r="C123" t="s">
        <v>114</v>
      </c>
      <c r="D123">
        <v>1.3982919342978814E-2</v>
      </c>
    </row>
    <row r="124" spans="2:4" x14ac:dyDescent="0.25">
      <c r="B124" t="s">
        <v>238</v>
      </c>
      <c r="C124" t="s">
        <v>115</v>
      </c>
      <c r="D124">
        <v>1.4012656722357417E-2</v>
      </c>
    </row>
    <row r="125" spans="2:4" x14ac:dyDescent="0.25">
      <c r="B125" t="s">
        <v>238</v>
      </c>
      <c r="C125" t="s">
        <v>116</v>
      </c>
      <c r="D125">
        <v>1.402410820549866E-2</v>
      </c>
    </row>
    <row r="126" spans="2:4" x14ac:dyDescent="0.25">
      <c r="B126" t="s">
        <v>238</v>
      </c>
      <c r="C126" t="s">
        <v>117</v>
      </c>
      <c r="D126">
        <v>1.4025088152665607E-2</v>
      </c>
    </row>
    <row r="127" spans="2:4" x14ac:dyDescent="0.25">
      <c r="B127" t="s">
        <v>238</v>
      </c>
      <c r="C127" t="s">
        <v>118</v>
      </c>
      <c r="D127">
        <v>1.402750605940967E-2</v>
      </c>
    </row>
    <row r="128" spans="2:4" x14ac:dyDescent="0.25">
      <c r="B128" t="s">
        <v>238</v>
      </c>
      <c r="C128" t="s">
        <v>119</v>
      </c>
      <c r="D128">
        <v>1.4038076117899851E-2</v>
      </c>
    </row>
    <row r="129" spans="2:4" x14ac:dyDescent="0.25">
      <c r="B129" t="s">
        <v>238</v>
      </c>
      <c r="C129" t="s">
        <v>120</v>
      </c>
      <c r="D129">
        <v>1.4033297775879324E-2</v>
      </c>
    </row>
    <row r="130" spans="2:4" x14ac:dyDescent="0.25">
      <c r="B130" t="s">
        <v>238</v>
      </c>
      <c r="C130" t="s">
        <v>121</v>
      </c>
      <c r="D130">
        <v>2.0919557098812488E-2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807782-31AD-44FE-9A2D-3E8B8D83B357}">
  <dimension ref="B9:D70"/>
  <sheetViews>
    <sheetView workbookViewId="0"/>
  </sheetViews>
  <sheetFormatPr defaultRowHeight="15" x14ac:dyDescent="0.25"/>
  <sheetData>
    <row r="9" spans="2:4" x14ac:dyDescent="0.25">
      <c r="B9" t="str">
        <f>IF(A11="x","DeActivated","~TFM_DINS-AT")</f>
        <v>~TFM_DINS-AT</v>
      </c>
    </row>
    <row r="10" spans="2:4" x14ac:dyDescent="0.25">
      <c r="B10" t="s">
        <v>56</v>
      </c>
      <c r="C10" t="s">
        <v>57</v>
      </c>
      <c r="D10" t="s">
        <v>239</v>
      </c>
    </row>
    <row r="11" spans="2:4" x14ac:dyDescent="0.25">
      <c r="B11" t="s">
        <v>12</v>
      </c>
      <c r="C11" t="s">
        <v>61</v>
      </c>
      <c r="D11">
        <v>8.7222039047642363E-2</v>
      </c>
    </row>
    <row r="12" spans="2:4" x14ac:dyDescent="0.25">
      <c r="B12" t="s">
        <v>12</v>
      </c>
      <c r="C12" t="s">
        <v>63</v>
      </c>
      <c r="D12">
        <v>0.14867597678458022</v>
      </c>
    </row>
    <row r="13" spans="2:4" x14ac:dyDescent="0.25">
      <c r="B13" t="s">
        <v>12</v>
      </c>
      <c r="C13" t="s">
        <v>64</v>
      </c>
      <c r="D13">
        <v>8.6737615867732876E-2</v>
      </c>
    </row>
    <row r="14" spans="2:4" x14ac:dyDescent="0.25">
      <c r="B14" t="s">
        <v>12</v>
      </c>
      <c r="C14" t="s">
        <v>65</v>
      </c>
      <c r="D14">
        <v>6.8603540372098371E-2</v>
      </c>
    </row>
    <row r="15" spans="2:4" x14ac:dyDescent="0.25">
      <c r="B15" t="s">
        <v>12</v>
      </c>
      <c r="C15" t="s">
        <v>66</v>
      </c>
      <c r="D15">
        <v>5.5124758661117657E-2</v>
      </c>
    </row>
    <row r="16" spans="2:4" x14ac:dyDescent="0.25">
      <c r="B16" t="s">
        <v>12</v>
      </c>
      <c r="C16" t="s">
        <v>67</v>
      </c>
      <c r="D16">
        <v>5.3406684009268179E-2</v>
      </c>
    </row>
    <row r="17" spans="2:4" x14ac:dyDescent="0.25">
      <c r="B17" t="s">
        <v>12</v>
      </c>
      <c r="C17" t="s">
        <v>68</v>
      </c>
      <c r="D17">
        <v>5.3230645178597991E-2</v>
      </c>
    </row>
    <row r="18" spans="2:4" x14ac:dyDescent="0.25">
      <c r="B18" t="s">
        <v>12</v>
      </c>
      <c r="C18" t="s">
        <v>69</v>
      </c>
      <c r="D18">
        <v>4.8437291221033574E-2</v>
      </c>
    </row>
    <row r="19" spans="2:4" x14ac:dyDescent="0.25">
      <c r="B19" t="s">
        <v>12</v>
      </c>
      <c r="C19" t="s">
        <v>70</v>
      </c>
      <c r="D19">
        <v>4.9299572870282748E-2</v>
      </c>
    </row>
    <row r="20" spans="2:4" x14ac:dyDescent="0.25">
      <c r="B20" t="s">
        <v>12</v>
      </c>
      <c r="C20" t="s">
        <v>71</v>
      </c>
      <c r="D20">
        <v>9.2515212836474792E-2</v>
      </c>
    </row>
    <row r="21" spans="2:4" x14ac:dyDescent="0.25">
      <c r="B21" t="s">
        <v>12</v>
      </c>
      <c r="C21" t="s">
        <v>72</v>
      </c>
      <c r="D21">
        <v>8.8689604877612904E-2</v>
      </c>
    </row>
    <row r="22" spans="2:4" x14ac:dyDescent="0.25">
      <c r="B22" t="s">
        <v>12</v>
      </c>
      <c r="C22" t="s">
        <v>73</v>
      </c>
      <c r="D22">
        <v>0.15064477679209354</v>
      </c>
    </row>
    <row r="23" spans="2:4" x14ac:dyDescent="0.25">
      <c r="B23" t="s">
        <v>12</v>
      </c>
      <c r="C23" t="s">
        <v>74</v>
      </c>
      <c r="D23">
        <v>0.11257718518751214</v>
      </c>
    </row>
    <row r="24" spans="2:4" x14ac:dyDescent="0.25">
      <c r="B24" t="s">
        <v>12</v>
      </c>
      <c r="C24" t="s">
        <v>75</v>
      </c>
      <c r="D24">
        <v>7.9031563403679339E-2</v>
      </c>
    </row>
    <row r="25" spans="2:4" x14ac:dyDescent="0.25">
      <c r="B25" t="s">
        <v>12</v>
      </c>
      <c r="C25" t="s">
        <v>76</v>
      </c>
      <c r="D25">
        <v>7.8243590733635182E-2</v>
      </c>
    </row>
    <row r="26" spans="2:4" x14ac:dyDescent="0.25">
      <c r="B26" t="s">
        <v>12</v>
      </c>
      <c r="C26" t="s">
        <v>77</v>
      </c>
      <c r="D26">
        <v>7.9131505057886908E-2</v>
      </c>
    </row>
    <row r="27" spans="2:4" x14ac:dyDescent="0.25">
      <c r="B27" t="s">
        <v>12</v>
      </c>
      <c r="C27" t="s">
        <v>78</v>
      </c>
      <c r="D27">
        <v>7.9979273288912411E-2</v>
      </c>
    </row>
    <row r="28" spans="2:4" x14ac:dyDescent="0.25">
      <c r="B28" t="s">
        <v>12</v>
      </c>
      <c r="C28" t="s">
        <v>79</v>
      </c>
      <c r="D28">
        <v>7.4134875705727632E-2</v>
      </c>
    </row>
    <row r="29" spans="2:4" x14ac:dyDescent="0.25">
      <c r="B29" t="s">
        <v>12</v>
      </c>
      <c r="C29" t="s">
        <v>80</v>
      </c>
      <c r="D29">
        <v>7.1341955807377566E-2</v>
      </c>
    </row>
    <row r="30" spans="2:4" x14ac:dyDescent="0.25">
      <c r="B30" t="s">
        <v>12</v>
      </c>
      <c r="C30" t="s">
        <v>81</v>
      </c>
      <c r="D30">
        <v>0.14076176855161515</v>
      </c>
    </row>
    <row r="31" spans="2:4" x14ac:dyDescent="0.25">
      <c r="B31" t="s">
        <v>12</v>
      </c>
      <c r="C31" t="s">
        <v>82</v>
      </c>
      <c r="D31">
        <v>0.21181520793345432</v>
      </c>
    </row>
    <row r="32" spans="2:4" x14ac:dyDescent="0.25">
      <c r="B32" t="s">
        <v>12</v>
      </c>
      <c r="C32" t="s">
        <v>83</v>
      </c>
      <c r="D32">
        <v>0.1622477822868551</v>
      </c>
    </row>
    <row r="33" spans="2:4" x14ac:dyDescent="0.25">
      <c r="B33" t="s">
        <v>12</v>
      </c>
      <c r="C33" t="s">
        <v>84</v>
      </c>
      <c r="D33">
        <v>0.13732283574679927</v>
      </c>
    </row>
    <row r="34" spans="2:4" x14ac:dyDescent="0.25">
      <c r="B34" t="s">
        <v>12</v>
      </c>
      <c r="C34" t="s">
        <v>85</v>
      </c>
      <c r="D34">
        <v>9.074657973276401E-2</v>
      </c>
    </row>
    <row r="35" spans="2:4" x14ac:dyDescent="0.25">
      <c r="B35" t="s">
        <v>12</v>
      </c>
      <c r="C35" t="s">
        <v>86</v>
      </c>
      <c r="D35">
        <v>9.3117069000453023E-2</v>
      </c>
    </row>
    <row r="36" spans="2:4" x14ac:dyDescent="0.25">
      <c r="B36" t="s">
        <v>12</v>
      </c>
      <c r="C36" t="s">
        <v>87</v>
      </c>
      <c r="D36">
        <v>9.8319030370914051E-2</v>
      </c>
    </row>
    <row r="37" spans="2:4" x14ac:dyDescent="0.25">
      <c r="B37" t="s">
        <v>12</v>
      </c>
      <c r="C37" t="s">
        <v>88</v>
      </c>
      <c r="D37">
        <v>9.2711900902328281E-2</v>
      </c>
    </row>
    <row r="38" spans="2:4" x14ac:dyDescent="0.25">
      <c r="B38" t="s">
        <v>12</v>
      </c>
      <c r="C38" t="s">
        <v>89</v>
      </c>
      <c r="D38">
        <v>8.3849859247620451E-2</v>
      </c>
    </row>
    <row r="39" spans="2:4" x14ac:dyDescent="0.25">
      <c r="B39" t="s">
        <v>12</v>
      </c>
      <c r="C39" t="s">
        <v>90</v>
      </c>
      <c r="D39">
        <v>8.7577239748919844E-2</v>
      </c>
    </row>
    <row r="40" spans="2:4" x14ac:dyDescent="0.25">
      <c r="B40" t="s">
        <v>12</v>
      </c>
      <c r="C40" t="s">
        <v>91</v>
      </c>
      <c r="D40">
        <v>0.1615717742962679</v>
      </c>
    </row>
    <row r="41" spans="2:4" x14ac:dyDescent="0.25">
      <c r="B41" t="s">
        <v>12</v>
      </c>
      <c r="C41" t="s">
        <v>92</v>
      </c>
      <c r="D41">
        <v>0.24154525763758317</v>
      </c>
    </row>
    <row r="42" spans="2:4" x14ac:dyDescent="0.25">
      <c r="B42" t="s">
        <v>12</v>
      </c>
      <c r="C42" t="s">
        <v>93</v>
      </c>
      <c r="D42">
        <v>0.16421804600514434</v>
      </c>
    </row>
    <row r="43" spans="2:4" x14ac:dyDescent="0.25">
      <c r="B43" t="s">
        <v>12</v>
      </c>
      <c r="C43" t="s">
        <v>94</v>
      </c>
      <c r="D43">
        <v>0.14650196587343722</v>
      </c>
    </row>
    <row r="44" spans="2:4" x14ac:dyDescent="0.25">
      <c r="B44" t="s">
        <v>12</v>
      </c>
      <c r="C44" t="s">
        <v>95</v>
      </c>
      <c r="D44">
        <v>9.6961384299926401E-2</v>
      </c>
    </row>
    <row r="45" spans="2:4" x14ac:dyDescent="0.25">
      <c r="B45" t="s">
        <v>12</v>
      </c>
      <c r="C45" t="s">
        <v>96</v>
      </c>
      <c r="D45">
        <v>9.0467247907556336E-2</v>
      </c>
    </row>
    <row r="46" spans="2:4" x14ac:dyDescent="0.25">
      <c r="B46" t="s">
        <v>12</v>
      </c>
      <c r="C46" t="s">
        <v>97</v>
      </c>
      <c r="D46">
        <v>8.8159482938605205E-2</v>
      </c>
    </row>
    <row r="47" spans="2:4" x14ac:dyDescent="0.25">
      <c r="B47" t="s">
        <v>12</v>
      </c>
      <c r="C47" t="s">
        <v>98</v>
      </c>
      <c r="D47">
        <v>7.6592255883402238E-2</v>
      </c>
    </row>
    <row r="48" spans="2:4" x14ac:dyDescent="0.25">
      <c r="B48" t="s">
        <v>12</v>
      </c>
      <c r="C48" t="s">
        <v>99</v>
      </c>
      <c r="D48">
        <v>6.9758731152961495E-2</v>
      </c>
    </row>
    <row r="49" spans="2:4" x14ac:dyDescent="0.25">
      <c r="B49" t="s">
        <v>12</v>
      </c>
      <c r="C49" t="s">
        <v>100</v>
      </c>
      <c r="D49">
        <v>7.5783649845420742E-2</v>
      </c>
    </row>
    <row r="50" spans="2:4" x14ac:dyDescent="0.25">
      <c r="B50" t="s">
        <v>12</v>
      </c>
      <c r="C50" t="s">
        <v>101</v>
      </c>
      <c r="D50">
        <v>0.15421127362918852</v>
      </c>
    </row>
    <row r="51" spans="2:4" x14ac:dyDescent="0.25">
      <c r="B51" t="s">
        <v>12</v>
      </c>
      <c r="C51" t="s">
        <v>102</v>
      </c>
      <c r="D51">
        <v>0.1206969483962812</v>
      </c>
    </row>
    <row r="52" spans="2:4" x14ac:dyDescent="0.25">
      <c r="B52" t="s">
        <v>12</v>
      </c>
      <c r="C52" t="s">
        <v>103</v>
      </c>
      <c r="D52">
        <v>0.14011003829764279</v>
      </c>
    </row>
    <row r="53" spans="2:4" x14ac:dyDescent="0.25">
      <c r="B53" t="s">
        <v>12</v>
      </c>
      <c r="C53" t="s">
        <v>104</v>
      </c>
      <c r="D53">
        <v>8.8944719999356048E-2</v>
      </c>
    </row>
    <row r="54" spans="2:4" x14ac:dyDescent="0.25">
      <c r="B54" t="s">
        <v>12</v>
      </c>
      <c r="C54" t="s">
        <v>105</v>
      </c>
      <c r="D54">
        <v>5.1443577321744094E-2</v>
      </c>
    </row>
    <row r="55" spans="2:4" x14ac:dyDescent="0.25">
      <c r="B55" t="s">
        <v>12</v>
      </c>
      <c r="C55" t="s">
        <v>106</v>
      </c>
      <c r="D55">
        <v>5.3101385201292706E-2</v>
      </c>
    </row>
    <row r="56" spans="2:4" x14ac:dyDescent="0.25">
      <c r="B56" t="s">
        <v>12</v>
      </c>
      <c r="C56" t="s">
        <v>107</v>
      </c>
      <c r="D56">
        <v>5.5473030492887876E-2</v>
      </c>
    </row>
    <row r="57" spans="2:4" x14ac:dyDescent="0.25">
      <c r="B57" t="s">
        <v>12</v>
      </c>
      <c r="C57" t="s">
        <v>108</v>
      </c>
      <c r="D57">
        <v>5.5325487979653198E-2</v>
      </c>
    </row>
    <row r="58" spans="2:4" x14ac:dyDescent="0.25">
      <c r="B58" t="s">
        <v>12</v>
      </c>
      <c r="C58" t="s">
        <v>109</v>
      </c>
      <c r="D58">
        <v>4.87509544451592E-2</v>
      </c>
    </row>
    <row r="59" spans="2:4" x14ac:dyDescent="0.25">
      <c r="B59" t="s">
        <v>12</v>
      </c>
      <c r="C59" t="s">
        <v>110</v>
      </c>
      <c r="D59">
        <v>4.214345386513707E-2</v>
      </c>
    </row>
    <row r="60" spans="2:4" x14ac:dyDescent="0.25">
      <c r="B60" t="s">
        <v>12</v>
      </c>
      <c r="C60" t="s">
        <v>111</v>
      </c>
      <c r="D60">
        <v>0.13700512792357222</v>
      </c>
    </row>
    <row r="61" spans="2:4" x14ac:dyDescent="0.25">
      <c r="B61" t="s">
        <v>12</v>
      </c>
      <c r="C61" t="s">
        <v>112</v>
      </c>
      <c r="D61">
        <v>6.5341757336167872E-2</v>
      </c>
    </row>
    <row r="62" spans="2:4" x14ac:dyDescent="0.25">
      <c r="B62" t="s">
        <v>12</v>
      </c>
      <c r="C62" t="s">
        <v>113</v>
      </c>
      <c r="D62">
        <v>0.17535941619123663</v>
      </c>
    </row>
    <row r="63" spans="2:4" x14ac:dyDescent="0.25">
      <c r="B63" t="s">
        <v>12</v>
      </c>
      <c r="C63" t="s">
        <v>114</v>
      </c>
      <c r="D63">
        <v>7.7771630759678523E-2</v>
      </c>
    </row>
    <row r="64" spans="2:4" x14ac:dyDescent="0.25">
      <c r="B64" t="s">
        <v>12</v>
      </c>
      <c r="C64" t="s">
        <v>115</v>
      </c>
      <c r="D64">
        <v>4.8406339218903804E-2</v>
      </c>
    </row>
    <row r="65" spans="2:4" x14ac:dyDescent="0.25">
      <c r="B65" t="s">
        <v>12</v>
      </c>
      <c r="C65" t="s">
        <v>116</v>
      </c>
      <c r="D65">
        <v>4.0952165235050186E-2</v>
      </c>
    </row>
    <row r="66" spans="2:4" x14ac:dyDescent="0.25">
      <c r="B66" t="s">
        <v>12</v>
      </c>
      <c r="C66" t="s">
        <v>117</v>
      </c>
      <c r="D66">
        <v>4.103441551205389E-2</v>
      </c>
    </row>
    <row r="67" spans="2:4" x14ac:dyDescent="0.25">
      <c r="B67" t="s">
        <v>12</v>
      </c>
      <c r="C67" t="s">
        <v>118</v>
      </c>
      <c r="D67">
        <v>3.8339387585043072E-2</v>
      </c>
    </row>
    <row r="68" spans="2:4" x14ac:dyDescent="0.25">
      <c r="B68" t="s">
        <v>12</v>
      </c>
      <c r="C68" t="s">
        <v>119</v>
      </c>
      <c r="D68">
        <v>2.9380835989768928E-2</v>
      </c>
    </row>
    <row r="69" spans="2:4" x14ac:dyDescent="0.25">
      <c r="B69" t="s">
        <v>12</v>
      </c>
      <c r="C69" t="s">
        <v>120</v>
      </c>
      <c r="D69">
        <v>3.2608724934238831E-2</v>
      </c>
    </row>
    <row r="70" spans="2:4" x14ac:dyDescent="0.25">
      <c r="B70" t="s">
        <v>12</v>
      </c>
      <c r="C70" t="s">
        <v>121</v>
      </c>
      <c r="D70">
        <v>6.828916303860133E-2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4B025C-66B4-485E-A6EE-4AE06EC2ED71}">
  <dimension ref="B9:E184"/>
  <sheetViews>
    <sheetView tabSelected="1" workbookViewId="0"/>
  </sheetViews>
  <sheetFormatPr defaultRowHeight="15" x14ac:dyDescent="0.25"/>
  <sheetData>
    <row r="9" spans="2:5" x14ac:dyDescent="0.25">
      <c r="B9" t="str">
        <f>IF(A11="x","DeActivated","~TFM_INS-AT")</f>
        <v>~TFM_INS-AT</v>
      </c>
    </row>
    <row r="10" spans="2:5" x14ac:dyDescent="0.25">
      <c r="B10" t="s">
        <v>240</v>
      </c>
      <c r="C10" t="s">
        <v>57</v>
      </c>
      <c r="D10" t="s">
        <v>241</v>
      </c>
      <c r="E10" t="s">
        <v>242</v>
      </c>
    </row>
    <row r="11" spans="2:5" x14ac:dyDescent="0.25">
      <c r="B11">
        <v>2020</v>
      </c>
      <c r="C11" t="s">
        <v>37</v>
      </c>
      <c r="D11">
        <v>0.20690979395095077</v>
      </c>
      <c r="E11" t="s">
        <v>243</v>
      </c>
    </row>
    <row r="12" spans="2:5" x14ac:dyDescent="0.25">
      <c r="B12">
        <v>2020</v>
      </c>
      <c r="C12" t="s">
        <v>41</v>
      </c>
      <c r="D12">
        <v>0.18744056762489941</v>
      </c>
      <c r="E12" t="s">
        <v>243</v>
      </c>
    </row>
    <row r="13" spans="2:5" x14ac:dyDescent="0.25">
      <c r="B13">
        <v>2020</v>
      </c>
      <c r="C13" t="s">
        <v>43</v>
      </c>
      <c r="D13">
        <v>0.1958982517738278</v>
      </c>
      <c r="E13" t="s">
        <v>243</v>
      </c>
    </row>
    <row r="14" spans="2:5" x14ac:dyDescent="0.25">
      <c r="B14">
        <v>2020</v>
      </c>
      <c r="C14" t="s">
        <v>45</v>
      </c>
      <c r="D14">
        <v>0.1714395435593592</v>
      </c>
      <c r="E14" t="s">
        <v>243</v>
      </c>
    </row>
    <row r="15" spans="2:5" x14ac:dyDescent="0.25">
      <c r="B15">
        <v>2020</v>
      </c>
      <c r="C15" t="s">
        <v>47</v>
      </c>
      <c r="D15">
        <v>0.18744056762489941</v>
      </c>
      <c r="E15" t="s">
        <v>243</v>
      </c>
    </row>
    <row r="16" spans="2:5" x14ac:dyDescent="0.25">
      <c r="B16">
        <v>2020</v>
      </c>
      <c r="C16" t="s">
        <v>49</v>
      </c>
      <c r="D16">
        <v>0.18149733011484159</v>
      </c>
      <c r="E16" t="s">
        <v>243</v>
      </c>
    </row>
    <row r="17" spans="2:5" x14ac:dyDescent="0.25">
      <c r="B17">
        <v>2021</v>
      </c>
      <c r="C17" t="s">
        <v>37</v>
      </c>
      <c r="D17">
        <v>0.22665368109332196</v>
      </c>
      <c r="E17" t="s">
        <v>243</v>
      </c>
    </row>
    <row r="18" spans="2:5" x14ac:dyDescent="0.25">
      <c r="B18">
        <v>2021</v>
      </c>
      <c r="C18" t="s">
        <v>41</v>
      </c>
      <c r="D18">
        <v>0.29583749030041018</v>
      </c>
      <c r="E18" t="s">
        <v>243</v>
      </c>
    </row>
    <row r="19" spans="2:5" x14ac:dyDescent="0.25">
      <c r="B19">
        <v>2021</v>
      </c>
      <c r="C19" t="s">
        <v>43</v>
      </c>
      <c r="D19">
        <v>0.22447622214832061</v>
      </c>
      <c r="E19" t="s">
        <v>243</v>
      </c>
    </row>
    <row r="20" spans="2:5" x14ac:dyDescent="0.25">
      <c r="B20">
        <v>2021</v>
      </c>
      <c r="C20" t="s">
        <v>45</v>
      </c>
      <c r="D20">
        <v>0.18013523999556591</v>
      </c>
      <c r="E20" t="s">
        <v>243</v>
      </c>
    </row>
    <row r="21" spans="2:5" x14ac:dyDescent="0.25">
      <c r="B21">
        <v>2021</v>
      </c>
      <c r="C21" t="s">
        <v>47</v>
      </c>
      <c r="D21">
        <v>0.21177437830247942</v>
      </c>
      <c r="E21" t="s">
        <v>243</v>
      </c>
    </row>
    <row r="22" spans="2:5" x14ac:dyDescent="0.25">
      <c r="B22">
        <v>2021</v>
      </c>
      <c r="C22" t="s">
        <v>49</v>
      </c>
      <c r="D22">
        <v>0.1547315523038835</v>
      </c>
      <c r="E22" t="s">
        <v>243</v>
      </c>
    </row>
    <row r="23" spans="2:5" x14ac:dyDescent="0.25">
      <c r="B23">
        <v>2022</v>
      </c>
      <c r="C23" t="s">
        <v>37</v>
      </c>
      <c r="D23">
        <v>0.27528292422959966</v>
      </c>
      <c r="E23" t="s">
        <v>243</v>
      </c>
    </row>
    <row r="24" spans="2:5" x14ac:dyDescent="0.25">
      <c r="B24">
        <v>2022</v>
      </c>
      <c r="C24" t="s">
        <v>41</v>
      </c>
      <c r="D24">
        <v>0.25121607782898103</v>
      </c>
      <c r="E24" t="s">
        <v>243</v>
      </c>
    </row>
    <row r="25" spans="2:5" x14ac:dyDescent="0.25">
      <c r="B25">
        <v>2022</v>
      </c>
      <c r="C25" t="s">
        <v>43</v>
      </c>
      <c r="D25">
        <v>0.16686782239777631</v>
      </c>
      <c r="E25" t="s">
        <v>243</v>
      </c>
    </row>
    <row r="26" spans="2:5" x14ac:dyDescent="0.25">
      <c r="B26">
        <v>2022</v>
      </c>
      <c r="C26" t="s">
        <v>45</v>
      </c>
      <c r="D26">
        <v>0.10972130787798989</v>
      </c>
      <c r="E26" t="s">
        <v>243</v>
      </c>
    </row>
    <row r="27" spans="2:5" x14ac:dyDescent="0.25">
      <c r="B27">
        <v>2022</v>
      </c>
      <c r="C27" t="s">
        <v>47</v>
      </c>
      <c r="D27">
        <v>0.13920890937019964</v>
      </c>
      <c r="E27" t="s">
        <v>243</v>
      </c>
    </row>
    <row r="28" spans="2:5" x14ac:dyDescent="0.25">
      <c r="B28">
        <v>2022</v>
      </c>
      <c r="C28" t="s">
        <v>49</v>
      </c>
      <c r="D28">
        <v>0.14606649111257403</v>
      </c>
      <c r="E28" t="s">
        <v>243</v>
      </c>
    </row>
    <row r="29" spans="2:5" x14ac:dyDescent="0.25">
      <c r="B29">
        <v>2025</v>
      </c>
      <c r="C29" t="s">
        <v>37</v>
      </c>
      <c r="D29">
        <v>0.24329999999999999</v>
      </c>
      <c r="E29" t="s">
        <v>243</v>
      </c>
    </row>
    <row r="30" spans="2:5" x14ac:dyDescent="0.25">
      <c r="B30">
        <v>2025</v>
      </c>
      <c r="C30" t="s">
        <v>41</v>
      </c>
      <c r="D30">
        <v>0.24654999999999999</v>
      </c>
      <c r="E30" t="s">
        <v>243</v>
      </c>
    </row>
    <row r="31" spans="2:5" x14ac:dyDescent="0.25">
      <c r="B31">
        <v>2025</v>
      </c>
      <c r="C31" t="s">
        <v>43</v>
      </c>
      <c r="D31">
        <v>0.18925</v>
      </c>
      <c r="E31" t="s">
        <v>243</v>
      </c>
    </row>
    <row r="32" spans="2:5" x14ac:dyDescent="0.25">
      <c r="B32">
        <v>2025</v>
      </c>
      <c r="C32" t="s">
        <v>45</v>
      </c>
      <c r="D32">
        <v>0.14174999999999999</v>
      </c>
      <c r="E32" t="s">
        <v>243</v>
      </c>
    </row>
    <row r="33" spans="2:5" x14ac:dyDescent="0.25">
      <c r="B33">
        <v>2025</v>
      </c>
      <c r="C33" t="s">
        <v>47</v>
      </c>
      <c r="D33">
        <v>0.16034999999999999</v>
      </c>
      <c r="E33" t="s">
        <v>243</v>
      </c>
    </row>
    <row r="34" spans="2:5" x14ac:dyDescent="0.25">
      <c r="B34">
        <v>2025</v>
      </c>
      <c r="C34" t="s">
        <v>49</v>
      </c>
      <c r="D34">
        <v>0.1865</v>
      </c>
      <c r="E34" t="s">
        <v>243</v>
      </c>
    </row>
    <row r="35" spans="2:5" x14ac:dyDescent="0.25">
      <c r="B35">
        <v>2026</v>
      </c>
      <c r="C35" t="s">
        <v>37</v>
      </c>
      <c r="D35">
        <v>0.22265000000000001</v>
      </c>
      <c r="E35" t="s">
        <v>243</v>
      </c>
    </row>
    <row r="36" spans="2:5" x14ac:dyDescent="0.25">
      <c r="B36">
        <v>2026</v>
      </c>
      <c r="C36" t="s">
        <v>41</v>
      </c>
      <c r="D36">
        <v>0.25980000000000003</v>
      </c>
      <c r="E36" t="s">
        <v>243</v>
      </c>
    </row>
    <row r="37" spans="2:5" x14ac:dyDescent="0.25">
      <c r="B37">
        <v>2026</v>
      </c>
      <c r="C37" t="s">
        <v>43</v>
      </c>
      <c r="D37">
        <v>0.1943</v>
      </c>
      <c r="E37" t="s">
        <v>243</v>
      </c>
    </row>
    <row r="38" spans="2:5" x14ac:dyDescent="0.25">
      <c r="B38">
        <v>2026</v>
      </c>
      <c r="C38" t="s">
        <v>45</v>
      </c>
      <c r="D38">
        <v>0.13874999999999998</v>
      </c>
      <c r="E38" t="s">
        <v>243</v>
      </c>
    </row>
    <row r="39" spans="2:5" x14ac:dyDescent="0.25">
      <c r="B39">
        <v>2026</v>
      </c>
      <c r="C39" t="s">
        <v>47</v>
      </c>
      <c r="D39">
        <v>0.15939999999999999</v>
      </c>
      <c r="E39" t="s">
        <v>243</v>
      </c>
    </row>
    <row r="40" spans="2:5" x14ac:dyDescent="0.25">
      <c r="B40">
        <v>2026</v>
      </c>
      <c r="C40" t="s">
        <v>49</v>
      </c>
      <c r="D40">
        <v>0.18530000000000002</v>
      </c>
      <c r="E40" t="s">
        <v>243</v>
      </c>
    </row>
    <row r="41" spans="2:5" x14ac:dyDescent="0.25">
      <c r="B41">
        <v>2027</v>
      </c>
      <c r="C41" t="s">
        <v>37</v>
      </c>
      <c r="D41">
        <v>0.25314999999999999</v>
      </c>
      <c r="E41" t="s">
        <v>243</v>
      </c>
    </row>
    <row r="42" spans="2:5" x14ac:dyDescent="0.25">
      <c r="B42">
        <v>2027</v>
      </c>
      <c r="C42" t="s">
        <v>41</v>
      </c>
      <c r="D42">
        <v>0.26219999999999999</v>
      </c>
      <c r="E42" t="s">
        <v>243</v>
      </c>
    </row>
    <row r="43" spans="2:5" x14ac:dyDescent="0.25">
      <c r="B43">
        <v>2027</v>
      </c>
      <c r="C43" t="s">
        <v>43</v>
      </c>
      <c r="D43">
        <v>0.20129999999999998</v>
      </c>
      <c r="E43" t="s">
        <v>243</v>
      </c>
    </row>
    <row r="44" spans="2:5" x14ac:dyDescent="0.25">
      <c r="B44">
        <v>2027</v>
      </c>
      <c r="C44" t="s">
        <v>45</v>
      </c>
      <c r="D44">
        <v>0.13184999999999999</v>
      </c>
      <c r="E44" t="s">
        <v>243</v>
      </c>
    </row>
    <row r="45" spans="2:5" x14ac:dyDescent="0.25">
      <c r="B45">
        <v>2027</v>
      </c>
      <c r="C45" t="s">
        <v>47</v>
      </c>
      <c r="D45">
        <v>0.1595</v>
      </c>
      <c r="E45" t="s">
        <v>243</v>
      </c>
    </row>
    <row r="46" spans="2:5" x14ac:dyDescent="0.25">
      <c r="B46">
        <v>2027</v>
      </c>
      <c r="C46" t="s">
        <v>49</v>
      </c>
      <c r="D46">
        <v>0.20850000000000002</v>
      </c>
      <c r="E46" t="s">
        <v>243</v>
      </c>
    </row>
    <row r="47" spans="2:5" x14ac:dyDescent="0.25">
      <c r="B47">
        <v>2028</v>
      </c>
      <c r="C47" t="s">
        <v>37</v>
      </c>
      <c r="D47">
        <v>0.20929999999999999</v>
      </c>
      <c r="E47" t="s">
        <v>243</v>
      </c>
    </row>
    <row r="48" spans="2:5" x14ac:dyDescent="0.25">
      <c r="B48">
        <v>2028</v>
      </c>
      <c r="C48" t="s">
        <v>41</v>
      </c>
      <c r="D48">
        <v>0.20750000000000002</v>
      </c>
      <c r="E48" t="s">
        <v>243</v>
      </c>
    </row>
    <row r="49" spans="2:5" x14ac:dyDescent="0.25">
      <c r="B49">
        <v>2028</v>
      </c>
      <c r="C49" t="s">
        <v>43</v>
      </c>
      <c r="D49">
        <v>0.17910000000000001</v>
      </c>
      <c r="E49" t="s">
        <v>243</v>
      </c>
    </row>
    <row r="50" spans="2:5" x14ac:dyDescent="0.25">
      <c r="B50">
        <v>2028</v>
      </c>
      <c r="C50" t="s">
        <v>45</v>
      </c>
      <c r="D50">
        <v>0.11799999999999999</v>
      </c>
      <c r="E50" t="s">
        <v>243</v>
      </c>
    </row>
    <row r="51" spans="2:5" x14ac:dyDescent="0.25">
      <c r="B51">
        <v>2028</v>
      </c>
      <c r="C51" t="s">
        <v>47</v>
      </c>
      <c r="D51">
        <v>0.12840000000000001</v>
      </c>
      <c r="E51" t="s">
        <v>243</v>
      </c>
    </row>
    <row r="52" spans="2:5" x14ac:dyDescent="0.25">
      <c r="B52">
        <v>2028</v>
      </c>
      <c r="C52" t="s">
        <v>49</v>
      </c>
      <c r="D52">
        <v>0.17809999999999998</v>
      </c>
      <c r="E52" t="s">
        <v>243</v>
      </c>
    </row>
    <row r="53" spans="2:5" x14ac:dyDescent="0.25">
      <c r="B53">
        <v>2029</v>
      </c>
      <c r="C53" t="s">
        <v>37</v>
      </c>
      <c r="D53">
        <v>0.19955000000000001</v>
      </c>
      <c r="E53" t="s">
        <v>243</v>
      </c>
    </row>
    <row r="54" spans="2:5" x14ac:dyDescent="0.25">
      <c r="B54">
        <v>2029</v>
      </c>
      <c r="C54" t="s">
        <v>41</v>
      </c>
      <c r="D54">
        <v>0.22925000000000001</v>
      </c>
      <c r="E54" t="s">
        <v>243</v>
      </c>
    </row>
    <row r="55" spans="2:5" x14ac:dyDescent="0.25">
      <c r="B55">
        <v>2029</v>
      </c>
      <c r="C55" t="s">
        <v>43</v>
      </c>
      <c r="D55">
        <v>0.16920000000000002</v>
      </c>
      <c r="E55" t="s">
        <v>243</v>
      </c>
    </row>
    <row r="56" spans="2:5" x14ac:dyDescent="0.25">
      <c r="B56">
        <v>2029</v>
      </c>
      <c r="C56" t="s">
        <v>45</v>
      </c>
      <c r="D56">
        <v>0.13109999999999999</v>
      </c>
      <c r="E56" t="s">
        <v>243</v>
      </c>
    </row>
    <row r="57" spans="2:5" x14ac:dyDescent="0.25">
      <c r="B57">
        <v>2029</v>
      </c>
      <c r="C57" t="s">
        <v>47</v>
      </c>
      <c r="D57">
        <v>0.12640000000000001</v>
      </c>
      <c r="E57" t="s">
        <v>243</v>
      </c>
    </row>
    <row r="58" spans="2:5" x14ac:dyDescent="0.25">
      <c r="B58">
        <v>2029</v>
      </c>
      <c r="C58" t="s">
        <v>49</v>
      </c>
      <c r="D58">
        <v>0.1623</v>
      </c>
      <c r="E58" t="s">
        <v>243</v>
      </c>
    </row>
    <row r="59" spans="2:5" x14ac:dyDescent="0.25">
      <c r="B59">
        <v>2030</v>
      </c>
      <c r="C59" t="s">
        <v>37</v>
      </c>
      <c r="D59">
        <v>0.21925</v>
      </c>
      <c r="E59" t="s">
        <v>243</v>
      </c>
    </row>
    <row r="60" spans="2:5" x14ac:dyDescent="0.25">
      <c r="B60">
        <v>2030</v>
      </c>
      <c r="C60" t="s">
        <v>41</v>
      </c>
      <c r="D60">
        <v>0.22664999999999999</v>
      </c>
      <c r="E60" t="s">
        <v>243</v>
      </c>
    </row>
    <row r="61" spans="2:5" x14ac:dyDescent="0.25">
      <c r="B61">
        <v>2030</v>
      </c>
      <c r="C61" t="s">
        <v>43</v>
      </c>
      <c r="D61">
        <v>0.15744999999999998</v>
      </c>
      <c r="E61" t="s">
        <v>243</v>
      </c>
    </row>
    <row r="62" spans="2:5" x14ac:dyDescent="0.25">
      <c r="B62">
        <v>2030</v>
      </c>
      <c r="C62" t="s">
        <v>45</v>
      </c>
      <c r="D62">
        <v>0.11365</v>
      </c>
      <c r="E62" t="s">
        <v>243</v>
      </c>
    </row>
    <row r="63" spans="2:5" x14ac:dyDescent="0.25">
      <c r="B63">
        <v>2030</v>
      </c>
      <c r="C63" t="s">
        <v>47</v>
      </c>
      <c r="D63">
        <v>0.13850000000000001</v>
      </c>
      <c r="E63" t="s">
        <v>243</v>
      </c>
    </row>
    <row r="64" spans="2:5" x14ac:dyDescent="0.25">
      <c r="B64">
        <v>2030</v>
      </c>
      <c r="C64" t="s">
        <v>49</v>
      </c>
      <c r="D64">
        <v>0.15994999999999998</v>
      </c>
      <c r="E64" t="s">
        <v>243</v>
      </c>
    </row>
    <row r="65" spans="2:5" x14ac:dyDescent="0.25">
      <c r="B65">
        <v>2031</v>
      </c>
      <c r="C65" t="s">
        <v>37</v>
      </c>
      <c r="D65">
        <v>0.20905000000000001</v>
      </c>
      <c r="E65" t="s">
        <v>243</v>
      </c>
    </row>
    <row r="66" spans="2:5" x14ac:dyDescent="0.25">
      <c r="B66">
        <v>2031</v>
      </c>
      <c r="C66" t="s">
        <v>41</v>
      </c>
      <c r="D66">
        <v>0.22475000000000001</v>
      </c>
      <c r="E66" t="s">
        <v>243</v>
      </c>
    </row>
    <row r="67" spans="2:5" x14ac:dyDescent="0.25">
      <c r="B67">
        <v>2031</v>
      </c>
      <c r="C67" t="s">
        <v>43</v>
      </c>
      <c r="D67">
        <v>0.16470000000000001</v>
      </c>
      <c r="E67" t="s">
        <v>243</v>
      </c>
    </row>
    <row r="68" spans="2:5" x14ac:dyDescent="0.25">
      <c r="B68">
        <v>2031</v>
      </c>
      <c r="C68" t="s">
        <v>45</v>
      </c>
      <c r="D68">
        <v>0.11365</v>
      </c>
      <c r="E68" t="s">
        <v>243</v>
      </c>
    </row>
    <row r="69" spans="2:5" x14ac:dyDescent="0.25">
      <c r="B69">
        <v>2031</v>
      </c>
      <c r="C69" t="s">
        <v>47</v>
      </c>
      <c r="D69">
        <v>0.12775</v>
      </c>
      <c r="E69" t="s">
        <v>243</v>
      </c>
    </row>
    <row r="70" spans="2:5" x14ac:dyDescent="0.25">
      <c r="B70">
        <v>2031</v>
      </c>
      <c r="C70" t="s">
        <v>49</v>
      </c>
      <c r="D70">
        <v>0.14745000000000003</v>
      </c>
      <c r="E70" t="s">
        <v>243</v>
      </c>
    </row>
    <row r="71" spans="2:5" x14ac:dyDescent="0.25">
      <c r="B71">
        <v>2032</v>
      </c>
      <c r="C71" t="s">
        <v>37</v>
      </c>
      <c r="D71">
        <v>0.21465000000000001</v>
      </c>
      <c r="E71" t="s">
        <v>243</v>
      </c>
    </row>
    <row r="72" spans="2:5" x14ac:dyDescent="0.25">
      <c r="B72">
        <v>2032</v>
      </c>
      <c r="C72" t="s">
        <v>41</v>
      </c>
      <c r="D72">
        <v>0.21815000000000001</v>
      </c>
      <c r="E72" t="s">
        <v>243</v>
      </c>
    </row>
    <row r="73" spans="2:5" x14ac:dyDescent="0.25">
      <c r="B73">
        <v>2032</v>
      </c>
      <c r="C73" t="s">
        <v>43</v>
      </c>
      <c r="D73">
        <v>0.16544999999999999</v>
      </c>
      <c r="E73" t="s">
        <v>243</v>
      </c>
    </row>
    <row r="74" spans="2:5" x14ac:dyDescent="0.25">
      <c r="B74">
        <v>2032</v>
      </c>
      <c r="C74" t="s">
        <v>45</v>
      </c>
      <c r="D74">
        <v>0.12159999999999999</v>
      </c>
      <c r="E74" t="s">
        <v>243</v>
      </c>
    </row>
    <row r="75" spans="2:5" x14ac:dyDescent="0.25">
      <c r="B75">
        <v>2032</v>
      </c>
      <c r="C75" t="s">
        <v>47</v>
      </c>
      <c r="D75">
        <v>0.1358</v>
      </c>
      <c r="E75" t="s">
        <v>243</v>
      </c>
    </row>
    <row r="76" spans="2:5" x14ac:dyDescent="0.25">
      <c r="B76">
        <v>2032</v>
      </c>
      <c r="C76" t="s">
        <v>49</v>
      </c>
      <c r="D76">
        <v>0.1673</v>
      </c>
      <c r="E76" t="s">
        <v>243</v>
      </c>
    </row>
    <row r="77" spans="2:5" x14ac:dyDescent="0.25">
      <c r="B77">
        <v>2033</v>
      </c>
      <c r="C77" t="s">
        <v>37</v>
      </c>
      <c r="D77">
        <v>0.28260000000000002</v>
      </c>
      <c r="E77" t="s">
        <v>243</v>
      </c>
    </row>
    <row r="78" spans="2:5" x14ac:dyDescent="0.25">
      <c r="B78">
        <v>2033</v>
      </c>
      <c r="C78" t="s">
        <v>41</v>
      </c>
      <c r="D78">
        <v>0.32719999999999999</v>
      </c>
      <c r="E78" t="s">
        <v>243</v>
      </c>
    </row>
    <row r="79" spans="2:5" x14ac:dyDescent="0.25">
      <c r="B79">
        <v>2033</v>
      </c>
      <c r="C79" t="s">
        <v>43</v>
      </c>
      <c r="D79">
        <v>0.21460000000000001</v>
      </c>
      <c r="E79" t="s">
        <v>243</v>
      </c>
    </row>
    <row r="80" spans="2:5" x14ac:dyDescent="0.25">
      <c r="B80">
        <v>2033</v>
      </c>
      <c r="C80" t="s">
        <v>45</v>
      </c>
      <c r="D80">
        <v>0.17604999999999998</v>
      </c>
      <c r="E80" t="s">
        <v>243</v>
      </c>
    </row>
    <row r="81" spans="2:5" x14ac:dyDescent="0.25">
      <c r="B81">
        <v>2033</v>
      </c>
      <c r="C81" t="s">
        <v>47</v>
      </c>
      <c r="D81">
        <v>0.18535000000000001</v>
      </c>
      <c r="E81" t="s">
        <v>243</v>
      </c>
    </row>
    <row r="82" spans="2:5" x14ac:dyDescent="0.25">
      <c r="B82">
        <v>2033</v>
      </c>
      <c r="C82" t="s">
        <v>49</v>
      </c>
      <c r="D82">
        <v>0.2195</v>
      </c>
      <c r="E82" t="s">
        <v>243</v>
      </c>
    </row>
    <row r="83" spans="2:5" x14ac:dyDescent="0.25">
      <c r="B83">
        <v>2034</v>
      </c>
      <c r="C83" t="s">
        <v>37</v>
      </c>
      <c r="D83">
        <v>0.25190000000000001</v>
      </c>
      <c r="E83" t="s">
        <v>243</v>
      </c>
    </row>
    <row r="84" spans="2:5" x14ac:dyDescent="0.25">
      <c r="B84">
        <v>2034</v>
      </c>
      <c r="C84" t="s">
        <v>41</v>
      </c>
      <c r="D84">
        <v>0.29785</v>
      </c>
      <c r="E84" t="s">
        <v>243</v>
      </c>
    </row>
    <row r="85" spans="2:5" x14ac:dyDescent="0.25">
      <c r="B85">
        <v>2034</v>
      </c>
      <c r="C85" t="s">
        <v>43</v>
      </c>
      <c r="D85">
        <v>0.22275</v>
      </c>
      <c r="E85" t="s">
        <v>243</v>
      </c>
    </row>
    <row r="86" spans="2:5" x14ac:dyDescent="0.25">
      <c r="B86">
        <v>2034</v>
      </c>
      <c r="C86" t="s">
        <v>45</v>
      </c>
      <c r="D86">
        <v>0.15934999999999999</v>
      </c>
      <c r="E86" t="s">
        <v>243</v>
      </c>
    </row>
    <row r="87" spans="2:5" x14ac:dyDescent="0.25">
      <c r="B87">
        <v>2034</v>
      </c>
      <c r="C87" t="s">
        <v>47</v>
      </c>
      <c r="D87">
        <v>0.17804999999999999</v>
      </c>
      <c r="E87" t="s">
        <v>243</v>
      </c>
    </row>
    <row r="88" spans="2:5" x14ac:dyDescent="0.25">
      <c r="B88">
        <v>2034</v>
      </c>
      <c r="C88" t="s">
        <v>49</v>
      </c>
      <c r="D88">
        <v>0.20815</v>
      </c>
      <c r="E88" t="s">
        <v>243</v>
      </c>
    </row>
    <row r="89" spans="2:5" x14ac:dyDescent="0.25">
      <c r="B89">
        <v>2035</v>
      </c>
      <c r="C89" t="s">
        <v>37</v>
      </c>
      <c r="D89">
        <v>0.27110000000000001</v>
      </c>
      <c r="E89" t="s">
        <v>243</v>
      </c>
    </row>
    <row r="90" spans="2:5" x14ac:dyDescent="0.25">
      <c r="B90">
        <v>2035</v>
      </c>
      <c r="C90" t="s">
        <v>41</v>
      </c>
      <c r="D90">
        <v>0.27900000000000003</v>
      </c>
      <c r="E90" t="s">
        <v>243</v>
      </c>
    </row>
    <row r="91" spans="2:5" x14ac:dyDescent="0.25">
      <c r="B91">
        <v>2035</v>
      </c>
      <c r="C91" t="s">
        <v>43</v>
      </c>
      <c r="D91">
        <v>0.23310000000000003</v>
      </c>
      <c r="E91" t="s">
        <v>243</v>
      </c>
    </row>
    <row r="92" spans="2:5" x14ac:dyDescent="0.25">
      <c r="B92">
        <v>2035</v>
      </c>
      <c r="C92" t="s">
        <v>45</v>
      </c>
      <c r="D92">
        <v>0.16314999999999999</v>
      </c>
      <c r="E92" t="s">
        <v>243</v>
      </c>
    </row>
    <row r="93" spans="2:5" x14ac:dyDescent="0.25">
      <c r="B93">
        <v>2035</v>
      </c>
      <c r="C93" t="s">
        <v>47</v>
      </c>
      <c r="D93">
        <v>0.17115</v>
      </c>
      <c r="E93" t="s">
        <v>243</v>
      </c>
    </row>
    <row r="94" spans="2:5" x14ac:dyDescent="0.25">
      <c r="B94">
        <v>2035</v>
      </c>
      <c r="C94" t="s">
        <v>49</v>
      </c>
      <c r="D94">
        <v>0.2155</v>
      </c>
      <c r="E94" t="s">
        <v>243</v>
      </c>
    </row>
    <row r="95" spans="2:5" x14ac:dyDescent="0.25">
      <c r="B95">
        <v>2036</v>
      </c>
      <c r="C95" t="s">
        <v>37</v>
      </c>
      <c r="D95">
        <v>0.26539999999999997</v>
      </c>
      <c r="E95" t="s">
        <v>243</v>
      </c>
    </row>
    <row r="96" spans="2:5" x14ac:dyDescent="0.25">
      <c r="B96">
        <v>2036</v>
      </c>
      <c r="C96" t="s">
        <v>41</v>
      </c>
      <c r="D96">
        <v>0.31664999999999999</v>
      </c>
      <c r="E96" t="s">
        <v>243</v>
      </c>
    </row>
    <row r="97" spans="2:5" x14ac:dyDescent="0.25">
      <c r="B97">
        <v>2036</v>
      </c>
      <c r="C97" t="s">
        <v>43</v>
      </c>
      <c r="D97">
        <v>0.24130000000000001</v>
      </c>
      <c r="E97" t="s">
        <v>243</v>
      </c>
    </row>
    <row r="98" spans="2:5" x14ac:dyDescent="0.25">
      <c r="B98">
        <v>2036</v>
      </c>
      <c r="C98" t="s">
        <v>45</v>
      </c>
      <c r="D98">
        <v>0.15334999999999999</v>
      </c>
      <c r="E98" t="s">
        <v>243</v>
      </c>
    </row>
    <row r="99" spans="2:5" x14ac:dyDescent="0.25">
      <c r="B99">
        <v>2036</v>
      </c>
      <c r="C99" t="s">
        <v>47</v>
      </c>
      <c r="D99">
        <v>0.17144999999999999</v>
      </c>
      <c r="E99" t="s">
        <v>243</v>
      </c>
    </row>
    <row r="100" spans="2:5" x14ac:dyDescent="0.25">
      <c r="B100">
        <v>2036</v>
      </c>
      <c r="C100" t="s">
        <v>49</v>
      </c>
      <c r="D100">
        <v>0.21810000000000002</v>
      </c>
      <c r="E100" t="s">
        <v>243</v>
      </c>
    </row>
    <row r="101" spans="2:5" x14ac:dyDescent="0.25">
      <c r="B101">
        <v>2037</v>
      </c>
      <c r="C101" t="s">
        <v>37</v>
      </c>
      <c r="D101">
        <v>0.28065000000000001</v>
      </c>
      <c r="E101" t="s">
        <v>243</v>
      </c>
    </row>
    <row r="102" spans="2:5" x14ac:dyDescent="0.25">
      <c r="B102">
        <v>2037</v>
      </c>
      <c r="C102" t="s">
        <v>41</v>
      </c>
      <c r="D102">
        <v>0.31405000000000005</v>
      </c>
      <c r="E102" t="s">
        <v>243</v>
      </c>
    </row>
    <row r="103" spans="2:5" x14ac:dyDescent="0.25">
      <c r="B103">
        <v>2037</v>
      </c>
      <c r="C103" t="s">
        <v>43</v>
      </c>
      <c r="D103">
        <v>0.20695</v>
      </c>
      <c r="E103" t="s">
        <v>243</v>
      </c>
    </row>
    <row r="104" spans="2:5" x14ac:dyDescent="0.25">
      <c r="B104">
        <v>2037</v>
      </c>
      <c r="C104" t="s">
        <v>45</v>
      </c>
      <c r="D104">
        <v>0.16714999999999999</v>
      </c>
      <c r="E104" t="s">
        <v>243</v>
      </c>
    </row>
    <row r="105" spans="2:5" x14ac:dyDescent="0.25">
      <c r="B105">
        <v>2037</v>
      </c>
      <c r="C105" t="s">
        <v>47</v>
      </c>
      <c r="D105">
        <v>0.1915</v>
      </c>
      <c r="E105" t="s">
        <v>243</v>
      </c>
    </row>
    <row r="106" spans="2:5" x14ac:dyDescent="0.25">
      <c r="B106">
        <v>2037</v>
      </c>
      <c r="C106" t="s">
        <v>49</v>
      </c>
      <c r="D106">
        <v>0.21515000000000001</v>
      </c>
      <c r="E106" t="s">
        <v>243</v>
      </c>
    </row>
    <row r="107" spans="2:5" x14ac:dyDescent="0.25">
      <c r="B107">
        <v>2038</v>
      </c>
      <c r="C107" t="s">
        <v>37</v>
      </c>
      <c r="D107">
        <v>0.29200000000000004</v>
      </c>
      <c r="E107" t="s">
        <v>243</v>
      </c>
    </row>
    <row r="108" spans="2:5" x14ac:dyDescent="0.25">
      <c r="B108">
        <v>2038</v>
      </c>
      <c r="C108" t="s">
        <v>41</v>
      </c>
      <c r="D108">
        <v>0.28539999999999999</v>
      </c>
      <c r="E108" t="s">
        <v>243</v>
      </c>
    </row>
    <row r="109" spans="2:5" x14ac:dyDescent="0.25">
      <c r="B109">
        <v>2038</v>
      </c>
      <c r="C109" t="s">
        <v>43</v>
      </c>
      <c r="D109">
        <v>0.2271</v>
      </c>
      <c r="E109" t="s">
        <v>243</v>
      </c>
    </row>
    <row r="110" spans="2:5" x14ac:dyDescent="0.25">
      <c r="B110">
        <v>2038</v>
      </c>
      <c r="C110" t="s">
        <v>45</v>
      </c>
      <c r="D110">
        <v>0.16159999999999999</v>
      </c>
      <c r="E110" t="s">
        <v>243</v>
      </c>
    </row>
    <row r="111" spans="2:5" x14ac:dyDescent="0.25">
      <c r="B111">
        <v>2038</v>
      </c>
      <c r="C111" t="s">
        <v>47</v>
      </c>
      <c r="D111">
        <v>0.16535</v>
      </c>
      <c r="E111" t="s">
        <v>243</v>
      </c>
    </row>
    <row r="112" spans="2:5" x14ac:dyDescent="0.25">
      <c r="B112">
        <v>2038</v>
      </c>
      <c r="C112" t="s">
        <v>49</v>
      </c>
      <c r="D112">
        <v>0.22975000000000001</v>
      </c>
      <c r="E112" t="s">
        <v>243</v>
      </c>
    </row>
    <row r="113" spans="2:5" x14ac:dyDescent="0.25">
      <c r="B113">
        <v>2039</v>
      </c>
      <c r="C113" t="s">
        <v>37</v>
      </c>
      <c r="D113">
        <v>0.25219999999999998</v>
      </c>
      <c r="E113" t="s">
        <v>243</v>
      </c>
    </row>
    <row r="114" spans="2:5" x14ac:dyDescent="0.25">
      <c r="B114">
        <v>2039</v>
      </c>
      <c r="C114" t="s">
        <v>41</v>
      </c>
      <c r="D114">
        <v>0.26405000000000001</v>
      </c>
      <c r="E114" t="s">
        <v>243</v>
      </c>
    </row>
    <row r="115" spans="2:5" x14ac:dyDescent="0.25">
      <c r="B115">
        <v>2039</v>
      </c>
      <c r="C115" t="s">
        <v>43</v>
      </c>
      <c r="D115">
        <v>0.185</v>
      </c>
      <c r="E115" t="s">
        <v>243</v>
      </c>
    </row>
    <row r="116" spans="2:5" x14ac:dyDescent="0.25">
      <c r="B116">
        <v>2039</v>
      </c>
      <c r="C116" t="s">
        <v>45</v>
      </c>
      <c r="D116">
        <v>0.14655000000000001</v>
      </c>
      <c r="E116" t="s">
        <v>243</v>
      </c>
    </row>
    <row r="117" spans="2:5" x14ac:dyDescent="0.25">
      <c r="B117">
        <v>2039</v>
      </c>
      <c r="C117" t="s">
        <v>47</v>
      </c>
      <c r="D117">
        <v>0.16209999999999999</v>
      </c>
      <c r="E117" t="s">
        <v>243</v>
      </c>
    </row>
    <row r="118" spans="2:5" x14ac:dyDescent="0.25">
      <c r="B118">
        <v>2039</v>
      </c>
      <c r="C118" t="s">
        <v>49</v>
      </c>
      <c r="D118">
        <v>0.19614999999999999</v>
      </c>
      <c r="E118" t="s">
        <v>243</v>
      </c>
    </row>
    <row r="119" spans="2:5" x14ac:dyDescent="0.25">
      <c r="B119">
        <v>2040</v>
      </c>
      <c r="C119" t="s">
        <v>37</v>
      </c>
      <c r="D119">
        <v>0.23655000000000001</v>
      </c>
      <c r="E119" t="s">
        <v>243</v>
      </c>
    </row>
    <row r="120" spans="2:5" x14ac:dyDescent="0.25">
      <c r="B120">
        <v>2040</v>
      </c>
      <c r="C120" t="s">
        <v>41</v>
      </c>
      <c r="D120">
        <v>0.24534999999999998</v>
      </c>
      <c r="E120" t="s">
        <v>243</v>
      </c>
    </row>
    <row r="121" spans="2:5" x14ac:dyDescent="0.25">
      <c r="B121">
        <v>2040</v>
      </c>
      <c r="C121" t="s">
        <v>43</v>
      </c>
      <c r="D121">
        <v>0.20974999999999999</v>
      </c>
      <c r="E121" t="s">
        <v>243</v>
      </c>
    </row>
    <row r="122" spans="2:5" x14ac:dyDescent="0.25">
      <c r="B122">
        <v>2040</v>
      </c>
      <c r="C122" t="s">
        <v>45</v>
      </c>
      <c r="D122">
        <v>0.1368</v>
      </c>
      <c r="E122" t="s">
        <v>243</v>
      </c>
    </row>
    <row r="123" spans="2:5" x14ac:dyDescent="0.25">
      <c r="B123">
        <v>2040</v>
      </c>
      <c r="C123" t="s">
        <v>47</v>
      </c>
      <c r="D123">
        <v>0.16464999999999999</v>
      </c>
      <c r="E123" t="s">
        <v>243</v>
      </c>
    </row>
    <row r="124" spans="2:5" x14ac:dyDescent="0.25">
      <c r="B124">
        <v>2040</v>
      </c>
      <c r="C124" t="s">
        <v>49</v>
      </c>
      <c r="D124">
        <v>0.19220000000000001</v>
      </c>
      <c r="E124" t="s">
        <v>243</v>
      </c>
    </row>
    <row r="125" spans="2:5" x14ac:dyDescent="0.25">
      <c r="B125">
        <v>2041</v>
      </c>
      <c r="C125" t="s">
        <v>37</v>
      </c>
      <c r="D125">
        <v>0.24109999999999998</v>
      </c>
      <c r="E125" t="s">
        <v>243</v>
      </c>
    </row>
    <row r="126" spans="2:5" x14ac:dyDescent="0.25">
      <c r="B126">
        <v>2041</v>
      </c>
      <c r="C126" t="s">
        <v>41</v>
      </c>
      <c r="D126">
        <v>0.26390000000000002</v>
      </c>
      <c r="E126" t="s">
        <v>243</v>
      </c>
    </row>
    <row r="127" spans="2:5" x14ac:dyDescent="0.25">
      <c r="B127">
        <v>2041</v>
      </c>
      <c r="C127" t="s">
        <v>43</v>
      </c>
      <c r="D127">
        <v>0.2014</v>
      </c>
      <c r="E127" t="s">
        <v>243</v>
      </c>
    </row>
    <row r="128" spans="2:5" x14ac:dyDescent="0.25">
      <c r="B128">
        <v>2041</v>
      </c>
      <c r="C128" t="s">
        <v>45</v>
      </c>
      <c r="D128">
        <v>0.14895</v>
      </c>
      <c r="E128" t="s">
        <v>243</v>
      </c>
    </row>
    <row r="129" spans="2:5" x14ac:dyDescent="0.25">
      <c r="B129">
        <v>2041</v>
      </c>
      <c r="C129" t="s">
        <v>47</v>
      </c>
      <c r="D129">
        <v>0.15260000000000001</v>
      </c>
      <c r="E129" t="s">
        <v>243</v>
      </c>
    </row>
    <row r="130" spans="2:5" x14ac:dyDescent="0.25">
      <c r="B130">
        <v>2041</v>
      </c>
      <c r="C130" t="s">
        <v>49</v>
      </c>
      <c r="D130">
        <v>0.19714999999999999</v>
      </c>
      <c r="E130" t="s">
        <v>243</v>
      </c>
    </row>
    <row r="131" spans="2:5" x14ac:dyDescent="0.25">
      <c r="B131">
        <v>2042</v>
      </c>
      <c r="C131" t="s">
        <v>37</v>
      </c>
      <c r="D131">
        <v>0.27234999999999998</v>
      </c>
      <c r="E131" t="s">
        <v>243</v>
      </c>
    </row>
    <row r="132" spans="2:5" x14ac:dyDescent="0.25">
      <c r="B132">
        <v>2042</v>
      </c>
      <c r="C132" t="s">
        <v>41</v>
      </c>
      <c r="D132">
        <v>0.28439999999999999</v>
      </c>
      <c r="E132" t="s">
        <v>243</v>
      </c>
    </row>
    <row r="133" spans="2:5" x14ac:dyDescent="0.25">
      <c r="B133">
        <v>2042</v>
      </c>
      <c r="C133" t="s">
        <v>43</v>
      </c>
      <c r="D133">
        <v>0.22170000000000001</v>
      </c>
      <c r="E133" t="s">
        <v>243</v>
      </c>
    </row>
    <row r="134" spans="2:5" x14ac:dyDescent="0.25">
      <c r="B134">
        <v>2042</v>
      </c>
      <c r="C134" t="s">
        <v>45</v>
      </c>
      <c r="D134">
        <v>0.16875000000000001</v>
      </c>
      <c r="E134" t="s">
        <v>243</v>
      </c>
    </row>
    <row r="135" spans="2:5" x14ac:dyDescent="0.25">
      <c r="B135">
        <v>2042</v>
      </c>
      <c r="C135" t="s">
        <v>47</v>
      </c>
      <c r="D135">
        <v>0.16805</v>
      </c>
      <c r="E135" t="s">
        <v>243</v>
      </c>
    </row>
    <row r="136" spans="2:5" x14ac:dyDescent="0.25">
      <c r="B136">
        <v>2042</v>
      </c>
      <c r="C136" t="s">
        <v>49</v>
      </c>
      <c r="D136">
        <v>0.20760000000000001</v>
      </c>
      <c r="E136" t="s">
        <v>243</v>
      </c>
    </row>
    <row r="137" spans="2:5" x14ac:dyDescent="0.25">
      <c r="B137">
        <v>2043</v>
      </c>
      <c r="C137" t="s">
        <v>37</v>
      </c>
      <c r="D137">
        <v>0.28234999999999999</v>
      </c>
      <c r="E137" t="s">
        <v>243</v>
      </c>
    </row>
    <row r="138" spans="2:5" x14ac:dyDescent="0.25">
      <c r="B138">
        <v>2043</v>
      </c>
      <c r="C138" t="s">
        <v>41</v>
      </c>
      <c r="D138">
        <v>0.29315000000000002</v>
      </c>
      <c r="E138" t="s">
        <v>243</v>
      </c>
    </row>
    <row r="139" spans="2:5" x14ac:dyDescent="0.25">
      <c r="B139">
        <v>2043</v>
      </c>
      <c r="C139" t="s">
        <v>43</v>
      </c>
      <c r="D139">
        <v>0.2303</v>
      </c>
      <c r="E139" t="s">
        <v>243</v>
      </c>
    </row>
    <row r="140" spans="2:5" x14ac:dyDescent="0.25">
      <c r="B140">
        <v>2043</v>
      </c>
      <c r="C140" t="s">
        <v>45</v>
      </c>
      <c r="D140">
        <v>0.1623</v>
      </c>
      <c r="E140" t="s">
        <v>243</v>
      </c>
    </row>
    <row r="141" spans="2:5" x14ac:dyDescent="0.25">
      <c r="B141">
        <v>2043</v>
      </c>
      <c r="C141" t="s">
        <v>47</v>
      </c>
      <c r="D141">
        <v>0.18025000000000002</v>
      </c>
      <c r="E141" t="s">
        <v>243</v>
      </c>
    </row>
    <row r="142" spans="2:5" x14ac:dyDescent="0.25">
      <c r="B142">
        <v>2043</v>
      </c>
      <c r="C142" t="s">
        <v>49</v>
      </c>
      <c r="D142">
        <v>0.21579999999999999</v>
      </c>
      <c r="E142" t="s">
        <v>243</v>
      </c>
    </row>
    <row r="143" spans="2:5" x14ac:dyDescent="0.25">
      <c r="B143">
        <v>2044</v>
      </c>
      <c r="C143" t="s">
        <v>37</v>
      </c>
      <c r="D143">
        <v>0.28289999999999998</v>
      </c>
      <c r="E143" t="s">
        <v>243</v>
      </c>
    </row>
    <row r="144" spans="2:5" x14ac:dyDescent="0.25">
      <c r="B144">
        <v>2044</v>
      </c>
      <c r="C144" t="s">
        <v>41</v>
      </c>
      <c r="D144">
        <v>0.31014999999999998</v>
      </c>
      <c r="E144" t="s">
        <v>243</v>
      </c>
    </row>
    <row r="145" spans="2:5" x14ac:dyDescent="0.25">
      <c r="B145">
        <v>2044</v>
      </c>
      <c r="C145" t="s">
        <v>43</v>
      </c>
      <c r="D145">
        <v>0.22644999999999998</v>
      </c>
      <c r="E145" t="s">
        <v>243</v>
      </c>
    </row>
    <row r="146" spans="2:5" x14ac:dyDescent="0.25">
      <c r="B146">
        <v>2044</v>
      </c>
      <c r="C146" t="s">
        <v>45</v>
      </c>
      <c r="D146">
        <v>0.1628</v>
      </c>
      <c r="E146" t="s">
        <v>243</v>
      </c>
    </row>
    <row r="147" spans="2:5" x14ac:dyDescent="0.25">
      <c r="B147">
        <v>2044</v>
      </c>
      <c r="C147" t="s">
        <v>47</v>
      </c>
      <c r="D147">
        <v>0.18590000000000001</v>
      </c>
      <c r="E147" t="s">
        <v>243</v>
      </c>
    </row>
    <row r="148" spans="2:5" x14ac:dyDescent="0.25">
      <c r="B148">
        <v>2044</v>
      </c>
      <c r="C148" t="s">
        <v>49</v>
      </c>
      <c r="D148">
        <v>0.21634999999999999</v>
      </c>
      <c r="E148" t="s">
        <v>243</v>
      </c>
    </row>
    <row r="149" spans="2:5" x14ac:dyDescent="0.25">
      <c r="B149">
        <v>2045</v>
      </c>
      <c r="C149" t="s">
        <v>37</v>
      </c>
      <c r="D149">
        <v>0.20295000000000002</v>
      </c>
      <c r="E149" t="s">
        <v>243</v>
      </c>
    </row>
    <row r="150" spans="2:5" x14ac:dyDescent="0.25">
      <c r="B150">
        <v>2045</v>
      </c>
      <c r="C150" t="s">
        <v>41</v>
      </c>
      <c r="D150">
        <v>0.22010000000000002</v>
      </c>
      <c r="E150" t="s">
        <v>243</v>
      </c>
    </row>
    <row r="151" spans="2:5" x14ac:dyDescent="0.25">
      <c r="B151">
        <v>2045</v>
      </c>
      <c r="C151" t="s">
        <v>43</v>
      </c>
      <c r="D151">
        <v>0.16485</v>
      </c>
      <c r="E151" t="s">
        <v>243</v>
      </c>
    </row>
    <row r="152" spans="2:5" x14ac:dyDescent="0.25">
      <c r="B152">
        <v>2045</v>
      </c>
      <c r="C152" t="s">
        <v>45</v>
      </c>
      <c r="D152">
        <v>0.1212</v>
      </c>
      <c r="E152" t="s">
        <v>243</v>
      </c>
    </row>
    <row r="153" spans="2:5" x14ac:dyDescent="0.25">
      <c r="B153">
        <v>2045</v>
      </c>
      <c r="C153" t="s">
        <v>47</v>
      </c>
      <c r="D153">
        <v>0.12975</v>
      </c>
      <c r="E153" t="s">
        <v>243</v>
      </c>
    </row>
    <row r="154" spans="2:5" x14ac:dyDescent="0.25">
      <c r="B154">
        <v>2045</v>
      </c>
      <c r="C154" t="s">
        <v>49</v>
      </c>
      <c r="D154">
        <v>0.16869999999999999</v>
      </c>
      <c r="E154" t="s">
        <v>243</v>
      </c>
    </row>
    <row r="155" spans="2:5" x14ac:dyDescent="0.25">
      <c r="B155">
        <v>2046</v>
      </c>
      <c r="C155" t="s">
        <v>37</v>
      </c>
      <c r="D155">
        <v>0.2059</v>
      </c>
      <c r="E155" t="s">
        <v>243</v>
      </c>
    </row>
    <row r="156" spans="2:5" x14ac:dyDescent="0.25">
      <c r="B156">
        <v>2046</v>
      </c>
      <c r="C156" t="s">
        <v>41</v>
      </c>
      <c r="D156">
        <v>0.22939999999999999</v>
      </c>
      <c r="E156" t="s">
        <v>243</v>
      </c>
    </row>
    <row r="157" spans="2:5" x14ac:dyDescent="0.25">
      <c r="B157">
        <v>2046</v>
      </c>
      <c r="C157" t="s">
        <v>43</v>
      </c>
      <c r="D157">
        <v>0.15689999999999998</v>
      </c>
      <c r="E157" t="s">
        <v>243</v>
      </c>
    </row>
    <row r="158" spans="2:5" x14ac:dyDescent="0.25">
      <c r="B158">
        <v>2046</v>
      </c>
      <c r="C158" t="s">
        <v>45</v>
      </c>
      <c r="D158">
        <v>0.12859999999999999</v>
      </c>
      <c r="E158" t="s">
        <v>243</v>
      </c>
    </row>
    <row r="159" spans="2:5" x14ac:dyDescent="0.25">
      <c r="B159">
        <v>2046</v>
      </c>
      <c r="C159" t="s">
        <v>47</v>
      </c>
      <c r="D159">
        <v>0.12570000000000001</v>
      </c>
      <c r="E159" t="s">
        <v>243</v>
      </c>
    </row>
    <row r="160" spans="2:5" x14ac:dyDescent="0.25">
      <c r="B160">
        <v>2046</v>
      </c>
      <c r="C160" t="s">
        <v>49</v>
      </c>
      <c r="D160">
        <v>0.15090000000000001</v>
      </c>
      <c r="E160" t="s">
        <v>243</v>
      </c>
    </row>
    <row r="161" spans="2:5" x14ac:dyDescent="0.25">
      <c r="B161">
        <v>2047</v>
      </c>
      <c r="C161" t="s">
        <v>37</v>
      </c>
      <c r="D161">
        <v>0.23635</v>
      </c>
      <c r="E161" t="s">
        <v>243</v>
      </c>
    </row>
    <row r="162" spans="2:5" x14ac:dyDescent="0.25">
      <c r="B162">
        <v>2047</v>
      </c>
      <c r="C162" t="s">
        <v>41</v>
      </c>
      <c r="D162">
        <v>0.27295000000000003</v>
      </c>
      <c r="E162" t="s">
        <v>243</v>
      </c>
    </row>
    <row r="163" spans="2:5" x14ac:dyDescent="0.25">
      <c r="B163">
        <v>2047</v>
      </c>
      <c r="C163" t="s">
        <v>43</v>
      </c>
      <c r="D163">
        <v>0.19205</v>
      </c>
      <c r="E163" t="s">
        <v>243</v>
      </c>
    </row>
    <row r="164" spans="2:5" x14ac:dyDescent="0.25">
      <c r="B164">
        <v>2047</v>
      </c>
      <c r="C164" t="s">
        <v>45</v>
      </c>
      <c r="D164">
        <v>0.14415</v>
      </c>
      <c r="E164" t="s">
        <v>243</v>
      </c>
    </row>
    <row r="165" spans="2:5" x14ac:dyDescent="0.25">
      <c r="B165">
        <v>2047</v>
      </c>
      <c r="C165" t="s">
        <v>47</v>
      </c>
      <c r="D165">
        <v>0.16239999999999999</v>
      </c>
      <c r="E165" t="s">
        <v>243</v>
      </c>
    </row>
    <row r="166" spans="2:5" x14ac:dyDescent="0.25">
      <c r="B166">
        <v>2047</v>
      </c>
      <c r="C166" t="s">
        <v>49</v>
      </c>
      <c r="D166">
        <v>0.19295000000000001</v>
      </c>
      <c r="E166" t="s">
        <v>243</v>
      </c>
    </row>
    <row r="167" spans="2:5" x14ac:dyDescent="0.25">
      <c r="B167">
        <v>2048</v>
      </c>
      <c r="C167" t="s">
        <v>37</v>
      </c>
      <c r="D167">
        <v>0.24989999999999998</v>
      </c>
      <c r="E167" t="s">
        <v>243</v>
      </c>
    </row>
    <row r="168" spans="2:5" x14ac:dyDescent="0.25">
      <c r="B168">
        <v>2048</v>
      </c>
      <c r="C168" t="s">
        <v>41</v>
      </c>
      <c r="D168">
        <v>0.27105000000000001</v>
      </c>
      <c r="E168" t="s">
        <v>243</v>
      </c>
    </row>
    <row r="169" spans="2:5" x14ac:dyDescent="0.25">
      <c r="B169">
        <v>2048</v>
      </c>
      <c r="C169" t="s">
        <v>43</v>
      </c>
      <c r="D169">
        <v>0.20330000000000001</v>
      </c>
      <c r="E169" t="s">
        <v>243</v>
      </c>
    </row>
    <row r="170" spans="2:5" x14ac:dyDescent="0.25">
      <c r="B170">
        <v>2048</v>
      </c>
      <c r="C170" t="s">
        <v>45</v>
      </c>
      <c r="D170">
        <v>0.14050000000000001</v>
      </c>
      <c r="E170" t="s">
        <v>243</v>
      </c>
    </row>
    <row r="171" spans="2:5" x14ac:dyDescent="0.25">
      <c r="B171">
        <v>2048</v>
      </c>
      <c r="C171" t="s">
        <v>47</v>
      </c>
      <c r="D171">
        <v>0.14579999999999999</v>
      </c>
      <c r="E171" t="s">
        <v>243</v>
      </c>
    </row>
    <row r="172" spans="2:5" x14ac:dyDescent="0.25">
      <c r="B172">
        <v>2048</v>
      </c>
      <c r="C172" t="s">
        <v>49</v>
      </c>
      <c r="D172">
        <v>0.18924999999999997</v>
      </c>
      <c r="E172" t="s">
        <v>243</v>
      </c>
    </row>
    <row r="173" spans="2:5" x14ac:dyDescent="0.25">
      <c r="B173">
        <v>2049</v>
      </c>
      <c r="C173" t="s">
        <v>37</v>
      </c>
      <c r="D173">
        <v>0.23665</v>
      </c>
      <c r="E173" t="s">
        <v>243</v>
      </c>
    </row>
    <row r="174" spans="2:5" x14ac:dyDescent="0.25">
      <c r="B174">
        <v>2049</v>
      </c>
      <c r="C174" t="s">
        <v>41</v>
      </c>
      <c r="D174">
        <v>0.24374999999999999</v>
      </c>
      <c r="E174" t="s">
        <v>243</v>
      </c>
    </row>
    <row r="175" spans="2:5" x14ac:dyDescent="0.25">
      <c r="B175">
        <v>2049</v>
      </c>
      <c r="C175" t="s">
        <v>43</v>
      </c>
      <c r="D175">
        <v>0.19145000000000001</v>
      </c>
      <c r="E175" t="s">
        <v>243</v>
      </c>
    </row>
    <row r="176" spans="2:5" x14ac:dyDescent="0.25">
      <c r="B176">
        <v>2049</v>
      </c>
      <c r="C176" t="s">
        <v>45</v>
      </c>
      <c r="D176">
        <v>0.14355000000000001</v>
      </c>
      <c r="E176" t="s">
        <v>243</v>
      </c>
    </row>
    <row r="177" spans="2:5" x14ac:dyDescent="0.25">
      <c r="B177">
        <v>2049</v>
      </c>
      <c r="C177" t="s">
        <v>47</v>
      </c>
      <c r="D177">
        <v>0.1454</v>
      </c>
      <c r="E177" t="s">
        <v>243</v>
      </c>
    </row>
    <row r="178" spans="2:5" x14ac:dyDescent="0.25">
      <c r="B178">
        <v>2049</v>
      </c>
      <c r="C178" t="s">
        <v>49</v>
      </c>
      <c r="D178">
        <v>0.18345</v>
      </c>
      <c r="E178" t="s">
        <v>243</v>
      </c>
    </row>
    <row r="179" spans="2:5" x14ac:dyDescent="0.25">
      <c r="B179">
        <v>2050</v>
      </c>
      <c r="C179" t="s">
        <v>37</v>
      </c>
      <c r="D179">
        <v>0.24930000000000002</v>
      </c>
      <c r="E179" t="s">
        <v>243</v>
      </c>
    </row>
    <row r="180" spans="2:5" x14ac:dyDescent="0.25">
      <c r="B180">
        <v>2050</v>
      </c>
      <c r="C180" t="s">
        <v>41</v>
      </c>
      <c r="D180">
        <v>0.24460000000000001</v>
      </c>
      <c r="E180" t="s">
        <v>243</v>
      </c>
    </row>
    <row r="181" spans="2:5" x14ac:dyDescent="0.25">
      <c r="B181">
        <v>2050</v>
      </c>
      <c r="C181" t="s">
        <v>43</v>
      </c>
      <c r="D181">
        <v>0.20345000000000002</v>
      </c>
      <c r="E181" t="s">
        <v>243</v>
      </c>
    </row>
    <row r="182" spans="2:5" x14ac:dyDescent="0.25">
      <c r="B182">
        <v>2050</v>
      </c>
      <c r="C182" t="s">
        <v>45</v>
      </c>
      <c r="D182">
        <v>0.12859999999999999</v>
      </c>
      <c r="E182" t="s">
        <v>243</v>
      </c>
    </row>
    <row r="183" spans="2:5" x14ac:dyDescent="0.25">
      <c r="B183">
        <v>2050</v>
      </c>
      <c r="C183" t="s">
        <v>47</v>
      </c>
      <c r="D183">
        <v>0.1489</v>
      </c>
      <c r="E183" t="s">
        <v>243</v>
      </c>
    </row>
    <row r="184" spans="2:5" x14ac:dyDescent="0.25">
      <c r="B184">
        <v>2050</v>
      </c>
      <c r="C184" t="s">
        <v>49</v>
      </c>
      <c r="D184">
        <v>0.1857</v>
      </c>
      <c r="E184" t="s">
        <v>243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ev_charging_uc</vt:lpstr>
      <vt:lpstr>timeslice_def</vt:lpstr>
      <vt:lpstr>resource_profiles</vt:lpstr>
      <vt:lpstr>firmness</vt:lpstr>
      <vt:lpstr>load_shapes</vt:lpstr>
      <vt:lpstr>demand</vt:lpstr>
      <vt:lpstr>peak_factors</vt:lpstr>
      <vt:lpstr>hydro_af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KanORS-EMR Business Standard</cp:lastModifiedBy>
  <dcterms:created xsi:type="dcterms:W3CDTF">2025-07-17T06:23:24Z</dcterms:created>
  <dcterms:modified xsi:type="dcterms:W3CDTF">2026-07-06T12:15:26Z</dcterms:modified>
</cp:coreProperties>
</file>