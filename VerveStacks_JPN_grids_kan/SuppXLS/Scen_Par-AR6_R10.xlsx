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ppXLS\"/>
    </mc:Choice>
  </mc:AlternateContent>
  <xr:revisionPtr revIDLastSave="0" documentId="8_{C7059263-32FD-46C1-865B-09F07ABFFFFA}" xr6:coauthVersionLast="47" xr6:coauthVersionMax="47" xr10:uidLastSave="{00000000-0000-0000-0000-000000000000}"/>
  <bookViews>
    <workbookView xWindow="1950" yWindow="1950" windowWidth="21600" windowHeight="1129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H21" i="6" s="1"/>
  <c r="D5" i="1"/>
  <c r="D28" i="1" l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<sst xmlns="http://schemas.openxmlformats.org/spreadsheetml/2006/main" count="41129" uniqueCount="348">
  <si>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</si>
  <si>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</si>
  <si>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</si>
  <si>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</si>
  <si>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</si>
  <si>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</si>
  <si>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</si>
  <si>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</si>
  <si>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</si>
  <si>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</si>
  <si>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</si>
  <si>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</si>
  <si>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</si>
  <si>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</si>
  <si>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</si>
  <si>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</si>
  <si>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</si>
  <si>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</si>
  <si>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</si>
  <si>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</si>
  <si>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</si>
  <si>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</si>
  <si>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</si>
  <si>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</si>
  <si>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</si>
  <si>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</si>
  <si>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</si>
  <si>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</si>
  <si>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</si>
  <si>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</si>
  <si>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</si>
  <si>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</si>
  <si>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</si>
  <si>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</si>
  <si>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</si>
  <si>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</si>
  <si>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</si>
  <si>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</si>
  <si>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</si>
  <si>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</si>
  <si>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</si>
  <si>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</si>
  <si>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</si>
  <si>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</si>
  <si>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</si>
  <si>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</si>
  <si>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</si>
  <si>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</si>
  <si>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</si>
  <si>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</si>
  <si>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</si>
  <si>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</si>
  <si>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</si>
  <si>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</si>
  <si>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</si>
  <si>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</si>
  <si>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</si>
  <si>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</si>
  <si>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</si>
  <si>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</si>
  <si>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</si>
  <si>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</si>
  <si>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</si>
  <si>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</si>
  <si>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</si>
  <si>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</si>
  <si>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</si>
  <si>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</si>
  <si>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</si>
  <si>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</si>
  <si>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</si>
  <si>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</si>
  <si>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</si>
  <si>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</si>
  <si>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</si>
  <si>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</si>
  <si>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</si>
  <si>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</si>
  <si>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</si>
  <si>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</si>
  <si>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</si>
  <si>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</si>
  <si>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</si>
  <si>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</si>
  <si>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</si>
  <si>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</si>
  <si>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</si>
  <si>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</si>
  <si>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</si>
  <si>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</si>
  <si>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</si>
  <si>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</si>
  <si>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</si>
  <si>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</si>
  <si>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</si>
  <si>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</si>
  <si>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</si>
  <si>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</si>
  <si>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</si>
  <si>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</si>
  <si>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</si>
  <si>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</si>
  <si>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</si>
  <si>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</si>
  <si>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</si>
  <si>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</si>
  <si>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</si>
  <si>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</si>
  <si>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</si>
  <si>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</si>
  <si>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</si>
  <si>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</si>
  <si>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</si>
  <si>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</si>
  <si>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</si>
  <si>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</si>
  <si>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</si>
  <si>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</si>
  <si>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</si>
  <si>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</si>
  <si>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</si>
  <si>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</si>
  <si>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</si>
  <si>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</si>
  <si>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</si>
  <si>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</si>
  <si>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</si>
  <si>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</si>
  <si>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</si>
  <si>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</si>
  <si>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</si>
  <si>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</si>
  <si>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</si>
  <si>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</si>
  <si>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JPN</t>
  </si>
  <si>
    <t>LNG dependent, imports pellets for co-firing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</si>
  <si>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</si>
  <si>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</si>
  <si>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</si>
  <si>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</si>
  <si>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</si>
  <si>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</si>
  <si>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</si>
  <si>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</si>
  <si>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</si>
  <si>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</si>
  <si>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</si>
  <si>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</si>
  <si>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</si>
  <si>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</si>
  <si>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</si>
  <si>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</si>
  <si>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elc_spv_JPN_001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</si>
  <si>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</si>
  <si>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</si>
  <si>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</si>
  <si>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</si>
  <si>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</si>
  <si>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</si>
  <si>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</si>
  <si>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</si>
  <si>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</si>
  <si>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</si>
  <si>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</si>
  <si>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</si>
  <si>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</si>
  <si>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</si>
  <si>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</si>
  <si>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</si>
  <si>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</si>
  <si>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</si>
  <si>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</si>
  <si>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</si>
  <si>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</si>
  <si>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</si>
  <si>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</si>
  <si>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</si>
  <si>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</si>
  <si>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</si>
  <si>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</si>
  <si>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</si>
  <si>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</si>
  <si>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</si>
  <si>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</si>
  <si>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</si>
  <si>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</si>
  <si>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</si>
  <si>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</si>
  <si>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</si>
  <si>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</si>
  <si>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</si>
  <si>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</si>
  <si>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</si>
  <si>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</si>
  <si>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</si>
  <si>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</si>
  <si>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</si>
  <si>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</si>
  <si>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</si>
  <si>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</si>
  <si>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</si>
  <si>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</si>
  <si>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</si>
  <si>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</si>
  <si>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</si>
  <si>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</si>
  <si>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</si>
  <si>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</si>
  <si>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</si>
  <si>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</si>
  <si>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</si>
  <si>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</si>
  <si>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</si>
  <si>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</si>
  <si>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</si>
  <si>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</si>
  <si>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</si>
  <si>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</si>
  <si>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</si>
  <si>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</si>
  <si>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</si>
  <si>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</si>
  <si>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</si>
  <si>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</si>
  <si>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</si>
  <si>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</si>
  <si>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</si>
  <si>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</si>
  <si>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</si>
  <si>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</si>
  <si>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</si>
  <si>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</si>
  <si>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</si>
  <si>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</si>
  <si>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</si>
  <si>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</si>
  <si>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</si>
  <si>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</si>
  <si>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</si>
  <si>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</si>
  <si>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</si>
  <si>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</si>
  <si>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</si>
  <si>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</si>
  <si>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</si>
  <si>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</si>
  <si>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</si>
  <si>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</si>
  <si>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</si>
  <si>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</si>
  <si>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</si>
  <si>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</si>
  <si>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</si>
  <si>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</si>
  <si>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</si>
  <si>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</si>
  <si>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</si>
  <si>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</si>
  <si>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</si>
  <si>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</si>
  <si>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</si>
  <si>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</si>
  <si>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</si>
  <si>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</si>
  <si>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</si>
  <si>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</si>
  <si>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</si>
  <si>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</si>
  <si>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</si>
  <si>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</si>
  <si>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g_yrfr</t>
  </si>
  <si>
    <t>day_night</t>
  </si>
  <si>
    <t>D</t>
  </si>
  <si>
    <t>S02aH02,S03aH01,S01aH01,S04aH01,S01aH02,S04aH02,S02aH01,S03aH02</t>
  </si>
  <si>
    <t>N</t>
  </si>
  <si>
    <t>S03aH03,S02aH03,S01aH03,S04aH03</t>
  </si>
  <si>
    <t>com_pkflx</t>
  </si>
  <si>
    <t>ncap_afs</t>
  </si>
  <si>
    <t>pset_ci</t>
  </si>
  <si>
    <t>hydro</t>
  </si>
  <si>
    <t>H04</t>
  </si>
  <si>
    <t>H05</t>
  </si>
  <si>
    <t>ts_024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</si>
  <si>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</si>
  <si>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</si>
  <si>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</si>
  <si>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</si>
  <si>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</si>
  <si>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</si>
  <si>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</si>
  <si>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</si>
  <si>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S04aH03,S03aH03,S04aH02,S01aH02,S02aH02,S01aH03,S02aH03,S03aH02</t>
  </si>
  <si>
    <t>S02aH04,S02aH05,S03aH05,S02aH01,S01aH05,S03aH04,S01aH04,S03aH01,S01aH01,S04aH01,S04aH05,S04aH04</t>
  </si>
  <si>
    <t>S01,S02,S03,S04,S05,S06</t>
  </si>
  <si>
    <t>S05</t>
  </si>
  <si>
    <t>S06</t>
  </si>
  <si>
    <t>ts_036</t>
  </si>
  <si>
    <t>S05aH01</t>
  </si>
  <si>
    <t>S05aH02</t>
  </si>
  <si>
    <t>S05aH03</t>
  </si>
  <si>
    <t>S05aH04</t>
  </si>
  <si>
    <t>S05aH05</t>
  </si>
  <si>
    <t>S06aH01</t>
  </si>
  <si>
    <t>S06aH02</t>
  </si>
  <si>
    <t>S06aH03</t>
  </si>
  <si>
    <t>S06aH04</t>
  </si>
  <si>
    <t>S06aH05</t>
  </si>
  <si>
    <t>S03aH03,S03aH02,S04aH02,S06aH02,S06aH03,S04aH03,S02aH02,S02aH03,S01aH02,S01aH03,S05aH02,S05aH03</t>
  </si>
  <si>
    <t>S03aH05,S05aH05,S06aH04,S01aH04,S05aH01,S02aH01,S04aH04,S02aH04,S02aH05,S03aH01,S04aH05,S06aH01,S01aH01,S04aH01,S05aH04,S03aH04,S01aH05,S06aH05</t>
  </si>
  <si>
    <t>H06</t>
  </si>
  <si>
    <t>H07</t>
  </si>
  <si>
    <t>S01aH06</t>
  </si>
  <si>
    <t>S01aH07</t>
  </si>
  <si>
    <t>S02aH06</t>
  </si>
  <si>
    <t>S02aH07</t>
  </si>
  <si>
    <t>S03aH06</t>
  </si>
  <si>
    <t>S03aH07</t>
  </si>
  <si>
    <t>S04aH06</t>
  </si>
  <si>
    <t>S04aH07</t>
  </si>
  <si>
    <t>S05aH06</t>
  </si>
  <si>
    <t>S05aH07</t>
  </si>
  <si>
    <t>S06aH06</t>
  </si>
  <si>
    <t>S06aH07</t>
  </si>
  <si>
    <t>S03aH05,S05aH05,S06aH04,S04aH02,S01aH05,S06aH05,S02aH04,S02aH05,S04aH03,S03aH03,S05aH04,S06aH02,S06aH03,S04aH05,S01aH04,S03aH02,S01aH02,S04aH04,S02aH02,S03aH04,S01aH03,S05aH02,S05aH03,S02aH03</t>
  </si>
  <si>
    <t>S06aH07,S02aH06,S04aH07,S02aH01,S05aH06,S06aH06,S01aH06,S05aH07,S06aH01,S03aH06,S03aH07,S03aH01,S01aH07,S02aH07,S05aH01,S01aH01,S04aH01,S04aH06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</si>
  <si>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</si>
  <si>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</si>
  <si>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</si>
  <si>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</si>
  <si>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</si>
  <si>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</si>
  <si>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</si>
  <si>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</si>
  <si>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</si>
  <si>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</si>
  <si>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</si>
  <si>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</si>
  <si>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</si>
  <si>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</si>
  <si>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</si>
  <si>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</si>
  <si>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</si>
  <si>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</si>
  <si>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</si>
  <si>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</si>
  <si>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</si>
  <si>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SaD,WaP,FaD,FaP,SaP,WaD,RaD,RaP</t>
  </si>
  <si>
    <t>FaP,SaP,SaN,WaN,FaN,RaN,RaP,WaP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</si>
</sst>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1008.91</c:v>
                </c:pt>
                <c:pt idx="1">
                  <c:v>998.82089999999994</c:v>
                </c:pt>
                <c:pt idx="2">
                  <c:v>1008.91</c:v>
                </c:pt>
                <c:pt idx="3">
                  <c:v>1018.9991</c:v>
                </c:pt>
                <c:pt idx="4">
                  <c:v>1140.0682999999999</c:v>
                </c:pt>
                <c:pt idx="5">
                  <c:v>1210.692</c:v>
                </c:pt>
                <c:pt idx="6">
                  <c:v>1341.8503000000001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5" x14ac:dyDescent="0.25"/>
  <cols>
    <col min="1" max="1" width="6.42578125" bestFit="1" customWidth="1"/>
    <col min="2" max="2" width="19" bestFit="1" customWidth="1"/>
    <col min="3" max="3" width="7.28515625" bestFit="1" customWidth="1"/>
    <col min="4" max="4" width="12" bestFit="1" customWidth="1"/>
    <col min="5" max="5" width="9.5703125" customWidth="1"/>
    <col min="6" max="6" width="1.7109375" bestFit="1" customWidth="1"/>
    <col min="7" max="7" width="24.5703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9" x14ac:dyDescent="0.2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25">
      <c r="D2" s="1" t="str">
        <f>"~Inputcell: "&amp;_xlfn.TEXTJOIN(",",TRUE,G1:EE1)</f>
        <v>~Inputcell: 1-25,36-40,8,13,18,23,28,33,38</v>
      </c>
    </row>
    <row r="3" spans="1:39" x14ac:dyDescent="0.25">
      <c r="D3" s="9">
        <v>3</v>
      </c>
    </row>
    <row r="5" spans="1:39" x14ac:dyDescent="0.2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25">
      <c r="B7" s="16" t="s">
        <v>113</v>
      </c>
    </row>
    <row r="8" spans="1:39" ht="15.75" thickBot="1" x14ac:dyDescent="0.3">
      <c r="A8" s="4" t="s">
        <v>118</v>
      </c>
      <c r="B8" s="4" t="s">
        <v>114</v>
      </c>
      <c r="C8" s="4" t="s">
        <v>115</v>
      </c>
      <c r="D8" s="4" t="s">
        <v>116</v>
      </c>
      <c r="E8" s="4" t="s">
        <v>117</v>
      </c>
      <c r="AM8" s="2" t="s">
        <v>123</v>
      </c>
    </row>
    <row r="9" spans="1:39" x14ac:dyDescent="0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104</v>
      </c>
      <c r="AI9" t="s">
        <v>133</v>
      </c>
      <c r="AJ9" s="10">
        <v>1</v>
      </c>
      <c r="AK9" t="s">
        <v>0</v>
      </c>
      <c r="AL9" t="s">
        <v>106</v>
      </c>
      <c r="AM9" s="12">
        <v>5</v>
      </c>
    </row>
    <row r="10" spans="1:39" x14ac:dyDescent="0.2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121</v>
      </c>
      <c r="AI10" t="s">
        <v>132</v>
      </c>
      <c r="AJ10" s="10">
        <v>1</v>
      </c>
      <c r="AK10" t="s">
        <v>2</v>
      </c>
      <c r="AL10" t="s">
        <v>108</v>
      </c>
      <c r="AM10" s="12">
        <v>4</v>
      </c>
    </row>
    <row r="11" spans="1:39" x14ac:dyDescent="0.2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119</v>
      </c>
      <c r="AI11" t="str">
        <f>AH11</f>
        <v>ts_012</v>
      </c>
      <c r="AJ11" s="10">
        <v>1</v>
      </c>
      <c r="AK11" t="s">
        <v>5</v>
      </c>
      <c r="AL11" t="s">
        <v>109</v>
      </c>
      <c r="AM11" s="12">
        <v>3</v>
      </c>
    </row>
    <row r="12" spans="1:39" ht="14.65" customHeight="1" thickBot="1" x14ac:dyDescent="0.3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1008.91</v>
      </c>
      <c r="T12" s="2" t="s">
        <v>57</v>
      </c>
      <c r="AG12">
        <v>4</v>
      </c>
      <c r="AH12" t="s">
        <v>125</v>
      </c>
      <c r="AI12" t="str">
        <f t="shared" ref="AI12:AI16" si="3">AH12</f>
        <v>ts_030</v>
      </c>
      <c r="AJ12" s="10">
        <v>1</v>
      </c>
      <c r="AK12" t="s">
        <v>7</v>
      </c>
      <c r="AL12" t="s">
        <v>110</v>
      </c>
      <c r="AM12" s="12">
        <v>3</v>
      </c>
    </row>
    <row r="13" spans="1:39" ht="14.65" customHeight="1" thickTop="1" x14ac:dyDescent="0.2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120</v>
      </c>
      <c r="AI13" t="str">
        <f t="shared" si="3"/>
        <v>ts_048</v>
      </c>
      <c r="AJ13" s="10">
        <v>1</v>
      </c>
      <c r="AK13" t="s">
        <v>9</v>
      </c>
      <c r="AL13" t="s">
        <v>111</v>
      </c>
      <c r="AM13" s="12">
        <v>1.5</v>
      </c>
    </row>
    <row r="14" spans="1:39" x14ac:dyDescent="0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1008.91</v>
      </c>
      <c r="U14" s="8">
        <f t="shared" ref="U14:Z14" si="4">$S$12*J15</f>
        <v>998.82089999999994</v>
      </c>
      <c r="V14" s="8">
        <f t="shared" si="4"/>
        <v>1008.91</v>
      </c>
      <c r="W14" s="8">
        <f t="shared" si="4"/>
        <v>1018.9991</v>
      </c>
      <c r="X14" s="8">
        <f t="shared" si="4"/>
        <v>1140.0682999999999</v>
      </c>
      <c r="Y14" s="8">
        <f t="shared" si="4"/>
        <v>1210.692</v>
      </c>
      <c r="Z14" s="8">
        <f t="shared" si="4"/>
        <v>1341.8503000000001</v>
      </c>
      <c r="AG14">
        <v>6</v>
      </c>
      <c r="AH14" t="s">
        <v>129</v>
      </c>
      <c r="AI14" t="str">
        <f t="shared" si="3"/>
        <v>ts_072</v>
      </c>
      <c r="AJ14" s="10">
        <f>AJ9+1</f>
        <v>2</v>
      </c>
    </row>
    <row r="15" spans="1:39" x14ac:dyDescent="0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0.99</v>
      </c>
      <c r="K15" s="11">
        <f>SUMIFS(ar6_r10!$F$2:$F$999,ar6_r10!$A$2:$A$999,Veda!$E$5,ar6_r10!$C$2:$C$999,Veda!K$17,ar6_r10!$M$2:$M$999,Veda!$G15)</f>
        <v>1</v>
      </c>
      <c r="L15" s="11">
        <f>SUMIFS(ar6_r10!$F$2:$F$999,ar6_r10!$A$2:$A$999,Veda!$E$5,ar6_r10!$C$2:$C$999,Veda!L$17,ar6_r10!$M$2:$M$999,Veda!$G15)</f>
        <v>1.01</v>
      </c>
      <c r="M15" s="11">
        <f>SUMIFS(ar6_r10!$F$2:$F$999,ar6_r10!$A$2:$A$999,Veda!$E$5,ar6_r10!$C$2:$C$999,Veda!M$17,ar6_r10!$M$2:$M$999,Veda!$G15)</f>
        <v>1.1299999999999999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1.33</v>
      </c>
      <c r="AG15">
        <v>7</v>
      </c>
      <c r="AH15" t="s">
        <v>130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35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131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3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124</v>
      </c>
      <c r="AI17" t="s">
        <v>126</v>
      </c>
      <c r="AJ17" s="10">
        <f t="shared" si="6"/>
        <v>2</v>
      </c>
    </row>
    <row r="18" spans="1:36" x14ac:dyDescent="0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10.189991000000001</v>
      </c>
      <c r="X18" s="6">
        <f t="shared" si="8"/>
        <v>11.400682999999999</v>
      </c>
      <c r="Y18" s="6">
        <f t="shared" si="8"/>
        <v>24.213840000000001</v>
      </c>
      <c r="Z18" s="6">
        <f t="shared" si="8"/>
        <v>40.255509000000004</v>
      </c>
      <c r="AA18" t="s">
        <v>17</v>
      </c>
      <c r="AC18" s="2"/>
      <c r="AG18">
        <v>10</v>
      </c>
      <c r="AH18" t="s">
        <v>127</v>
      </c>
      <c r="AI18" t="s">
        <v>128</v>
      </c>
      <c r="AJ18" s="10">
        <f t="shared" si="6"/>
        <v>2</v>
      </c>
    </row>
    <row r="19" spans="1:36" x14ac:dyDescent="0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0.34</v>
      </c>
      <c r="J19" s="11">
        <f>SUMIFS(ar6_r10!$F$2:$F$999,ar6_r10!$A$2:$A$999,Veda!$E$5,ar6_r10!$C$2:$C$999,Veda!J$17,ar6_r10!$M$2:$M$999,Veda!$G19)</f>
        <v>0.3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0.28000000000000003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0.28999999999999998</v>
      </c>
      <c r="S19" s="10" t="s">
        <v>19</v>
      </c>
      <c r="T19" s="6">
        <f t="shared" si="8"/>
        <v>343.02940000000001</v>
      </c>
      <c r="U19" s="6">
        <f t="shared" si="8"/>
        <v>299.64626999999996</v>
      </c>
      <c r="V19" s="6">
        <f t="shared" si="8"/>
        <v>292.58389999999997</v>
      </c>
      <c r="W19" s="6">
        <f t="shared" si="8"/>
        <v>275.12975700000004</v>
      </c>
      <c r="X19" s="6">
        <f t="shared" si="8"/>
        <v>319.21912400000002</v>
      </c>
      <c r="Y19" s="6">
        <f t="shared" si="8"/>
        <v>351.10067999999995</v>
      </c>
      <c r="Z19" s="6">
        <f t="shared" si="8"/>
        <v>389.13658699999996</v>
      </c>
      <c r="AA19" t="s">
        <v>17</v>
      </c>
      <c r="AG19">
        <v>11</v>
      </c>
      <c r="AH19" t="s">
        <v>102</v>
      </c>
      <c r="AI19" t="s">
        <v>107</v>
      </c>
      <c r="AJ19" s="10">
        <f t="shared" si="6"/>
        <v>3</v>
      </c>
    </row>
    <row r="20" spans="1:36" x14ac:dyDescent="0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0.67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0.62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8"/>
        <v>645.70240000000001</v>
      </c>
      <c r="U20" s="6">
        <f t="shared" si="8"/>
        <v>669.21000300000003</v>
      </c>
      <c r="V20" s="6">
        <f t="shared" si="8"/>
        <v>675.96969999999999</v>
      </c>
      <c r="W20" s="6">
        <f t="shared" si="8"/>
        <v>662.34941500000002</v>
      </c>
      <c r="X20" s="6">
        <f t="shared" si="8"/>
        <v>706.84234599999991</v>
      </c>
      <c r="Y20" s="6">
        <f t="shared" si="8"/>
        <v>714.30827999999997</v>
      </c>
      <c r="Z20" s="6">
        <f t="shared" si="8"/>
        <v>778.27317399999993</v>
      </c>
      <c r="AA20" t="s">
        <v>17</v>
      </c>
      <c r="AG20">
        <v>12</v>
      </c>
      <c r="AH20" t="s">
        <v>103</v>
      </c>
      <c r="AI20" t="s">
        <v>112</v>
      </c>
      <c r="AJ20" s="10">
        <f t="shared" si="6"/>
        <v>3</v>
      </c>
    </row>
    <row r="21" spans="1:36" x14ac:dyDescent="0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0.08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0.12</v>
      </c>
      <c r="S21" s="10" t="s">
        <v>24</v>
      </c>
      <c r="T21" s="6">
        <f>I21*T$14</f>
        <v>20.1782</v>
      </c>
      <c r="U21" s="6">
        <f t="shared" ref="U21:Z21" si="9">T21</f>
        <v>20.1782</v>
      </c>
      <c r="V21" s="6">
        <f t="shared" si="9"/>
        <v>20.1782</v>
      </c>
      <c r="W21" s="6">
        <f t="shared" si="9"/>
        <v>20.1782</v>
      </c>
      <c r="X21" s="6">
        <f t="shared" si="9"/>
        <v>20.1782</v>
      </c>
      <c r="Y21" s="6">
        <f t="shared" si="9"/>
        <v>20.1782</v>
      </c>
      <c r="Z21" s="6">
        <f t="shared" si="9"/>
        <v>20.1782</v>
      </c>
      <c r="AA21" t="s">
        <v>17</v>
      </c>
      <c r="AC21" s="2" t="s">
        <v>20</v>
      </c>
      <c r="AJ21" s="10">
        <f t="shared" si="6"/>
        <v>3</v>
      </c>
    </row>
    <row r="22" spans="1:36" x14ac:dyDescent="0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9.7864270000000033</v>
      </c>
      <c r="V22" s="6">
        <f t="shared" si="10"/>
        <v>20.178200000000061</v>
      </c>
      <c r="W22" s="6">
        <f t="shared" si="10"/>
        <v>61.341727999999989</v>
      </c>
      <c r="X22" s="6">
        <f t="shared" si="10"/>
        <v>93.828629999999976</v>
      </c>
      <c r="Y22" s="6">
        <f t="shared" si="10"/>
        <v>125.10483999999997</v>
      </c>
      <c r="Z22" s="6">
        <f t="shared" si="10"/>
        <v>154.26233900000011</v>
      </c>
      <c r="AA22" t="s">
        <v>17</v>
      </c>
      <c r="AJ22" s="10">
        <f t="shared" si="6"/>
        <v>3</v>
      </c>
    </row>
    <row r="23" spans="1:36" x14ac:dyDescent="0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2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56.33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5.6329999999999998E-2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2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35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3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3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3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2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2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2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6"/>
        <v>6</v>
      </c>
    </row>
    <row r="38" spans="1:36" x14ac:dyDescent="0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6"/>
        <v>6</v>
      </c>
    </row>
    <row r="39" spans="1:36" x14ac:dyDescent="0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6"/>
        <v>7</v>
      </c>
    </row>
    <row r="40" spans="1:36" x14ac:dyDescent="0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6"/>
        <v>7</v>
      </c>
    </row>
    <row r="41" spans="1:36" x14ac:dyDescent="0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122</v>
      </c>
      <c r="AJ43" s="10">
        <f t="shared" si="6"/>
        <v>7</v>
      </c>
    </row>
    <row r="44" spans="1:36" x14ac:dyDescent="0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105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83</v>
      </c>
      <c r="S44" t="s">
        <v>84</v>
      </c>
      <c r="AJ44" s="10">
        <f t="shared" si="6"/>
        <v>8</v>
      </c>
    </row>
    <row r="45" spans="1:36" x14ac:dyDescent="0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79</v>
      </c>
      <c r="H45" t="str">
        <f>G45</f>
        <v>Gas</v>
      </c>
      <c r="I45">
        <f t="shared" ref="I45:O48" si="13">AVERAGE($R45:$S45)*I37</f>
        <v>41.05</v>
      </c>
      <c r="J45">
        <f t="shared" si="13"/>
        <v>42.281500000000001</v>
      </c>
      <c r="K45">
        <f t="shared" si="13"/>
        <v>46.386499999999991</v>
      </c>
      <c r="L45">
        <f t="shared" si="13"/>
        <v>47.617999999999995</v>
      </c>
      <c r="M45">
        <f t="shared" si="13"/>
        <v>48.849499999999992</v>
      </c>
      <c r="N45">
        <f t="shared" si="13"/>
        <v>52.133499999999998</v>
      </c>
      <c r="O45">
        <f t="shared" si="13"/>
        <v>53.775500000000001</v>
      </c>
      <c r="R45">
        <f>HLOOKUP($G45&amp;"_"&amp;R$44,fuel_prices!$B$10:$I$11,2,FALSE)</f>
        <v>34.200000000000003</v>
      </c>
      <c r="S45">
        <f>HLOOKUP($G45&amp;"_"&amp;S$44,fuel_prices!$B$10:$I$11,2,FALSE)</f>
        <v>47.9</v>
      </c>
      <c r="AJ45" s="10">
        <f t="shared" si="6"/>
        <v>8</v>
      </c>
    </row>
    <row r="46" spans="1:36" x14ac:dyDescent="0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80</v>
      </c>
      <c r="H46" t="str">
        <f t="shared" ref="H46:H48" si="14">G46</f>
        <v>Coal</v>
      </c>
      <c r="I46">
        <f t="shared" si="13"/>
        <v>20.6</v>
      </c>
      <c r="J46">
        <f t="shared" si="13"/>
        <v>21.218000000000004</v>
      </c>
      <c r="K46">
        <f t="shared" si="13"/>
        <v>22.454000000000004</v>
      </c>
      <c r="L46">
        <f t="shared" si="13"/>
        <v>24.308</v>
      </c>
      <c r="M46">
        <f t="shared" si="13"/>
        <v>26.162000000000003</v>
      </c>
      <c r="N46">
        <f t="shared" si="13"/>
        <v>27.810000000000002</v>
      </c>
      <c r="O46">
        <f t="shared" si="13"/>
        <v>29.045999999999999</v>
      </c>
      <c r="R46">
        <f>HLOOKUP($G46&amp;"_"&amp;R$44,fuel_prices!$B$10:$I$11,2,FALSE)</f>
        <v>18.3</v>
      </c>
      <c r="S46">
        <f>HLOOKUP($G46&amp;"_"&amp;S$44,fuel_prices!$B$10:$I$11,2,FALSE)</f>
        <v>22.9</v>
      </c>
      <c r="AJ46" s="10">
        <f t="shared" si="6"/>
        <v>8</v>
      </c>
    </row>
    <row r="47" spans="1:36" x14ac:dyDescent="0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81</v>
      </c>
      <c r="H47" t="str">
        <f t="shared" si="14"/>
        <v>Oil</v>
      </c>
      <c r="I47">
        <f t="shared" si="13"/>
        <v>53</v>
      </c>
      <c r="J47">
        <f t="shared" si="13"/>
        <v>55.120000000000005</v>
      </c>
      <c r="K47">
        <f t="shared" si="13"/>
        <v>55.650000000000006</v>
      </c>
      <c r="L47">
        <f t="shared" si="13"/>
        <v>55.120000000000005</v>
      </c>
      <c r="M47">
        <f t="shared" si="13"/>
        <v>55.120000000000005</v>
      </c>
      <c r="N47">
        <f t="shared" si="13"/>
        <v>62.01</v>
      </c>
      <c r="O47">
        <f t="shared" si="13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6"/>
        <v>8</v>
      </c>
    </row>
    <row r="48" spans="1:36" x14ac:dyDescent="0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82</v>
      </c>
      <c r="H48" t="str">
        <f t="shared" si="14"/>
        <v>Bioenergy</v>
      </c>
      <c r="I48">
        <f t="shared" si="13"/>
        <v>32</v>
      </c>
      <c r="O48">
        <f>VLOOKUP($E$5,$AK$9:$AM$15,3,FALSE)*I48</f>
        <v>96</v>
      </c>
      <c r="R48">
        <f>HLOOKUP($G48&amp;"_"&amp;R$44,fuel_prices!$B$10:$I$11,2,FALSE)</f>
        <v>28</v>
      </c>
      <c r="S48">
        <f>HLOOKUP($G48&amp;"_"&amp;S$44,fuel_prices!$B$10:$I$11,2,FALSE)</f>
        <v>36</v>
      </c>
      <c r="AJ48" s="10">
        <f t="shared" si="6"/>
        <v>8</v>
      </c>
    </row>
    <row r="49" spans="36:36" x14ac:dyDescent="0.25">
      <c r="AJ49" s="10">
        <f t="shared" si="6"/>
        <v>9</v>
      </c>
    </row>
    <row r="50" spans="36:36" x14ac:dyDescent="0.25">
      <c r="AJ50" s="10">
        <f t="shared" si="6"/>
        <v>9</v>
      </c>
    </row>
    <row r="51" spans="36:36" x14ac:dyDescent="0.25">
      <c r="AJ51" s="10">
        <f t="shared" si="6"/>
        <v>9</v>
      </c>
    </row>
    <row r="52" spans="36:36" x14ac:dyDescent="0.25">
      <c r="AJ52" s="10">
        <f t="shared" si="6"/>
        <v>9</v>
      </c>
    </row>
    <row r="53" spans="36:36" x14ac:dyDescent="0.25">
      <c r="AJ53" s="10">
        <f t="shared" si="6"/>
        <v>9</v>
      </c>
    </row>
    <row r="54" spans="36:36" x14ac:dyDescent="0.25">
      <c r="AJ54" s="10">
        <f t="shared" si="6"/>
        <v>10</v>
      </c>
    </row>
    <row r="55" spans="36:36" x14ac:dyDescent="0.25">
      <c r="AJ55" s="10">
        <f t="shared" si="6"/>
        <v>10</v>
      </c>
    </row>
    <row r="56" spans="36:36" x14ac:dyDescent="0.25">
      <c r="AJ56" s="10">
        <f t="shared" si="6"/>
        <v>10</v>
      </c>
    </row>
    <row r="57" spans="36:36" x14ac:dyDescent="0.25">
      <c r="AJ57" s="10">
        <f t="shared" si="6"/>
        <v>10</v>
      </c>
    </row>
    <row r="58" spans="36:36" x14ac:dyDescent="0.25">
      <c r="AJ58" s="10">
        <f t="shared" si="6"/>
        <v>10</v>
      </c>
    </row>
    <row r="59" spans="36:36" x14ac:dyDescent="0.25">
      <c r="AJ59" s="10">
        <f t="shared" si="6"/>
        <v>11</v>
      </c>
    </row>
    <row r="60" spans="36:36" x14ac:dyDescent="0.25">
      <c r="AJ60" s="10">
        <f t="shared" si="6"/>
        <v>11</v>
      </c>
    </row>
    <row r="61" spans="36:36" x14ac:dyDescent="0.25">
      <c r="AJ61" s="10">
        <f t="shared" si="6"/>
        <v>11</v>
      </c>
    </row>
    <row r="62" spans="36:36" x14ac:dyDescent="0.25">
      <c r="AJ62" s="10">
        <f t="shared" si="6"/>
        <v>11</v>
      </c>
    </row>
    <row r="63" spans="36:36" x14ac:dyDescent="0.25">
      <c r="AJ63" s="10">
        <f t="shared" si="6"/>
        <v>11</v>
      </c>
    </row>
    <row r="64" spans="36:36" x14ac:dyDescent="0.25">
      <c r="AJ64" s="10">
        <f t="shared" si="6"/>
        <v>12</v>
      </c>
    </row>
    <row r="65" spans="36:36" x14ac:dyDescent="0.25">
      <c r="AJ65" s="10">
        <f t="shared" si="6"/>
        <v>12</v>
      </c>
    </row>
    <row r="66" spans="36:36" x14ac:dyDescent="0.25">
      <c r="AJ66" s="10">
        <f t="shared" si="6"/>
        <v>12</v>
      </c>
    </row>
    <row r="67" spans="36:36" x14ac:dyDescent="0.25">
      <c r="AJ67" s="10">
        <f t="shared" si="6"/>
        <v>12</v>
      </c>
    </row>
    <row r="68" spans="36:36" x14ac:dyDescent="0.25">
      <c r="AJ68" s="10">
        <f t="shared" si="6"/>
        <v>12</v>
      </c>
    </row>
    <row r="69" spans="36:36" x14ac:dyDescent="0.25">
      <c r="AJ69" s="10">
        <f t="shared" si="6"/>
        <v>13</v>
      </c>
    </row>
    <row r="70" spans="36:36" x14ac:dyDescent="0.25">
      <c r="AJ70" s="10">
        <f t="shared" si="6"/>
        <v>13</v>
      </c>
    </row>
    <row r="71" spans="36:36" x14ac:dyDescent="0.25">
      <c r="AJ71" s="10">
        <f t="shared" si="6"/>
        <v>13</v>
      </c>
    </row>
    <row r="72" spans="36:36" x14ac:dyDescent="0.25">
      <c r="AJ72" s="10">
        <f t="shared" si="6"/>
        <v>13</v>
      </c>
    </row>
    <row r="73" spans="36:36" x14ac:dyDescent="0.25">
      <c r="AJ73" s="10">
        <f t="shared" si="6"/>
        <v>13</v>
      </c>
    </row>
    <row r="74" spans="36:36" x14ac:dyDescent="0.25">
      <c r="AJ74" s="10">
        <f t="shared" si="6"/>
        <v>14</v>
      </c>
    </row>
    <row r="75" spans="36:36" x14ac:dyDescent="0.25">
      <c r="AJ75" s="10">
        <f t="shared" si="6"/>
        <v>14</v>
      </c>
    </row>
    <row r="76" spans="36:36" x14ac:dyDescent="0.25">
      <c r="AJ76" s="10">
        <f t="shared" si="6"/>
        <v>14</v>
      </c>
    </row>
    <row r="77" spans="36:36" x14ac:dyDescent="0.25">
      <c r="AJ77" s="10">
        <f t="shared" si="6"/>
        <v>14</v>
      </c>
    </row>
    <row r="78" spans="36:36" x14ac:dyDescent="0.2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42578125" bestFit="1" customWidth="1"/>
  </cols>
  <sheetData>
    <row r="1" spans="1:10" ht="22.15" customHeight="1" x14ac:dyDescent="0.25"/>
    <row r="9" spans="1:10" x14ac:dyDescent="0.25">
      <c r="A9" t="s">
        <v>60</v>
      </c>
    </row>
    <row r="10" spans="1:10" x14ac:dyDescent="0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134</v>
      </c>
      <c r="B11">
        <v>34.200000000000003</v>
      </c>
      <c r="C11">
        <v>47.9</v>
      </c>
      <c r="D11">
        <v>18.3</v>
      </c>
      <c r="E11">
        <v>22.9</v>
      </c>
      <c r="F11">
        <v>48</v>
      </c>
      <c r="G11">
        <v>58</v>
      </c>
      <c r="H11">
        <v>28</v>
      </c>
      <c r="I11">
        <v>36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</cols>
  <sheetData>
    <row r="1" spans="1:9" ht="22.15" customHeight="1" x14ac:dyDescent="0.25"/>
    <row r="9" spans="1:9" x14ac:dyDescent="0.25">
      <c r="A9" t="s">
        <v>58</v>
      </c>
    </row>
    <row r="10" spans="1:9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25">
      <c r="A11" t="s">
        <v>134</v>
      </c>
      <c r="B11">
        <v>2000</v>
      </c>
      <c r="C11">
        <v>517.57000000000005</v>
      </c>
      <c r="D11">
        <v>535.51</v>
      </c>
      <c r="E11">
        <v>18.57</v>
      </c>
      <c r="F11">
        <v>0</v>
      </c>
      <c r="G11">
        <v>0</v>
      </c>
      <c r="H11">
        <v>0</v>
      </c>
      <c r="I11">
        <v>1053.95</v>
      </c>
    </row>
    <row r="12" spans="1:9" x14ac:dyDescent="0.25">
      <c r="A12" t="s">
        <v>134</v>
      </c>
      <c r="B12">
        <v>2001</v>
      </c>
      <c r="C12">
        <v>498.45</v>
      </c>
      <c r="D12">
        <v>536.29</v>
      </c>
      <c r="E12">
        <v>18.440000000000001</v>
      </c>
      <c r="F12">
        <v>0</v>
      </c>
      <c r="G12">
        <v>0</v>
      </c>
      <c r="H12">
        <v>0</v>
      </c>
      <c r="I12">
        <v>1036.3900000000001</v>
      </c>
    </row>
    <row r="13" spans="1:9" x14ac:dyDescent="0.25">
      <c r="A13" t="s">
        <v>134</v>
      </c>
      <c r="B13">
        <v>2002</v>
      </c>
      <c r="C13">
        <v>504.38</v>
      </c>
      <c r="D13">
        <v>552.51</v>
      </c>
      <c r="E13">
        <v>18.510000000000002</v>
      </c>
      <c r="F13">
        <v>0</v>
      </c>
      <c r="G13">
        <v>0</v>
      </c>
      <c r="H13">
        <v>0</v>
      </c>
      <c r="I13">
        <v>1056.02</v>
      </c>
    </row>
    <row r="14" spans="1:9" x14ac:dyDescent="0.25">
      <c r="A14" t="s">
        <v>134</v>
      </c>
      <c r="B14">
        <v>2003</v>
      </c>
      <c r="C14">
        <v>498.15</v>
      </c>
      <c r="D14">
        <v>553.03</v>
      </c>
      <c r="E14">
        <v>18.3</v>
      </c>
      <c r="F14">
        <v>0</v>
      </c>
      <c r="G14">
        <v>0</v>
      </c>
      <c r="H14">
        <v>0</v>
      </c>
      <c r="I14">
        <v>1048.3900000000001</v>
      </c>
    </row>
    <row r="15" spans="1:9" x14ac:dyDescent="0.25">
      <c r="A15" t="s">
        <v>134</v>
      </c>
      <c r="B15">
        <v>2004</v>
      </c>
      <c r="C15">
        <v>506.65</v>
      </c>
      <c r="D15">
        <v>578.15</v>
      </c>
      <c r="E15">
        <v>18.600000000000001</v>
      </c>
      <c r="F15">
        <v>0</v>
      </c>
      <c r="G15">
        <v>0</v>
      </c>
      <c r="H15">
        <v>0</v>
      </c>
      <c r="I15">
        <v>1077.58</v>
      </c>
    </row>
    <row r="16" spans="1:9" x14ac:dyDescent="0.25">
      <c r="A16" t="s">
        <v>134</v>
      </c>
      <c r="B16">
        <v>2005</v>
      </c>
      <c r="C16">
        <v>511.43</v>
      </c>
      <c r="D16">
        <v>598.39</v>
      </c>
      <c r="E16">
        <v>18.899999999999999</v>
      </c>
      <c r="F16">
        <v>0</v>
      </c>
      <c r="G16">
        <v>0</v>
      </c>
      <c r="H16">
        <v>0</v>
      </c>
      <c r="I16">
        <v>1098.26</v>
      </c>
    </row>
    <row r="17" spans="1:9" x14ac:dyDescent="0.25">
      <c r="A17" t="s">
        <v>134</v>
      </c>
      <c r="B17">
        <v>2006</v>
      </c>
      <c r="C17">
        <v>513.53</v>
      </c>
      <c r="D17">
        <v>599.92999999999995</v>
      </c>
      <c r="E17">
        <v>18.600000000000001</v>
      </c>
      <c r="F17">
        <v>0</v>
      </c>
      <c r="G17">
        <v>0</v>
      </c>
      <c r="H17">
        <v>0</v>
      </c>
      <c r="I17">
        <v>1102.76</v>
      </c>
    </row>
    <row r="18" spans="1:9" x14ac:dyDescent="0.25">
      <c r="A18" t="s">
        <v>134</v>
      </c>
      <c r="B18">
        <v>2007</v>
      </c>
      <c r="C18">
        <v>523.83000000000004</v>
      </c>
      <c r="D18">
        <v>623.69000000000005</v>
      </c>
      <c r="E18">
        <v>18.73</v>
      </c>
      <c r="F18">
        <v>0</v>
      </c>
      <c r="G18">
        <v>0</v>
      </c>
      <c r="H18">
        <v>0</v>
      </c>
      <c r="I18">
        <v>1130.27</v>
      </c>
    </row>
    <row r="19" spans="1:9" x14ac:dyDescent="0.25">
      <c r="A19" t="s">
        <v>134</v>
      </c>
      <c r="B19">
        <v>2008</v>
      </c>
      <c r="C19">
        <v>483.07</v>
      </c>
      <c r="D19">
        <v>624.87</v>
      </c>
      <c r="E19">
        <v>18.62</v>
      </c>
      <c r="F19">
        <v>0</v>
      </c>
      <c r="G19">
        <v>0</v>
      </c>
      <c r="H19">
        <v>0</v>
      </c>
      <c r="I19">
        <v>1100.78</v>
      </c>
    </row>
    <row r="20" spans="1:9" x14ac:dyDescent="0.25">
      <c r="A20" t="s">
        <v>134</v>
      </c>
      <c r="B20">
        <v>2009</v>
      </c>
      <c r="C20">
        <v>462.82</v>
      </c>
      <c r="D20">
        <v>610.58000000000004</v>
      </c>
      <c r="E20">
        <v>18.07</v>
      </c>
      <c r="F20">
        <v>0</v>
      </c>
      <c r="G20">
        <v>0</v>
      </c>
      <c r="H20">
        <v>0</v>
      </c>
      <c r="I20">
        <v>1084.1199999999999</v>
      </c>
    </row>
    <row r="21" spans="1:9" x14ac:dyDescent="0.25">
      <c r="A21" t="s">
        <v>134</v>
      </c>
      <c r="B21">
        <v>2010</v>
      </c>
      <c r="C21">
        <v>482.62</v>
      </c>
      <c r="D21">
        <v>638.07000000000005</v>
      </c>
      <c r="E21">
        <v>18.239999999999998</v>
      </c>
      <c r="F21">
        <v>0</v>
      </c>
      <c r="G21">
        <v>0</v>
      </c>
      <c r="H21">
        <v>0</v>
      </c>
      <c r="I21">
        <v>1162.8499999999999</v>
      </c>
    </row>
    <row r="22" spans="1:9" x14ac:dyDescent="0.25">
      <c r="A22" t="s">
        <v>134</v>
      </c>
      <c r="B22">
        <v>2011</v>
      </c>
      <c r="C22">
        <v>459.11</v>
      </c>
      <c r="D22">
        <v>617.74</v>
      </c>
      <c r="E22">
        <v>17.760000000000002</v>
      </c>
      <c r="F22">
        <v>0</v>
      </c>
      <c r="G22">
        <v>0</v>
      </c>
      <c r="H22">
        <v>0</v>
      </c>
      <c r="I22">
        <v>1102.9100000000001</v>
      </c>
    </row>
    <row r="23" spans="1:9" x14ac:dyDescent="0.25">
      <c r="A23" t="s">
        <v>134</v>
      </c>
      <c r="B23">
        <v>2012</v>
      </c>
      <c r="C23">
        <v>453.27</v>
      </c>
      <c r="D23">
        <v>614.25</v>
      </c>
      <c r="E23">
        <v>17.670000000000002</v>
      </c>
      <c r="F23">
        <v>0</v>
      </c>
      <c r="G23">
        <v>0</v>
      </c>
      <c r="H23">
        <v>0</v>
      </c>
      <c r="I23">
        <v>1090.73</v>
      </c>
    </row>
    <row r="24" spans="1:9" x14ac:dyDescent="0.25">
      <c r="A24" t="s">
        <v>134</v>
      </c>
      <c r="B24">
        <v>2013</v>
      </c>
      <c r="C24">
        <v>460.01</v>
      </c>
      <c r="D24">
        <v>610.19000000000005</v>
      </c>
      <c r="E24">
        <v>17.72</v>
      </c>
      <c r="F24">
        <v>0</v>
      </c>
      <c r="G24">
        <v>0</v>
      </c>
      <c r="H24">
        <v>0</v>
      </c>
      <c r="I24">
        <v>1097.56</v>
      </c>
    </row>
    <row r="25" spans="1:9" x14ac:dyDescent="0.25">
      <c r="A25" t="s">
        <v>134</v>
      </c>
      <c r="B25">
        <v>2014</v>
      </c>
      <c r="C25">
        <v>447.26</v>
      </c>
      <c r="D25">
        <v>600.45000000000005</v>
      </c>
      <c r="E25">
        <v>17.600000000000001</v>
      </c>
      <c r="F25">
        <v>0</v>
      </c>
      <c r="G25">
        <v>0</v>
      </c>
      <c r="H25">
        <v>0</v>
      </c>
      <c r="I25">
        <v>1071.54</v>
      </c>
    </row>
    <row r="26" spans="1:9" x14ac:dyDescent="0.25">
      <c r="A26" t="s">
        <v>134</v>
      </c>
      <c r="B26">
        <v>2015</v>
      </c>
      <c r="C26">
        <v>433.39</v>
      </c>
      <c r="D26">
        <v>586.77</v>
      </c>
      <c r="E26">
        <v>17.55</v>
      </c>
      <c r="F26">
        <v>0</v>
      </c>
      <c r="G26">
        <v>0</v>
      </c>
      <c r="H26">
        <v>0</v>
      </c>
      <c r="I26">
        <v>1053.46</v>
      </c>
    </row>
    <row r="27" spans="1:9" x14ac:dyDescent="0.25">
      <c r="A27" t="s">
        <v>134</v>
      </c>
      <c r="B27">
        <v>2016</v>
      </c>
      <c r="C27">
        <v>447.25</v>
      </c>
      <c r="D27">
        <v>589.76</v>
      </c>
      <c r="E27">
        <v>17.54</v>
      </c>
      <c r="F27">
        <v>0</v>
      </c>
      <c r="G27">
        <v>0</v>
      </c>
      <c r="H27">
        <v>0</v>
      </c>
      <c r="I27">
        <v>1063.4100000000001</v>
      </c>
    </row>
    <row r="28" spans="1:9" x14ac:dyDescent="0.25">
      <c r="A28" t="s">
        <v>134</v>
      </c>
      <c r="B28">
        <v>2017</v>
      </c>
      <c r="C28">
        <v>448.72</v>
      </c>
      <c r="D28">
        <v>600.26</v>
      </c>
      <c r="E28">
        <v>17.5</v>
      </c>
      <c r="F28">
        <v>0</v>
      </c>
      <c r="G28">
        <v>0</v>
      </c>
      <c r="H28">
        <v>0</v>
      </c>
      <c r="I28">
        <v>1072.28</v>
      </c>
    </row>
    <row r="29" spans="1:9" x14ac:dyDescent="0.25">
      <c r="A29" t="s">
        <v>134</v>
      </c>
      <c r="B29">
        <v>2018</v>
      </c>
      <c r="C29">
        <v>449.31</v>
      </c>
      <c r="D29">
        <v>580.35</v>
      </c>
      <c r="E29">
        <v>17.3</v>
      </c>
      <c r="F29">
        <v>0</v>
      </c>
      <c r="G29">
        <v>0</v>
      </c>
      <c r="H29">
        <v>0</v>
      </c>
      <c r="I29">
        <v>1058.44</v>
      </c>
    </row>
    <row r="30" spans="1:9" x14ac:dyDescent="0.25">
      <c r="A30" t="s">
        <v>134</v>
      </c>
      <c r="B30">
        <v>2019</v>
      </c>
      <c r="C30">
        <v>437.33</v>
      </c>
      <c r="D30">
        <v>571.09</v>
      </c>
      <c r="E30">
        <v>17.32</v>
      </c>
      <c r="F30">
        <v>0</v>
      </c>
      <c r="G30">
        <v>0</v>
      </c>
      <c r="H30">
        <v>0</v>
      </c>
      <c r="I30">
        <v>1029.8800000000001</v>
      </c>
    </row>
    <row r="31" spans="1:9" x14ac:dyDescent="0.25">
      <c r="A31" t="s">
        <v>134</v>
      </c>
      <c r="B31">
        <v>2020</v>
      </c>
      <c r="C31">
        <v>421.85</v>
      </c>
      <c r="D31">
        <v>573.16</v>
      </c>
      <c r="E31">
        <v>16.53</v>
      </c>
      <c r="F31">
        <v>0</v>
      </c>
      <c r="G31">
        <v>0</v>
      </c>
      <c r="H31">
        <v>0</v>
      </c>
      <c r="I31">
        <v>1007.26</v>
      </c>
    </row>
    <row r="32" spans="1:9" x14ac:dyDescent="0.25">
      <c r="A32" t="s">
        <v>134</v>
      </c>
      <c r="B32">
        <v>2021</v>
      </c>
      <c r="C32">
        <v>434.46</v>
      </c>
      <c r="D32">
        <v>574.87</v>
      </c>
      <c r="E32">
        <v>16.53</v>
      </c>
      <c r="F32">
        <v>0</v>
      </c>
      <c r="G32">
        <v>0</v>
      </c>
      <c r="H32">
        <v>0</v>
      </c>
      <c r="I32">
        <v>1038.73</v>
      </c>
    </row>
    <row r="33" spans="1:9" x14ac:dyDescent="0.25">
      <c r="A33" t="s">
        <v>134</v>
      </c>
      <c r="B33">
        <v>2022</v>
      </c>
      <c r="C33">
        <v>414.01</v>
      </c>
      <c r="D33">
        <v>571.70000000000005</v>
      </c>
      <c r="E33">
        <v>16.53</v>
      </c>
      <c r="F33">
        <v>0</v>
      </c>
      <c r="G33">
        <v>0</v>
      </c>
      <c r="H33">
        <v>0</v>
      </c>
      <c r="I33">
        <v>1008.91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5" x14ac:dyDescent="0.25"/>
  <cols>
    <col min="1" max="1" width="10.5703125" customWidth="1"/>
    <col min="2" max="2" width="11" bestFit="1" customWidth="1"/>
    <col min="3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59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2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2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2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2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2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2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2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2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2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2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2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2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2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2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2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2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2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2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2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2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2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2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2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2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2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2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2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2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2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2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2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2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2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2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2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2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2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2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2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2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2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2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2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2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2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2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2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2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2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2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2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2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2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2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2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2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2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2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2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2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2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2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2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2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2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2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2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2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2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2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2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2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2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2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2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2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2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2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2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2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2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2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2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2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2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2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2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2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2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2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2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2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2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2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2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2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2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2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2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2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2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2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2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2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2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2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2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2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2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2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2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2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2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2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2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2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2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2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2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2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2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2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2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2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2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2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2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2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2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2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2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2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2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2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2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2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2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2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2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2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2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2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2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2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2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2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2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2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2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2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2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2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2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2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2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2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2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2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2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2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2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2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2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2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2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2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2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2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2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2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2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2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2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2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2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2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2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2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2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2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2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2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2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2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2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2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2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2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2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2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2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2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2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2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2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2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2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2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2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2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2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2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2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2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2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2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2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2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2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2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2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2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2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2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2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2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2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2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2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2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2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2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2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2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2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2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2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2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2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2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2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2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2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2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2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2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2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2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2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2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2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2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2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2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2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2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2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2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2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2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2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2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2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2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2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2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2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2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2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2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2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2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2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2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2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2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2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2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2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2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2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2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2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2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2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2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2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2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2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2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2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2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2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2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2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2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2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2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2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2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2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2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2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2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2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2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2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2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2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2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2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2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2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2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2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2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2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2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2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2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2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2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2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2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2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2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2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2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2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2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2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2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2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2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2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2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2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2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2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2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2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2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2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2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2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2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2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2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2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2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2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2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5" x14ac:dyDescent="0.25"/>
  <sheetData>
    <row r="10" spans="1:19" x14ac:dyDescent="0.25">
      <c r="A10" t="str">
        <f>IFERROR(Veda!D5,"ts_12t")</f>
        <v>ts_annual</v>
      </c>
      <c r="B10" s="15"/>
      <c r="C10" s="15" t="s">
        <v>271</v>
      </c>
      <c r="D10" t="s">
        <v>119</v>
      </c>
      <c r="F10" t="s">
        <v>271</v>
      </c>
      <c r="G10" t="s">
        <v>282</v>
      </c>
      <c r="I10" t="s">
        <v>271</v>
      </c>
      <c r="J10" t="s">
        <v>296</v>
      </c>
      <c r="L10" t="s">
        <v>271</v>
      </c>
      <c r="M10" t="s">
        <v>120</v>
      </c>
      <c r="O10" t="s">
        <v>271</v>
      </c>
      <c r="P10" t="s">
        <v>104</v>
      </c>
      <c r="R10" t="s">
        <v>271</v>
      </c>
      <c r="S10" t="s">
        <v>121</v>
      </c>
    </row>
    <row r="11" spans="1:19" x14ac:dyDescent="0.25">
      <c r="B11" s="15"/>
      <c r="C11" s="15" t="s">
        <v>272</v>
      </c>
      <c r="D11" t="s">
        <v>273</v>
      </c>
      <c r="F11" t="s">
        <v>272</v>
      </c>
      <c r="G11" t="s">
        <v>291</v>
      </c>
      <c r="I11" t="s">
        <v>272</v>
      </c>
      <c r="J11" t="s">
        <v>307</v>
      </c>
      <c r="L11" t="s">
        <v>272</v>
      </c>
      <c r="M11" t="s">
        <v>323</v>
      </c>
      <c r="O11" t="s">
        <v>272</v>
      </c>
      <c r="P11" t="s">
        <v>327</v>
      </c>
      <c r="R11" t="s">
        <v>272</v>
      </c>
      <c r="S11" t="s">
        <v>346</v>
      </c>
    </row>
    <row r="12" spans="1:19" x14ac:dyDescent="0.25">
      <c r="B12" s="15"/>
      <c r="C12" s="15" t="s">
        <v>274</v>
      </c>
      <c r="D12" t="s">
        <v>275</v>
      </c>
      <c r="F12" t="s">
        <v>274</v>
      </c>
      <c r="G12" t="s">
        <v>292</v>
      </c>
      <c r="I12" t="s">
        <v>274</v>
      </c>
      <c r="J12" t="s">
        <v>308</v>
      </c>
      <c r="L12" t="s">
        <v>274</v>
      </c>
      <c r="M12" t="s">
        <v>324</v>
      </c>
      <c r="O12" t="s">
        <v>274</v>
      </c>
      <c r="P12" t="s">
        <v>327</v>
      </c>
      <c r="R12" t="s">
        <v>274</v>
      </c>
      <c r="S12" t="s">
        <v>347</v>
      </c>
    </row>
    <row r="17" spans="3:13" x14ac:dyDescent="0.25">
      <c r="I17" s="12">
        <v>0.75</v>
      </c>
      <c r="K17" s="2" t="s">
        <v>85</v>
      </c>
    </row>
    <row r="18" spans="3:13" ht="18" thickBot="1" x14ac:dyDescent="0.35">
      <c r="C18" s="13" t="s">
        <v>86</v>
      </c>
    </row>
    <row r="19" spans="3:13" ht="15.75" thickTop="1" x14ac:dyDescent="0.25"/>
    <row r="21" spans="3:13" ht="18" thickBot="1" x14ac:dyDescent="0.35">
      <c r="H21" s="13" t="str">
        <f>IF(H23=H24,"Not Required!","~UC_T: LO")</f>
        <v>Not Required!</v>
      </c>
    </row>
    <row r="22" spans="3:13" ht="16.5" thickTop="1" thickBot="1" x14ac:dyDescent="0.3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2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2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8D4E-E7D0-4DE6-AE24-A4CA5563842D}">
  <dimension ref="A9:AN538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151</v>
      </c>
      <c r="L10" t="s">
        <v>30</v>
      </c>
      <c r="N10" t="s">
        <v>13</v>
      </c>
      <c r="O10" t="s">
        <v>116</v>
      </c>
      <c r="P10" t="s">
        <v>151</v>
      </c>
      <c r="Q10" t="s">
        <v>30</v>
      </c>
      <c r="S10" t="s">
        <v>13</v>
      </c>
      <c r="T10" t="s">
        <v>116</v>
      </c>
      <c r="U10" t="s">
        <v>151</v>
      </c>
      <c r="V10" t="s">
        <v>30</v>
      </c>
      <c r="X10" t="s">
        <v>270</v>
      </c>
      <c r="Y10" t="s">
        <v>151</v>
      </c>
      <c r="Z10" t="s">
        <v>116</v>
      </c>
      <c r="AA10" t="s">
        <v>13</v>
      </c>
      <c r="AC10" t="s">
        <v>13</v>
      </c>
      <c r="AD10" t="s">
        <v>116</v>
      </c>
      <c r="AE10" t="s">
        <v>151</v>
      </c>
      <c r="AG10" t="s">
        <v>13</v>
      </c>
      <c r="AH10" t="s">
        <v>116</v>
      </c>
      <c r="AI10" t="s">
        <v>276</v>
      </c>
      <c r="AK10" t="s">
        <v>47</v>
      </c>
      <c r="AL10" t="s">
        <v>116</v>
      </c>
      <c r="AM10" t="s">
        <v>277</v>
      </c>
      <c r="AN10" t="s">
        <v>278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5.6170262438418044E-2</v>
      </c>
      <c r="L11" t="s">
        <v>154</v>
      </c>
      <c r="N11" t="s">
        <v>195</v>
      </c>
      <c r="O11" t="s">
        <v>153</v>
      </c>
      <c r="P11">
        <v>7.9423087492799332E-2</v>
      </c>
      <c r="Q11" t="s">
        <v>154</v>
      </c>
      <c r="S11" t="s">
        <v>226</v>
      </c>
      <c r="T11" t="s">
        <v>153</v>
      </c>
      <c r="U11">
        <v>8.5406413669991174E-2</v>
      </c>
      <c r="V11" t="s">
        <v>154</v>
      </c>
      <c r="X11">
        <v>6.9863013698630141E-2</v>
      </c>
      <c r="Y11">
        <v>6.8915794445963768E-2</v>
      </c>
      <c r="Z11" t="s">
        <v>153</v>
      </c>
      <c r="AA11" t="s">
        <v>25</v>
      </c>
      <c r="AC11" t="s">
        <v>22</v>
      </c>
      <c r="AD11" t="s">
        <v>153</v>
      </c>
      <c r="AE11">
        <v>7.9271260943851909E-2</v>
      </c>
      <c r="AG11" t="s">
        <v>97</v>
      </c>
      <c r="AH11" t="s">
        <v>153</v>
      </c>
      <c r="AI11">
        <v>0.18843231653085968</v>
      </c>
      <c r="AK11">
        <v>2020</v>
      </c>
      <c r="AL11" t="s">
        <v>142</v>
      </c>
      <c r="AM11">
        <v>0.26720804315727364</v>
      </c>
      <c r="AN11" t="s">
        <v>279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1.8116182377890177E-3</v>
      </c>
      <c r="L12" t="s">
        <v>154</v>
      </c>
      <c r="N12" t="s">
        <v>195</v>
      </c>
      <c r="O12" t="s">
        <v>155</v>
      </c>
      <c r="P12">
        <v>5.1623666680996327E-3</v>
      </c>
      <c r="Q12" t="s">
        <v>154</v>
      </c>
      <c r="S12" t="s">
        <v>226</v>
      </c>
      <c r="T12" t="s">
        <v>155</v>
      </c>
      <c r="U12">
        <v>4.7395196778244652E-3</v>
      </c>
      <c r="V12" t="s">
        <v>154</v>
      </c>
      <c r="X12">
        <v>4.10958904109589E-3</v>
      </c>
      <c r="Y12">
        <v>7.9954255028217708E-3</v>
      </c>
      <c r="Z12" t="s">
        <v>155</v>
      </c>
      <c r="AA12" t="s">
        <v>25</v>
      </c>
      <c r="AC12" t="s">
        <v>22</v>
      </c>
      <c r="AD12" t="s">
        <v>155</v>
      </c>
      <c r="AE12">
        <v>5.7094447673934632E-3</v>
      </c>
      <c r="AG12" t="s">
        <v>97</v>
      </c>
      <c r="AH12" t="s">
        <v>155</v>
      </c>
      <c r="AI12">
        <v>5.4946482841405686E-2</v>
      </c>
      <c r="AK12">
        <v>2020</v>
      </c>
      <c r="AL12" t="s">
        <v>146</v>
      </c>
      <c r="AM12">
        <v>0.33633261352424165</v>
      </c>
      <c r="AN12" t="s">
        <v>279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0</v>
      </c>
      <c r="L13" t="s">
        <v>154</v>
      </c>
      <c r="N13" t="s">
        <v>195</v>
      </c>
      <c r="O13" t="s">
        <v>156</v>
      </c>
      <c r="P13">
        <v>2.9733107228461099E-2</v>
      </c>
      <c r="Q13" t="s">
        <v>154</v>
      </c>
      <c r="S13" t="s">
        <v>226</v>
      </c>
      <c r="T13" t="s">
        <v>156</v>
      </c>
      <c r="U13">
        <v>2.9336063565420754E-2</v>
      </c>
      <c r="V13" t="s">
        <v>154</v>
      </c>
      <c r="X13">
        <v>2.4657534246575342E-2</v>
      </c>
      <c r="Y13">
        <v>2.1718917037515849E-2</v>
      </c>
      <c r="Z13" t="s">
        <v>156</v>
      </c>
      <c r="AA13" t="s">
        <v>25</v>
      </c>
      <c r="AC13" t="s">
        <v>22</v>
      </c>
      <c r="AD13" t="s">
        <v>156</v>
      </c>
      <c r="AE13">
        <v>3.0481085588116394E-2</v>
      </c>
      <c r="AG13" t="s">
        <v>97</v>
      </c>
      <c r="AH13" t="s">
        <v>156</v>
      </c>
      <c r="AI13">
        <v>0.1484562084094132</v>
      </c>
      <c r="AK13">
        <v>2020</v>
      </c>
      <c r="AL13" t="s">
        <v>148</v>
      </c>
      <c r="AM13">
        <v>0.21426246901692253</v>
      </c>
      <c r="AN13" t="s">
        <v>279</v>
      </c>
    </row>
    <row r="14" spans="1:40" x14ac:dyDescent="0.25">
      <c r="C14" t="s">
        <v>150</v>
      </c>
      <c r="I14" t="s">
        <v>152</v>
      </c>
      <c r="J14" t="s">
        <v>157</v>
      </c>
      <c r="K14">
        <v>0.76825426642028238</v>
      </c>
      <c r="L14" t="s">
        <v>154</v>
      </c>
      <c r="N14" t="s">
        <v>195</v>
      </c>
      <c r="O14" t="s">
        <v>157</v>
      </c>
      <c r="P14">
        <v>0.49520617039079901</v>
      </c>
      <c r="Q14" t="s">
        <v>154</v>
      </c>
      <c r="S14" t="s">
        <v>226</v>
      </c>
      <c r="T14" t="s">
        <v>157</v>
      </c>
      <c r="U14">
        <v>0.44961547694740334</v>
      </c>
      <c r="V14" t="s">
        <v>154</v>
      </c>
      <c r="X14">
        <v>0.51232876712328768</v>
      </c>
      <c r="Y14">
        <v>0.50538249260373425</v>
      </c>
      <c r="Z14" t="s">
        <v>157</v>
      </c>
      <c r="AA14" t="s">
        <v>25</v>
      </c>
      <c r="AC14" t="s">
        <v>22</v>
      </c>
      <c r="AD14" t="s">
        <v>157</v>
      </c>
      <c r="AE14">
        <v>0.48511423065813264</v>
      </c>
      <c r="AG14" t="s">
        <v>97</v>
      </c>
      <c r="AH14" t="s">
        <v>157</v>
      </c>
      <c r="AI14">
        <v>0.51208398675295452</v>
      </c>
      <c r="AK14">
        <v>2020</v>
      </c>
      <c r="AL14" t="s">
        <v>150</v>
      </c>
      <c r="AM14">
        <v>0.1915744498195148</v>
      </c>
      <c r="AN14" t="s">
        <v>279</v>
      </c>
    </row>
    <row r="15" spans="1:40" x14ac:dyDescent="0.25">
      <c r="I15" t="s">
        <v>152</v>
      </c>
      <c r="J15" t="s">
        <v>158</v>
      </c>
      <c r="K15">
        <v>3.8127457788317998E-2</v>
      </c>
      <c r="L15" t="s">
        <v>154</v>
      </c>
      <c r="N15" t="s">
        <v>195</v>
      </c>
      <c r="O15" t="s">
        <v>158</v>
      </c>
      <c r="P15">
        <v>2.9164707979682972E-2</v>
      </c>
      <c r="Q15" t="s">
        <v>154</v>
      </c>
      <c r="S15" t="s">
        <v>226</v>
      </c>
      <c r="T15" t="s">
        <v>158</v>
      </c>
      <c r="U15">
        <v>2.7116458229262962E-2</v>
      </c>
      <c r="V15" t="s">
        <v>154</v>
      </c>
      <c r="X15">
        <v>3.0136986301369864E-2</v>
      </c>
      <c r="Y15">
        <v>5.8633120354026312E-2</v>
      </c>
      <c r="Z15" t="s">
        <v>158</v>
      </c>
      <c r="AA15" t="s">
        <v>25</v>
      </c>
      <c r="AC15" t="s">
        <v>22</v>
      </c>
      <c r="AD15" t="s">
        <v>158</v>
      </c>
      <c r="AE15">
        <v>3.393289098935557E-2</v>
      </c>
      <c r="AG15" t="s">
        <v>97</v>
      </c>
      <c r="AH15" t="s">
        <v>158</v>
      </c>
      <c r="AI15">
        <v>0.33499561216827045</v>
      </c>
      <c r="AK15">
        <v>2021</v>
      </c>
      <c r="AL15" t="s">
        <v>142</v>
      </c>
      <c r="AM15">
        <v>0.20762054491871684</v>
      </c>
      <c r="AN15" t="s">
        <v>279</v>
      </c>
    </row>
    <row r="16" spans="1:40" x14ac:dyDescent="0.25">
      <c r="I16" t="s">
        <v>152</v>
      </c>
      <c r="J16" t="s">
        <v>159</v>
      </c>
      <c r="K16">
        <v>1.3521384567981978E-2</v>
      </c>
      <c r="L16" t="s">
        <v>154</v>
      </c>
      <c r="N16" t="s">
        <v>195</v>
      </c>
      <c r="O16" t="s">
        <v>159</v>
      </c>
      <c r="P16">
        <v>0.17226608368745344</v>
      </c>
      <c r="Q16" t="s">
        <v>154</v>
      </c>
      <c r="S16" t="s">
        <v>226</v>
      </c>
      <c r="T16" t="s">
        <v>159</v>
      </c>
      <c r="U16">
        <v>0.16083102954219561</v>
      </c>
      <c r="V16" t="s">
        <v>154</v>
      </c>
      <c r="X16">
        <v>0.18082191780821918</v>
      </c>
      <c r="Y16">
        <v>0.15927205827511623</v>
      </c>
      <c r="Z16" t="s">
        <v>159</v>
      </c>
      <c r="AA16" t="s">
        <v>25</v>
      </c>
      <c r="AC16" t="s">
        <v>22</v>
      </c>
      <c r="AD16" t="s">
        <v>159</v>
      </c>
      <c r="AE16">
        <v>0.1883974108235752</v>
      </c>
      <c r="AG16" t="s">
        <v>97</v>
      </c>
      <c r="AH16" t="s">
        <v>159</v>
      </c>
      <c r="AI16">
        <v>0.39210285374849163</v>
      </c>
      <c r="AK16">
        <v>2021</v>
      </c>
      <c r="AL16" t="s">
        <v>146</v>
      </c>
      <c r="AM16">
        <v>0.33988277467236849</v>
      </c>
      <c r="AN16" t="s">
        <v>279</v>
      </c>
    </row>
    <row r="17" spans="9:40" x14ac:dyDescent="0.25">
      <c r="I17" t="s">
        <v>152</v>
      </c>
      <c r="J17" t="s">
        <v>160</v>
      </c>
      <c r="K17">
        <v>6.2259502994275941E-2</v>
      </c>
      <c r="L17" t="s">
        <v>154</v>
      </c>
      <c r="N17" t="s">
        <v>195</v>
      </c>
      <c r="O17" t="s">
        <v>160</v>
      </c>
      <c r="P17">
        <v>5.4342396418207303E-2</v>
      </c>
      <c r="Q17" t="s">
        <v>154</v>
      </c>
      <c r="S17" t="s">
        <v>226</v>
      </c>
      <c r="T17" t="s">
        <v>160</v>
      </c>
      <c r="U17">
        <v>6.5523621580744429E-2</v>
      </c>
      <c r="V17" t="s">
        <v>154</v>
      </c>
      <c r="X17">
        <v>5.4337899543378997E-2</v>
      </c>
      <c r="Y17">
        <v>5.3601173457971815E-2</v>
      </c>
      <c r="Z17" t="s">
        <v>160</v>
      </c>
      <c r="AA17" t="s">
        <v>25</v>
      </c>
      <c r="AC17" t="s">
        <v>22</v>
      </c>
      <c r="AD17" t="s">
        <v>160</v>
      </c>
      <c r="AE17">
        <v>4.7602771633866309E-2</v>
      </c>
      <c r="AG17" t="s">
        <v>97</v>
      </c>
      <c r="AH17" t="s">
        <v>160</v>
      </c>
      <c r="AI17">
        <v>0.23874426003734039</v>
      </c>
      <c r="AK17">
        <v>2021</v>
      </c>
      <c r="AL17" t="s">
        <v>148</v>
      </c>
      <c r="AM17">
        <v>0.19081463120434433</v>
      </c>
      <c r="AN17" t="s">
        <v>279</v>
      </c>
    </row>
    <row r="18" spans="9:40" x14ac:dyDescent="0.25">
      <c r="I18" t="s">
        <v>152</v>
      </c>
      <c r="J18" t="s">
        <v>161</v>
      </c>
      <c r="K18">
        <v>3.3890492067975304E-4</v>
      </c>
      <c r="L18" t="s">
        <v>154</v>
      </c>
      <c r="N18" t="s">
        <v>195</v>
      </c>
      <c r="O18" t="s">
        <v>161</v>
      </c>
      <c r="P18">
        <v>3.4742249909754841E-3</v>
      </c>
      <c r="Q18" t="s">
        <v>154</v>
      </c>
      <c r="S18" t="s">
        <v>226</v>
      </c>
      <c r="T18" t="s">
        <v>161</v>
      </c>
      <c r="U18">
        <v>4.1478229441031167E-3</v>
      </c>
      <c r="V18" t="s">
        <v>154</v>
      </c>
      <c r="X18">
        <v>3.1963470319634705E-3</v>
      </c>
      <c r="Y18">
        <v>6.2186642799724884E-3</v>
      </c>
      <c r="Z18" t="s">
        <v>161</v>
      </c>
      <c r="AA18" t="s">
        <v>25</v>
      </c>
      <c r="AC18" t="s">
        <v>22</v>
      </c>
      <c r="AD18" t="s">
        <v>161</v>
      </c>
      <c r="AE18">
        <v>3.3260898430838679E-3</v>
      </c>
      <c r="AG18" t="s">
        <v>97</v>
      </c>
      <c r="AH18" t="s">
        <v>161</v>
      </c>
      <c r="AI18">
        <v>0.12682443497274742</v>
      </c>
      <c r="AK18">
        <v>2021</v>
      </c>
      <c r="AL18" t="s">
        <v>150</v>
      </c>
      <c r="AM18">
        <v>0.21711300586915966</v>
      </c>
      <c r="AN18" t="s">
        <v>279</v>
      </c>
    </row>
    <row r="19" spans="9:40" x14ac:dyDescent="0.25">
      <c r="I19" t="s">
        <v>152</v>
      </c>
      <c r="J19" t="s">
        <v>162</v>
      </c>
      <c r="K19">
        <v>0</v>
      </c>
      <c r="L19" t="s">
        <v>154</v>
      </c>
      <c r="N19" t="s">
        <v>195</v>
      </c>
      <c r="O19" t="s">
        <v>162</v>
      </c>
      <c r="P19">
        <v>2.015126074479057E-2</v>
      </c>
      <c r="Q19" t="s">
        <v>154</v>
      </c>
      <c r="S19" t="s">
        <v>226</v>
      </c>
      <c r="T19" t="s">
        <v>162</v>
      </c>
      <c r="U19">
        <v>2.3474679081334333E-2</v>
      </c>
      <c r="V19" t="s">
        <v>154</v>
      </c>
      <c r="X19">
        <v>1.9178082191780823E-2</v>
      </c>
      <c r="Y19">
        <v>1.6892491029178995E-2</v>
      </c>
      <c r="Z19" t="s">
        <v>162</v>
      </c>
      <c r="AA19" t="s">
        <v>25</v>
      </c>
      <c r="AC19" t="s">
        <v>22</v>
      </c>
      <c r="AD19" t="s">
        <v>162</v>
      </c>
      <c r="AE19">
        <v>1.9238818099018559E-2</v>
      </c>
      <c r="AG19" t="s">
        <v>97</v>
      </c>
      <c r="AH19" t="s">
        <v>162</v>
      </c>
      <c r="AI19">
        <v>0.17950343000199309</v>
      </c>
      <c r="AK19">
        <v>2022</v>
      </c>
      <c r="AL19" t="s">
        <v>142</v>
      </c>
      <c r="AM19">
        <v>0.18993556013116755</v>
      </c>
      <c r="AN19" t="s">
        <v>279</v>
      </c>
    </row>
    <row r="20" spans="9:40" x14ac:dyDescent="0.25">
      <c r="I20" t="s">
        <v>152</v>
      </c>
      <c r="J20" t="s">
        <v>163</v>
      </c>
      <c r="K20">
        <v>5.9503457802642067E-2</v>
      </c>
      <c r="L20" t="s">
        <v>154</v>
      </c>
      <c r="N20" t="s">
        <v>195</v>
      </c>
      <c r="O20" t="s">
        <v>163</v>
      </c>
      <c r="P20">
        <v>7.8414890973305382E-2</v>
      </c>
      <c r="Q20" t="s">
        <v>154</v>
      </c>
      <c r="S20" t="s">
        <v>226</v>
      </c>
      <c r="T20" t="s">
        <v>163</v>
      </c>
      <c r="U20">
        <v>0.10413367989198159</v>
      </c>
      <c r="V20" t="s">
        <v>154</v>
      </c>
      <c r="X20">
        <v>7.1803652968036535E-2</v>
      </c>
      <c r="Y20">
        <v>7.083012206946275E-2</v>
      </c>
      <c r="Z20" t="s">
        <v>163</v>
      </c>
      <c r="AA20" t="s">
        <v>25</v>
      </c>
      <c r="AC20" t="s">
        <v>22</v>
      </c>
      <c r="AD20" t="s">
        <v>163</v>
      </c>
      <c r="AE20">
        <v>7.2524000562671206E-2</v>
      </c>
      <c r="AG20" t="s">
        <v>97</v>
      </c>
      <c r="AH20" t="s">
        <v>163</v>
      </c>
      <c r="AI20">
        <v>0.25061211999921262</v>
      </c>
      <c r="AK20">
        <v>2022</v>
      </c>
      <c r="AL20" t="s">
        <v>146</v>
      </c>
      <c r="AM20">
        <v>0.31558836156372949</v>
      </c>
      <c r="AN20" t="s">
        <v>279</v>
      </c>
    </row>
    <row r="21" spans="9:40" x14ac:dyDescent="0.25">
      <c r="I21" t="s">
        <v>152</v>
      </c>
      <c r="J21" t="s">
        <v>164</v>
      </c>
      <c r="K21">
        <v>1.3144829611768827E-5</v>
      </c>
      <c r="L21" t="s">
        <v>154</v>
      </c>
      <c r="N21" t="s">
        <v>195</v>
      </c>
      <c r="O21" t="s">
        <v>164</v>
      </c>
      <c r="P21">
        <v>4.8324745858067996E-3</v>
      </c>
      <c r="Q21" t="s">
        <v>154</v>
      </c>
      <c r="S21" t="s">
        <v>226</v>
      </c>
      <c r="T21" t="s">
        <v>164</v>
      </c>
      <c r="U21">
        <v>6.3999354342756144E-3</v>
      </c>
      <c r="V21" t="s">
        <v>154</v>
      </c>
      <c r="X21">
        <v>4.2237442922374432E-3</v>
      </c>
      <c r="Y21">
        <v>8.2175206556779311E-3</v>
      </c>
      <c r="Z21" t="s">
        <v>164</v>
      </c>
      <c r="AA21" t="s">
        <v>25</v>
      </c>
      <c r="AC21" t="s">
        <v>22</v>
      </c>
      <c r="AD21" t="s">
        <v>164</v>
      </c>
      <c r="AE21">
        <v>5.3869414508266574E-3</v>
      </c>
      <c r="AG21" t="s">
        <v>97</v>
      </c>
      <c r="AH21" t="s">
        <v>164</v>
      </c>
      <c r="AI21">
        <v>8.9555174263685533E-2</v>
      </c>
      <c r="AK21">
        <v>2022</v>
      </c>
      <c r="AL21" t="s">
        <v>148</v>
      </c>
      <c r="AM21">
        <v>0.1997063982307633</v>
      </c>
      <c r="AN21" t="s">
        <v>279</v>
      </c>
    </row>
    <row r="22" spans="9:40" x14ac:dyDescent="0.25">
      <c r="I22" t="s">
        <v>152</v>
      </c>
      <c r="J22" t="s">
        <v>165</v>
      </c>
      <c r="K22">
        <v>0</v>
      </c>
      <c r="L22" t="s">
        <v>154</v>
      </c>
      <c r="N22" t="s">
        <v>195</v>
      </c>
      <c r="O22" t="s">
        <v>165</v>
      </c>
      <c r="P22">
        <v>2.7829228839616617E-2</v>
      </c>
      <c r="Q22" t="s">
        <v>154</v>
      </c>
      <c r="S22" t="s">
        <v>226</v>
      </c>
      <c r="T22" t="s">
        <v>165</v>
      </c>
      <c r="U22">
        <v>3.9275299435461472E-2</v>
      </c>
      <c r="V22" t="s">
        <v>154</v>
      </c>
      <c r="X22">
        <v>2.5342465753424658E-2</v>
      </c>
      <c r="Y22">
        <v>2.2322220288557956E-2</v>
      </c>
      <c r="Z22" t="s">
        <v>165</v>
      </c>
      <c r="AA22" t="s">
        <v>25</v>
      </c>
      <c r="AC22" t="s">
        <v>22</v>
      </c>
      <c r="AD22" t="s">
        <v>165</v>
      </c>
      <c r="AE22">
        <v>2.9015054640108191E-2</v>
      </c>
      <c r="AG22" t="s">
        <v>97</v>
      </c>
      <c r="AH22" t="s">
        <v>165</v>
      </c>
      <c r="AI22">
        <v>0.18154030403712684</v>
      </c>
      <c r="AK22">
        <v>2022</v>
      </c>
      <c r="AL22" t="s">
        <v>150</v>
      </c>
      <c r="AM22">
        <v>0.18278616639975589</v>
      </c>
      <c r="AN22" t="s">
        <v>279</v>
      </c>
    </row>
    <row r="23" spans="9:40" x14ac:dyDescent="0.25">
      <c r="I23" t="s">
        <v>166</v>
      </c>
      <c r="J23" t="s">
        <v>153</v>
      </c>
      <c r="K23">
        <v>6.0761496608807107E-2</v>
      </c>
      <c r="L23" t="s">
        <v>154</v>
      </c>
      <c r="N23" t="s">
        <v>196</v>
      </c>
      <c r="O23" t="s">
        <v>153</v>
      </c>
      <c r="P23">
        <v>7.5031837236799862E-2</v>
      </c>
      <c r="Q23" t="s">
        <v>154</v>
      </c>
      <c r="S23" t="s">
        <v>227</v>
      </c>
      <c r="T23" t="s">
        <v>153</v>
      </c>
      <c r="U23">
        <v>8.4241744555173165E-2</v>
      </c>
      <c r="V23" t="s">
        <v>154</v>
      </c>
      <c r="AC23" t="s">
        <v>19</v>
      </c>
      <c r="AD23" t="s">
        <v>153</v>
      </c>
      <c r="AE23">
        <v>6.9736253685635866E-2</v>
      </c>
      <c r="AK23">
        <v>2025</v>
      </c>
      <c r="AL23" t="s">
        <v>142</v>
      </c>
      <c r="AM23">
        <v>0.19595000000000001</v>
      </c>
      <c r="AN23" t="s">
        <v>279</v>
      </c>
    </row>
    <row r="24" spans="9:40" x14ac:dyDescent="0.25">
      <c r="I24" t="s">
        <v>166</v>
      </c>
      <c r="J24" t="s">
        <v>155</v>
      </c>
      <c r="K24">
        <v>2.5906157527301518E-3</v>
      </c>
      <c r="L24" t="s">
        <v>154</v>
      </c>
      <c r="N24" t="s">
        <v>196</v>
      </c>
      <c r="O24" t="s">
        <v>155</v>
      </c>
      <c r="P24">
        <v>4.8290394505782278E-3</v>
      </c>
      <c r="Q24" t="s">
        <v>154</v>
      </c>
      <c r="S24" t="s">
        <v>227</v>
      </c>
      <c r="T24" t="s">
        <v>155</v>
      </c>
      <c r="U24">
        <v>4.974177304579731E-3</v>
      </c>
      <c r="V24" t="s">
        <v>154</v>
      </c>
      <c r="AC24" t="s">
        <v>19</v>
      </c>
      <c r="AD24" t="s">
        <v>155</v>
      </c>
      <c r="AE24">
        <v>4.1702962446583747E-3</v>
      </c>
      <c r="AK24">
        <v>2025</v>
      </c>
      <c r="AL24" t="s">
        <v>146</v>
      </c>
      <c r="AM24">
        <v>0.26554444444444442</v>
      </c>
      <c r="AN24" t="s">
        <v>279</v>
      </c>
    </row>
    <row r="25" spans="9:40" x14ac:dyDescent="0.25">
      <c r="I25" t="s">
        <v>166</v>
      </c>
      <c r="J25" t="s">
        <v>156</v>
      </c>
      <c r="K25">
        <v>0</v>
      </c>
      <c r="L25" t="s">
        <v>154</v>
      </c>
      <c r="N25" t="s">
        <v>196</v>
      </c>
      <c r="O25" t="s">
        <v>156</v>
      </c>
      <c r="P25">
        <v>2.947845207273881E-2</v>
      </c>
      <c r="Q25" t="s">
        <v>154</v>
      </c>
      <c r="S25" t="s">
        <v>227</v>
      </c>
      <c r="T25" t="s">
        <v>156</v>
      </c>
      <c r="U25">
        <v>3.0519285980821816E-2</v>
      </c>
      <c r="V25" t="s">
        <v>154</v>
      </c>
      <c r="AC25" t="s">
        <v>19</v>
      </c>
      <c r="AD25" t="s">
        <v>156</v>
      </c>
      <c r="AE25">
        <v>2.4775838650704155E-2</v>
      </c>
      <c r="AK25">
        <v>2025</v>
      </c>
      <c r="AL25" t="s">
        <v>148</v>
      </c>
      <c r="AM25">
        <v>0.1671</v>
      </c>
      <c r="AN25" t="s">
        <v>279</v>
      </c>
    </row>
    <row r="26" spans="9:40" x14ac:dyDescent="0.25">
      <c r="I26" t="s">
        <v>166</v>
      </c>
      <c r="J26" t="s">
        <v>157</v>
      </c>
      <c r="K26">
        <v>0.75965576376454902</v>
      </c>
      <c r="L26" t="s">
        <v>154</v>
      </c>
      <c r="N26" t="s">
        <v>196</v>
      </c>
      <c r="O26" t="s">
        <v>157</v>
      </c>
      <c r="P26">
        <v>0.50459169042604268</v>
      </c>
      <c r="Q26" t="s">
        <v>154</v>
      </c>
      <c r="S26" t="s">
        <v>227</v>
      </c>
      <c r="T26" t="s">
        <v>157</v>
      </c>
      <c r="U26">
        <v>0.46132068993277819</v>
      </c>
      <c r="V26" t="s">
        <v>154</v>
      </c>
      <c r="AC26" t="s">
        <v>19</v>
      </c>
      <c r="AD26" t="s">
        <v>157</v>
      </c>
      <c r="AE26">
        <v>0.51124338457869389</v>
      </c>
      <c r="AK26">
        <v>2025</v>
      </c>
      <c r="AL26" t="s">
        <v>150</v>
      </c>
      <c r="AM26">
        <v>0.1709</v>
      </c>
      <c r="AN26" t="s">
        <v>279</v>
      </c>
    </row>
    <row r="27" spans="9:40" x14ac:dyDescent="0.25">
      <c r="I27" t="s">
        <v>166</v>
      </c>
      <c r="J27" t="s">
        <v>158</v>
      </c>
      <c r="K27">
        <v>4.1711934838405143E-2</v>
      </c>
      <c r="L27" t="s">
        <v>154</v>
      </c>
      <c r="N27" t="s">
        <v>196</v>
      </c>
      <c r="O27" t="s">
        <v>158</v>
      </c>
      <c r="P27">
        <v>3.0567234154193563E-2</v>
      </c>
      <c r="Q27" t="s">
        <v>154</v>
      </c>
      <c r="S27" t="s">
        <v>227</v>
      </c>
      <c r="T27" t="s">
        <v>158</v>
      </c>
      <c r="U27">
        <v>2.6878492353046263E-2</v>
      </c>
      <c r="V27" t="s">
        <v>154</v>
      </c>
      <c r="AC27" t="s">
        <v>19</v>
      </c>
      <c r="AD27" t="s">
        <v>158</v>
      </c>
      <c r="AE27">
        <v>3.0424681398244141E-2</v>
      </c>
      <c r="AK27">
        <v>2026</v>
      </c>
      <c r="AL27" t="s">
        <v>142</v>
      </c>
      <c r="AM27">
        <v>0.1923</v>
      </c>
      <c r="AN27" t="s">
        <v>279</v>
      </c>
    </row>
    <row r="28" spans="9:40" x14ac:dyDescent="0.25">
      <c r="I28" t="s">
        <v>166</v>
      </c>
      <c r="J28" t="s">
        <v>159</v>
      </c>
      <c r="K28">
        <v>1.6947985584766255E-2</v>
      </c>
      <c r="L28" t="s">
        <v>154</v>
      </c>
      <c r="N28" t="s">
        <v>196</v>
      </c>
      <c r="O28" t="s">
        <v>159</v>
      </c>
      <c r="P28">
        <v>0.17597862707533224</v>
      </c>
      <c r="Q28" t="s">
        <v>154</v>
      </c>
      <c r="S28" t="s">
        <v>227</v>
      </c>
      <c r="T28" t="s">
        <v>159</v>
      </c>
      <c r="U28">
        <v>0.15951137780890712</v>
      </c>
      <c r="V28" t="s">
        <v>154</v>
      </c>
      <c r="AC28" t="s">
        <v>19</v>
      </c>
      <c r="AD28" t="s">
        <v>159</v>
      </c>
      <c r="AE28">
        <v>0.18155797532673623</v>
      </c>
      <c r="AK28">
        <v>2026</v>
      </c>
      <c r="AL28" t="s">
        <v>146</v>
      </c>
      <c r="AM28">
        <v>0.26685555555555557</v>
      </c>
      <c r="AN28" t="s">
        <v>279</v>
      </c>
    </row>
    <row r="29" spans="9:40" x14ac:dyDescent="0.25">
      <c r="I29" t="s">
        <v>166</v>
      </c>
      <c r="J29" t="s">
        <v>160</v>
      </c>
      <c r="K29">
        <v>6.0972965982622543E-2</v>
      </c>
      <c r="L29" t="s">
        <v>154</v>
      </c>
      <c r="N29" t="s">
        <v>196</v>
      </c>
      <c r="O29" t="s">
        <v>160</v>
      </c>
      <c r="P29">
        <v>4.5309763214677008E-2</v>
      </c>
      <c r="Q29" t="s">
        <v>154</v>
      </c>
      <c r="S29" t="s">
        <v>227</v>
      </c>
      <c r="T29" t="s">
        <v>160</v>
      </c>
      <c r="U29">
        <v>6.6493397395065892E-2</v>
      </c>
      <c r="V29" t="s">
        <v>154</v>
      </c>
      <c r="AC29" t="s">
        <v>19</v>
      </c>
      <c r="AD29" t="s">
        <v>160</v>
      </c>
      <c r="AE29">
        <v>5.4147532376904124E-2</v>
      </c>
      <c r="AK29">
        <v>2026</v>
      </c>
      <c r="AL29" t="s">
        <v>148</v>
      </c>
      <c r="AM29">
        <v>0.16844999999999999</v>
      </c>
      <c r="AN29" t="s">
        <v>279</v>
      </c>
    </row>
    <row r="30" spans="9:40" x14ac:dyDescent="0.25">
      <c r="I30" t="s">
        <v>166</v>
      </c>
      <c r="J30" t="s">
        <v>161</v>
      </c>
      <c r="K30">
        <v>1.388209889109865E-3</v>
      </c>
      <c r="L30" t="s">
        <v>154</v>
      </c>
      <c r="N30" t="s">
        <v>196</v>
      </c>
      <c r="O30" t="s">
        <v>161</v>
      </c>
      <c r="P30">
        <v>2.8329242450341038E-3</v>
      </c>
      <c r="Q30" t="s">
        <v>154</v>
      </c>
      <c r="S30" t="s">
        <v>227</v>
      </c>
      <c r="T30" t="s">
        <v>161</v>
      </c>
      <c r="U30">
        <v>3.9501406216732819E-3</v>
      </c>
      <c r="V30" t="s">
        <v>154</v>
      </c>
      <c r="AC30" t="s">
        <v>19</v>
      </c>
      <c r="AD30" t="s">
        <v>161</v>
      </c>
      <c r="AE30">
        <v>3.2194074648871623E-3</v>
      </c>
      <c r="AK30">
        <v>2026</v>
      </c>
      <c r="AL30" t="s">
        <v>150</v>
      </c>
      <c r="AM30">
        <v>0.16864999999999999</v>
      </c>
      <c r="AN30" t="s">
        <v>279</v>
      </c>
    </row>
    <row r="31" spans="9:40" x14ac:dyDescent="0.25">
      <c r="I31" t="s">
        <v>166</v>
      </c>
      <c r="J31" t="s">
        <v>162</v>
      </c>
      <c r="K31">
        <v>0</v>
      </c>
      <c r="L31" t="s">
        <v>154</v>
      </c>
      <c r="N31" t="s">
        <v>196</v>
      </c>
      <c r="O31" t="s">
        <v>162</v>
      </c>
      <c r="P31">
        <v>1.6505739227582993E-2</v>
      </c>
      <c r="Q31" t="s">
        <v>154</v>
      </c>
      <c r="S31" t="s">
        <v>227</v>
      </c>
      <c r="T31" t="s">
        <v>162</v>
      </c>
      <c r="U31">
        <v>2.298053292762731E-2</v>
      </c>
      <c r="V31" t="s">
        <v>154</v>
      </c>
      <c r="AC31" t="s">
        <v>19</v>
      </c>
      <c r="AD31" t="s">
        <v>162</v>
      </c>
      <c r="AE31">
        <v>1.9269692951758038E-2</v>
      </c>
      <c r="AK31">
        <v>2027</v>
      </c>
      <c r="AL31" t="s">
        <v>142</v>
      </c>
      <c r="AM31">
        <v>0.18759999999999999</v>
      </c>
      <c r="AN31" t="s">
        <v>279</v>
      </c>
    </row>
    <row r="32" spans="9:40" x14ac:dyDescent="0.25">
      <c r="I32" t="s">
        <v>166</v>
      </c>
      <c r="J32" t="s">
        <v>163</v>
      </c>
      <c r="K32">
        <v>5.5379014549775736E-2</v>
      </c>
      <c r="L32" t="s">
        <v>154</v>
      </c>
      <c r="N32" t="s">
        <v>196</v>
      </c>
      <c r="O32" t="s">
        <v>163</v>
      </c>
      <c r="P32">
        <v>8.1130498209790305E-2</v>
      </c>
      <c r="Q32" t="s">
        <v>154</v>
      </c>
      <c r="S32" t="s">
        <v>227</v>
      </c>
      <c r="T32" t="s">
        <v>163</v>
      </c>
      <c r="U32">
        <v>9.7381972221815521E-2</v>
      </c>
      <c r="V32" t="s">
        <v>154</v>
      </c>
      <c r="AC32" t="s">
        <v>19</v>
      </c>
      <c r="AD32" t="s">
        <v>163</v>
      </c>
      <c r="AE32">
        <v>7.1654475007913401E-2</v>
      </c>
      <c r="AK32">
        <v>2027</v>
      </c>
      <c r="AL32" t="s">
        <v>146</v>
      </c>
      <c r="AM32">
        <v>0.26823333333333338</v>
      </c>
      <c r="AN32" t="s">
        <v>279</v>
      </c>
    </row>
    <row r="33" spans="9:40" x14ac:dyDescent="0.25">
      <c r="I33" t="s">
        <v>166</v>
      </c>
      <c r="J33" t="s">
        <v>164</v>
      </c>
      <c r="K33">
        <v>5.9201302923637142E-4</v>
      </c>
      <c r="L33" t="s">
        <v>154</v>
      </c>
      <c r="N33" t="s">
        <v>196</v>
      </c>
      <c r="O33" t="s">
        <v>164</v>
      </c>
      <c r="P33">
        <v>5.1995120245693941E-3</v>
      </c>
      <c r="Q33" t="s">
        <v>154</v>
      </c>
      <c r="S33" t="s">
        <v>227</v>
      </c>
      <c r="T33" t="s">
        <v>164</v>
      </c>
      <c r="U33">
        <v>5.6314919861258101E-3</v>
      </c>
      <c r="V33" t="s">
        <v>154</v>
      </c>
      <c r="AC33" t="s">
        <v>19</v>
      </c>
      <c r="AD33" t="s">
        <v>164</v>
      </c>
      <c r="AE33">
        <v>4.2879787887551467E-3</v>
      </c>
      <c r="AK33">
        <v>2027</v>
      </c>
      <c r="AL33" t="s">
        <v>148</v>
      </c>
      <c r="AM33">
        <v>0.16614999999999999</v>
      </c>
      <c r="AN33" t="s">
        <v>279</v>
      </c>
    </row>
    <row r="34" spans="9:40" x14ac:dyDescent="0.25">
      <c r="I34" t="s">
        <v>166</v>
      </c>
      <c r="J34" t="s">
        <v>165</v>
      </c>
      <c r="K34">
        <v>0</v>
      </c>
      <c r="L34" t="s">
        <v>154</v>
      </c>
      <c r="N34" t="s">
        <v>196</v>
      </c>
      <c r="O34" t="s">
        <v>165</v>
      </c>
      <c r="P34">
        <v>2.8544682662660435E-2</v>
      </c>
      <c r="Q34" t="s">
        <v>154</v>
      </c>
      <c r="S34" t="s">
        <v>227</v>
      </c>
      <c r="T34" t="s">
        <v>165</v>
      </c>
      <c r="U34">
        <v>3.6116696912387253E-2</v>
      </c>
      <c r="V34" t="s">
        <v>154</v>
      </c>
      <c r="AC34" t="s">
        <v>19</v>
      </c>
      <c r="AD34" t="s">
        <v>165</v>
      </c>
      <c r="AE34">
        <v>2.5512483525109476E-2</v>
      </c>
      <c r="AK34">
        <v>2027</v>
      </c>
      <c r="AL34" t="s">
        <v>150</v>
      </c>
      <c r="AM34">
        <v>0.15720000000000001</v>
      </c>
      <c r="AN34" t="s">
        <v>279</v>
      </c>
    </row>
    <row r="35" spans="9:40" x14ac:dyDescent="0.25">
      <c r="I35" t="s">
        <v>167</v>
      </c>
      <c r="J35" t="s">
        <v>153</v>
      </c>
      <c r="K35">
        <v>6.3840878696795195E-2</v>
      </c>
      <c r="L35" t="s">
        <v>154</v>
      </c>
      <c r="N35" t="s">
        <v>197</v>
      </c>
      <c r="O35" t="s">
        <v>153</v>
      </c>
      <c r="P35">
        <v>8.7528744069872599E-2</v>
      </c>
      <c r="Q35" t="s">
        <v>154</v>
      </c>
      <c r="S35" t="s">
        <v>228</v>
      </c>
      <c r="T35" t="s">
        <v>153</v>
      </c>
      <c r="U35">
        <v>7.3381710441365378E-2</v>
      </c>
      <c r="V35" t="s">
        <v>154</v>
      </c>
      <c r="AK35">
        <v>2028</v>
      </c>
      <c r="AL35" t="s">
        <v>142</v>
      </c>
      <c r="AM35">
        <v>0.18814999999999998</v>
      </c>
      <c r="AN35" t="s">
        <v>279</v>
      </c>
    </row>
    <row r="36" spans="9:40" x14ac:dyDescent="0.25">
      <c r="I36" t="s">
        <v>167</v>
      </c>
      <c r="J36" t="s">
        <v>155</v>
      </c>
      <c r="K36">
        <v>1.292437581945685E-3</v>
      </c>
      <c r="L36" t="s">
        <v>154</v>
      </c>
      <c r="N36" t="s">
        <v>197</v>
      </c>
      <c r="O36" t="s">
        <v>155</v>
      </c>
      <c r="P36">
        <v>6.7747200236352237E-3</v>
      </c>
      <c r="Q36" t="s">
        <v>154</v>
      </c>
      <c r="S36" t="s">
        <v>228</v>
      </c>
      <c r="T36" t="s">
        <v>155</v>
      </c>
      <c r="U36">
        <v>4.6237452372560007E-3</v>
      </c>
      <c r="V36" t="s">
        <v>154</v>
      </c>
      <c r="AK36">
        <v>2028</v>
      </c>
      <c r="AL36" t="s">
        <v>146</v>
      </c>
      <c r="AM36">
        <v>0.27376666666666666</v>
      </c>
      <c r="AN36" t="s">
        <v>279</v>
      </c>
    </row>
    <row r="37" spans="9:40" x14ac:dyDescent="0.25">
      <c r="I37" t="s">
        <v>167</v>
      </c>
      <c r="J37" t="s">
        <v>156</v>
      </c>
      <c r="K37">
        <v>0</v>
      </c>
      <c r="L37" t="s">
        <v>154</v>
      </c>
      <c r="N37" t="s">
        <v>197</v>
      </c>
      <c r="O37" t="s">
        <v>156</v>
      </c>
      <c r="P37">
        <v>3.2385592723843316E-2</v>
      </c>
      <c r="Q37" t="s">
        <v>154</v>
      </c>
      <c r="S37" t="s">
        <v>228</v>
      </c>
      <c r="T37" t="s">
        <v>156</v>
      </c>
      <c r="U37">
        <v>2.8453383307342574E-2</v>
      </c>
      <c r="V37" t="s">
        <v>154</v>
      </c>
      <c r="AK37">
        <v>2028</v>
      </c>
      <c r="AL37" t="s">
        <v>148</v>
      </c>
      <c r="AM37">
        <v>0.1865</v>
      </c>
      <c r="AN37" t="s">
        <v>279</v>
      </c>
    </row>
    <row r="38" spans="9:40" x14ac:dyDescent="0.25">
      <c r="I38" t="s">
        <v>167</v>
      </c>
      <c r="J38" t="s">
        <v>157</v>
      </c>
      <c r="K38">
        <v>0.74917145516644235</v>
      </c>
      <c r="L38" t="s">
        <v>154</v>
      </c>
      <c r="N38" t="s">
        <v>197</v>
      </c>
      <c r="O38" t="s">
        <v>157</v>
      </c>
      <c r="P38">
        <v>0.45713071179866527</v>
      </c>
      <c r="Q38" t="s">
        <v>154</v>
      </c>
      <c r="S38" t="s">
        <v>228</v>
      </c>
      <c r="T38" t="s">
        <v>157</v>
      </c>
      <c r="U38">
        <v>0.50756219684551263</v>
      </c>
      <c r="V38" t="s">
        <v>154</v>
      </c>
      <c r="AK38">
        <v>2028</v>
      </c>
      <c r="AL38" t="s">
        <v>150</v>
      </c>
      <c r="AM38">
        <v>0.17085</v>
      </c>
      <c r="AN38" t="s">
        <v>279</v>
      </c>
    </row>
    <row r="39" spans="9:40" x14ac:dyDescent="0.25">
      <c r="I39" t="s">
        <v>167</v>
      </c>
      <c r="J39" t="s">
        <v>158</v>
      </c>
      <c r="K39">
        <v>3.9160893647333612E-2</v>
      </c>
      <c r="L39" t="s">
        <v>154</v>
      </c>
      <c r="N39" t="s">
        <v>197</v>
      </c>
      <c r="O39" t="s">
        <v>158</v>
      </c>
      <c r="P39">
        <v>2.8331253788749341E-2</v>
      </c>
      <c r="Q39" t="s">
        <v>154</v>
      </c>
      <c r="S39" t="s">
        <v>228</v>
      </c>
      <c r="T39" t="s">
        <v>158</v>
      </c>
      <c r="U39">
        <v>2.9925421861484294E-2</v>
      </c>
      <c r="V39" t="s">
        <v>154</v>
      </c>
      <c r="AK39">
        <v>2029</v>
      </c>
      <c r="AL39" t="s">
        <v>142</v>
      </c>
      <c r="AM39">
        <v>0.21149999999999999</v>
      </c>
      <c r="AN39" t="s">
        <v>279</v>
      </c>
    </row>
    <row r="40" spans="9:40" x14ac:dyDescent="0.25">
      <c r="I40" t="s">
        <v>167</v>
      </c>
      <c r="J40" t="s">
        <v>159</v>
      </c>
      <c r="K40">
        <v>1.2985961861561597E-2</v>
      </c>
      <c r="L40" t="s">
        <v>154</v>
      </c>
      <c r="N40" t="s">
        <v>197</v>
      </c>
      <c r="O40" t="s">
        <v>159</v>
      </c>
      <c r="P40">
        <v>0.14547131803390156</v>
      </c>
      <c r="Q40" t="s">
        <v>154</v>
      </c>
      <c r="S40" t="s">
        <v>228</v>
      </c>
      <c r="T40" t="s">
        <v>159</v>
      </c>
      <c r="U40">
        <v>0.17913678657095553</v>
      </c>
      <c r="V40" t="s">
        <v>154</v>
      </c>
      <c r="AK40">
        <v>2029</v>
      </c>
      <c r="AL40" t="s">
        <v>146</v>
      </c>
      <c r="AM40">
        <v>0.32675555555555552</v>
      </c>
      <c r="AN40" t="s">
        <v>279</v>
      </c>
    </row>
    <row r="41" spans="9:40" x14ac:dyDescent="0.25">
      <c r="I41" t="s">
        <v>167</v>
      </c>
      <c r="J41" t="s">
        <v>160</v>
      </c>
      <c r="K41">
        <v>6.4355585138699239E-2</v>
      </c>
      <c r="L41" t="s">
        <v>154</v>
      </c>
      <c r="N41" t="s">
        <v>197</v>
      </c>
      <c r="O41" t="s">
        <v>160</v>
      </c>
      <c r="P41">
        <v>5.4100427431900827E-2</v>
      </c>
      <c r="Q41" t="s">
        <v>154</v>
      </c>
      <c r="S41" t="s">
        <v>228</v>
      </c>
      <c r="T41" t="s">
        <v>160</v>
      </c>
      <c r="U41">
        <v>4.7692656297754453E-2</v>
      </c>
      <c r="V41" t="s">
        <v>154</v>
      </c>
      <c r="AK41">
        <v>2029</v>
      </c>
      <c r="AL41" t="s">
        <v>148</v>
      </c>
      <c r="AM41">
        <v>0.22310000000000002</v>
      </c>
      <c r="AN41" t="s">
        <v>279</v>
      </c>
    </row>
    <row r="42" spans="9:40" x14ac:dyDescent="0.25">
      <c r="I42" t="s">
        <v>167</v>
      </c>
      <c r="J42" t="s">
        <v>161</v>
      </c>
      <c r="K42">
        <v>1.2906791743458171E-6</v>
      </c>
      <c r="L42" t="s">
        <v>154</v>
      </c>
      <c r="N42" t="s">
        <v>197</v>
      </c>
      <c r="O42" t="s">
        <v>161</v>
      </c>
      <c r="P42">
        <v>3.2202289622842374E-3</v>
      </c>
      <c r="Q42" t="s">
        <v>154</v>
      </c>
      <c r="S42" t="s">
        <v>228</v>
      </c>
      <c r="T42" t="s">
        <v>161</v>
      </c>
      <c r="U42">
        <v>3.0772427507905886E-3</v>
      </c>
      <c r="V42" t="s">
        <v>154</v>
      </c>
      <c r="AK42">
        <v>2029</v>
      </c>
      <c r="AL42" t="s">
        <v>150</v>
      </c>
      <c r="AM42">
        <v>0.22010000000000002</v>
      </c>
      <c r="AN42" t="s">
        <v>279</v>
      </c>
    </row>
    <row r="43" spans="9:40" x14ac:dyDescent="0.25">
      <c r="I43" t="s">
        <v>167</v>
      </c>
      <c r="J43" t="s">
        <v>162</v>
      </c>
      <c r="K43">
        <v>0</v>
      </c>
      <c r="L43" t="s">
        <v>154</v>
      </c>
      <c r="N43" t="s">
        <v>197</v>
      </c>
      <c r="O43" t="s">
        <v>162</v>
      </c>
      <c r="P43">
        <v>1.7381251038301539E-2</v>
      </c>
      <c r="Q43" t="s">
        <v>154</v>
      </c>
      <c r="S43" t="s">
        <v>228</v>
      </c>
      <c r="T43" t="s">
        <v>162</v>
      </c>
      <c r="U43">
        <v>1.7220329718526384E-2</v>
      </c>
      <c r="V43" t="s">
        <v>154</v>
      </c>
      <c r="AK43">
        <v>2030</v>
      </c>
      <c r="AL43" t="s">
        <v>142</v>
      </c>
      <c r="AM43">
        <v>0.22555</v>
      </c>
      <c r="AN43" t="s">
        <v>279</v>
      </c>
    </row>
    <row r="44" spans="9:40" x14ac:dyDescent="0.25">
      <c r="I44" t="s">
        <v>167</v>
      </c>
      <c r="J44" t="s">
        <v>163</v>
      </c>
      <c r="K44">
        <v>6.9191497228050111E-2</v>
      </c>
      <c r="L44" t="s">
        <v>154</v>
      </c>
      <c r="N44" t="s">
        <v>197</v>
      </c>
      <c r="O44" t="s">
        <v>163</v>
      </c>
      <c r="P44">
        <v>0.12433999477437985</v>
      </c>
      <c r="Q44" t="s">
        <v>154</v>
      </c>
      <c r="S44" t="s">
        <v>228</v>
      </c>
      <c r="T44" t="s">
        <v>163</v>
      </c>
      <c r="U44">
        <v>7.6760403689806675E-2</v>
      </c>
      <c r="V44" t="s">
        <v>154</v>
      </c>
      <c r="AK44">
        <v>2030</v>
      </c>
      <c r="AL44" t="s">
        <v>146</v>
      </c>
      <c r="AM44">
        <v>0.33065555555555559</v>
      </c>
      <c r="AN44" t="s">
        <v>279</v>
      </c>
    </row>
    <row r="45" spans="9:40" x14ac:dyDescent="0.25">
      <c r="I45" t="s">
        <v>167</v>
      </c>
      <c r="J45" t="s">
        <v>164</v>
      </c>
      <c r="K45">
        <v>0</v>
      </c>
      <c r="L45" t="s">
        <v>154</v>
      </c>
      <c r="N45" t="s">
        <v>197</v>
      </c>
      <c r="O45" t="s">
        <v>164</v>
      </c>
      <c r="P45">
        <v>7.5624390796875029E-3</v>
      </c>
      <c r="Q45" t="s">
        <v>154</v>
      </c>
      <c r="S45" t="s">
        <v>228</v>
      </c>
      <c r="T45" t="s">
        <v>164</v>
      </c>
      <c r="U45">
        <v>4.7148850754645108E-3</v>
      </c>
      <c r="V45" t="s">
        <v>154</v>
      </c>
      <c r="AK45">
        <v>2030</v>
      </c>
      <c r="AL45" t="s">
        <v>148</v>
      </c>
      <c r="AM45">
        <v>0.21934999999999999</v>
      </c>
      <c r="AN45" t="s">
        <v>279</v>
      </c>
    </row>
    <row r="46" spans="9:40" x14ac:dyDescent="0.25">
      <c r="I46" t="s">
        <v>167</v>
      </c>
      <c r="J46" t="s">
        <v>165</v>
      </c>
      <c r="K46">
        <v>0</v>
      </c>
      <c r="L46" t="s">
        <v>154</v>
      </c>
      <c r="N46" t="s">
        <v>197</v>
      </c>
      <c r="O46" t="s">
        <v>165</v>
      </c>
      <c r="P46">
        <v>3.5773318274779677E-2</v>
      </c>
      <c r="Q46" t="s">
        <v>154</v>
      </c>
      <c r="S46" t="s">
        <v>228</v>
      </c>
      <c r="T46" t="s">
        <v>165</v>
      </c>
      <c r="U46">
        <v>2.7451238203741332E-2</v>
      </c>
      <c r="V46" t="s">
        <v>154</v>
      </c>
      <c r="AK46">
        <v>2030</v>
      </c>
      <c r="AL46" t="s">
        <v>150</v>
      </c>
      <c r="AM46">
        <v>0.1973</v>
      </c>
      <c r="AN46" t="s">
        <v>279</v>
      </c>
    </row>
    <row r="47" spans="9:40" x14ac:dyDescent="0.25">
      <c r="I47" t="s">
        <v>168</v>
      </c>
      <c r="J47" t="s">
        <v>153</v>
      </c>
      <c r="K47">
        <v>6.7411777815539906E-2</v>
      </c>
      <c r="L47" t="s">
        <v>154</v>
      </c>
      <c r="N47" t="s">
        <v>198</v>
      </c>
      <c r="O47" t="s">
        <v>153</v>
      </c>
      <c r="P47">
        <v>9.314830203671115E-2</v>
      </c>
      <c r="Q47" t="s">
        <v>154</v>
      </c>
      <c r="S47" t="s">
        <v>229</v>
      </c>
      <c r="T47" t="s">
        <v>153</v>
      </c>
      <c r="U47">
        <v>7.3681003085567826E-2</v>
      </c>
      <c r="V47" t="s">
        <v>154</v>
      </c>
      <c r="AK47">
        <v>2031</v>
      </c>
      <c r="AL47" t="s">
        <v>142</v>
      </c>
      <c r="AM47">
        <v>0.21650000000000003</v>
      </c>
      <c r="AN47" t="s">
        <v>279</v>
      </c>
    </row>
    <row r="48" spans="9:40" x14ac:dyDescent="0.25">
      <c r="I48" t="s">
        <v>168</v>
      </c>
      <c r="J48" t="s">
        <v>155</v>
      </c>
      <c r="K48">
        <v>1.5910297986401244E-3</v>
      </c>
      <c r="L48" t="s">
        <v>154</v>
      </c>
      <c r="N48" t="s">
        <v>198</v>
      </c>
      <c r="O48" t="s">
        <v>155</v>
      </c>
      <c r="P48">
        <v>6.7666655852410638E-3</v>
      </c>
      <c r="Q48" t="s">
        <v>154</v>
      </c>
      <c r="S48" t="s">
        <v>229</v>
      </c>
      <c r="T48" t="s">
        <v>155</v>
      </c>
      <c r="U48">
        <v>4.5049438319785624E-3</v>
      </c>
      <c r="V48" t="s">
        <v>154</v>
      </c>
      <c r="AK48">
        <v>2031</v>
      </c>
      <c r="AL48" t="s">
        <v>146</v>
      </c>
      <c r="AM48">
        <v>0.32822222222222225</v>
      </c>
      <c r="AN48" t="s">
        <v>279</v>
      </c>
    </row>
    <row r="49" spans="9:40" x14ac:dyDescent="0.25">
      <c r="I49" t="s">
        <v>168</v>
      </c>
      <c r="J49" t="s">
        <v>156</v>
      </c>
      <c r="K49">
        <v>0</v>
      </c>
      <c r="L49" t="s">
        <v>154</v>
      </c>
      <c r="N49" t="s">
        <v>198</v>
      </c>
      <c r="O49" t="s">
        <v>156</v>
      </c>
      <c r="P49">
        <v>3.6612422613654036E-2</v>
      </c>
      <c r="Q49" t="s">
        <v>154</v>
      </c>
      <c r="S49" t="s">
        <v>229</v>
      </c>
      <c r="T49" t="s">
        <v>156</v>
      </c>
      <c r="U49">
        <v>2.8071292091494268E-2</v>
      </c>
      <c r="V49" t="s">
        <v>154</v>
      </c>
      <c r="AK49">
        <v>2031</v>
      </c>
      <c r="AL49" t="s">
        <v>148</v>
      </c>
      <c r="AM49">
        <v>0.22349999999999998</v>
      </c>
      <c r="AN49" t="s">
        <v>279</v>
      </c>
    </row>
    <row r="50" spans="9:40" x14ac:dyDescent="0.25">
      <c r="I50" t="s">
        <v>168</v>
      </c>
      <c r="J50" t="s">
        <v>157</v>
      </c>
      <c r="K50">
        <v>0.74916146532708416</v>
      </c>
      <c r="L50" t="s">
        <v>154</v>
      </c>
      <c r="N50" t="s">
        <v>198</v>
      </c>
      <c r="O50" t="s">
        <v>157</v>
      </c>
      <c r="P50">
        <v>0.44268398412749349</v>
      </c>
      <c r="Q50" t="s">
        <v>154</v>
      </c>
      <c r="S50" t="s">
        <v>229</v>
      </c>
      <c r="T50" t="s">
        <v>157</v>
      </c>
      <c r="U50">
        <v>0.50827149692582019</v>
      </c>
      <c r="V50" t="s">
        <v>154</v>
      </c>
      <c r="AK50">
        <v>2031</v>
      </c>
      <c r="AL50" t="s">
        <v>150</v>
      </c>
      <c r="AM50">
        <v>0.20650000000000002</v>
      </c>
      <c r="AN50" t="s">
        <v>279</v>
      </c>
    </row>
    <row r="51" spans="9:40" x14ac:dyDescent="0.25">
      <c r="I51" t="s">
        <v>168</v>
      </c>
      <c r="J51" t="s">
        <v>158</v>
      </c>
      <c r="K51">
        <v>3.5715918292991165E-2</v>
      </c>
      <c r="L51" t="s">
        <v>154</v>
      </c>
      <c r="N51" t="s">
        <v>198</v>
      </c>
      <c r="O51" t="s">
        <v>158</v>
      </c>
      <c r="P51">
        <v>2.9409885401927689E-2</v>
      </c>
      <c r="Q51" t="s">
        <v>154</v>
      </c>
      <c r="S51" t="s">
        <v>229</v>
      </c>
      <c r="T51" t="s">
        <v>158</v>
      </c>
      <c r="U51">
        <v>3.0445709877965486E-2</v>
      </c>
      <c r="V51" t="s">
        <v>154</v>
      </c>
      <c r="AK51">
        <v>2032</v>
      </c>
      <c r="AL51" t="s">
        <v>142</v>
      </c>
      <c r="AM51">
        <v>0.22210000000000002</v>
      </c>
      <c r="AN51" t="s">
        <v>279</v>
      </c>
    </row>
    <row r="52" spans="9:40" x14ac:dyDescent="0.25">
      <c r="I52" t="s">
        <v>168</v>
      </c>
      <c r="J52" t="s">
        <v>159</v>
      </c>
      <c r="K52">
        <v>1.0939777366040557E-2</v>
      </c>
      <c r="L52" t="s">
        <v>154</v>
      </c>
      <c r="N52" t="s">
        <v>198</v>
      </c>
      <c r="O52" t="s">
        <v>159</v>
      </c>
      <c r="P52">
        <v>0.1458962542445171</v>
      </c>
      <c r="Q52" t="s">
        <v>154</v>
      </c>
      <c r="S52" t="s">
        <v>229</v>
      </c>
      <c r="T52" t="s">
        <v>159</v>
      </c>
      <c r="U52">
        <v>0.17754570610053738</v>
      </c>
      <c r="V52" t="s">
        <v>154</v>
      </c>
      <c r="AK52">
        <v>2032</v>
      </c>
      <c r="AL52" t="s">
        <v>146</v>
      </c>
      <c r="AM52">
        <v>0.31636666666666663</v>
      </c>
      <c r="AN52" t="s">
        <v>279</v>
      </c>
    </row>
    <row r="53" spans="9:40" x14ac:dyDescent="0.25">
      <c r="I53" t="s">
        <v>168</v>
      </c>
      <c r="J53" t="s">
        <v>160</v>
      </c>
      <c r="K53">
        <v>6.4822695361288069E-2</v>
      </c>
      <c r="L53" t="s">
        <v>154</v>
      </c>
      <c r="N53" t="s">
        <v>198</v>
      </c>
      <c r="O53" t="s">
        <v>160</v>
      </c>
      <c r="P53">
        <v>4.9146979061406436E-2</v>
      </c>
      <c r="Q53" t="s">
        <v>154</v>
      </c>
      <c r="S53" t="s">
        <v>229</v>
      </c>
      <c r="T53" t="s">
        <v>160</v>
      </c>
      <c r="U53">
        <v>4.5861635541287069E-2</v>
      </c>
      <c r="V53" t="s">
        <v>154</v>
      </c>
      <c r="AK53">
        <v>2032</v>
      </c>
      <c r="AL53" t="s">
        <v>148</v>
      </c>
      <c r="AM53">
        <v>0.20444999999999999</v>
      </c>
      <c r="AN53" t="s">
        <v>279</v>
      </c>
    </row>
    <row r="54" spans="9:40" x14ac:dyDescent="0.25">
      <c r="I54" t="s">
        <v>168</v>
      </c>
      <c r="J54" t="s">
        <v>161</v>
      </c>
      <c r="K54">
        <v>0</v>
      </c>
      <c r="L54" t="s">
        <v>154</v>
      </c>
      <c r="N54" t="s">
        <v>198</v>
      </c>
      <c r="O54" t="s">
        <v>161</v>
      </c>
      <c r="P54">
        <v>3.1719617248454099E-3</v>
      </c>
      <c r="Q54" t="s">
        <v>154</v>
      </c>
      <c r="S54" t="s">
        <v>229</v>
      </c>
      <c r="T54" t="s">
        <v>161</v>
      </c>
      <c r="U54">
        <v>3.1019970829933947E-3</v>
      </c>
      <c r="V54" t="s">
        <v>154</v>
      </c>
      <c r="AK54">
        <v>2032</v>
      </c>
      <c r="AL54" t="s">
        <v>150</v>
      </c>
      <c r="AM54">
        <v>0.20784999999999998</v>
      </c>
      <c r="AN54" t="s">
        <v>279</v>
      </c>
    </row>
    <row r="55" spans="9:40" x14ac:dyDescent="0.25">
      <c r="I55" t="s">
        <v>168</v>
      </c>
      <c r="J55" t="s">
        <v>162</v>
      </c>
      <c r="K55">
        <v>0</v>
      </c>
      <c r="L55" t="s">
        <v>154</v>
      </c>
      <c r="N55" t="s">
        <v>198</v>
      </c>
      <c r="O55" t="s">
        <v>162</v>
      </c>
      <c r="P55">
        <v>1.6780108689865826E-2</v>
      </c>
      <c r="Q55" t="s">
        <v>154</v>
      </c>
      <c r="S55" t="s">
        <v>229</v>
      </c>
      <c r="T55" t="s">
        <v>162</v>
      </c>
      <c r="U55">
        <v>1.7763908486280056E-2</v>
      </c>
      <c r="V55" t="s">
        <v>154</v>
      </c>
      <c r="AK55">
        <v>2033</v>
      </c>
      <c r="AL55" t="s">
        <v>142</v>
      </c>
      <c r="AM55">
        <v>0.2135</v>
      </c>
      <c r="AN55" t="s">
        <v>279</v>
      </c>
    </row>
    <row r="56" spans="9:40" x14ac:dyDescent="0.25">
      <c r="I56" t="s">
        <v>168</v>
      </c>
      <c r="J56" t="s">
        <v>163</v>
      </c>
      <c r="K56">
        <v>7.0357336038416665E-2</v>
      </c>
      <c r="L56" t="s">
        <v>154</v>
      </c>
      <c r="N56" t="s">
        <v>198</v>
      </c>
      <c r="O56" t="s">
        <v>163</v>
      </c>
      <c r="P56">
        <v>0.1277389417919445</v>
      </c>
      <c r="Q56" t="s">
        <v>154</v>
      </c>
      <c r="S56" t="s">
        <v>229</v>
      </c>
      <c r="T56" t="s">
        <v>163</v>
      </c>
      <c r="U56">
        <v>7.7432763873575963E-2</v>
      </c>
      <c r="V56" t="s">
        <v>154</v>
      </c>
      <c r="AK56">
        <v>2033</v>
      </c>
      <c r="AL56" t="s">
        <v>146</v>
      </c>
      <c r="AM56">
        <v>0.31353333333333333</v>
      </c>
      <c r="AN56" t="s">
        <v>279</v>
      </c>
    </row>
    <row r="57" spans="9:40" x14ac:dyDescent="0.25">
      <c r="I57" t="s">
        <v>168</v>
      </c>
      <c r="J57" t="s">
        <v>164</v>
      </c>
      <c r="K57">
        <v>0</v>
      </c>
      <c r="L57" t="s">
        <v>154</v>
      </c>
      <c r="N57" t="s">
        <v>198</v>
      </c>
      <c r="O57" t="s">
        <v>164</v>
      </c>
      <c r="P57">
        <v>8.5936770242639113E-3</v>
      </c>
      <c r="Q57" t="s">
        <v>154</v>
      </c>
      <c r="S57" t="s">
        <v>229</v>
      </c>
      <c r="T57" t="s">
        <v>164</v>
      </c>
      <c r="U57">
        <v>4.965975445552019E-3</v>
      </c>
      <c r="V57" t="s">
        <v>154</v>
      </c>
      <c r="AK57">
        <v>2033</v>
      </c>
      <c r="AL57" t="s">
        <v>148</v>
      </c>
      <c r="AM57">
        <v>0.20295000000000002</v>
      </c>
      <c r="AN57" t="s">
        <v>279</v>
      </c>
    </row>
    <row r="58" spans="9:40" x14ac:dyDescent="0.25">
      <c r="I58" t="s">
        <v>168</v>
      </c>
      <c r="J58" t="s">
        <v>165</v>
      </c>
      <c r="K58">
        <v>0</v>
      </c>
      <c r="L58" t="s">
        <v>154</v>
      </c>
      <c r="N58" t="s">
        <v>198</v>
      </c>
      <c r="O58" t="s">
        <v>165</v>
      </c>
      <c r="P58">
        <v>4.005081769813023E-2</v>
      </c>
      <c r="Q58" t="s">
        <v>154</v>
      </c>
      <c r="S58" t="s">
        <v>229</v>
      </c>
      <c r="T58" t="s">
        <v>165</v>
      </c>
      <c r="U58">
        <v>2.8353567656950317E-2</v>
      </c>
      <c r="V58" t="s">
        <v>154</v>
      </c>
      <c r="AK58">
        <v>2033</v>
      </c>
      <c r="AL58" t="s">
        <v>150</v>
      </c>
      <c r="AM58">
        <v>0.19800000000000001</v>
      </c>
      <c r="AN58" t="s">
        <v>279</v>
      </c>
    </row>
    <row r="59" spans="9:40" x14ac:dyDescent="0.25">
      <c r="I59" t="s">
        <v>169</v>
      </c>
      <c r="J59" t="s">
        <v>153</v>
      </c>
      <c r="K59">
        <v>7.2043516741980715E-2</v>
      </c>
      <c r="L59" t="s">
        <v>154</v>
      </c>
      <c r="N59" t="s">
        <v>199</v>
      </c>
      <c r="O59" t="s">
        <v>153</v>
      </c>
      <c r="P59">
        <v>8.2961585453239853E-2</v>
      </c>
      <c r="Q59" t="s">
        <v>154</v>
      </c>
      <c r="S59" t="s">
        <v>230</v>
      </c>
      <c r="T59" t="s">
        <v>153</v>
      </c>
      <c r="U59">
        <v>7.93741859210568E-2</v>
      </c>
      <c r="V59" t="s">
        <v>154</v>
      </c>
      <c r="AK59">
        <v>2034</v>
      </c>
      <c r="AL59" t="s">
        <v>142</v>
      </c>
      <c r="AM59">
        <v>0.22685</v>
      </c>
      <c r="AN59" t="s">
        <v>279</v>
      </c>
    </row>
    <row r="60" spans="9:40" x14ac:dyDescent="0.25">
      <c r="I60" t="s">
        <v>169</v>
      </c>
      <c r="J60" t="s">
        <v>155</v>
      </c>
      <c r="K60">
        <v>1.3956001538171492E-3</v>
      </c>
      <c r="L60" t="s">
        <v>154</v>
      </c>
      <c r="N60" t="s">
        <v>199</v>
      </c>
      <c r="O60" t="s">
        <v>155</v>
      </c>
      <c r="P60">
        <v>5.7496367531296895E-3</v>
      </c>
      <c r="Q60" t="s">
        <v>154</v>
      </c>
      <c r="S60" t="s">
        <v>230</v>
      </c>
      <c r="T60" t="s">
        <v>155</v>
      </c>
      <c r="U60">
        <v>5.0219749142647162E-3</v>
      </c>
      <c r="V60" t="s">
        <v>154</v>
      </c>
      <c r="AK60">
        <v>2034</v>
      </c>
      <c r="AL60" t="s">
        <v>146</v>
      </c>
      <c r="AM60">
        <v>0.32966666666666672</v>
      </c>
      <c r="AN60" t="s">
        <v>279</v>
      </c>
    </row>
    <row r="61" spans="9:40" x14ac:dyDescent="0.25">
      <c r="I61" t="s">
        <v>169</v>
      </c>
      <c r="J61" t="s">
        <v>156</v>
      </c>
      <c r="K61">
        <v>0</v>
      </c>
      <c r="L61" t="s">
        <v>154</v>
      </c>
      <c r="N61" t="s">
        <v>199</v>
      </c>
      <c r="O61" t="s">
        <v>156</v>
      </c>
      <c r="P61">
        <v>2.3474757747459874E-2</v>
      </c>
      <c r="Q61" t="s">
        <v>154</v>
      </c>
      <c r="S61" t="s">
        <v>230</v>
      </c>
      <c r="T61" t="s">
        <v>156</v>
      </c>
      <c r="U61">
        <v>3.0490109704066567E-2</v>
      </c>
      <c r="V61" t="s">
        <v>154</v>
      </c>
      <c r="AK61">
        <v>2034</v>
      </c>
      <c r="AL61" t="s">
        <v>148</v>
      </c>
      <c r="AM61">
        <v>0.20700000000000002</v>
      </c>
      <c r="AN61" t="s">
        <v>279</v>
      </c>
    </row>
    <row r="62" spans="9:40" x14ac:dyDescent="0.25">
      <c r="I62" t="s">
        <v>169</v>
      </c>
      <c r="J62" t="s">
        <v>157</v>
      </c>
      <c r="K62">
        <v>0.73571779775145396</v>
      </c>
      <c r="L62" t="s">
        <v>154</v>
      </c>
      <c r="N62" t="s">
        <v>199</v>
      </c>
      <c r="O62" t="s">
        <v>157</v>
      </c>
      <c r="P62">
        <v>0.49553058727895344</v>
      </c>
      <c r="Q62" t="s">
        <v>154</v>
      </c>
      <c r="S62" t="s">
        <v>230</v>
      </c>
      <c r="T62" t="s">
        <v>157</v>
      </c>
      <c r="U62">
        <v>0.48187632548716025</v>
      </c>
      <c r="V62" t="s">
        <v>154</v>
      </c>
      <c r="AK62">
        <v>2034</v>
      </c>
      <c r="AL62" t="s">
        <v>150</v>
      </c>
      <c r="AM62">
        <v>0.20605000000000001</v>
      </c>
      <c r="AN62" t="s">
        <v>279</v>
      </c>
    </row>
    <row r="63" spans="9:40" x14ac:dyDescent="0.25">
      <c r="I63" t="s">
        <v>169</v>
      </c>
      <c r="J63" t="s">
        <v>158</v>
      </c>
      <c r="K63">
        <v>3.7060018932952646E-2</v>
      </c>
      <c r="L63" t="s">
        <v>154</v>
      </c>
      <c r="N63" t="s">
        <v>199</v>
      </c>
      <c r="O63" t="s">
        <v>158</v>
      </c>
      <c r="P63">
        <v>3.3292999765661691E-2</v>
      </c>
      <c r="Q63" t="s">
        <v>154</v>
      </c>
      <c r="S63" t="s">
        <v>230</v>
      </c>
      <c r="T63" t="s">
        <v>158</v>
      </c>
      <c r="U63">
        <v>2.9776098307037712E-2</v>
      </c>
      <c r="V63" t="s">
        <v>154</v>
      </c>
      <c r="AK63">
        <v>2035</v>
      </c>
      <c r="AL63" t="s">
        <v>142</v>
      </c>
      <c r="AM63">
        <v>0.21684999999999999</v>
      </c>
      <c r="AN63" t="s">
        <v>279</v>
      </c>
    </row>
    <row r="64" spans="9:40" x14ac:dyDescent="0.25">
      <c r="I64" t="s">
        <v>169</v>
      </c>
      <c r="J64" t="s">
        <v>159</v>
      </c>
      <c r="K64">
        <v>1.1518034953902433E-2</v>
      </c>
      <c r="L64" t="s">
        <v>154</v>
      </c>
      <c r="N64" t="s">
        <v>199</v>
      </c>
      <c r="O64" t="s">
        <v>159</v>
      </c>
      <c r="P64">
        <v>0.15951830077328388</v>
      </c>
      <c r="Q64" t="s">
        <v>154</v>
      </c>
      <c r="S64" t="s">
        <v>230</v>
      </c>
      <c r="T64" t="s">
        <v>159</v>
      </c>
      <c r="U64">
        <v>0.16880317269922313</v>
      </c>
      <c r="V64" t="s">
        <v>154</v>
      </c>
      <c r="AK64">
        <v>2035</v>
      </c>
      <c r="AL64" t="s">
        <v>146</v>
      </c>
      <c r="AM64">
        <v>0.31518888888888896</v>
      </c>
      <c r="AN64" t="s">
        <v>279</v>
      </c>
    </row>
    <row r="65" spans="9:40" x14ac:dyDescent="0.25">
      <c r="I65" t="s">
        <v>169</v>
      </c>
      <c r="J65" t="s">
        <v>160</v>
      </c>
      <c r="K65">
        <v>6.8378696124890379E-2</v>
      </c>
      <c r="L65" t="s">
        <v>154</v>
      </c>
      <c r="N65" t="s">
        <v>199</v>
      </c>
      <c r="O65" t="s">
        <v>160</v>
      </c>
      <c r="P65">
        <v>4.2495447630984694E-2</v>
      </c>
      <c r="Q65" t="s">
        <v>154</v>
      </c>
      <c r="S65" t="s">
        <v>230</v>
      </c>
      <c r="T65" t="s">
        <v>160</v>
      </c>
      <c r="U65">
        <v>5.3158549269919232E-2</v>
      </c>
      <c r="V65" t="s">
        <v>154</v>
      </c>
      <c r="AK65">
        <v>2035</v>
      </c>
      <c r="AL65" t="s">
        <v>148</v>
      </c>
      <c r="AM65">
        <v>0.22299999999999998</v>
      </c>
      <c r="AN65" t="s">
        <v>279</v>
      </c>
    </row>
    <row r="66" spans="9:40" x14ac:dyDescent="0.25">
      <c r="I66" t="s">
        <v>169</v>
      </c>
      <c r="J66" t="s">
        <v>161</v>
      </c>
      <c r="K66">
        <v>0</v>
      </c>
      <c r="L66" t="s">
        <v>154</v>
      </c>
      <c r="N66" t="s">
        <v>199</v>
      </c>
      <c r="O66" t="s">
        <v>161</v>
      </c>
      <c r="P66">
        <v>2.4483787529524723E-3</v>
      </c>
      <c r="Q66" t="s">
        <v>154</v>
      </c>
      <c r="S66" t="s">
        <v>230</v>
      </c>
      <c r="T66" t="s">
        <v>161</v>
      </c>
      <c r="U66">
        <v>3.6146832060256623E-3</v>
      </c>
      <c r="V66" t="s">
        <v>154</v>
      </c>
      <c r="AK66">
        <v>2035</v>
      </c>
      <c r="AL66" t="s">
        <v>150</v>
      </c>
      <c r="AM66">
        <v>0.21610000000000001</v>
      </c>
      <c r="AN66" t="s">
        <v>279</v>
      </c>
    </row>
    <row r="67" spans="9:40" x14ac:dyDescent="0.25">
      <c r="I67" t="s">
        <v>169</v>
      </c>
      <c r="J67" t="s">
        <v>162</v>
      </c>
      <c r="K67">
        <v>0</v>
      </c>
      <c r="L67" t="s">
        <v>154</v>
      </c>
      <c r="N67" t="s">
        <v>199</v>
      </c>
      <c r="O67" t="s">
        <v>162</v>
      </c>
      <c r="P67">
        <v>1.3467961628775515E-2</v>
      </c>
      <c r="Q67" t="s">
        <v>154</v>
      </c>
      <c r="S67" t="s">
        <v>230</v>
      </c>
      <c r="T67" t="s">
        <v>162</v>
      </c>
      <c r="U67">
        <v>2.11629996648467E-2</v>
      </c>
      <c r="V67" t="s">
        <v>154</v>
      </c>
      <c r="AK67">
        <v>2036</v>
      </c>
      <c r="AL67" t="s">
        <v>142</v>
      </c>
      <c r="AM67">
        <v>0.22889999999999999</v>
      </c>
      <c r="AN67" t="s">
        <v>279</v>
      </c>
    </row>
    <row r="68" spans="9:40" x14ac:dyDescent="0.25">
      <c r="I68" t="s">
        <v>169</v>
      </c>
      <c r="J68" t="s">
        <v>163</v>
      </c>
      <c r="K68">
        <v>7.3886335341003306E-2</v>
      </c>
      <c r="L68" t="s">
        <v>154</v>
      </c>
      <c r="N68" t="s">
        <v>199</v>
      </c>
      <c r="O68" t="s">
        <v>163</v>
      </c>
      <c r="P68">
        <v>0.10701838614111429</v>
      </c>
      <c r="Q68" t="s">
        <v>154</v>
      </c>
      <c r="S68" t="s">
        <v>230</v>
      </c>
      <c r="T68" t="s">
        <v>163</v>
      </c>
      <c r="U68">
        <v>8.9375782100789988E-2</v>
      </c>
      <c r="V68" t="s">
        <v>154</v>
      </c>
      <c r="AK68">
        <v>2036</v>
      </c>
      <c r="AL68" t="s">
        <v>146</v>
      </c>
      <c r="AM68">
        <v>0.32038888888888883</v>
      </c>
      <c r="AN68" t="s">
        <v>279</v>
      </c>
    </row>
    <row r="69" spans="9:40" x14ac:dyDescent="0.25">
      <c r="I69" t="s">
        <v>169</v>
      </c>
      <c r="J69" t="s">
        <v>164</v>
      </c>
      <c r="K69">
        <v>0</v>
      </c>
      <c r="L69" t="s">
        <v>154</v>
      </c>
      <c r="N69" t="s">
        <v>199</v>
      </c>
      <c r="O69" t="s">
        <v>164</v>
      </c>
      <c r="P69">
        <v>5.5648695111622688E-3</v>
      </c>
      <c r="Q69" t="s">
        <v>154</v>
      </c>
      <c r="S69" t="s">
        <v>230</v>
      </c>
      <c r="T69" t="s">
        <v>164</v>
      </c>
      <c r="U69">
        <v>5.4272833367014755E-3</v>
      </c>
      <c r="V69" t="s">
        <v>154</v>
      </c>
      <c r="AK69">
        <v>2036</v>
      </c>
      <c r="AL69" t="s">
        <v>148</v>
      </c>
      <c r="AM69">
        <v>0.2319</v>
      </c>
      <c r="AN69" t="s">
        <v>279</v>
      </c>
    </row>
    <row r="70" spans="9:40" x14ac:dyDescent="0.25">
      <c r="I70" t="s">
        <v>169</v>
      </c>
      <c r="J70" t="s">
        <v>165</v>
      </c>
      <c r="K70">
        <v>0</v>
      </c>
      <c r="L70" t="s">
        <v>154</v>
      </c>
      <c r="N70" t="s">
        <v>199</v>
      </c>
      <c r="O70" t="s">
        <v>165</v>
      </c>
      <c r="P70">
        <v>2.847708856328084E-2</v>
      </c>
      <c r="Q70" t="s">
        <v>154</v>
      </c>
      <c r="S70" t="s">
        <v>230</v>
      </c>
      <c r="T70" t="s">
        <v>165</v>
      </c>
      <c r="U70">
        <v>3.1918835388907767E-2</v>
      </c>
      <c r="V70" t="s">
        <v>154</v>
      </c>
      <c r="AK70">
        <v>2036</v>
      </c>
      <c r="AL70" t="s">
        <v>150</v>
      </c>
      <c r="AM70">
        <v>0.20700000000000002</v>
      </c>
      <c r="AN70" t="s">
        <v>279</v>
      </c>
    </row>
    <row r="71" spans="9:40" x14ac:dyDescent="0.25">
      <c r="I71" t="s">
        <v>170</v>
      </c>
      <c r="J71" t="s">
        <v>153</v>
      </c>
      <c r="K71">
        <v>8.1675156343202576E-2</v>
      </c>
      <c r="L71" t="s">
        <v>154</v>
      </c>
      <c r="N71" t="s">
        <v>200</v>
      </c>
      <c r="O71" t="s">
        <v>153</v>
      </c>
      <c r="P71">
        <v>8.8459378585120971E-2</v>
      </c>
      <c r="Q71" t="s">
        <v>154</v>
      </c>
      <c r="S71" t="s">
        <v>231</v>
      </c>
      <c r="T71" t="s">
        <v>153</v>
      </c>
      <c r="U71">
        <v>8.157485316309375E-2</v>
      </c>
      <c r="V71" t="s">
        <v>154</v>
      </c>
      <c r="AK71">
        <v>2037</v>
      </c>
      <c r="AL71" t="s">
        <v>142</v>
      </c>
      <c r="AM71">
        <v>0.22744999999999999</v>
      </c>
      <c r="AN71" t="s">
        <v>279</v>
      </c>
    </row>
    <row r="72" spans="9:40" x14ac:dyDescent="0.25">
      <c r="I72" t="s">
        <v>170</v>
      </c>
      <c r="J72" t="s">
        <v>155</v>
      </c>
      <c r="K72">
        <v>4.6582972139472129E-3</v>
      </c>
      <c r="L72" t="s">
        <v>154</v>
      </c>
      <c r="N72" t="s">
        <v>200</v>
      </c>
      <c r="O72" t="s">
        <v>155</v>
      </c>
      <c r="P72">
        <v>6.1812625748590023E-3</v>
      </c>
      <c r="Q72" t="s">
        <v>154</v>
      </c>
      <c r="S72" t="s">
        <v>231</v>
      </c>
      <c r="T72" t="s">
        <v>155</v>
      </c>
      <c r="U72">
        <v>4.8830783566829981E-3</v>
      </c>
      <c r="V72" t="s">
        <v>154</v>
      </c>
      <c r="AK72">
        <v>2037</v>
      </c>
      <c r="AL72" t="s">
        <v>146</v>
      </c>
      <c r="AM72">
        <v>0.32725555555555552</v>
      </c>
      <c r="AN72" t="s">
        <v>279</v>
      </c>
    </row>
    <row r="73" spans="9:40" x14ac:dyDescent="0.25">
      <c r="I73" t="s">
        <v>170</v>
      </c>
      <c r="J73" t="s">
        <v>156</v>
      </c>
      <c r="K73">
        <v>0</v>
      </c>
      <c r="L73" t="s">
        <v>154</v>
      </c>
      <c r="N73" t="s">
        <v>200</v>
      </c>
      <c r="O73" t="s">
        <v>156</v>
      </c>
      <c r="P73">
        <v>2.8061941118883285E-2</v>
      </c>
      <c r="Q73" t="s">
        <v>154</v>
      </c>
      <c r="S73" t="s">
        <v>231</v>
      </c>
      <c r="T73" t="s">
        <v>156</v>
      </c>
      <c r="U73">
        <v>3.0952634838706548E-2</v>
      </c>
      <c r="V73" t="s">
        <v>154</v>
      </c>
      <c r="AK73">
        <v>2037</v>
      </c>
      <c r="AL73" t="s">
        <v>148</v>
      </c>
      <c r="AM73">
        <v>0.22625000000000001</v>
      </c>
      <c r="AN73" t="s">
        <v>279</v>
      </c>
    </row>
    <row r="74" spans="9:40" x14ac:dyDescent="0.25">
      <c r="I74" t="s">
        <v>170</v>
      </c>
      <c r="J74" t="s">
        <v>157</v>
      </c>
      <c r="K74">
        <v>0.69400171664043253</v>
      </c>
      <c r="L74" t="s">
        <v>154</v>
      </c>
      <c r="N74" t="s">
        <v>200</v>
      </c>
      <c r="O74" t="s">
        <v>157</v>
      </c>
      <c r="P74">
        <v>0.50217645202288963</v>
      </c>
      <c r="Q74" t="s">
        <v>154</v>
      </c>
      <c r="S74" t="s">
        <v>231</v>
      </c>
      <c r="T74" t="s">
        <v>157</v>
      </c>
      <c r="U74">
        <v>0.49500625913500362</v>
      </c>
      <c r="V74" t="s">
        <v>154</v>
      </c>
      <c r="AK74">
        <v>2037</v>
      </c>
      <c r="AL74" t="s">
        <v>150</v>
      </c>
      <c r="AM74">
        <v>0.2069</v>
      </c>
      <c r="AN74" t="s">
        <v>279</v>
      </c>
    </row>
    <row r="75" spans="9:40" x14ac:dyDescent="0.25">
      <c r="I75" t="s">
        <v>170</v>
      </c>
      <c r="J75" t="s">
        <v>158</v>
      </c>
      <c r="K75">
        <v>4.7724981239683523E-2</v>
      </c>
      <c r="L75" t="s">
        <v>154</v>
      </c>
      <c r="N75" t="s">
        <v>200</v>
      </c>
      <c r="O75" t="s">
        <v>158</v>
      </c>
      <c r="P75">
        <v>3.0834560251165301E-2</v>
      </c>
      <c r="Q75" t="s">
        <v>154</v>
      </c>
      <c r="S75" t="s">
        <v>231</v>
      </c>
      <c r="T75" t="s">
        <v>158</v>
      </c>
      <c r="U75">
        <v>2.9585391842522565E-2</v>
      </c>
      <c r="V75" t="s">
        <v>154</v>
      </c>
      <c r="AK75">
        <v>2038</v>
      </c>
      <c r="AL75" t="s">
        <v>142</v>
      </c>
      <c r="AM75">
        <v>0.19729999999999998</v>
      </c>
      <c r="AN75" t="s">
        <v>279</v>
      </c>
    </row>
    <row r="76" spans="9:40" x14ac:dyDescent="0.25">
      <c r="I76" t="s">
        <v>170</v>
      </c>
      <c r="J76" t="s">
        <v>159</v>
      </c>
      <c r="K76">
        <v>3.1684144707006694E-2</v>
      </c>
      <c r="L76" t="s">
        <v>154</v>
      </c>
      <c r="N76" t="s">
        <v>200</v>
      </c>
      <c r="O76" t="s">
        <v>159</v>
      </c>
      <c r="P76">
        <v>0.13851003192841646</v>
      </c>
      <c r="Q76" t="s">
        <v>154</v>
      </c>
      <c r="S76" t="s">
        <v>231</v>
      </c>
      <c r="T76" t="s">
        <v>159</v>
      </c>
      <c r="U76">
        <v>0.17380320505543148</v>
      </c>
      <c r="V76" t="s">
        <v>154</v>
      </c>
      <c r="AK76">
        <v>2038</v>
      </c>
      <c r="AL76" t="s">
        <v>146</v>
      </c>
      <c r="AM76">
        <v>0.32874444444444451</v>
      </c>
      <c r="AN76" t="s">
        <v>279</v>
      </c>
    </row>
    <row r="77" spans="9:40" x14ac:dyDescent="0.25">
      <c r="I77" t="s">
        <v>170</v>
      </c>
      <c r="J77" t="s">
        <v>160</v>
      </c>
      <c r="K77">
        <v>6.1490515554207217E-2</v>
      </c>
      <c r="L77" t="s">
        <v>154</v>
      </c>
      <c r="N77" t="s">
        <v>200</v>
      </c>
      <c r="O77" t="s">
        <v>160</v>
      </c>
      <c r="P77">
        <v>4.1390535505495811E-2</v>
      </c>
      <c r="Q77" t="s">
        <v>154</v>
      </c>
      <c r="S77" t="s">
        <v>231</v>
      </c>
      <c r="T77" t="s">
        <v>160</v>
      </c>
      <c r="U77">
        <v>5.1672324030379489E-2</v>
      </c>
      <c r="V77" t="s">
        <v>154</v>
      </c>
      <c r="AK77">
        <v>2038</v>
      </c>
      <c r="AL77" t="s">
        <v>148</v>
      </c>
      <c r="AM77">
        <v>0.19939999999999999</v>
      </c>
      <c r="AN77" t="s">
        <v>279</v>
      </c>
    </row>
    <row r="78" spans="9:40" x14ac:dyDescent="0.25">
      <c r="I78" t="s">
        <v>170</v>
      </c>
      <c r="J78" t="s">
        <v>161</v>
      </c>
      <c r="K78">
        <v>2.8753219520671535E-3</v>
      </c>
      <c r="L78" t="s">
        <v>154</v>
      </c>
      <c r="N78" t="s">
        <v>200</v>
      </c>
      <c r="O78" t="s">
        <v>161</v>
      </c>
      <c r="P78">
        <v>2.4781467752957799E-3</v>
      </c>
      <c r="Q78" t="s">
        <v>154</v>
      </c>
      <c r="S78" t="s">
        <v>231</v>
      </c>
      <c r="T78" t="s">
        <v>161</v>
      </c>
      <c r="U78">
        <v>3.1669670203069837E-3</v>
      </c>
      <c r="V78" t="s">
        <v>154</v>
      </c>
      <c r="AK78">
        <v>2038</v>
      </c>
      <c r="AL78" t="s">
        <v>150</v>
      </c>
      <c r="AM78">
        <v>0.2051</v>
      </c>
      <c r="AN78" t="s">
        <v>279</v>
      </c>
    </row>
    <row r="79" spans="9:40" x14ac:dyDescent="0.25">
      <c r="I79" t="s">
        <v>170</v>
      </c>
      <c r="J79" t="s">
        <v>162</v>
      </c>
      <c r="K79">
        <v>0</v>
      </c>
      <c r="L79" t="s">
        <v>154</v>
      </c>
      <c r="N79" t="s">
        <v>200</v>
      </c>
      <c r="O79" t="s">
        <v>162</v>
      </c>
      <c r="P79">
        <v>1.1587743879501605E-2</v>
      </c>
      <c r="Q79" t="s">
        <v>154</v>
      </c>
      <c r="S79" t="s">
        <v>231</v>
      </c>
      <c r="T79" t="s">
        <v>162</v>
      </c>
      <c r="U79">
        <v>1.8936624940408577E-2</v>
      </c>
      <c r="V79" t="s">
        <v>154</v>
      </c>
      <c r="AK79">
        <v>2039</v>
      </c>
      <c r="AL79" t="s">
        <v>142</v>
      </c>
      <c r="AM79">
        <v>0.23630000000000001</v>
      </c>
      <c r="AN79" t="s">
        <v>279</v>
      </c>
    </row>
    <row r="80" spans="9:40" x14ac:dyDescent="0.25">
      <c r="I80" t="s">
        <v>170</v>
      </c>
      <c r="J80" t="s">
        <v>163</v>
      </c>
      <c r="K80">
        <v>7.3332164534342895E-2</v>
      </c>
      <c r="L80" t="s">
        <v>154</v>
      </c>
      <c r="N80" t="s">
        <v>200</v>
      </c>
      <c r="O80" t="s">
        <v>163</v>
      </c>
      <c r="P80">
        <v>0.11404529773522505</v>
      </c>
      <c r="Q80" t="s">
        <v>154</v>
      </c>
      <c r="S80" t="s">
        <v>231</v>
      </c>
      <c r="T80" t="s">
        <v>163</v>
      </c>
      <c r="U80">
        <v>7.6864131094486143E-2</v>
      </c>
      <c r="V80" t="s">
        <v>154</v>
      </c>
      <c r="AK80">
        <v>2039</v>
      </c>
      <c r="AL80" t="s">
        <v>146</v>
      </c>
      <c r="AM80">
        <v>0.37084444444444448</v>
      </c>
      <c r="AN80" t="s">
        <v>279</v>
      </c>
    </row>
    <row r="81" spans="9:40" x14ac:dyDescent="0.25">
      <c r="I81" t="s">
        <v>170</v>
      </c>
      <c r="J81" t="s">
        <v>164</v>
      </c>
      <c r="K81">
        <v>2.5577018151099664E-3</v>
      </c>
      <c r="L81" t="s">
        <v>154</v>
      </c>
      <c r="N81" t="s">
        <v>200</v>
      </c>
      <c r="O81" t="s">
        <v>164</v>
      </c>
      <c r="P81">
        <v>6.7681907308027632E-3</v>
      </c>
      <c r="Q81" t="s">
        <v>154</v>
      </c>
      <c r="S81" t="s">
        <v>231</v>
      </c>
      <c r="T81" t="s">
        <v>164</v>
      </c>
      <c r="U81">
        <v>4.8475054914856926E-3</v>
      </c>
      <c r="V81" t="s">
        <v>154</v>
      </c>
      <c r="AK81">
        <v>2039</v>
      </c>
      <c r="AL81" t="s">
        <v>148</v>
      </c>
      <c r="AM81">
        <v>0.24695</v>
      </c>
      <c r="AN81" t="s">
        <v>279</v>
      </c>
    </row>
    <row r="82" spans="9:40" x14ac:dyDescent="0.25">
      <c r="I82" t="s">
        <v>170</v>
      </c>
      <c r="J82" t="s">
        <v>165</v>
      </c>
      <c r="K82">
        <v>0</v>
      </c>
      <c r="L82" t="s">
        <v>154</v>
      </c>
      <c r="N82" t="s">
        <v>200</v>
      </c>
      <c r="O82" t="s">
        <v>165</v>
      </c>
      <c r="P82">
        <v>2.9506458892340284E-2</v>
      </c>
      <c r="Q82" t="s">
        <v>154</v>
      </c>
      <c r="S82" t="s">
        <v>231</v>
      </c>
      <c r="T82" t="s">
        <v>165</v>
      </c>
      <c r="U82">
        <v>2.8707025031491071E-2</v>
      </c>
      <c r="V82" t="s">
        <v>154</v>
      </c>
      <c r="AK82">
        <v>2039</v>
      </c>
      <c r="AL82" t="s">
        <v>150</v>
      </c>
      <c r="AM82">
        <v>0.24279999999999999</v>
      </c>
      <c r="AN82" t="s">
        <v>279</v>
      </c>
    </row>
    <row r="83" spans="9:40" x14ac:dyDescent="0.25">
      <c r="I83" t="s">
        <v>171</v>
      </c>
      <c r="J83" t="s">
        <v>153</v>
      </c>
      <c r="K83">
        <v>7.488326830221001E-2</v>
      </c>
      <c r="L83" t="s">
        <v>154</v>
      </c>
      <c r="N83" t="s">
        <v>201</v>
      </c>
      <c r="O83" t="s">
        <v>153</v>
      </c>
      <c r="P83">
        <v>9.9159271852953465E-2</v>
      </c>
      <c r="Q83" t="s">
        <v>154</v>
      </c>
      <c r="S83" t="s">
        <v>232</v>
      </c>
      <c r="T83" t="s">
        <v>153</v>
      </c>
      <c r="U83">
        <v>8.0279792941143402E-2</v>
      </c>
      <c r="V83" t="s">
        <v>154</v>
      </c>
      <c r="AK83">
        <v>2040</v>
      </c>
      <c r="AL83" t="s">
        <v>142</v>
      </c>
      <c r="AM83">
        <v>0.24209999999999998</v>
      </c>
      <c r="AN83" t="s">
        <v>279</v>
      </c>
    </row>
    <row r="84" spans="9:40" x14ac:dyDescent="0.25">
      <c r="I84" t="s">
        <v>171</v>
      </c>
      <c r="J84" t="s">
        <v>155</v>
      </c>
      <c r="K84">
        <v>4.5814066281972482E-3</v>
      </c>
      <c r="L84" t="s">
        <v>154</v>
      </c>
      <c r="N84" t="s">
        <v>201</v>
      </c>
      <c r="O84" t="s">
        <v>155</v>
      </c>
      <c r="P84">
        <v>6.1501997835875311E-3</v>
      </c>
      <c r="Q84" t="s">
        <v>154</v>
      </c>
      <c r="S84" t="s">
        <v>232</v>
      </c>
      <c r="T84" t="s">
        <v>155</v>
      </c>
      <c r="U84">
        <v>5.3093745603130507E-3</v>
      </c>
      <c r="V84" t="s">
        <v>154</v>
      </c>
      <c r="AK84">
        <v>2040</v>
      </c>
      <c r="AL84" t="s">
        <v>146</v>
      </c>
      <c r="AM84">
        <v>0.36735555555555555</v>
      </c>
      <c r="AN84" t="s">
        <v>279</v>
      </c>
    </row>
    <row r="85" spans="9:40" x14ac:dyDescent="0.25">
      <c r="I85" t="s">
        <v>171</v>
      </c>
      <c r="J85" t="s">
        <v>156</v>
      </c>
      <c r="K85">
        <v>3.2536658122977887E-8</v>
      </c>
      <c r="L85" t="s">
        <v>154</v>
      </c>
      <c r="N85" t="s">
        <v>201</v>
      </c>
      <c r="O85" t="s">
        <v>156</v>
      </c>
      <c r="P85">
        <v>3.4023065742714638E-2</v>
      </c>
      <c r="Q85" t="s">
        <v>154</v>
      </c>
      <c r="S85" t="s">
        <v>232</v>
      </c>
      <c r="T85" t="s">
        <v>156</v>
      </c>
      <c r="U85">
        <v>2.9871360694108933E-2</v>
      </c>
      <c r="V85" t="s">
        <v>154</v>
      </c>
      <c r="AK85">
        <v>2040</v>
      </c>
      <c r="AL85" t="s">
        <v>148</v>
      </c>
      <c r="AM85">
        <v>0.24709999999999999</v>
      </c>
      <c r="AN85" t="s">
        <v>279</v>
      </c>
    </row>
    <row r="86" spans="9:40" x14ac:dyDescent="0.25">
      <c r="I86" t="s">
        <v>171</v>
      </c>
      <c r="J86" t="s">
        <v>157</v>
      </c>
      <c r="K86">
        <v>0.69542345244299386</v>
      </c>
      <c r="L86" t="s">
        <v>154</v>
      </c>
      <c r="N86" t="s">
        <v>201</v>
      </c>
      <c r="O86" t="s">
        <v>157</v>
      </c>
      <c r="P86">
        <v>0.44963965611075551</v>
      </c>
      <c r="Q86" t="s">
        <v>154</v>
      </c>
      <c r="S86" t="s">
        <v>232</v>
      </c>
      <c r="T86" t="s">
        <v>157</v>
      </c>
      <c r="U86">
        <v>0.49512991281601954</v>
      </c>
      <c r="V86" t="s">
        <v>154</v>
      </c>
      <c r="AK86">
        <v>2040</v>
      </c>
      <c r="AL86" t="s">
        <v>150</v>
      </c>
      <c r="AM86">
        <v>0.22644999999999998</v>
      </c>
      <c r="AN86" t="s">
        <v>279</v>
      </c>
    </row>
    <row r="87" spans="9:40" x14ac:dyDescent="0.25">
      <c r="I87" t="s">
        <v>171</v>
      </c>
      <c r="J87" t="s">
        <v>158</v>
      </c>
      <c r="K87">
        <v>4.9208700445599218E-2</v>
      </c>
      <c r="L87" t="s">
        <v>154</v>
      </c>
      <c r="N87" t="s">
        <v>201</v>
      </c>
      <c r="O87" t="s">
        <v>158</v>
      </c>
      <c r="P87">
        <v>3.2549529870141293E-2</v>
      </c>
      <c r="Q87" t="s">
        <v>154</v>
      </c>
      <c r="S87" t="s">
        <v>232</v>
      </c>
      <c r="T87" t="s">
        <v>158</v>
      </c>
      <c r="U87">
        <v>2.9190303033616916E-2</v>
      </c>
      <c r="V87" t="s">
        <v>154</v>
      </c>
      <c r="AK87">
        <v>2041</v>
      </c>
      <c r="AL87" t="s">
        <v>142</v>
      </c>
      <c r="AM87">
        <v>0.24115</v>
      </c>
      <c r="AN87" t="s">
        <v>279</v>
      </c>
    </row>
    <row r="88" spans="9:40" x14ac:dyDescent="0.25">
      <c r="I88" t="s">
        <v>171</v>
      </c>
      <c r="J88" t="s">
        <v>159</v>
      </c>
      <c r="K88">
        <v>3.653532706781925E-2</v>
      </c>
      <c r="L88" t="s">
        <v>154</v>
      </c>
      <c r="N88" t="s">
        <v>201</v>
      </c>
      <c r="O88" t="s">
        <v>159</v>
      </c>
      <c r="P88">
        <v>0.16809004757539611</v>
      </c>
      <c r="Q88" t="s">
        <v>154</v>
      </c>
      <c r="S88" t="s">
        <v>232</v>
      </c>
      <c r="T88" t="s">
        <v>159</v>
      </c>
      <c r="U88">
        <v>0.17204984606051096</v>
      </c>
      <c r="V88" t="s">
        <v>154</v>
      </c>
      <c r="AK88">
        <v>2041</v>
      </c>
      <c r="AL88" t="s">
        <v>146</v>
      </c>
      <c r="AM88">
        <v>0.37382222222222222</v>
      </c>
      <c r="AN88" t="s">
        <v>279</v>
      </c>
    </row>
    <row r="89" spans="9:40" x14ac:dyDescent="0.25">
      <c r="I89" t="s">
        <v>171</v>
      </c>
      <c r="J89" t="s">
        <v>160</v>
      </c>
      <c r="K89">
        <v>6.1026229912056418E-2</v>
      </c>
      <c r="L89" t="s">
        <v>154</v>
      </c>
      <c r="N89" t="s">
        <v>201</v>
      </c>
      <c r="O89" t="s">
        <v>160</v>
      </c>
      <c r="P89">
        <v>4.3278876532391111E-2</v>
      </c>
      <c r="Q89" t="s">
        <v>154</v>
      </c>
      <c r="S89" t="s">
        <v>232</v>
      </c>
      <c r="T89" t="s">
        <v>160</v>
      </c>
      <c r="U89">
        <v>5.2543759132958057E-2</v>
      </c>
      <c r="V89" t="s">
        <v>154</v>
      </c>
      <c r="AK89">
        <v>2041</v>
      </c>
      <c r="AL89" t="s">
        <v>148</v>
      </c>
      <c r="AM89">
        <v>0.23705000000000001</v>
      </c>
      <c r="AN89" t="s">
        <v>279</v>
      </c>
    </row>
    <row r="90" spans="9:40" x14ac:dyDescent="0.25">
      <c r="I90" t="s">
        <v>171</v>
      </c>
      <c r="J90" t="s">
        <v>161</v>
      </c>
      <c r="K90">
        <v>2.9569192981219513E-3</v>
      </c>
      <c r="L90" t="s">
        <v>154</v>
      </c>
      <c r="N90" t="s">
        <v>201</v>
      </c>
      <c r="O90" t="s">
        <v>161</v>
      </c>
      <c r="P90">
        <v>2.8301752527541859E-3</v>
      </c>
      <c r="Q90" t="s">
        <v>154</v>
      </c>
      <c r="S90" t="s">
        <v>232</v>
      </c>
      <c r="T90" t="s">
        <v>161</v>
      </c>
      <c r="U90">
        <v>3.3572667720833038E-3</v>
      </c>
      <c r="V90" t="s">
        <v>154</v>
      </c>
      <c r="AK90">
        <v>2041</v>
      </c>
      <c r="AL90" t="s">
        <v>150</v>
      </c>
      <c r="AM90">
        <v>0.22440000000000002</v>
      </c>
      <c r="AN90" t="s">
        <v>279</v>
      </c>
    </row>
    <row r="91" spans="9:40" x14ac:dyDescent="0.25">
      <c r="I91" t="s">
        <v>171</v>
      </c>
      <c r="J91" t="s">
        <v>162</v>
      </c>
      <c r="K91">
        <v>0</v>
      </c>
      <c r="L91" t="s">
        <v>154</v>
      </c>
      <c r="N91" t="s">
        <v>201</v>
      </c>
      <c r="O91" t="s">
        <v>162</v>
      </c>
      <c r="P91">
        <v>1.465142925257891E-2</v>
      </c>
      <c r="Q91" t="s">
        <v>154</v>
      </c>
      <c r="S91" t="s">
        <v>232</v>
      </c>
      <c r="T91" t="s">
        <v>162</v>
      </c>
      <c r="U91">
        <v>1.8927528503832169E-2</v>
      </c>
      <c r="V91" t="s">
        <v>154</v>
      </c>
      <c r="AK91">
        <v>2042</v>
      </c>
      <c r="AL91" t="s">
        <v>142</v>
      </c>
      <c r="AM91">
        <v>0.24835000000000002</v>
      </c>
      <c r="AN91" t="s">
        <v>279</v>
      </c>
    </row>
    <row r="92" spans="9:40" x14ac:dyDescent="0.25">
      <c r="I92" t="s">
        <v>171</v>
      </c>
      <c r="J92" t="s">
        <v>163</v>
      </c>
      <c r="K92">
        <v>7.1613380476924837E-2</v>
      </c>
      <c r="L92" t="s">
        <v>154</v>
      </c>
      <c r="N92" t="s">
        <v>201</v>
      </c>
      <c r="O92" t="s">
        <v>163</v>
      </c>
      <c r="P92">
        <v>0.10549569250961785</v>
      </c>
      <c r="Q92" t="s">
        <v>154</v>
      </c>
      <c r="S92" t="s">
        <v>232</v>
      </c>
      <c r="T92" t="s">
        <v>163</v>
      </c>
      <c r="U92">
        <v>8.0272856891490579E-2</v>
      </c>
      <c r="V92" t="s">
        <v>154</v>
      </c>
      <c r="AK92">
        <v>2042</v>
      </c>
      <c r="AL92" t="s">
        <v>146</v>
      </c>
      <c r="AM92">
        <v>0.37966666666666671</v>
      </c>
      <c r="AN92" t="s">
        <v>279</v>
      </c>
    </row>
    <row r="93" spans="9:40" x14ac:dyDescent="0.25">
      <c r="I93" t="s">
        <v>171</v>
      </c>
      <c r="J93" t="s">
        <v>164</v>
      </c>
      <c r="K93">
        <v>3.771282889416745E-3</v>
      </c>
      <c r="L93" t="s">
        <v>154</v>
      </c>
      <c r="N93" t="s">
        <v>201</v>
      </c>
      <c r="O93" t="s">
        <v>164</v>
      </c>
      <c r="P93">
        <v>6.8587455912381464E-3</v>
      </c>
      <c r="Q93" t="s">
        <v>154</v>
      </c>
      <c r="S93" t="s">
        <v>232</v>
      </c>
      <c r="T93" t="s">
        <v>164</v>
      </c>
      <c r="U93">
        <v>4.8816299550249838E-3</v>
      </c>
      <c r="V93" t="s">
        <v>154</v>
      </c>
      <c r="AK93">
        <v>2042</v>
      </c>
      <c r="AL93" t="s">
        <v>148</v>
      </c>
      <c r="AM93">
        <v>0.24014999999999997</v>
      </c>
      <c r="AN93" t="s">
        <v>279</v>
      </c>
    </row>
    <row r="94" spans="9:40" x14ac:dyDescent="0.25">
      <c r="I94" t="s">
        <v>171</v>
      </c>
      <c r="J94" t="s">
        <v>165</v>
      </c>
      <c r="K94">
        <v>0</v>
      </c>
      <c r="L94" t="s">
        <v>154</v>
      </c>
      <c r="N94" t="s">
        <v>201</v>
      </c>
      <c r="O94" t="s">
        <v>165</v>
      </c>
      <c r="P94">
        <v>3.7273309925872737E-2</v>
      </c>
      <c r="Q94" t="s">
        <v>154</v>
      </c>
      <c r="S94" t="s">
        <v>232</v>
      </c>
      <c r="T94" t="s">
        <v>165</v>
      </c>
      <c r="U94">
        <v>2.8186368638898729E-2</v>
      </c>
      <c r="V94" t="s">
        <v>154</v>
      </c>
      <c r="AK94">
        <v>2042</v>
      </c>
      <c r="AL94" t="s">
        <v>150</v>
      </c>
      <c r="AM94">
        <v>0.21779999999999999</v>
      </c>
      <c r="AN94" t="s">
        <v>279</v>
      </c>
    </row>
    <row r="95" spans="9:40" x14ac:dyDescent="0.25">
      <c r="I95" t="s">
        <v>172</v>
      </c>
      <c r="J95" t="s">
        <v>153</v>
      </c>
      <c r="K95">
        <v>7.728428606054491E-2</v>
      </c>
      <c r="L95" t="s">
        <v>154</v>
      </c>
      <c r="N95" t="s">
        <v>202</v>
      </c>
      <c r="O95" t="s">
        <v>153</v>
      </c>
      <c r="P95">
        <v>0.10007556409285448</v>
      </c>
      <c r="Q95" t="s">
        <v>154</v>
      </c>
      <c r="S95" t="s">
        <v>233</v>
      </c>
      <c r="T95" t="s">
        <v>153</v>
      </c>
      <c r="U95">
        <v>8.3812930995480997E-2</v>
      </c>
      <c r="V95" t="s">
        <v>154</v>
      </c>
      <c r="AK95">
        <v>2043</v>
      </c>
      <c r="AL95" t="s">
        <v>142</v>
      </c>
      <c r="AM95">
        <v>0.25209999999999999</v>
      </c>
      <c r="AN95" t="s">
        <v>279</v>
      </c>
    </row>
    <row r="96" spans="9:40" x14ac:dyDescent="0.25">
      <c r="I96" t="s">
        <v>172</v>
      </c>
      <c r="J96" t="s">
        <v>155</v>
      </c>
      <c r="K96">
        <v>6.4486157653367449E-3</v>
      </c>
      <c r="L96" t="s">
        <v>154</v>
      </c>
      <c r="N96" t="s">
        <v>202</v>
      </c>
      <c r="O96" t="s">
        <v>155</v>
      </c>
      <c r="P96">
        <v>6.4851806300939407E-3</v>
      </c>
      <c r="Q96" t="s">
        <v>154</v>
      </c>
      <c r="S96" t="s">
        <v>233</v>
      </c>
      <c r="T96" t="s">
        <v>155</v>
      </c>
      <c r="U96">
        <v>5.4360307381382394E-3</v>
      </c>
      <c r="V96" t="s">
        <v>154</v>
      </c>
      <c r="AK96">
        <v>2043</v>
      </c>
      <c r="AL96" t="s">
        <v>146</v>
      </c>
      <c r="AM96">
        <v>0.37925555555555557</v>
      </c>
      <c r="AN96" t="s">
        <v>279</v>
      </c>
    </row>
    <row r="97" spans="9:40" x14ac:dyDescent="0.25">
      <c r="I97" t="s">
        <v>172</v>
      </c>
      <c r="J97" t="s">
        <v>156</v>
      </c>
      <c r="K97">
        <v>1.5816150155290507E-3</v>
      </c>
      <c r="L97" t="s">
        <v>154</v>
      </c>
      <c r="N97" t="s">
        <v>202</v>
      </c>
      <c r="O97" t="s">
        <v>156</v>
      </c>
      <c r="P97">
        <v>3.0638000591954637E-2</v>
      </c>
      <c r="Q97" t="s">
        <v>154</v>
      </c>
      <c r="S97" t="s">
        <v>233</v>
      </c>
      <c r="T97" t="s">
        <v>156</v>
      </c>
      <c r="U97">
        <v>3.4603585992409244E-2</v>
      </c>
      <c r="V97" t="s">
        <v>154</v>
      </c>
      <c r="AK97">
        <v>2043</v>
      </c>
      <c r="AL97" t="s">
        <v>148</v>
      </c>
      <c r="AM97">
        <v>0.25269999999999998</v>
      </c>
      <c r="AN97" t="s">
        <v>279</v>
      </c>
    </row>
    <row r="98" spans="9:40" x14ac:dyDescent="0.25">
      <c r="I98" t="s">
        <v>172</v>
      </c>
      <c r="J98" t="s">
        <v>157</v>
      </c>
      <c r="K98">
        <v>0.65933719466148144</v>
      </c>
      <c r="L98" t="s">
        <v>154</v>
      </c>
      <c r="N98" t="s">
        <v>202</v>
      </c>
      <c r="O98" t="s">
        <v>157</v>
      </c>
      <c r="P98">
        <v>0.47576520016114376</v>
      </c>
      <c r="Q98" t="s">
        <v>154</v>
      </c>
      <c r="S98" t="s">
        <v>233</v>
      </c>
      <c r="T98" t="s">
        <v>157</v>
      </c>
      <c r="U98">
        <v>0.47958620821942993</v>
      </c>
      <c r="V98" t="s">
        <v>154</v>
      </c>
      <c r="AK98">
        <v>2043</v>
      </c>
      <c r="AL98" t="s">
        <v>150</v>
      </c>
      <c r="AM98">
        <v>0.24020000000000002</v>
      </c>
      <c r="AN98" t="s">
        <v>279</v>
      </c>
    </row>
    <row r="99" spans="9:40" x14ac:dyDescent="0.25">
      <c r="I99" t="s">
        <v>172</v>
      </c>
      <c r="J99" t="s">
        <v>158</v>
      </c>
      <c r="K99">
        <v>5.3889697648336045E-2</v>
      </c>
      <c r="L99" t="s">
        <v>154</v>
      </c>
      <c r="N99" t="s">
        <v>202</v>
      </c>
      <c r="O99" t="s">
        <v>158</v>
      </c>
      <c r="P99">
        <v>3.3901328406854538E-2</v>
      </c>
      <c r="Q99" t="s">
        <v>154</v>
      </c>
      <c r="S99" t="s">
        <v>233</v>
      </c>
      <c r="T99" t="s">
        <v>158</v>
      </c>
      <c r="U99">
        <v>2.9818170732703677E-2</v>
      </c>
      <c r="V99" t="s">
        <v>154</v>
      </c>
      <c r="AK99">
        <v>2044</v>
      </c>
      <c r="AL99" t="s">
        <v>142</v>
      </c>
      <c r="AM99">
        <v>0.20784999999999998</v>
      </c>
      <c r="AN99" t="s">
        <v>279</v>
      </c>
    </row>
    <row r="100" spans="9:40" x14ac:dyDescent="0.25">
      <c r="I100" t="s">
        <v>172</v>
      </c>
      <c r="J100" t="s">
        <v>159</v>
      </c>
      <c r="K100">
        <v>4.424164820915457E-2</v>
      </c>
      <c r="L100" t="s">
        <v>154</v>
      </c>
      <c r="N100" t="s">
        <v>202</v>
      </c>
      <c r="O100" t="s">
        <v>159</v>
      </c>
      <c r="P100">
        <v>0.14704610913658178</v>
      </c>
      <c r="Q100" t="s">
        <v>154</v>
      </c>
      <c r="S100" t="s">
        <v>233</v>
      </c>
      <c r="T100" t="s">
        <v>159</v>
      </c>
      <c r="U100">
        <v>0.16803828475022134</v>
      </c>
      <c r="V100" t="s">
        <v>154</v>
      </c>
      <c r="AK100">
        <v>2044</v>
      </c>
      <c r="AL100" t="s">
        <v>146</v>
      </c>
      <c r="AM100">
        <v>0.32544444444444443</v>
      </c>
      <c r="AN100" t="s">
        <v>279</v>
      </c>
    </row>
    <row r="101" spans="9:40" x14ac:dyDescent="0.25">
      <c r="I101" t="s">
        <v>172</v>
      </c>
      <c r="J101" t="s">
        <v>160</v>
      </c>
      <c r="K101">
        <v>6.8514745387073944E-2</v>
      </c>
      <c r="L101" t="s">
        <v>154</v>
      </c>
      <c r="N101" t="s">
        <v>202</v>
      </c>
      <c r="O101" t="s">
        <v>160</v>
      </c>
      <c r="P101">
        <v>3.592880748124716E-2</v>
      </c>
      <c r="Q101" t="s">
        <v>154</v>
      </c>
      <c r="S101" t="s">
        <v>233</v>
      </c>
      <c r="T101" t="s">
        <v>160</v>
      </c>
      <c r="U101">
        <v>4.4266954864010943E-2</v>
      </c>
      <c r="V101" t="s">
        <v>154</v>
      </c>
      <c r="AK101">
        <v>2044</v>
      </c>
      <c r="AL101" t="s">
        <v>148</v>
      </c>
      <c r="AM101">
        <v>0.21495</v>
      </c>
      <c r="AN101" t="s">
        <v>279</v>
      </c>
    </row>
    <row r="102" spans="9:40" x14ac:dyDescent="0.25">
      <c r="I102" t="s">
        <v>172</v>
      </c>
      <c r="J102" t="s">
        <v>161</v>
      </c>
      <c r="K102">
        <v>3.9469755862564905E-3</v>
      </c>
      <c r="L102" t="s">
        <v>154</v>
      </c>
      <c r="N102" t="s">
        <v>202</v>
      </c>
      <c r="O102" t="s">
        <v>161</v>
      </c>
      <c r="P102">
        <v>2.4819539424727707E-3</v>
      </c>
      <c r="Q102" t="s">
        <v>154</v>
      </c>
      <c r="S102" t="s">
        <v>233</v>
      </c>
      <c r="T102" t="s">
        <v>161</v>
      </c>
      <c r="U102">
        <v>2.8108580901172256E-3</v>
      </c>
      <c r="V102" t="s">
        <v>154</v>
      </c>
      <c r="AK102">
        <v>2044</v>
      </c>
      <c r="AL102" t="s">
        <v>150</v>
      </c>
      <c r="AM102">
        <v>0.18980000000000002</v>
      </c>
      <c r="AN102" t="s">
        <v>279</v>
      </c>
    </row>
    <row r="103" spans="9:40" x14ac:dyDescent="0.25">
      <c r="I103" t="s">
        <v>172</v>
      </c>
      <c r="J103" t="s">
        <v>162</v>
      </c>
      <c r="K103">
        <v>0</v>
      </c>
      <c r="L103" t="s">
        <v>154</v>
      </c>
      <c r="N103" t="s">
        <v>202</v>
      </c>
      <c r="O103" t="s">
        <v>162</v>
      </c>
      <c r="P103">
        <v>1.0408817472556583E-2</v>
      </c>
      <c r="Q103" t="s">
        <v>154</v>
      </c>
      <c r="S103" t="s">
        <v>233</v>
      </c>
      <c r="T103" t="s">
        <v>162</v>
      </c>
      <c r="U103">
        <v>1.6490155257379097E-2</v>
      </c>
      <c r="V103" t="s">
        <v>154</v>
      </c>
      <c r="AK103">
        <v>2045</v>
      </c>
      <c r="AL103" t="s">
        <v>142</v>
      </c>
      <c r="AM103">
        <v>0.2051</v>
      </c>
      <c r="AN103" t="s">
        <v>279</v>
      </c>
    </row>
    <row r="104" spans="9:40" x14ac:dyDescent="0.25">
      <c r="I104" t="s">
        <v>172</v>
      </c>
      <c r="J104" t="s">
        <v>163</v>
      </c>
      <c r="K104">
        <v>7.9940254176810541E-2</v>
      </c>
      <c r="L104" t="s">
        <v>154</v>
      </c>
      <c r="N104" t="s">
        <v>202</v>
      </c>
      <c r="O104" t="s">
        <v>163</v>
      </c>
      <c r="P104">
        <v>0.11506446843304094</v>
      </c>
      <c r="Q104" t="s">
        <v>154</v>
      </c>
      <c r="S104" t="s">
        <v>233</v>
      </c>
      <c r="T104" t="s">
        <v>163</v>
      </c>
      <c r="U104">
        <v>9.5263906265739953E-2</v>
      </c>
      <c r="V104" t="s">
        <v>154</v>
      </c>
      <c r="AK104">
        <v>2045</v>
      </c>
      <c r="AL104" t="s">
        <v>146</v>
      </c>
      <c r="AM104">
        <v>0.30957777777777779</v>
      </c>
      <c r="AN104" t="s">
        <v>279</v>
      </c>
    </row>
    <row r="105" spans="9:40" x14ac:dyDescent="0.25">
      <c r="I105" t="s">
        <v>172</v>
      </c>
      <c r="J105" t="s">
        <v>164</v>
      </c>
      <c r="K105">
        <v>4.8149674894763326E-3</v>
      </c>
      <c r="L105" t="s">
        <v>154</v>
      </c>
      <c r="N105" t="s">
        <v>202</v>
      </c>
      <c r="O105" t="s">
        <v>164</v>
      </c>
      <c r="P105">
        <v>7.3670922965125086E-3</v>
      </c>
      <c r="Q105" t="s">
        <v>154</v>
      </c>
      <c r="S105" t="s">
        <v>233</v>
      </c>
      <c r="T105" t="s">
        <v>164</v>
      </c>
      <c r="U105">
        <v>6.0843383506363983E-3</v>
      </c>
      <c r="V105" t="s">
        <v>154</v>
      </c>
      <c r="AK105">
        <v>2045</v>
      </c>
      <c r="AL105" t="s">
        <v>148</v>
      </c>
      <c r="AM105">
        <v>0.2112</v>
      </c>
      <c r="AN105" t="s">
        <v>279</v>
      </c>
    </row>
    <row r="106" spans="9:40" x14ac:dyDescent="0.25">
      <c r="I106" t="s">
        <v>172</v>
      </c>
      <c r="J106" t="s">
        <v>165</v>
      </c>
      <c r="K106">
        <v>0</v>
      </c>
      <c r="L106" t="s">
        <v>154</v>
      </c>
      <c r="N106" t="s">
        <v>202</v>
      </c>
      <c r="O106" t="s">
        <v>165</v>
      </c>
      <c r="P106">
        <v>3.4837477354686147E-2</v>
      </c>
      <c r="Q106" t="s">
        <v>154</v>
      </c>
      <c r="S106" t="s">
        <v>233</v>
      </c>
      <c r="T106" t="s">
        <v>165</v>
      </c>
      <c r="U106">
        <v>3.3788575743735179E-2</v>
      </c>
      <c r="V106" t="s">
        <v>154</v>
      </c>
      <c r="AK106">
        <v>2045</v>
      </c>
      <c r="AL106" t="s">
        <v>150</v>
      </c>
      <c r="AM106">
        <v>0.20105000000000001</v>
      </c>
      <c r="AN106" t="s">
        <v>279</v>
      </c>
    </row>
    <row r="107" spans="9:40" x14ac:dyDescent="0.25">
      <c r="I107" t="s">
        <v>173</v>
      </c>
      <c r="J107" t="s">
        <v>153</v>
      </c>
      <c r="K107">
        <v>7.4032218244068138E-2</v>
      </c>
      <c r="L107" t="s">
        <v>154</v>
      </c>
      <c r="N107" t="s">
        <v>203</v>
      </c>
      <c r="O107" t="s">
        <v>153</v>
      </c>
      <c r="P107">
        <v>9.2290468050300917E-2</v>
      </c>
      <c r="Q107" t="s">
        <v>154</v>
      </c>
      <c r="S107" t="s">
        <v>234</v>
      </c>
      <c r="T107" t="s">
        <v>153</v>
      </c>
      <c r="U107">
        <v>8.5337517192281082E-2</v>
      </c>
      <c r="V107" t="s">
        <v>154</v>
      </c>
      <c r="AK107">
        <v>2046</v>
      </c>
      <c r="AL107" t="s">
        <v>142</v>
      </c>
      <c r="AM107">
        <v>0.19745000000000001</v>
      </c>
      <c r="AN107" t="s">
        <v>279</v>
      </c>
    </row>
    <row r="108" spans="9:40" x14ac:dyDescent="0.25">
      <c r="I108" t="s">
        <v>173</v>
      </c>
      <c r="J108" t="s">
        <v>155</v>
      </c>
      <c r="K108">
        <v>5.5897479984953263E-3</v>
      </c>
      <c r="L108" t="s">
        <v>154</v>
      </c>
      <c r="N108" t="s">
        <v>203</v>
      </c>
      <c r="O108" t="s">
        <v>155</v>
      </c>
      <c r="P108">
        <v>5.3274073377723892E-3</v>
      </c>
      <c r="Q108" t="s">
        <v>154</v>
      </c>
      <c r="S108" t="s">
        <v>234</v>
      </c>
      <c r="T108" t="s">
        <v>155</v>
      </c>
      <c r="U108">
        <v>4.6519481304354909E-3</v>
      </c>
      <c r="V108" t="s">
        <v>154</v>
      </c>
      <c r="AK108">
        <v>2046</v>
      </c>
      <c r="AL108" t="s">
        <v>146</v>
      </c>
      <c r="AM108">
        <v>0.3218333333333333</v>
      </c>
      <c r="AN108" t="s">
        <v>279</v>
      </c>
    </row>
    <row r="109" spans="9:40" x14ac:dyDescent="0.25">
      <c r="I109" t="s">
        <v>173</v>
      </c>
      <c r="J109" t="s">
        <v>156</v>
      </c>
      <c r="K109">
        <v>8.2743568075456585E-4</v>
      </c>
      <c r="L109" t="s">
        <v>154</v>
      </c>
      <c r="N109" t="s">
        <v>203</v>
      </c>
      <c r="O109" t="s">
        <v>156</v>
      </c>
      <c r="P109">
        <v>3.0425643556524169E-2</v>
      </c>
      <c r="Q109" t="s">
        <v>154</v>
      </c>
      <c r="S109" t="s">
        <v>234</v>
      </c>
      <c r="T109" t="s">
        <v>156</v>
      </c>
      <c r="U109">
        <v>2.8519434987068541E-2</v>
      </c>
      <c r="V109" t="s">
        <v>154</v>
      </c>
      <c r="AK109">
        <v>2046</v>
      </c>
      <c r="AL109" t="s">
        <v>148</v>
      </c>
      <c r="AM109">
        <v>0.2137</v>
      </c>
      <c r="AN109" t="s">
        <v>279</v>
      </c>
    </row>
    <row r="110" spans="9:40" x14ac:dyDescent="0.25">
      <c r="I110" t="s">
        <v>173</v>
      </c>
      <c r="J110" t="s">
        <v>157</v>
      </c>
      <c r="K110">
        <v>0.67781963424801273</v>
      </c>
      <c r="L110" t="s">
        <v>154</v>
      </c>
      <c r="N110" t="s">
        <v>203</v>
      </c>
      <c r="O110" t="s">
        <v>157</v>
      </c>
      <c r="P110">
        <v>0.50857234875626134</v>
      </c>
      <c r="Q110" t="s">
        <v>154</v>
      </c>
      <c r="S110" t="s">
        <v>234</v>
      </c>
      <c r="T110" t="s">
        <v>157</v>
      </c>
      <c r="U110">
        <v>0.49295267719715369</v>
      </c>
      <c r="V110" t="s">
        <v>154</v>
      </c>
      <c r="AK110">
        <v>2046</v>
      </c>
      <c r="AL110" t="s">
        <v>150</v>
      </c>
      <c r="AM110">
        <v>0.21099999999999999</v>
      </c>
      <c r="AN110" t="s">
        <v>279</v>
      </c>
    </row>
    <row r="111" spans="9:40" x14ac:dyDescent="0.25">
      <c r="I111" t="s">
        <v>173</v>
      </c>
      <c r="J111" t="s">
        <v>158</v>
      </c>
      <c r="K111">
        <v>5.3854164053950243E-2</v>
      </c>
      <c r="L111" t="s">
        <v>154</v>
      </c>
      <c r="N111" t="s">
        <v>203</v>
      </c>
      <c r="O111" t="s">
        <v>158</v>
      </c>
      <c r="P111">
        <v>2.7868158085175544E-2</v>
      </c>
      <c r="Q111" t="s">
        <v>154</v>
      </c>
      <c r="S111" t="s">
        <v>234</v>
      </c>
      <c r="T111" t="s">
        <v>158</v>
      </c>
      <c r="U111">
        <v>3.1006079219222629E-2</v>
      </c>
      <c r="V111" t="s">
        <v>154</v>
      </c>
      <c r="AK111">
        <v>2047</v>
      </c>
      <c r="AL111" t="s">
        <v>142</v>
      </c>
      <c r="AM111">
        <v>0.21145</v>
      </c>
      <c r="AN111" t="s">
        <v>279</v>
      </c>
    </row>
    <row r="112" spans="9:40" x14ac:dyDescent="0.25">
      <c r="I112" t="s">
        <v>173</v>
      </c>
      <c r="J112" t="s">
        <v>159</v>
      </c>
      <c r="K112">
        <v>4.4563878944613285E-2</v>
      </c>
      <c r="L112" t="s">
        <v>154</v>
      </c>
      <c r="N112" t="s">
        <v>203</v>
      </c>
      <c r="O112" t="s">
        <v>159</v>
      </c>
      <c r="P112">
        <v>0.12886318352510936</v>
      </c>
      <c r="Q112" t="s">
        <v>154</v>
      </c>
      <c r="S112" t="s">
        <v>234</v>
      </c>
      <c r="T112" t="s">
        <v>159</v>
      </c>
      <c r="U112">
        <v>0.16888667590643922</v>
      </c>
      <c r="V112" t="s">
        <v>154</v>
      </c>
      <c r="AK112">
        <v>2047</v>
      </c>
      <c r="AL112" t="s">
        <v>146</v>
      </c>
      <c r="AM112">
        <v>0.31851111111111119</v>
      </c>
      <c r="AN112" t="s">
        <v>279</v>
      </c>
    </row>
    <row r="113" spans="9:40" x14ac:dyDescent="0.25">
      <c r="I113" t="s">
        <v>173</v>
      </c>
      <c r="J113" t="s">
        <v>160</v>
      </c>
      <c r="K113">
        <v>6.3545992601777276E-2</v>
      </c>
      <c r="L113" t="s">
        <v>154</v>
      </c>
      <c r="N113" t="s">
        <v>203</v>
      </c>
      <c r="O113" t="s">
        <v>160</v>
      </c>
      <c r="P113">
        <v>4.6509999953523014E-2</v>
      </c>
      <c r="Q113" t="s">
        <v>154</v>
      </c>
      <c r="S113" t="s">
        <v>234</v>
      </c>
      <c r="T113" t="s">
        <v>160</v>
      </c>
      <c r="U113">
        <v>4.211468021401555E-2</v>
      </c>
      <c r="V113" t="s">
        <v>154</v>
      </c>
      <c r="AK113">
        <v>2047</v>
      </c>
      <c r="AL113" t="s">
        <v>148</v>
      </c>
      <c r="AM113">
        <v>0.21675</v>
      </c>
      <c r="AN113" t="s">
        <v>279</v>
      </c>
    </row>
    <row r="114" spans="9:40" x14ac:dyDescent="0.25">
      <c r="I114" t="s">
        <v>173</v>
      </c>
      <c r="J114" t="s">
        <v>161</v>
      </c>
      <c r="K114">
        <v>3.5949613993489326E-3</v>
      </c>
      <c r="L114" t="s">
        <v>154</v>
      </c>
      <c r="N114" t="s">
        <v>203</v>
      </c>
      <c r="O114" t="s">
        <v>161</v>
      </c>
      <c r="P114">
        <v>2.4090225123867145E-3</v>
      </c>
      <c r="Q114" t="s">
        <v>154</v>
      </c>
      <c r="S114" t="s">
        <v>234</v>
      </c>
      <c r="T114" t="s">
        <v>161</v>
      </c>
      <c r="U114">
        <v>2.527362540577839E-3</v>
      </c>
      <c r="V114" t="s">
        <v>154</v>
      </c>
      <c r="AK114">
        <v>2047</v>
      </c>
      <c r="AL114" t="s">
        <v>150</v>
      </c>
      <c r="AM114">
        <v>0.19464999999999999</v>
      </c>
      <c r="AN114" t="s">
        <v>279</v>
      </c>
    </row>
    <row r="115" spans="9:40" x14ac:dyDescent="0.25">
      <c r="I115" t="s">
        <v>173</v>
      </c>
      <c r="J115" t="s">
        <v>162</v>
      </c>
      <c r="K115">
        <v>0</v>
      </c>
      <c r="L115" t="s">
        <v>154</v>
      </c>
      <c r="N115" t="s">
        <v>203</v>
      </c>
      <c r="O115" t="s">
        <v>162</v>
      </c>
      <c r="P115">
        <v>1.4525159595929708E-2</v>
      </c>
      <c r="Q115" t="s">
        <v>154</v>
      </c>
      <c r="S115" t="s">
        <v>234</v>
      </c>
      <c r="T115" t="s">
        <v>162</v>
      </c>
      <c r="U115">
        <v>1.4500436612084958E-2</v>
      </c>
      <c r="V115" t="s">
        <v>154</v>
      </c>
      <c r="AK115">
        <v>2048</v>
      </c>
      <c r="AL115" t="s">
        <v>142</v>
      </c>
      <c r="AM115">
        <v>0.21710000000000002</v>
      </c>
      <c r="AN115" t="s">
        <v>279</v>
      </c>
    </row>
    <row r="116" spans="9:40" x14ac:dyDescent="0.25">
      <c r="I116" t="s">
        <v>173</v>
      </c>
      <c r="J116" t="s">
        <v>163</v>
      </c>
      <c r="K116">
        <v>7.2092765961977015E-2</v>
      </c>
      <c r="L116" t="s">
        <v>154</v>
      </c>
      <c r="N116" t="s">
        <v>203</v>
      </c>
      <c r="O116" t="s">
        <v>163</v>
      </c>
      <c r="P116">
        <v>0.10420556813161032</v>
      </c>
      <c r="Q116" t="s">
        <v>154</v>
      </c>
      <c r="S116" t="s">
        <v>234</v>
      </c>
      <c r="T116" t="s">
        <v>163</v>
      </c>
      <c r="U116">
        <v>8.9496581539857692E-2</v>
      </c>
      <c r="V116" t="s">
        <v>154</v>
      </c>
      <c r="AK116">
        <v>2048</v>
      </c>
      <c r="AL116" t="s">
        <v>146</v>
      </c>
      <c r="AM116">
        <v>0.32371111111111112</v>
      </c>
      <c r="AN116" t="s">
        <v>279</v>
      </c>
    </row>
    <row r="117" spans="9:40" x14ac:dyDescent="0.25">
      <c r="I117" t="s">
        <v>173</v>
      </c>
      <c r="J117" t="s">
        <v>164</v>
      </c>
      <c r="K117">
        <v>4.079200866999649E-3</v>
      </c>
      <c r="L117" t="s">
        <v>154</v>
      </c>
      <c r="N117" t="s">
        <v>203</v>
      </c>
      <c r="O117" t="s">
        <v>164</v>
      </c>
      <c r="P117">
        <v>6.7298736301107205E-3</v>
      </c>
      <c r="Q117" t="s">
        <v>154</v>
      </c>
      <c r="S117" t="s">
        <v>234</v>
      </c>
      <c r="T117" t="s">
        <v>164</v>
      </c>
      <c r="U117">
        <v>5.8278882884725252E-3</v>
      </c>
      <c r="V117" t="s">
        <v>154</v>
      </c>
      <c r="AK117">
        <v>2048</v>
      </c>
      <c r="AL117" t="s">
        <v>148</v>
      </c>
      <c r="AM117">
        <v>0.20685000000000001</v>
      </c>
      <c r="AN117" t="s">
        <v>279</v>
      </c>
    </row>
    <row r="118" spans="9:40" x14ac:dyDescent="0.25">
      <c r="I118" t="s">
        <v>173</v>
      </c>
      <c r="J118" t="s">
        <v>165</v>
      </c>
      <c r="K118">
        <v>0</v>
      </c>
      <c r="L118" t="s">
        <v>154</v>
      </c>
      <c r="N118" t="s">
        <v>203</v>
      </c>
      <c r="O118" t="s">
        <v>165</v>
      </c>
      <c r="P118">
        <v>3.2273166865297978E-2</v>
      </c>
      <c r="Q118" t="s">
        <v>154</v>
      </c>
      <c r="S118" t="s">
        <v>234</v>
      </c>
      <c r="T118" t="s">
        <v>165</v>
      </c>
      <c r="U118">
        <v>3.417871817238808E-2</v>
      </c>
      <c r="V118" t="s">
        <v>154</v>
      </c>
      <c r="AK118">
        <v>2048</v>
      </c>
      <c r="AL118" t="s">
        <v>150</v>
      </c>
      <c r="AM118">
        <v>0.1983</v>
      </c>
      <c r="AN118" t="s">
        <v>279</v>
      </c>
    </row>
    <row r="119" spans="9:40" x14ac:dyDescent="0.25">
      <c r="I119" t="s">
        <v>174</v>
      </c>
      <c r="J119" t="s">
        <v>153</v>
      </c>
      <c r="K119">
        <v>6.8414087047495964E-2</v>
      </c>
      <c r="L119" t="s">
        <v>154</v>
      </c>
      <c r="N119" t="s">
        <v>204</v>
      </c>
      <c r="O119" t="s">
        <v>153</v>
      </c>
      <c r="P119">
        <v>9.0433636348247512E-2</v>
      </c>
      <c r="Q119" t="s">
        <v>154</v>
      </c>
      <c r="S119" t="s">
        <v>235</v>
      </c>
      <c r="T119" t="s">
        <v>153</v>
      </c>
      <c r="U119">
        <v>6.6907849403407035E-2</v>
      </c>
      <c r="V119" t="s">
        <v>154</v>
      </c>
      <c r="AK119">
        <v>2049</v>
      </c>
      <c r="AL119" t="s">
        <v>142</v>
      </c>
      <c r="AM119">
        <v>0.22034999999999999</v>
      </c>
      <c r="AN119" t="s">
        <v>279</v>
      </c>
    </row>
    <row r="120" spans="9:40" x14ac:dyDescent="0.25">
      <c r="I120" t="s">
        <v>174</v>
      </c>
      <c r="J120" t="s">
        <v>155</v>
      </c>
      <c r="K120">
        <v>4.7050969240484001E-3</v>
      </c>
      <c r="L120" t="s">
        <v>154</v>
      </c>
      <c r="N120" t="s">
        <v>204</v>
      </c>
      <c r="O120" t="s">
        <v>155</v>
      </c>
      <c r="P120">
        <v>5.6036739752182317E-3</v>
      </c>
      <c r="Q120" t="s">
        <v>154</v>
      </c>
      <c r="S120" t="s">
        <v>235</v>
      </c>
      <c r="T120" t="s">
        <v>155</v>
      </c>
      <c r="U120">
        <v>3.9484805644410701E-3</v>
      </c>
      <c r="V120" t="s">
        <v>154</v>
      </c>
      <c r="AK120">
        <v>2049</v>
      </c>
      <c r="AL120" t="s">
        <v>146</v>
      </c>
      <c r="AM120">
        <v>0.32477777777777778</v>
      </c>
      <c r="AN120" t="s">
        <v>279</v>
      </c>
    </row>
    <row r="121" spans="9:40" x14ac:dyDescent="0.25">
      <c r="I121" t="s">
        <v>174</v>
      </c>
      <c r="J121" t="s">
        <v>156</v>
      </c>
      <c r="K121">
        <v>3.5100975520098378E-4</v>
      </c>
      <c r="L121" t="s">
        <v>154</v>
      </c>
      <c r="N121" t="s">
        <v>204</v>
      </c>
      <c r="O121" t="s">
        <v>156</v>
      </c>
      <c r="P121">
        <v>3.2583395872411942E-2</v>
      </c>
      <c r="Q121" t="s">
        <v>154</v>
      </c>
      <c r="S121" t="s">
        <v>235</v>
      </c>
      <c r="T121" t="s">
        <v>156</v>
      </c>
      <c r="U121">
        <v>2.5218709002732428E-2</v>
      </c>
      <c r="V121" t="s">
        <v>154</v>
      </c>
      <c r="AK121">
        <v>2049</v>
      </c>
      <c r="AL121" t="s">
        <v>148</v>
      </c>
      <c r="AM121">
        <v>0.21065</v>
      </c>
      <c r="AN121" t="s">
        <v>279</v>
      </c>
    </row>
    <row r="122" spans="9:40" x14ac:dyDescent="0.25">
      <c r="I122" t="s">
        <v>174</v>
      </c>
      <c r="J122" t="s">
        <v>157</v>
      </c>
      <c r="K122">
        <v>0.69318776268827509</v>
      </c>
      <c r="L122" t="s">
        <v>154</v>
      </c>
      <c r="N122" t="s">
        <v>204</v>
      </c>
      <c r="O122" t="s">
        <v>157</v>
      </c>
      <c r="P122">
        <v>0.46017667444271321</v>
      </c>
      <c r="Q122" t="s">
        <v>154</v>
      </c>
      <c r="S122" t="s">
        <v>235</v>
      </c>
      <c r="T122" t="s">
        <v>157</v>
      </c>
      <c r="U122">
        <v>0.52415435217028827</v>
      </c>
      <c r="V122" t="s">
        <v>154</v>
      </c>
      <c r="AK122">
        <v>2049</v>
      </c>
      <c r="AL122" t="s">
        <v>150</v>
      </c>
      <c r="AM122">
        <v>0.19400000000000001</v>
      </c>
      <c r="AN122" t="s">
        <v>279</v>
      </c>
    </row>
    <row r="123" spans="9:40" x14ac:dyDescent="0.25">
      <c r="I123" t="s">
        <v>174</v>
      </c>
      <c r="J123" t="s">
        <v>158</v>
      </c>
      <c r="K123">
        <v>5.4472864284940227E-2</v>
      </c>
      <c r="L123" t="s">
        <v>154</v>
      </c>
      <c r="N123" t="s">
        <v>204</v>
      </c>
      <c r="O123" t="s">
        <v>158</v>
      </c>
      <c r="P123">
        <v>3.0923365723165765E-2</v>
      </c>
      <c r="Q123" t="s">
        <v>154</v>
      </c>
      <c r="S123" t="s">
        <v>235</v>
      </c>
      <c r="T123" t="s">
        <v>158</v>
      </c>
      <c r="U123">
        <v>3.2764129218204707E-2</v>
      </c>
      <c r="V123" t="s">
        <v>154</v>
      </c>
      <c r="AK123">
        <v>2050</v>
      </c>
      <c r="AL123" t="s">
        <v>142</v>
      </c>
      <c r="AM123">
        <v>0.2087</v>
      </c>
      <c r="AN123" t="s">
        <v>279</v>
      </c>
    </row>
    <row r="124" spans="9:40" x14ac:dyDescent="0.25">
      <c r="I124" t="s">
        <v>174</v>
      </c>
      <c r="J124" t="s">
        <v>159</v>
      </c>
      <c r="K124">
        <v>4.5812995183897316E-2</v>
      </c>
      <c r="L124" t="s">
        <v>154</v>
      </c>
      <c r="N124" t="s">
        <v>204</v>
      </c>
      <c r="O124" t="s">
        <v>159</v>
      </c>
      <c r="P124">
        <v>0.16528382546556389</v>
      </c>
      <c r="Q124" t="s">
        <v>154</v>
      </c>
      <c r="S124" t="s">
        <v>235</v>
      </c>
      <c r="T124" t="s">
        <v>159</v>
      </c>
      <c r="U124">
        <v>0.18988919087430928</v>
      </c>
      <c r="V124" t="s">
        <v>154</v>
      </c>
      <c r="AK124">
        <v>2050</v>
      </c>
      <c r="AL124" t="s">
        <v>146</v>
      </c>
      <c r="AM124">
        <v>0.32285555555555556</v>
      </c>
      <c r="AN124" t="s">
        <v>279</v>
      </c>
    </row>
    <row r="125" spans="9:40" x14ac:dyDescent="0.25">
      <c r="I125" t="s">
        <v>174</v>
      </c>
      <c r="J125" t="s">
        <v>160</v>
      </c>
      <c r="K125">
        <v>6.1185017375511047E-2</v>
      </c>
      <c r="L125" t="s">
        <v>154</v>
      </c>
      <c r="N125" t="s">
        <v>204</v>
      </c>
      <c r="O125" t="s">
        <v>160</v>
      </c>
      <c r="P125">
        <v>4.5388760141651177E-2</v>
      </c>
      <c r="Q125" t="s">
        <v>154</v>
      </c>
      <c r="S125" t="s">
        <v>235</v>
      </c>
      <c r="T125" t="s">
        <v>160</v>
      </c>
      <c r="U125">
        <v>3.3021541940333507E-2</v>
      </c>
      <c r="V125" t="s">
        <v>154</v>
      </c>
      <c r="AK125">
        <v>2050</v>
      </c>
      <c r="AL125" t="s">
        <v>148</v>
      </c>
      <c r="AM125">
        <v>0.22375</v>
      </c>
      <c r="AN125" t="s">
        <v>279</v>
      </c>
    </row>
    <row r="126" spans="9:40" x14ac:dyDescent="0.25">
      <c r="I126" t="s">
        <v>174</v>
      </c>
      <c r="J126" t="s">
        <v>161</v>
      </c>
      <c r="K126">
        <v>3.3248744041090212E-3</v>
      </c>
      <c r="L126" t="s">
        <v>154</v>
      </c>
      <c r="N126" t="s">
        <v>204</v>
      </c>
      <c r="O126" t="s">
        <v>161</v>
      </c>
      <c r="P126">
        <v>3.1161435451235722E-3</v>
      </c>
      <c r="Q126" t="s">
        <v>154</v>
      </c>
      <c r="S126" t="s">
        <v>235</v>
      </c>
      <c r="T126" t="s">
        <v>161</v>
      </c>
      <c r="U126">
        <v>1.8187903584420315E-3</v>
      </c>
      <c r="V126" t="s">
        <v>154</v>
      </c>
      <c r="AK126">
        <v>2050</v>
      </c>
      <c r="AL126" t="s">
        <v>150</v>
      </c>
      <c r="AM126">
        <v>0.2064</v>
      </c>
      <c r="AN126" t="s">
        <v>279</v>
      </c>
    </row>
    <row r="127" spans="9:40" x14ac:dyDescent="0.25">
      <c r="I127" t="s">
        <v>174</v>
      </c>
      <c r="J127" t="s">
        <v>162</v>
      </c>
      <c r="K127">
        <v>0</v>
      </c>
      <c r="L127" t="s">
        <v>154</v>
      </c>
      <c r="N127" t="s">
        <v>204</v>
      </c>
      <c r="O127" t="s">
        <v>162</v>
      </c>
      <c r="P127">
        <v>1.7268300954429525E-2</v>
      </c>
      <c r="Q127" t="s">
        <v>154</v>
      </c>
      <c r="S127" t="s">
        <v>235</v>
      </c>
      <c r="T127" t="s">
        <v>162</v>
      </c>
      <c r="U127">
        <v>1.1434120753621315E-2</v>
      </c>
      <c r="V127" t="s">
        <v>154</v>
      </c>
    </row>
    <row r="128" spans="9:40" x14ac:dyDescent="0.25">
      <c r="I128" t="s">
        <v>174</v>
      </c>
      <c r="J128" t="s">
        <v>163</v>
      </c>
      <c r="K128">
        <v>6.5020280040772913E-2</v>
      </c>
      <c r="L128" t="s">
        <v>154</v>
      </c>
      <c r="N128" t="s">
        <v>204</v>
      </c>
      <c r="O128" t="s">
        <v>163</v>
      </c>
      <c r="P128">
        <v>0.10648479970065626</v>
      </c>
      <c r="Q128" t="s">
        <v>154</v>
      </c>
      <c r="S128" t="s">
        <v>235</v>
      </c>
      <c r="T128" t="s">
        <v>163</v>
      </c>
      <c r="U128">
        <v>7.7918123531366262E-2</v>
      </c>
      <c r="V128" t="s">
        <v>154</v>
      </c>
    </row>
    <row r="129" spans="9:22" x14ac:dyDescent="0.25">
      <c r="I129" t="s">
        <v>174</v>
      </c>
      <c r="J129" t="s">
        <v>164</v>
      </c>
      <c r="K129">
        <v>3.5260122957499278E-3</v>
      </c>
      <c r="L129" t="s">
        <v>154</v>
      </c>
      <c r="N129" t="s">
        <v>204</v>
      </c>
      <c r="O129" t="s">
        <v>164</v>
      </c>
      <c r="P129">
        <v>6.8697078462576161E-3</v>
      </c>
      <c r="Q129" t="s">
        <v>154</v>
      </c>
      <c r="S129" t="s">
        <v>235</v>
      </c>
      <c r="T129" t="s">
        <v>164</v>
      </c>
      <c r="U129">
        <v>4.867907647610947E-3</v>
      </c>
      <c r="V129" t="s">
        <v>154</v>
      </c>
    </row>
    <row r="130" spans="9:22" x14ac:dyDescent="0.25">
      <c r="I130" t="s">
        <v>174</v>
      </c>
      <c r="J130" t="s">
        <v>165</v>
      </c>
      <c r="K130">
        <v>0</v>
      </c>
      <c r="L130" t="s">
        <v>154</v>
      </c>
      <c r="N130" t="s">
        <v>204</v>
      </c>
      <c r="O130" t="s">
        <v>165</v>
      </c>
      <c r="P130">
        <v>3.5867715984561704E-2</v>
      </c>
      <c r="Q130" t="s">
        <v>154</v>
      </c>
      <c r="S130" t="s">
        <v>235</v>
      </c>
      <c r="T130" t="s">
        <v>165</v>
      </c>
      <c r="U130">
        <v>2.805680453524587E-2</v>
      </c>
      <c r="V130" t="s">
        <v>154</v>
      </c>
    </row>
    <row r="131" spans="9:22" x14ac:dyDescent="0.25">
      <c r="I131" t="s">
        <v>175</v>
      </c>
      <c r="J131" t="s">
        <v>153</v>
      </c>
      <c r="K131">
        <v>6.5913963442905912E-2</v>
      </c>
      <c r="L131" t="s">
        <v>154</v>
      </c>
      <c r="N131" t="s">
        <v>205</v>
      </c>
      <c r="O131" t="s">
        <v>153</v>
      </c>
      <c r="P131">
        <v>9.465177310806254E-2</v>
      </c>
      <c r="Q131" t="s">
        <v>154</v>
      </c>
      <c r="S131" t="s">
        <v>236</v>
      </c>
      <c r="T131" t="s">
        <v>153</v>
      </c>
      <c r="U131">
        <v>6.9054140095983568E-2</v>
      </c>
      <c r="V131" t="s">
        <v>154</v>
      </c>
    </row>
    <row r="132" spans="9:22" x14ac:dyDescent="0.25">
      <c r="I132" t="s">
        <v>175</v>
      </c>
      <c r="J132" t="s">
        <v>155</v>
      </c>
      <c r="K132">
        <v>3.9568830023642681E-3</v>
      </c>
      <c r="L132" t="s">
        <v>154</v>
      </c>
      <c r="N132" t="s">
        <v>205</v>
      </c>
      <c r="O132" t="s">
        <v>155</v>
      </c>
      <c r="P132">
        <v>6.0734714632274941E-3</v>
      </c>
      <c r="Q132" t="s">
        <v>154</v>
      </c>
      <c r="S132" t="s">
        <v>236</v>
      </c>
      <c r="T132" t="s">
        <v>155</v>
      </c>
      <c r="U132">
        <v>4.4559358960438748E-3</v>
      </c>
      <c r="V132" t="s">
        <v>154</v>
      </c>
    </row>
    <row r="133" spans="9:22" x14ac:dyDescent="0.25">
      <c r="I133" t="s">
        <v>175</v>
      </c>
      <c r="J133" t="s">
        <v>156</v>
      </c>
      <c r="K133">
        <v>1.1795517753401157E-5</v>
      </c>
      <c r="L133" t="s">
        <v>154</v>
      </c>
      <c r="N133" t="s">
        <v>205</v>
      </c>
      <c r="O133" t="s">
        <v>156</v>
      </c>
      <c r="P133">
        <v>3.4107460983478215E-2</v>
      </c>
      <c r="Q133" t="s">
        <v>154</v>
      </c>
      <c r="S133" t="s">
        <v>236</v>
      </c>
      <c r="T133" t="s">
        <v>156</v>
      </c>
      <c r="U133">
        <v>2.8496917296496747E-2</v>
      </c>
      <c r="V133" t="s">
        <v>154</v>
      </c>
    </row>
    <row r="134" spans="9:22" x14ac:dyDescent="0.25">
      <c r="I134" t="s">
        <v>175</v>
      </c>
      <c r="J134" t="s">
        <v>157</v>
      </c>
      <c r="K134">
        <v>0.70734639167810931</v>
      </c>
      <c r="L134" t="s">
        <v>154</v>
      </c>
      <c r="N134" t="s">
        <v>205</v>
      </c>
      <c r="O134" t="s">
        <v>157</v>
      </c>
      <c r="P134">
        <v>0.4624322752803588</v>
      </c>
      <c r="Q134" t="s">
        <v>154</v>
      </c>
      <c r="S134" t="s">
        <v>236</v>
      </c>
      <c r="T134" t="s">
        <v>157</v>
      </c>
      <c r="U134">
        <v>0.49558226628474494</v>
      </c>
      <c r="V134" t="s">
        <v>154</v>
      </c>
    </row>
    <row r="135" spans="9:22" x14ac:dyDescent="0.25">
      <c r="I135" t="s">
        <v>175</v>
      </c>
      <c r="J135" t="s">
        <v>158</v>
      </c>
      <c r="K135">
        <v>5.2107733082848003E-2</v>
      </c>
      <c r="L135" t="s">
        <v>154</v>
      </c>
      <c r="N135" t="s">
        <v>205</v>
      </c>
      <c r="O135" t="s">
        <v>158</v>
      </c>
      <c r="P135">
        <v>2.9143303143146795E-2</v>
      </c>
      <c r="Q135" t="s">
        <v>154</v>
      </c>
      <c r="S135" t="s">
        <v>236</v>
      </c>
      <c r="T135" t="s">
        <v>158</v>
      </c>
      <c r="U135">
        <v>3.049204940608085E-2</v>
      </c>
      <c r="V135" t="s">
        <v>154</v>
      </c>
    </row>
    <row r="136" spans="9:22" x14ac:dyDescent="0.25">
      <c r="I136" t="s">
        <v>175</v>
      </c>
      <c r="J136" t="s">
        <v>159</v>
      </c>
      <c r="K136">
        <v>4.1331819444458531E-2</v>
      </c>
      <c r="L136" t="s">
        <v>154</v>
      </c>
      <c r="N136" t="s">
        <v>205</v>
      </c>
      <c r="O136" t="s">
        <v>159</v>
      </c>
      <c r="P136">
        <v>0.1477657629192077</v>
      </c>
      <c r="Q136" t="s">
        <v>154</v>
      </c>
      <c r="S136" t="s">
        <v>236</v>
      </c>
      <c r="T136" t="s">
        <v>159</v>
      </c>
      <c r="U136">
        <v>0.17388674037895158</v>
      </c>
      <c r="V136" t="s">
        <v>154</v>
      </c>
    </row>
    <row r="137" spans="9:22" x14ac:dyDescent="0.25">
      <c r="I137" t="s">
        <v>175</v>
      </c>
      <c r="J137" t="s">
        <v>160</v>
      </c>
      <c r="K137">
        <v>5.9910168869884699E-2</v>
      </c>
      <c r="L137" t="s">
        <v>154</v>
      </c>
      <c r="N137" t="s">
        <v>205</v>
      </c>
      <c r="O137" t="s">
        <v>160</v>
      </c>
      <c r="P137">
        <v>4.6800536401308601E-2</v>
      </c>
      <c r="Q137" t="s">
        <v>154</v>
      </c>
      <c r="S137" t="s">
        <v>236</v>
      </c>
      <c r="T137" t="s">
        <v>160</v>
      </c>
      <c r="U137">
        <v>4.207141486676997E-2</v>
      </c>
      <c r="V137" t="s">
        <v>154</v>
      </c>
    </row>
    <row r="138" spans="9:22" x14ac:dyDescent="0.25">
      <c r="I138" t="s">
        <v>175</v>
      </c>
      <c r="J138" t="s">
        <v>161</v>
      </c>
      <c r="K138">
        <v>3.0239022395448629E-3</v>
      </c>
      <c r="L138" t="s">
        <v>154</v>
      </c>
      <c r="N138" t="s">
        <v>205</v>
      </c>
      <c r="O138" t="s">
        <v>161</v>
      </c>
      <c r="P138">
        <v>3.1605935621835564E-3</v>
      </c>
      <c r="Q138" t="s">
        <v>154</v>
      </c>
      <c r="S138" t="s">
        <v>236</v>
      </c>
      <c r="T138" t="s">
        <v>161</v>
      </c>
      <c r="U138">
        <v>2.5785372861136897E-3</v>
      </c>
      <c r="V138" t="s">
        <v>154</v>
      </c>
    </row>
    <row r="139" spans="9:22" x14ac:dyDescent="0.25">
      <c r="I139" t="s">
        <v>175</v>
      </c>
      <c r="J139" t="s">
        <v>162</v>
      </c>
      <c r="K139">
        <v>0</v>
      </c>
      <c r="L139" t="s">
        <v>154</v>
      </c>
      <c r="N139" t="s">
        <v>205</v>
      </c>
      <c r="O139" t="s">
        <v>162</v>
      </c>
      <c r="P139">
        <v>1.6576072904859167E-2</v>
      </c>
      <c r="Q139" t="s">
        <v>154</v>
      </c>
      <c r="S139" t="s">
        <v>236</v>
      </c>
      <c r="T139" t="s">
        <v>162</v>
      </c>
      <c r="U139">
        <v>1.5446938017965529E-2</v>
      </c>
      <c r="V139" t="s">
        <v>154</v>
      </c>
    </row>
    <row r="140" spans="9:22" x14ac:dyDescent="0.25">
      <c r="I140" t="s">
        <v>175</v>
      </c>
      <c r="J140" t="s">
        <v>163</v>
      </c>
      <c r="K140">
        <v>6.3224027954627546E-2</v>
      </c>
      <c r="L140" t="s">
        <v>154</v>
      </c>
      <c r="N140" t="s">
        <v>205</v>
      </c>
      <c r="O140" t="s">
        <v>163</v>
      </c>
      <c r="P140">
        <v>0.11396995557276067</v>
      </c>
      <c r="Q140" t="s">
        <v>154</v>
      </c>
      <c r="S140" t="s">
        <v>236</v>
      </c>
      <c r="T140" t="s">
        <v>163</v>
      </c>
      <c r="U140">
        <v>9.6640098223689505E-2</v>
      </c>
      <c r="V140" t="s">
        <v>154</v>
      </c>
    </row>
    <row r="141" spans="9:22" x14ac:dyDescent="0.25">
      <c r="I141" t="s">
        <v>175</v>
      </c>
      <c r="J141" t="s">
        <v>164</v>
      </c>
      <c r="K141">
        <v>3.1733147675026786E-3</v>
      </c>
      <c r="L141" t="s">
        <v>154</v>
      </c>
      <c r="N141" t="s">
        <v>205</v>
      </c>
      <c r="O141" t="s">
        <v>164</v>
      </c>
      <c r="P141">
        <v>7.6746535698698302E-3</v>
      </c>
      <c r="Q141" t="s">
        <v>154</v>
      </c>
      <c r="S141" t="s">
        <v>236</v>
      </c>
      <c r="T141" t="s">
        <v>164</v>
      </c>
      <c r="U141">
        <v>6.0121165113417203E-3</v>
      </c>
      <c r="V141" t="s">
        <v>154</v>
      </c>
    </row>
    <row r="142" spans="9:22" x14ac:dyDescent="0.25">
      <c r="I142" t="s">
        <v>175</v>
      </c>
      <c r="J142" t="s">
        <v>165</v>
      </c>
      <c r="K142">
        <v>0</v>
      </c>
      <c r="L142" t="s">
        <v>154</v>
      </c>
      <c r="N142" t="s">
        <v>205</v>
      </c>
      <c r="O142" t="s">
        <v>165</v>
      </c>
      <c r="P142">
        <v>3.7644141091533079E-2</v>
      </c>
      <c r="Q142" t="s">
        <v>154</v>
      </c>
      <c r="S142" t="s">
        <v>236</v>
      </c>
      <c r="T142" t="s">
        <v>165</v>
      </c>
      <c r="U142">
        <v>3.5282845735814521E-2</v>
      </c>
      <c r="V142" t="s">
        <v>154</v>
      </c>
    </row>
    <row r="143" spans="9:22" x14ac:dyDescent="0.25">
      <c r="I143" t="s">
        <v>176</v>
      </c>
      <c r="J143" t="s">
        <v>153</v>
      </c>
      <c r="K143">
        <v>7.7187068990058033E-2</v>
      </c>
      <c r="L143" t="s">
        <v>154</v>
      </c>
      <c r="N143" t="s">
        <v>206</v>
      </c>
      <c r="O143" t="s">
        <v>153</v>
      </c>
      <c r="P143">
        <v>8.6323667513186472E-2</v>
      </c>
      <c r="Q143" t="s">
        <v>154</v>
      </c>
      <c r="S143" t="s">
        <v>237</v>
      </c>
      <c r="T143" t="s">
        <v>153</v>
      </c>
      <c r="U143">
        <v>7.5482395102705463E-2</v>
      </c>
      <c r="V143" t="s">
        <v>154</v>
      </c>
    </row>
    <row r="144" spans="9:22" x14ac:dyDescent="0.25">
      <c r="I144" t="s">
        <v>176</v>
      </c>
      <c r="J144" t="s">
        <v>155</v>
      </c>
      <c r="K144">
        <v>4.6472292336754655E-5</v>
      </c>
      <c r="L144" t="s">
        <v>154</v>
      </c>
      <c r="N144" t="s">
        <v>206</v>
      </c>
      <c r="O144" t="s">
        <v>155</v>
      </c>
      <c r="P144">
        <v>5.8645559575969215E-3</v>
      </c>
      <c r="Q144" t="s">
        <v>154</v>
      </c>
      <c r="S144" t="s">
        <v>237</v>
      </c>
      <c r="T144" t="s">
        <v>155</v>
      </c>
      <c r="U144">
        <v>4.6284722253756485E-3</v>
      </c>
      <c r="V144" t="s">
        <v>154</v>
      </c>
    </row>
    <row r="145" spans="9:22" x14ac:dyDescent="0.25">
      <c r="I145" t="s">
        <v>176</v>
      </c>
      <c r="J145" t="s">
        <v>156</v>
      </c>
      <c r="K145">
        <v>0</v>
      </c>
      <c r="L145" t="s">
        <v>154</v>
      </c>
      <c r="N145" t="s">
        <v>206</v>
      </c>
      <c r="O145" t="s">
        <v>156</v>
      </c>
      <c r="P145">
        <v>3.2257290708176983E-2</v>
      </c>
      <c r="Q145" t="s">
        <v>154</v>
      </c>
      <c r="S145" t="s">
        <v>237</v>
      </c>
      <c r="T145" t="s">
        <v>156</v>
      </c>
      <c r="U145">
        <v>2.9170246009922494E-2</v>
      </c>
      <c r="V145" t="s">
        <v>154</v>
      </c>
    </row>
    <row r="146" spans="9:22" x14ac:dyDescent="0.25">
      <c r="I146" t="s">
        <v>176</v>
      </c>
      <c r="J146" t="s">
        <v>157</v>
      </c>
      <c r="K146">
        <v>0.74405389269920963</v>
      </c>
      <c r="L146" t="s">
        <v>154</v>
      </c>
      <c r="N146" t="s">
        <v>206</v>
      </c>
      <c r="O146" t="s">
        <v>157</v>
      </c>
      <c r="P146">
        <v>0.47814597863826452</v>
      </c>
      <c r="Q146" t="s">
        <v>154</v>
      </c>
      <c r="S146" t="s">
        <v>237</v>
      </c>
      <c r="T146" t="s">
        <v>157</v>
      </c>
      <c r="U146">
        <v>0.50142373289919506</v>
      </c>
      <c r="V146" t="s">
        <v>154</v>
      </c>
    </row>
    <row r="147" spans="9:22" x14ac:dyDescent="0.25">
      <c r="I147" t="s">
        <v>176</v>
      </c>
      <c r="J147" t="s">
        <v>158</v>
      </c>
      <c r="K147">
        <v>3.8801630337527489E-2</v>
      </c>
      <c r="L147" t="s">
        <v>154</v>
      </c>
      <c r="N147" t="s">
        <v>206</v>
      </c>
      <c r="O147" t="s">
        <v>158</v>
      </c>
      <c r="P147">
        <v>4.1156106607716611E-2</v>
      </c>
      <c r="Q147" t="s">
        <v>154</v>
      </c>
      <c r="S147" t="s">
        <v>237</v>
      </c>
      <c r="T147" t="s">
        <v>158</v>
      </c>
      <c r="U147">
        <v>3.0146682917790418E-2</v>
      </c>
      <c r="V147" t="s">
        <v>154</v>
      </c>
    </row>
    <row r="148" spans="9:22" x14ac:dyDescent="0.25">
      <c r="I148" t="s">
        <v>176</v>
      </c>
      <c r="J148" t="s">
        <v>159</v>
      </c>
      <c r="K148">
        <v>2.0293097693196982E-2</v>
      </c>
      <c r="L148" t="s">
        <v>154</v>
      </c>
      <c r="N148" t="s">
        <v>206</v>
      </c>
      <c r="O148" t="s">
        <v>159</v>
      </c>
      <c r="P148">
        <v>0.19705387357945067</v>
      </c>
      <c r="Q148" t="s">
        <v>154</v>
      </c>
      <c r="S148" t="s">
        <v>237</v>
      </c>
      <c r="T148" t="s">
        <v>159</v>
      </c>
      <c r="U148">
        <v>0.17559099921965451</v>
      </c>
      <c r="V148" t="s">
        <v>154</v>
      </c>
    </row>
    <row r="149" spans="9:22" x14ac:dyDescent="0.25">
      <c r="I149" t="s">
        <v>176</v>
      </c>
      <c r="J149" t="s">
        <v>160</v>
      </c>
      <c r="K149">
        <v>5.5749147780308581E-2</v>
      </c>
      <c r="L149" t="s">
        <v>154</v>
      </c>
      <c r="N149" t="s">
        <v>206</v>
      </c>
      <c r="O149" t="s">
        <v>160</v>
      </c>
      <c r="P149">
        <v>2.5513952396118301E-2</v>
      </c>
      <c r="Q149" t="s">
        <v>154</v>
      </c>
      <c r="S149" t="s">
        <v>237</v>
      </c>
      <c r="T149" t="s">
        <v>160</v>
      </c>
      <c r="U149">
        <v>4.5695050100179234E-2</v>
      </c>
      <c r="V149" t="s">
        <v>154</v>
      </c>
    </row>
    <row r="150" spans="9:22" x14ac:dyDescent="0.25">
      <c r="I150" t="s">
        <v>176</v>
      </c>
      <c r="J150" t="s">
        <v>161</v>
      </c>
      <c r="K150">
        <v>0</v>
      </c>
      <c r="L150" t="s">
        <v>154</v>
      </c>
      <c r="N150" t="s">
        <v>206</v>
      </c>
      <c r="O150" t="s">
        <v>161</v>
      </c>
      <c r="P150">
        <v>2.5311432552456558E-3</v>
      </c>
      <c r="Q150" t="s">
        <v>154</v>
      </c>
      <c r="S150" t="s">
        <v>237</v>
      </c>
      <c r="T150" t="s">
        <v>161</v>
      </c>
      <c r="U150">
        <v>2.7681525875790196E-3</v>
      </c>
      <c r="V150" t="s">
        <v>154</v>
      </c>
    </row>
    <row r="151" spans="9:22" x14ac:dyDescent="0.25">
      <c r="I151" t="s">
        <v>176</v>
      </c>
      <c r="J151" t="s">
        <v>162</v>
      </c>
      <c r="K151">
        <v>0</v>
      </c>
      <c r="L151" t="s">
        <v>154</v>
      </c>
      <c r="N151" t="s">
        <v>206</v>
      </c>
      <c r="O151" t="s">
        <v>162</v>
      </c>
      <c r="P151">
        <v>1.2937711183082594E-2</v>
      </c>
      <c r="Q151" t="s">
        <v>154</v>
      </c>
      <c r="S151" t="s">
        <v>237</v>
      </c>
      <c r="T151" t="s">
        <v>162</v>
      </c>
      <c r="U151">
        <v>1.6255831481033121E-2</v>
      </c>
      <c r="V151" t="s">
        <v>154</v>
      </c>
    </row>
    <row r="152" spans="9:22" x14ac:dyDescent="0.25">
      <c r="I152" t="s">
        <v>176</v>
      </c>
      <c r="J152" t="s">
        <v>163</v>
      </c>
      <c r="K152">
        <v>6.3868690207364381E-2</v>
      </c>
      <c r="L152" t="s">
        <v>154</v>
      </c>
      <c r="N152" t="s">
        <v>206</v>
      </c>
      <c r="O152" t="s">
        <v>163</v>
      </c>
      <c r="P152">
        <v>7.3532010217000204E-2</v>
      </c>
      <c r="Q152" t="s">
        <v>154</v>
      </c>
      <c r="S152" t="s">
        <v>237</v>
      </c>
      <c r="T152" t="s">
        <v>163</v>
      </c>
      <c r="U152">
        <v>8.3644647715001144E-2</v>
      </c>
      <c r="V152" t="s">
        <v>154</v>
      </c>
    </row>
    <row r="153" spans="9:22" x14ac:dyDescent="0.25">
      <c r="I153" t="s">
        <v>176</v>
      </c>
      <c r="J153" t="s">
        <v>164</v>
      </c>
      <c r="K153">
        <v>0</v>
      </c>
      <c r="L153" t="s">
        <v>154</v>
      </c>
      <c r="N153" t="s">
        <v>206</v>
      </c>
      <c r="O153" t="s">
        <v>164</v>
      </c>
      <c r="P153">
        <v>6.2241363938599793E-3</v>
      </c>
      <c r="Q153" t="s">
        <v>154</v>
      </c>
      <c r="S153" t="s">
        <v>237</v>
      </c>
      <c r="T153" t="s">
        <v>164</v>
      </c>
      <c r="U153">
        <v>5.3304439372457661E-3</v>
      </c>
      <c r="V153" t="s">
        <v>154</v>
      </c>
    </row>
    <row r="154" spans="9:22" x14ac:dyDescent="0.25">
      <c r="I154" t="s">
        <v>176</v>
      </c>
      <c r="J154" t="s">
        <v>165</v>
      </c>
      <c r="K154">
        <v>0</v>
      </c>
      <c r="L154" t="s">
        <v>154</v>
      </c>
      <c r="N154" t="s">
        <v>206</v>
      </c>
      <c r="O154" t="s">
        <v>165</v>
      </c>
      <c r="P154">
        <v>3.8459573550299359E-2</v>
      </c>
      <c r="Q154" t="s">
        <v>154</v>
      </c>
      <c r="S154" t="s">
        <v>237</v>
      </c>
      <c r="T154" t="s">
        <v>165</v>
      </c>
      <c r="U154">
        <v>2.9863345804317605E-2</v>
      </c>
      <c r="V154" t="s">
        <v>154</v>
      </c>
    </row>
    <row r="155" spans="9:22" x14ac:dyDescent="0.25">
      <c r="I155" t="s">
        <v>177</v>
      </c>
      <c r="J155" t="s">
        <v>153</v>
      </c>
      <c r="K155">
        <v>8.9598066714009883E-2</v>
      </c>
      <c r="L155" t="s">
        <v>154</v>
      </c>
      <c r="N155" t="s">
        <v>207</v>
      </c>
      <c r="O155" t="s">
        <v>153</v>
      </c>
      <c r="P155">
        <v>7.7456125121297001E-2</v>
      </c>
      <c r="Q155" t="s">
        <v>154</v>
      </c>
      <c r="S155" t="s">
        <v>238</v>
      </c>
      <c r="T155" t="s">
        <v>153</v>
      </c>
      <c r="U155">
        <v>8.5113359521833715E-2</v>
      </c>
      <c r="V155" t="s">
        <v>154</v>
      </c>
    </row>
    <row r="156" spans="9:22" x14ac:dyDescent="0.25">
      <c r="I156" t="s">
        <v>177</v>
      </c>
      <c r="J156" t="s">
        <v>155</v>
      </c>
      <c r="K156">
        <v>0</v>
      </c>
      <c r="L156" t="s">
        <v>154</v>
      </c>
      <c r="N156" t="s">
        <v>207</v>
      </c>
      <c r="O156" t="s">
        <v>155</v>
      </c>
      <c r="P156">
        <v>3.7160516921583117E-3</v>
      </c>
      <c r="Q156" t="s">
        <v>154</v>
      </c>
      <c r="S156" t="s">
        <v>238</v>
      </c>
      <c r="T156" t="s">
        <v>155</v>
      </c>
      <c r="U156">
        <v>5.4724299137034905E-3</v>
      </c>
      <c r="V156" t="s">
        <v>154</v>
      </c>
    </row>
    <row r="157" spans="9:22" x14ac:dyDescent="0.25">
      <c r="I157" t="s">
        <v>177</v>
      </c>
      <c r="J157" t="s">
        <v>156</v>
      </c>
      <c r="K157">
        <v>0</v>
      </c>
      <c r="L157" t="s">
        <v>154</v>
      </c>
      <c r="N157" t="s">
        <v>207</v>
      </c>
      <c r="O157" t="s">
        <v>156</v>
      </c>
      <c r="P157">
        <v>2.4824464163675921E-2</v>
      </c>
      <c r="Q157" t="s">
        <v>154</v>
      </c>
      <c r="S157" t="s">
        <v>238</v>
      </c>
      <c r="T157" t="s">
        <v>156</v>
      </c>
      <c r="U157">
        <v>3.0451849134332902E-2</v>
      </c>
      <c r="V157" t="s">
        <v>154</v>
      </c>
    </row>
    <row r="158" spans="9:22" x14ac:dyDescent="0.25">
      <c r="I158" t="s">
        <v>177</v>
      </c>
      <c r="J158" t="s">
        <v>157</v>
      </c>
      <c r="K158">
        <v>0.72061343838146197</v>
      </c>
      <c r="L158" t="s">
        <v>154</v>
      </c>
      <c r="N158" t="s">
        <v>207</v>
      </c>
      <c r="O158" t="s">
        <v>157</v>
      </c>
      <c r="P158">
        <v>0.49064545255766723</v>
      </c>
      <c r="Q158" t="s">
        <v>154</v>
      </c>
      <c r="S158" t="s">
        <v>238</v>
      </c>
      <c r="T158" t="s">
        <v>157</v>
      </c>
      <c r="U158">
        <v>0.4750974198095036</v>
      </c>
      <c r="V158" t="s">
        <v>154</v>
      </c>
    </row>
    <row r="159" spans="9:22" x14ac:dyDescent="0.25">
      <c r="I159" t="s">
        <v>177</v>
      </c>
      <c r="J159" t="s">
        <v>158</v>
      </c>
      <c r="K159">
        <v>3.6799317976767429E-2</v>
      </c>
      <c r="L159" t="s">
        <v>154</v>
      </c>
      <c r="N159" t="s">
        <v>207</v>
      </c>
      <c r="O159" t="s">
        <v>158</v>
      </c>
      <c r="P159">
        <v>3.4725251131857031E-2</v>
      </c>
      <c r="Q159" t="s">
        <v>154</v>
      </c>
      <c r="S159" t="s">
        <v>238</v>
      </c>
      <c r="T159" t="s">
        <v>158</v>
      </c>
      <c r="U159">
        <v>2.8483466717251407E-2</v>
      </c>
      <c r="V159" t="s">
        <v>154</v>
      </c>
    </row>
    <row r="160" spans="9:22" x14ac:dyDescent="0.25">
      <c r="I160" t="s">
        <v>177</v>
      </c>
      <c r="J160" t="s">
        <v>159</v>
      </c>
      <c r="K160">
        <v>1.6856036438463423E-2</v>
      </c>
      <c r="L160" t="s">
        <v>154</v>
      </c>
      <c r="N160" t="s">
        <v>207</v>
      </c>
      <c r="O160" t="s">
        <v>159</v>
      </c>
      <c r="P160">
        <v>0.20042385553559058</v>
      </c>
      <c r="Q160" t="s">
        <v>154</v>
      </c>
      <c r="S160" t="s">
        <v>238</v>
      </c>
      <c r="T160" t="s">
        <v>159</v>
      </c>
      <c r="U160">
        <v>0.16788690538978934</v>
      </c>
      <c r="V160" t="s">
        <v>154</v>
      </c>
    </row>
    <row r="161" spans="9:22" x14ac:dyDescent="0.25">
      <c r="I161" t="s">
        <v>177</v>
      </c>
      <c r="J161" t="s">
        <v>160</v>
      </c>
      <c r="K161">
        <v>6.2835532163926719E-2</v>
      </c>
      <c r="L161" t="s">
        <v>154</v>
      </c>
      <c r="N161" t="s">
        <v>207</v>
      </c>
      <c r="O161" t="s">
        <v>160</v>
      </c>
      <c r="P161">
        <v>4.0240695067199808E-2</v>
      </c>
      <c r="Q161" t="s">
        <v>154</v>
      </c>
      <c r="S161" t="s">
        <v>238</v>
      </c>
      <c r="T161" t="s">
        <v>160</v>
      </c>
      <c r="U161">
        <v>5.116240919632177E-2</v>
      </c>
      <c r="V161" t="s">
        <v>154</v>
      </c>
    </row>
    <row r="162" spans="9:22" x14ac:dyDescent="0.25">
      <c r="I162" t="s">
        <v>177</v>
      </c>
      <c r="J162" t="s">
        <v>161</v>
      </c>
      <c r="K162">
        <v>0</v>
      </c>
      <c r="L162" t="s">
        <v>154</v>
      </c>
      <c r="N162" t="s">
        <v>207</v>
      </c>
      <c r="O162" t="s">
        <v>161</v>
      </c>
      <c r="P162">
        <v>2.7013462849475836E-3</v>
      </c>
      <c r="Q162" t="s">
        <v>154</v>
      </c>
      <c r="S162" t="s">
        <v>238</v>
      </c>
      <c r="T162" t="s">
        <v>161</v>
      </c>
      <c r="U162">
        <v>3.1501222132448163E-3</v>
      </c>
      <c r="V162" t="s">
        <v>154</v>
      </c>
    </row>
    <row r="163" spans="9:22" x14ac:dyDescent="0.25">
      <c r="I163" t="s">
        <v>177</v>
      </c>
      <c r="J163" t="s">
        <v>162</v>
      </c>
      <c r="K163">
        <v>0</v>
      </c>
      <c r="L163" t="s">
        <v>154</v>
      </c>
      <c r="N163" t="s">
        <v>207</v>
      </c>
      <c r="O163" t="s">
        <v>162</v>
      </c>
      <c r="P163">
        <v>1.5263384487189845E-2</v>
      </c>
      <c r="Q163" t="s">
        <v>154</v>
      </c>
      <c r="S163" t="s">
        <v>238</v>
      </c>
      <c r="T163" t="s">
        <v>162</v>
      </c>
      <c r="U163">
        <v>1.7478987219919896E-2</v>
      </c>
      <c r="V163" t="s">
        <v>154</v>
      </c>
    </row>
    <row r="164" spans="9:22" x14ac:dyDescent="0.25">
      <c r="I164" t="s">
        <v>177</v>
      </c>
      <c r="J164" t="s">
        <v>163</v>
      </c>
      <c r="K164">
        <v>7.3297608325371508E-2</v>
      </c>
      <c r="L164" t="s">
        <v>154</v>
      </c>
      <c r="N164" t="s">
        <v>207</v>
      </c>
      <c r="O164" t="s">
        <v>163</v>
      </c>
      <c r="P164">
        <v>7.3013797029831767E-2</v>
      </c>
      <c r="Q164" t="s">
        <v>154</v>
      </c>
      <c r="S164" t="s">
        <v>238</v>
      </c>
      <c r="T164" t="s">
        <v>163</v>
      </c>
      <c r="U164">
        <v>9.6877230273669457E-2</v>
      </c>
      <c r="V164" t="s">
        <v>154</v>
      </c>
    </row>
    <row r="165" spans="9:22" x14ac:dyDescent="0.25">
      <c r="I165" t="s">
        <v>177</v>
      </c>
      <c r="J165" t="s">
        <v>164</v>
      </c>
      <c r="K165">
        <v>0</v>
      </c>
      <c r="L165" t="s">
        <v>154</v>
      </c>
      <c r="N165" t="s">
        <v>207</v>
      </c>
      <c r="O165" t="s">
        <v>164</v>
      </c>
      <c r="P165">
        <v>4.8980079140605922E-3</v>
      </c>
      <c r="Q165" t="s">
        <v>154</v>
      </c>
      <c r="S165" t="s">
        <v>238</v>
      </c>
      <c r="T165" t="s">
        <v>164</v>
      </c>
      <c r="U165">
        <v>5.7945631368208029E-3</v>
      </c>
      <c r="V165" t="s">
        <v>154</v>
      </c>
    </row>
    <row r="166" spans="9:22" x14ac:dyDescent="0.25">
      <c r="I166" t="s">
        <v>177</v>
      </c>
      <c r="J166" t="s">
        <v>165</v>
      </c>
      <c r="K166">
        <v>0</v>
      </c>
      <c r="L166" t="s">
        <v>154</v>
      </c>
      <c r="N166" t="s">
        <v>207</v>
      </c>
      <c r="O166" t="s">
        <v>165</v>
      </c>
      <c r="P166">
        <v>3.2091569014523924E-2</v>
      </c>
      <c r="Q166" t="s">
        <v>154</v>
      </c>
      <c r="S166" t="s">
        <v>238</v>
      </c>
      <c r="T166" t="s">
        <v>165</v>
      </c>
      <c r="U166">
        <v>3.3031257473612859E-2</v>
      </c>
      <c r="V166" t="s">
        <v>154</v>
      </c>
    </row>
    <row r="167" spans="9:22" x14ac:dyDescent="0.25">
      <c r="I167" t="s">
        <v>178</v>
      </c>
      <c r="J167" t="s">
        <v>153</v>
      </c>
      <c r="K167">
        <v>9.7816551394650231E-2</v>
      </c>
      <c r="L167" t="s">
        <v>154</v>
      </c>
      <c r="N167" t="s">
        <v>208</v>
      </c>
      <c r="O167" t="s">
        <v>153</v>
      </c>
      <c r="P167">
        <v>8.4951966408741877E-2</v>
      </c>
      <c r="Q167" t="s">
        <v>154</v>
      </c>
      <c r="S167" t="s">
        <v>239</v>
      </c>
      <c r="T167" t="s">
        <v>153</v>
      </c>
      <c r="U167">
        <v>7.5591533079808412E-2</v>
      </c>
      <c r="V167" t="s">
        <v>154</v>
      </c>
    </row>
    <row r="168" spans="9:22" x14ac:dyDescent="0.25">
      <c r="I168" t="s">
        <v>178</v>
      </c>
      <c r="J168" t="s">
        <v>155</v>
      </c>
      <c r="K168">
        <v>4.6311632395283777E-4</v>
      </c>
      <c r="L168" t="s">
        <v>154</v>
      </c>
      <c r="N168" t="s">
        <v>208</v>
      </c>
      <c r="O168" t="s">
        <v>155</v>
      </c>
      <c r="P168">
        <v>6.5126269494850154E-3</v>
      </c>
      <c r="Q168" t="s">
        <v>154</v>
      </c>
      <c r="S168" t="s">
        <v>239</v>
      </c>
      <c r="T168" t="s">
        <v>155</v>
      </c>
      <c r="U168">
        <v>5.0133602523496183E-3</v>
      </c>
      <c r="V168" t="s">
        <v>154</v>
      </c>
    </row>
    <row r="169" spans="9:22" x14ac:dyDescent="0.25">
      <c r="I169" t="s">
        <v>178</v>
      </c>
      <c r="J169" t="s">
        <v>156</v>
      </c>
      <c r="K169">
        <v>0</v>
      </c>
      <c r="L169" t="s">
        <v>154</v>
      </c>
      <c r="N169" t="s">
        <v>208</v>
      </c>
      <c r="O169" t="s">
        <v>156</v>
      </c>
      <c r="P169">
        <v>2.9087457538365325E-2</v>
      </c>
      <c r="Q169" t="s">
        <v>154</v>
      </c>
      <c r="S169" t="s">
        <v>239</v>
      </c>
      <c r="T169" t="s">
        <v>156</v>
      </c>
      <c r="U169">
        <v>2.542563041799175E-2</v>
      </c>
      <c r="V169" t="s">
        <v>154</v>
      </c>
    </row>
    <row r="170" spans="9:22" x14ac:dyDescent="0.25">
      <c r="I170" t="s">
        <v>178</v>
      </c>
      <c r="J170" t="s">
        <v>157</v>
      </c>
      <c r="K170">
        <v>0.70636384549259346</v>
      </c>
      <c r="L170" t="s">
        <v>154</v>
      </c>
      <c r="N170" t="s">
        <v>208</v>
      </c>
      <c r="O170" t="s">
        <v>157</v>
      </c>
      <c r="P170">
        <v>0.4653119425759874</v>
      </c>
      <c r="Q170" t="s">
        <v>154</v>
      </c>
      <c r="S170" t="s">
        <v>239</v>
      </c>
      <c r="T170" t="s">
        <v>157</v>
      </c>
      <c r="U170">
        <v>0.47586478224165574</v>
      </c>
      <c r="V170" t="s">
        <v>154</v>
      </c>
    </row>
    <row r="171" spans="9:22" x14ac:dyDescent="0.25">
      <c r="I171" t="s">
        <v>178</v>
      </c>
      <c r="J171" t="s">
        <v>158</v>
      </c>
      <c r="K171">
        <v>3.8498506190716167E-2</v>
      </c>
      <c r="L171" t="s">
        <v>154</v>
      </c>
      <c r="N171" t="s">
        <v>208</v>
      </c>
      <c r="O171" t="s">
        <v>158</v>
      </c>
      <c r="P171">
        <v>3.6227341243199783E-2</v>
      </c>
      <c r="Q171" t="s">
        <v>154</v>
      </c>
      <c r="S171" t="s">
        <v>239</v>
      </c>
      <c r="T171" t="s">
        <v>158</v>
      </c>
      <c r="U171">
        <v>3.2211620296765865E-2</v>
      </c>
      <c r="V171" t="s">
        <v>154</v>
      </c>
    </row>
    <row r="172" spans="9:22" x14ac:dyDescent="0.25">
      <c r="I172" t="s">
        <v>178</v>
      </c>
      <c r="J172" t="s">
        <v>159</v>
      </c>
      <c r="K172">
        <v>1.9269754762638595E-2</v>
      </c>
      <c r="L172" t="s">
        <v>154</v>
      </c>
      <c r="N172" t="s">
        <v>208</v>
      </c>
      <c r="O172" t="s">
        <v>159</v>
      </c>
      <c r="P172">
        <v>0.14877415029791702</v>
      </c>
      <c r="Q172" t="s">
        <v>154</v>
      </c>
      <c r="S172" t="s">
        <v>239</v>
      </c>
      <c r="T172" t="s">
        <v>159</v>
      </c>
      <c r="U172">
        <v>0.16940191251039632</v>
      </c>
      <c r="V172" t="s">
        <v>154</v>
      </c>
    </row>
    <row r="173" spans="9:22" x14ac:dyDescent="0.25">
      <c r="I173" t="s">
        <v>178</v>
      </c>
      <c r="J173" t="s">
        <v>160</v>
      </c>
      <c r="K173">
        <v>6.3482164183909562E-2</v>
      </c>
      <c r="L173" t="s">
        <v>154</v>
      </c>
      <c r="N173" t="s">
        <v>208</v>
      </c>
      <c r="O173" t="s">
        <v>160</v>
      </c>
      <c r="P173">
        <v>4.1308142840229232E-2</v>
      </c>
      <c r="Q173" t="s">
        <v>154</v>
      </c>
      <c r="S173" t="s">
        <v>239</v>
      </c>
      <c r="T173" t="s">
        <v>160</v>
      </c>
      <c r="U173">
        <v>4.801351442495079E-2</v>
      </c>
      <c r="V173" t="s">
        <v>154</v>
      </c>
    </row>
    <row r="174" spans="9:22" x14ac:dyDescent="0.25">
      <c r="I174" t="s">
        <v>178</v>
      </c>
      <c r="J174" t="s">
        <v>161</v>
      </c>
      <c r="K174">
        <v>0</v>
      </c>
      <c r="L174" t="s">
        <v>154</v>
      </c>
      <c r="N174" t="s">
        <v>208</v>
      </c>
      <c r="O174" t="s">
        <v>161</v>
      </c>
      <c r="P174">
        <v>4.2839611913678549E-3</v>
      </c>
      <c r="Q174" t="s">
        <v>154</v>
      </c>
      <c r="S174" t="s">
        <v>239</v>
      </c>
      <c r="T174" t="s">
        <v>161</v>
      </c>
      <c r="U174">
        <v>2.8924086212771269E-3</v>
      </c>
      <c r="V174" t="s">
        <v>154</v>
      </c>
    </row>
    <row r="175" spans="9:22" x14ac:dyDescent="0.25">
      <c r="I175" t="s">
        <v>178</v>
      </c>
      <c r="J175" t="s">
        <v>162</v>
      </c>
      <c r="K175">
        <v>0</v>
      </c>
      <c r="L175" t="s">
        <v>154</v>
      </c>
      <c r="N175" t="s">
        <v>208</v>
      </c>
      <c r="O175" t="s">
        <v>162</v>
      </c>
      <c r="P175">
        <v>1.5508220598519848E-2</v>
      </c>
      <c r="Q175" t="s">
        <v>154</v>
      </c>
      <c r="S175" t="s">
        <v>239</v>
      </c>
      <c r="T175" t="s">
        <v>162</v>
      </c>
      <c r="U175">
        <v>1.7238350071411494E-2</v>
      </c>
      <c r="V175" t="s">
        <v>154</v>
      </c>
    </row>
    <row r="176" spans="9:22" x14ac:dyDescent="0.25">
      <c r="I176" t="s">
        <v>178</v>
      </c>
      <c r="J176" t="s">
        <v>163</v>
      </c>
      <c r="K176">
        <v>7.4106061651541141E-2</v>
      </c>
      <c r="L176" t="s">
        <v>154</v>
      </c>
      <c r="N176" t="s">
        <v>208</v>
      </c>
      <c r="O176" t="s">
        <v>163</v>
      </c>
      <c r="P176">
        <v>0.11642588313615179</v>
      </c>
      <c r="Q176" t="s">
        <v>154</v>
      </c>
      <c r="S176" t="s">
        <v>239</v>
      </c>
      <c r="T176" t="s">
        <v>163</v>
      </c>
      <c r="U176">
        <v>0.10651615452763875</v>
      </c>
      <c r="V176" t="s">
        <v>154</v>
      </c>
    </row>
    <row r="177" spans="9:22" x14ac:dyDescent="0.25">
      <c r="I177" t="s">
        <v>178</v>
      </c>
      <c r="J177" t="s">
        <v>164</v>
      </c>
      <c r="K177">
        <v>0</v>
      </c>
      <c r="L177" t="s">
        <v>154</v>
      </c>
      <c r="N177" t="s">
        <v>208</v>
      </c>
      <c r="O177" t="s">
        <v>164</v>
      </c>
      <c r="P177">
        <v>9.3734376661200776E-3</v>
      </c>
      <c r="Q177" t="s">
        <v>154</v>
      </c>
      <c r="S177" t="s">
        <v>239</v>
      </c>
      <c r="T177" t="s">
        <v>164</v>
      </c>
      <c r="U177">
        <v>6.172647946665266E-3</v>
      </c>
      <c r="V177" t="s">
        <v>154</v>
      </c>
    </row>
    <row r="178" spans="9:22" x14ac:dyDescent="0.25">
      <c r="I178" t="s">
        <v>178</v>
      </c>
      <c r="J178" t="s">
        <v>165</v>
      </c>
      <c r="K178">
        <v>0</v>
      </c>
      <c r="L178" t="s">
        <v>154</v>
      </c>
      <c r="N178" t="s">
        <v>208</v>
      </c>
      <c r="O178" t="s">
        <v>165</v>
      </c>
      <c r="P178">
        <v>4.2234869553918725E-2</v>
      </c>
      <c r="Q178" t="s">
        <v>154</v>
      </c>
      <c r="S178" t="s">
        <v>239</v>
      </c>
      <c r="T178" t="s">
        <v>165</v>
      </c>
      <c r="U178">
        <v>3.5658085609084282E-2</v>
      </c>
      <c r="V178" t="s">
        <v>154</v>
      </c>
    </row>
    <row r="179" spans="9:22" x14ac:dyDescent="0.25">
      <c r="I179" t="s">
        <v>179</v>
      </c>
      <c r="J179" t="s">
        <v>153</v>
      </c>
      <c r="K179">
        <v>6.1753543533268632E-2</v>
      </c>
      <c r="L179" t="s">
        <v>154</v>
      </c>
      <c r="N179" t="s">
        <v>209</v>
      </c>
      <c r="O179" t="s">
        <v>153</v>
      </c>
      <c r="P179">
        <v>8.3781921006740007E-2</v>
      </c>
      <c r="Q179" t="s">
        <v>154</v>
      </c>
      <c r="S179" t="s">
        <v>240</v>
      </c>
      <c r="T179" t="s">
        <v>153</v>
      </c>
      <c r="U179">
        <v>8.2620644988807695E-2</v>
      </c>
      <c r="V179" t="s">
        <v>154</v>
      </c>
    </row>
    <row r="180" spans="9:22" x14ac:dyDescent="0.25">
      <c r="I180" t="s">
        <v>179</v>
      </c>
      <c r="J180" t="s">
        <v>155</v>
      </c>
      <c r="K180">
        <v>3.7209756138212427E-4</v>
      </c>
      <c r="L180" t="s">
        <v>154</v>
      </c>
      <c r="N180" t="s">
        <v>209</v>
      </c>
      <c r="O180" t="s">
        <v>155</v>
      </c>
      <c r="P180">
        <v>5.0988622614550052E-3</v>
      </c>
      <c r="Q180" t="s">
        <v>154</v>
      </c>
      <c r="S180" t="s">
        <v>240</v>
      </c>
      <c r="T180" t="s">
        <v>155</v>
      </c>
      <c r="U180">
        <v>4.9735183973304521E-3</v>
      </c>
      <c r="V180" t="s">
        <v>154</v>
      </c>
    </row>
    <row r="181" spans="9:22" x14ac:dyDescent="0.25">
      <c r="I181" t="s">
        <v>179</v>
      </c>
      <c r="J181" t="s">
        <v>156</v>
      </c>
      <c r="K181">
        <v>0</v>
      </c>
      <c r="L181" t="s">
        <v>154</v>
      </c>
      <c r="N181" t="s">
        <v>209</v>
      </c>
      <c r="O181" t="s">
        <v>156</v>
      </c>
      <c r="P181">
        <v>2.8953436932315234E-2</v>
      </c>
      <c r="Q181" t="s">
        <v>154</v>
      </c>
      <c r="S181" t="s">
        <v>240</v>
      </c>
      <c r="T181" t="s">
        <v>156</v>
      </c>
      <c r="U181">
        <v>2.7890848167532799E-2</v>
      </c>
      <c r="V181" t="s">
        <v>154</v>
      </c>
    </row>
    <row r="182" spans="9:22" x14ac:dyDescent="0.25">
      <c r="I182" t="s">
        <v>179</v>
      </c>
      <c r="J182" t="s">
        <v>157</v>
      </c>
      <c r="K182">
        <v>0.76114424194742636</v>
      </c>
      <c r="L182" t="s">
        <v>154</v>
      </c>
      <c r="N182" t="s">
        <v>209</v>
      </c>
      <c r="O182" t="s">
        <v>157</v>
      </c>
      <c r="P182">
        <v>0.46599146321326018</v>
      </c>
      <c r="Q182" t="s">
        <v>154</v>
      </c>
      <c r="S182" t="s">
        <v>240</v>
      </c>
      <c r="T182" t="s">
        <v>157</v>
      </c>
      <c r="U182">
        <v>0.47187813323065886</v>
      </c>
      <c r="V182" t="s">
        <v>154</v>
      </c>
    </row>
    <row r="183" spans="9:22" x14ac:dyDescent="0.25">
      <c r="I183" t="s">
        <v>179</v>
      </c>
      <c r="J183" t="s">
        <v>158</v>
      </c>
      <c r="K183">
        <v>4.477874460582458E-2</v>
      </c>
      <c r="L183" t="s">
        <v>154</v>
      </c>
      <c r="N183" t="s">
        <v>209</v>
      </c>
      <c r="O183" t="s">
        <v>158</v>
      </c>
      <c r="P183">
        <v>3.1822694213019503E-2</v>
      </c>
      <c r="Q183" t="s">
        <v>154</v>
      </c>
      <c r="S183" t="s">
        <v>240</v>
      </c>
      <c r="T183" t="s">
        <v>158</v>
      </c>
      <c r="U183">
        <v>2.9704268188353873E-2</v>
      </c>
      <c r="V183" t="s">
        <v>154</v>
      </c>
    </row>
    <row r="184" spans="9:22" x14ac:dyDescent="0.25">
      <c r="I184" t="s">
        <v>179</v>
      </c>
      <c r="J184" t="s">
        <v>159</v>
      </c>
      <c r="K184">
        <v>2.8165647011151207E-2</v>
      </c>
      <c r="L184" t="s">
        <v>154</v>
      </c>
      <c r="N184" t="s">
        <v>209</v>
      </c>
      <c r="O184" t="s">
        <v>159</v>
      </c>
      <c r="P184">
        <v>0.17173815132175232</v>
      </c>
      <c r="Q184" t="s">
        <v>154</v>
      </c>
      <c r="S184" t="s">
        <v>240</v>
      </c>
      <c r="T184" t="s">
        <v>159</v>
      </c>
      <c r="U184">
        <v>0.17117102407134835</v>
      </c>
      <c r="V184" t="s">
        <v>154</v>
      </c>
    </row>
    <row r="185" spans="9:22" x14ac:dyDescent="0.25">
      <c r="I185" t="s">
        <v>179</v>
      </c>
      <c r="J185" t="s">
        <v>160</v>
      </c>
      <c r="K185">
        <v>4.799327008480777E-2</v>
      </c>
      <c r="L185" t="s">
        <v>154</v>
      </c>
      <c r="N185" t="s">
        <v>209</v>
      </c>
      <c r="O185" t="s">
        <v>160</v>
      </c>
      <c r="P185">
        <v>4.8515770798007743E-2</v>
      </c>
      <c r="Q185" t="s">
        <v>154</v>
      </c>
      <c r="S185" t="s">
        <v>240</v>
      </c>
      <c r="T185" t="s">
        <v>160</v>
      </c>
      <c r="U185">
        <v>4.9685965871238968E-2</v>
      </c>
      <c r="V185" t="s">
        <v>154</v>
      </c>
    </row>
    <row r="186" spans="9:22" x14ac:dyDescent="0.25">
      <c r="I186" t="s">
        <v>179</v>
      </c>
      <c r="J186" t="s">
        <v>161</v>
      </c>
      <c r="K186">
        <v>0</v>
      </c>
      <c r="L186" t="s">
        <v>154</v>
      </c>
      <c r="N186" t="s">
        <v>209</v>
      </c>
      <c r="O186" t="s">
        <v>161</v>
      </c>
      <c r="P186">
        <v>3.5090709563624298E-3</v>
      </c>
      <c r="Q186" t="s">
        <v>154</v>
      </c>
      <c r="S186" t="s">
        <v>240</v>
      </c>
      <c r="T186" t="s">
        <v>161</v>
      </c>
      <c r="U186">
        <v>2.9782960519817835E-3</v>
      </c>
      <c r="V186" t="s">
        <v>154</v>
      </c>
    </row>
    <row r="187" spans="9:22" x14ac:dyDescent="0.25">
      <c r="I187" t="s">
        <v>179</v>
      </c>
      <c r="J187" t="s">
        <v>162</v>
      </c>
      <c r="K187">
        <v>0</v>
      </c>
      <c r="L187" t="s">
        <v>154</v>
      </c>
      <c r="N187" t="s">
        <v>209</v>
      </c>
      <c r="O187" t="s">
        <v>162</v>
      </c>
      <c r="P187">
        <v>1.7073781069625364E-2</v>
      </c>
      <c r="Q187" t="s">
        <v>154</v>
      </c>
      <c r="S187" t="s">
        <v>240</v>
      </c>
      <c r="T187" t="s">
        <v>162</v>
      </c>
      <c r="U187">
        <v>1.6839650103451557E-2</v>
      </c>
      <c r="V187" t="s">
        <v>154</v>
      </c>
    </row>
    <row r="188" spans="9:22" x14ac:dyDescent="0.25">
      <c r="I188" t="s">
        <v>179</v>
      </c>
      <c r="J188" t="s">
        <v>163</v>
      </c>
      <c r="K188">
        <v>5.5792455256140863E-2</v>
      </c>
      <c r="L188" t="s">
        <v>154</v>
      </c>
      <c r="N188" t="s">
        <v>209</v>
      </c>
      <c r="O188" t="s">
        <v>163</v>
      </c>
      <c r="P188">
        <v>0.10070032065023565</v>
      </c>
      <c r="Q188" t="s">
        <v>154</v>
      </c>
      <c r="S188" t="s">
        <v>240</v>
      </c>
      <c r="T188" t="s">
        <v>163</v>
      </c>
      <c r="U188">
        <v>0.10100913689202791</v>
      </c>
      <c r="V188" t="s">
        <v>154</v>
      </c>
    </row>
    <row r="189" spans="9:22" x14ac:dyDescent="0.25">
      <c r="I189" t="s">
        <v>179</v>
      </c>
      <c r="J189" t="s">
        <v>164</v>
      </c>
      <c r="K189">
        <v>0</v>
      </c>
      <c r="L189" t="s">
        <v>154</v>
      </c>
      <c r="N189" t="s">
        <v>209</v>
      </c>
      <c r="O189" t="s">
        <v>164</v>
      </c>
      <c r="P189">
        <v>6.6469115761394679E-3</v>
      </c>
      <c r="Q189" t="s">
        <v>154</v>
      </c>
      <c r="S189" t="s">
        <v>240</v>
      </c>
      <c r="T189" t="s">
        <v>164</v>
      </c>
      <c r="U189">
        <v>5.9583933918486839E-3</v>
      </c>
      <c r="V189" t="s">
        <v>154</v>
      </c>
    </row>
    <row r="190" spans="9:22" x14ac:dyDescent="0.25">
      <c r="I190" t="s">
        <v>179</v>
      </c>
      <c r="J190" t="s">
        <v>165</v>
      </c>
      <c r="K190">
        <v>0</v>
      </c>
      <c r="L190" t="s">
        <v>154</v>
      </c>
      <c r="N190" t="s">
        <v>209</v>
      </c>
      <c r="O190" t="s">
        <v>165</v>
      </c>
      <c r="P190">
        <v>3.6167616001087123E-2</v>
      </c>
      <c r="Q190" t="s">
        <v>154</v>
      </c>
      <c r="S190" t="s">
        <v>240</v>
      </c>
      <c r="T190" t="s">
        <v>165</v>
      </c>
      <c r="U190">
        <v>3.5290120645420829E-2</v>
      </c>
      <c r="V190" t="s">
        <v>154</v>
      </c>
    </row>
    <row r="191" spans="9:22" x14ac:dyDescent="0.25">
      <c r="I191" t="s">
        <v>180</v>
      </c>
      <c r="J191" t="s">
        <v>153</v>
      </c>
      <c r="K191">
        <v>5.9592070066446859E-2</v>
      </c>
      <c r="L191" t="s">
        <v>154</v>
      </c>
      <c r="N191" t="s">
        <v>210</v>
      </c>
      <c r="O191" t="s">
        <v>153</v>
      </c>
      <c r="P191">
        <v>7.9673023152578015E-2</v>
      </c>
      <c r="Q191" t="s">
        <v>154</v>
      </c>
      <c r="S191" t="s">
        <v>241</v>
      </c>
      <c r="T191" t="s">
        <v>153</v>
      </c>
      <c r="U191">
        <v>9.8594877026013147E-2</v>
      </c>
      <c r="V191" t="s">
        <v>154</v>
      </c>
    </row>
    <row r="192" spans="9:22" x14ac:dyDescent="0.25">
      <c r="I192" t="s">
        <v>180</v>
      </c>
      <c r="J192" t="s">
        <v>155</v>
      </c>
      <c r="K192">
        <v>2.6560430327352702E-4</v>
      </c>
      <c r="L192" t="s">
        <v>154</v>
      </c>
      <c r="N192" t="s">
        <v>210</v>
      </c>
      <c r="O192" t="s">
        <v>155</v>
      </c>
      <c r="P192">
        <v>5.7804104872022843E-3</v>
      </c>
      <c r="Q192" t="s">
        <v>154</v>
      </c>
      <c r="S192" t="s">
        <v>241</v>
      </c>
      <c r="T192" t="s">
        <v>155</v>
      </c>
      <c r="U192">
        <v>5.3815426811298899E-3</v>
      </c>
      <c r="V192" t="s">
        <v>154</v>
      </c>
    </row>
    <row r="193" spans="9:22" x14ac:dyDescent="0.25">
      <c r="I193" t="s">
        <v>180</v>
      </c>
      <c r="J193" t="s">
        <v>156</v>
      </c>
      <c r="K193">
        <v>0</v>
      </c>
      <c r="L193" t="s">
        <v>154</v>
      </c>
      <c r="N193" t="s">
        <v>210</v>
      </c>
      <c r="O193" t="s">
        <v>156</v>
      </c>
      <c r="P193">
        <v>3.1807156739092561E-2</v>
      </c>
      <c r="Q193" t="s">
        <v>154</v>
      </c>
      <c r="S193" t="s">
        <v>241</v>
      </c>
      <c r="T193" t="s">
        <v>156</v>
      </c>
      <c r="U193">
        <v>3.2426763883606061E-2</v>
      </c>
      <c r="V193" t="s">
        <v>154</v>
      </c>
    </row>
    <row r="194" spans="9:22" x14ac:dyDescent="0.25">
      <c r="I194" t="s">
        <v>180</v>
      </c>
      <c r="J194" t="s">
        <v>157</v>
      </c>
      <c r="K194">
        <v>0.76698440942606305</v>
      </c>
      <c r="L194" t="s">
        <v>154</v>
      </c>
      <c r="N194" t="s">
        <v>210</v>
      </c>
      <c r="O194" t="s">
        <v>157</v>
      </c>
      <c r="P194">
        <v>0.47114140030067597</v>
      </c>
      <c r="Q194" t="s">
        <v>154</v>
      </c>
      <c r="S194" t="s">
        <v>241</v>
      </c>
      <c r="T194" t="s">
        <v>157</v>
      </c>
      <c r="U194">
        <v>0.44408688448177036</v>
      </c>
      <c r="V194" t="s">
        <v>154</v>
      </c>
    </row>
    <row r="195" spans="9:22" x14ac:dyDescent="0.25">
      <c r="I195" t="s">
        <v>180</v>
      </c>
      <c r="J195" t="s">
        <v>158</v>
      </c>
      <c r="K195">
        <v>4.4454033248605571E-2</v>
      </c>
      <c r="L195" t="s">
        <v>154</v>
      </c>
      <c r="N195" t="s">
        <v>210</v>
      </c>
      <c r="O195" t="s">
        <v>158</v>
      </c>
      <c r="P195">
        <v>2.9005674473256349E-2</v>
      </c>
      <c r="Q195" t="s">
        <v>154</v>
      </c>
      <c r="S195" t="s">
        <v>241</v>
      </c>
      <c r="T195" t="s">
        <v>158</v>
      </c>
      <c r="U195">
        <v>2.7657510997176237E-2</v>
      </c>
      <c r="V195" t="s">
        <v>154</v>
      </c>
    </row>
    <row r="196" spans="9:22" x14ac:dyDescent="0.25">
      <c r="I196" t="s">
        <v>180</v>
      </c>
      <c r="J196" t="s">
        <v>159</v>
      </c>
      <c r="K196">
        <v>2.7473050457005471E-2</v>
      </c>
      <c r="L196" t="s">
        <v>154</v>
      </c>
      <c r="N196" t="s">
        <v>210</v>
      </c>
      <c r="O196" t="s">
        <v>159</v>
      </c>
      <c r="P196">
        <v>0.15328656730406623</v>
      </c>
      <c r="Q196" t="s">
        <v>154</v>
      </c>
      <c r="S196" t="s">
        <v>241</v>
      </c>
      <c r="T196" t="s">
        <v>159</v>
      </c>
      <c r="U196">
        <v>0.15665613218185467</v>
      </c>
      <c r="V196" t="s">
        <v>154</v>
      </c>
    </row>
    <row r="197" spans="9:22" x14ac:dyDescent="0.25">
      <c r="I197" t="s">
        <v>180</v>
      </c>
      <c r="J197" t="s">
        <v>160</v>
      </c>
      <c r="K197">
        <v>4.8238029867757833E-2</v>
      </c>
      <c r="L197" t="s">
        <v>154</v>
      </c>
      <c r="N197" t="s">
        <v>210</v>
      </c>
      <c r="O197" t="s">
        <v>160</v>
      </c>
      <c r="P197">
        <v>5.3392560252264465E-2</v>
      </c>
      <c r="Q197" t="s">
        <v>154</v>
      </c>
      <c r="S197" t="s">
        <v>241</v>
      </c>
      <c r="T197" t="s">
        <v>160</v>
      </c>
      <c r="U197">
        <v>5.4397661064632591E-2</v>
      </c>
      <c r="V197" t="s">
        <v>154</v>
      </c>
    </row>
    <row r="198" spans="9:22" x14ac:dyDescent="0.25">
      <c r="I198" t="s">
        <v>180</v>
      </c>
      <c r="J198" t="s">
        <v>161</v>
      </c>
      <c r="K198">
        <v>0</v>
      </c>
      <c r="L198" t="s">
        <v>154</v>
      </c>
      <c r="N198" t="s">
        <v>210</v>
      </c>
      <c r="O198" t="s">
        <v>161</v>
      </c>
      <c r="P198">
        <v>3.2612724054620111E-3</v>
      </c>
      <c r="Q198" t="s">
        <v>154</v>
      </c>
      <c r="S198" t="s">
        <v>241</v>
      </c>
      <c r="T198" t="s">
        <v>161</v>
      </c>
      <c r="U198">
        <v>3.4919820466102138E-3</v>
      </c>
      <c r="V198" t="s">
        <v>154</v>
      </c>
    </row>
    <row r="199" spans="9:22" x14ac:dyDescent="0.25">
      <c r="I199" t="s">
        <v>180</v>
      </c>
      <c r="J199" t="s">
        <v>162</v>
      </c>
      <c r="K199">
        <v>0</v>
      </c>
      <c r="L199" t="s">
        <v>154</v>
      </c>
      <c r="N199" t="s">
        <v>210</v>
      </c>
      <c r="O199" t="s">
        <v>162</v>
      </c>
      <c r="P199">
        <v>1.8526474481904903E-2</v>
      </c>
      <c r="Q199" t="s">
        <v>154</v>
      </c>
      <c r="S199" t="s">
        <v>241</v>
      </c>
      <c r="T199" t="s">
        <v>162</v>
      </c>
      <c r="U199">
        <v>1.9631178753790009E-2</v>
      </c>
      <c r="V199" t="s">
        <v>154</v>
      </c>
    </row>
    <row r="200" spans="9:22" x14ac:dyDescent="0.25">
      <c r="I200" t="s">
        <v>180</v>
      </c>
      <c r="J200" t="s">
        <v>163</v>
      </c>
      <c r="K200">
        <v>5.2992802630848948E-2</v>
      </c>
      <c r="L200" t="s">
        <v>154</v>
      </c>
      <c r="N200" t="s">
        <v>210</v>
      </c>
      <c r="O200" t="s">
        <v>163</v>
      </c>
      <c r="P200">
        <v>0.11094977549164306</v>
      </c>
      <c r="Q200" t="s">
        <v>154</v>
      </c>
      <c r="S200" t="s">
        <v>241</v>
      </c>
      <c r="T200" t="s">
        <v>163</v>
      </c>
      <c r="U200">
        <v>0.11017461170447529</v>
      </c>
      <c r="V200" t="s">
        <v>154</v>
      </c>
    </row>
    <row r="201" spans="9:22" x14ac:dyDescent="0.25">
      <c r="I201" t="s">
        <v>180</v>
      </c>
      <c r="J201" t="s">
        <v>164</v>
      </c>
      <c r="K201">
        <v>0</v>
      </c>
      <c r="L201" t="s">
        <v>154</v>
      </c>
      <c r="N201" t="s">
        <v>210</v>
      </c>
      <c r="O201" t="s">
        <v>164</v>
      </c>
      <c r="P201">
        <v>7.0272804256704454E-3</v>
      </c>
      <c r="Q201" t="s">
        <v>154</v>
      </c>
      <c r="S201" t="s">
        <v>241</v>
      </c>
      <c r="T201" t="s">
        <v>164</v>
      </c>
      <c r="U201">
        <v>6.5844598267144625E-3</v>
      </c>
      <c r="V201" t="s">
        <v>154</v>
      </c>
    </row>
    <row r="202" spans="9:22" x14ac:dyDescent="0.25">
      <c r="I202" t="s">
        <v>180</v>
      </c>
      <c r="J202" t="s">
        <v>165</v>
      </c>
      <c r="K202">
        <v>0</v>
      </c>
      <c r="L202" t="s">
        <v>154</v>
      </c>
      <c r="N202" t="s">
        <v>210</v>
      </c>
      <c r="O202" t="s">
        <v>165</v>
      </c>
      <c r="P202">
        <v>3.6148404486179488E-2</v>
      </c>
      <c r="Q202" t="s">
        <v>154</v>
      </c>
      <c r="S202" t="s">
        <v>241</v>
      </c>
      <c r="T202" t="s">
        <v>165</v>
      </c>
      <c r="U202">
        <v>4.091639535223001E-2</v>
      </c>
      <c r="V202" t="s">
        <v>154</v>
      </c>
    </row>
    <row r="203" spans="9:22" x14ac:dyDescent="0.25">
      <c r="I203" t="s">
        <v>181</v>
      </c>
      <c r="J203" t="s">
        <v>153</v>
      </c>
      <c r="K203">
        <v>6.2940356862035224E-2</v>
      </c>
      <c r="L203" t="s">
        <v>154</v>
      </c>
      <c r="N203" t="s">
        <v>211</v>
      </c>
      <c r="O203" t="s">
        <v>153</v>
      </c>
      <c r="P203">
        <v>0.10042474957632778</v>
      </c>
      <c r="Q203" t="s">
        <v>154</v>
      </c>
      <c r="S203" t="s">
        <v>242</v>
      </c>
      <c r="T203" t="s">
        <v>153</v>
      </c>
      <c r="U203">
        <v>9.522765123194582E-2</v>
      </c>
      <c r="V203" t="s">
        <v>154</v>
      </c>
    </row>
    <row r="204" spans="9:22" x14ac:dyDescent="0.25">
      <c r="I204" t="s">
        <v>181</v>
      </c>
      <c r="J204" t="s">
        <v>155</v>
      </c>
      <c r="K204">
        <v>8.4650104061164712E-4</v>
      </c>
      <c r="L204" t="s">
        <v>154</v>
      </c>
      <c r="N204" t="s">
        <v>211</v>
      </c>
      <c r="O204" t="s">
        <v>155</v>
      </c>
      <c r="P204">
        <v>5.5369180403930327E-3</v>
      </c>
      <c r="Q204" t="s">
        <v>154</v>
      </c>
      <c r="S204" t="s">
        <v>242</v>
      </c>
      <c r="T204" t="s">
        <v>155</v>
      </c>
      <c r="U204">
        <v>6.092429292295698E-3</v>
      </c>
      <c r="V204" t="s">
        <v>154</v>
      </c>
    </row>
    <row r="205" spans="9:22" x14ac:dyDescent="0.25">
      <c r="I205" t="s">
        <v>181</v>
      </c>
      <c r="J205" t="s">
        <v>156</v>
      </c>
      <c r="K205">
        <v>0</v>
      </c>
      <c r="L205" t="s">
        <v>154</v>
      </c>
      <c r="N205" t="s">
        <v>211</v>
      </c>
      <c r="O205" t="s">
        <v>156</v>
      </c>
      <c r="P205">
        <v>3.5107735215589297E-2</v>
      </c>
      <c r="Q205" t="s">
        <v>154</v>
      </c>
      <c r="S205" t="s">
        <v>242</v>
      </c>
      <c r="T205" t="s">
        <v>156</v>
      </c>
      <c r="U205">
        <v>3.5003479207857832E-2</v>
      </c>
      <c r="V205" t="s">
        <v>154</v>
      </c>
    </row>
    <row r="206" spans="9:22" x14ac:dyDescent="0.25">
      <c r="I206" t="s">
        <v>181</v>
      </c>
      <c r="J206" t="s">
        <v>157</v>
      </c>
      <c r="K206">
        <v>0.74825235985433602</v>
      </c>
      <c r="L206" t="s">
        <v>154</v>
      </c>
      <c r="N206" t="s">
        <v>211</v>
      </c>
      <c r="O206" t="s">
        <v>157</v>
      </c>
      <c r="P206">
        <v>0.44598737546193939</v>
      </c>
      <c r="Q206" t="s">
        <v>154</v>
      </c>
      <c r="S206" t="s">
        <v>242</v>
      </c>
      <c r="T206" t="s">
        <v>157</v>
      </c>
      <c r="U206">
        <v>0.45336708115196217</v>
      </c>
      <c r="V206" t="s">
        <v>154</v>
      </c>
    </row>
    <row r="207" spans="9:22" x14ac:dyDescent="0.25">
      <c r="I207" t="s">
        <v>181</v>
      </c>
      <c r="J207" t="s">
        <v>158</v>
      </c>
      <c r="K207">
        <v>4.6526690454560218E-2</v>
      </c>
      <c r="L207" t="s">
        <v>154</v>
      </c>
      <c r="N207" t="s">
        <v>211</v>
      </c>
      <c r="O207" t="s">
        <v>158</v>
      </c>
      <c r="P207">
        <v>2.7708298491584217E-2</v>
      </c>
      <c r="Q207" t="s">
        <v>154</v>
      </c>
      <c r="S207" t="s">
        <v>242</v>
      </c>
      <c r="T207" t="s">
        <v>158</v>
      </c>
      <c r="U207">
        <v>2.9162473291969145E-2</v>
      </c>
      <c r="V207" t="s">
        <v>154</v>
      </c>
    </row>
    <row r="208" spans="9:22" x14ac:dyDescent="0.25">
      <c r="I208" t="s">
        <v>181</v>
      </c>
      <c r="J208" t="s">
        <v>159</v>
      </c>
      <c r="K208">
        <v>2.9537770075804999E-2</v>
      </c>
      <c r="L208" t="s">
        <v>154</v>
      </c>
      <c r="N208" t="s">
        <v>211</v>
      </c>
      <c r="O208" t="s">
        <v>159</v>
      </c>
      <c r="P208">
        <v>0.14003406272198812</v>
      </c>
      <c r="Q208" t="s">
        <v>154</v>
      </c>
      <c r="S208" t="s">
        <v>242</v>
      </c>
      <c r="T208" t="s">
        <v>159</v>
      </c>
      <c r="U208">
        <v>0.16406382807927231</v>
      </c>
      <c r="V208" t="s">
        <v>154</v>
      </c>
    </row>
    <row r="209" spans="9:22" x14ac:dyDescent="0.25">
      <c r="I209" t="s">
        <v>181</v>
      </c>
      <c r="J209" t="s">
        <v>160</v>
      </c>
      <c r="K209">
        <v>5.3280534927787108E-2</v>
      </c>
      <c r="L209" t="s">
        <v>154</v>
      </c>
      <c r="N209" t="s">
        <v>211</v>
      </c>
      <c r="O209" t="s">
        <v>160</v>
      </c>
      <c r="P209">
        <v>5.6862677973596253E-2</v>
      </c>
      <c r="Q209" t="s">
        <v>154</v>
      </c>
      <c r="S209" t="s">
        <v>242</v>
      </c>
      <c r="T209" t="s">
        <v>160</v>
      </c>
      <c r="U209">
        <v>5.4052125863045017E-2</v>
      </c>
      <c r="V209" t="s">
        <v>154</v>
      </c>
    </row>
    <row r="210" spans="9:22" x14ac:dyDescent="0.25">
      <c r="I210" t="s">
        <v>181</v>
      </c>
      <c r="J210" t="s">
        <v>161</v>
      </c>
      <c r="K210">
        <v>0</v>
      </c>
      <c r="L210" t="s">
        <v>154</v>
      </c>
      <c r="N210" t="s">
        <v>211</v>
      </c>
      <c r="O210" t="s">
        <v>161</v>
      </c>
      <c r="P210">
        <v>3.3644105274934768E-3</v>
      </c>
      <c r="Q210" t="s">
        <v>154</v>
      </c>
      <c r="S210" t="s">
        <v>242</v>
      </c>
      <c r="T210" t="s">
        <v>161</v>
      </c>
      <c r="U210">
        <v>3.4466816442437495E-3</v>
      </c>
      <c r="V210" t="s">
        <v>154</v>
      </c>
    </row>
    <row r="211" spans="9:22" x14ac:dyDescent="0.25">
      <c r="I211" t="s">
        <v>181</v>
      </c>
      <c r="J211" t="s">
        <v>162</v>
      </c>
      <c r="K211">
        <v>0</v>
      </c>
      <c r="L211" t="s">
        <v>154</v>
      </c>
      <c r="N211" t="s">
        <v>211</v>
      </c>
      <c r="O211" t="s">
        <v>162</v>
      </c>
      <c r="P211">
        <v>1.9467947033563512E-2</v>
      </c>
      <c r="Q211" t="s">
        <v>154</v>
      </c>
      <c r="S211" t="s">
        <v>242</v>
      </c>
      <c r="T211" t="s">
        <v>162</v>
      </c>
      <c r="U211">
        <v>1.9978541056592636E-2</v>
      </c>
      <c r="V211" t="s">
        <v>154</v>
      </c>
    </row>
    <row r="212" spans="9:22" x14ac:dyDescent="0.25">
      <c r="I212" t="s">
        <v>181</v>
      </c>
      <c r="J212" t="s">
        <v>163</v>
      </c>
      <c r="K212">
        <v>5.8615786784867757E-2</v>
      </c>
      <c r="L212" t="s">
        <v>154</v>
      </c>
      <c r="N212" t="s">
        <v>211</v>
      </c>
      <c r="O212" t="s">
        <v>163</v>
      </c>
      <c r="P212">
        <v>0.11381941985129745</v>
      </c>
      <c r="Q212" t="s">
        <v>154</v>
      </c>
      <c r="S212" t="s">
        <v>242</v>
      </c>
      <c r="T212" t="s">
        <v>163</v>
      </c>
      <c r="U212">
        <v>9.8976475850516735E-2</v>
      </c>
      <c r="V212" t="s">
        <v>154</v>
      </c>
    </row>
    <row r="213" spans="9:22" x14ac:dyDescent="0.25">
      <c r="I213" t="s">
        <v>181</v>
      </c>
      <c r="J213" t="s">
        <v>164</v>
      </c>
      <c r="K213">
        <v>0</v>
      </c>
      <c r="L213" t="s">
        <v>154</v>
      </c>
      <c r="N213" t="s">
        <v>211</v>
      </c>
      <c r="O213" t="s">
        <v>164</v>
      </c>
      <c r="P213">
        <v>7.7738969940472054E-3</v>
      </c>
      <c r="Q213" t="s">
        <v>154</v>
      </c>
      <c r="S213" t="s">
        <v>242</v>
      </c>
      <c r="T213" t="s">
        <v>164</v>
      </c>
      <c r="U213">
        <v>5.7838793556140326E-3</v>
      </c>
      <c r="V213" t="s">
        <v>154</v>
      </c>
    </row>
    <row r="214" spans="9:22" x14ac:dyDescent="0.25">
      <c r="I214" t="s">
        <v>181</v>
      </c>
      <c r="J214" t="s">
        <v>165</v>
      </c>
      <c r="K214">
        <v>0</v>
      </c>
      <c r="L214" t="s">
        <v>154</v>
      </c>
      <c r="N214" t="s">
        <v>211</v>
      </c>
      <c r="O214" t="s">
        <v>165</v>
      </c>
      <c r="P214">
        <v>4.3912508112175584E-2</v>
      </c>
      <c r="Q214" t="s">
        <v>154</v>
      </c>
      <c r="S214" t="s">
        <v>242</v>
      </c>
      <c r="T214" t="s">
        <v>165</v>
      </c>
      <c r="U214">
        <v>3.4845353974682629E-2</v>
      </c>
      <c r="V214" t="s">
        <v>154</v>
      </c>
    </row>
    <row r="215" spans="9:22" x14ac:dyDescent="0.25">
      <c r="I215" t="s">
        <v>182</v>
      </c>
      <c r="J215" t="s">
        <v>153</v>
      </c>
      <c r="K215">
        <v>6.8990599711493433E-2</v>
      </c>
      <c r="L215" t="s">
        <v>154</v>
      </c>
      <c r="N215" t="s">
        <v>212</v>
      </c>
      <c r="O215" t="s">
        <v>153</v>
      </c>
      <c r="P215">
        <v>7.4972886913599796E-2</v>
      </c>
      <c r="Q215" t="s">
        <v>154</v>
      </c>
      <c r="S215" t="s">
        <v>243</v>
      </c>
      <c r="T215" t="s">
        <v>153</v>
      </c>
      <c r="U215">
        <v>0.10162890897001819</v>
      </c>
      <c r="V215" t="s">
        <v>154</v>
      </c>
    </row>
    <row r="216" spans="9:22" x14ac:dyDescent="0.25">
      <c r="I216" t="s">
        <v>182</v>
      </c>
      <c r="J216" t="s">
        <v>155</v>
      </c>
      <c r="K216">
        <v>1.087148105003963E-3</v>
      </c>
      <c r="L216" t="s">
        <v>154</v>
      </c>
      <c r="N216" t="s">
        <v>212</v>
      </c>
      <c r="O216" t="s">
        <v>155</v>
      </c>
      <c r="P216">
        <v>4.8823806909150834E-3</v>
      </c>
      <c r="Q216" t="s">
        <v>154</v>
      </c>
      <c r="S216" t="s">
        <v>243</v>
      </c>
      <c r="T216" t="s">
        <v>155</v>
      </c>
      <c r="U216">
        <v>6.2445319297729819E-3</v>
      </c>
      <c r="V216" t="s">
        <v>154</v>
      </c>
    </row>
    <row r="217" spans="9:22" x14ac:dyDescent="0.25">
      <c r="I217" t="s">
        <v>182</v>
      </c>
      <c r="J217" t="s">
        <v>156</v>
      </c>
      <c r="K217">
        <v>0</v>
      </c>
      <c r="L217" t="s">
        <v>154</v>
      </c>
      <c r="N217" t="s">
        <v>212</v>
      </c>
      <c r="O217" t="s">
        <v>156</v>
      </c>
      <c r="P217">
        <v>2.97721494435342E-2</v>
      </c>
      <c r="Q217" t="s">
        <v>154</v>
      </c>
      <c r="S217" t="s">
        <v>243</v>
      </c>
      <c r="T217" t="s">
        <v>156</v>
      </c>
      <c r="U217">
        <v>3.5359201072630776E-2</v>
      </c>
      <c r="V217" t="s">
        <v>154</v>
      </c>
    </row>
    <row r="218" spans="9:22" x14ac:dyDescent="0.25">
      <c r="I218" t="s">
        <v>182</v>
      </c>
      <c r="J218" t="s">
        <v>157</v>
      </c>
      <c r="K218">
        <v>0.73648978347987193</v>
      </c>
      <c r="L218" t="s">
        <v>154</v>
      </c>
      <c r="N218" t="s">
        <v>212</v>
      </c>
      <c r="O218" t="s">
        <v>157</v>
      </c>
      <c r="P218">
        <v>0.49610337202163213</v>
      </c>
      <c r="Q218" t="s">
        <v>154</v>
      </c>
      <c r="S218" t="s">
        <v>243</v>
      </c>
      <c r="T218" t="s">
        <v>157</v>
      </c>
      <c r="U218">
        <v>0.45142985654590057</v>
      </c>
      <c r="V218" t="s">
        <v>154</v>
      </c>
    </row>
    <row r="219" spans="9:22" x14ac:dyDescent="0.25">
      <c r="I219" t="s">
        <v>182</v>
      </c>
      <c r="J219" t="s">
        <v>158</v>
      </c>
      <c r="K219">
        <v>4.655466682229361E-2</v>
      </c>
      <c r="L219" t="s">
        <v>154</v>
      </c>
      <c r="N219" t="s">
        <v>212</v>
      </c>
      <c r="O219" t="s">
        <v>158</v>
      </c>
      <c r="P219">
        <v>3.219129461821757E-2</v>
      </c>
      <c r="Q219" t="s">
        <v>154</v>
      </c>
      <c r="S219" t="s">
        <v>243</v>
      </c>
      <c r="T219" t="s">
        <v>158</v>
      </c>
      <c r="U219">
        <v>2.8272352007029163E-2</v>
      </c>
      <c r="V219" t="s">
        <v>154</v>
      </c>
    </row>
    <row r="220" spans="9:22" x14ac:dyDescent="0.25">
      <c r="I220" t="s">
        <v>182</v>
      </c>
      <c r="J220" t="s">
        <v>159</v>
      </c>
      <c r="K220">
        <v>2.8844645906090958E-2</v>
      </c>
      <c r="L220" t="s">
        <v>154</v>
      </c>
      <c r="N220" t="s">
        <v>212</v>
      </c>
      <c r="O220" t="s">
        <v>159</v>
      </c>
      <c r="P220">
        <v>0.17192912073292341</v>
      </c>
      <c r="Q220" t="s">
        <v>154</v>
      </c>
      <c r="S220" t="s">
        <v>243</v>
      </c>
      <c r="T220" t="s">
        <v>159</v>
      </c>
      <c r="U220">
        <v>0.15266263454007845</v>
      </c>
      <c r="V220" t="s">
        <v>154</v>
      </c>
    </row>
    <row r="221" spans="9:22" x14ac:dyDescent="0.25">
      <c r="I221" t="s">
        <v>182</v>
      </c>
      <c r="J221" t="s">
        <v>160</v>
      </c>
      <c r="K221">
        <v>5.6720533942770365E-2</v>
      </c>
      <c r="L221" t="s">
        <v>154</v>
      </c>
      <c r="N221" t="s">
        <v>212</v>
      </c>
      <c r="O221" t="s">
        <v>160</v>
      </c>
      <c r="P221">
        <v>4.1199861843468702E-2</v>
      </c>
      <c r="Q221" t="s">
        <v>154</v>
      </c>
      <c r="S221" t="s">
        <v>243</v>
      </c>
      <c r="T221" t="s">
        <v>160</v>
      </c>
      <c r="U221">
        <v>5.3284780383171498E-2</v>
      </c>
      <c r="V221" t="s">
        <v>154</v>
      </c>
    </row>
    <row r="222" spans="9:22" x14ac:dyDescent="0.25">
      <c r="I222" t="s">
        <v>182</v>
      </c>
      <c r="J222" t="s">
        <v>161</v>
      </c>
      <c r="K222">
        <v>3.0661075724236652E-6</v>
      </c>
      <c r="L222" t="s">
        <v>154</v>
      </c>
      <c r="N222" t="s">
        <v>212</v>
      </c>
      <c r="O222" t="s">
        <v>161</v>
      </c>
      <c r="P222">
        <v>2.5810985361230804E-3</v>
      </c>
      <c r="Q222" t="s">
        <v>154</v>
      </c>
      <c r="S222" t="s">
        <v>243</v>
      </c>
      <c r="T222" t="s">
        <v>161</v>
      </c>
      <c r="U222">
        <v>3.4235165538264857E-3</v>
      </c>
      <c r="V222" t="s">
        <v>154</v>
      </c>
    </row>
    <row r="223" spans="9:22" x14ac:dyDescent="0.25">
      <c r="I223" t="s">
        <v>182</v>
      </c>
      <c r="J223" t="s">
        <v>162</v>
      </c>
      <c r="K223">
        <v>0</v>
      </c>
      <c r="L223" t="s">
        <v>154</v>
      </c>
      <c r="N223" t="s">
        <v>212</v>
      </c>
      <c r="O223" t="s">
        <v>162</v>
      </c>
      <c r="P223">
        <v>1.4299003851759992E-2</v>
      </c>
      <c r="Q223" t="s">
        <v>154</v>
      </c>
      <c r="S223" t="s">
        <v>243</v>
      </c>
      <c r="T223" t="s">
        <v>162</v>
      </c>
      <c r="U223">
        <v>1.8536082858538788E-2</v>
      </c>
      <c r="V223" t="s">
        <v>154</v>
      </c>
    </row>
    <row r="224" spans="9:22" x14ac:dyDescent="0.25">
      <c r="I224" t="s">
        <v>182</v>
      </c>
      <c r="J224" t="s">
        <v>163</v>
      </c>
      <c r="K224">
        <v>6.130955592490215E-2</v>
      </c>
      <c r="L224" t="s">
        <v>154</v>
      </c>
      <c r="N224" t="s">
        <v>212</v>
      </c>
      <c r="O224" t="s">
        <v>163</v>
      </c>
      <c r="P224">
        <v>9.3767728596820352E-2</v>
      </c>
      <c r="Q224" t="s">
        <v>154</v>
      </c>
      <c r="S224" t="s">
        <v>243</v>
      </c>
      <c r="T224" t="s">
        <v>163</v>
      </c>
      <c r="U224">
        <v>0.10576424854394582</v>
      </c>
      <c r="V224" t="s">
        <v>154</v>
      </c>
    </row>
    <row r="225" spans="9:22" x14ac:dyDescent="0.25">
      <c r="I225" t="s">
        <v>182</v>
      </c>
      <c r="J225" t="s">
        <v>164</v>
      </c>
      <c r="K225">
        <v>0</v>
      </c>
      <c r="L225" t="s">
        <v>154</v>
      </c>
      <c r="N225" t="s">
        <v>212</v>
      </c>
      <c r="O225" t="s">
        <v>164</v>
      </c>
      <c r="P225">
        <v>5.9149281075600085E-3</v>
      </c>
      <c r="Q225" t="s">
        <v>154</v>
      </c>
      <c r="S225" t="s">
        <v>243</v>
      </c>
      <c r="T225" t="s">
        <v>164</v>
      </c>
      <c r="U225">
        <v>6.3814481406290384E-3</v>
      </c>
      <c r="V225" t="s">
        <v>154</v>
      </c>
    </row>
    <row r="226" spans="9:22" x14ac:dyDescent="0.25">
      <c r="I226" t="s">
        <v>182</v>
      </c>
      <c r="J226" t="s">
        <v>165</v>
      </c>
      <c r="K226">
        <v>0</v>
      </c>
      <c r="L226" t="s">
        <v>154</v>
      </c>
      <c r="N226" t="s">
        <v>212</v>
      </c>
      <c r="O226" t="s">
        <v>165</v>
      </c>
      <c r="P226">
        <v>3.2386174643446813E-2</v>
      </c>
      <c r="Q226" t="s">
        <v>154</v>
      </c>
      <c r="S226" t="s">
        <v>243</v>
      </c>
      <c r="T226" t="s">
        <v>165</v>
      </c>
      <c r="U226">
        <v>3.7012438454455975E-2</v>
      </c>
      <c r="V226" t="s">
        <v>154</v>
      </c>
    </row>
    <row r="227" spans="9:22" x14ac:dyDescent="0.25">
      <c r="I227" t="s">
        <v>183</v>
      </c>
      <c r="J227" t="s">
        <v>153</v>
      </c>
      <c r="K227">
        <v>8.3319599385010934E-2</v>
      </c>
      <c r="L227" t="s">
        <v>154</v>
      </c>
      <c r="N227" t="s">
        <v>213</v>
      </c>
      <c r="O227" t="s">
        <v>153</v>
      </c>
      <c r="P227">
        <v>8.2601506877686956E-2</v>
      </c>
      <c r="Q227" t="s">
        <v>154</v>
      </c>
      <c r="S227" t="s">
        <v>244</v>
      </c>
      <c r="T227" t="s">
        <v>153</v>
      </c>
      <c r="U227">
        <v>7.8298494142146388E-2</v>
      </c>
      <c r="V227" t="s">
        <v>154</v>
      </c>
    </row>
    <row r="228" spans="9:22" x14ac:dyDescent="0.25">
      <c r="I228" t="s">
        <v>183</v>
      </c>
      <c r="J228" t="s">
        <v>155</v>
      </c>
      <c r="K228">
        <v>7.6821350364644802E-4</v>
      </c>
      <c r="L228" t="s">
        <v>154</v>
      </c>
      <c r="N228" t="s">
        <v>213</v>
      </c>
      <c r="O228" t="s">
        <v>155</v>
      </c>
      <c r="P228">
        <v>5.277599816047974E-3</v>
      </c>
      <c r="Q228" t="s">
        <v>154</v>
      </c>
      <c r="S228" t="s">
        <v>244</v>
      </c>
      <c r="T228" t="s">
        <v>155</v>
      </c>
      <c r="U228">
        <v>4.5480697556470346E-3</v>
      </c>
      <c r="V228" t="s">
        <v>154</v>
      </c>
    </row>
    <row r="229" spans="9:22" x14ac:dyDescent="0.25">
      <c r="I229" t="s">
        <v>183</v>
      </c>
      <c r="J229" t="s">
        <v>156</v>
      </c>
      <c r="K229">
        <v>0</v>
      </c>
      <c r="L229" t="s">
        <v>154</v>
      </c>
      <c r="N229" t="s">
        <v>213</v>
      </c>
      <c r="O229" t="s">
        <v>156</v>
      </c>
      <c r="P229">
        <v>2.7781808324949964E-2</v>
      </c>
      <c r="Q229" t="s">
        <v>154</v>
      </c>
      <c r="S229" t="s">
        <v>244</v>
      </c>
      <c r="T229" t="s">
        <v>156</v>
      </c>
      <c r="U229">
        <v>2.6292375303434035E-2</v>
      </c>
      <c r="V229" t="s">
        <v>154</v>
      </c>
    </row>
    <row r="230" spans="9:22" x14ac:dyDescent="0.25">
      <c r="I230" t="s">
        <v>183</v>
      </c>
      <c r="J230" t="s">
        <v>157</v>
      </c>
      <c r="K230">
        <v>0.72234652402613864</v>
      </c>
      <c r="L230" t="s">
        <v>154</v>
      </c>
      <c r="N230" t="s">
        <v>213</v>
      </c>
      <c r="O230" t="s">
        <v>157</v>
      </c>
      <c r="P230">
        <v>0.46917689857506251</v>
      </c>
      <c r="Q230" t="s">
        <v>154</v>
      </c>
      <c r="S230" t="s">
        <v>244</v>
      </c>
      <c r="T230" t="s">
        <v>157</v>
      </c>
      <c r="U230">
        <v>0.47011365256646431</v>
      </c>
      <c r="V230" t="s">
        <v>154</v>
      </c>
    </row>
    <row r="231" spans="9:22" x14ac:dyDescent="0.25">
      <c r="I231" t="s">
        <v>183</v>
      </c>
      <c r="J231" t="s">
        <v>158</v>
      </c>
      <c r="K231">
        <v>4.0926482526984533E-2</v>
      </c>
      <c r="L231" t="s">
        <v>154</v>
      </c>
      <c r="N231" t="s">
        <v>213</v>
      </c>
      <c r="O231" t="s">
        <v>158</v>
      </c>
      <c r="P231">
        <v>3.111557212932169E-2</v>
      </c>
      <c r="Q231" t="s">
        <v>154</v>
      </c>
      <c r="S231" t="s">
        <v>244</v>
      </c>
      <c r="T231" t="s">
        <v>158</v>
      </c>
      <c r="U231">
        <v>3.1411729356490406E-2</v>
      </c>
      <c r="V231" t="s">
        <v>154</v>
      </c>
    </row>
    <row r="232" spans="9:22" x14ac:dyDescent="0.25">
      <c r="I232" t="s">
        <v>183</v>
      </c>
      <c r="J232" t="s">
        <v>159</v>
      </c>
      <c r="K232">
        <v>2.2692471978263483E-2</v>
      </c>
      <c r="L232" t="s">
        <v>154</v>
      </c>
      <c r="N232" t="s">
        <v>213</v>
      </c>
      <c r="O232" t="s">
        <v>159</v>
      </c>
      <c r="P232">
        <v>0.16913239764282081</v>
      </c>
      <c r="Q232" t="s">
        <v>154</v>
      </c>
      <c r="S232" t="s">
        <v>244</v>
      </c>
      <c r="T232" t="s">
        <v>159</v>
      </c>
      <c r="U232">
        <v>0.17697503208287438</v>
      </c>
      <c r="V232" t="s">
        <v>154</v>
      </c>
    </row>
    <row r="233" spans="9:22" x14ac:dyDescent="0.25">
      <c r="I233" t="s">
        <v>183</v>
      </c>
      <c r="J233" t="s">
        <v>160</v>
      </c>
      <c r="K233">
        <v>6.0462372130338837E-2</v>
      </c>
      <c r="L233" t="s">
        <v>154</v>
      </c>
      <c r="N233" t="s">
        <v>213</v>
      </c>
      <c r="O233" t="s">
        <v>160</v>
      </c>
      <c r="P233">
        <v>4.9112818882597747E-2</v>
      </c>
      <c r="Q233" t="s">
        <v>154</v>
      </c>
      <c r="S233" t="s">
        <v>244</v>
      </c>
      <c r="T233" t="s">
        <v>160</v>
      </c>
      <c r="U233">
        <v>5.1435573147646178E-2</v>
      </c>
      <c r="V233" t="s">
        <v>154</v>
      </c>
    </row>
    <row r="234" spans="9:22" x14ac:dyDescent="0.25">
      <c r="I234" t="s">
        <v>183</v>
      </c>
      <c r="J234" t="s">
        <v>161</v>
      </c>
      <c r="K234">
        <v>0</v>
      </c>
      <c r="L234" t="s">
        <v>154</v>
      </c>
      <c r="N234" t="s">
        <v>213</v>
      </c>
      <c r="O234" t="s">
        <v>161</v>
      </c>
      <c r="P234">
        <v>3.1258785611414856E-3</v>
      </c>
      <c r="Q234" t="s">
        <v>154</v>
      </c>
      <c r="S234" t="s">
        <v>244</v>
      </c>
      <c r="T234" t="s">
        <v>161</v>
      </c>
      <c r="U234">
        <v>3.3794349395379342E-3</v>
      </c>
      <c r="V234" t="s">
        <v>154</v>
      </c>
    </row>
    <row r="235" spans="9:22" x14ac:dyDescent="0.25">
      <c r="I235" t="s">
        <v>183</v>
      </c>
      <c r="J235" t="s">
        <v>162</v>
      </c>
      <c r="K235">
        <v>0</v>
      </c>
      <c r="L235" t="s">
        <v>154</v>
      </c>
      <c r="N235" t="s">
        <v>213</v>
      </c>
      <c r="O235" t="s">
        <v>162</v>
      </c>
      <c r="P235">
        <v>1.780203823848622E-2</v>
      </c>
      <c r="Q235" t="s">
        <v>154</v>
      </c>
      <c r="S235" t="s">
        <v>244</v>
      </c>
      <c r="T235" t="s">
        <v>162</v>
      </c>
      <c r="U235">
        <v>2.0297669211073194E-2</v>
      </c>
      <c r="V235" t="s">
        <v>154</v>
      </c>
    </row>
    <row r="236" spans="9:22" x14ac:dyDescent="0.25">
      <c r="I236" t="s">
        <v>183</v>
      </c>
      <c r="J236" t="s">
        <v>163</v>
      </c>
      <c r="K236">
        <v>6.9484336449619807E-2</v>
      </c>
      <c r="L236" t="s">
        <v>154</v>
      </c>
      <c r="N236" t="s">
        <v>213</v>
      </c>
      <c r="O236" t="s">
        <v>163</v>
      </c>
      <c r="P236">
        <v>0.1044723679720838</v>
      </c>
      <c r="Q236" t="s">
        <v>154</v>
      </c>
      <c r="S236" t="s">
        <v>244</v>
      </c>
      <c r="T236" t="s">
        <v>163</v>
      </c>
      <c r="U236">
        <v>9.7874164991909263E-2</v>
      </c>
      <c r="V236" t="s">
        <v>154</v>
      </c>
    </row>
    <row r="237" spans="9:22" x14ac:dyDescent="0.25">
      <c r="I237" t="s">
        <v>183</v>
      </c>
      <c r="J237" t="s">
        <v>164</v>
      </c>
      <c r="K237">
        <v>0</v>
      </c>
      <c r="L237" t="s">
        <v>154</v>
      </c>
      <c r="N237" t="s">
        <v>213</v>
      </c>
      <c r="O237" t="s">
        <v>164</v>
      </c>
      <c r="P237">
        <v>6.1200741546610041E-3</v>
      </c>
      <c r="Q237" t="s">
        <v>154</v>
      </c>
      <c r="S237" t="s">
        <v>244</v>
      </c>
      <c r="T237" t="s">
        <v>164</v>
      </c>
      <c r="U237">
        <v>5.8386196002458805E-3</v>
      </c>
      <c r="V237" t="s">
        <v>154</v>
      </c>
    </row>
    <row r="238" spans="9:22" x14ac:dyDescent="0.25">
      <c r="I238" t="s">
        <v>183</v>
      </c>
      <c r="J238" t="s">
        <v>165</v>
      </c>
      <c r="K238">
        <v>0</v>
      </c>
      <c r="L238" t="s">
        <v>154</v>
      </c>
      <c r="N238" t="s">
        <v>213</v>
      </c>
      <c r="O238" t="s">
        <v>165</v>
      </c>
      <c r="P238">
        <v>3.428103882514414E-2</v>
      </c>
      <c r="Q238" t="s">
        <v>154</v>
      </c>
      <c r="S238" t="s">
        <v>244</v>
      </c>
      <c r="T238" t="s">
        <v>165</v>
      </c>
      <c r="U238">
        <v>3.3535184902532829E-2</v>
      </c>
      <c r="V238" t="s">
        <v>154</v>
      </c>
    </row>
    <row r="239" spans="9:22" x14ac:dyDescent="0.25">
      <c r="I239" t="s">
        <v>184</v>
      </c>
      <c r="J239" t="s">
        <v>153</v>
      </c>
      <c r="K239">
        <v>7.6477669479715557E-2</v>
      </c>
      <c r="L239" t="s">
        <v>154</v>
      </c>
      <c r="N239" t="s">
        <v>214</v>
      </c>
      <c r="O239" t="s">
        <v>153</v>
      </c>
      <c r="P239">
        <v>0.11425555942596079</v>
      </c>
      <c r="Q239" t="s">
        <v>154</v>
      </c>
      <c r="S239" t="s">
        <v>245</v>
      </c>
      <c r="T239" t="s">
        <v>153</v>
      </c>
      <c r="U239">
        <v>0.1116823118941674</v>
      </c>
      <c r="V239" t="s">
        <v>154</v>
      </c>
    </row>
    <row r="240" spans="9:22" x14ac:dyDescent="0.25">
      <c r="I240" t="s">
        <v>184</v>
      </c>
      <c r="J240" t="s">
        <v>155</v>
      </c>
      <c r="K240">
        <v>5.9077774853083314E-4</v>
      </c>
      <c r="L240" t="s">
        <v>154</v>
      </c>
      <c r="N240" t="s">
        <v>214</v>
      </c>
      <c r="O240" t="s">
        <v>155</v>
      </c>
      <c r="P240">
        <v>6.3538926398439286E-3</v>
      </c>
      <c r="Q240" t="s">
        <v>154</v>
      </c>
      <c r="S240" t="s">
        <v>245</v>
      </c>
      <c r="T240" t="s">
        <v>155</v>
      </c>
      <c r="U240">
        <v>6.6099294280148645E-3</v>
      </c>
      <c r="V240" t="s">
        <v>154</v>
      </c>
    </row>
    <row r="241" spans="9:22" x14ac:dyDescent="0.25">
      <c r="I241" t="s">
        <v>184</v>
      </c>
      <c r="J241" t="s">
        <v>156</v>
      </c>
      <c r="K241">
        <v>0</v>
      </c>
      <c r="L241" t="s">
        <v>154</v>
      </c>
      <c r="N241" t="s">
        <v>214</v>
      </c>
      <c r="O241" t="s">
        <v>156</v>
      </c>
      <c r="P241">
        <v>3.8766560214650893E-2</v>
      </c>
      <c r="Q241" t="s">
        <v>154</v>
      </c>
      <c r="S241" t="s">
        <v>245</v>
      </c>
      <c r="T241" t="s">
        <v>156</v>
      </c>
      <c r="U241">
        <v>3.6102491975554714E-2</v>
      </c>
      <c r="V241" t="s">
        <v>154</v>
      </c>
    </row>
    <row r="242" spans="9:22" x14ac:dyDescent="0.25">
      <c r="I242" t="s">
        <v>184</v>
      </c>
      <c r="J242" t="s">
        <v>157</v>
      </c>
      <c r="K242">
        <v>0.73482218110420139</v>
      </c>
      <c r="L242" t="s">
        <v>154</v>
      </c>
      <c r="N242" t="s">
        <v>214</v>
      </c>
      <c r="O242" t="s">
        <v>157</v>
      </c>
      <c r="P242">
        <v>0.4332440328754828</v>
      </c>
      <c r="Q242" t="s">
        <v>154</v>
      </c>
      <c r="S242" t="s">
        <v>245</v>
      </c>
      <c r="T242" t="s">
        <v>157</v>
      </c>
      <c r="U242">
        <v>0.43031592890593084</v>
      </c>
      <c r="V242" t="s">
        <v>154</v>
      </c>
    </row>
    <row r="243" spans="9:22" x14ac:dyDescent="0.25">
      <c r="I243" t="s">
        <v>184</v>
      </c>
      <c r="J243" t="s">
        <v>158</v>
      </c>
      <c r="K243">
        <v>4.237107888556442E-2</v>
      </c>
      <c r="L243" t="s">
        <v>154</v>
      </c>
      <c r="N243" t="s">
        <v>214</v>
      </c>
      <c r="O243" t="s">
        <v>158</v>
      </c>
      <c r="P243">
        <v>2.6617289502676268E-2</v>
      </c>
      <c r="Q243" t="s">
        <v>154</v>
      </c>
      <c r="S243" t="s">
        <v>245</v>
      </c>
      <c r="T243" t="s">
        <v>158</v>
      </c>
      <c r="U243">
        <v>2.682959711117382E-2</v>
      </c>
      <c r="V243" t="s">
        <v>154</v>
      </c>
    </row>
    <row r="244" spans="9:22" x14ac:dyDescent="0.25">
      <c r="I244" t="s">
        <v>184</v>
      </c>
      <c r="J244" t="s">
        <v>159</v>
      </c>
      <c r="K244">
        <v>2.5368706950945646E-2</v>
      </c>
      <c r="L244" t="s">
        <v>154</v>
      </c>
      <c r="N244" t="s">
        <v>214</v>
      </c>
      <c r="O244" t="s">
        <v>159</v>
      </c>
      <c r="P244">
        <v>0.141650012077738</v>
      </c>
      <c r="Q244" t="s">
        <v>154</v>
      </c>
      <c r="S244" t="s">
        <v>245</v>
      </c>
      <c r="T244" t="s">
        <v>159</v>
      </c>
      <c r="U244">
        <v>0.15907708798213971</v>
      </c>
      <c r="V244" t="s">
        <v>154</v>
      </c>
    </row>
    <row r="245" spans="9:22" x14ac:dyDescent="0.25">
      <c r="I245" t="s">
        <v>184</v>
      </c>
      <c r="J245" t="s">
        <v>160</v>
      </c>
      <c r="K245">
        <v>5.5460958167848511E-2</v>
      </c>
      <c r="L245" t="s">
        <v>154</v>
      </c>
      <c r="N245" t="s">
        <v>214</v>
      </c>
      <c r="O245" t="s">
        <v>160</v>
      </c>
      <c r="P245">
        <v>5.2315997854591005E-2</v>
      </c>
      <c r="Q245" t="s">
        <v>154</v>
      </c>
      <c r="S245" t="s">
        <v>245</v>
      </c>
      <c r="T245" t="s">
        <v>160</v>
      </c>
      <c r="U245">
        <v>5.7737323847319999E-2</v>
      </c>
      <c r="V245" t="s">
        <v>154</v>
      </c>
    </row>
    <row r="246" spans="9:22" x14ac:dyDescent="0.25">
      <c r="I246" t="s">
        <v>184</v>
      </c>
      <c r="J246" t="s">
        <v>161</v>
      </c>
      <c r="K246">
        <v>0</v>
      </c>
      <c r="L246" t="s">
        <v>154</v>
      </c>
      <c r="N246" t="s">
        <v>214</v>
      </c>
      <c r="O246" t="s">
        <v>161</v>
      </c>
      <c r="P246">
        <v>2.822139841191576E-3</v>
      </c>
      <c r="Q246" t="s">
        <v>154</v>
      </c>
      <c r="S246" t="s">
        <v>245</v>
      </c>
      <c r="T246" t="s">
        <v>161</v>
      </c>
      <c r="U246">
        <v>2.6599484161624548E-3</v>
      </c>
      <c r="V246" t="s">
        <v>154</v>
      </c>
    </row>
    <row r="247" spans="9:22" x14ac:dyDescent="0.25">
      <c r="I247" t="s">
        <v>184</v>
      </c>
      <c r="J247" t="s">
        <v>162</v>
      </c>
      <c r="K247">
        <v>0</v>
      </c>
      <c r="L247" t="s">
        <v>154</v>
      </c>
      <c r="N247" t="s">
        <v>214</v>
      </c>
      <c r="O247" t="s">
        <v>162</v>
      </c>
      <c r="P247">
        <v>1.8961526333957333E-2</v>
      </c>
      <c r="Q247" t="s">
        <v>154</v>
      </c>
      <c r="S247" t="s">
        <v>245</v>
      </c>
      <c r="T247" t="s">
        <v>162</v>
      </c>
      <c r="U247">
        <v>1.6591046302032494E-2</v>
      </c>
      <c r="V247" t="s">
        <v>154</v>
      </c>
    </row>
    <row r="248" spans="9:22" x14ac:dyDescent="0.25">
      <c r="I248" t="s">
        <v>184</v>
      </c>
      <c r="J248" t="s">
        <v>163</v>
      </c>
      <c r="K248">
        <v>6.4908627663195134E-2</v>
      </c>
      <c r="L248" t="s">
        <v>154</v>
      </c>
      <c r="N248" t="s">
        <v>214</v>
      </c>
      <c r="O248" t="s">
        <v>163</v>
      </c>
      <c r="P248">
        <v>0.11419966822480457</v>
      </c>
      <c r="Q248" t="s">
        <v>154</v>
      </c>
      <c r="S248" t="s">
        <v>245</v>
      </c>
      <c r="T248" t="s">
        <v>163</v>
      </c>
      <c r="U248">
        <v>0.10855491696564674</v>
      </c>
      <c r="V248" t="s">
        <v>154</v>
      </c>
    </row>
    <row r="249" spans="9:22" x14ac:dyDescent="0.25">
      <c r="I249" t="s">
        <v>184</v>
      </c>
      <c r="J249" t="s">
        <v>164</v>
      </c>
      <c r="K249">
        <v>0</v>
      </c>
      <c r="L249" t="s">
        <v>154</v>
      </c>
      <c r="N249" t="s">
        <v>214</v>
      </c>
      <c r="O249" t="s">
        <v>164</v>
      </c>
      <c r="P249">
        <v>7.0284712535044159E-3</v>
      </c>
      <c r="Q249" t="s">
        <v>154</v>
      </c>
      <c r="S249" t="s">
        <v>245</v>
      </c>
      <c r="T249" t="s">
        <v>164</v>
      </c>
      <c r="U249">
        <v>6.4087719130575165E-3</v>
      </c>
      <c r="V249" t="s">
        <v>154</v>
      </c>
    </row>
    <row r="250" spans="9:22" x14ac:dyDescent="0.25">
      <c r="I250" t="s">
        <v>184</v>
      </c>
      <c r="J250" t="s">
        <v>165</v>
      </c>
      <c r="K250">
        <v>0</v>
      </c>
      <c r="L250" t="s">
        <v>154</v>
      </c>
      <c r="N250" t="s">
        <v>214</v>
      </c>
      <c r="O250" t="s">
        <v>165</v>
      </c>
      <c r="P250">
        <v>4.3784849755597176E-2</v>
      </c>
      <c r="Q250" t="s">
        <v>154</v>
      </c>
      <c r="S250" t="s">
        <v>245</v>
      </c>
      <c r="T250" t="s">
        <v>165</v>
      </c>
      <c r="U250">
        <v>3.7430645258797808E-2</v>
      </c>
      <c r="V250" t="s">
        <v>154</v>
      </c>
    </row>
    <row r="251" spans="9:22" x14ac:dyDescent="0.25">
      <c r="I251" t="s">
        <v>185</v>
      </c>
      <c r="J251" t="s">
        <v>153</v>
      </c>
      <c r="K251">
        <v>8.9105051206535099E-2</v>
      </c>
      <c r="L251" t="s">
        <v>154</v>
      </c>
      <c r="N251" t="s">
        <v>215</v>
      </c>
      <c r="O251" t="s">
        <v>153</v>
      </c>
      <c r="P251">
        <v>0.10423367539053796</v>
      </c>
      <c r="Q251" t="s">
        <v>154</v>
      </c>
      <c r="S251" t="s">
        <v>246</v>
      </c>
      <c r="T251" t="s">
        <v>153</v>
      </c>
      <c r="U251">
        <v>9.1980076822033768E-2</v>
      </c>
      <c r="V251" t="s">
        <v>154</v>
      </c>
    </row>
    <row r="252" spans="9:22" x14ac:dyDescent="0.25">
      <c r="I252" t="s">
        <v>185</v>
      </c>
      <c r="J252" t="s">
        <v>155</v>
      </c>
      <c r="K252">
        <v>5.0021281335199085E-3</v>
      </c>
      <c r="L252" t="s">
        <v>154</v>
      </c>
      <c r="N252" t="s">
        <v>215</v>
      </c>
      <c r="O252" t="s">
        <v>155</v>
      </c>
      <c r="P252">
        <v>6.60119210078252E-3</v>
      </c>
      <c r="Q252" t="s">
        <v>154</v>
      </c>
      <c r="S252" t="s">
        <v>246</v>
      </c>
      <c r="T252" t="s">
        <v>155</v>
      </c>
      <c r="U252">
        <v>5.1340251745890537E-3</v>
      </c>
      <c r="V252" t="s">
        <v>154</v>
      </c>
    </row>
    <row r="253" spans="9:22" x14ac:dyDescent="0.25">
      <c r="I253" t="s">
        <v>185</v>
      </c>
      <c r="J253" t="s">
        <v>156</v>
      </c>
      <c r="K253">
        <v>0</v>
      </c>
      <c r="L253" t="s">
        <v>154</v>
      </c>
      <c r="N253" t="s">
        <v>215</v>
      </c>
      <c r="O253" t="s">
        <v>156</v>
      </c>
      <c r="P253">
        <v>3.1974523182844342E-2</v>
      </c>
      <c r="Q253" t="s">
        <v>154</v>
      </c>
      <c r="S253" t="s">
        <v>246</v>
      </c>
      <c r="T253" t="s">
        <v>156</v>
      </c>
      <c r="U253">
        <v>3.0876931024478652E-2</v>
      </c>
      <c r="V253" t="s">
        <v>154</v>
      </c>
    </row>
    <row r="254" spans="9:22" x14ac:dyDescent="0.25">
      <c r="I254" t="s">
        <v>185</v>
      </c>
      <c r="J254" t="s">
        <v>157</v>
      </c>
      <c r="K254">
        <v>0.68898588234356095</v>
      </c>
      <c r="L254" t="s">
        <v>154</v>
      </c>
      <c r="N254" t="s">
        <v>215</v>
      </c>
      <c r="O254" t="s">
        <v>157</v>
      </c>
      <c r="P254">
        <v>0.46633492589592174</v>
      </c>
      <c r="Q254" t="s">
        <v>154</v>
      </c>
      <c r="S254" t="s">
        <v>246</v>
      </c>
      <c r="T254" t="s">
        <v>157</v>
      </c>
      <c r="U254">
        <v>0.4549074656959341</v>
      </c>
      <c r="V254" t="s">
        <v>154</v>
      </c>
    </row>
    <row r="255" spans="9:22" x14ac:dyDescent="0.25">
      <c r="I255" t="s">
        <v>185</v>
      </c>
      <c r="J255" t="s">
        <v>158</v>
      </c>
      <c r="K255">
        <v>4.5238765628159566E-2</v>
      </c>
      <c r="L255" t="s">
        <v>154</v>
      </c>
      <c r="N255" t="s">
        <v>215</v>
      </c>
      <c r="O255" t="s">
        <v>158</v>
      </c>
      <c r="P255">
        <v>3.2775265314832144E-2</v>
      </c>
      <c r="Q255" t="s">
        <v>154</v>
      </c>
      <c r="S255" t="s">
        <v>246</v>
      </c>
      <c r="T255" t="s">
        <v>158</v>
      </c>
      <c r="U255">
        <v>2.8478943182516023E-2</v>
      </c>
      <c r="V255" t="s">
        <v>154</v>
      </c>
    </row>
    <row r="256" spans="9:22" x14ac:dyDescent="0.25">
      <c r="I256" t="s">
        <v>185</v>
      </c>
      <c r="J256" t="s">
        <v>159</v>
      </c>
      <c r="K256">
        <v>2.4687328490323183E-2</v>
      </c>
      <c r="L256" t="s">
        <v>154</v>
      </c>
      <c r="N256" t="s">
        <v>215</v>
      </c>
      <c r="O256" t="s">
        <v>159</v>
      </c>
      <c r="P256">
        <v>0.15883585870331765</v>
      </c>
      <c r="Q256" t="s">
        <v>154</v>
      </c>
      <c r="S256" t="s">
        <v>246</v>
      </c>
      <c r="T256" t="s">
        <v>159</v>
      </c>
      <c r="U256">
        <v>0.16862561548542437</v>
      </c>
      <c r="V256" t="s">
        <v>154</v>
      </c>
    </row>
    <row r="257" spans="9:22" x14ac:dyDescent="0.25">
      <c r="I257" t="s">
        <v>185</v>
      </c>
      <c r="J257" t="s">
        <v>160</v>
      </c>
      <c r="K257">
        <v>6.3757772986178962E-2</v>
      </c>
      <c r="L257" t="s">
        <v>154</v>
      </c>
      <c r="N257" t="s">
        <v>215</v>
      </c>
      <c r="O257" t="s">
        <v>160</v>
      </c>
      <c r="P257">
        <v>4.0033563339689666E-2</v>
      </c>
      <c r="Q257" t="s">
        <v>154</v>
      </c>
      <c r="S257" t="s">
        <v>246</v>
      </c>
      <c r="T257" t="s">
        <v>160</v>
      </c>
      <c r="U257">
        <v>5.7534332441969122E-2</v>
      </c>
      <c r="V257" t="s">
        <v>154</v>
      </c>
    </row>
    <row r="258" spans="9:22" x14ac:dyDescent="0.25">
      <c r="I258" t="s">
        <v>185</v>
      </c>
      <c r="J258" t="s">
        <v>161</v>
      </c>
      <c r="K258">
        <v>1.3041542610427045E-3</v>
      </c>
      <c r="L258" t="s">
        <v>154</v>
      </c>
      <c r="N258" t="s">
        <v>215</v>
      </c>
      <c r="O258" t="s">
        <v>161</v>
      </c>
      <c r="P258">
        <v>2.4842951691316979E-3</v>
      </c>
      <c r="Q258" t="s">
        <v>154</v>
      </c>
      <c r="S258" t="s">
        <v>246</v>
      </c>
      <c r="T258" t="s">
        <v>161</v>
      </c>
      <c r="U258">
        <v>2.8364758421010783E-3</v>
      </c>
      <c r="V258" t="s">
        <v>154</v>
      </c>
    </row>
    <row r="259" spans="9:22" x14ac:dyDescent="0.25">
      <c r="I259" t="s">
        <v>185</v>
      </c>
      <c r="J259" t="s">
        <v>162</v>
      </c>
      <c r="K259">
        <v>0</v>
      </c>
      <c r="L259" t="s">
        <v>154</v>
      </c>
      <c r="N259" t="s">
        <v>215</v>
      </c>
      <c r="O259" t="s">
        <v>162</v>
      </c>
      <c r="P259">
        <v>1.5445345095008391E-2</v>
      </c>
      <c r="Q259" t="s">
        <v>154</v>
      </c>
      <c r="S259" t="s">
        <v>246</v>
      </c>
      <c r="T259" t="s">
        <v>162</v>
      </c>
      <c r="U259">
        <v>2.0030561282397379E-2</v>
      </c>
      <c r="V259" t="s">
        <v>154</v>
      </c>
    </row>
    <row r="260" spans="9:22" x14ac:dyDescent="0.25">
      <c r="I260" t="s">
        <v>185</v>
      </c>
      <c r="J260" t="s">
        <v>163</v>
      </c>
      <c r="K260">
        <v>8.1823852617657039E-2</v>
      </c>
      <c r="L260" t="s">
        <v>154</v>
      </c>
      <c r="N260" t="s">
        <v>215</v>
      </c>
      <c r="O260" t="s">
        <v>163</v>
      </c>
      <c r="P260">
        <v>9.7184636338711411E-2</v>
      </c>
      <c r="Q260" t="s">
        <v>154</v>
      </c>
      <c r="S260" t="s">
        <v>246</v>
      </c>
      <c r="T260" t="s">
        <v>163</v>
      </c>
      <c r="U260">
        <v>9.9330643334490432E-2</v>
      </c>
      <c r="V260" t="s">
        <v>154</v>
      </c>
    </row>
    <row r="261" spans="9:22" x14ac:dyDescent="0.25">
      <c r="I261" t="s">
        <v>185</v>
      </c>
      <c r="J261" t="s">
        <v>164</v>
      </c>
      <c r="K261">
        <v>9.5064333019726795E-5</v>
      </c>
      <c r="L261" t="s">
        <v>154</v>
      </c>
      <c r="N261" t="s">
        <v>215</v>
      </c>
      <c r="O261" t="s">
        <v>164</v>
      </c>
      <c r="P261">
        <v>6.4769445566876657E-3</v>
      </c>
      <c r="Q261" t="s">
        <v>154</v>
      </c>
      <c r="S261" t="s">
        <v>246</v>
      </c>
      <c r="T261" t="s">
        <v>164</v>
      </c>
      <c r="U261">
        <v>5.8353282089641557E-3</v>
      </c>
      <c r="V261" t="s">
        <v>154</v>
      </c>
    </row>
    <row r="262" spans="9:22" x14ac:dyDescent="0.25">
      <c r="I262" t="s">
        <v>185</v>
      </c>
      <c r="J262" t="s">
        <v>165</v>
      </c>
      <c r="K262">
        <v>0</v>
      </c>
      <c r="L262" t="s">
        <v>154</v>
      </c>
      <c r="N262" t="s">
        <v>215</v>
      </c>
      <c r="O262" t="s">
        <v>165</v>
      </c>
      <c r="P262">
        <v>3.7619774912531954E-2</v>
      </c>
      <c r="Q262" t="s">
        <v>154</v>
      </c>
      <c r="S262" t="s">
        <v>246</v>
      </c>
      <c r="T262" t="s">
        <v>165</v>
      </c>
      <c r="U262">
        <v>3.4429601505103491E-2</v>
      </c>
      <c r="V262" t="s">
        <v>154</v>
      </c>
    </row>
    <row r="263" spans="9:22" x14ac:dyDescent="0.25">
      <c r="I263" t="s">
        <v>186</v>
      </c>
      <c r="J263" t="s">
        <v>153</v>
      </c>
      <c r="K263">
        <v>8.8908959345338379E-2</v>
      </c>
      <c r="L263" t="s">
        <v>154</v>
      </c>
      <c r="N263" t="s">
        <v>216</v>
      </c>
      <c r="O263" t="s">
        <v>153</v>
      </c>
      <c r="P263">
        <v>0.11441118306513941</v>
      </c>
      <c r="Q263" t="s">
        <v>154</v>
      </c>
      <c r="S263" t="s">
        <v>247</v>
      </c>
      <c r="T263" t="s">
        <v>153</v>
      </c>
      <c r="U263">
        <v>8.8959983592941327E-2</v>
      </c>
      <c r="V263" t="s">
        <v>154</v>
      </c>
    </row>
    <row r="264" spans="9:22" x14ac:dyDescent="0.25">
      <c r="I264" t="s">
        <v>186</v>
      </c>
      <c r="J264" t="s">
        <v>155</v>
      </c>
      <c r="K264">
        <v>4.3736303412946834E-3</v>
      </c>
      <c r="L264" t="s">
        <v>154</v>
      </c>
      <c r="N264" t="s">
        <v>216</v>
      </c>
      <c r="O264" t="s">
        <v>155</v>
      </c>
      <c r="P264">
        <v>6.7072409222799769E-3</v>
      </c>
      <c r="Q264" t="s">
        <v>154</v>
      </c>
      <c r="S264" t="s">
        <v>247</v>
      </c>
      <c r="T264" t="s">
        <v>155</v>
      </c>
      <c r="U264">
        <v>5.0918119095417786E-3</v>
      </c>
      <c r="V264" t="s">
        <v>154</v>
      </c>
    </row>
    <row r="265" spans="9:22" x14ac:dyDescent="0.25">
      <c r="I265" t="s">
        <v>186</v>
      </c>
      <c r="J265" t="s">
        <v>156</v>
      </c>
      <c r="K265">
        <v>0</v>
      </c>
      <c r="L265" t="s">
        <v>154</v>
      </c>
      <c r="N265" t="s">
        <v>216</v>
      </c>
      <c r="O265" t="s">
        <v>156</v>
      </c>
      <c r="P265">
        <v>3.2757756548894283E-2</v>
      </c>
      <c r="Q265" t="s">
        <v>154</v>
      </c>
      <c r="S265" t="s">
        <v>247</v>
      </c>
      <c r="T265" t="s">
        <v>156</v>
      </c>
      <c r="U265">
        <v>3.1007322034392319E-2</v>
      </c>
      <c r="V265" t="s">
        <v>154</v>
      </c>
    </row>
    <row r="266" spans="9:22" x14ac:dyDescent="0.25">
      <c r="I266" t="s">
        <v>186</v>
      </c>
      <c r="J266" t="s">
        <v>157</v>
      </c>
      <c r="K266">
        <v>0.69686603350455334</v>
      </c>
      <c r="L266" t="s">
        <v>154</v>
      </c>
      <c r="N266" t="s">
        <v>216</v>
      </c>
      <c r="O266" t="s">
        <v>157</v>
      </c>
      <c r="P266">
        <v>0.48797871536760867</v>
      </c>
      <c r="Q266" t="s">
        <v>154</v>
      </c>
      <c r="S266" t="s">
        <v>247</v>
      </c>
      <c r="T266" t="s">
        <v>157</v>
      </c>
      <c r="U266">
        <v>0.46137258980713952</v>
      </c>
      <c r="V266" t="s">
        <v>154</v>
      </c>
    </row>
    <row r="267" spans="9:22" x14ac:dyDescent="0.25">
      <c r="I267" t="s">
        <v>186</v>
      </c>
      <c r="J267" t="s">
        <v>158</v>
      </c>
      <c r="K267">
        <v>4.3789291025713377E-2</v>
      </c>
      <c r="L267" t="s">
        <v>154</v>
      </c>
      <c r="N267" t="s">
        <v>216</v>
      </c>
      <c r="O267" t="s">
        <v>158</v>
      </c>
      <c r="P267">
        <v>3.2505221803947687E-2</v>
      </c>
      <c r="Q267" t="s">
        <v>154</v>
      </c>
      <c r="S267" t="s">
        <v>247</v>
      </c>
      <c r="T267" t="s">
        <v>158</v>
      </c>
      <c r="U267">
        <v>2.815208254602063E-2</v>
      </c>
      <c r="V267" t="s">
        <v>154</v>
      </c>
    </row>
    <row r="268" spans="9:22" x14ac:dyDescent="0.25">
      <c r="I268" t="s">
        <v>186</v>
      </c>
      <c r="J268" t="s">
        <v>159</v>
      </c>
      <c r="K268">
        <v>2.3130284232758817E-2</v>
      </c>
      <c r="L268" t="s">
        <v>154</v>
      </c>
      <c r="N268" t="s">
        <v>216</v>
      </c>
      <c r="O268" t="s">
        <v>159</v>
      </c>
      <c r="P268">
        <v>0.14685868146583528</v>
      </c>
      <c r="Q268" t="s">
        <v>154</v>
      </c>
      <c r="S268" t="s">
        <v>247</v>
      </c>
      <c r="T268" t="s">
        <v>159</v>
      </c>
      <c r="U268">
        <v>0.1708476625493231</v>
      </c>
      <c r="V268" t="s">
        <v>154</v>
      </c>
    </row>
    <row r="269" spans="9:22" x14ac:dyDescent="0.25">
      <c r="I269" t="s">
        <v>186</v>
      </c>
      <c r="J269" t="s">
        <v>160</v>
      </c>
      <c r="K269">
        <v>6.3972277025207983E-2</v>
      </c>
      <c r="L269" t="s">
        <v>154</v>
      </c>
      <c r="N269" t="s">
        <v>216</v>
      </c>
      <c r="O269" t="s">
        <v>160</v>
      </c>
      <c r="P269">
        <v>3.0208925647788452E-2</v>
      </c>
      <c r="Q269" t="s">
        <v>154</v>
      </c>
      <c r="S269" t="s">
        <v>247</v>
      </c>
      <c r="T269" t="s">
        <v>160</v>
      </c>
      <c r="U269">
        <v>5.2561655195112092E-2</v>
      </c>
      <c r="V269" t="s">
        <v>154</v>
      </c>
    </row>
    <row r="270" spans="9:22" x14ac:dyDescent="0.25">
      <c r="I270" t="s">
        <v>186</v>
      </c>
      <c r="J270" t="s">
        <v>161</v>
      </c>
      <c r="K270">
        <v>7.6171133484926321E-4</v>
      </c>
      <c r="L270" t="s">
        <v>154</v>
      </c>
      <c r="N270" t="s">
        <v>216</v>
      </c>
      <c r="O270" t="s">
        <v>161</v>
      </c>
      <c r="P270">
        <v>2.1331360608561572E-3</v>
      </c>
      <c r="Q270" t="s">
        <v>154</v>
      </c>
      <c r="S270" t="s">
        <v>247</v>
      </c>
      <c r="T270" t="s">
        <v>161</v>
      </c>
      <c r="U270">
        <v>3.21509635354631E-3</v>
      </c>
      <c r="V270" t="s">
        <v>154</v>
      </c>
    </row>
    <row r="271" spans="9:22" x14ac:dyDescent="0.25">
      <c r="I271" t="s">
        <v>186</v>
      </c>
      <c r="J271" t="s">
        <v>162</v>
      </c>
      <c r="K271">
        <v>0</v>
      </c>
      <c r="L271" t="s">
        <v>154</v>
      </c>
      <c r="N271" t="s">
        <v>216</v>
      </c>
      <c r="O271" t="s">
        <v>162</v>
      </c>
      <c r="P271">
        <v>1.2880406913825913E-2</v>
      </c>
      <c r="Q271" t="s">
        <v>154</v>
      </c>
      <c r="S271" t="s">
        <v>247</v>
      </c>
      <c r="T271" t="s">
        <v>162</v>
      </c>
      <c r="U271">
        <v>1.7977262973989317E-2</v>
      </c>
      <c r="V271" t="s">
        <v>154</v>
      </c>
    </row>
    <row r="272" spans="9:22" x14ac:dyDescent="0.25">
      <c r="I272" t="s">
        <v>186</v>
      </c>
      <c r="J272" t="s">
        <v>163</v>
      </c>
      <c r="K272">
        <v>7.8197813190282059E-2</v>
      </c>
      <c r="L272" t="s">
        <v>154</v>
      </c>
      <c r="N272" t="s">
        <v>216</v>
      </c>
      <c r="O272" t="s">
        <v>163</v>
      </c>
      <c r="P272">
        <v>9.0887874532585053E-2</v>
      </c>
      <c r="Q272" t="s">
        <v>154</v>
      </c>
      <c r="S272" t="s">
        <v>247</v>
      </c>
      <c r="T272" t="s">
        <v>163</v>
      </c>
      <c r="U272">
        <v>9.865394342052404E-2</v>
      </c>
      <c r="V272" t="s">
        <v>154</v>
      </c>
    </row>
    <row r="273" spans="9:22" x14ac:dyDescent="0.25">
      <c r="I273" t="s">
        <v>186</v>
      </c>
      <c r="J273" t="s">
        <v>164</v>
      </c>
      <c r="K273">
        <v>0</v>
      </c>
      <c r="L273" t="s">
        <v>154</v>
      </c>
      <c r="N273" t="s">
        <v>216</v>
      </c>
      <c r="O273" t="s">
        <v>164</v>
      </c>
      <c r="P273">
        <v>6.9304149110278133E-3</v>
      </c>
      <c r="Q273" t="s">
        <v>154</v>
      </c>
      <c r="S273" t="s">
        <v>247</v>
      </c>
      <c r="T273" t="s">
        <v>164</v>
      </c>
      <c r="U273">
        <v>5.954721802848984E-3</v>
      </c>
      <c r="V273" t="s">
        <v>154</v>
      </c>
    </row>
    <row r="274" spans="9:22" x14ac:dyDescent="0.25">
      <c r="I274" t="s">
        <v>186</v>
      </c>
      <c r="J274" t="s">
        <v>165</v>
      </c>
      <c r="K274">
        <v>0</v>
      </c>
      <c r="L274" t="s">
        <v>154</v>
      </c>
      <c r="N274" t="s">
        <v>216</v>
      </c>
      <c r="O274" t="s">
        <v>165</v>
      </c>
      <c r="P274">
        <v>3.5740442760210239E-2</v>
      </c>
      <c r="Q274" t="s">
        <v>154</v>
      </c>
      <c r="S274" t="s">
        <v>247</v>
      </c>
      <c r="T274" t="s">
        <v>165</v>
      </c>
      <c r="U274">
        <v>3.6205867814618042E-2</v>
      </c>
      <c r="V274" t="s">
        <v>154</v>
      </c>
    </row>
    <row r="275" spans="9:22" x14ac:dyDescent="0.25">
      <c r="I275" t="s">
        <v>187</v>
      </c>
      <c r="J275" t="s">
        <v>153</v>
      </c>
      <c r="K275">
        <v>9.1153862183629739E-2</v>
      </c>
      <c r="L275" t="s">
        <v>154</v>
      </c>
      <c r="N275" t="s">
        <v>217</v>
      </c>
      <c r="O275" t="s">
        <v>153</v>
      </c>
      <c r="P275">
        <v>0.12319039006364468</v>
      </c>
      <c r="Q275" t="s">
        <v>154</v>
      </c>
      <c r="S275" t="s">
        <v>248</v>
      </c>
      <c r="T275" t="s">
        <v>153</v>
      </c>
      <c r="U275">
        <v>8.5239353491712466E-2</v>
      </c>
      <c r="V275" t="s">
        <v>154</v>
      </c>
    </row>
    <row r="276" spans="9:22" x14ac:dyDescent="0.25">
      <c r="I276" t="s">
        <v>187</v>
      </c>
      <c r="J276" t="s">
        <v>155</v>
      </c>
      <c r="K276">
        <v>4.6625250941579634E-3</v>
      </c>
      <c r="L276" t="s">
        <v>154</v>
      </c>
      <c r="N276" t="s">
        <v>217</v>
      </c>
      <c r="O276" t="s">
        <v>155</v>
      </c>
      <c r="P276">
        <v>6.9252488292590791E-3</v>
      </c>
      <c r="Q276" t="s">
        <v>154</v>
      </c>
      <c r="S276" t="s">
        <v>248</v>
      </c>
      <c r="T276" t="s">
        <v>155</v>
      </c>
      <c r="U276">
        <v>4.7675285866711778E-3</v>
      </c>
      <c r="V276" t="s">
        <v>154</v>
      </c>
    </row>
    <row r="277" spans="9:22" x14ac:dyDescent="0.25">
      <c r="I277" t="s">
        <v>187</v>
      </c>
      <c r="J277" t="s">
        <v>156</v>
      </c>
      <c r="K277">
        <v>0</v>
      </c>
      <c r="L277" t="s">
        <v>154</v>
      </c>
      <c r="N277" t="s">
        <v>217</v>
      </c>
      <c r="O277" t="s">
        <v>156</v>
      </c>
      <c r="P277">
        <v>3.5400901227038768E-2</v>
      </c>
      <c r="Q277" t="s">
        <v>154</v>
      </c>
      <c r="S277" t="s">
        <v>248</v>
      </c>
      <c r="T277" t="s">
        <v>156</v>
      </c>
      <c r="U277">
        <v>2.8960220814057473E-2</v>
      </c>
      <c r="V277" t="s">
        <v>154</v>
      </c>
    </row>
    <row r="278" spans="9:22" x14ac:dyDescent="0.25">
      <c r="I278" t="s">
        <v>187</v>
      </c>
      <c r="J278" t="s">
        <v>157</v>
      </c>
      <c r="K278">
        <v>0.68998565030672121</v>
      </c>
      <c r="L278" t="s">
        <v>154</v>
      </c>
      <c r="N278" t="s">
        <v>217</v>
      </c>
      <c r="O278" t="s">
        <v>157</v>
      </c>
      <c r="P278">
        <v>0.47270970884476909</v>
      </c>
      <c r="Q278" t="s">
        <v>154</v>
      </c>
      <c r="S278" t="s">
        <v>248</v>
      </c>
      <c r="T278" t="s">
        <v>157</v>
      </c>
      <c r="U278">
        <v>0.471426363546123</v>
      </c>
      <c r="V278" t="s">
        <v>154</v>
      </c>
    </row>
    <row r="279" spans="9:22" x14ac:dyDescent="0.25">
      <c r="I279" t="s">
        <v>187</v>
      </c>
      <c r="J279" t="s">
        <v>158</v>
      </c>
      <c r="K279">
        <v>4.4051440540076335E-2</v>
      </c>
      <c r="L279" t="s">
        <v>154</v>
      </c>
      <c r="N279" t="s">
        <v>217</v>
      </c>
      <c r="O279" t="s">
        <v>158</v>
      </c>
      <c r="P279">
        <v>3.1188068751939472E-2</v>
      </c>
      <c r="Q279" t="s">
        <v>154</v>
      </c>
      <c r="S279" t="s">
        <v>248</v>
      </c>
      <c r="T279" t="s">
        <v>158</v>
      </c>
      <c r="U279">
        <v>2.9024310663849494E-2</v>
      </c>
      <c r="V279" t="s">
        <v>154</v>
      </c>
    </row>
    <row r="280" spans="9:22" x14ac:dyDescent="0.25">
      <c r="I280" t="s">
        <v>187</v>
      </c>
      <c r="J280" t="s">
        <v>159</v>
      </c>
      <c r="K280">
        <v>2.4479464547968163E-2</v>
      </c>
      <c r="L280" t="s">
        <v>154</v>
      </c>
      <c r="N280" t="s">
        <v>217</v>
      </c>
      <c r="O280" t="s">
        <v>159</v>
      </c>
      <c r="P280">
        <v>0.12976297402399303</v>
      </c>
      <c r="Q280" t="s">
        <v>154</v>
      </c>
      <c r="S280" t="s">
        <v>248</v>
      </c>
      <c r="T280" t="s">
        <v>159</v>
      </c>
      <c r="U280">
        <v>0.17182724428258553</v>
      </c>
      <c r="V280" t="s">
        <v>154</v>
      </c>
    </row>
    <row r="281" spans="9:22" x14ac:dyDescent="0.25">
      <c r="I281" t="s">
        <v>187</v>
      </c>
      <c r="J281" t="s">
        <v>160</v>
      </c>
      <c r="K281">
        <v>6.5373495115770314E-2</v>
      </c>
      <c r="L281" t="s">
        <v>154</v>
      </c>
      <c r="N281" t="s">
        <v>217</v>
      </c>
      <c r="O281" t="s">
        <v>160</v>
      </c>
      <c r="P281">
        <v>3.3519008425959985E-2</v>
      </c>
      <c r="Q281" t="s">
        <v>154</v>
      </c>
      <c r="S281" t="s">
        <v>248</v>
      </c>
      <c r="T281" t="s">
        <v>160</v>
      </c>
      <c r="U281">
        <v>5.1551486559287714E-2</v>
      </c>
      <c r="V281" t="s">
        <v>154</v>
      </c>
    </row>
    <row r="282" spans="9:22" x14ac:dyDescent="0.25">
      <c r="I282" t="s">
        <v>187</v>
      </c>
      <c r="J282" t="s">
        <v>161</v>
      </c>
      <c r="K282">
        <v>1.1846655952476152E-3</v>
      </c>
      <c r="L282" t="s">
        <v>154</v>
      </c>
      <c r="N282" t="s">
        <v>217</v>
      </c>
      <c r="O282" t="s">
        <v>161</v>
      </c>
      <c r="P282">
        <v>2.0975904317452258E-3</v>
      </c>
      <c r="Q282" t="s">
        <v>154</v>
      </c>
      <c r="S282" t="s">
        <v>248</v>
      </c>
      <c r="T282" t="s">
        <v>161</v>
      </c>
      <c r="U282">
        <v>2.9763554279253496E-3</v>
      </c>
      <c r="V282" t="s">
        <v>154</v>
      </c>
    </row>
    <row r="283" spans="9:22" x14ac:dyDescent="0.25">
      <c r="I283" t="s">
        <v>187</v>
      </c>
      <c r="J283" t="s">
        <v>162</v>
      </c>
      <c r="K283">
        <v>0</v>
      </c>
      <c r="L283" t="s">
        <v>154</v>
      </c>
      <c r="N283" t="s">
        <v>217</v>
      </c>
      <c r="O283" t="s">
        <v>162</v>
      </c>
      <c r="P283">
        <v>1.2371171506242916E-2</v>
      </c>
      <c r="Q283" t="s">
        <v>154</v>
      </c>
      <c r="S283" t="s">
        <v>248</v>
      </c>
      <c r="T283" t="s">
        <v>162</v>
      </c>
      <c r="U283">
        <v>1.75014260850117E-2</v>
      </c>
      <c r="V283" t="s">
        <v>154</v>
      </c>
    </row>
    <row r="284" spans="9:22" x14ac:dyDescent="0.25">
      <c r="I284" t="s">
        <v>187</v>
      </c>
      <c r="J284" t="s">
        <v>163</v>
      </c>
      <c r="K284">
        <v>7.9084375649200594E-2</v>
      </c>
      <c r="L284" t="s">
        <v>154</v>
      </c>
      <c r="N284" t="s">
        <v>217</v>
      </c>
      <c r="O284" t="s">
        <v>163</v>
      </c>
      <c r="P284">
        <v>0.10761022904569303</v>
      </c>
      <c r="Q284" t="s">
        <v>154</v>
      </c>
      <c r="S284" t="s">
        <v>248</v>
      </c>
      <c r="T284" t="s">
        <v>163</v>
      </c>
      <c r="U284">
        <v>9.6535283003276517E-2</v>
      </c>
      <c r="V284" t="s">
        <v>154</v>
      </c>
    </row>
    <row r="285" spans="9:22" x14ac:dyDescent="0.25">
      <c r="I285" t="s">
        <v>187</v>
      </c>
      <c r="J285" t="s">
        <v>164</v>
      </c>
      <c r="K285">
        <v>2.4520967230344482E-5</v>
      </c>
      <c r="L285" t="s">
        <v>154</v>
      </c>
      <c r="N285" t="s">
        <v>217</v>
      </c>
      <c r="O285" t="s">
        <v>164</v>
      </c>
      <c r="P285">
        <v>7.4057899482774707E-3</v>
      </c>
      <c r="Q285" t="s">
        <v>154</v>
      </c>
      <c r="S285" t="s">
        <v>248</v>
      </c>
      <c r="T285" t="s">
        <v>164</v>
      </c>
      <c r="U285">
        <v>5.784380441697619E-3</v>
      </c>
      <c r="V285" t="s">
        <v>154</v>
      </c>
    </row>
    <row r="286" spans="9:22" x14ac:dyDescent="0.25">
      <c r="I286" t="s">
        <v>187</v>
      </c>
      <c r="J286" t="s">
        <v>165</v>
      </c>
      <c r="K286">
        <v>0</v>
      </c>
      <c r="L286" t="s">
        <v>154</v>
      </c>
      <c r="N286" t="s">
        <v>217</v>
      </c>
      <c r="O286" t="s">
        <v>165</v>
      </c>
      <c r="P286">
        <v>3.7818918901438528E-2</v>
      </c>
      <c r="Q286" t="s">
        <v>154</v>
      </c>
      <c r="S286" t="s">
        <v>248</v>
      </c>
      <c r="T286" t="s">
        <v>165</v>
      </c>
      <c r="U286">
        <v>3.4406047097802685E-2</v>
      </c>
      <c r="V286" t="s">
        <v>154</v>
      </c>
    </row>
    <row r="287" spans="9:22" x14ac:dyDescent="0.25">
      <c r="I287" t="s">
        <v>188</v>
      </c>
      <c r="J287" t="s">
        <v>153</v>
      </c>
      <c r="K287">
        <v>6.4325351495357286E-2</v>
      </c>
      <c r="L287" t="s">
        <v>154</v>
      </c>
      <c r="N287" t="s">
        <v>218</v>
      </c>
      <c r="O287" t="s">
        <v>153</v>
      </c>
      <c r="P287">
        <v>0.11677015063275763</v>
      </c>
      <c r="Q287" t="s">
        <v>154</v>
      </c>
      <c r="S287" t="s">
        <v>249</v>
      </c>
      <c r="T287" t="s">
        <v>153</v>
      </c>
      <c r="U287">
        <v>9.0284072169358021E-2</v>
      </c>
      <c r="V287" t="s">
        <v>154</v>
      </c>
    </row>
    <row r="288" spans="9:22" x14ac:dyDescent="0.25">
      <c r="I288" t="s">
        <v>188</v>
      </c>
      <c r="J288" t="s">
        <v>155</v>
      </c>
      <c r="K288">
        <v>2.3044235788469715E-3</v>
      </c>
      <c r="L288" t="s">
        <v>154</v>
      </c>
      <c r="N288" t="s">
        <v>218</v>
      </c>
      <c r="O288" t="s">
        <v>155</v>
      </c>
      <c r="P288">
        <v>7.0769716819319402E-3</v>
      </c>
      <c r="Q288" t="s">
        <v>154</v>
      </c>
      <c r="S288" t="s">
        <v>249</v>
      </c>
      <c r="T288" t="s">
        <v>155</v>
      </c>
      <c r="U288">
        <v>5.0550896901251597E-3</v>
      </c>
      <c r="V288" t="s">
        <v>154</v>
      </c>
    </row>
    <row r="289" spans="9:22" x14ac:dyDescent="0.25">
      <c r="I289" t="s">
        <v>188</v>
      </c>
      <c r="J289" t="s">
        <v>156</v>
      </c>
      <c r="K289">
        <v>0</v>
      </c>
      <c r="L289" t="s">
        <v>154</v>
      </c>
      <c r="N289" t="s">
        <v>218</v>
      </c>
      <c r="O289" t="s">
        <v>156</v>
      </c>
      <c r="P289">
        <v>3.2754776623912352E-2</v>
      </c>
      <c r="Q289" t="s">
        <v>154</v>
      </c>
      <c r="S289" t="s">
        <v>249</v>
      </c>
      <c r="T289" t="s">
        <v>156</v>
      </c>
      <c r="U289">
        <v>3.0380862756544426E-2</v>
      </c>
      <c r="V289" t="s">
        <v>154</v>
      </c>
    </row>
    <row r="290" spans="9:22" x14ac:dyDescent="0.25">
      <c r="I290" t="s">
        <v>188</v>
      </c>
      <c r="J290" t="s">
        <v>157</v>
      </c>
      <c r="K290">
        <v>0.74968464722431227</v>
      </c>
      <c r="L290" t="s">
        <v>154</v>
      </c>
      <c r="N290" t="s">
        <v>218</v>
      </c>
      <c r="O290" t="s">
        <v>157</v>
      </c>
      <c r="P290">
        <v>0.48312459127828078</v>
      </c>
      <c r="Q290" t="s">
        <v>154</v>
      </c>
      <c r="S290" t="s">
        <v>249</v>
      </c>
      <c r="T290" t="s">
        <v>157</v>
      </c>
      <c r="U290">
        <v>0.45520212390058062</v>
      </c>
      <c r="V290" t="s">
        <v>154</v>
      </c>
    </row>
    <row r="291" spans="9:22" x14ac:dyDescent="0.25">
      <c r="I291" t="s">
        <v>188</v>
      </c>
      <c r="J291" t="s">
        <v>158</v>
      </c>
      <c r="K291">
        <v>4.7597738404064255E-2</v>
      </c>
      <c r="L291" t="s">
        <v>154</v>
      </c>
      <c r="N291" t="s">
        <v>218</v>
      </c>
      <c r="O291" t="s">
        <v>158</v>
      </c>
      <c r="P291">
        <v>3.07669065377453E-2</v>
      </c>
      <c r="Q291" t="s">
        <v>154</v>
      </c>
      <c r="S291" t="s">
        <v>249</v>
      </c>
      <c r="T291" t="s">
        <v>158</v>
      </c>
      <c r="U291">
        <v>2.893522394288078E-2</v>
      </c>
      <c r="V291" t="s">
        <v>154</v>
      </c>
    </row>
    <row r="292" spans="9:22" x14ac:dyDescent="0.25">
      <c r="I292" t="s">
        <v>188</v>
      </c>
      <c r="J292" t="s">
        <v>159</v>
      </c>
      <c r="K292">
        <v>2.8899484729649396E-2</v>
      </c>
      <c r="L292" t="s">
        <v>154</v>
      </c>
      <c r="N292" t="s">
        <v>218</v>
      </c>
      <c r="O292" t="s">
        <v>159</v>
      </c>
      <c r="P292">
        <v>0.1404991368721431</v>
      </c>
      <c r="Q292" t="s">
        <v>154</v>
      </c>
      <c r="S292" t="s">
        <v>249</v>
      </c>
      <c r="T292" t="s">
        <v>159</v>
      </c>
      <c r="U292">
        <v>0.16324719453304082</v>
      </c>
      <c r="V292" t="s">
        <v>154</v>
      </c>
    </row>
    <row r="293" spans="9:22" x14ac:dyDescent="0.25">
      <c r="I293" t="s">
        <v>188</v>
      </c>
      <c r="J293" t="s">
        <v>160</v>
      </c>
      <c r="K293">
        <v>5.3847013456518177E-2</v>
      </c>
      <c r="L293" t="s">
        <v>154</v>
      </c>
      <c r="N293" t="s">
        <v>218</v>
      </c>
      <c r="O293" t="s">
        <v>160</v>
      </c>
      <c r="P293">
        <v>4.1962672680898983E-2</v>
      </c>
      <c r="Q293" t="s">
        <v>154</v>
      </c>
      <c r="S293" t="s">
        <v>249</v>
      </c>
      <c r="T293" t="s">
        <v>160</v>
      </c>
      <c r="U293">
        <v>5.5200113730120917E-2</v>
      </c>
      <c r="V293" t="s">
        <v>154</v>
      </c>
    </row>
    <row r="294" spans="9:22" x14ac:dyDescent="0.25">
      <c r="I294" t="s">
        <v>188</v>
      </c>
      <c r="J294" t="s">
        <v>161</v>
      </c>
      <c r="K294">
        <v>1.0262606466014718E-3</v>
      </c>
      <c r="L294" t="s">
        <v>154</v>
      </c>
      <c r="N294" t="s">
        <v>218</v>
      </c>
      <c r="O294" t="s">
        <v>161</v>
      </c>
      <c r="P294">
        <v>2.5860119097335303E-3</v>
      </c>
      <c r="Q294" t="s">
        <v>154</v>
      </c>
      <c r="S294" t="s">
        <v>249</v>
      </c>
      <c r="T294" t="s">
        <v>161</v>
      </c>
      <c r="U294">
        <v>3.1532571270157217E-3</v>
      </c>
      <c r="V294" t="s">
        <v>154</v>
      </c>
    </row>
    <row r="295" spans="9:22" x14ac:dyDescent="0.25">
      <c r="I295" t="s">
        <v>188</v>
      </c>
      <c r="J295" t="s">
        <v>162</v>
      </c>
      <c r="K295">
        <v>0</v>
      </c>
      <c r="L295" t="s">
        <v>154</v>
      </c>
      <c r="N295" t="s">
        <v>218</v>
      </c>
      <c r="O295" t="s">
        <v>162</v>
      </c>
      <c r="P295">
        <v>1.4183293261186031E-2</v>
      </c>
      <c r="Q295" t="s">
        <v>154</v>
      </c>
      <c r="S295" t="s">
        <v>249</v>
      </c>
      <c r="T295" t="s">
        <v>162</v>
      </c>
      <c r="U295">
        <v>1.9790549044198441E-2</v>
      </c>
      <c r="V295" t="s">
        <v>154</v>
      </c>
    </row>
    <row r="296" spans="9:22" x14ac:dyDescent="0.25">
      <c r="I296" t="s">
        <v>188</v>
      </c>
      <c r="J296" t="s">
        <v>163</v>
      </c>
      <c r="K296">
        <v>5.2315080464648889E-2</v>
      </c>
      <c r="L296" t="s">
        <v>154</v>
      </c>
      <c r="N296" t="s">
        <v>218</v>
      </c>
      <c r="O296" t="s">
        <v>163</v>
      </c>
      <c r="P296">
        <v>9.3941593310862964E-2</v>
      </c>
      <c r="Q296" t="s">
        <v>154</v>
      </c>
      <c r="S296" t="s">
        <v>249</v>
      </c>
      <c r="T296" t="s">
        <v>163</v>
      </c>
      <c r="U296">
        <v>0.10587730512451485</v>
      </c>
      <c r="V296" t="s">
        <v>154</v>
      </c>
    </row>
    <row r="297" spans="9:22" x14ac:dyDescent="0.25">
      <c r="I297" t="s">
        <v>188</v>
      </c>
      <c r="J297" t="s">
        <v>164</v>
      </c>
      <c r="K297">
        <v>0</v>
      </c>
      <c r="L297" t="s">
        <v>154</v>
      </c>
      <c r="N297" t="s">
        <v>218</v>
      </c>
      <c r="O297" t="s">
        <v>164</v>
      </c>
      <c r="P297">
        <v>5.7347309117361089E-3</v>
      </c>
      <c r="Q297" t="s">
        <v>154</v>
      </c>
      <c r="S297" t="s">
        <v>249</v>
      </c>
      <c r="T297" t="s">
        <v>164</v>
      </c>
      <c r="U297">
        <v>6.0093657384304782E-3</v>
      </c>
      <c r="V297" t="s">
        <v>154</v>
      </c>
    </row>
    <row r="298" spans="9:22" x14ac:dyDescent="0.25">
      <c r="I298" t="s">
        <v>188</v>
      </c>
      <c r="J298" t="s">
        <v>165</v>
      </c>
      <c r="K298">
        <v>0</v>
      </c>
      <c r="L298" t="s">
        <v>154</v>
      </c>
      <c r="N298" t="s">
        <v>218</v>
      </c>
      <c r="O298" t="s">
        <v>165</v>
      </c>
      <c r="P298">
        <v>3.0599164298809021E-2</v>
      </c>
      <c r="Q298" t="s">
        <v>154</v>
      </c>
      <c r="S298" t="s">
        <v>249</v>
      </c>
      <c r="T298" t="s">
        <v>165</v>
      </c>
      <c r="U298">
        <v>3.6864842243188742E-2</v>
      </c>
      <c r="V298" t="s">
        <v>154</v>
      </c>
    </row>
    <row r="299" spans="9:22" x14ac:dyDescent="0.25">
      <c r="I299" t="s">
        <v>189</v>
      </c>
      <c r="J299" t="s">
        <v>153</v>
      </c>
      <c r="K299">
        <v>5.8151676565251394E-2</v>
      </c>
      <c r="L299" t="s">
        <v>154</v>
      </c>
      <c r="N299" t="s">
        <v>219</v>
      </c>
      <c r="O299" t="s">
        <v>153</v>
      </c>
      <c r="P299">
        <v>0.10121779237449265</v>
      </c>
      <c r="Q299" t="s">
        <v>154</v>
      </c>
      <c r="S299" t="s">
        <v>250</v>
      </c>
      <c r="T299" t="s">
        <v>153</v>
      </c>
      <c r="U299">
        <v>0.11024671708626596</v>
      </c>
      <c r="V299" t="s">
        <v>154</v>
      </c>
    </row>
    <row r="300" spans="9:22" x14ac:dyDescent="0.25">
      <c r="I300" t="s">
        <v>189</v>
      </c>
      <c r="J300" t="s">
        <v>155</v>
      </c>
      <c r="K300">
        <v>2.7718266300626338E-3</v>
      </c>
      <c r="L300" t="s">
        <v>154</v>
      </c>
      <c r="N300" t="s">
        <v>219</v>
      </c>
      <c r="O300" t="s">
        <v>155</v>
      </c>
      <c r="P300">
        <v>5.6234097736771608E-3</v>
      </c>
      <c r="Q300" t="s">
        <v>154</v>
      </c>
      <c r="S300" t="s">
        <v>250</v>
      </c>
      <c r="T300" t="s">
        <v>155</v>
      </c>
      <c r="U300">
        <v>6.0824151787899332E-3</v>
      </c>
      <c r="V300" t="s">
        <v>154</v>
      </c>
    </row>
    <row r="301" spans="9:22" x14ac:dyDescent="0.25">
      <c r="I301" t="s">
        <v>189</v>
      </c>
      <c r="J301" t="s">
        <v>156</v>
      </c>
      <c r="K301">
        <v>0</v>
      </c>
      <c r="L301" t="s">
        <v>154</v>
      </c>
      <c r="N301" t="s">
        <v>219</v>
      </c>
      <c r="O301" t="s">
        <v>156</v>
      </c>
      <c r="P301">
        <v>3.0794360740121308E-2</v>
      </c>
      <c r="Q301" t="s">
        <v>154</v>
      </c>
      <c r="S301" t="s">
        <v>250</v>
      </c>
      <c r="T301" t="s">
        <v>156</v>
      </c>
      <c r="U301">
        <v>3.7466852666346702E-2</v>
      </c>
      <c r="V301" t="s">
        <v>154</v>
      </c>
    </row>
    <row r="302" spans="9:22" x14ac:dyDescent="0.25">
      <c r="I302" t="s">
        <v>189</v>
      </c>
      <c r="J302" t="s">
        <v>157</v>
      </c>
      <c r="K302">
        <v>0.74028540581009672</v>
      </c>
      <c r="L302" t="s">
        <v>154</v>
      </c>
      <c r="N302" t="s">
        <v>219</v>
      </c>
      <c r="O302" t="s">
        <v>157</v>
      </c>
      <c r="P302">
        <v>0.4577088964148312</v>
      </c>
      <c r="Q302" t="s">
        <v>154</v>
      </c>
      <c r="S302" t="s">
        <v>250</v>
      </c>
      <c r="T302" t="s">
        <v>157</v>
      </c>
      <c r="U302">
        <v>0.43314711558909585</v>
      </c>
      <c r="V302" t="s">
        <v>154</v>
      </c>
    </row>
    <row r="303" spans="9:22" x14ac:dyDescent="0.25">
      <c r="I303" t="s">
        <v>189</v>
      </c>
      <c r="J303" t="s">
        <v>158</v>
      </c>
      <c r="K303">
        <v>5.19694923668731E-2</v>
      </c>
      <c r="L303" t="s">
        <v>154</v>
      </c>
      <c r="N303" t="s">
        <v>219</v>
      </c>
      <c r="O303" t="s">
        <v>158</v>
      </c>
      <c r="P303">
        <v>2.9671953770380982E-2</v>
      </c>
      <c r="Q303" t="s">
        <v>154</v>
      </c>
      <c r="S303" t="s">
        <v>250</v>
      </c>
      <c r="T303" t="s">
        <v>158</v>
      </c>
      <c r="U303">
        <v>2.5501695494609788E-2</v>
      </c>
      <c r="V303" t="s">
        <v>154</v>
      </c>
    </row>
    <row r="304" spans="9:22" x14ac:dyDescent="0.25">
      <c r="I304" t="s">
        <v>189</v>
      </c>
      <c r="J304" t="s">
        <v>159</v>
      </c>
      <c r="K304">
        <v>3.5875512878224582E-2</v>
      </c>
      <c r="L304" t="s">
        <v>154</v>
      </c>
      <c r="N304" t="s">
        <v>219</v>
      </c>
      <c r="O304" t="s">
        <v>159</v>
      </c>
      <c r="P304">
        <v>0.15119213753174188</v>
      </c>
      <c r="Q304" t="s">
        <v>154</v>
      </c>
      <c r="S304" t="s">
        <v>250</v>
      </c>
      <c r="T304" t="s">
        <v>159</v>
      </c>
      <c r="U304">
        <v>0.14937665512142767</v>
      </c>
      <c r="V304" t="s">
        <v>154</v>
      </c>
    </row>
    <row r="305" spans="9:22" x14ac:dyDescent="0.25">
      <c r="I305" t="s">
        <v>189</v>
      </c>
      <c r="J305" t="s">
        <v>160</v>
      </c>
      <c r="K305">
        <v>5.5230647045906169E-2</v>
      </c>
      <c r="L305" t="s">
        <v>154</v>
      </c>
      <c r="N305" t="s">
        <v>219</v>
      </c>
      <c r="O305" t="s">
        <v>160</v>
      </c>
      <c r="P305">
        <v>5.2770005830985983E-2</v>
      </c>
      <c r="Q305" t="s">
        <v>154</v>
      </c>
      <c r="S305" t="s">
        <v>250</v>
      </c>
      <c r="T305" t="s">
        <v>160</v>
      </c>
      <c r="U305">
        <v>5.6275236779923986E-2</v>
      </c>
      <c r="V305" t="s">
        <v>154</v>
      </c>
    </row>
    <row r="306" spans="9:22" x14ac:dyDescent="0.25">
      <c r="I306" t="s">
        <v>189</v>
      </c>
      <c r="J306" t="s">
        <v>161</v>
      </c>
      <c r="K306">
        <v>1.973511288836295E-3</v>
      </c>
      <c r="L306" t="s">
        <v>154</v>
      </c>
      <c r="N306" t="s">
        <v>219</v>
      </c>
      <c r="O306" t="s">
        <v>161</v>
      </c>
      <c r="P306">
        <v>3.2358424910986913E-3</v>
      </c>
      <c r="Q306" t="s">
        <v>154</v>
      </c>
      <c r="S306" t="s">
        <v>250</v>
      </c>
      <c r="T306" t="s">
        <v>161</v>
      </c>
      <c r="U306">
        <v>2.9893460774898946E-3</v>
      </c>
      <c r="V306" t="s">
        <v>154</v>
      </c>
    </row>
    <row r="307" spans="9:22" x14ac:dyDescent="0.25">
      <c r="I307" t="s">
        <v>189</v>
      </c>
      <c r="J307" t="s">
        <v>162</v>
      </c>
      <c r="K307">
        <v>0</v>
      </c>
      <c r="L307" t="s">
        <v>154</v>
      </c>
      <c r="N307" t="s">
        <v>219</v>
      </c>
      <c r="O307" t="s">
        <v>162</v>
      </c>
      <c r="P307">
        <v>1.7522381437983535E-2</v>
      </c>
      <c r="Q307" t="s">
        <v>154</v>
      </c>
      <c r="S307" t="s">
        <v>250</v>
      </c>
      <c r="T307" t="s">
        <v>162</v>
      </c>
      <c r="U307">
        <v>2.0393923227032151E-2</v>
      </c>
      <c r="V307" t="s">
        <v>154</v>
      </c>
    </row>
    <row r="308" spans="9:22" x14ac:dyDescent="0.25">
      <c r="I308" t="s">
        <v>189</v>
      </c>
      <c r="J308" t="s">
        <v>163</v>
      </c>
      <c r="K308">
        <v>5.336262130305254E-2</v>
      </c>
      <c r="L308" t="s">
        <v>154</v>
      </c>
      <c r="N308" t="s">
        <v>219</v>
      </c>
      <c r="O308" t="s">
        <v>163</v>
      </c>
      <c r="P308">
        <v>0.10793832976433844</v>
      </c>
      <c r="Q308" t="s">
        <v>154</v>
      </c>
      <c r="S308" t="s">
        <v>250</v>
      </c>
      <c r="T308" t="s">
        <v>163</v>
      </c>
      <c r="U308">
        <v>0.10814056614790603</v>
      </c>
      <c r="V308" t="s">
        <v>154</v>
      </c>
    </row>
    <row r="309" spans="9:22" x14ac:dyDescent="0.25">
      <c r="I309" t="s">
        <v>189</v>
      </c>
      <c r="J309" t="s">
        <v>164</v>
      </c>
      <c r="K309">
        <v>3.7930611169903971E-4</v>
      </c>
      <c r="L309" t="s">
        <v>154</v>
      </c>
      <c r="N309" t="s">
        <v>219</v>
      </c>
      <c r="O309" t="s">
        <v>164</v>
      </c>
      <c r="P309">
        <v>6.1897779833622688E-3</v>
      </c>
      <c r="Q309" t="s">
        <v>154</v>
      </c>
      <c r="S309" t="s">
        <v>250</v>
      </c>
      <c r="T309" t="s">
        <v>164</v>
      </c>
      <c r="U309">
        <v>6.9196665018783467E-3</v>
      </c>
      <c r="V309" t="s">
        <v>154</v>
      </c>
    </row>
    <row r="310" spans="9:22" x14ac:dyDescent="0.25">
      <c r="I310" t="s">
        <v>189</v>
      </c>
      <c r="J310" t="s">
        <v>165</v>
      </c>
      <c r="K310">
        <v>0</v>
      </c>
      <c r="L310" t="s">
        <v>154</v>
      </c>
      <c r="N310" t="s">
        <v>219</v>
      </c>
      <c r="O310" t="s">
        <v>165</v>
      </c>
      <c r="P310">
        <v>3.6135111886989431E-2</v>
      </c>
      <c r="Q310" t="s">
        <v>154</v>
      </c>
      <c r="S310" t="s">
        <v>250</v>
      </c>
      <c r="T310" t="s">
        <v>165</v>
      </c>
      <c r="U310">
        <v>4.3459810129229115E-2</v>
      </c>
      <c r="V310" t="s">
        <v>154</v>
      </c>
    </row>
    <row r="311" spans="9:22" x14ac:dyDescent="0.25">
      <c r="I311" t="s">
        <v>190</v>
      </c>
      <c r="J311" t="s">
        <v>153</v>
      </c>
      <c r="K311">
        <v>6.7650323224741932E-2</v>
      </c>
      <c r="L311" t="s">
        <v>154</v>
      </c>
      <c r="N311" t="s">
        <v>220</v>
      </c>
      <c r="O311" t="s">
        <v>153</v>
      </c>
      <c r="P311">
        <v>9.1761546281817971E-2</v>
      </c>
      <c r="Q311" t="s">
        <v>154</v>
      </c>
      <c r="S311" t="s">
        <v>251</v>
      </c>
      <c r="T311" t="s">
        <v>153</v>
      </c>
      <c r="U311">
        <v>0.11667966530798635</v>
      </c>
      <c r="V311" t="s">
        <v>154</v>
      </c>
    </row>
    <row r="312" spans="9:22" x14ac:dyDescent="0.25">
      <c r="I312" t="s">
        <v>190</v>
      </c>
      <c r="J312" t="s">
        <v>155</v>
      </c>
      <c r="K312">
        <v>3.2851022301089278E-3</v>
      </c>
      <c r="L312" t="s">
        <v>154</v>
      </c>
      <c r="N312" t="s">
        <v>220</v>
      </c>
      <c r="O312" t="s">
        <v>155</v>
      </c>
      <c r="P312">
        <v>5.7127801214029959E-3</v>
      </c>
      <c r="Q312" t="s">
        <v>154</v>
      </c>
      <c r="S312" t="s">
        <v>251</v>
      </c>
      <c r="T312" t="s">
        <v>155</v>
      </c>
      <c r="U312">
        <v>6.2439717833464694E-3</v>
      </c>
      <c r="V312" t="s">
        <v>154</v>
      </c>
    </row>
    <row r="313" spans="9:22" x14ac:dyDescent="0.25">
      <c r="I313" t="s">
        <v>190</v>
      </c>
      <c r="J313" t="s">
        <v>156</v>
      </c>
      <c r="K313">
        <v>0</v>
      </c>
      <c r="L313" t="s">
        <v>154</v>
      </c>
      <c r="N313" t="s">
        <v>220</v>
      </c>
      <c r="O313" t="s">
        <v>156</v>
      </c>
      <c r="P313">
        <v>3.3547539690114501E-2</v>
      </c>
      <c r="Q313" t="s">
        <v>154</v>
      </c>
      <c r="S313" t="s">
        <v>251</v>
      </c>
      <c r="T313" t="s">
        <v>156</v>
      </c>
      <c r="U313">
        <v>3.926856442335501E-2</v>
      </c>
      <c r="V313" t="s">
        <v>154</v>
      </c>
    </row>
    <row r="314" spans="9:22" x14ac:dyDescent="0.25">
      <c r="I314" t="s">
        <v>190</v>
      </c>
      <c r="J314" t="s">
        <v>157</v>
      </c>
      <c r="K314">
        <v>0.72741220212037916</v>
      </c>
      <c r="L314" t="s">
        <v>154</v>
      </c>
      <c r="N314" t="s">
        <v>220</v>
      </c>
      <c r="O314" t="s">
        <v>157</v>
      </c>
      <c r="P314">
        <v>0.45825948443168812</v>
      </c>
      <c r="Q314" t="s">
        <v>154</v>
      </c>
      <c r="S314" t="s">
        <v>251</v>
      </c>
      <c r="T314" t="s">
        <v>157</v>
      </c>
      <c r="U314">
        <v>0.41235795251460827</v>
      </c>
      <c r="V314" t="s">
        <v>154</v>
      </c>
    </row>
    <row r="315" spans="9:22" x14ac:dyDescent="0.25">
      <c r="I315" t="s">
        <v>190</v>
      </c>
      <c r="J315" t="s">
        <v>158</v>
      </c>
      <c r="K315">
        <v>4.9447437206077062E-2</v>
      </c>
      <c r="L315" t="s">
        <v>154</v>
      </c>
      <c r="N315" t="s">
        <v>220</v>
      </c>
      <c r="O315" t="s">
        <v>158</v>
      </c>
      <c r="P315">
        <v>2.8987424234575739E-2</v>
      </c>
      <c r="Q315" t="s">
        <v>154</v>
      </c>
      <c r="S315" t="s">
        <v>251</v>
      </c>
      <c r="T315" t="s">
        <v>158</v>
      </c>
      <c r="U315">
        <v>2.6893774148454955E-2</v>
      </c>
      <c r="V315" t="s">
        <v>154</v>
      </c>
    </row>
    <row r="316" spans="9:22" x14ac:dyDescent="0.25">
      <c r="I316" t="s">
        <v>190</v>
      </c>
      <c r="J316" t="s">
        <v>159</v>
      </c>
      <c r="K316">
        <v>3.3436766798936021E-2</v>
      </c>
      <c r="L316" t="s">
        <v>154</v>
      </c>
      <c r="N316" t="s">
        <v>220</v>
      </c>
      <c r="O316" t="s">
        <v>159</v>
      </c>
      <c r="P316">
        <v>0.16321027858223869</v>
      </c>
      <c r="Q316" t="s">
        <v>154</v>
      </c>
      <c r="S316" t="s">
        <v>251</v>
      </c>
      <c r="T316" t="s">
        <v>159</v>
      </c>
      <c r="U316">
        <v>0.13910336231549442</v>
      </c>
      <c r="V316" t="s">
        <v>154</v>
      </c>
    </row>
    <row r="317" spans="9:22" x14ac:dyDescent="0.25">
      <c r="I317" t="s">
        <v>190</v>
      </c>
      <c r="J317" t="s">
        <v>160</v>
      </c>
      <c r="K317">
        <v>5.8443391715791035E-2</v>
      </c>
      <c r="L317" t="s">
        <v>154</v>
      </c>
      <c r="N317" t="s">
        <v>220</v>
      </c>
      <c r="O317" t="s">
        <v>160</v>
      </c>
      <c r="P317">
        <v>5.4673532838002373E-2</v>
      </c>
      <c r="Q317" t="s">
        <v>154</v>
      </c>
      <c r="S317" t="s">
        <v>251</v>
      </c>
      <c r="T317" t="s">
        <v>160</v>
      </c>
      <c r="U317">
        <v>5.7728685379123741E-2</v>
      </c>
      <c r="V317" t="s">
        <v>154</v>
      </c>
    </row>
    <row r="318" spans="9:22" x14ac:dyDescent="0.25">
      <c r="I318" t="s">
        <v>190</v>
      </c>
      <c r="J318" t="s">
        <v>161</v>
      </c>
      <c r="K318">
        <v>2.1081237815883183E-3</v>
      </c>
      <c r="L318" t="s">
        <v>154</v>
      </c>
      <c r="N318" t="s">
        <v>220</v>
      </c>
      <c r="O318" t="s">
        <v>161</v>
      </c>
      <c r="P318">
        <v>3.5700538792453646E-3</v>
      </c>
      <c r="Q318" t="s">
        <v>154</v>
      </c>
      <c r="S318" t="s">
        <v>251</v>
      </c>
      <c r="T318" t="s">
        <v>161</v>
      </c>
      <c r="U318">
        <v>3.3228960527419433E-3</v>
      </c>
      <c r="V318" t="s">
        <v>154</v>
      </c>
    </row>
    <row r="319" spans="9:22" x14ac:dyDescent="0.25">
      <c r="I319" t="s">
        <v>190</v>
      </c>
      <c r="J319" t="s">
        <v>162</v>
      </c>
      <c r="K319">
        <v>0</v>
      </c>
      <c r="L319" t="s">
        <v>154</v>
      </c>
      <c r="N319" t="s">
        <v>220</v>
      </c>
      <c r="O319" t="s">
        <v>162</v>
      </c>
      <c r="P319">
        <v>1.938054011180354E-2</v>
      </c>
      <c r="Q319" t="s">
        <v>154</v>
      </c>
      <c r="S319" t="s">
        <v>251</v>
      </c>
      <c r="T319" t="s">
        <v>162</v>
      </c>
      <c r="U319">
        <v>2.1562738715284278E-2</v>
      </c>
      <c r="V319" t="s">
        <v>154</v>
      </c>
    </row>
    <row r="320" spans="9:22" x14ac:dyDescent="0.25">
      <c r="I320" t="s">
        <v>190</v>
      </c>
      <c r="J320" t="s">
        <v>163</v>
      </c>
      <c r="K320">
        <v>5.7331606317468392E-2</v>
      </c>
      <c r="L320" t="s">
        <v>154</v>
      </c>
      <c r="N320" t="s">
        <v>220</v>
      </c>
      <c r="O320" t="s">
        <v>163</v>
      </c>
      <c r="P320">
        <v>9.9693688074406775E-2</v>
      </c>
      <c r="Q320" t="s">
        <v>154</v>
      </c>
      <c r="S320" t="s">
        <v>251</v>
      </c>
      <c r="T320" t="s">
        <v>163</v>
      </c>
      <c r="U320">
        <v>0.12070726504713837</v>
      </c>
      <c r="V320" t="s">
        <v>154</v>
      </c>
    </row>
    <row r="321" spans="9:22" x14ac:dyDescent="0.25">
      <c r="I321" t="s">
        <v>190</v>
      </c>
      <c r="J321" t="s">
        <v>164</v>
      </c>
      <c r="K321">
        <v>8.8504660490705946E-4</v>
      </c>
      <c r="L321" t="s">
        <v>154</v>
      </c>
      <c r="N321" t="s">
        <v>220</v>
      </c>
      <c r="O321" t="s">
        <v>164</v>
      </c>
      <c r="P321">
        <v>5.9677866032347184E-3</v>
      </c>
      <c r="Q321" t="s">
        <v>154</v>
      </c>
      <c r="S321" t="s">
        <v>251</v>
      </c>
      <c r="T321" t="s">
        <v>164</v>
      </c>
      <c r="U321">
        <v>7.6908817155609205E-3</v>
      </c>
      <c r="V321" t="s">
        <v>154</v>
      </c>
    </row>
    <row r="322" spans="9:22" x14ac:dyDescent="0.25">
      <c r="I322" t="s">
        <v>190</v>
      </c>
      <c r="J322" t="s">
        <v>165</v>
      </c>
      <c r="K322">
        <v>0</v>
      </c>
      <c r="L322" t="s">
        <v>154</v>
      </c>
      <c r="N322" t="s">
        <v>220</v>
      </c>
      <c r="O322" t="s">
        <v>165</v>
      </c>
      <c r="P322">
        <v>3.5235345151467798E-2</v>
      </c>
      <c r="Q322" t="s">
        <v>154</v>
      </c>
      <c r="S322" t="s">
        <v>251</v>
      </c>
      <c r="T322" t="s">
        <v>165</v>
      </c>
      <c r="U322">
        <v>4.8440242596906866E-2</v>
      </c>
      <c r="V322" t="s">
        <v>154</v>
      </c>
    </row>
    <row r="323" spans="9:22" x14ac:dyDescent="0.25">
      <c r="I323" t="s">
        <v>191</v>
      </c>
      <c r="J323" t="s">
        <v>153</v>
      </c>
      <c r="K323">
        <v>6.6485480645074008E-2</v>
      </c>
      <c r="L323" t="s">
        <v>154</v>
      </c>
      <c r="N323" t="s">
        <v>221</v>
      </c>
      <c r="O323" t="s">
        <v>153</v>
      </c>
      <c r="P323">
        <v>0.10922004371790633</v>
      </c>
      <c r="Q323" t="s">
        <v>154</v>
      </c>
      <c r="S323" t="s">
        <v>252</v>
      </c>
      <c r="T323" t="s">
        <v>153</v>
      </c>
      <c r="U323">
        <v>9.9604452465705942E-2</v>
      </c>
      <c r="V323" t="s">
        <v>154</v>
      </c>
    </row>
    <row r="324" spans="9:22" x14ac:dyDescent="0.25">
      <c r="I324" t="s">
        <v>191</v>
      </c>
      <c r="J324" t="s">
        <v>155</v>
      </c>
      <c r="K324">
        <v>1.2785847280341526E-3</v>
      </c>
      <c r="L324" t="s">
        <v>154</v>
      </c>
      <c r="N324" t="s">
        <v>221</v>
      </c>
      <c r="O324" t="s">
        <v>155</v>
      </c>
      <c r="P324">
        <v>6.6273130008616911E-3</v>
      </c>
      <c r="Q324" t="s">
        <v>154</v>
      </c>
      <c r="S324" t="s">
        <v>252</v>
      </c>
      <c r="T324" t="s">
        <v>155</v>
      </c>
      <c r="U324">
        <v>5.4835996089433858E-3</v>
      </c>
      <c r="V324" t="s">
        <v>154</v>
      </c>
    </row>
    <row r="325" spans="9:22" x14ac:dyDescent="0.25">
      <c r="I325" t="s">
        <v>191</v>
      </c>
      <c r="J325" t="s">
        <v>156</v>
      </c>
      <c r="K325">
        <v>0</v>
      </c>
      <c r="L325" t="s">
        <v>154</v>
      </c>
      <c r="N325" t="s">
        <v>221</v>
      </c>
      <c r="O325" t="s">
        <v>156</v>
      </c>
      <c r="P325">
        <v>3.5155600362089229E-2</v>
      </c>
      <c r="Q325" t="s">
        <v>154</v>
      </c>
      <c r="S325" t="s">
        <v>252</v>
      </c>
      <c r="T325" t="s">
        <v>156</v>
      </c>
      <c r="U325">
        <v>3.5425728947074957E-2</v>
      </c>
      <c r="V325" t="s">
        <v>154</v>
      </c>
    </row>
    <row r="326" spans="9:22" x14ac:dyDescent="0.25">
      <c r="I326" t="s">
        <v>191</v>
      </c>
      <c r="J326" t="s">
        <v>157</v>
      </c>
      <c r="K326">
        <v>0.74352308801190281</v>
      </c>
      <c r="L326" t="s">
        <v>154</v>
      </c>
      <c r="N326" t="s">
        <v>221</v>
      </c>
      <c r="O326" t="s">
        <v>157</v>
      </c>
      <c r="P326">
        <v>0.45907278994477657</v>
      </c>
      <c r="Q326" t="s">
        <v>154</v>
      </c>
      <c r="S326" t="s">
        <v>252</v>
      </c>
      <c r="T326" t="s">
        <v>157</v>
      </c>
      <c r="U326">
        <v>0.44787155105392984</v>
      </c>
      <c r="V326" t="s">
        <v>154</v>
      </c>
    </row>
    <row r="327" spans="9:22" x14ac:dyDescent="0.25">
      <c r="I327" t="s">
        <v>191</v>
      </c>
      <c r="J327" t="s">
        <v>158</v>
      </c>
      <c r="K327">
        <v>4.5763274455349695E-2</v>
      </c>
      <c r="L327" t="s">
        <v>154</v>
      </c>
      <c r="N327" t="s">
        <v>221</v>
      </c>
      <c r="O327" t="s">
        <v>158</v>
      </c>
      <c r="P327">
        <v>2.836159446510983E-2</v>
      </c>
      <c r="Q327" t="s">
        <v>154</v>
      </c>
      <c r="S327" t="s">
        <v>252</v>
      </c>
      <c r="T327" t="s">
        <v>158</v>
      </c>
      <c r="U327">
        <v>2.7670135326901352E-2</v>
      </c>
      <c r="V327" t="s">
        <v>154</v>
      </c>
    </row>
    <row r="328" spans="9:22" x14ac:dyDescent="0.25">
      <c r="I328" t="s">
        <v>191</v>
      </c>
      <c r="J328" t="s">
        <v>159</v>
      </c>
      <c r="K328">
        <v>2.7093538562677613E-2</v>
      </c>
      <c r="L328" t="s">
        <v>154</v>
      </c>
      <c r="N328" t="s">
        <v>221</v>
      </c>
      <c r="O328" t="s">
        <v>159</v>
      </c>
      <c r="P328">
        <v>0.14767334685749262</v>
      </c>
      <c r="Q328" t="s">
        <v>154</v>
      </c>
      <c r="S328" t="s">
        <v>252</v>
      </c>
      <c r="T328" t="s">
        <v>159</v>
      </c>
      <c r="U328">
        <v>0.14205453127752871</v>
      </c>
      <c r="V328" t="s">
        <v>154</v>
      </c>
    </row>
    <row r="329" spans="9:22" x14ac:dyDescent="0.25">
      <c r="I329" t="s">
        <v>191</v>
      </c>
      <c r="J329" t="s">
        <v>160</v>
      </c>
      <c r="K329">
        <v>5.3537278502174497E-2</v>
      </c>
      <c r="L329" t="s">
        <v>154</v>
      </c>
      <c r="N329" t="s">
        <v>221</v>
      </c>
      <c r="O329" t="s">
        <v>160</v>
      </c>
      <c r="P329">
        <v>5.0593588489496154E-2</v>
      </c>
      <c r="Q329" t="s">
        <v>154</v>
      </c>
      <c r="S329" t="s">
        <v>252</v>
      </c>
      <c r="T329" t="s">
        <v>160</v>
      </c>
      <c r="U329">
        <v>5.5592303036421299E-2</v>
      </c>
      <c r="V329" t="s">
        <v>154</v>
      </c>
    </row>
    <row r="330" spans="9:22" x14ac:dyDescent="0.25">
      <c r="I330" t="s">
        <v>191</v>
      </c>
      <c r="J330" t="s">
        <v>161</v>
      </c>
      <c r="K330">
        <v>3.7085776530597428E-5</v>
      </c>
      <c r="L330" t="s">
        <v>154</v>
      </c>
      <c r="N330" t="s">
        <v>221</v>
      </c>
      <c r="O330" t="s">
        <v>161</v>
      </c>
      <c r="P330">
        <v>3.1132959425974249E-3</v>
      </c>
      <c r="Q330" t="s">
        <v>154</v>
      </c>
      <c r="S330" t="s">
        <v>252</v>
      </c>
      <c r="T330" t="s">
        <v>161</v>
      </c>
      <c r="U330">
        <v>3.3254955960679879E-3</v>
      </c>
      <c r="V330" t="s">
        <v>154</v>
      </c>
    </row>
    <row r="331" spans="9:22" x14ac:dyDescent="0.25">
      <c r="I331" t="s">
        <v>191</v>
      </c>
      <c r="J331" t="s">
        <v>162</v>
      </c>
      <c r="K331">
        <v>0</v>
      </c>
      <c r="L331" t="s">
        <v>154</v>
      </c>
      <c r="N331" t="s">
        <v>221</v>
      </c>
      <c r="O331" t="s">
        <v>162</v>
      </c>
      <c r="P331">
        <v>1.7222457235570615E-2</v>
      </c>
      <c r="Q331" t="s">
        <v>154</v>
      </c>
      <c r="S331" t="s">
        <v>252</v>
      </c>
      <c r="T331" t="s">
        <v>162</v>
      </c>
      <c r="U331">
        <v>2.0455639761648568E-2</v>
      </c>
      <c r="V331" t="s">
        <v>154</v>
      </c>
    </row>
    <row r="332" spans="9:22" x14ac:dyDescent="0.25">
      <c r="I332" t="s">
        <v>191</v>
      </c>
      <c r="J332" t="s">
        <v>163</v>
      </c>
      <c r="K332">
        <v>6.228166931825755E-2</v>
      </c>
      <c r="L332" t="s">
        <v>154</v>
      </c>
      <c r="N332" t="s">
        <v>221</v>
      </c>
      <c r="O332" t="s">
        <v>163</v>
      </c>
      <c r="P332">
        <v>0.10102999488087117</v>
      </c>
      <c r="Q332" t="s">
        <v>154</v>
      </c>
      <c r="S332" t="s">
        <v>252</v>
      </c>
      <c r="T332" t="s">
        <v>163</v>
      </c>
      <c r="U332">
        <v>0.11168497393444227</v>
      </c>
      <c r="V332" t="s">
        <v>154</v>
      </c>
    </row>
    <row r="333" spans="9:22" x14ac:dyDescent="0.25">
      <c r="I333" t="s">
        <v>191</v>
      </c>
      <c r="J333" t="s">
        <v>164</v>
      </c>
      <c r="K333">
        <v>0</v>
      </c>
      <c r="L333" t="s">
        <v>154</v>
      </c>
      <c r="N333" t="s">
        <v>221</v>
      </c>
      <c r="O333" t="s">
        <v>164</v>
      </c>
      <c r="P333">
        <v>6.1026775598648289E-3</v>
      </c>
      <c r="Q333" t="s">
        <v>154</v>
      </c>
      <c r="S333" t="s">
        <v>252</v>
      </c>
      <c r="T333" t="s">
        <v>164</v>
      </c>
      <c r="U333">
        <v>7.7780131256819122E-3</v>
      </c>
      <c r="V333" t="s">
        <v>154</v>
      </c>
    </row>
    <row r="334" spans="9:22" x14ac:dyDescent="0.25">
      <c r="I334" t="s">
        <v>191</v>
      </c>
      <c r="J334" t="s">
        <v>165</v>
      </c>
      <c r="K334">
        <v>0</v>
      </c>
      <c r="L334" t="s">
        <v>154</v>
      </c>
      <c r="N334" t="s">
        <v>221</v>
      </c>
      <c r="O334" t="s">
        <v>165</v>
      </c>
      <c r="P334">
        <v>3.5827297543360143E-2</v>
      </c>
      <c r="Q334" t="s">
        <v>154</v>
      </c>
      <c r="S334" t="s">
        <v>252</v>
      </c>
      <c r="T334" t="s">
        <v>165</v>
      </c>
      <c r="U334">
        <v>4.3053575865654926E-2</v>
      </c>
      <c r="V334" t="s">
        <v>154</v>
      </c>
    </row>
    <row r="335" spans="9:22" x14ac:dyDescent="0.25">
      <c r="I335" t="s">
        <v>192</v>
      </c>
      <c r="J335" t="s">
        <v>153</v>
      </c>
      <c r="K335">
        <v>6.9197449067701228E-2</v>
      </c>
      <c r="L335" t="s">
        <v>154</v>
      </c>
      <c r="N335" t="s">
        <v>222</v>
      </c>
      <c r="O335" t="s">
        <v>153</v>
      </c>
      <c r="P335">
        <v>9.1251800855134846E-2</v>
      </c>
      <c r="Q335" t="s">
        <v>154</v>
      </c>
      <c r="S335" t="s">
        <v>253</v>
      </c>
      <c r="T335" t="s">
        <v>153</v>
      </c>
      <c r="U335">
        <v>0.1012842035081392</v>
      </c>
      <c r="V335" t="s">
        <v>154</v>
      </c>
    </row>
    <row r="336" spans="9:22" x14ac:dyDescent="0.25">
      <c r="I336" t="s">
        <v>192</v>
      </c>
      <c r="J336" t="s">
        <v>155</v>
      </c>
      <c r="K336">
        <v>1.8455665807137066E-3</v>
      </c>
      <c r="L336" t="s">
        <v>154</v>
      </c>
      <c r="N336" t="s">
        <v>222</v>
      </c>
      <c r="O336" t="s">
        <v>155</v>
      </c>
      <c r="P336">
        <v>4.2658351499252883E-3</v>
      </c>
      <c r="Q336" t="s">
        <v>154</v>
      </c>
      <c r="S336" t="s">
        <v>253</v>
      </c>
      <c r="T336" t="s">
        <v>155</v>
      </c>
      <c r="U336">
        <v>5.4076481804271655E-3</v>
      </c>
      <c r="V336" t="s">
        <v>154</v>
      </c>
    </row>
    <row r="337" spans="9:22" x14ac:dyDescent="0.25">
      <c r="I337" t="s">
        <v>192</v>
      </c>
      <c r="J337" t="s">
        <v>156</v>
      </c>
      <c r="K337">
        <v>0</v>
      </c>
      <c r="L337" t="s">
        <v>154</v>
      </c>
      <c r="N337" t="s">
        <v>222</v>
      </c>
      <c r="O337" t="s">
        <v>156</v>
      </c>
      <c r="P337">
        <v>2.4668169973378892E-2</v>
      </c>
      <c r="Q337" t="s">
        <v>154</v>
      </c>
      <c r="S337" t="s">
        <v>253</v>
      </c>
      <c r="T337" t="s">
        <v>156</v>
      </c>
      <c r="U337">
        <v>3.4460743961301853E-2</v>
      </c>
      <c r="V337" t="s">
        <v>154</v>
      </c>
    </row>
    <row r="338" spans="9:22" x14ac:dyDescent="0.25">
      <c r="I338" t="s">
        <v>192</v>
      </c>
      <c r="J338" t="s">
        <v>157</v>
      </c>
      <c r="K338">
        <v>0.74209859143057466</v>
      </c>
      <c r="L338" t="s">
        <v>154</v>
      </c>
      <c r="N338" t="s">
        <v>222</v>
      </c>
      <c r="O338" t="s">
        <v>157</v>
      </c>
      <c r="P338">
        <v>0.47932833386228751</v>
      </c>
      <c r="Q338" t="s">
        <v>154</v>
      </c>
      <c r="S338" t="s">
        <v>253</v>
      </c>
      <c r="T338" t="s">
        <v>157</v>
      </c>
      <c r="U338">
        <v>0.44649372749065741</v>
      </c>
      <c r="V338" t="s">
        <v>154</v>
      </c>
    </row>
    <row r="339" spans="9:22" x14ac:dyDescent="0.25">
      <c r="I339" t="s">
        <v>192</v>
      </c>
      <c r="J339" t="s">
        <v>158</v>
      </c>
      <c r="K339">
        <v>4.6490846054099831E-2</v>
      </c>
      <c r="L339" t="s">
        <v>154</v>
      </c>
      <c r="N339" t="s">
        <v>222</v>
      </c>
      <c r="O339" t="s">
        <v>158</v>
      </c>
      <c r="P339">
        <v>3.0322083604346538E-2</v>
      </c>
      <c r="Q339" t="s">
        <v>154</v>
      </c>
      <c r="S339" t="s">
        <v>253</v>
      </c>
      <c r="T339" t="s">
        <v>158</v>
      </c>
      <c r="U339">
        <v>2.7478628584847103E-2</v>
      </c>
      <c r="V339" t="s">
        <v>154</v>
      </c>
    </row>
    <row r="340" spans="9:22" x14ac:dyDescent="0.25">
      <c r="I340" t="s">
        <v>192</v>
      </c>
      <c r="J340" t="s">
        <v>159</v>
      </c>
      <c r="K340">
        <v>2.755775897149295E-2</v>
      </c>
      <c r="L340" t="s">
        <v>154</v>
      </c>
      <c r="N340" t="s">
        <v>222</v>
      </c>
      <c r="O340" t="s">
        <v>159</v>
      </c>
      <c r="P340">
        <v>0.14465787610179323</v>
      </c>
      <c r="Q340" t="s">
        <v>154</v>
      </c>
      <c r="S340" t="s">
        <v>253</v>
      </c>
      <c r="T340" t="s">
        <v>159</v>
      </c>
      <c r="U340">
        <v>0.14511550224137493</v>
      </c>
      <c r="V340" t="s">
        <v>154</v>
      </c>
    </row>
    <row r="341" spans="9:22" x14ac:dyDescent="0.25">
      <c r="I341" t="s">
        <v>192</v>
      </c>
      <c r="J341" t="s">
        <v>160</v>
      </c>
      <c r="K341">
        <v>5.2924739274440885E-2</v>
      </c>
      <c r="L341" t="s">
        <v>154</v>
      </c>
      <c r="N341" t="s">
        <v>222</v>
      </c>
      <c r="O341" t="s">
        <v>160</v>
      </c>
      <c r="P341">
        <v>5.5184594982367358E-2</v>
      </c>
      <c r="Q341" t="s">
        <v>154</v>
      </c>
      <c r="S341" t="s">
        <v>253</v>
      </c>
      <c r="T341" t="s">
        <v>160</v>
      </c>
      <c r="U341">
        <v>5.9377368361477209E-2</v>
      </c>
      <c r="V341" t="s">
        <v>154</v>
      </c>
    </row>
    <row r="342" spans="9:22" x14ac:dyDescent="0.25">
      <c r="I342" t="s">
        <v>192</v>
      </c>
      <c r="J342" t="s">
        <v>161</v>
      </c>
      <c r="K342">
        <v>2.9614532656741503E-4</v>
      </c>
      <c r="L342" t="s">
        <v>154</v>
      </c>
      <c r="N342" t="s">
        <v>222</v>
      </c>
      <c r="O342" t="s">
        <v>161</v>
      </c>
      <c r="P342">
        <v>3.2218887222462502E-3</v>
      </c>
      <c r="Q342" t="s">
        <v>154</v>
      </c>
      <c r="S342" t="s">
        <v>253</v>
      </c>
      <c r="T342" t="s">
        <v>161</v>
      </c>
      <c r="U342">
        <v>3.4157960630457973E-3</v>
      </c>
      <c r="V342" t="s">
        <v>154</v>
      </c>
    </row>
    <row r="343" spans="9:22" x14ac:dyDescent="0.25">
      <c r="I343" t="s">
        <v>192</v>
      </c>
      <c r="J343" t="s">
        <v>162</v>
      </c>
      <c r="K343">
        <v>0</v>
      </c>
      <c r="L343" t="s">
        <v>154</v>
      </c>
      <c r="N343" t="s">
        <v>222</v>
      </c>
      <c r="O343" t="s">
        <v>162</v>
      </c>
      <c r="P343">
        <v>1.9918394919309457E-2</v>
      </c>
      <c r="Q343" t="s">
        <v>154</v>
      </c>
      <c r="S343" t="s">
        <v>253</v>
      </c>
      <c r="T343" t="s">
        <v>162</v>
      </c>
      <c r="U343">
        <v>2.2744055002678735E-2</v>
      </c>
      <c r="V343" t="s">
        <v>154</v>
      </c>
    </row>
    <row r="344" spans="9:22" x14ac:dyDescent="0.25">
      <c r="I344" t="s">
        <v>192</v>
      </c>
      <c r="J344" t="s">
        <v>163</v>
      </c>
      <c r="K344">
        <v>5.9588903294410585E-2</v>
      </c>
      <c r="L344" t="s">
        <v>154</v>
      </c>
      <c r="N344" t="s">
        <v>222</v>
      </c>
      <c r="O344" t="s">
        <v>163</v>
      </c>
      <c r="P344">
        <v>0.10467869103198593</v>
      </c>
      <c r="Q344" t="s">
        <v>154</v>
      </c>
      <c r="S344" t="s">
        <v>253</v>
      </c>
      <c r="T344" t="s">
        <v>163</v>
      </c>
      <c r="U344">
        <v>0.10728847060482957</v>
      </c>
      <c r="V344" t="s">
        <v>154</v>
      </c>
    </row>
    <row r="345" spans="9:22" x14ac:dyDescent="0.25">
      <c r="I345" t="s">
        <v>192</v>
      </c>
      <c r="J345" t="s">
        <v>164</v>
      </c>
      <c r="K345">
        <v>0</v>
      </c>
      <c r="L345" t="s">
        <v>154</v>
      </c>
      <c r="N345" t="s">
        <v>222</v>
      </c>
      <c r="O345" t="s">
        <v>164</v>
      </c>
      <c r="P345">
        <v>6.0148608234954553E-3</v>
      </c>
      <c r="Q345" t="s">
        <v>154</v>
      </c>
      <c r="S345" t="s">
        <v>253</v>
      </c>
      <c r="T345" t="s">
        <v>164</v>
      </c>
      <c r="U345">
        <v>6.8552036284612724E-3</v>
      </c>
      <c r="V345" t="s">
        <v>154</v>
      </c>
    </row>
    <row r="346" spans="9:22" x14ac:dyDescent="0.25">
      <c r="I346" t="s">
        <v>192</v>
      </c>
      <c r="J346" t="s">
        <v>165</v>
      </c>
      <c r="K346">
        <v>0</v>
      </c>
      <c r="L346" t="s">
        <v>154</v>
      </c>
      <c r="N346" t="s">
        <v>222</v>
      </c>
      <c r="O346" t="s">
        <v>165</v>
      </c>
      <c r="P346">
        <v>3.6487469973725983E-2</v>
      </c>
      <c r="Q346" t="s">
        <v>154</v>
      </c>
      <c r="S346" t="s">
        <v>253</v>
      </c>
      <c r="T346" t="s">
        <v>165</v>
      </c>
      <c r="U346">
        <v>4.0078652372763202E-2</v>
      </c>
      <c r="V346" t="s">
        <v>154</v>
      </c>
    </row>
    <row r="347" spans="9:22" x14ac:dyDescent="0.25">
      <c r="I347" t="s">
        <v>193</v>
      </c>
      <c r="J347" t="s">
        <v>153</v>
      </c>
      <c r="K347">
        <v>8.081174549461935E-2</v>
      </c>
      <c r="L347" t="s">
        <v>154</v>
      </c>
      <c r="N347" t="s">
        <v>223</v>
      </c>
      <c r="O347" t="s">
        <v>153</v>
      </c>
      <c r="P347">
        <v>0.10113756086301395</v>
      </c>
      <c r="Q347" t="s">
        <v>154</v>
      </c>
      <c r="S347" t="s">
        <v>254</v>
      </c>
      <c r="T347" t="s">
        <v>153</v>
      </c>
      <c r="U347">
        <v>6.7502355697968017E-2</v>
      </c>
      <c r="V347" t="s">
        <v>154</v>
      </c>
    </row>
    <row r="348" spans="9:22" x14ac:dyDescent="0.25">
      <c r="I348" t="s">
        <v>193</v>
      </c>
      <c r="J348" t="s">
        <v>155</v>
      </c>
      <c r="K348">
        <v>2.1494964144144978E-3</v>
      </c>
      <c r="L348" t="s">
        <v>154</v>
      </c>
      <c r="N348" t="s">
        <v>223</v>
      </c>
      <c r="O348" t="s">
        <v>155</v>
      </c>
      <c r="P348">
        <v>4.9428096042011113E-3</v>
      </c>
      <c r="Q348" t="s">
        <v>154</v>
      </c>
      <c r="S348" t="s">
        <v>254</v>
      </c>
      <c r="T348" t="s">
        <v>155</v>
      </c>
      <c r="U348">
        <v>4.1112769777357826E-3</v>
      </c>
      <c r="V348" t="s">
        <v>154</v>
      </c>
    </row>
    <row r="349" spans="9:22" x14ac:dyDescent="0.25">
      <c r="I349" t="s">
        <v>193</v>
      </c>
      <c r="J349" t="s">
        <v>156</v>
      </c>
      <c r="K349">
        <v>0</v>
      </c>
      <c r="L349" t="s">
        <v>154</v>
      </c>
      <c r="N349" t="s">
        <v>223</v>
      </c>
      <c r="O349" t="s">
        <v>156</v>
      </c>
      <c r="P349">
        <v>2.6603513887205062E-2</v>
      </c>
      <c r="Q349" t="s">
        <v>154</v>
      </c>
      <c r="S349" t="s">
        <v>254</v>
      </c>
      <c r="T349" t="s">
        <v>156</v>
      </c>
      <c r="U349">
        <v>2.4054005683830353E-2</v>
      </c>
      <c r="V349" t="s">
        <v>154</v>
      </c>
    </row>
    <row r="350" spans="9:22" x14ac:dyDescent="0.25">
      <c r="I350" t="s">
        <v>193</v>
      </c>
      <c r="J350" t="s">
        <v>157</v>
      </c>
      <c r="K350">
        <v>0.72349610399620157</v>
      </c>
      <c r="L350" t="s">
        <v>154</v>
      </c>
      <c r="N350" t="s">
        <v>223</v>
      </c>
      <c r="O350" t="s">
        <v>157</v>
      </c>
      <c r="P350">
        <v>0.45716336545132041</v>
      </c>
      <c r="Q350" t="s">
        <v>154</v>
      </c>
      <c r="S350" t="s">
        <v>254</v>
      </c>
      <c r="T350" t="s">
        <v>157</v>
      </c>
      <c r="U350">
        <v>0.48867226631596994</v>
      </c>
      <c r="V350" t="s">
        <v>154</v>
      </c>
    </row>
    <row r="351" spans="9:22" x14ac:dyDescent="0.25">
      <c r="I351" t="s">
        <v>193</v>
      </c>
      <c r="J351" t="s">
        <v>158</v>
      </c>
      <c r="K351">
        <v>4.3351525092107643E-2</v>
      </c>
      <c r="L351" t="s">
        <v>154</v>
      </c>
      <c r="N351" t="s">
        <v>223</v>
      </c>
      <c r="O351" t="s">
        <v>158</v>
      </c>
      <c r="P351">
        <v>3.068188099336519E-2</v>
      </c>
      <c r="Q351" t="s">
        <v>154</v>
      </c>
      <c r="S351" t="s">
        <v>254</v>
      </c>
      <c r="T351" t="s">
        <v>158</v>
      </c>
      <c r="U351">
        <v>3.2196164440541575E-2</v>
      </c>
      <c r="V351" t="s">
        <v>154</v>
      </c>
    </row>
    <row r="352" spans="9:22" x14ac:dyDescent="0.25">
      <c r="I352" t="s">
        <v>193</v>
      </c>
      <c r="J352" t="s">
        <v>159</v>
      </c>
      <c r="K352">
        <v>2.3327763283542788E-2</v>
      </c>
      <c r="L352" t="s">
        <v>154</v>
      </c>
      <c r="N352" t="s">
        <v>223</v>
      </c>
      <c r="O352" t="s">
        <v>159</v>
      </c>
      <c r="P352">
        <v>0.14777016539429733</v>
      </c>
      <c r="Q352" t="s">
        <v>154</v>
      </c>
      <c r="S352" t="s">
        <v>254</v>
      </c>
      <c r="T352" t="s">
        <v>159</v>
      </c>
      <c r="U352">
        <v>0.18546159588272912</v>
      </c>
      <c r="V352" t="s">
        <v>154</v>
      </c>
    </row>
    <row r="353" spans="9:22" x14ac:dyDescent="0.25">
      <c r="I353" t="s">
        <v>193</v>
      </c>
      <c r="J353" t="s">
        <v>160</v>
      </c>
      <c r="K353">
        <v>6.2567325822409717E-2</v>
      </c>
      <c r="L353" t="s">
        <v>154</v>
      </c>
      <c r="N353" t="s">
        <v>223</v>
      </c>
      <c r="O353" t="s">
        <v>160</v>
      </c>
      <c r="P353">
        <v>5.4182524202908901E-2</v>
      </c>
      <c r="Q353" t="s">
        <v>154</v>
      </c>
      <c r="S353" t="s">
        <v>254</v>
      </c>
      <c r="T353" t="s">
        <v>160</v>
      </c>
      <c r="U353">
        <v>4.4328016549991141E-2</v>
      </c>
      <c r="V353" t="s">
        <v>154</v>
      </c>
    </row>
    <row r="354" spans="9:22" x14ac:dyDescent="0.25">
      <c r="I354" t="s">
        <v>193</v>
      </c>
      <c r="J354" t="s">
        <v>161</v>
      </c>
      <c r="K354">
        <v>6.3402528739414448E-5</v>
      </c>
      <c r="L354" t="s">
        <v>154</v>
      </c>
      <c r="N354" t="s">
        <v>223</v>
      </c>
      <c r="O354" t="s">
        <v>161</v>
      </c>
      <c r="P354">
        <v>2.6856148112440093E-3</v>
      </c>
      <c r="Q354" t="s">
        <v>154</v>
      </c>
      <c r="S354" t="s">
        <v>254</v>
      </c>
      <c r="T354" t="s">
        <v>161</v>
      </c>
      <c r="U354">
        <v>2.7633617245737393E-3</v>
      </c>
      <c r="V354" t="s">
        <v>154</v>
      </c>
    </row>
    <row r="355" spans="9:22" x14ac:dyDescent="0.25">
      <c r="I355" t="s">
        <v>193</v>
      </c>
      <c r="J355" t="s">
        <v>162</v>
      </c>
      <c r="K355">
        <v>0</v>
      </c>
      <c r="L355" t="s">
        <v>154</v>
      </c>
      <c r="N355" t="s">
        <v>223</v>
      </c>
      <c r="O355" t="s">
        <v>162</v>
      </c>
      <c r="P355">
        <v>1.6675222989267848E-2</v>
      </c>
      <c r="Q355" t="s">
        <v>154</v>
      </c>
      <c r="S355" t="s">
        <v>254</v>
      </c>
      <c r="T355" t="s">
        <v>162</v>
      </c>
      <c r="U355">
        <v>1.6737246617919862E-2</v>
      </c>
      <c r="V355" t="s">
        <v>154</v>
      </c>
    </row>
    <row r="356" spans="9:22" x14ac:dyDescent="0.25">
      <c r="I356" t="s">
        <v>193</v>
      </c>
      <c r="J356" t="s">
        <v>163</v>
      </c>
      <c r="K356">
        <v>6.4232637367964154E-2</v>
      </c>
      <c r="L356" t="s">
        <v>154</v>
      </c>
      <c r="N356" t="s">
        <v>223</v>
      </c>
      <c r="O356" t="s">
        <v>163</v>
      </c>
      <c r="P356">
        <v>0.11635852549051358</v>
      </c>
      <c r="Q356" t="s">
        <v>154</v>
      </c>
      <c r="S356" t="s">
        <v>254</v>
      </c>
      <c r="T356" t="s">
        <v>163</v>
      </c>
      <c r="U356">
        <v>9.5857359534668507E-2</v>
      </c>
      <c r="V356" t="s">
        <v>154</v>
      </c>
    </row>
    <row r="357" spans="9:22" x14ac:dyDescent="0.25">
      <c r="I357" t="s">
        <v>193</v>
      </c>
      <c r="J357" t="s">
        <v>164</v>
      </c>
      <c r="K357">
        <v>0</v>
      </c>
      <c r="L357" t="s">
        <v>154</v>
      </c>
      <c r="N357" t="s">
        <v>223</v>
      </c>
      <c r="O357" t="s">
        <v>164</v>
      </c>
      <c r="P357">
        <v>6.1635931242649796E-3</v>
      </c>
      <c r="Q357" t="s">
        <v>154</v>
      </c>
      <c r="S357" t="s">
        <v>254</v>
      </c>
      <c r="T357" t="s">
        <v>164</v>
      </c>
      <c r="U357">
        <v>5.6059492616659145E-3</v>
      </c>
      <c r="V357" t="s">
        <v>154</v>
      </c>
    </row>
    <row r="358" spans="9:22" x14ac:dyDescent="0.25">
      <c r="I358" t="s">
        <v>193</v>
      </c>
      <c r="J358" t="s">
        <v>165</v>
      </c>
      <c r="K358">
        <v>0</v>
      </c>
      <c r="L358" t="s">
        <v>154</v>
      </c>
      <c r="N358" t="s">
        <v>223</v>
      </c>
      <c r="O358" t="s">
        <v>165</v>
      </c>
      <c r="P358">
        <v>3.5635223188397055E-2</v>
      </c>
      <c r="Q358" t="s">
        <v>154</v>
      </c>
      <c r="S358" t="s">
        <v>254</v>
      </c>
      <c r="T358" t="s">
        <v>165</v>
      </c>
      <c r="U358">
        <v>3.2710401312401854E-2</v>
      </c>
      <c r="V358" t="s">
        <v>154</v>
      </c>
    </row>
    <row r="359" spans="9:22" x14ac:dyDescent="0.25">
      <c r="I359" t="s">
        <v>194</v>
      </c>
      <c r="J359" t="s">
        <v>153</v>
      </c>
      <c r="K359">
        <v>8.3109512305401353E-2</v>
      </c>
      <c r="L359" t="s">
        <v>154</v>
      </c>
      <c r="N359" t="s">
        <v>224</v>
      </c>
      <c r="O359" t="s">
        <v>153</v>
      </c>
      <c r="P359">
        <v>8.6695014662842879E-2</v>
      </c>
      <c r="Q359" t="s">
        <v>154</v>
      </c>
      <c r="S359" t="s">
        <v>255</v>
      </c>
      <c r="T359" t="s">
        <v>153</v>
      </c>
      <c r="U359">
        <v>7.2459260995597047E-2</v>
      </c>
      <c r="V359" t="s">
        <v>154</v>
      </c>
    </row>
    <row r="360" spans="9:22" x14ac:dyDescent="0.25">
      <c r="I360" t="s">
        <v>194</v>
      </c>
      <c r="J360" t="s">
        <v>155</v>
      </c>
      <c r="K360">
        <v>2.9023642480176118E-3</v>
      </c>
      <c r="L360" t="s">
        <v>154</v>
      </c>
      <c r="N360" t="s">
        <v>224</v>
      </c>
      <c r="O360" t="s">
        <v>155</v>
      </c>
      <c r="P360">
        <v>4.7364909096921284E-3</v>
      </c>
      <c r="Q360" t="s">
        <v>154</v>
      </c>
      <c r="S360" t="s">
        <v>255</v>
      </c>
      <c r="T360" t="s">
        <v>155</v>
      </c>
      <c r="U360">
        <v>5.04169101834073E-3</v>
      </c>
      <c r="V360" t="s">
        <v>154</v>
      </c>
    </row>
    <row r="361" spans="9:22" x14ac:dyDescent="0.25">
      <c r="I361" t="s">
        <v>194</v>
      </c>
      <c r="J361" t="s">
        <v>156</v>
      </c>
      <c r="K361">
        <v>0</v>
      </c>
      <c r="L361" t="s">
        <v>154</v>
      </c>
      <c r="N361" t="s">
        <v>224</v>
      </c>
      <c r="O361" t="s">
        <v>156</v>
      </c>
      <c r="P361">
        <v>2.7237077250041083E-2</v>
      </c>
      <c r="Q361" t="s">
        <v>154</v>
      </c>
      <c r="S361" t="s">
        <v>255</v>
      </c>
      <c r="T361" t="s">
        <v>156</v>
      </c>
      <c r="U361">
        <v>2.8409153802549391E-2</v>
      </c>
      <c r="V361" t="s">
        <v>154</v>
      </c>
    </row>
    <row r="362" spans="9:22" x14ac:dyDescent="0.25">
      <c r="I362" t="s">
        <v>194</v>
      </c>
      <c r="J362" t="s">
        <v>157</v>
      </c>
      <c r="K362">
        <v>0.71896227693085124</v>
      </c>
      <c r="L362" t="s">
        <v>154</v>
      </c>
      <c r="N362" t="s">
        <v>224</v>
      </c>
      <c r="O362" t="s">
        <v>157</v>
      </c>
      <c r="P362">
        <v>0.47058374809799242</v>
      </c>
      <c r="Q362" t="s">
        <v>154</v>
      </c>
      <c r="S362" t="s">
        <v>255</v>
      </c>
      <c r="T362" t="s">
        <v>157</v>
      </c>
      <c r="U362">
        <v>0.47685133137026037</v>
      </c>
      <c r="V362" t="s">
        <v>154</v>
      </c>
    </row>
    <row r="363" spans="9:22" x14ac:dyDescent="0.25">
      <c r="I363" t="s">
        <v>194</v>
      </c>
      <c r="J363" t="s">
        <v>158</v>
      </c>
      <c r="K363">
        <v>4.2957343063116694E-2</v>
      </c>
      <c r="L363" t="s">
        <v>154</v>
      </c>
      <c r="N363" t="s">
        <v>224</v>
      </c>
      <c r="O363" t="s">
        <v>158</v>
      </c>
      <c r="P363">
        <v>2.8182357563677707E-2</v>
      </c>
      <c r="Q363" t="s">
        <v>154</v>
      </c>
      <c r="S363" t="s">
        <v>255</v>
      </c>
      <c r="T363" t="s">
        <v>158</v>
      </c>
      <c r="U363">
        <v>2.8861067775286988E-2</v>
      </c>
      <c r="V363" t="s">
        <v>154</v>
      </c>
    </row>
    <row r="364" spans="9:22" x14ac:dyDescent="0.25">
      <c r="I364" t="s">
        <v>194</v>
      </c>
      <c r="J364" t="s">
        <v>159</v>
      </c>
      <c r="K364">
        <v>2.2224634045169937E-2</v>
      </c>
      <c r="L364" t="s">
        <v>154</v>
      </c>
      <c r="N364" t="s">
        <v>224</v>
      </c>
      <c r="O364" t="s">
        <v>159</v>
      </c>
      <c r="P364">
        <v>0.15585847394361271</v>
      </c>
      <c r="Q364" t="s">
        <v>154</v>
      </c>
      <c r="S364" t="s">
        <v>255</v>
      </c>
      <c r="T364" t="s">
        <v>159</v>
      </c>
      <c r="U364">
        <v>0.16595962265456579</v>
      </c>
      <c r="V364" t="s">
        <v>154</v>
      </c>
    </row>
    <row r="365" spans="9:22" x14ac:dyDescent="0.25">
      <c r="I365" t="s">
        <v>194</v>
      </c>
      <c r="J365" t="s">
        <v>160</v>
      </c>
      <c r="K365">
        <v>6.3266517879264059E-2</v>
      </c>
      <c r="L365" t="s">
        <v>154</v>
      </c>
      <c r="N365" t="s">
        <v>224</v>
      </c>
      <c r="O365" t="s">
        <v>160</v>
      </c>
      <c r="P365">
        <v>5.4556520423131166E-2</v>
      </c>
      <c r="Q365" t="s">
        <v>154</v>
      </c>
      <c r="S365" t="s">
        <v>255</v>
      </c>
      <c r="T365" t="s">
        <v>160</v>
      </c>
      <c r="U365">
        <v>5.0829087113251938E-2</v>
      </c>
      <c r="V365" t="s">
        <v>154</v>
      </c>
    </row>
    <row r="366" spans="9:22" x14ac:dyDescent="0.25">
      <c r="I366" t="s">
        <v>194</v>
      </c>
      <c r="J366" t="s">
        <v>161</v>
      </c>
      <c r="K366">
        <v>4.7218989746558896E-4</v>
      </c>
      <c r="L366" t="s">
        <v>154</v>
      </c>
      <c r="N366" t="s">
        <v>224</v>
      </c>
      <c r="O366" t="s">
        <v>161</v>
      </c>
      <c r="P366">
        <v>3.4410297476940824E-3</v>
      </c>
      <c r="Q366" t="s">
        <v>154</v>
      </c>
      <c r="S366" t="s">
        <v>255</v>
      </c>
      <c r="T366" t="s">
        <v>161</v>
      </c>
      <c r="U366">
        <v>3.1810106063449536E-3</v>
      </c>
      <c r="V366" t="s">
        <v>154</v>
      </c>
    </row>
    <row r="367" spans="9:22" x14ac:dyDescent="0.25">
      <c r="I367" t="s">
        <v>194</v>
      </c>
      <c r="J367" t="s">
        <v>162</v>
      </c>
      <c r="K367">
        <v>0</v>
      </c>
      <c r="L367" t="s">
        <v>154</v>
      </c>
      <c r="N367" t="s">
        <v>224</v>
      </c>
      <c r="O367" t="s">
        <v>162</v>
      </c>
      <c r="P367">
        <v>2.0030305102010107E-2</v>
      </c>
      <c r="Q367" t="s">
        <v>154</v>
      </c>
      <c r="S367" t="s">
        <v>255</v>
      </c>
      <c r="T367" t="s">
        <v>162</v>
      </c>
      <c r="U367">
        <v>1.8584068557892224E-2</v>
      </c>
      <c r="V367" t="s">
        <v>154</v>
      </c>
    </row>
    <row r="368" spans="9:22" x14ac:dyDescent="0.25">
      <c r="I368" t="s">
        <v>194</v>
      </c>
      <c r="J368" t="s">
        <v>163</v>
      </c>
      <c r="K368">
        <v>6.6105161630715448E-2</v>
      </c>
      <c r="L368" t="s">
        <v>154</v>
      </c>
      <c r="N368" t="s">
        <v>224</v>
      </c>
      <c r="O368" t="s">
        <v>163</v>
      </c>
      <c r="P368">
        <v>0.10543541062196524</v>
      </c>
      <c r="Q368" t="s">
        <v>154</v>
      </c>
      <c r="S368" t="s">
        <v>255</v>
      </c>
      <c r="T368" t="s">
        <v>163</v>
      </c>
      <c r="U368">
        <v>0.1083311000324096</v>
      </c>
      <c r="V368" t="s">
        <v>154</v>
      </c>
    </row>
    <row r="369" spans="9:22" x14ac:dyDescent="0.25">
      <c r="I369" t="s">
        <v>194</v>
      </c>
      <c r="J369" t="s">
        <v>164</v>
      </c>
      <c r="K369">
        <v>0</v>
      </c>
      <c r="L369" t="s">
        <v>154</v>
      </c>
      <c r="N369" t="s">
        <v>224</v>
      </c>
      <c r="O369" t="s">
        <v>164</v>
      </c>
      <c r="P369">
        <v>6.1920346206457751E-3</v>
      </c>
      <c r="Q369" t="s">
        <v>154</v>
      </c>
      <c r="S369" t="s">
        <v>255</v>
      </c>
      <c r="T369" t="s">
        <v>164</v>
      </c>
      <c r="U369">
        <v>6.4473890288395935E-3</v>
      </c>
      <c r="V369" t="s">
        <v>154</v>
      </c>
    </row>
    <row r="370" spans="9:22" x14ac:dyDescent="0.25">
      <c r="I370" t="s">
        <v>194</v>
      </c>
      <c r="J370" t="s">
        <v>165</v>
      </c>
      <c r="K370">
        <v>0</v>
      </c>
      <c r="L370" t="s">
        <v>154</v>
      </c>
      <c r="N370" t="s">
        <v>224</v>
      </c>
      <c r="O370" t="s">
        <v>165</v>
      </c>
      <c r="P370">
        <v>3.7051537056695789E-2</v>
      </c>
      <c r="Q370" t="s">
        <v>154</v>
      </c>
      <c r="S370" t="s">
        <v>255</v>
      </c>
      <c r="T370" t="s">
        <v>165</v>
      </c>
      <c r="U370">
        <v>3.5045217044663901E-2</v>
      </c>
      <c r="V370" t="s">
        <v>154</v>
      </c>
    </row>
    <row r="371" spans="9:22" x14ac:dyDescent="0.25">
      <c r="N371" t="s">
        <v>225</v>
      </c>
      <c r="O371" t="s">
        <v>153</v>
      </c>
      <c r="P371">
        <v>9.5476441364595502E-2</v>
      </c>
      <c r="Q371" t="s">
        <v>154</v>
      </c>
      <c r="S371" t="s">
        <v>256</v>
      </c>
      <c r="T371" t="s">
        <v>153</v>
      </c>
      <c r="U371">
        <v>8.338501167903864E-2</v>
      </c>
      <c r="V371" t="s">
        <v>154</v>
      </c>
    </row>
    <row r="372" spans="9:22" x14ac:dyDescent="0.25">
      <c r="N372" t="s">
        <v>225</v>
      </c>
      <c r="O372" t="s">
        <v>155</v>
      </c>
      <c r="P372">
        <v>5.1294311235314865E-3</v>
      </c>
      <c r="Q372" t="s">
        <v>154</v>
      </c>
      <c r="S372" t="s">
        <v>256</v>
      </c>
      <c r="T372" t="s">
        <v>155</v>
      </c>
      <c r="U372">
        <v>5.1488787637752774E-3</v>
      </c>
      <c r="V372" t="s">
        <v>154</v>
      </c>
    </row>
    <row r="373" spans="9:22" x14ac:dyDescent="0.25">
      <c r="N373" t="s">
        <v>225</v>
      </c>
      <c r="O373" t="s">
        <v>156</v>
      </c>
      <c r="P373">
        <v>2.8706729145615839E-2</v>
      </c>
      <c r="Q373" t="s">
        <v>154</v>
      </c>
      <c r="S373" t="s">
        <v>256</v>
      </c>
      <c r="T373" t="s">
        <v>156</v>
      </c>
      <c r="U373">
        <v>3.0972064797722007E-2</v>
      </c>
      <c r="V373" t="s">
        <v>154</v>
      </c>
    </row>
    <row r="374" spans="9:22" x14ac:dyDescent="0.25">
      <c r="N374" t="s">
        <v>225</v>
      </c>
      <c r="O374" t="s">
        <v>157</v>
      </c>
      <c r="P374">
        <v>0.45557295957027943</v>
      </c>
      <c r="Q374" t="s">
        <v>154</v>
      </c>
      <c r="S374" t="s">
        <v>256</v>
      </c>
      <c r="T374" t="s">
        <v>157</v>
      </c>
      <c r="U374">
        <v>0.46224017563911229</v>
      </c>
      <c r="V374" t="s">
        <v>154</v>
      </c>
    </row>
    <row r="375" spans="9:22" x14ac:dyDescent="0.25">
      <c r="N375" t="s">
        <v>225</v>
      </c>
      <c r="O375" t="s">
        <v>158</v>
      </c>
      <c r="P375">
        <v>2.9639089659081859E-2</v>
      </c>
      <c r="Q375" t="s">
        <v>154</v>
      </c>
      <c r="S375" t="s">
        <v>256</v>
      </c>
      <c r="T375" t="s">
        <v>158</v>
      </c>
      <c r="U375">
        <v>2.7153010888037187E-2</v>
      </c>
      <c r="V375" t="s">
        <v>154</v>
      </c>
    </row>
    <row r="376" spans="9:22" x14ac:dyDescent="0.25">
      <c r="N376" t="s">
        <v>225</v>
      </c>
      <c r="O376" t="s">
        <v>159</v>
      </c>
      <c r="P376">
        <v>0.16322726135712767</v>
      </c>
      <c r="Q376" t="s">
        <v>154</v>
      </c>
      <c r="S376" t="s">
        <v>256</v>
      </c>
      <c r="T376" t="s">
        <v>159</v>
      </c>
      <c r="U376">
        <v>0.15510350194730463</v>
      </c>
      <c r="V376" t="s">
        <v>154</v>
      </c>
    </row>
    <row r="377" spans="9:22" x14ac:dyDescent="0.25">
      <c r="N377" t="s">
        <v>225</v>
      </c>
      <c r="O377" t="s">
        <v>160</v>
      </c>
      <c r="P377">
        <v>5.6654057805224901E-2</v>
      </c>
      <c r="Q377" t="s">
        <v>154</v>
      </c>
      <c r="S377" t="s">
        <v>256</v>
      </c>
      <c r="T377" t="s">
        <v>160</v>
      </c>
      <c r="U377">
        <v>5.5120666564392448E-2</v>
      </c>
      <c r="V377" t="s">
        <v>154</v>
      </c>
    </row>
    <row r="378" spans="9:22" x14ac:dyDescent="0.25">
      <c r="N378" t="s">
        <v>225</v>
      </c>
      <c r="O378" t="s">
        <v>161</v>
      </c>
      <c r="P378">
        <v>3.009537215817335E-3</v>
      </c>
      <c r="Q378" t="s">
        <v>154</v>
      </c>
      <c r="S378" t="s">
        <v>256</v>
      </c>
      <c r="T378" t="s">
        <v>161</v>
      </c>
      <c r="U378">
        <v>3.6072863900965899E-3</v>
      </c>
      <c r="V378" t="s">
        <v>154</v>
      </c>
    </row>
    <row r="379" spans="9:22" x14ac:dyDescent="0.25">
      <c r="N379" t="s">
        <v>225</v>
      </c>
      <c r="O379" t="s">
        <v>162</v>
      </c>
      <c r="P379">
        <v>1.8585074933052177E-2</v>
      </c>
      <c r="Q379" t="s">
        <v>154</v>
      </c>
      <c r="S379" t="s">
        <v>256</v>
      </c>
      <c r="T379" t="s">
        <v>162</v>
      </c>
      <c r="U379">
        <v>2.1105168850424912E-2</v>
      </c>
      <c r="V379" t="s">
        <v>154</v>
      </c>
    </row>
    <row r="380" spans="9:22" x14ac:dyDescent="0.25">
      <c r="N380" t="s">
        <v>225</v>
      </c>
      <c r="O380" t="s">
        <v>163</v>
      </c>
      <c r="P380">
        <v>0.10271080863283422</v>
      </c>
      <c r="Q380" t="s">
        <v>154</v>
      </c>
      <c r="S380" t="s">
        <v>256</v>
      </c>
      <c r="T380" t="s">
        <v>163</v>
      </c>
      <c r="U380">
        <v>0.11171021218216466</v>
      </c>
      <c r="V380" t="s">
        <v>154</v>
      </c>
    </row>
    <row r="381" spans="9:22" x14ac:dyDescent="0.25">
      <c r="N381" t="s">
        <v>225</v>
      </c>
      <c r="O381" t="s">
        <v>164</v>
      </c>
      <c r="P381">
        <v>5.967050837032222E-3</v>
      </c>
      <c r="Q381" t="s">
        <v>154</v>
      </c>
      <c r="S381" t="s">
        <v>256</v>
      </c>
      <c r="T381" t="s">
        <v>164</v>
      </c>
      <c r="U381">
        <v>6.6797493607863769E-3</v>
      </c>
      <c r="V381" t="s">
        <v>154</v>
      </c>
    </row>
    <row r="382" spans="9:22" x14ac:dyDescent="0.25">
      <c r="N382" t="s">
        <v>225</v>
      </c>
      <c r="O382" t="s">
        <v>165</v>
      </c>
      <c r="P382">
        <v>3.53215583558096E-2</v>
      </c>
      <c r="Q382" t="s">
        <v>154</v>
      </c>
      <c r="S382" t="s">
        <v>256</v>
      </c>
      <c r="T382" t="s">
        <v>165</v>
      </c>
      <c r="U382">
        <v>3.777427293714869E-2</v>
      </c>
      <c r="V382" t="s">
        <v>154</v>
      </c>
    </row>
    <row r="383" spans="9:22" x14ac:dyDescent="0.25">
      <c r="S383" t="s">
        <v>257</v>
      </c>
      <c r="T383" t="s">
        <v>153</v>
      </c>
      <c r="U383">
        <v>9.769924049218412E-2</v>
      </c>
      <c r="V383" t="s">
        <v>154</v>
      </c>
    </row>
    <row r="384" spans="9:22" x14ac:dyDescent="0.25">
      <c r="S384" t="s">
        <v>257</v>
      </c>
      <c r="T384" t="s">
        <v>155</v>
      </c>
      <c r="U384">
        <v>5.4517087734589614E-3</v>
      </c>
      <c r="V384" t="s">
        <v>154</v>
      </c>
    </row>
    <row r="385" spans="19:22" x14ac:dyDescent="0.25">
      <c r="S385" t="s">
        <v>257</v>
      </c>
      <c r="T385" t="s">
        <v>156</v>
      </c>
      <c r="U385">
        <v>3.5228999633624844E-2</v>
      </c>
      <c r="V385" t="s">
        <v>154</v>
      </c>
    </row>
    <row r="386" spans="19:22" x14ac:dyDescent="0.25">
      <c r="S386" t="s">
        <v>257</v>
      </c>
      <c r="T386" t="s">
        <v>157</v>
      </c>
      <c r="U386">
        <v>0.44744527925356281</v>
      </c>
      <c r="V386" t="s">
        <v>154</v>
      </c>
    </row>
    <row r="387" spans="19:22" x14ac:dyDescent="0.25">
      <c r="S387" t="s">
        <v>257</v>
      </c>
      <c r="T387" t="s">
        <v>158</v>
      </c>
      <c r="U387">
        <v>2.628782615737553E-2</v>
      </c>
      <c r="V387" t="s">
        <v>154</v>
      </c>
    </row>
    <row r="388" spans="19:22" x14ac:dyDescent="0.25">
      <c r="S388" t="s">
        <v>257</v>
      </c>
      <c r="T388" t="s">
        <v>159</v>
      </c>
      <c r="U388">
        <v>0.15042161811953844</v>
      </c>
      <c r="V388" t="s">
        <v>154</v>
      </c>
    </row>
    <row r="389" spans="19:22" x14ac:dyDescent="0.25">
      <c r="S389" t="s">
        <v>257</v>
      </c>
      <c r="T389" t="s">
        <v>160</v>
      </c>
      <c r="U389">
        <v>5.0982395893404531E-2</v>
      </c>
      <c r="V389" t="s">
        <v>154</v>
      </c>
    </row>
    <row r="390" spans="19:22" x14ac:dyDescent="0.25">
      <c r="S390" t="s">
        <v>257</v>
      </c>
      <c r="T390" t="s">
        <v>161</v>
      </c>
      <c r="U390">
        <v>3.5286314047332248E-3</v>
      </c>
      <c r="V390" t="s">
        <v>154</v>
      </c>
    </row>
    <row r="391" spans="19:22" x14ac:dyDescent="0.25">
      <c r="S391" t="s">
        <v>257</v>
      </c>
      <c r="T391" t="s">
        <v>162</v>
      </c>
      <c r="U391">
        <v>2.1348330597282028E-2</v>
      </c>
      <c r="V391" t="s">
        <v>154</v>
      </c>
    </row>
    <row r="392" spans="19:22" x14ac:dyDescent="0.25">
      <c r="S392" t="s">
        <v>257</v>
      </c>
      <c r="T392" t="s">
        <v>163</v>
      </c>
      <c r="U392">
        <v>0.11281363526996015</v>
      </c>
      <c r="V392" t="s">
        <v>154</v>
      </c>
    </row>
    <row r="393" spans="19:22" x14ac:dyDescent="0.25">
      <c r="S393" t="s">
        <v>257</v>
      </c>
      <c r="T393" t="s">
        <v>164</v>
      </c>
      <c r="U393">
        <v>7.5206501302826296E-3</v>
      </c>
      <c r="V393" t="s">
        <v>154</v>
      </c>
    </row>
    <row r="394" spans="19:22" x14ac:dyDescent="0.25">
      <c r="S394" t="s">
        <v>257</v>
      </c>
      <c r="T394" t="s">
        <v>165</v>
      </c>
      <c r="U394">
        <v>4.1271684274594336E-2</v>
      </c>
      <c r="V394" t="s">
        <v>154</v>
      </c>
    </row>
    <row r="395" spans="19:22" x14ac:dyDescent="0.25">
      <c r="S395" t="s">
        <v>258</v>
      </c>
      <c r="T395" t="s">
        <v>153</v>
      </c>
      <c r="U395">
        <v>8.9269578416434583E-2</v>
      </c>
      <c r="V395" t="s">
        <v>154</v>
      </c>
    </row>
    <row r="396" spans="19:22" x14ac:dyDescent="0.25">
      <c r="S396" t="s">
        <v>258</v>
      </c>
      <c r="T396" t="s">
        <v>155</v>
      </c>
      <c r="U396">
        <v>5.7231097977137281E-3</v>
      </c>
      <c r="V396" t="s">
        <v>154</v>
      </c>
    </row>
    <row r="397" spans="19:22" x14ac:dyDescent="0.25">
      <c r="S397" t="s">
        <v>258</v>
      </c>
      <c r="T397" t="s">
        <v>156</v>
      </c>
      <c r="U397">
        <v>3.5426839930260252E-2</v>
      </c>
      <c r="V397" t="s">
        <v>154</v>
      </c>
    </row>
    <row r="398" spans="19:22" x14ac:dyDescent="0.25">
      <c r="S398" t="s">
        <v>258</v>
      </c>
      <c r="T398" t="s">
        <v>157</v>
      </c>
      <c r="U398">
        <v>0.44555919670281935</v>
      </c>
      <c r="V398" t="s">
        <v>154</v>
      </c>
    </row>
    <row r="399" spans="19:22" x14ac:dyDescent="0.25">
      <c r="S399" t="s">
        <v>258</v>
      </c>
      <c r="T399" t="s">
        <v>158</v>
      </c>
      <c r="U399">
        <v>2.7002123462817409E-2</v>
      </c>
      <c r="V399" t="s">
        <v>154</v>
      </c>
    </row>
    <row r="400" spans="19:22" x14ac:dyDescent="0.25">
      <c r="S400" t="s">
        <v>258</v>
      </c>
      <c r="T400" t="s">
        <v>159</v>
      </c>
      <c r="U400">
        <v>0.15253640619058625</v>
      </c>
      <c r="V400" t="s">
        <v>154</v>
      </c>
    </row>
    <row r="401" spans="19:22" x14ac:dyDescent="0.25">
      <c r="S401" t="s">
        <v>258</v>
      </c>
      <c r="T401" t="s">
        <v>160</v>
      </c>
      <c r="U401">
        <v>5.2935793729104251E-2</v>
      </c>
      <c r="V401" t="s">
        <v>154</v>
      </c>
    </row>
    <row r="402" spans="19:22" x14ac:dyDescent="0.25">
      <c r="S402" t="s">
        <v>258</v>
      </c>
      <c r="T402" t="s">
        <v>161</v>
      </c>
      <c r="U402">
        <v>3.4396126344657615E-3</v>
      </c>
      <c r="V402" t="s">
        <v>154</v>
      </c>
    </row>
    <row r="403" spans="19:22" x14ac:dyDescent="0.25">
      <c r="S403" t="s">
        <v>258</v>
      </c>
      <c r="T403" t="s">
        <v>162</v>
      </c>
      <c r="U403">
        <v>2.147594479233295E-2</v>
      </c>
      <c r="V403" t="s">
        <v>154</v>
      </c>
    </row>
    <row r="404" spans="19:22" x14ac:dyDescent="0.25">
      <c r="S404" t="s">
        <v>258</v>
      </c>
      <c r="T404" t="s">
        <v>163</v>
      </c>
      <c r="U404">
        <v>0.11784684264268319</v>
      </c>
      <c r="V404" t="s">
        <v>154</v>
      </c>
    </row>
    <row r="405" spans="19:22" x14ac:dyDescent="0.25">
      <c r="S405" t="s">
        <v>258</v>
      </c>
      <c r="T405" t="s">
        <v>164</v>
      </c>
      <c r="U405">
        <v>7.6318006173231234E-3</v>
      </c>
      <c r="V405" t="s">
        <v>154</v>
      </c>
    </row>
    <row r="406" spans="19:22" x14ac:dyDescent="0.25">
      <c r="S406" t="s">
        <v>258</v>
      </c>
      <c r="T406" t="s">
        <v>165</v>
      </c>
      <c r="U406">
        <v>4.1152751083460538E-2</v>
      </c>
      <c r="V406" t="s">
        <v>154</v>
      </c>
    </row>
    <row r="407" spans="19:22" x14ac:dyDescent="0.25">
      <c r="S407" t="s">
        <v>259</v>
      </c>
      <c r="T407" t="s">
        <v>153</v>
      </c>
      <c r="U407">
        <v>7.8456287570575087E-2</v>
      </c>
      <c r="V407" t="s">
        <v>154</v>
      </c>
    </row>
    <row r="408" spans="19:22" x14ac:dyDescent="0.25">
      <c r="S408" t="s">
        <v>259</v>
      </c>
      <c r="T408" t="s">
        <v>155</v>
      </c>
      <c r="U408">
        <v>4.8977014285501892E-3</v>
      </c>
      <c r="V408" t="s">
        <v>154</v>
      </c>
    </row>
    <row r="409" spans="19:22" x14ac:dyDescent="0.25">
      <c r="S409" t="s">
        <v>259</v>
      </c>
      <c r="T409" t="s">
        <v>156</v>
      </c>
      <c r="U409">
        <v>2.8657948328626698E-2</v>
      </c>
      <c r="V409" t="s">
        <v>154</v>
      </c>
    </row>
    <row r="410" spans="19:22" x14ac:dyDescent="0.25">
      <c r="S410" t="s">
        <v>259</v>
      </c>
      <c r="T410" t="s">
        <v>157</v>
      </c>
      <c r="U410">
        <v>0.51145318965312625</v>
      </c>
      <c r="V410" t="s">
        <v>154</v>
      </c>
    </row>
    <row r="411" spans="19:22" x14ac:dyDescent="0.25">
      <c r="S411" t="s">
        <v>259</v>
      </c>
      <c r="T411" t="s">
        <v>158</v>
      </c>
      <c r="U411">
        <v>3.0989575075116616E-2</v>
      </c>
      <c r="V411" t="s">
        <v>154</v>
      </c>
    </row>
    <row r="412" spans="19:22" x14ac:dyDescent="0.25">
      <c r="S412" t="s">
        <v>259</v>
      </c>
      <c r="T412" t="s">
        <v>159</v>
      </c>
      <c r="U412">
        <v>0.16998284910756514</v>
      </c>
      <c r="V412" t="s">
        <v>154</v>
      </c>
    </row>
    <row r="413" spans="19:22" x14ac:dyDescent="0.25">
      <c r="S413" t="s">
        <v>259</v>
      </c>
      <c r="T413" t="s">
        <v>160</v>
      </c>
      <c r="U413">
        <v>4.5379284198148025E-2</v>
      </c>
      <c r="V413" t="s">
        <v>154</v>
      </c>
    </row>
    <row r="414" spans="19:22" x14ac:dyDescent="0.25">
      <c r="S414" t="s">
        <v>259</v>
      </c>
      <c r="T414" t="s">
        <v>161</v>
      </c>
      <c r="U414">
        <v>2.9485139597912229E-3</v>
      </c>
      <c r="V414" t="s">
        <v>154</v>
      </c>
    </row>
    <row r="415" spans="19:22" x14ac:dyDescent="0.25">
      <c r="S415" t="s">
        <v>259</v>
      </c>
      <c r="T415" t="s">
        <v>162</v>
      </c>
      <c r="U415">
        <v>1.5075037404258244E-2</v>
      </c>
      <c r="V415" t="s">
        <v>154</v>
      </c>
    </row>
    <row r="416" spans="19:22" x14ac:dyDescent="0.25">
      <c r="S416" t="s">
        <v>259</v>
      </c>
      <c r="T416" t="s">
        <v>163</v>
      </c>
      <c r="U416">
        <v>7.8863027389851348E-2</v>
      </c>
      <c r="V416" t="s">
        <v>154</v>
      </c>
    </row>
    <row r="417" spans="19:22" x14ac:dyDescent="0.25">
      <c r="S417" t="s">
        <v>259</v>
      </c>
      <c r="T417" t="s">
        <v>164</v>
      </c>
      <c r="U417">
        <v>5.1089727974716519E-3</v>
      </c>
      <c r="V417" t="s">
        <v>154</v>
      </c>
    </row>
    <row r="418" spans="19:22" x14ac:dyDescent="0.25">
      <c r="S418" t="s">
        <v>259</v>
      </c>
      <c r="T418" t="s">
        <v>165</v>
      </c>
      <c r="U418">
        <v>2.8187613086917265E-2</v>
      </c>
      <c r="V418" t="s">
        <v>154</v>
      </c>
    </row>
    <row r="419" spans="19:22" x14ac:dyDescent="0.25">
      <c r="S419" t="s">
        <v>260</v>
      </c>
      <c r="T419" t="s">
        <v>153</v>
      </c>
      <c r="U419">
        <v>9.2296007123118598E-2</v>
      </c>
      <c r="V419" t="s">
        <v>154</v>
      </c>
    </row>
    <row r="420" spans="19:22" x14ac:dyDescent="0.25">
      <c r="S420" t="s">
        <v>260</v>
      </c>
      <c r="T420" t="s">
        <v>155</v>
      </c>
      <c r="U420">
        <v>6.1423431142357795E-3</v>
      </c>
      <c r="V420" t="s">
        <v>154</v>
      </c>
    </row>
    <row r="421" spans="19:22" x14ac:dyDescent="0.25">
      <c r="S421" t="s">
        <v>260</v>
      </c>
      <c r="T421" t="s">
        <v>156</v>
      </c>
      <c r="U421">
        <v>3.4614709129113602E-2</v>
      </c>
      <c r="V421" t="s">
        <v>154</v>
      </c>
    </row>
    <row r="422" spans="19:22" x14ac:dyDescent="0.25">
      <c r="S422" t="s">
        <v>260</v>
      </c>
      <c r="T422" t="s">
        <v>157</v>
      </c>
      <c r="U422">
        <v>0.47716447956854757</v>
      </c>
      <c r="V422" t="s">
        <v>154</v>
      </c>
    </row>
    <row r="423" spans="19:22" x14ac:dyDescent="0.25">
      <c r="S423" t="s">
        <v>260</v>
      </c>
      <c r="T423" t="s">
        <v>158</v>
      </c>
      <c r="U423">
        <v>2.8250559781426238E-2</v>
      </c>
      <c r="V423" t="s">
        <v>154</v>
      </c>
    </row>
    <row r="424" spans="19:22" x14ac:dyDescent="0.25">
      <c r="S424" t="s">
        <v>260</v>
      </c>
      <c r="T424" t="s">
        <v>159</v>
      </c>
      <c r="U424">
        <v>0.17249151212747127</v>
      </c>
      <c r="V424" t="s">
        <v>154</v>
      </c>
    </row>
    <row r="425" spans="19:22" x14ac:dyDescent="0.25">
      <c r="S425" t="s">
        <v>260</v>
      </c>
      <c r="T425" t="s">
        <v>160</v>
      </c>
      <c r="U425">
        <v>5.0299869894404298E-2</v>
      </c>
      <c r="V425" t="s">
        <v>154</v>
      </c>
    </row>
    <row r="426" spans="19:22" x14ac:dyDescent="0.25">
      <c r="S426" t="s">
        <v>260</v>
      </c>
      <c r="T426" t="s">
        <v>161</v>
      </c>
      <c r="U426">
        <v>3.4304616558828841E-3</v>
      </c>
      <c r="V426" t="s">
        <v>154</v>
      </c>
    </row>
    <row r="427" spans="19:22" x14ac:dyDescent="0.25">
      <c r="S427" t="s">
        <v>260</v>
      </c>
      <c r="T427" t="s">
        <v>162</v>
      </c>
      <c r="U427">
        <v>2.2149698192091647E-2</v>
      </c>
      <c r="V427" t="s">
        <v>154</v>
      </c>
    </row>
    <row r="428" spans="19:22" x14ac:dyDescent="0.25">
      <c r="S428" t="s">
        <v>260</v>
      </c>
      <c r="T428" t="s">
        <v>163</v>
      </c>
      <c r="U428">
        <v>7.9502753269000886E-2</v>
      </c>
      <c r="V428" t="s">
        <v>154</v>
      </c>
    </row>
    <row r="429" spans="19:22" x14ac:dyDescent="0.25">
      <c r="S429" t="s">
        <v>260</v>
      </c>
      <c r="T429" t="s">
        <v>164</v>
      </c>
      <c r="U429">
        <v>5.0466114039532705E-3</v>
      </c>
      <c r="V429" t="s">
        <v>154</v>
      </c>
    </row>
    <row r="430" spans="19:22" x14ac:dyDescent="0.25">
      <c r="S430" t="s">
        <v>260</v>
      </c>
      <c r="T430" t="s">
        <v>165</v>
      </c>
      <c r="U430">
        <v>2.8610994740756256E-2</v>
      </c>
      <c r="V430" t="s">
        <v>154</v>
      </c>
    </row>
    <row r="431" spans="19:22" x14ac:dyDescent="0.25">
      <c r="S431" t="s">
        <v>261</v>
      </c>
      <c r="T431" t="s">
        <v>153</v>
      </c>
      <c r="U431">
        <v>8.1863222942895497E-2</v>
      </c>
      <c r="V431" t="s">
        <v>154</v>
      </c>
    </row>
    <row r="432" spans="19:22" x14ac:dyDescent="0.25">
      <c r="S432" t="s">
        <v>261</v>
      </c>
      <c r="T432" t="s">
        <v>155</v>
      </c>
      <c r="U432">
        <v>5.6485740185835687E-3</v>
      </c>
      <c r="V432" t="s">
        <v>154</v>
      </c>
    </row>
    <row r="433" spans="19:22" x14ac:dyDescent="0.25">
      <c r="S433" t="s">
        <v>261</v>
      </c>
      <c r="T433" t="s">
        <v>156</v>
      </c>
      <c r="U433">
        <v>3.1684414864342939E-2</v>
      </c>
      <c r="V433" t="s">
        <v>154</v>
      </c>
    </row>
    <row r="434" spans="19:22" x14ac:dyDescent="0.25">
      <c r="S434" t="s">
        <v>261</v>
      </c>
      <c r="T434" t="s">
        <v>157</v>
      </c>
      <c r="U434">
        <v>0.48558971320828087</v>
      </c>
      <c r="V434" t="s">
        <v>154</v>
      </c>
    </row>
    <row r="435" spans="19:22" x14ac:dyDescent="0.25">
      <c r="S435" t="s">
        <v>261</v>
      </c>
      <c r="T435" t="s">
        <v>158</v>
      </c>
      <c r="U435">
        <v>3.1035718927108321E-2</v>
      </c>
      <c r="V435" t="s">
        <v>154</v>
      </c>
    </row>
    <row r="436" spans="19:22" x14ac:dyDescent="0.25">
      <c r="S436" t="s">
        <v>261</v>
      </c>
      <c r="T436" t="s">
        <v>159</v>
      </c>
      <c r="U436">
        <v>0.17570217206043451</v>
      </c>
      <c r="V436" t="s">
        <v>154</v>
      </c>
    </row>
    <row r="437" spans="19:22" x14ac:dyDescent="0.25">
      <c r="S437" t="s">
        <v>261</v>
      </c>
      <c r="T437" t="s">
        <v>160</v>
      </c>
      <c r="U437">
        <v>4.7783190092879728E-2</v>
      </c>
      <c r="V437" t="s">
        <v>154</v>
      </c>
    </row>
    <row r="438" spans="19:22" x14ac:dyDescent="0.25">
      <c r="S438" t="s">
        <v>261</v>
      </c>
      <c r="T438" t="s">
        <v>161</v>
      </c>
      <c r="U438">
        <v>2.9290273136664243E-3</v>
      </c>
      <c r="V438" t="s">
        <v>154</v>
      </c>
    </row>
    <row r="439" spans="19:22" x14ac:dyDescent="0.25">
      <c r="S439" t="s">
        <v>261</v>
      </c>
      <c r="T439" t="s">
        <v>162</v>
      </c>
      <c r="U439">
        <v>1.7445390258120669E-2</v>
      </c>
      <c r="V439" t="s">
        <v>154</v>
      </c>
    </row>
    <row r="440" spans="19:22" x14ac:dyDescent="0.25">
      <c r="S440" t="s">
        <v>261</v>
      </c>
      <c r="T440" t="s">
        <v>163</v>
      </c>
      <c r="U440">
        <v>8.5466591680550291E-2</v>
      </c>
      <c r="V440" t="s">
        <v>154</v>
      </c>
    </row>
    <row r="441" spans="19:22" x14ac:dyDescent="0.25">
      <c r="S441" t="s">
        <v>261</v>
      </c>
      <c r="T441" t="s">
        <v>164</v>
      </c>
      <c r="U441">
        <v>5.2466047131104511E-3</v>
      </c>
      <c r="V441" t="s">
        <v>154</v>
      </c>
    </row>
    <row r="442" spans="19:22" x14ac:dyDescent="0.25">
      <c r="S442" t="s">
        <v>261</v>
      </c>
      <c r="T442" t="s">
        <v>165</v>
      </c>
      <c r="U442">
        <v>2.960537992002768E-2</v>
      </c>
      <c r="V442" t="s">
        <v>154</v>
      </c>
    </row>
    <row r="443" spans="19:22" x14ac:dyDescent="0.25">
      <c r="S443" t="s">
        <v>262</v>
      </c>
      <c r="T443" t="s">
        <v>153</v>
      </c>
      <c r="U443">
        <v>8.6988444329214404E-2</v>
      </c>
      <c r="V443" t="s">
        <v>154</v>
      </c>
    </row>
    <row r="444" spans="19:22" x14ac:dyDescent="0.25">
      <c r="S444" t="s">
        <v>262</v>
      </c>
      <c r="T444" t="s">
        <v>155</v>
      </c>
      <c r="U444">
        <v>5.7449057128065618E-3</v>
      </c>
      <c r="V444" t="s">
        <v>154</v>
      </c>
    </row>
    <row r="445" spans="19:22" x14ac:dyDescent="0.25">
      <c r="S445" t="s">
        <v>262</v>
      </c>
      <c r="T445" t="s">
        <v>156</v>
      </c>
      <c r="U445">
        <v>3.3871414539534413E-2</v>
      </c>
      <c r="V445" t="s">
        <v>154</v>
      </c>
    </row>
    <row r="446" spans="19:22" x14ac:dyDescent="0.25">
      <c r="S446" t="s">
        <v>262</v>
      </c>
      <c r="T446" t="s">
        <v>157</v>
      </c>
      <c r="U446">
        <v>0.45947848952646836</v>
      </c>
      <c r="V446" t="s">
        <v>154</v>
      </c>
    </row>
    <row r="447" spans="19:22" x14ac:dyDescent="0.25">
      <c r="S447" t="s">
        <v>262</v>
      </c>
      <c r="T447" t="s">
        <v>158</v>
      </c>
      <c r="U447">
        <v>2.7925571531256271E-2</v>
      </c>
      <c r="V447" t="s">
        <v>154</v>
      </c>
    </row>
    <row r="448" spans="19:22" x14ac:dyDescent="0.25">
      <c r="S448" t="s">
        <v>262</v>
      </c>
      <c r="T448" t="s">
        <v>159</v>
      </c>
      <c r="U448">
        <v>0.16566947898277734</v>
      </c>
      <c r="V448" t="s">
        <v>154</v>
      </c>
    </row>
    <row r="449" spans="19:22" x14ac:dyDescent="0.25">
      <c r="S449" t="s">
        <v>262</v>
      </c>
      <c r="T449" t="s">
        <v>160</v>
      </c>
      <c r="U449">
        <v>6.1006266444953626E-2</v>
      </c>
      <c r="V449" t="s">
        <v>154</v>
      </c>
    </row>
    <row r="450" spans="19:22" x14ac:dyDescent="0.25">
      <c r="S450" t="s">
        <v>262</v>
      </c>
      <c r="T450" t="s">
        <v>161</v>
      </c>
      <c r="U450">
        <v>4.2598973423825567E-3</v>
      </c>
      <c r="V450" t="s">
        <v>154</v>
      </c>
    </row>
    <row r="451" spans="19:22" x14ac:dyDescent="0.25">
      <c r="S451" t="s">
        <v>262</v>
      </c>
      <c r="T451" t="s">
        <v>162</v>
      </c>
      <c r="U451">
        <v>2.4266262998431959E-2</v>
      </c>
      <c r="V451" t="s">
        <v>154</v>
      </c>
    </row>
    <row r="452" spans="19:22" x14ac:dyDescent="0.25">
      <c r="S452" t="s">
        <v>262</v>
      </c>
      <c r="T452" t="s">
        <v>163</v>
      </c>
      <c r="U452">
        <v>9.2940722309294302E-2</v>
      </c>
      <c r="V452" t="s">
        <v>154</v>
      </c>
    </row>
    <row r="453" spans="19:22" x14ac:dyDescent="0.25">
      <c r="S453" t="s">
        <v>262</v>
      </c>
      <c r="T453" t="s">
        <v>164</v>
      </c>
      <c r="U453">
        <v>5.8049394876039766E-3</v>
      </c>
      <c r="V453" t="s">
        <v>154</v>
      </c>
    </row>
    <row r="454" spans="19:22" x14ac:dyDescent="0.25">
      <c r="S454" t="s">
        <v>262</v>
      </c>
      <c r="T454" t="s">
        <v>165</v>
      </c>
      <c r="U454">
        <v>3.2043606795272919E-2</v>
      </c>
      <c r="V454" t="s">
        <v>154</v>
      </c>
    </row>
    <row r="455" spans="19:22" x14ac:dyDescent="0.25">
      <c r="S455" t="s">
        <v>263</v>
      </c>
      <c r="T455" t="s">
        <v>153</v>
      </c>
      <c r="U455">
        <v>7.8926736415762352E-2</v>
      </c>
      <c r="V455" t="s">
        <v>154</v>
      </c>
    </row>
    <row r="456" spans="19:22" x14ac:dyDescent="0.25">
      <c r="S456" t="s">
        <v>263</v>
      </c>
      <c r="T456" t="s">
        <v>155</v>
      </c>
      <c r="U456">
        <v>4.1449721336717709E-3</v>
      </c>
      <c r="V456" t="s">
        <v>154</v>
      </c>
    </row>
    <row r="457" spans="19:22" x14ac:dyDescent="0.25">
      <c r="S457" t="s">
        <v>263</v>
      </c>
      <c r="T457" t="s">
        <v>156</v>
      </c>
      <c r="U457">
        <v>2.5042915002002088E-2</v>
      </c>
      <c r="V457" t="s">
        <v>154</v>
      </c>
    </row>
    <row r="458" spans="19:22" x14ac:dyDescent="0.25">
      <c r="S458" t="s">
        <v>263</v>
      </c>
      <c r="T458" t="s">
        <v>157</v>
      </c>
      <c r="U458">
        <v>0.49820888992983114</v>
      </c>
      <c r="V458" t="s">
        <v>154</v>
      </c>
    </row>
    <row r="459" spans="19:22" x14ac:dyDescent="0.25">
      <c r="S459" t="s">
        <v>263</v>
      </c>
      <c r="T459" t="s">
        <v>158</v>
      </c>
      <c r="U459">
        <v>2.8099683728248066E-2</v>
      </c>
      <c r="V459" t="s">
        <v>154</v>
      </c>
    </row>
    <row r="460" spans="19:22" x14ac:dyDescent="0.25">
      <c r="S460" t="s">
        <v>263</v>
      </c>
      <c r="T460" t="s">
        <v>159</v>
      </c>
      <c r="U460">
        <v>0.16872885025475826</v>
      </c>
      <c r="V460" t="s">
        <v>154</v>
      </c>
    </row>
    <row r="461" spans="19:22" x14ac:dyDescent="0.25">
      <c r="S461" t="s">
        <v>263</v>
      </c>
      <c r="T461" t="s">
        <v>160</v>
      </c>
      <c r="U461">
        <v>4.9698863585888729E-2</v>
      </c>
      <c r="V461" t="s">
        <v>154</v>
      </c>
    </row>
    <row r="462" spans="19:22" x14ac:dyDescent="0.25">
      <c r="S462" t="s">
        <v>263</v>
      </c>
      <c r="T462" t="s">
        <v>161</v>
      </c>
      <c r="U462">
        <v>2.8800093172186847E-3</v>
      </c>
      <c r="V462" t="s">
        <v>154</v>
      </c>
    </row>
    <row r="463" spans="19:22" x14ac:dyDescent="0.25">
      <c r="S463" t="s">
        <v>263</v>
      </c>
      <c r="T463" t="s">
        <v>162</v>
      </c>
      <c r="U463">
        <v>1.6736261742901416E-2</v>
      </c>
      <c r="V463" t="s">
        <v>154</v>
      </c>
    </row>
    <row r="464" spans="19:22" x14ac:dyDescent="0.25">
      <c r="S464" t="s">
        <v>263</v>
      </c>
      <c r="T464" t="s">
        <v>163</v>
      </c>
      <c r="U464">
        <v>8.9556712719436327E-2</v>
      </c>
      <c r="V464" t="s">
        <v>154</v>
      </c>
    </row>
    <row r="465" spans="19:22" x14ac:dyDescent="0.25">
      <c r="S465" t="s">
        <v>263</v>
      </c>
      <c r="T465" t="s">
        <v>164</v>
      </c>
      <c r="U465">
        <v>5.3523465405547694E-3</v>
      </c>
      <c r="V465" t="s">
        <v>154</v>
      </c>
    </row>
    <row r="466" spans="19:22" x14ac:dyDescent="0.25">
      <c r="S466" t="s">
        <v>263</v>
      </c>
      <c r="T466" t="s">
        <v>165</v>
      </c>
      <c r="U466">
        <v>3.2623758629725517E-2</v>
      </c>
      <c r="V466" t="s">
        <v>154</v>
      </c>
    </row>
    <row r="467" spans="19:22" x14ac:dyDescent="0.25">
      <c r="S467" t="s">
        <v>264</v>
      </c>
      <c r="T467" t="s">
        <v>153</v>
      </c>
      <c r="U467">
        <v>9.6616563668257965E-2</v>
      </c>
      <c r="V467" t="s">
        <v>154</v>
      </c>
    </row>
    <row r="468" spans="19:22" x14ac:dyDescent="0.25">
      <c r="S468" t="s">
        <v>264</v>
      </c>
      <c r="T468" t="s">
        <v>155</v>
      </c>
      <c r="U468">
        <v>5.5504150161330892E-3</v>
      </c>
      <c r="V468" t="s">
        <v>154</v>
      </c>
    </row>
    <row r="469" spans="19:22" x14ac:dyDescent="0.25">
      <c r="S469" t="s">
        <v>264</v>
      </c>
      <c r="T469" t="s">
        <v>156</v>
      </c>
      <c r="U469">
        <v>3.348440048376667E-2</v>
      </c>
      <c r="V469" t="s">
        <v>154</v>
      </c>
    </row>
    <row r="470" spans="19:22" x14ac:dyDescent="0.25">
      <c r="S470" t="s">
        <v>264</v>
      </c>
      <c r="T470" t="s">
        <v>157</v>
      </c>
      <c r="U470">
        <v>0.45100176718134655</v>
      </c>
      <c r="V470" t="s">
        <v>154</v>
      </c>
    </row>
    <row r="471" spans="19:22" x14ac:dyDescent="0.25">
      <c r="S471" t="s">
        <v>264</v>
      </c>
      <c r="T471" t="s">
        <v>158</v>
      </c>
      <c r="U471">
        <v>3.0492567865464004E-2</v>
      </c>
      <c r="V471" t="s">
        <v>154</v>
      </c>
    </row>
    <row r="472" spans="19:22" x14ac:dyDescent="0.25">
      <c r="S472" t="s">
        <v>264</v>
      </c>
      <c r="T472" t="s">
        <v>159</v>
      </c>
      <c r="U472">
        <v>0.17106260920121893</v>
      </c>
      <c r="V472" t="s">
        <v>154</v>
      </c>
    </row>
    <row r="473" spans="19:22" x14ac:dyDescent="0.25">
      <c r="S473" t="s">
        <v>264</v>
      </c>
      <c r="T473" t="s">
        <v>160</v>
      </c>
      <c r="U473">
        <v>4.6019741393291062E-2</v>
      </c>
      <c r="V473" t="s">
        <v>154</v>
      </c>
    </row>
    <row r="474" spans="19:22" x14ac:dyDescent="0.25">
      <c r="S474" t="s">
        <v>264</v>
      </c>
      <c r="T474" t="s">
        <v>161</v>
      </c>
      <c r="U474">
        <v>3.0765371876124285E-3</v>
      </c>
      <c r="V474" t="s">
        <v>154</v>
      </c>
    </row>
    <row r="475" spans="19:22" x14ac:dyDescent="0.25">
      <c r="S475" t="s">
        <v>264</v>
      </c>
      <c r="T475" t="s">
        <v>162</v>
      </c>
      <c r="U475">
        <v>1.6471758928915163E-2</v>
      </c>
      <c r="V475" t="s">
        <v>154</v>
      </c>
    </row>
    <row r="476" spans="19:22" x14ac:dyDescent="0.25">
      <c r="S476" t="s">
        <v>264</v>
      </c>
      <c r="T476" t="s">
        <v>163</v>
      </c>
      <c r="U476">
        <v>0.10195146256549689</v>
      </c>
      <c r="V476" t="s">
        <v>154</v>
      </c>
    </row>
    <row r="477" spans="19:22" x14ac:dyDescent="0.25">
      <c r="S477" t="s">
        <v>264</v>
      </c>
      <c r="T477" t="s">
        <v>164</v>
      </c>
      <c r="U477">
        <v>6.3391250515504906E-3</v>
      </c>
      <c r="V477" t="s">
        <v>154</v>
      </c>
    </row>
    <row r="478" spans="19:22" x14ac:dyDescent="0.25">
      <c r="S478" t="s">
        <v>264</v>
      </c>
      <c r="T478" t="s">
        <v>165</v>
      </c>
      <c r="U478">
        <v>3.7933051456950161E-2</v>
      </c>
      <c r="V478" t="s">
        <v>154</v>
      </c>
    </row>
    <row r="479" spans="19:22" x14ac:dyDescent="0.25">
      <c r="S479" t="s">
        <v>265</v>
      </c>
      <c r="T479" t="s">
        <v>153</v>
      </c>
      <c r="U479">
        <v>8.146207217536415E-2</v>
      </c>
      <c r="V479" t="s">
        <v>154</v>
      </c>
    </row>
    <row r="480" spans="19:22" x14ac:dyDescent="0.25">
      <c r="S480" t="s">
        <v>265</v>
      </c>
      <c r="T480" t="s">
        <v>155</v>
      </c>
      <c r="U480">
        <v>4.286930789242846E-3</v>
      </c>
      <c r="V480" t="s">
        <v>154</v>
      </c>
    </row>
    <row r="481" spans="19:22" x14ac:dyDescent="0.25">
      <c r="S481" t="s">
        <v>265</v>
      </c>
      <c r="T481" t="s">
        <v>156</v>
      </c>
      <c r="U481">
        <v>2.6781283839707952E-2</v>
      </c>
      <c r="V481" t="s">
        <v>154</v>
      </c>
    </row>
    <row r="482" spans="19:22" x14ac:dyDescent="0.25">
      <c r="S482" t="s">
        <v>265</v>
      </c>
      <c r="T482" t="s">
        <v>157</v>
      </c>
      <c r="U482">
        <v>0.48020668980250236</v>
      </c>
      <c r="V482" t="s">
        <v>154</v>
      </c>
    </row>
    <row r="483" spans="19:22" x14ac:dyDescent="0.25">
      <c r="S483" t="s">
        <v>265</v>
      </c>
      <c r="T483" t="s">
        <v>158</v>
      </c>
      <c r="U483">
        <v>2.8960998566934508E-2</v>
      </c>
      <c r="V483" t="s">
        <v>154</v>
      </c>
    </row>
    <row r="484" spans="19:22" x14ac:dyDescent="0.25">
      <c r="S484" t="s">
        <v>265</v>
      </c>
      <c r="T484" t="s">
        <v>159</v>
      </c>
      <c r="U484">
        <v>0.17043397178039593</v>
      </c>
      <c r="V484" t="s">
        <v>154</v>
      </c>
    </row>
    <row r="485" spans="19:22" x14ac:dyDescent="0.25">
      <c r="S485" t="s">
        <v>265</v>
      </c>
      <c r="T485" t="s">
        <v>160</v>
      </c>
      <c r="U485">
        <v>5.2990814368884288E-2</v>
      </c>
      <c r="V485" t="s">
        <v>154</v>
      </c>
    </row>
    <row r="486" spans="19:22" x14ac:dyDescent="0.25">
      <c r="S486" t="s">
        <v>265</v>
      </c>
      <c r="T486" t="s">
        <v>161</v>
      </c>
      <c r="U486">
        <v>3.1035279384946379E-3</v>
      </c>
      <c r="V486" t="s">
        <v>154</v>
      </c>
    </row>
    <row r="487" spans="19:22" x14ac:dyDescent="0.25">
      <c r="S487" t="s">
        <v>265</v>
      </c>
      <c r="T487" t="s">
        <v>162</v>
      </c>
      <c r="U487">
        <v>1.7895798925046773E-2</v>
      </c>
      <c r="V487" t="s">
        <v>154</v>
      </c>
    </row>
    <row r="488" spans="19:22" x14ac:dyDescent="0.25">
      <c r="S488" t="s">
        <v>265</v>
      </c>
      <c r="T488" t="s">
        <v>163</v>
      </c>
      <c r="U488">
        <v>9.5192204194699884E-2</v>
      </c>
      <c r="V488" t="s">
        <v>154</v>
      </c>
    </row>
    <row r="489" spans="19:22" x14ac:dyDescent="0.25">
      <c r="S489" t="s">
        <v>265</v>
      </c>
      <c r="T489" t="s">
        <v>164</v>
      </c>
      <c r="U489">
        <v>5.6570501837365835E-3</v>
      </c>
      <c r="V489" t="s">
        <v>154</v>
      </c>
    </row>
    <row r="490" spans="19:22" x14ac:dyDescent="0.25">
      <c r="S490" t="s">
        <v>265</v>
      </c>
      <c r="T490" t="s">
        <v>165</v>
      </c>
      <c r="U490">
        <v>3.3028657434990824E-2</v>
      </c>
      <c r="V490" t="s">
        <v>154</v>
      </c>
    </row>
    <row r="491" spans="19:22" x14ac:dyDescent="0.25">
      <c r="S491" t="s">
        <v>266</v>
      </c>
      <c r="T491" t="s">
        <v>153</v>
      </c>
      <c r="U491">
        <v>9.9042276379571026E-2</v>
      </c>
      <c r="V491" t="s">
        <v>154</v>
      </c>
    </row>
    <row r="492" spans="19:22" x14ac:dyDescent="0.25">
      <c r="S492" t="s">
        <v>266</v>
      </c>
      <c r="T492" t="s">
        <v>155</v>
      </c>
      <c r="U492">
        <v>6.1602186202303422E-3</v>
      </c>
      <c r="V492" t="s">
        <v>154</v>
      </c>
    </row>
    <row r="493" spans="19:22" x14ac:dyDescent="0.25">
      <c r="S493" t="s">
        <v>266</v>
      </c>
      <c r="T493" t="s">
        <v>156</v>
      </c>
      <c r="U493">
        <v>3.3741689341276485E-2</v>
      </c>
      <c r="V493" t="s">
        <v>154</v>
      </c>
    </row>
    <row r="494" spans="19:22" x14ac:dyDescent="0.25">
      <c r="S494" t="s">
        <v>266</v>
      </c>
      <c r="T494" t="s">
        <v>157</v>
      </c>
      <c r="U494">
        <v>0.45597731061743113</v>
      </c>
      <c r="V494" t="s">
        <v>154</v>
      </c>
    </row>
    <row r="495" spans="19:22" x14ac:dyDescent="0.25">
      <c r="S495" t="s">
        <v>266</v>
      </c>
      <c r="T495" t="s">
        <v>158</v>
      </c>
      <c r="U495">
        <v>3.0349058972934859E-2</v>
      </c>
      <c r="V495" t="s">
        <v>154</v>
      </c>
    </row>
    <row r="496" spans="19:22" x14ac:dyDescent="0.25">
      <c r="S496" t="s">
        <v>266</v>
      </c>
      <c r="T496" t="s">
        <v>159</v>
      </c>
      <c r="U496">
        <v>0.16903688306726494</v>
      </c>
      <c r="V496" t="s">
        <v>154</v>
      </c>
    </row>
    <row r="497" spans="19:22" x14ac:dyDescent="0.25">
      <c r="S497" t="s">
        <v>266</v>
      </c>
      <c r="T497" t="s">
        <v>160</v>
      </c>
      <c r="U497">
        <v>4.9684994821868528E-2</v>
      </c>
      <c r="V497" t="s">
        <v>154</v>
      </c>
    </row>
    <row r="498" spans="19:22" x14ac:dyDescent="0.25">
      <c r="S498" t="s">
        <v>266</v>
      </c>
      <c r="T498" t="s">
        <v>161</v>
      </c>
      <c r="U498">
        <v>2.3710101201923342E-3</v>
      </c>
      <c r="V498" t="s">
        <v>154</v>
      </c>
    </row>
    <row r="499" spans="19:22" x14ac:dyDescent="0.25">
      <c r="S499" t="s">
        <v>266</v>
      </c>
      <c r="T499" t="s">
        <v>162</v>
      </c>
      <c r="U499">
        <v>1.6120106104955793E-2</v>
      </c>
      <c r="V499" t="s">
        <v>154</v>
      </c>
    </row>
    <row r="500" spans="19:22" x14ac:dyDescent="0.25">
      <c r="S500" t="s">
        <v>266</v>
      </c>
      <c r="T500" t="s">
        <v>163</v>
      </c>
      <c r="U500">
        <v>9.7101715084117995E-2</v>
      </c>
      <c r="V500" t="s">
        <v>154</v>
      </c>
    </row>
    <row r="501" spans="19:22" x14ac:dyDescent="0.25">
      <c r="S501" t="s">
        <v>266</v>
      </c>
      <c r="T501" t="s">
        <v>164</v>
      </c>
      <c r="U501">
        <v>5.7093962475527286E-3</v>
      </c>
      <c r="V501" t="s">
        <v>154</v>
      </c>
    </row>
    <row r="502" spans="19:22" x14ac:dyDescent="0.25">
      <c r="S502" t="s">
        <v>266</v>
      </c>
      <c r="T502" t="s">
        <v>165</v>
      </c>
      <c r="U502">
        <v>3.4705340622608057E-2</v>
      </c>
      <c r="V502" t="s">
        <v>154</v>
      </c>
    </row>
    <row r="503" spans="19:22" x14ac:dyDescent="0.25">
      <c r="S503" t="s">
        <v>267</v>
      </c>
      <c r="T503" t="s">
        <v>153</v>
      </c>
      <c r="U503">
        <v>0.10168738651944256</v>
      </c>
      <c r="V503" t="s">
        <v>154</v>
      </c>
    </row>
    <row r="504" spans="19:22" x14ac:dyDescent="0.25">
      <c r="S504" t="s">
        <v>267</v>
      </c>
      <c r="T504" t="s">
        <v>155</v>
      </c>
      <c r="U504">
        <v>6.3563944076754286E-3</v>
      </c>
      <c r="V504" t="s">
        <v>154</v>
      </c>
    </row>
    <row r="505" spans="19:22" x14ac:dyDescent="0.25">
      <c r="S505" t="s">
        <v>267</v>
      </c>
      <c r="T505" t="s">
        <v>156</v>
      </c>
      <c r="U505">
        <v>3.2477402056124885E-2</v>
      </c>
      <c r="V505" t="s">
        <v>154</v>
      </c>
    </row>
    <row r="506" spans="19:22" x14ac:dyDescent="0.25">
      <c r="S506" t="s">
        <v>267</v>
      </c>
      <c r="T506" t="s">
        <v>157</v>
      </c>
      <c r="U506">
        <v>0.45849061433438643</v>
      </c>
      <c r="V506" t="s">
        <v>154</v>
      </c>
    </row>
    <row r="507" spans="19:22" x14ac:dyDescent="0.25">
      <c r="S507" t="s">
        <v>267</v>
      </c>
      <c r="T507" t="s">
        <v>158</v>
      </c>
      <c r="U507">
        <v>3.1344036238807077E-2</v>
      </c>
      <c r="V507" t="s">
        <v>154</v>
      </c>
    </row>
    <row r="508" spans="19:22" x14ac:dyDescent="0.25">
      <c r="S508" t="s">
        <v>267</v>
      </c>
      <c r="T508" t="s">
        <v>159</v>
      </c>
      <c r="U508">
        <v>0.16324806947379933</v>
      </c>
      <c r="V508" t="s">
        <v>154</v>
      </c>
    </row>
    <row r="509" spans="19:22" x14ac:dyDescent="0.25">
      <c r="S509" t="s">
        <v>267</v>
      </c>
      <c r="T509" t="s">
        <v>160</v>
      </c>
      <c r="U509">
        <v>4.8842479542925962E-2</v>
      </c>
      <c r="V509" t="s">
        <v>154</v>
      </c>
    </row>
    <row r="510" spans="19:22" x14ac:dyDescent="0.25">
      <c r="S510" t="s">
        <v>267</v>
      </c>
      <c r="T510" t="s">
        <v>161</v>
      </c>
      <c r="U510">
        <v>2.7447844542052647E-3</v>
      </c>
      <c r="V510" t="s">
        <v>154</v>
      </c>
    </row>
    <row r="511" spans="19:22" x14ac:dyDescent="0.25">
      <c r="S511" t="s">
        <v>267</v>
      </c>
      <c r="T511" t="s">
        <v>162</v>
      </c>
      <c r="U511">
        <v>1.7624543884299491E-2</v>
      </c>
      <c r="V511" t="s">
        <v>154</v>
      </c>
    </row>
    <row r="512" spans="19:22" x14ac:dyDescent="0.25">
      <c r="S512" t="s">
        <v>267</v>
      </c>
      <c r="T512" t="s">
        <v>163</v>
      </c>
      <c r="U512">
        <v>9.521773181520525E-2</v>
      </c>
      <c r="V512" t="s">
        <v>154</v>
      </c>
    </row>
    <row r="513" spans="19:22" x14ac:dyDescent="0.25">
      <c r="S513" t="s">
        <v>267</v>
      </c>
      <c r="T513" t="s">
        <v>164</v>
      </c>
      <c r="U513">
        <v>5.8835173670723044E-3</v>
      </c>
      <c r="V513" t="s">
        <v>154</v>
      </c>
    </row>
    <row r="514" spans="19:22" x14ac:dyDescent="0.25">
      <c r="S514" t="s">
        <v>267</v>
      </c>
      <c r="T514" t="s">
        <v>165</v>
      </c>
      <c r="U514">
        <v>3.608303990606225E-2</v>
      </c>
      <c r="V514" t="s">
        <v>154</v>
      </c>
    </row>
    <row r="515" spans="19:22" x14ac:dyDescent="0.25">
      <c r="S515" t="s">
        <v>268</v>
      </c>
      <c r="T515" t="s">
        <v>153</v>
      </c>
      <c r="U515">
        <v>9.4107911533336336E-2</v>
      </c>
      <c r="V515" t="s">
        <v>154</v>
      </c>
    </row>
    <row r="516" spans="19:22" x14ac:dyDescent="0.25">
      <c r="S516" t="s">
        <v>268</v>
      </c>
      <c r="T516" t="s">
        <v>155</v>
      </c>
      <c r="U516">
        <v>5.4095290712831753E-3</v>
      </c>
      <c r="V516" t="s">
        <v>154</v>
      </c>
    </row>
    <row r="517" spans="19:22" x14ac:dyDescent="0.25">
      <c r="S517" t="s">
        <v>268</v>
      </c>
      <c r="T517" t="s">
        <v>156</v>
      </c>
      <c r="U517">
        <v>3.1362635482061585E-2</v>
      </c>
      <c r="V517" t="s">
        <v>154</v>
      </c>
    </row>
    <row r="518" spans="19:22" x14ac:dyDescent="0.25">
      <c r="S518" t="s">
        <v>268</v>
      </c>
      <c r="T518" t="s">
        <v>157</v>
      </c>
      <c r="U518">
        <v>0.4680241336290703</v>
      </c>
      <c r="V518" t="s">
        <v>154</v>
      </c>
    </row>
    <row r="519" spans="19:22" x14ac:dyDescent="0.25">
      <c r="S519" t="s">
        <v>268</v>
      </c>
      <c r="T519" t="s">
        <v>158</v>
      </c>
      <c r="U519">
        <v>3.2244374814885797E-2</v>
      </c>
      <c r="V519" t="s">
        <v>154</v>
      </c>
    </row>
    <row r="520" spans="19:22" x14ac:dyDescent="0.25">
      <c r="S520" t="s">
        <v>268</v>
      </c>
      <c r="T520" t="s">
        <v>159</v>
      </c>
      <c r="U520">
        <v>0.177492965770289</v>
      </c>
      <c r="V520" t="s">
        <v>154</v>
      </c>
    </row>
    <row r="521" spans="19:22" x14ac:dyDescent="0.25">
      <c r="S521" t="s">
        <v>268</v>
      </c>
      <c r="T521" t="s">
        <v>160</v>
      </c>
      <c r="U521">
        <v>4.7452061550333151E-2</v>
      </c>
      <c r="V521" t="s">
        <v>154</v>
      </c>
    </row>
    <row r="522" spans="19:22" x14ac:dyDescent="0.25">
      <c r="S522" t="s">
        <v>268</v>
      </c>
      <c r="T522" t="s">
        <v>161</v>
      </c>
      <c r="U522">
        <v>2.3121276161371749E-3</v>
      </c>
      <c r="V522" t="s">
        <v>154</v>
      </c>
    </row>
    <row r="523" spans="19:22" x14ac:dyDescent="0.25">
      <c r="S523" t="s">
        <v>268</v>
      </c>
      <c r="T523" t="s">
        <v>162</v>
      </c>
      <c r="U523">
        <v>1.4958905230830108E-2</v>
      </c>
      <c r="V523" t="s">
        <v>154</v>
      </c>
    </row>
    <row r="524" spans="19:22" x14ac:dyDescent="0.25">
      <c r="S524" t="s">
        <v>268</v>
      </c>
      <c r="T524" t="s">
        <v>163</v>
      </c>
      <c r="U524">
        <v>8.833472089090251E-2</v>
      </c>
      <c r="V524" t="s">
        <v>154</v>
      </c>
    </row>
    <row r="525" spans="19:22" x14ac:dyDescent="0.25">
      <c r="S525" t="s">
        <v>268</v>
      </c>
      <c r="T525" t="s">
        <v>164</v>
      </c>
      <c r="U525">
        <v>5.1465791270765057E-3</v>
      </c>
      <c r="V525" t="s">
        <v>154</v>
      </c>
    </row>
    <row r="526" spans="19:22" x14ac:dyDescent="0.25">
      <c r="S526" t="s">
        <v>268</v>
      </c>
      <c r="T526" t="s">
        <v>165</v>
      </c>
      <c r="U526">
        <v>3.3154055283794788E-2</v>
      </c>
      <c r="V526" t="s">
        <v>154</v>
      </c>
    </row>
    <row r="527" spans="19:22" x14ac:dyDescent="0.25">
      <c r="S527" t="s">
        <v>269</v>
      </c>
      <c r="T527" t="s">
        <v>153</v>
      </c>
      <c r="U527">
        <v>7.7094399948192949E-2</v>
      </c>
      <c r="V527" t="s">
        <v>154</v>
      </c>
    </row>
    <row r="528" spans="19:22" x14ac:dyDescent="0.25">
      <c r="S528" t="s">
        <v>269</v>
      </c>
      <c r="T528" t="s">
        <v>155</v>
      </c>
      <c r="U528">
        <v>3.5122992326171248E-3</v>
      </c>
      <c r="V528" t="s">
        <v>154</v>
      </c>
    </row>
    <row r="529" spans="19:22" x14ac:dyDescent="0.25">
      <c r="S529" t="s">
        <v>269</v>
      </c>
      <c r="T529" t="s">
        <v>156</v>
      </c>
      <c r="U529">
        <v>2.2798156711167236E-2</v>
      </c>
      <c r="V529" t="s">
        <v>154</v>
      </c>
    </row>
    <row r="530" spans="19:22" x14ac:dyDescent="0.25">
      <c r="S530" t="s">
        <v>269</v>
      </c>
      <c r="T530" t="s">
        <v>157</v>
      </c>
      <c r="U530">
        <v>0.49460789416922651</v>
      </c>
      <c r="V530" t="s">
        <v>154</v>
      </c>
    </row>
    <row r="531" spans="19:22" x14ac:dyDescent="0.25">
      <c r="S531" t="s">
        <v>269</v>
      </c>
      <c r="T531" t="s">
        <v>158</v>
      </c>
      <c r="U531">
        <v>3.0755033497440586E-2</v>
      </c>
      <c r="V531" t="s">
        <v>154</v>
      </c>
    </row>
    <row r="532" spans="19:22" x14ac:dyDescent="0.25">
      <c r="S532" t="s">
        <v>269</v>
      </c>
      <c r="T532" t="s">
        <v>159</v>
      </c>
      <c r="U532">
        <v>0.18403252022843897</v>
      </c>
      <c r="V532" t="s">
        <v>154</v>
      </c>
    </row>
    <row r="533" spans="19:22" x14ac:dyDescent="0.25">
      <c r="S533" t="s">
        <v>269</v>
      </c>
      <c r="T533" t="s">
        <v>160</v>
      </c>
      <c r="U533">
        <v>4.7827300317533676E-2</v>
      </c>
      <c r="V533" t="s">
        <v>154</v>
      </c>
    </row>
    <row r="534" spans="19:22" x14ac:dyDescent="0.25">
      <c r="S534" t="s">
        <v>269</v>
      </c>
      <c r="T534" t="s">
        <v>161</v>
      </c>
      <c r="U534">
        <v>2.800692904689418E-3</v>
      </c>
      <c r="V534" t="s">
        <v>154</v>
      </c>
    </row>
    <row r="535" spans="19:22" x14ac:dyDescent="0.25">
      <c r="S535" t="s">
        <v>269</v>
      </c>
      <c r="T535" t="s">
        <v>162</v>
      </c>
      <c r="U535">
        <v>1.6373486288215555E-2</v>
      </c>
      <c r="V535" t="s">
        <v>154</v>
      </c>
    </row>
    <row r="536" spans="19:22" x14ac:dyDescent="0.25">
      <c r="S536" t="s">
        <v>269</v>
      </c>
      <c r="T536" t="s">
        <v>163</v>
      </c>
      <c r="U536">
        <v>8.512531432172947E-2</v>
      </c>
      <c r="V536" t="s">
        <v>154</v>
      </c>
    </row>
    <row r="537" spans="19:22" x14ac:dyDescent="0.25">
      <c r="S537" t="s">
        <v>269</v>
      </c>
      <c r="T537" t="s">
        <v>164</v>
      </c>
      <c r="U537">
        <v>4.9102429586246228E-3</v>
      </c>
      <c r="V537" t="s">
        <v>154</v>
      </c>
    </row>
    <row r="538" spans="19:22" x14ac:dyDescent="0.25">
      <c r="S538" t="s">
        <v>269</v>
      </c>
      <c r="T538" t="s">
        <v>165</v>
      </c>
      <c r="U538">
        <v>3.0162659422120593E-2</v>
      </c>
      <c r="V538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4959-1C74-4537-8600-D390FBBA758B}">
  <dimension ref="A9:AN89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282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151</v>
      </c>
      <c r="L10" t="s">
        <v>30</v>
      </c>
      <c r="N10" t="s">
        <v>13</v>
      </c>
      <c r="O10" t="s">
        <v>116</v>
      </c>
      <c r="P10" t="s">
        <v>151</v>
      </c>
      <c r="Q10" t="s">
        <v>30</v>
      </c>
      <c r="S10" t="s">
        <v>13</v>
      </c>
      <c r="T10" t="s">
        <v>116</v>
      </c>
      <c r="U10" t="s">
        <v>151</v>
      </c>
      <c r="V10" t="s">
        <v>30</v>
      </c>
      <c r="X10" t="s">
        <v>270</v>
      </c>
      <c r="Y10" t="s">
        <v>151</v>
      </c>
      <c r="Z10" t="s">
        <v>116</v>
      </c>
      <c r="AA10" t="s">
        <v>13</v>
      </c>
      <c r="AC10" t="s">
        <v>13</v>
      </c>
      <c r="AD10" t="s">
        <v>116</v>
      </c>
      <c r="AE10" t="s">
        <v>151</v>
      </c>
      <c r="AG10" t="s">
        <v>13</v>
      </c>
      <c r="AH10" t="s">
        <v>116</v>
      </c>
      <c r="AI10" t="s">
        <v>276</v>
      </c>
      <c r="AK10" t="s">
        <v>47</v>
      </c>
      <c r="AL10" t="s">
        <v>116</v>
      </c>
      <c r="AM10" t="s">
        <v>277</v>
      </c>
      <c r="AN10" t="s">
        <v>278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5.3626147371590221E-3</v>
      </c>
      <c r="L11" t="s">
        <v>154</v>
      </c>
      <c r="N11" t="s">
        <v>195</v>
      </c>
      <c r="O11" t="s">
        <v>153</v>
      </c>
      <c r="P11">
        <v>4.1990819198183947E-2</v>
      </c>
      <c r="Q11" t="s">
        <v>154</v>
      </c>
      <c r="S11" t="s">
        <v>226</v>
      </c>
      <c r="T11" t="s">
        <v>153</v>
      </c>
      <c r="U11">
        <v>4.7331092146113106E-2</v>
      </c>
      <c r="V11" t="s">
        <v>154</v>
      </c>
      <c r="X11">
        <v>3.6986301369863014E-2</v>
      </c>
      <c r="Y11">
        <v>2.3473137259776754E-2</v>
      </c>
      <c r="Z11" t="s">
        <v>153</v>
      </c>
      <c r="AA11" t="s">
        <v>25</v>
      </c>
      <c r="AC11" t="s">
        <v>22</v>
      </c>
      <c r="AD11" t="s">
        <v>153</v>
      </c>
      <c r="AE11">
        <v>3.611155215249974E-2</v>
      </c>
      <c r="AG11" t="s">
        <v>97</v>
      </c>
      <c r="AH11" t="s">
        <v>153</v>
      </c>
      <c r="AI11">
        <v>0.23321428258539689</v>
      </c>
      <c r="AK11">
        <v>2020</v>
      </c>
      <c r="AL11" t="s">
        <v>142</v>
      </c>
      <c r="AM11">
        <v>0.26720804315727364</v>
      </c>
      <c r="AN11" t="s">
        <v>279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5.0807647701259021E-2</v>
      </c>
      <c r="L12" t="s">
        <v>154</v>
      </c>
      <c r="N12" t="s">
        <v>195</v>
      </c>
      <c r="O12" t="s">
        <v>155</v>
      </c>
      <c r="P12">
        <v>3.7432268294615378E-2</v>
      </c>
      <c r="Q12" t="s">
        <v>154</v>
      </c>
      <c r="S12" t="s">
        <v>226</v>
      </c>
      <c r="T12" t="s">
        <v>155</v>
      </c>
      <c r="U12">
        <v>3.8075321523878068E-2</v>
      </c>
      <c r="V12" t="s">
        <v>154</v>
      </c>
      <c r="X12">
        <v>3.287671232876712E-2</v>
      </c>
      <c r="Y12">
        <v>4.5442657186187015E-2</v>
      </c>
      <c r="Z12" t="s">
        <v>155</v>
      </c>
      <c r="AA12" t="s">
        <v>25</v>
      </c>
      <c r="AC12" t="s">
        <v>22</v>
      </c>
      <c r="AD12" t="s">
        <v>155</v>
      </c>
      <c r="AE12">
        <v>4.3159708791352169E-2</v>
      </c>
      <c r="AG12" t="s">
        <v>97</v>
      </c>
      <c r="AH12" t="s">
        <v>155</v>
      </c>
      <c r="AI12">
        <v>7.3512811862614713E-2</v>
      </c>
      <c r="AK12">
        <v>2020</v>
      </c>
      <c r="AL12" t="s">
        <v>146</v>
      </c>
      <c r="AM12">
        <v>0.3363326135242416</v>
      </c>
      <c r="AN12" t="s">
        <v>279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1.8116182377890177E-3</v>
      </c>
      <c r="L13" t="s">
        <v>154</v>
      </c>
      <c r="N13" t="s">
        <v>195</v>
      </c>
      <c r="O13" t="s">
        <v>156</v>
      </c>
      <c r="P13">
        <v>5.1623666680996327E-3</v>
      </c>
      <c r="Q13" t="s">
        <v>154</v>
      </c>
      <c r="S13" t="s">
        <v>226</v>
      </c>
      <c r="T13" t="s">
        <v>156</v>
      </c>
      <c r="U13">
        <v>4.7395196778244652E-3</v>
      </c>
      <c r="V13" t="s">
        <v>154</v>
      </c>
      <c r="X13">
        <v>4.10958904109589E-3</v>
      </c>
      <c r="Y13">
        <v>7.9954255028217708E-3</v>
      </c>
      <c r="Z13" t="s">
        <v>156</v>
      </c>
      <c r="AA13" t="s">
        <v>25</v>
      </c>
      <c r="AC13" t="s">
        <v>22</v>
      </c>
      <c r="AD13" t="s">
        <v>156</v>
      </c>
      <c r="AE13">
        <v>5.7094447673934632E-3</v>
      </c>
      <c r="AG13" t="s">
        <v>97</v>
      </c>
      <c r="AH13" t="s">
        <v>156</v>
      </c>
      <c r="AI13">
        <v>5.4946482841405686E-2</v>
      </c>
      <c r="AK13">
        <v>2020</v>
      </c>
      <c r="AL13" t="s">
        <v>148</v>
      </c>
      <c r="AM13">
        <v>0.21426246901692253</v>
      </c>
      <c r="AN13" t="s">
        <v>279</v>
      </c>
    </row>
    <row r="14" spans="1:40" x14ac:dyDescent="0.25">
      <c r="C14" t="s">
        <v>150</v>
      </c>
      <c r="E14" t="s">
        <v>280</v>
      </c>
      <c r="G14" t="s">
        <v>143</v>
      </c>
      <c r="I14" t="s">
        <v>152</v>
      </c>
      <c r="J14" t="s">
        <v>283</v>
      </c>
      <c r="K14">
        <v>0</v>
      </c>
      <c r="L14" t="s">
        <v>154</v>
      </c>
      <c r="N14" t="s">
        <v>195</v>
      </c>
      <c r="O14" t="s">
        <v>283</v>
      </c>
      <c r="P14">
        <v>4.7821200629141495E-3</v>
      </c>
      <c r="Q14" t="s">
        <v>154</v>
      </c>
      <c r="S14" t="s">
        <v>226</v>
      </c>
      <c r="T14" t="s">
        <v>283</v>
      </c>
      <c r="U14">
        <v>4.4234485655201827E-3</v>
      </c>
      <c r="V14" t="s">
        <v>154</v>
      </c>
      <c r="X14">
        <v>4.10958904109589E-3</v>
      </c>
      <c r="Y14">
        <v>6.2054048678616743E-3</v>
      </c>
      <c r="Z14" t="s">
        <v>283</v>
      </c>
      <c r="AA14" t="s">
        <v>25</v>
      </c>
      <c r="AC14" t="s">
        <v>22</v>
      </c>
      <c r="AD14" t="s">
        <v>283</v>
      </c>
      <c r="AE14">
        <v>5.7716348834399838E-3</v>
      </c>
      <c r="AG14" t="s">
        <v>97</v>
      </c>
      <c r="AH14" t="s">
        <v>283</v>
      </c>
      <c r="AI14">
        <v>4.8519371237761622E-2</v>
      </c>
      <c r="AK14">
        <v>2020</v>
      </c>
      <c r="AL14" t="s">
        <v>150</v>
      </c>
      <c r="AM14">
        <v>0.1915744498195148</v>
      </c>
      <c r="AN14" t="s">
        <v>279</v>
      </c>
    </row>
    <row r="15" spans="1:40" x14ac:dyDescent="0.25">
      <c r="E15" t="s">
        <v>281</v>
      </c>
      <c r="G15" t="s">
        <v>143</v>
      </c>
      <c r="I15" t="s">
        <v>152</v>
      </c>
      <c r="J15" t="s">
        <v>284</v>
      </c>
      <c r="K15">
        <v>0</v>
      </c>
      <c r="L15" t="s">
        <v>154</v>
      </c>
      <c r="N15" t="s">
        <v>195</v>
      </c>
      <c r="O15" t="s">
        <v>284</v>
      </c>
      <c r="P15">
        <v>2.4950987165546949E-2</v>
      </c>
      <c r="Q15" t="s">
        <v>154</v>
      </c>
      <c r="S15" t="s">
        <v>226</v>
      </c>
      <c r="T15" t="s">
        <v>284</v>
      </c>
      <c r="U15">
        <v>2.4912614999900572E-2</v>
      </c>
      <c r="V15" t="s">
        <v>154</v>
      </c>
      <c r="X15">
        <v>2.0547945205479451E-2</v>
      </c>
      <c r="Y15">
        <v>1.5513512169654178E-2</v>
      </c>
      <c r="Z15" t="s">
        <v>284</v>
      </c>
      <c r="AA15" t="s">
        <v>25</v>
      </c>
      <c r="AC15" t="s">
        <v>22</v>
      </c>
      <c r="AD15" t="s">
        <v>284</v>
      </c>
      <c r="AE15">
        <v>2.4709450704676408E-2</v>
      </c>
      <c r="AG15" t="s">
        <v>97</v>
      </c>
      <c r="AH15" t="s">
        <v>284</v>
      </c>
      <c r="AI15">
        <v>0.15933317374040845</v>
      </c>
      <c r="AK15">
        <v>2021</v>
      </c>
      <c r="AL15" t="s">
        <v>142</v>
      </c>
      <c r="AM15">
        <v>0.20762054491871684</v>
      </c>
      <c r="AN15" t="s">
        <v>279</v>
      </c>
    </row>
    <row r="16" spans="1:40" x14ac:dyDescent="0.25">
      <c r="I16" t="s">
        <v>152</v>
      </c>
      <c r="J16" t="s">
        <v>157</v>
      </c>
      <c r="K16">
        <v>0.11991815936847922</v>
      </c>
      <c r="L16" t="s">
        <v>154</v>
      </c>
      <c r="N16" t="s">
        <v>195</v>
      </c>
      <c r="O16" t="s">
        <v>157</v>
      </c>
      <c r="P16">
        <v>0.26972748606829516</v>
      </c>
      <c r="Q16" t="s">
        <v>154</v>
      </c>
      <c r="S16" t="s">
        <v>226</v>
      </c>
      <c r="T16" t="s">
        <v>157</v>
      </c>
      <c r="U16">
        <v>0.24229219567569737</v>
      </c>
      <c r="V16" t="s">
        <v>154</v>
      </c>
      <c r="X16">
        <v>0.27123287671232876</v>
      </c>
      <c r="Y16">
        <v>0.17213633990502952</v>
      </c>
      <c r="Z16" t="s">
        <v>157</v>
      </c>
      <c r="AA16" t="s">
        <v>25</v>
      </c>
      <c r="AC16" t="s">
        <v>22</v>
      </c>
      <c r="AD16" t="s">
        <v>157</v>
      </c>
      <c r="AE16">
        <v>0.21573775153445013</v>
      </c>
      <c r="AG16" t="s">
        <v>97</v>
      </c>
      <c r="AH16" t="s">
        <v>157</v>
      </c>
      <c r="AI16">
        <v>0.43576864472426613</v>
      </c>
      <c r="AK16">
        <v>2021</v>
      </c>
      <c r="AL16" t="s">
        <v>146</v>
      </c>
      <c r="AM16">
        <v>0.33988277467236849</v>
      </c>
      <c r="AN16" t="s">
        <v>279</v>
      </c>
    </row>
    <row r="17" spans="9:40" x14ac:dyDescent="0.25">
      <c r="I17" t="s">
        <v>152</v>
      </c>
      <c r="J17" t="s">
        <v>158</v>
      </c>
      <c r="K17">
        <v>0.64833610705180311</v>
      </c>
      <c r="L17" t="s">
        <v>154</v>
      </c>
      <c r="N17" t="s">
        <v>195</v>
      </c>
      <c r="O17" t="s">
        <v>158</v>
      </c>
      <c r="P17">
        <v>0.22547868432250387</v>
      </c>
      <c r="Q17" t="s">
        <v>154</v>
      </c>
      <c r="S17" t="s">
        <v>226</v>
      </c>
      <c r="T17" t="s">
        <v>158</v>
      </c>
      <c r="U17">
        <v>0.20732328127170596</v>
      </c>
      <c r="V17" t="s">
        <v>154</v>
      </c>
      <c r="X17">
        <v>0.24109589041095891</v>
      </c>
      <c r="Y17">
        <v>0.33324615269870478</v>
      </c>
      <c r="Z17" t="s">
        <v>158</v>
      </c>
      <c r="AA17" t="s">
        <v>25</v>
      </c>
      <c r="AC17" t="s">
        <v>22</v>
      </c>
      <c r="AD17" t="s">
        <v>158</v>
      </c>
      <c r="AE17">
        <v>0.26937647912368246</v>
      </c>
      <c r="AG17" t="s">
        <v>97</v>
      </c>
      <c r="AH17" t="s">
        <v>158</v>
      </c>
      <c r="AI17">
        <v>0.35621517988537854</v>
      </c>
      <c r="AK17">
        <v>2021</v>
      </c>
      <c r="AL17" t="s">
        <v>148</v>
      </c>
      <c r="AM17">
        <v>0.19081463120434433</v>
      </c>
      <c r="AN17" t="s">
        <v>279</v>
      </c>
    </row>
    <row r="18" spans="9:40" x14ac:dyDescent="0.25">
      <c r="I18" t="s">
        <v>152</v>
      </c>
      <c r="J18" t="s">
        <v>159</v>
      </c>
      <c r="K18">
        <v>3.8127457788317998E-2</v>
      </c>
      <c r="L18" t="s">
        <v>154</v>
      </c>
      <c r="N18" t="s">
        <v>195</v>
      </c>
      <c r="O18" t="s">
        <v>159</v>
      </c>
      <c r="P18">
        <v>2.9164707979682972E-2</v>
      </c>
      <c r="Q18" t="s">
        <v>154</v>
      </c>
      <c r="S18" t="s">
        <v>226</v>
      </c>
      <c r="T18" t="s">
        <v>159</v>
      </c>
      <c r="U18">
        <v>2.7116458229262962E-2</v>
      </c>
      <c r="V18" t="s">
        <v>154</v>
      </c>
      <c r="X18">
        <v>3.0136986301369864E-2</v>
      </c>
      <c r="Y18">
        <v>5.8633120354026312E-2</v>
      </c>
      <c r="Z18" t="s">
        <v>159</v>
      </c>
      <c r="AA18" t="s">
        <v>25</v>
      </c>
      <c r="AC18" t="s">
        <v>22</v>
      </c>
      <c r="AD18" t="s">
        <v>159</v>
      </c>
      <c r="AE18">
        <v>3.393289098935557E-2</v>
      </c>
      <c r="AG18" t="s">
        <v>97</v>
      </c>
      <c r="AH18" t="s">
        <v>159</v>
      </c>
      <c r="AI18">
        <v>0.33499561216827045</v>
      </c>
      <c r="AK18">
        <v>2021</v>
      </c>
      <c r="AL18" t="s">
        <v>150</v>
      </c>
      <c r="AM18">
        <v>0.21711300586915966</v>
      </c>
      <c r="AN18" t="s">
        <v>279</v>
      </c>
    </row>
    <row r="19" spans="9:40" x14ac:dyDescent="0.25">
      <c r="I19" t="s">
        <v>152</v>
      </c>
      <c r="J19" t="s">
        <v>285</v>
      </c>
      <c r="K19">
        <v>1.3521384567981978E-2</v>
      </c>
      <c r="L19" t="s">
        <v>154</v>
      </c>
      <c r="N19" t="s">
        <v>195</v>
      </c>
      <c r="O19" t="s">
        <v>285</v>
      </c>
      <c r="P19">
        <v>2.6415535833850715E-2</v>
      </c>
      <c r="Q19" t="s">
        <v>154</v>
      </c>
      <c r="S19" t="s">
        <v>226</v>
      </c>
      <c r="T19" t="s">
        <v>285</v>
      </c>
      <c r="U19">
        <v>2.4357300054339542E-2</v>
      </c>
      <c r="V19" t="s">
        <v>154</v>
      </c>
      <c r="X19">
        <v>3.0136986301369864E-2</v>
      </c>
      <c r="Y19">
        <v>4.5506302364318928E-2</v>
      </c>
      <c r="Z19" t="s">
        <v>285</v>
      </c>
      <c r="AA19" t="s">
        <v>25</v>
      </c>
      <c r="AC19" t="s">
        <v>22</v>
      </c>
      <c r="AD19" t="s">
        <v>285</v>
      </c>
      <c r="AE19">
        <v>3.3900152930663251E-2</v>
      </c>
      <c r="AG19" t="s">
        <v>97</v>
      </c>
      <c r="AH19" t="s">
        <v>285</v>
      </c>
      <c r="AI19">
        <v>0.32255343590685448</v>
      </c>
      <c r="AK19">
        <v>2022</v>
      </c>
      <c r="AL19" t="s">
        <v>142</v>
      </c>
      <c r="AM19">
        <v>0.18993556013116755</v>
      </c>
      <c r="AN19" t="s">
        <v>279</v>
      </c>
    </row>
    <row r="20" spans="9:40" x14ac:dyDescent="0.25">
      <c r="I20" t="s">
        <v>152</v>
      </c>
      <c r="J20" t="s">
        <v>286</v>
      </c>
      <c r="K20">
        <v>0</v>
      </c>
      <c r="L20" t="s">
        <v>154</v>
      </c>
      <c r="N20" t="s">
        <v>195</v>
      </c>
      <c r="O20" t="s">
        <v>286</v>
      </c>
      <c r="P20">
        <v>0.14585054785360271</v>
      </c>
      <c r="Q20" t="s">
        <v>154</v>
      </c>
      <c r="S20" t="s">
        <v>226</v>
      </c>
      <c r="T20" t="s">
        <v>286</v>
      </c>
      <c r="U20">
        <v>0.13647372948785608</v>
      </c>
      <c r="V20" t="s">
        <v>154</v>
      </c>
      <c r="X20">
        <v>0.15068493150684931</v>
      </c>
      <c r="Y20">
        <v>0.11376575591079732</v>
      </c>
      <c r="Z20" t="s">
        <v>286</v>
      </c>
      <c r="AA20" t="s">
        <v>25</v>
      </c>
      <c r="AC20" t="s">
        <v>22</v>
      </c>
      <c r="AD20" t="s">
        <v>286</v>
      </c>
      <c r="AE20">
        <v>0.15449725789291197</v>
      </c>
      <c r="AG20" t="s">
        <v>97</v>
      </c>
      <c r="AH20" t="s">
        <v>286</v>
      </c>
      <c r="AI20">
        <v>0.33682970572783955</v>
      </c>
      <c r="AK20">
        <v>2022</v>
      </c>
      <c r="AL20" t="s">
        <v>146</v>
      </c>
      <c r="AM20">
        <v>0.31558836156372949</v>
      </c>
      <c r="AN20" t="s">
        <v>279</v>
      </c>
    </row>
    <row r="21" spans="9:40" x14ac:dyDescent="0.25">
      <c r="I21" t="s">
        <v>152</v>
      </c>
      <c r="J21" t="s">
        <v>160</v>
      </c>
      <c r="K21">
        <v>8.3207916219241278E-3</v>
      </c>
      <c r="L21" t="s">
        <v>154</v>
      </c>
      <c r="N21" t="s">
        <v>195</v>
      </c>
      <c r="O21" t="s">
        <v>160</v>
      </c>
      <c r="P21">
        <v>2.8975203633183753E-2</v>
      </c>
      <c r="Q21" t="s">
        <v>154</v>
      </c>
      <c r="S21" t="s">
        <v>226</v>
      </c>
      <c r="T21" t="s">
        <v>160</v>
      </c>
      <c r="U21">
        <v>3.3108662047365234E-2</v>
      </c>
      <c r="V21" t="s">
        <v>154</v>
      </c>
      <c r="X21">
        <v>2.8767123287671233E-2</v>
      </c>
      <c r="Y21">
        <v>1.825688453538192E-2</v>
      </c>
      <c r="Z21" t="s">
        <v>160</v>
      </c>
      <c r="AA21" t="s">
        <v>25</v>
      </c>
      <c r="AC21" t="s">
        <v>22</v>
      </c>
      <c r="AD21" t="s">
        <v>160</v>
      </c>
      <c r="AE21">
        <v>2.1804748038293253E-2</v>
      </c>
      <c r="AG21" t="s">
        <v>97</v>
      </c>
      <c r="AH21" t="s">
        <v>160</v>
      </c>
      <c r="AI21">
        <v>0.33687595554774696</v>
      </c>
      <c r="AK21">
        <v>2022</v>
      </c>
      <c r="AL21" t="s">
        <v>148</v>
      </c>
      <c r="AM21">
        <v>0.1997063982307633</v>
      </c>
      <c r="AN21" t="s">
        <v>279</v>
      </c>
    </row>
    <row r="22" spans="9:40" x14ac:dyDescent="0.25">
      <c r="I22" t="s">
        <v>152</v>
      </c>
      <c r="J22" t="s">
        <v>161</v>
      </c>
      <c r="K22">
        <v>5.3938711372351809E-2</v>
      </c>
      <c r="L22" t="s">
        <v>154</v>
      </c>
      <c r="N22" t="s">
        <v>195</v>
      </c>
      <c r="O22" t="s">
        <v>161</v>
      </c>
      <c r="P22">
        <v>2.5367192785023546E-2</v>
      </c>
      <c r="Q22" t="s">
        <v>154</v>
      </c>
      <c r="S22" t="s">
        <v>226</v>
      </c>
      <c r="T22" t="s">
        <v>161</v>
      </c>
      <c r="U22">
        <v>3.2414959533379195E-2</v>
      </c>
      <c r="V22" t="s">
        <v>154</v>
      </c>
      <c r="X22">
        <v>2.5570776255707764E-2</v>
      </c>
      <c r="Y22">
        <v>3.5344288922589902E-2</v>
      </c>
      <c r="Z22" t="s">
        <v>161</v>
      </c>
      <c r="AA22" t="s">
        <v>25</v>
      </c>
      <c r="AC22" t="s">
        <v>22</v>
      </c>
      <c r="AD22" t="s">
        <v>161</v>
      </c>
      <c r="AE22">
        <v>2.5798023595573049E-2</v>
      </c>
      <c r="AG22" t="s">
        <v>97</v>
      </c>
      <c r="AH22" t="s">
        <v>161</v>
      </c>
      <c r="AI22">
        <v>0.13235487395756085</v>
      </c>
      <c r="AK22">
        <v>2022</v>
      </c>
      <c r="AL22" t="s">
        <v>150</v>
      </c>
      <c r="AM22">
        <v>0.18278616639975589</v>
      </c>
      <c r="AN22" t="s">
        <v>279</v>
      </c>
    </row>
    <row r="23" spans="9:40" x14ac:dyDescent="0.25">
      <c r="I23" t="s">
        <v>152</v>
      </c>
      <c r="J23" t="s">
        <v>162</v>
      </c>
      <c r="K23">
        <v>3.3890492067975304E-4</v>
      </c>
      <c r="L23" t="s">
        <v>154</v>
      </c>
      <c r="N23" t="s">
        <v>195</v>
      </c>
      <c r="O23" t="s">
        <v>162</v>
      </c>
      <c r="P23">
        <v>3.4742249909754841E-3</v>
      </c>
      <c r="Q23" t="s">
        <v>154</v>
      </c>
      <c r="S23" t="s">
        <v>226</v>
      </c>
      <c r="T23" t="s">
        <v>162</v>
      </c>
      <c r="U23">
        <v>4.1478229441031167E-3</v>
      </c>
      <c r="V23" t="s">
        <v>154</v>
      </c>
      <c r="X23">
        <v>3.1963470319634705E-3</v>
      </c>
      <c r="Y23">
        <v>6.2186642799724884E-3</v>
      </c>
      <c r="Z23" t="s">
        <v>162</v>
      </c>
      <c r="AA23" t="s">
        <v>25</v>
      </c>
      <c r="AC23" t="s">
        <v>22</v>
      </c>
      <c r="AD23" t="s">
        <v>162</v>
      </c>
      <c r="AE23">
        <v>3.3260898430838679E-3</v>
      </c>
      <c r="AG23" t="s">
        <v>97</v>
      </c>
      <c r="AH23" t="s">
        <v>162</v>
      </c>
      <c r="AI23">
        <v>0.12682443497274742</v>
      </c>
      <c r="AK23">
        <v>2025</v>
      </c>
      <c r="AL23" t="s">
        <v>142</v>
      </c>
      <c r="AM23">
        <v>0.19595000000000001</v>
      </c>
      <c r="AN23" t="s">
        <v>279</v>
      </c>
    </row>
    <row r="24" spans="9:40" x14ac:dyDescent="0.25">
      <c r="I24" t="s">
        <v>152</v>
      </c>
      <c r="J24" t="s">
        <v>287</v>
      </c>
      <c r="K24">
        <v>0</v>
      </c>
      <c r="L24" t="s">
        <v>154</v>
      </c>
      <c r="N24" t="s">
        <v>195</v>
      </c>
      <c r="O24" t="s">
        <v>287</v>
      </c>
      <c r="P24">
        <v>3.1343906242915667E-3</v>
      </c>
      <c r="Q24" t="s">
        <v>154</v>
      </c>
      <c r="S24" t="s">
        <v>226</v>
      </c>
      <c r="T24" t="s">
        <v>287</v>
      </c>
      <c r="U24">
        <v>3.7860606858765174E-3</v>
      </c>
      <c r="V24" t="s">
        <v>154</v>
      </c>
      <c r="X24">
        <v>3.1963470319634705E-3</v>
      </c>
      <c r="Y24">
        <v>4.8264260083368555E-3</v>
      </c>
      <c r="Z24" t="s">
        <v>287</v>
      </c>
      <c r="AA24" t="s">
        <v>25</v>
      </c>
      <c r="AC24" t="s">
        <v>22</v>
      </c>
      <c r="AD24" t="s">
        <v>287</v>
      </c>
      <c r="AE24">
        <v>3.4026191204334561E-3</v>
      </c>
      <c r="AG24" t="s">
        <v>97</v>
      </c>
      <c r="AH24" t="s">
        <v>287</v>
      </c>
      <c r="AI24">
        <v>0.12156578869387791</v>
      </c>
      <c r="AK24">
        <v>2025</v>
      </c>
      <c r="AL24" t="s">
        <v>146</v>
      </c>
      <c r="AM24">
        <v>0.26554444444444442</v>
      </c>
      <c r="AN24" t="s">
        <v>279</v>
      </c>
    </row>
    <row r="25" spans="9:40" x14ac:dyDescent="0.25">
      <c r="I25" t="s">
        <v>152</v>
      </c>
      <c r="J25" t="s">
        <v>288</v>
      </c>
      <c r="K25">
        <v>0</v>
      </c>
      <c r="L25" t="s">
        <v>154</v>
      </c>
      <c r="N25" t="s">
        <v>195</v>
      </c>
      <c r="O25" t="s">
        <v>288</v>
      </c>
      <c r="P25">
        <v>1.7016870120499003E-2</v>
      </c>
      <c r="Q25" t="s">
        <v>154</v>
      </c>
      <c r="S25" t="s">
        <v>226</v>
      </c>
      <c r="T25" t="s">
        <v>288</v>
      </c>
      <c r="U25">
        <v>1.9688618395457817E-2</v>
      </c>
      <c r="V25" t="s">
        <v>154</v>
      </c>
      <c r="X25">
        <v>1.5981735159817351E-2</v>
      </c>
      <c r="Y25">
        <v>1.2066065020842141E-2</v>
      </c>
      <c r="Z25" t="s">
        <v>288</v>
      </c>
      <c r="AA25" t="s">
        <v>25</v>
      </c>
      <c r="AC25" t="s">
        <v>22</v>
      </c>
      <c r="AD25" t="s">
        <v>288</v>
      </c>
      <c r="AE25">
        <v>1.5836198978585098E-2</v>
      </c>
      <c r="AG25" t="s">
        <v>97</v>
      </c>
      <c r="AH25" t="s">
        <v>288</v>
      </c>
      <c r="AI25">
        <v>0.18897332740602857</v>
      </c>
      <c r="AK25">
        <v>2025</v>
      </c>
      <c r="AL25" t="s">
        <v>148</v>
      </c>
      <c r="AM25">
        <v>0.1671</v>
      </c>
      <c r="AN25" t="s">
        <v>279</v>
      </c>
    </row>
    <row r="26" spans="9:40" x14ac:dyDescent="0.25">
      <c r="I26" t="s">
        <v>152</v>
      </c>
      <c r="J26" t="s">
        <v>163</v>
      </c>
      <c r="K26">
        <v>6.2581337645029721E-3</v>
      </c>
      <c r="L26" t="s">
        <v>154</v>
      </c>
      <c r="N26" t="s">
        <v>195</v>
      </c>
      <c r="O26" t="s">
        <v>163</v>
      </c>
      <c r="P26">
        <v>4.1880177196808394E-2</v>
      </c>
      <c r="Q26" t="s">
        <v>154</v>
      </c>
      <c r="S26" t="s">
        <v>226</v>
      </c>
      <c r="T26" t="s">
        <v>163</v>
      </c>
      <c r="U26">
        <v>5.6340424235233756E-2</v>
      </c>
      <c r="V26" t="s">
        <v>154</v>
      </c>
      <c r="X26">
        <v>3.801369863013699E-2</v>
      </c>
      <c r="Y26">
        <v>2.4125168850326107E-2</v>
      </c>
      <c r="Z26" t="s">
        <v>163</v>
      </c>
      <c r="AA26" t="s">
        <v>25</v>
      </c>
      <c r="AC26" t="s">
        <v>22</v>
      </c>
      <c r="AD26" t="s">
        <v>163</v>
      </c>
      <c r="AE26">
        <v>3.1934868170520686E-2</v>
      </c>
      <c r="AG26" t="s">
        <v>97</v>
      </c>
      <c r="AH26" t="s">
        <v>163</v>
      </c>
      <c r="AI26">
        <v>0.32447394356658088</v>
      </c>
      <c r="AK26">
        <v>2025</v>
      </c>
      <c r="AL26" t="s">
        <v>150</v>
      </c>
      <c r="AM26">
        <v>0.1709</v>
      </c>
      <c r="AN26" t="s">
        <v>279</v>
      </c>
    </row>
    <row r="27" spans="9:40" x14ac:dyDescent="0.25">
      <c r="I27" t="s">
        <v>152</v>
      </c>
      <c r="J27" t="s">
        <v>164</v>
      </c>
      <c r="K27">
        <v>5.3245324038139093E-2</v>
      </c>
      <c r="L27" t="s">
        <v>154</v>
      </c>
      <c r="N27" t="s">
        <v>195</v>
      </c>
      <c r="O27" t="s">
        <v>164</v>
      </c>
      <c r="P27">
        <v>3.6534713776496988E-2</v>
      </c>
      <c r="Q27" t="s">
        <v>154</v>
      </c>
      <c r="S27" t="s">
        <v>226</v>
      </c>
      <c r="T27" t="s">
        <v>164</v>
      </c>
      <c r="U27">
        <v>4.7793255656747843E-2</v>
      </c>
      <c r="V27" t="s">
        <v>154</v>
      </c>
      <c r="X27">
        <v>3.3789954337899546E-2</v>
      </c>
      <c r="Y27">
        <v>4.6704953219136654E-2</v>
      </c>
      <c r="Z27" t="s">
        <v>164</v>
      </c>
      <c r="AA27" t="s">
        <v>25</v>
      </c>
      <c r="AC27" t="s">
        <v>22</v>
      </c>
      <c r="AD27" t="s">
        <v>164</v>
      </c>
      <c r="AE27">
        <v>4.0589132392150513E-2</v>
      </c>
      <c r="AG27" t="s">
        <v>97</v>
      </c>
      <c r="AH27" t="s">
        <v>164</v>
      </c>
      <c r="AI27">
        <v>0.11278833420056755</v>
      </c>
      <c r="AK27">
        <v>2026</v>
      </c>
      <c r="AL27" t="s">
        <v>142</v>
      </c>
      <c r="AM27">
        <v>0.1923</v>
      </c>
      <c r="AN27" t="s">
        <v>279</v>
      </c>
    </row>
    <row r="28" spans="9:40" x14ac:dyDescent="0.25">
      <c r="I28" t="s">
        <v>152</v>
      </c>
      <c r="J28" t="s">
        <v>165</v>
      </c>
      <c r="K28">
        <v>1.3144829611768827E-5</v>
      </c>
      <c r="L28" t="s">
        <v>154</v>
      </c>
      <c r="N28" t="s">
        <v>195</v>
      </c>
      <c r="O28" t="s">
        <v>165</v>
      </c>
      <c r="P28">
        <v>4.8324745858067996E-3</v>
      </c>
      <c r="Q28" t="s">
        <v>154</v>
      </c>
      <c r="S28" t="s">
        <v>226</v>
      </c>
      <c r="T28" t="s">
        <v>165</v>
      </c>
      <c r="U28">
        <v>6.3999354342756144E-3</v>
      </c>
      <c r="V28" t="s">
        <v>154</v>
      </c>
      <c r="X28">
        <v>4.2237442922374432E-3</v>
      </c>
      <c r="Y28">
        <v>8.2175206556779311E-3</v>
      </c>
      <c r="Z28" t="s">
        <v>165</v>
      </c>
      <c r="AA28" t="s">
        <v>25</v>
      </c>
      <c r="AC28" t="s">
        <v>22</v>
      </c>
      <c r="AD28" t="s">
        <v>165</v>
      </c>
      <c r="AE28">
        <v>5.3869414508266574E-3</v>
      </c>
      <c r="AG28" t="s">
        <v>97</v>
      </c>
      <c r="AH28" t="s">
        <v>165</v>
      </c>
      <c r="AI28">
        <v>8.9555174263685533E-2</v>
      </c>
      <c r="AK28">
        <v>2026</v>
      </c>
      <c r="AL28" t="s">
        <v>146</v>
      </c>
      <c r="AM28">
        <v>0.26685555555555557</v>
      </c>
      <c r="AN28" t="s">
        <v>279</v>
      </c>
    </row>
    <row r="29" spans="9:40" x14ac:dyDescent="0.25">
      <c r="I29" t="s">
        <v>152</v>
      </c>
      <c r="J29" t="s">
        <v>289</v>
      </c>
      <c r="K29">
        <v>0</v>
      </c>
      <c r="L29" t="s">
        <v>154</v>
      </c>
      <c r="N29" t="s">
        <v>195</v>
      </c>
      <c r="O29" t="s">
        <v>289</v>
      </c>
      <c r="P29">
        <v>4.7756323046366667E-3</v>
      </c>
      <c r="Q29" t="s">
        <v>154</v>
      </c>
      <c r="S29" t="s">
        <v>226</v>
      </c>
      <c r="T29" t="s">
        <v>289</v>
      </c>
      <c r="U29">
        <v>6.0199126773674777E-3</v>
      </c>
      <c r="V29" t="s">
        <v>154</v>
      </c>
      <c r="X29">
        <v>4.2237442922374432E-3</v>
      </c>
      <c r="Y29">
        <v>6.3777772253022771E-3</v>
      </c>
      <c r="Z29" t="s">
        <v>289</v>
      </c>
      <c r="AA29" t="s">
        <v>25</v>
      </c>
      <c r="AC29" t="s">
        <v>22</v>
      </c>
      <c r="AD29" t="s">
        <v>289</v>
      </c>
      <c r="AE29">
        <v>5.4834604567287736E-3</v>
      </c>
      <c r="AG29" t="s">
        <v>97</v>
      </c>
      <c r="AH29" t="s">
        <v>289</v>
      </c>
      <c r="AI29">
        <v>8.2644273491520259E-2</v>
      </c>
      <c r="AK29">
        <v>2026</v>
      </c>
      <c r="AL29" t="s">
        <v>148</v>
      </c>
      <c r="AM29">
        <v>0.16844999999999999</v>
      </c>
      <c r="AN29" t="s">
        <v>279</v>
      </c>
    </row>
    <row r="30" spans="9:40" x14ac:dyDescent="0.25">
      <c r="I30" t="s">
        <v>152</v>
      </c>
      <c r="J30" t="s">
        <v>290</v>
      </c>
      <c r="K30">
        <v>0</v>
      </c>
      <c r="L30" t="s">
        <v>154</v>
      </c>
      <c r="N30" t="s">
        <v>195</v>
      </c>
      <c r="O30" t="s">
        <v>290</v>
      </c>
      <c r="P30">
        <v>2.3053596534979952E-2</v>
      </c>
      <c r="Q30" t="s">
        <v>154</v>
      </c>
      <c r="S30" t="s">
        <v>226</v>
      </c>
      <c r="T30" t="s">
        <v>290</v>
      </c>
      <c r="U30">
        <v>3.3255386758093995E-2</v>
      </c>
      <c r="V30" t="s">
        <v>154</v>
      </c>
      <c r="X30">
        <v>2.1118721461187213E-2</v>
      </c>
      <c r="Y30">
        <v>1.5944443063255685E-2</v>
      </c>
      <c r="Z30" t="s">
        <v>290</v>
      </c>
      <c r="AA30" t="s">
        <v>25</v>
      </c>
      <c r="AC30" t="s">
        <v>22</v>
      </c>
      <c r="AD30" t="s">
        <v>290</v>
      </c>
      <c r="AE30">
        <v>2.3531594183379419E-2</v>
      </c>
      <c r="AG30" t="s">
        <v>97</v>
      </c>
      <c r="AH30" t="s">
        <v>290</v>
      </c>
      <c r="AI30">
        <v>0.19784446806910894</v>
      </c>
      <c r="AK30">
        <v>2026</v>
      </c>
      <c r="AL30" t="s">
        <v>150</v>
      </c>
      <c r="AM30">
        <v>0.16864999999999999</v>
      </c>
      <c r="AN30" t="s">
        <v>279</v>
      </c>
    </row>
    <row r="31" spans="9:40" x14ac:dyDescent="0.25">
      <c r="I31" t="s">
        <v>166</v>
      </c>
      <c r="J31" t="s">
        <v>153</v>
      </c>
      <c r="K31">
        <v>4.7945111227659246E-3</v>
      </c>
      <c r="L31" t="s">
        <v>154</v>
      </c>
      <c r="N31" t="s">
        <v>196</v>
      </c>
      <c r="O31" t="s">
        <v>153</v>
      </c>
      <c r="P31">
        <v>3.9998377945488661E-2</v>
      </c>
      <c r="Q31" t="s">
        <v>154</v>
      </c>
      <c r="S31" t="s">
        <v>227</v>
      </c>
      <c r="T31" t="s">
        <v>153</v>
      </c>
      <c r="U31">
        <v>4.5592091764391572E-2</v>
      </c>
      <c r="V31" t="s">
        <v>154</v>
      </c>
      <c r="AC31" t="s">
        <v>19</v>
      </c>
      <c r="AD31" t="s">
        <v>153</v>
      </c>
      <c r="AE31">
        <v>3.6537764382112682E-2</v>
      </c>
      <c r="AK31">
        <v>2027</v>
      </c>
      <c r="AL31" t="s">
        <v>142</v>
      </c>
      <c r="AM31">
        <v>0.18759999999999999</v>
      </c>
      <c r="AN31" t="s">
        <v>279</v>
      </c>
    </row>
    <row r="32" spans="9:40" x14ac:dyDescent="0.25">
      <c r="I32" t="s">
        <v>166</v>
      </c>
      <c r="J32" t="s">
        <v>155</v>
      </c>
      <c r="K32">
        <v>5.5966985486041176E-2</v>
      </c>
      <c r="L32" t="s">
        <v>154</v>
      </c>
      <c r="N32" t="s">
        <v>196</v>
      </c>
      <c r="O32" t="s">
        <v>155</v>
      </c>
      <c r="P32">
        <v>3.5033459291311193E-2</v>
      </c>
      <c r="Q32" t="s">
        <v>154</v>
      </c>
      <c r="S32" t="s">
        <v>227</v>
      </c>
      <c r="T32" t="s">
        <v>155</v>
      </c>
      <c r="U32">
        <v>3.8649652790781593E-2</v>
      </c>
      <c r="V32" t="s">
        <v>154</v>
      </c>
      <c r="AC32" t="s">
        <v>19</v>
      </c>
      <c r="AD32" t="s">
        <v>155</v>
      </c>
      <c r="AE32">
        <v>3.3198489303523183E-2</v>
      </c>
      <c r="AK32">
        <v>2027</v>
      </c>
      <c r="AL32" t="s">
        <v>146</v>
      </c>
      <c r="AM32">
        <v>0.26823333333333338</v>
      </c>
      <c r="AN32" t="s">
        <v>279</v>
      </c>
    </row>
    <row r="33" spans="9:40" x14ac:dyDescent="0.25">
      <c r="I33" t="s">
        <v>166</v>
      </c>
      <c r="J33" t="s">
        <v>156</v>
      </c>
      <c r="K33">
        <v>2.5906157527301518E-3</v>
      </c>
      <c r="L33" t="s">
        <v>154</v>
      </c>
      <c r="N33" t="s">
        <v>196</v>
      </c>
      <c r="O33" t="s">
        <v>156</v>
      </c>
      <c r="P33">
        <v>4.8290394505782278E-3</v>
      </c>
      <c r="Q33" t="s">
        <v>154</v>
      </c>
      <c r="S33" t="s">
        <v>227</v>
      </c>
      <c r="T33" t="s">
        <v>156</v>
      </c>
      <c r="U33">
        <v>4.974177304579731E-3</v>
      </c>
      <c r="V33" t="s">
        <v>154</v>
      </c>
      <c r="AC33" t="s">
        <v>19</v>
      </c>
      <c r="AD33" t="s">
        <v>156</v>
      </c>
      <c r="AE33">
        <v>4.1702962446583747E-3</v>
      </c>
      <c r="AK33">
        <v>2027</v>
      </c>
      <c r="AL33" t="s">
        <v>148</v>
      </c>
      <c r="AM33">
        <v>0.16614999999999999</v>
      </c>
      <c r="AN33" t="s">
        <v>279</v>
      </c>
    </row>
    <row r="34" spans="9:40" x14ac:dyDescent="0.25">
      <c r="I34" t="s">
        <v>166</v>
      </c>
      <c r="J34" t="s">
        <v>283</v>
      </c>
      <c r="K34">
        <v>0</v>
      </c>
      <c r="L34" t="s">
        <v>154</v>
      </c>
      <c r="N34" t="s">
        <v>196</v>
      </c>
      <c r="O34" t="s">
        <v>283</v>
      </c>
      <c r="P34">
        <v>4.9335032843643078E-3</v>
      </c>
      <c r="Q34" t="s">
        <v>154</v>
      </c>
      <c r="S34" t="s">
        <v>227</v>
      </c>
      <c r="T34" t="s">
        <v>283</v>
      </c>
      <c r="U34">
        <v>4.779759195773399E-3</v>
      </c>
      <c r="V34" t="s">
        <v>154</v>
      </c>
      <c r="AC34" t="s">
        <v>19</v>
      </c>
      <c r="AD34" t="s">
        <v>283</v>
      </c>
      <c r="AE34">
        <v>4.174347264995916E-3</v>
      </c>
      <c r="AK34">
        <v>2027</v>
      </c>
      <c r="AL34" t="s">
        <v>150</v>
      </c>
      <c r="AM34">
        <v>0.15720000000000001</v>
      </c>
      <c r="AN34" t="s">
        <v>279</v>
      </c>
    </row>
    <row r="35" spans="9:40" x14ac:dyDescent="0.25">
      <c r="I35" t="s">
        <v>166</v>
      </c>
      <c r="J35" t="s">
        <v>284</v>
      </c>
      <c r="K35">
        <v>0</v>
      </c>
      <c r="L35" t="s">
        <v>154</v>
      </c>
      <c r="N35" t="s">
        <v>196</v>
      </c>
      <c r="O35" t="s">
        <v>284</v>
      </c>
      <c r="P35">
        <v>2.4544948788374502E-2</v>
      </c>
      <c r="Q35" t="s">
        <v>154</v>
      </c>
      <c r="S35" t="s">
        <v>227</v>
      </c>
      <c r="T35" t="s">
        <v>284</v>
      </c>
      <c r="U35">
        <v>2.5739526785048417E-2</v>
      </c>
      <c r="V35" t="s">
        <v>154</v>
      </c>
      <c r="AC35" t="s">
        <v>19</v>
      </c>
      <c r="AD35" t="s">
        <v>284</v>
      </c>
      <c r="AE35">
        <v>2.0601491385708243E-2</v>
      </c>
      <c r="AK35">
        <v>2028</v>
      </c>
      <c r="AL35" t="s">
        <v>142</v>
      </c>
      <c r="AM35">
        <v>0.18814999999999998</v>
      </c>
      <c r="AN35" t="s">
        <v>279</v>
      </c>
    </row>
    <row r="36" spans="9:40" x14ac:dyDescent="0.25">
      <c r="I36" t="s">
        <v>166</v>
      </c>
      <c r="J36" t="s">
        <v>157</v>
      </c>
      <c r="K36">
        <v>0.1144547849116942</v>
      </c>
      <c r="L36" t="s">
        <v>154</v>
      </c>
      <c r="N36" t="s">
        <v>196</v>
      </c>
      <c r="O36" t="s">
        <v>157</v>
      </c>
      <c r="P36">
        <v>0.26824292850882919</v>
      </c>
      <c r="Q36" t="s">
        <v>154</v>
      </c>
      <c r="S36" t="s">
        <v>227</v>
      </c>
      <c r="T36" t="s">
        <v>157</v>
      </c>
      <c r="U36">
        <v>0.25154053204718596</v>
      </c>
      <c r="V36" t="s">
        <v>154</v>
      </c>
      <c r="AC36" t="s">
        <v>19</v>
      </c>
      <c r="AD36" t="s">
        <v>157</v>
      </c>
      <c r="AE36">
        <v>0.26798185622465792</v>
      </c>
      <c r="AK36">
        <v>2028</v>
      </c>
      <c r="AL36" t="s">
        <v>146</v>
      </c>
      <c r="AM36">
        <v>0.27376666666666666</v>
      </c>
      <c r="AN36" t="s">
        <v>279</v>
      </c>
    </row>
    <row r="37" spans="9:40" x14ac:dyDescent="0.25">
      <c r="I37" t="s">
        <v>166</v>
      </c>
      <c r="J37" t="s">
        <v>158</v>
      </c>
      <c r="K37">
        <v>0.64520097885285488</v>
      </c>
      <c r="L37" t="s">
        <v>154</v>
      </c>
      <c r="N37" t="s">
        <v>196</v>
      </c>
      <c r="O37" t="s">
        <v>158</v>
      </c>
      <c r="P37">
        <v>0.23634876191721349</v>
      </c>
      <c r="Q37" t="s">
        <v>154</v>
      </c>
      <c r="S37" t="s">
        <v>227</v>
      </c>
      <c r="T37" t="s">
        <v>158</v>
      </c>
      <c r="U37">
        <v>0.20978015788559223</v>
      </c>
      <c r="V37" t="s">
        <v>154</v>
      </c>
      <c r="AC37" t="s">
        <v>19</v>
      </c>
      <c r="AD37" t="s">
        <v>158</v>
      </c>
      <c r="AE37">
        <v>0.24326152835403597</v>
      </c>
      <c r="AK37">
        <v>2028</v>
      </c>
      <c r="AL37" t="s">
        <v>148</v>
      </c>
      <c r="AM37">
        <v>0.1865</v>
      </c>
      <c r="AN37" t="s">
        <v>279</v>
      </c>
    </row>
    <row r="38" spans="9:40" x14ac:dyDescent="0.25">
      <c r="I38" t="s">
        <v>166</v>
      </c>
      <c r="J38" t="s">
        <v>159</v>
      </c>
      <c r="K38">
        <v>4.1711934838405143E-2</v>
      </c>
      <c r="L38" t="s">
        <v>154</v>
      </c>
      <c r="N38" t="s">
        <v>196</v>
      </c>
      <c r="O38" t="s">
        <v>159</v>
      </c>
      <c r="P38">
        <v>3.0567234154193563E-2</v>
      </c>
      <c r="Q38" t="s">
        <v>154</v>
      </c>
      <c r="S38" t="s">
        <v>227</v>
      </c>
      <c r="T38" t="s">
        <v>159</v>
      </c>
      <c r="U38">
        <v>2.6878492353046263E-2</v>
      </c>
      <c r="V38" t="s">
        <v>154</v>
      </c>
      <c r="AC38" t="s">
        <v>19</v>
      </c>
      <c r="AD38" t="s">
        <v>159</v>
      </c>
      <c r="AE38">
        <v>3.0424681398244141E-2</v>
      </c>
      <c r="AK38">
        <v>2028</v>
      </c>
      <c r="AL38" t="s">
        <v>150</v>
      </c>
      <c r="AM38">
        <v>0.17085</v>
      </c>
      <c r="AN38" t="s">
        <v>279</v>
      </c>
    </row>
    <row r="39" spans="9:40" x14ac:dyDescent="0.25">
      <c r="I39" t="s">
        <v>166</v>
      </c>
      <c r="J39" t="s">
        <v>285</v>
      </c>
      <c r="K39">
        <v>1.6947985584766255E-2</v>
      </c>
      <c r="L39" t="s">
        <v>154</v>
      </c>
      <c r="N39" t="s">
        <v>196</v>
      </c>
      <c r="O39" t="s">
        <v>285</v>
      </c>
      <c r="P39">
        <v>2.8503011370361282E-2</v>
      </c>
      <c r="Q39" t="s">
        <v>154</v>
      </c>
      <c r="S39" t="s">
        <v>227</v>
      </c>
      <c r="T39" t="s">
        <v>285</v>
      </c>
      <c r="U39">
        <v>2.4028179308242248E-2</v>
      </c>
      <c r="V39" t="s">
        <v>154</v>
      </c>
      <c r="AC39" t="s">
        <v>19</v>
      </c>
      <c r="AD39" t="s">
        <v>285</v>
      </c>
      <c r="AE39">
        <v>3.0422548864169518E-2</v>
      </c>
      <c r="AK39">
        <v>2029</v>
      </c>
      <c r="AL39" t="s">
        <v>142</v>
      </c>
      <c r="AM39">
        <v>0.21149999999999999</v>
      </c>
      <c r="AN39" t="s">
        <v>279</v>
      </c>
    </row>
    <row r="40" spans="9:40" x14ac:dyDescent="0.25">
      <c r="I40" t="s">
        <v>166</v>
      </c>
      <c r="J40" t="s">
        <v>286</v>
      </c>
      <c r="K40">
        <v>0</v>
      </c>
      <c r="L40" t="s">
        <v>154</v>
      </c>
      <c r="N40" t="s">
        <v>196</v>
      </c>
      <c r="O40" t="s">
        <v>286</v>
      </c>
      <c r="P40">
        <v>0.14747561570497097</v>
      </c>
      <c r="Q40" t="s">
        <v>154</v>
      </c>
      <c r="S40" t="s">
        <v>227</v>
      </c>
      <c r="T40" t="s">
        <v>286</v>
      </c>
      <c r="U40">
        <v>0.13548319850066487</v>
      </c>
      <c r="V40" t="s">
        <v>154</v>
      </c>
      <c r="AC40" t="s">
        <v>19</v>
      </c>
      <c r="AD40" t="s">
        <v>286</v>
      </c>
      <c r="AE40">
        <v>0.1511354264625667</v>
      </c>
      <c r="AK40">
        <v>2029</v>
      </c>
      <c r="AL40" t="s">
        <v>146</v>
      </c>
      <c r="AM40">
        <v>0.32675555555555552</v>
      </c>
      <c r="AN40" t="s">
        <v>279</v>
      </c>
    </row>
    <row r="41" spans="9:40" x14ac:dyDescent="0.25">
      <c r="I41" t="s">
        <v>166</v>
      </c>
      <c r="J41" t="s">
        <v>160</v>
      </c>
      <c r="K41">
        <v>7.2822309928321756E-3</v>
      </c>
      <c r="L41" t="s">
        <v>154</v>
      </c>
      <c r="N41" t="s">
        <v>196</v>
      </c>
      <c r="O41" t="s">
        <v>160</v>
      </c>
      <c r="P41">
        <v>2.3719794319640511E-2</v>
      </c>
      <c r="Q41" t="s">
        <v>154</v>
      </c>
      <c r="S41" t="s">
        <v>227</v>
      </c>
      <c r="T41" t="s">
        <v>160</v>
      </c>
      <c r="U41">
        <v>3.5042096833513614E-2</v>
      </c>
      <c r="V41" t="s">
        <v>154</v>
      </c>
      <c r="AC41" t="s">
        <v>19</v>
      </c>
      <c r="AD41" t="s">
        <v>160</v>
      </c>
      <c r="AE41">
        <v>2.8445080768569702E-2</v>
      </c>
      <c r="AK41">
        <v>2029</v>
      </c>
      <c r="AL41" t="s">
        <v>148</v>
      </c>
      <c r="AM41">
        <v>0.22310000000000002</v>
      </c>
      <c r="AN41" t="s">
        <v>279</v>
      </c>
    </row>
    <row r="42" spans="9:40" x14ac:dyDescent="0.25">
      <c r="I42" t="s">
        <v>166</v>
      </c>
      <c r="J42" t="s">
        <v>161</v>
      </c>
      <c r="K42">
        <v>5.3690734989790365E-2</v>
      </c>
      <c r="L42" t="s">
        <v>154</v>
      </c>
      <c r="N42" t="s">
        <v>196</v>
      </c>
      <c r="O42" t="s">
        <v>161</v>
      </c>
      <c r="P42">
        <v>2.1589968895036494E-2</v>
      </c>
      <c r="Q42" t="s">
        <v>154</v>
      </c>
      <c r="S42" t="s">
        <v>227</v>
      </c>
      <c r="T42" t="s">
        <v>161</v>
      </c>
      <c r="U42">
        <v>3.1451300561552278E-2</v>
      </c>
      <c r="V42" t="s">
        <v>154</v>
      </c>
      <c r="AC42" t="s">
        <v>19</v>
      </c>
      <c r="AD42" t="s">
        <v>161</v>
      </c>
      <c r="AE42">
        <v>2.5702451608334422E-2</v>
      </c>
      <c r="AK42">
        <v>2029</v>
      </c>
      <c r="AL42" t="s">
        <v>150</v>
      </c>
      <c r="AM42">
        <v>0.22010000000000002</v>
      </c>
      <c r="AN42" t="s">
        <v>279</v>
      </c>
    </row>
    <row r="43" spans="9:40" x14ac:dyDescent="0.25">
      <c r="I43" t="s">
        <v>166</v>
      </c>
      <c r="J43" t="s">
        <v>162</v>
      </c>
      <c r="K43">
        <v>1.388209889109865E-3</v>
      </c>
      <c r="L43" t="s">
        <v>154</v>
      </c>
      <c r="N43" t="s">
        <v>196</v>
      </c>
      <c r="O43" t="s">
        <v>162</v>
      </c>
      <c r="P43">
        <v>2.8329242450341038E-3</v>
      </c>
      <c r="Q43" t="s">
        <v>154</v>
      </c>
      <c r="S43" t="s">
        <v>227</v>
      </c>
      <c r="T43" t="s">
        <v>162</v>
      </c>
      <c r="U43">
        <v>3.9501406216732819E-3</v>
      </c>
      <c r="V43" t="s">
        <v>154</v>
      </c>
      <c r="AC43" t="s">
        <v>19</v>
      </c>
      <c r="AD43" t="s">
        <v>162</v>
      </c>
      <c r="AE43">
        <v>3.2194074648871623E-3</v>
      </c>
      <c r="AK43">
        <v>2030</v>
      </c>
      <c r="AL43" t="s">
        <v>142</v>
      </c>
      <c r="AM43">
        <v>0.22555</v>
      </c>
      <c r="AN43" t="s">
        <v>279</v>
      </c>
    </row>
    <row r="44" spans="9:40" x14ac:dyDescent="0.25">
      <c r="I44" t="s">
        <v>166</v>
      </c>
      <c r="J44" t="s">
        <v>287</v>
      </c>
      <c r="K44">
        <v>0</v>
      </c>
      <c r="L44" t="s">
        <v>154</v>
      </c>
      <c r="N44" t="s">
        <v>196</v>
      </c>
      <c r="O44" t="s">
        <v>287</v>
      </c>
      <c r="P44">
        <v>2.725950579975784E-3</v>
      </c>
      <c r="Q44" t="s">
        <v>154</v>
      </c>
      <c r="S44" t="s">
        <v>227</v>
      </c>
      <c r="T44" t="s">
        <v>287</v>
      </c>
      <c r="U44">
        <v>3.5789614018915585E-3</v>
      </c>
      <c r="V44" t="s">
        <v>154</v>
      </c>
      <c r="AC44" t="s">
        <v>19</v>
      </c>
      <c r="AD44" t="s">
        <v>287</v>
      </c>
      <c r="AE44">
        <v>3.2243925280880186E-3</v>
      </c>
      <c r="AK44">
        <v>2030</v>
      </c>
      <c r="AL44" t="s">
        <v>146</v>
      </c>
      <c r="AM44">
        <v>0.33065555555555559</v>
      </c>
      <c r="AN44" t="s">
        <v>279</v>
      </c>
    </row>
    <row r="45" spans="9:40" x14ac:dyDescent="0.25">
      <c r="I45" t="s">
        <v>166</v>
      </c>
      <c r="J45" t="s">
        <v>288</v>
      </c>
      <c r="K45">
        <v>0</v>
      </c>
      <c r="L45" t="s">
        <v>154</v>
      </c>
      <c r="N45" t="s">
        <v>196</v>
      </c>
      <c r="O45" t="s">
        <v>288</v>
      </c>
      <c r="P45">
        <v>1.377978864760721E-2</v>
      </c>
      <c r="Q45" t="s">
        <v>154</v>
      </c>
      <c r="S45" t="s">
        <v>227</v>
      </c>
      <c r="T45" t="s">
        <v>288</v>
      </c>
      <c r="U45">
        <v>1.9401571525735749E-2</v>
      </c>
      <c r="V45" t="s">
        <v>154</v>
      </c>
      <c r="AC45" t="s">
        <v>19</v>
      </c>
      <c r="AD45" t="s">
        <v>288</v>
      </c>
      <c r="AE45">
        <v>1.6045300423670021E-2</v>
      </c>
      <c r="AK45">
        <v>2030</v>
      </c>
      <c r="AL45" t="s">
        <v>148</v>
      </c>
      <c r="AM45">
        <v>0.21934999999999999</v>
      </c>
      <c r="AN45" t="s">
        <v>279</v>
      </c>
    </row>
    <row r="46" spans="9:40" x14ac:dyDescent="0.25">
      <c r="I46" t="s">
        <v>166</v>
      </c>
      <c r="J46" t="s">
        <v>163</v>
      </c>
      <c r="K46">
        <v>4.8806362892947642E-3</v>
      </c>
      <c r="L46" t="s">
        <v>154</v>
      </c>
      <c r="N46" t="s">
        <v>196</v>
      </c>
      <c r="O46" t="s">
        <v>163</v>
      </c>
      <c r="P46">
        <v>4.1930471016614741E-2</v>
      </c>
      <c r="Q46" t="s">
        <v>154</v>
      </c>
      <c r="S46" t="s">
        <v>227</v>
      </c>
      <c r="T46" t="s">
        <v>163</v>
      </c>
      <c r="U46">
        <v>5.4412106858867881E-2</v>
      </c>
      <c r="V46" t="s">
        <v>154</v>
      </c>
      <c r="AC46" t="s">
        <v>19</v>
      </c>
      <c r="AD46" t="s">
        <v>163</v>
      </c>
      <c r="AE46">
        <v>3.7513909776589707E-2</v>
      </c>
      <c r="AK46">
        <v>2030</v>
      </c>
      <c r="AL46" t="s">
        <v>150</v>
      </c>
      <c r="AM46">
        <v>0.1973</v>
      </c>
      <c r="AN46" t="s">
        <v>279</v>
      </c>
    </row>
    <row r="47" spans="9:40" x14ac:dyDescent="0.25">
      <c r="I47" t="s">
        <v>166</v>
      </c>
      <c r="J47" t="s">
        <v>164</v>
      </c>
      <c r="K47">
        <v>5.0498378260480974E-2</v>
      </c>
      <c r="L47" t="s">
        <v>154</v>
      </c>
      <c r="N47" t="s">
        <v>196</v>
      </c>
      <c r="O47" t="s">
        <v>164</v>
      </c>
      <c r="P47">
        <v>3.9200027193175571E-2</v>
      </c>
      <c r="Q47" t="s">
        <v>154</v>
      </c>
      <c r="S47" t="s">
        <v>227</v>
      </c>
      <c r="T47" t="s">
        <v>164</v>
      </c>
      <c r="U47">
        <v>4.296986536294764E-2</v>
      </c>
      <c r="V47" t="s">
        <v>154</v>
      </c>
      <c r="AC47" t="s">
        <v>19</v>
      </c>
      <c r="AD47" t="s">
        <v>164</v>
      </c>
      <c r="AE47">
        <v>3.4140565231323701E-2</v>
      </c>
      <c r="AK47">
        <v>2031</v>
      </c>
      <c r="AL47" t="s">
        <v>142</v>
      </c>
      <c r="AM47">
        <v>0.21650000000000003</v>
      </c>
      <c r="AN47" t="s">
        <v>279</v>
      </c>
    </row>
    <row r="48" spans="9:40" x14ac:dyDescent="0.25">
      <c r="I48" t="s">
        <v>166</v>
      </c>
      <c r="J48" t="s">
        <v>165</v>
      </c>
      <c r="K48">
        <v>5.9201302923637142E-4</v>
      </c>
      <c r="L48" t="s">
        <v>154</v>
      </c>
      <c r="N48" t="s">
        <v>196</v>
      </c>
      <c r="O48" t="s">
        <v>165</v>
      </c>
      <c r="P48">
        <v>5.1995120245693941E-3</v>
      </c>
      <c r="Q48" t="s">
        <v>154</v>
      </c>
      <c r="S48" t="s">
        <v>227</v>
      </c>
      <c r="T48" t="s">
        <v>165</v>
      </c>
      <c r="U48">
        <v>5.6314919861258101E-3</v>
      </c>
      <c r="V48" t="s">
        <v>154</v>
      </c>
      <c r="AC48" t="s">
        <v>19</v>
      </c>
      <c r="AD48" t="s">
        <v>165</v>
      </c>
      <c r="AE48">
        <v>4.2879787887551467E-3</v>
      </c>
      <c r="AK48">
        <v>2031</v>
      </c>
      <c r="AL48" t="s">
        <v>146</v>
      </c>
      <c r="AM48">
        <v>0.32822222222222219</v>
      </c>
      <c r="AN48" t="s">
        <v>279</v>
      </c>
    </row>
    <row r="49" spans="9:40" x14ac:dyDescent="0.25">
      <c r="I49" t="s">
        <v>166</v>
      </c>
      <c r="J49" t="s">
        <v>289</v>
      </c>
      <c r="K49">
        <v>0</v>
      </c>
      <c r="L49" t="s">
        <v>154</v>
      </c>
      <c r="N49" t="s">
        <v>196</v>
      </c>
      <c r="O49" t="s">
        <v>289</v>
      </c>
      <c r="P49">
        <v>5.1605480199932675E-3</v>
      </c>
      <c r="Q49" t="s">
        <v>154</v>
      </c>
      <c r="S49" t="s">
        <v>227</v>
      </c>
      <c r="T49" t="s">
        <v>289</v>
      </c>
      <c r="U49">
        <v>5.626416319124505E-3</v>
      </c>
      <c r="V49" t="s">
        <v>154</v>
      </c>
      <c r="AC49" t="s">
        <v>19</v>
      </c>
      <c r="AD49" t="s">
        <v>289</v>
      </c>
      <c r="AE49">
        <v>4.2942659687883241E-3</v>
      </c>
      <c r="AK49">
        <v>2031</v>
      </c>
      <c r="AL49" t="s">
        <v>148</v>
      </c>
      <c r="AM49">
        <v>0.22349999999999998</v>
      </c>
      <c r="AN49" t="s">
        <v>279</v>
      </c>
    </row>
    <row r="50" spans="9:40" x14ac:dyDescent="0.25">
      <c r="I50" t="s">
        <v>166</v>
      </c>
      <c r="J50" t="s">
        <v>290</v>
      </c>
      <c r="K50">
        <v>0</v>
      </c>
      <c r="L50" t="s">
        <v>154</v>
      </c>
      <c r="N50" t="s">
        <v>196</v>
      </c>
      <c r="O50" t="s">
        <v>290</v>
      </c>
      <c r="P50">
        <v>2.3384134642667167E-2</v>
      </c>
      <c r="Q50" t="s">
        <v>154</v>
      </c>
      <c r="S50" t="s">
        <v>227</v>
      </c>
      <c r="T50" t="s">
        <v>290</v>
      </c>
      <c r="U50">
        <v>3.0490280593262746E-2</v>
      </c>
      <c r="V50" t="s">
        <v>154</v>
      </c>
      <c r="AC50" t="s">
        <v>19</v>
      </c>
      <c r="AD50" t="s">
        <v>290</v>
      </c>
      <c r="AE50">
        <v>2.121821755632115E-2</v>
      </c>
      <c r="AK50">
        <v>2031</v>
      </c>
      <c r="AL50" t="s">
        <v>150</v>
      </c>
      <c r="AM50">
        <v>0.20650000000000002</v>
      </c>
      <c r="AN50" t="s">
        <v>279</v>
      </c>
    </row>
    <row r="51" spans="9:40" x14ac:dyDescent="0.25">
      <c r="I51" t="s">
        <v>167</v>
      </c>
      <c r="J51" t="s">
        <v>153</v>
      </c>
      <c r="K51">
        <v>5.0453986654104112E-3</v>
      </c>
      <c r="L51" t="s">
        <v>154</v>
      </c>
      <c r="N51" t="s">
        <v>197</v>
      </c>
      <c r="O51" t="s">
        <v>153</v>
      </c>
      <c r="P51">
        <v>4.3784736925622514E-2</v>
      </c>
      <c r="Q51" t="s">
        <v>154</v>
      </c>
      <c r="S51" t="s">
        <v>228</v>
      </c>
      <c r="T51" t="s">
        <v>153</v>
      </c>
      <c r="U51">
        <v>3.7848925658715955E-2</v>
      </c>
      <c r="V51" t="s">
        <v>154</v>
      </c>
      <c r="AK51">
        <v>2032</v>
      </c>
      <c r="AL51" t="s">
        <v>142</v>
      </c>
      <c r="AM51">
        <v>0.22210000000000002</v>
      </c>
      <c r="AN51" t="s">
        <v>279</v>
      </c>
    </row>
    <row r="52" spans="9:40" x14ac:dyDescent="0.25">
      <c r="I52" t="s">
        <v>167</v>
      </c>
      <c r="J52" t="s">
        <v>155</v>
      </c>
      <c r="K52">
        <v>5.8795480031384788E-2</v>
      </c>
      <c r="L52" t="s">
        <v>154</v>
      </c>
      <c r="N52" t="s">
        <v>197</v>
      </c>
      <c r="O52" t="s">
        <v>155</v>
      </c>
      <c r="P52">
        <v>4.3744007144250079E-2</v>
      </c>
      <c r="Q52" t="s">
        <v>154</v>
      </c>
      <c r="S52" t="s">
        <v>228</v>
      </c>
      <c r="T52" t="s">
        <v>155</v>
      </c>
      <c r="U52">
        <v>3.5532784782649422E-2</v>
      </c>
      <c r="V52" t="s">
        <v>154</v>
      </c>
      <c r="AK52">
        <v>2032</v>
      </c>
      <c r="AL52" t="s">
        <v>146</v>
      </c>
      <c r="AM52">
        <v>0.31636666666666663</v>
      </c>
      <c r="AN52" t="s">
        <v>279</v>
      </c>
    </row>
    <row r="53" spans="9:40" x14ac:dyDescent="0.25">
      <c r="I53" t="s">
        <v>167</v>
      </c>
      <c r="J53" t="s">
        <v>156</v>
      </c>
      <c r="K53">
        <v>1.292437581945685E-3</v>
      </c>
      <c r="L53" t="s">
        <v>154</v>
      </c>
      <c r="N53" t="s">
        <v>197</v>
      </c>
      <c r="O53" t="s">
        <v>156</v>
      </c>
      <c r="P53">
        <v>6.7747200236352237E-3</v>
      </c>
      <c r="Q53" t="s">
        <v>154</v>
      </c>
      <c r="S53" t="s">
        <v>228</v>
      </c>
      <c r="T53" t="s">
        <v>156</v>
      </c>
      <c r="U53">
        <v>4.6237452372560007E-3</v>
      </c>
      <c r="V53" t="s">
        <v>154</v>
      </c>
      <c r="AK53">
        <v>2032</v>
      </c>
      <c r="AL53" t="s">
        <v>148</v>
      </c>
      <c r="AM53">
        <v>0.20444999999999999</v>
      </c>
      <c r="AN53" t="s">
        <v>279</v>
      </c>
    </row>
    <row r="54" spans="9:40" x14ac:dyDescent="0.25">
      <c r="I54" t="s">
        <v>167</v>
      </c>
      <c r="J54" t="s">
        <v>283</v>
      </c>
      <c r="K54">
        <v>0</v>
      </c>
      <c r="L54" t="s">
        <v>154</v>
      </c>
      <c r="N54" t="s">
        <v>197</v>
      </c>
      <c r="O54" t="s">
        <v>283</v>
      </c>
      <c r="P54">
        <v>6.5842772516760293E-3</v>
      </c>
      <c r="Q54" t="s">
        <v>154</v>
      </c>
      <c r="S54" t="s">
        <v>228</v>
      </c>
      <c r="T54" t="s">
        <v>283</v>
      </c>
      <c r="U54">
        <v>4.7602455611624106E-3</v>
      </c>
      <c r="V54" t="s">
        <v>154</v>
      </c>
      <c r="AK54">
        <v>2032</v>
      </c>
      <c r="AL54" t="s">
        <v>150</v>
      </c>
      <c r="AM54">
        <v>0.20784999999999998</v>
      </c>
      <c r="AN54" t="s">
        <v>279</v>
      </c>
    </row>
    <row r="55" spans="9:40" x14ac:dyDescent="0.25">
      <c r="I55" t="s">
        <v>167</v>
      </c>
      <c r="J55" t="s">
        <v>284</v>
      </c>
      <c r="K55">
        <v>0</v>
      </c>
      <c r="L55" t="s">
        <v>154</v>
      </c>
      <c r="N55" t="s">
        <v>197</v>
      </c>
      <c r="O55" t="s">
        <v>284</v>
      </c>
      <c r="P55">
        <v>2.580131547216729E-2</v>
      </c>
      <c r="Q55" t="s">
        <v>154</v>
      </c>
      <c r="S55" t="s">
        <v>228</v>
      </c>
      <c r="T55" t="s">
        <v>284</v>
      </c>
      <c r="U55">
        <v>2.3693137746180162E-2</v>
      </c>
      <c r="V55" t="s">
        <v>154</v>
      </c>
      <c r="AK55">
        <v>2033</v>
      </c>
      <c r="AL55" t="s">
        <v>142</v>
      </c>
      <c r="AM55">
        <v>0.2135</v>
      </c>
      <c r="AN55" t="s">
        <v>279</v>
      </c>
    </row>
    <row r="56" spans="9:40" x14ac:dyDescent="0.25">
      <c r="I56" t="s">
        <v>167</v>
      </c>
      <c r="J56" t="s">
        <v>157</v>
      </c>
      <c r="K56">
        <v>0.11941167806348287</v>
      </c>
      <c r="L56" t="s">
        <v>154</v>
      </c>
      <c r="N56" t="s">
        <v>197</v>
      </c>
      <c r="O56" t="s">
        <v>157</v>
      </c>
      <c r="P56">
        <v>0.23959475886067755</v>
      </c>
      <c r="Q56" t="s">
        <v>154</v>
      </c>
      <c r="S56" t="s">
        <v>228</v>
      </c>
      <c r="T56" t="s">
        <v>157</v>
      </c>
      <c r="U56">
        <v>0.27456163803892736</v>
      </c>
      <c r="V56" t="s">
        <v>154</v>
      </c>
      <c r="AK56">
        <v>2033</v>
      </c>
      <c r="AL56" t="s">
        <v>146</v>
      </c>
      <c r="AM56">
        <v>0.31353333333333328</v>
      </c>
      <c r="AN56" t="s">
        <v>279</v>
      </c>
    </row>
    <row r="57" spans="9:40" x14ac:dyDescent="0.25">
      <c r="I57" t="s">
        <v>167</v>
      </c>
      <c r="J57" t="s">
        <v>158</v>
      </c>
      <c r="K57">
        <v>0.62975977710295949</v>
      </c>
      <c r="L57" t="s">
        <v>154</v>
      </c>
      <c r="N57" t="s">
        <v>197</v>
      </c>
      <c r="O57" t="s">
        <v>158</v>
      </c>
      <c r="P57">
        <v>0.21753595293798772</v>
      </c>
      <c r="Q57" t="s">
        <v>154</v>
      </c>
      <c r="S57" t="s">
        <v>228</v>
      </c>
      <c r="T57" t="s">
        <v>158</v>
      </c>
      <c r="U57">
        <v>0.2330005588065853</v>
      </c>
      <c r="V57" t="s">
        <v>154</v>
      </c>
      <c r="AK57">
        <v>2033</v>
      </c>
      <c r="AL57" t="s">
        <v>148</v>
      </c>
      <c r="AM57">
        <v>0.20295000000000002</v>
      </c>
      <c r="AN57" t="s">
        <v>279</v>
      </c>
    </row>
    <row r="58" spans="9:40" x14ac:dyDescent="0.25">
      <c r="I58" t="s">
        <v>167</v>
      </c>
      <c r="J58" t="s">
        <v>159</v>
      </c>
      <c r="K58">
        <v>3.9160893647333612E-2</v>
      </c>
      <c r="L58" t="s">
        <v>154</v>
      </c>
      <c r="N58" t="s">
        <v>197</v>
      </c>
      <c r="O58" t="s">
        <v>159</v>
      </c>
      <c r="P58">
        <v>2.8331253788749341E-2</v>
      </c>
      <c r="Q58" t="s">
        <v>154</v>
      </c>
      <c r="S58" t="s">
        <v>228</v>
      </c>
      <c r="T58" t="s">
        <v>159</v>
      </c>
      <c r="U58">
        <v>2.9925421861484294E-2</v>
      </c>
      <c r="V58" t="s">
        <v>154</v>
      </c>
      <c r="AK58">
        <v>2033</v>
      </c>
      <c r="AL58" t="s">
        <v>150</v>
      </c>
      <c r="AM58">
        <v>0.19800000000000001</v>
      </c>
      <c r="AN58" t="s">
        <v>279</v>
      </c>
    </row>
    <row r="59" spans="9:40" x14ac:dyDescent="0.25">
      <c r="I59" t="s">
        <v>167</v>
      </c>
      <c r="J59" t="s">
        <v>285</v>
      </c>
      <c r="K59">
        <v>1.2978324254672732E-2</v>
      </c>
      <c r="L59" t="s">
        <v>154</v>
      </c>
      <c r="N59" t="s">
        <v>197</v>
      </c>
      <c r="O59" t="s">
        <v>285</v>
      </c>
      <c r="P59">
        <v>2.8072180014525522E-2</v>
      </c>
      <c r="Q59" t="s">
        <v>154</v>
      </c>
      <c r="S59" t="s">
        <v>228</v>
      </c>
      <c r="T59" t="s">
        <v>285</v>
      </c>
      <c r="U59">
        <v>2.7932870220971719E-2</v>
      </c>
      <c r="V59" t="s">
        <v>154</v>
      </c>
      <c r="AK59">
        <v>2034</v>
      </c>
      <c r="AL59" t="s">
        <v>142</v>
      </c>
      <c r="AM59">
        <v>0.22685</v>
      </c>
      <c r="AN59" t="s">
        <v>279</v>
      </c>
    </row>
    <row r="60" spans="9:40" x14ac:dyDescent="0.25">
      <c r="I60" t="s">
        <v>167</v>
      </c>
      <c r="J60" t="s">
        <v>286</v>
      </c>
      <c r="K60">
        <v>7.6376068888646613E-6</v>
      </c>
      <c r="L60" t="s">
        <v>154</v>
      </c>
      <c r="N60" t="s">
        <v>197</v>
      </c>
      <c r="O60" t="s">
        <v>286</v>
      </c>
      <c r="P60">
        <v>0.11739913801937606</v>
      </c>
      <c r="Q60" t="s">
        <v>154</v>
      </c>
      <c r="S60" t="s">
        <v>228</v>
      </c>
      <c r="T60" t="s">
        <v>286</v>
      </c>
      <c r="U60">
        <v>0.15120391634998381</v>
      </c>
      <c r="V60" t="s">
        <v>154</v>
      </c>
      <c r="AK60">
        <v>2034</v>
      </c>
      <c r="AL60" t="s">
        <v>146</v>
      </c>
      <c r="AM60">
        <v>0.32966666666666666</v>
      </c>
      <c r="AN60" t="s">
        <v>279</v>
      </c>
    </row>
    <row r="61" spans="9:40" x14ac:dyDescent="0.25">
      <c r="I61" t="s">
        <v>167</v>
      </c>
      <c r="J61" t="s">
        <v>160</v>
      </c>
      <c r="K61">
        <v>9.3069420860553316E-3</v>
      </c>
      <c r="L61" t="s">
        <v>154</v>
      </c>
      <c r="N61" t="s">
        <v>197</v>
      </c>
      <c r="O61" t="s">
        <v>160</v>
      </c>
      <c r="P61">
        <v>2.5455363043623107E-2</v>
      </c>
      <c r="Q61" t="s">
        <v>154</v>
      </c>
      <c r="S61" t="s">
        <v>228</v>
      </c>
      <c r="T61" t="s">
        <v>160</v>
      </c>
      <c r="U61">
        <v>2.3419642208412299E-2</v>
      </c>
      <c r="V61" t="s">
        <v>154</v>
      </c>
      <c r="AK61">
        <v>2034</v>
      </c>
      <c r="AL61" t="s">
        <v>148</v>
      </c>
      <c r="AM61">
        <v>0.20700000000000002</v>
      </c>
      <c r="AN61" t="s">
        <v>279</v>
      </c>
    </row>
    <row r="62" spans="9:40" x14ac:dyDescent="0.25">
      <c r="I62" t="s">
        <v>167</v>
      </c>
      <c r="J62" t="s">
        <v>161</v>
      </c>
      <c r="K62">
        <v>5.5048643052643911E-2</v>
      </c>
      <c r="L62" t="s">
        <v>154</v>
      </c>
      <c r="N62" t="s">
        <v>197</v>
      </c>
      <c r="O62" t="s">
        <v>161</v>
      </c>
      <c r="P62">
        <v>2.864506438827772E-2</v>
      </c>
      <c r="Q62" t="s">
        <v>154</v>
      </c>
      <c r="S62" t="s">
        <v>228</v>
      </c>
      <c r="T62" t="s">
        <v>161</v>
      </c>
      <c r="U62">
        <v>2.4273014089342154E-2</v>
      </c>
      <c r="V62" t="s">
        <v>154</v>
      </c>
      <c r="AK62">
        <v>2034</v>
      </c>
      <c r="AL62" t="s">
        <v>150</v>
      </c>
      <c r="AM62">
        <v>0.20605000000000001</v>
      </c>
      <c r="AN62" t="s">
        <v>279</v>
      </c>
    </row>
    <row r="63" spans="9:40" x14ac:dyDescent="0.25">
      <c r="I63" t="s">
        <v>167</v>
      </c>
      <c r="J63" t="s">
        <v>162</v>
      </c>
      <c r="K63">
        <v>1.2906791743458171E-6</v>
      </c>
      <c r="L63" t="s">
        <v>154</v>
      </c>
      <c r="N63" t="s">
        <v>197</v>
      </c>
      <c r="O63" t="s">
        <v>162</v>
      </c>
      <c r="P63">
        <v>3.2202289622842374E-3</v>
      </c>
      <c r="Q63" t="s">
        <v>154</v>
      </c>
      <c r="S63" t="s">
        <v>228</v>
      </c>
      <c r="T63" t="s">
        <v>162</v>
      </c>
      <c r="U63">
        <v>3.0772427507905886E-3</v>
      </c>
      <c r="V63" t="s">
        <v>154</v>
      </c>
      <c r="AK63">
        <v>2035</v>
      </c>
      <c r="AL63" t="s">
        <v>142</v>
      </c>
      <c r="AM63">
        <v>0.21684999999999999</v>
      </c>
      <c r="AN63" t="s">
        <v>279</v>
      </c>
    </row>
    <row r="64" spans="9:40" x14ac:dyDescent="0.25">
      <c r="I64" t="s">
        <v>167</v>
      </c>
      <c r="J64" t="s">
        <v>287</v>
      </c>
      <c r="K64">
        <v>0</v>
      </c>
      <c r="L64" t="s">
        <v>154</v>
      </c>
      <c r="N64" t="s">
        <v>197</v>
      </c>
      <c r="O64" t="s">
        <v>287</v>
      </c>
      <c r="P64">
        <v>3.1005474225389716E-3</v>
      </c>
      <c r="Q64" t="s">
        <v>154</v>
      </c>
      <c r="S64" t="s">
        <v>228</v>
      </c>
      <c r="T64" t="s">
        <v>287</v>
      </c>
      <c r="U64">
        <v>2.9582119225088962E-3</v>
      </c>
      <c r="V64" t="s">
        <v>154</v>
      </c>
      <c r="AK64">
        <v>2035</v>
      </c>
      <c r="AL64" t="s">
        <v>146</v>
      </c>
      <c r="AM64">
        <v>0.31518888888888891</v>
      </c>
      <c r="AN64" t="s">
        <v>279</v>
      </c>
    </row>
    <row r="65" spans="9:40" x14ac:dyDescent="0.25">
      <c r="I65" t="s">
        <v>167</v>
      </c>
      <c r="J65" t="s">
        <v>288</v>
      </c>
      <c r="K65">
        <v>0</v>
      </c>
      <c r="L65" t="s">
        <v>154</v>
      </c>
      <c r="N65" t="s">
        <v>197</v>
      </c>
      <c r="O65" t="s">
        <v>288</v>
      </c>
      <c r="P65">
        <v>1.4280703615762568E-2</v>
      </c>
      <c r="Q65" t="s">
        <v>154</v>
      </c>
      <c r="S65" t="s">
        <v>228</v>
      </c>
      <c r="T65" t="s">
        <v>288</v>
      </c>
      <c r="U65">
        <v>1.4262117796017486E-2</v>
      </c>
      <c r="V65" t="s">
        <v>154</v>
      </c>
      <c r="AK65">
        <v>2035</v>
      </c>
      <c r="AL65" t="s">
        <v>148</v>
      </c>
      <c r="AM65">
        <v>0.22299999999999998</v>
      </c>
      <c r="AN65" t="s">
        <v>279</v>
      </c>
    </row>
    <row r="66" spans="9:40" x14ac:dyDescent="0.25">
      <c r="I66" t="s">
        <v>167</v>
      </c>
      <c r="J66" t="s">
        <v>163</v>
      </c>
      <c r="K66">
        <v>7.6314626283934036E-3</v>
      </c>
      <c r="L66" t="s">
        <v>154</v>
      </c>
      <c r="N66" t="s">
        <v>197</v>
      </c>
      <c r="O66" t="s">
        <v>163</v>
      </c>
      <c r="P66">
        <v>5.9564795144976312E-2</v>
      </c>
      <c r="Q66" t="s">
        <v>154</v>
      </c>
      <c r="S66" t="s">
        <v>228</v>
      </c>
      <c r="T66" t="s">
        <v>163</v>
      </c>
      <c r="U66">
        <v>3.9915133237309046E-2</v>
      </c>
      <c r="V66" t="s">
        <v>154</v>
      </c>
      <c r="AK66">
        <v>2035</v>
      </c>
      <c r="AL66" t="s">
        <v>150</v>
      </c>
      <c r="AM66">
        <v>0.21610000000000001</v>
      </c>
      <c r="AN66" t="s">
        <v>279</v>
      </c>
    </row>
    <row r="67" spans="9:40" x14ac:dyDescent="0.25">
      <c r="I67" t="s">
        <v>167</v>
      </c>
      <c r="J67" t="s">
        <v>164</v>
      </c>
      <c r="K67">
        <v>6.1560034599656699E-2</v>
      </c>
      <c r="L67" t="s">
        <v>154</v>
      </c>
      <c r="N67" t="s">
        <v>197</v>
      </c>
      <c r="O67" t="s">
        <v>164</v>
      </c>
      <c r="P67">
        <v>6.4775199629403549E-2</v>
      </c>
      <c r="Q67" t="s">
        <v>154</v>
      </c>
      <c r="S67" t="s">
        <v>228</v>
      </c>
      <c r="T67" t="s">
        <v>164</v>
      </c>
      <c r="U67">
        <v>3.6845270452497636E-2</v>
      </c>
      <c r="V67" t="s">
        <v>154</v>
      </c>
      <c r="AK67">
        <v>2036</v>
      </c>
      <c r="AL67" t="s">
        <v>142</v>
      </c>
      <c r="AM67">
        <v>0.22889999999999999</v>
      </c>
      <c r="AN67" t="s">
        <v>279</v>
      </c>
    </row>
    <row r="68" spans="9:40" x14ac:dyDescent="0.25">
      <c r="I68" t="s">
        <v>167</v>
      </c>
      <c r="J68" t="s">
        <v>165</v>
      </c>
      <c r="K68">
        <v>0</v>
      </c>
      <c r="L68" t="s">
        <v>154</v>
      </c>
      <c r="N68" t="s">
        <v>197</v>
      </c>
      <c r="O68" t="s">
        <v>165</v>
      </c>
      <c r="P68">
        <v>7.5624390796875029E-3</v>
      </c>
      <c r="Q68" t="s">
        <v>154</v>
      </c>
      <c r="S68" t="s">
        <v>228</v>
      </c>
      <c r="T68" t="s">
        <v>165</v>
      </c>
      <c r="U68">
        <v>4.7148850754645108E-3</v>
      </c>
      <c r="V68" t="s">
        <v>154</v>
      </c>
      <c r="AK68">
        <v>2036</v>
      </c>
      <c r="AL68" t="s">
        <v>146</v>
      </c>
      <c r="AM68">
        <v>0.32038888888888883</v>
      </c>
      <c r="AN68" t="s">
        <v>279</v>
      </c>
    </row>
    <row r="69" spans="9:40" x14ac:dyDescent="0.25">
      <c r="I69" t="s">
        <v>167</v>
      </c>
      <c r="J69" t="s">
        <v>289</v>
      </c>
      <c r="K69">
        <v>0</v>
      </c>
      <c r="L69" t="s">
        <v>154</v>
      </c>
      <c r="N69" t="s">
        <v>197</v>
      </c>
      <c r="O69" t="s">
        <v>289</v>
      </c>
      <c r="P69">
        <v>7.1017338603145252E-3</v>
      </c>
      <c r="Q69" t="s">
        <v>154</v>
      </c>
      <c r="S69" t="s">
        <v>228</v>
      </c>
      <c r="T69" t="s">
        <v>289</v>
      </c>
      <c r="U69">
        <v>4.8534388725989877E-3</v>
      </c>
      <c r="V69" t="s">
        <v>154</v>
      </c>
      <c r="AK69">
        <v>2036</v>
      </c>
      <c r="AL69" t="s">
        <v>148</v>
      </c>
      <c r="AM69">
        <v>0.2319</v>
      </c>
      <c r="AN69" t="s">
        <v>279</v>
      </c>
    </row>
    <row r="70" spans="9:40" x14ac:dyDescent="0.25">
      <c r="I70" t="s">
        <v>167</v>
      </c>
      <c r="J70" t="s">
        <v>290</v>
      </c>
      <c r="K70">
        <v>0</v>
      </c>
      <c r="L70" t="s">
        <v>154</v>
      </c>
      <c r="N70" t="s">
        <v>197</v>
      </c>
      <c r="O70" t="s">
        <v>290</v>
      </c>
      <c r="P70">
        <v>2.8671584414465153E-2</v>
      </c>
      <c r="Q70" t="s">
        <v>154</v>
      </c>
      <c r="S70" t="s">
        <v>228</v>
      </c>
      <c r="T70" t="s">
        <v>290</v>
      </c>
      <c r="U70">
        <v>2.2597799331142344E-2</v>
      </c>
      <c r="V70" t="s">
        <v>154</v>
      </c>
      <c r="AK70">
        <v>2036</v>
      </c>
      <c r="AL70" t="s">
        <v>150</v>
      </c>
      <c r="AM70">
        <v>0.20700000000000002</v>
      </c>
      <c r="AN70" t="s">
        <v>279</v>
      </c>
    </row>
    <row r="71" spans="9:40" x14ac:dyDescent="0.25">
      <c r="I71" t="s">
        <v>168</v>
      </c>
      <c r="J71" t="s">
        <v>153</v>
      </c>
      <c r="K71">
        <v>7.735493254578737E-3</v>
      </c>
      <c r="L71" t="s">
        <v>154</v>
      </c>
      <c r="N71" t="s">
        <v>198</v>
      </c>
      <c r="O71" t="s">
        <v>153</v>
      </c>
      <c r="P71">
        <v>4.8753917013970124E-2</v>
      </c>
      <c r="Q71" t="s">
        <v>154</v>
      </c>
      <c r="S71" t="s">
        <v>229</v>
      </c>
      <c r="T71" t="s">
        <v>153</v>
      </c>
      <c r="U71">
        <v>3.880752867167548E-2</v>
      </c>
      <c r="V71" t="s">
        <v>154</v>
      </c>
      <c r="AK71">
        <v>2037</v>
      </c>
      <c r="AL71" t="s">
        <v>142</v>
      </c>
      <c r="AM71">
        <v>0.22744999999999999</v>
      </c>
      <c r="AN71" t="s">
        <v>279</v>
      </c>
    </row>
    <row r="72" spans="9:40" x14ac:dyDescent="0.25">
      <c r="I72" t="s">
        <v>168</v>
      </c>
      <c r="J72" t="s">
        <v>155</v>
      </c>
      <c r="K72">
        <v>5.9676284560961163E-2</v>
      </c>
      <c r="L72" t="s">
        <v>154</v>
      </c>
      <c r="N72" t="s">
        <v>198</v>
      </c>
      <c r="O72" t="s">
        <v>155</v>
      </c>
      <c r="P72">
        <v>4.4394385022741026E-2</v>
      </c>
      <c r="Q72" t="s">
        <v>154</v>
      </c>
      <c r="S72" t="s">
        <v>229</v>
      </c>
      <c r="T72" t="s">
        <v>155</v>
      </c>
      <c r="U72">
        <v>3.4873474413892339E-2</v>
      </c>
      <c r="V72" t="s">
        <v>154</v>
      </c>
      <c r="AK72">
        <v>2037</v>
      </c>
      <c r="AL72" t="s">
        <v>146</v>
      </c>
      <c r="AM72">
        <v>0.32725555555555558</v>
      </c>
      <c r="AN72" t="s">
        <v>279</v>
      </c>
    </row>
    <row r="73" spans="9:40" x14ac:dyDescent="0.25">
      <c r="I73" t="s">
        <v>168</v>
      </c>
      <c r="J73" t="s">
        <v>156</v>
      </c>
      <c r="K73">
        <v>1.5910297986401244E-3</v>
      </c>
      <c r="L73" t="s">
        <v>154</v>
      </c>
      <c r="N73" t="s">
        <v>198</v>
      </c>
      <c r="O73" t="s">
        <v>156</v>
      </c>
      <c r="P73">
        <v>6.7666655852410638E-3</v>
      </c>
      <c r="Q73" t="s">
        <v>154</v>
      </c>
      <c r="S73" t="s">
        <v>229</v>
      </c>
      <c r="T73" t="s">
        <v>156</v>
      </c>
      <c r="U73">
        <v>4.5049438319785624E-3</v>
      </c>
      <c r="V73" t="s">
        <v>154</v>
      </c>
      <c r="AK73">
        <v>2037</v>
      </c>
      <c r="AL73" t="s">
        <v>148</v>
      </c>
      <c r="AM73">
        <v>0.22625000000000001</v>
      </c>
      <c r="AN73" t="s">
        <v>279</v>
      </c>
    </row>
    <row r="74" spans="9:40" x14ac:dyDescent="0.25">
      <c r="I74" t="s">
        <v>168</v>
      </c>
      <c r="J74" t="s">
        <v>283</v>
      </c>
      <c r="K74">
        <v>0</v>
      </c>
      <c r="L74" t="s">
        <v>154</v>
      </c>
      <c r="N74" t="s">
        <v>198</v>
      </c>
      <c r="O74" t="s">
        <v>283</v>
      </c>
      <c r="P74">
        <v>6.907396644430866E-3</v>
      </c>
      <c r="Q74" t="s">
        <v>154</v>
      </c>
      <c r="S74" t="s">
        <v>229</v>
      </c>
      <c r="T74" t="s">
        <v>283</v>
      </c>
      <c r="U74">
        <v>4.7123701832059882E-3</v>
      </c>
      <c r="V74" t="s">
        <v>154</v>
      </c>
      <c r="AK74">
        <v>2037</v>
      </c>
      <c r="AL74" t="s">
        <v>150</v>
      </c>
      <c r="AM74">
        <v>0.2069</v>
      </c>
      <c r="AN74" t="s">
        <v>279</v>
      </c>
    </row>
    <row r="75" spans="9:40" x14ac:dyDescent="0.25">
      <c r="I75" t="s">
        <v>168</v>
      </c>
      <c r="J75" t="s">
        <v>284</v>
      </c>
      <c r="K75">
        <v>0</v>
      </c>
      <c r="L75" t="s">
        <v>154</v>
      </c>
      <c r="N75" t="s">
        <v>198</v>
      </c>
      <c r="O75" t="s">
        <v>284</v>
      </c>
      <c r="P75">
        <v>2.9705025969223166E-2</v>
      </c>
      <c r="Q75" t="s">
        <v>154</v>
      </c>
      <c r="S75" t="s">
        <v>229</v>
      </c>
      <c r="T75" t="s">
        <v>284</v>
      </c>
      <c r="U75">
        <v>2.3358921908288279E-2</v>
      </c>
      <c r="V75" t="s">
        <v>154</v>
      </c>
      <c r="AK75">
        <v>2038</v>
      </c>
      <c r="AL75" t="s">
        <v>142</v>
      </c>
      <c r="AM75">
        <v>0.19729999999999998</v>
      </c>
      <c r="AN75" t="s">
        <v>279</v>
      </c>
    </row>
    <row r="76" spans="9:40" x14ac:dyDescent="0.25">
      <c r="I76" t="s">
        <v>168</v>
      </c>
      <c r="J76" t="s">
        <v>157</v>
      </c>
      <c r="K76">
        <v>0.12131961433628181</v>
      </c>
      <c r="L76" t="s">
        <v>154</v>
      </c>
      <c r="N76" t="s">
        <v>198</v>
      </c>
      <c r="O76" t="s">
        <v>157</v>
      </c>
      <c r="P76">
        <v>0.21805469838872127</v>
      </c>
      <c r="Q76" t="s">
        <v>154</v>
      </c>
      <c r="S76" t="s">
        <v>229</v>
      </c>
      <c r="T76" t="s">
        <v>157</v>
      </c>
      <c r="U76">
        <v>0.27188745808121129</v>
      </c>
      <c r="V76" t="s">
        <v>154</v>
      </c>
      <c r="AK76">
        <v>2038</v>
      </c>
      <c r="AL76" t="s">
        <v>146</v>
      </c>
      <c r="AM76">
        <v>0.32874444444444445</v>
      </c>
      <c r="AN76" t="s">
        <v>279</v>
      </c>
    </row>
    <row r="77" spans="9:40" x14ac:dyDescent="0.25">
      <c r="I77" t="s">
        <v>168</v>
      </c>
      <c r="J77" t="s">
        <v>158</v>
      </c>
      <c r="K77">
        <v>0.62784185099080236</v>
      </c>
      <c r="L77" t="s">
        <v>154</v>
      </c>
      <c r="N77" t="s">
        <v>198</v>
      </c>
      <c r="O77" t="s">
        <v>158</v>
      </c>
      <c r="P77">
        <v>0.22462928573877222</v>
      </c>
      <c r="Q77" t="s">
        <v>154</v>
      </c>
      <c r="S77" t="s">
        <v>229</v>
      </c>
      <c r="T77" t="s">
        <v>158</v>
      </c>
      <c r="U77">
        <v>0.23638403884460887</v>
      </c>
      <c r="V77" t="s">
        <v>154</v>
      </c>
      <c r="AK77">
        <v>2038</v>
      </c>
      <c r="AL77" t="s">
        <v>148</v>
      </c>
      <c r="AM77">
        <v>0.19939999999999999</v>
      </c>
      <c r="AN77" t="s">
        <v>279</v>
      </c>
    </row>
    <row r="78" spans="9:40" x14ac:dyDescent="0.25">
      <c r="I78" t="s">
        <v>168</v>
      </c>
      <c r="J78" t="s">
        <v>159</v>
      </c>
      <c r="K78">
        <v>3.5715918292991165E-2</v>
      </c>
      <c r="L78" t="s">
        <v>154</v>
      </c>
      <c r="N78" t="s">
        <v>198</v>
      </c>
      <c r="O78" t="s">
        <v>159</v>
      </c>
      <c r="P78">
        <v>2.9409885401927689E-2</v>
      </c>
      <c r="Q78" t="s">
        <v>154</v>
      </c>
      <c r="S78" t="s">
        <v>229</v>
      </c>
      <c r="T78" t="s">
        <v>159</v>
      </c>
      <c r="U78">
        <v>3.0445709877965486E-2</v>
      </c>
      <c r="V78" t="s">
        <v>154</v>
      </c>
      <c r="AK78">
        <v>2038</v>
      </c>
      <c r="AL78" t="s">
        <v>150</v>
      </c>
      <c r="AM78">
        <v>0.2051</v>
      </c>
      <c r="AN78" t="s">
        <v>279</v>
      </c>
    </row>
    <row r="79" spans="9:40" x14ac:dyDescent="0.25">
      <c r="I79" t="s">
        <v>168</v>
      </c>
      <c r="J79" t="s">
        <v>285</v>
      </c>
      <c r="K79">
        <v>1.0939777366040557E-2</v>
      </c>
      <c r="L79" t="s">
        <v>154</v>
      </c>
      <c r="N79" t="s">
        <v>198</v>
      </c>
      <c r="O79" t="s">
        <v>285</v>
      </c>
      <c r="P79">
        <v>2.9303639815986073E-2</v>
      </c>
      <c r="Q79" t="s">
        <v>154</v>
      </c>
      <c r="S79" t="s">
        <v>229</v>
      </c>
      <c r="T79" t="s">
        <v>285</v>
      </c>
      <c r="U79">
        <v>2.8104751871196848E-2</v>
      </c>
      <c r="V79" t="s">
        <v>154</v>
      </c>
      <c r="AK79">
        <v>2039</v>
      </c>
      <c r="AL79" t="s">
        <v>142</v>
      </c>
      <c r="AM79">
        <v>0.23630000000000001</v>
      </c>
      <c r="AN79" t="s">
        <v>279</v>
      </c>
    </row>
    <row r="80" spans="9:40" x14ac:dyDescent="0.25">
      <c r="I80" t="s">
        <v>168</v>
      </c>
      <c r="J80" t="s">
        <v>286</v>
      </c>
      <c r="K80">
        <v>0</v>
      </c>
      <c r="L80" t="s">
        <v>154</v>
      </c>
      <c r="N80" t="s">
        <v>198</v>
      </c>
      <c r="O80" t="s">
        <v>286</v>
      </c>
      <c r="P80">
        <v>0.11659261442853104</v>
      </c>
      <c r="Q80" t="s">
        <v>154</v>
      </c>
      <c r="S80" t="s">
        <v>229</v>
      </c>
      <c r="T80" t="s">
        <v>286</v>
      </c>
      <c r="U80">
        <v>0.14944095422934053</v>
      </c>
      <c r="V80" t="s">
        <v>154</v>
      </c>
      <c r="AK80">
        <v>2039</v>
      </c>
      <c r="AL80" t="s">
        <v>146</v>
      </c>
      <c r="AM80">
        <v>0.37084444444444448</v>
      </c>
      <c r="AN80" t="s">
        <v>279</v>
      </c>
    </row>
    <row r="81" spans="9:40" x14ac:dyDescent="0.25">
      <c r="I81" t="s">
        <v>168</v>
      </c>
      <c r="J81" t="s">
        <v>160</v>
      </c>
      <c r="K81">
        <v>8.9436540246923962E-3</v>
      </c>
      <c r="L81" t="s">
        <v>154</v>
      </c>
      <c r="N81" t="s">
        <v>198</v>
      </c>
      <c r="O81" t="s">
        <v>160</v>
      </c>
      <c r="P81">
        <v>2.1731546968716171E-2</v>
      </c>
      <c r="Q81" t="s">
        <v>154</v>
      </c>
      <c r="S81" t="s">
        <v>229</v>
      </c>
      <c r="T81" t="s">
        <v>160</v>
      </c>
      <c r="U81">
        <v>2.3699333156960049E-2</v>
      </c>
      <c r="V81" t="s">
        <v>154</v>
      </c>
      <c r="AK81">
        <v>2039</v>
      </c>
      <c r="AL81" t="s">
        <v>148</v>
      </c>
      <c r="AM81">
        <v>0.24695</v>
      </c>
      <c r="AN81" t="s">
        <v>279</v>
      </c>
    </row>
    <row r="82" spans="9:40" x14ac:dyDescent="0.25">
      <c r="I82" t="s">
        <v>168</v>
      </c>
      <c r="J82" t="s">
        <v>161</v>
      </c>
      <c r="K82">
        <v>5.5879041336595672E-2</v>
      </c>
      <c r="L82" t="s">
        <v>154</v>
      </c>
      <c r="N82" t="s">
        <v>198</v>
      </c>
      <c r="O82" t="s">
        <v>161</v>
      </c>
      <c r="P82">
        <v>2.7415432092690265E-2</v>
      </c>
      <c r="Q82" t="s">
        <v>154</v>
      </c>
      <c r="S82" t="s">
        <v>229</v>
      </c>
      <c r="T82" t="s">
        <v>161</v>
      </c>
      <c r="U82">
        <v>2.2162302384327023E-2</v>
      </c>
      <c r="V82" t="s">
        <v>154</v>
      </c>
      <c r="AK82">
        <v>2039</v>
      </c>
      <c r="AL82" t="s">
        <v>150</v>
      </c>
      <c r="AM82">
        <v>0.24279999999999999</v>
      </c>
      <c r="AN82" t="s">
        <v>279</v>
      </c>
    </row>
    <row r="83" spans="9:40" x14ac:dyDescent="0.25">
      <c r="I83" t="s">
        <v>168</v>
      </c>
      <c r="J83" t="s">
        <v>162</v>
      </c>
      <c r="K83">
        <v>0</v>
      </c>
      <c r="L83" t="s">
        <v>154</v>
      </c>
      <c r="N83" t="s">
        <v>198</v>
      </c>
      <c r="O83" t="s">
        <v>162</v>
      </c>
      <c r="P83">
        <v>3.1719617248454099E-3</v>
      </c>
      <c r="Q83" t="s">
        <v>154</v>
      </c>
      <c r="S83" t="s">
        <v>229</v>
      </c>
      <c r="T83" t="s">
        <v>162</v>
      </c>
      <c r="U83">
        <v>3.1019970829933947E-3</v>
      </c>
      <c r="V83" t="s">
        <v>154</v>
      </c>
      <c r="AK83">
        <v>2040</v>
      </c>
      <c r="AL83" t="s">
        <v>142</v>
      </c>
      <c r="AM83">
        <v>0.24209999999999998</v>
      </c>
      <c r="AN83" t="s">
        <v>279</v>
      </c>
    </row>
    <row r="84" spans="9:40" x14ac:dyDescent="0.25">
      <c r="I84" t="s">
        <v>168</v>
      </c>
      <c r="J84" t="s">
        <v>287</v>
      </c>
      <c r="K84">
        <v>0</v>
      </c>
      <c r="L84" t="s">
        <v>154</v>
      </c>
      <c r="N84" t="s">
        <v>198</v>
      </c>
      <c r="O84" t="s">
        <v>287</v>
      </c>
      <c r="P84">
        <v>2.9717732961796273E-3</v>
      </c>
      <c r="Q84" t="s">
        <v>154</v>
      </c>
      <c r="S84" t="s">
        <v>229</v>
      </c>
      <c r="T84" t="s">
        <v>287</v>
      </c>
      <c r="U84">
        <v>2.8845514918750211E-3</v>
      </c>
      <c r="V84" t="s">
        <v>154</v>
      </c>
      <c r="AK84">
        <v>2040</v>
      </c>
      <c r="AL84" t="s">
        <v>146</v>
      </c>
      <c r="AM84">
        <v>0.3673555555555556</v>
      </c>
      <c r="AN84" t="s">
        <v>279</v>
      </c>
    </row>
    <row r="85" spans="9:40" x14ac:dyDescent="0.25">
      <c r="I85" t="s">
        <v>168</v>
      </c>
      <c r="J85" t="s">
        <v>288</v>
      </c>
      <c r="K85">
        <v>0</v>
      </c>
      <c r="L85" t="s">
        <v>154</v>
      </c>
      <c r="N85" t="s">
        <v>198</v>
      </c>
      <c r="O85" t="s">
        <v>288</v>
      </c>
      <c r="P85">
        <v>1.38083353936862E-2</v>
      </c>
      <c r="Q85" t="s">
        <v>154</v>
      </c>
      <c r="S85" t="s">
        <v>229</v>
      </c>
      <c r="T85" t="s">
        <v>288</v>
      </c>
      <c r="U85">
        <v>1.4879356994405034E-2</v>
      </c>
      <c r="V85" t="s">
        <v>154</v>
      </c>
      <c r="AK85">
        <v>2040</v>
      </c>
      <c r="AL85" t="s">
        <v>148</v>
      </c>
      <c r="AM85">
        <v>0.24709999999999999</v>
      </c>
      <c r="AN85" t="s">
        <v>279</v>
      </c>
    </row>
    <row r="86" spans="9:40" x14ac:dyDescent="0.25">
      <c r="I86" t="s">
        <v>168</v>
      </c>
      <c r="J86" t="s">
        <v>163</v>
      </c>
      <c r="K86">
        <v>8.7913656136399451E-3</v>
      </c>
      <c r="L86" t="s">
        <v>154</v>
      </c>
      <c r="N86" t="s">
        <v>198</v>
      </c>
      <c r="O86" t="s">
        <v>163</v>
      </c>
      <c r="P86">
        <v>5.770900316037763E-2</v>
      </c>
      <c r="Q86" t="s">
        <v>154</v>
      </c>
      <c r="S86" t="s">
        <v>229</v>
      </c>
      <c r="T86" t="s">
        <v>163</v>
      </c>
      <c r="U86">
        <v>4.0751467501917882E-2</v>
      </c>
      <c r="V86" t="s">
        <v>154</v>
      </c>
      <c r="AK86">
        <v>2040</v>
      </c>
      <c r="AL86" t="s">
        <v>150</v>
      </c>
      <c r="AM86">
        <v>0.22644999999999998</v>
      </c>
      <c r="AN86" t="s">
        <v>279</v>
      </c>
    </row>
    <row r="87" spans="9:40" x14ac:dyDescent="0.25">
      <c r="I87" t="s">
        <v>168</v>
      </c>
      <c r="J87" t="s">
        <v>164</v>
      </c>
      <c r="K87">
        <v>6.1565970424776725E-2</v>
      </c>
      <c r="L87" t="s">
        <v>154</v>
      </c>
      <c r="N87" t="s">
        <v>198</v>
      </c>
      <c r="O87" t="s">
        <v>164</v>
      </c>
      <c r="P87">
        <v>7.0029938631566882E-2</v>
      </c>
      <c r="Q87" t="s">
        <v>154</v>
      </c>
      <c r="S87" t="s">
        <v>229</v>
      </c>
      <c r="T87" t="s">
        <v>164</v>
      </c>
      <c r="U87">
        <v>3.6681296371658088E-2</v>
      </c>
      <c r="V87" t="s">
        <v>154</v>
      </c>
      <c r="AK87">
        <v>2041</v>
      </c>
      <c r="AL87" t="s">
        <v>142</v>
      </c>
      <c r="AM87">
        <v>0.24115</v>
      </c>
      <c r="AN87" t="s">
        <v>279</v>
      </c>
    </row>
    <row r="88" spans="9:40" x14ac:dyDescent="0.25">
      <c r="I88" t="s">
        <v>168</v>
      </c>
      <c r="J88" t="s">
        <v>165</v>
      </c>
      <c r="K88">
        <v>0</v>
      </c>
      <c r="L88" t="s">
        <v>154</v>
      </c>
      <c r="N88" t="s">
        <v>198</v>
      </c>
      <c r="O88" t="s">
        <v>165</v>
      </c>
      <c r="P88">
        <v>8.5936770242639113E-3</v>
      </c>
      <c r="Q88" t="s">
        <v>154</v>
      </c>
      <c r="S88" t="s">
        <v>229</v>
      </c>
      <c r="T88" t="s">
        <v>165</v>
      </c>
      <c r="U88">
        <v>4.965975445552019E-3</v>
      </c>
      <c r="V88" t="s">
        <v>154</v>
      </c>
      <c r="AK88">
        <v>2041</v>
      </c>
      <c r="AL88" t="s">
        <v>146</v>
      </c>
      <c r="AM88">
        <v>0.37382222222222222</v>
      </c>
      <c r="AN88" t="s">
        <v>279</v>
      </c>
    </row>
    <row r="89" spans="9:40" x14ac:dyDescent="0.25">
      <c r="I89" t="s">
        <v>168</v>
      </c>
      <c r="J89" t="s">
        <v>289</v>
      </c>
      <c r="K89">
        <v>0</v>
      </c>
      <c r="L89" t="s">
        <v>154</v>
      </c>
      <c r="N89" t="s">
        <v>198</v>
      </c>
      <c r="O89" t="s">
        <v>289</v>
      </c>
      <c r="P89">
        <v>8.1956163384032613E-3</v>
      </c>
      <c r="Q89" t="s">
        <v>154</v>
      </c>
      <c r="S89" t="s">
        <v>229</v>
      </c>
      <c r="T89" t="s">
        <v>289</v>
      </c>
      <c r="U89">
        <v>5.0457425639649214E-3</v>
      </c>
      <c r="V89" t="s">
        <v>154</v>
      </c>
      <c r="AK89">
        <v>2041</v>
      </c>
      <c r="AL89" t="s">
        <v>148</v>
      </c>
      <c r="AM89">
        <v>0.23705000000000001</v>
      </c>
      <c r="AN89" t="s">
        <v>279</v>
      </c>
    </row>
    <row r="90" spans="9:40" x14ac:dyDescent="0.25">
      <c r="I90" t="s">
        <v>168</v>
      </c>
      <c r="J90" t="s">
        <v>290</v>
      </c>
      <c r="K90">
        <v>0</v>
      </c>
      <c r="L90" t="s">
        <v>154</v>
      </c>
      <c r="N90" t="s">
        <v>198</v>
      </c>
      <c r="O90" t="s">
        <v>290</v>
      </c>
      <c r="P90">
        <v>3.185520135972697E-2</v>
      </c>
      <c r="Q90" t="s">
        <v>154</v>
      </c>
      <c r="S90" t="s">
        <v>229</v>
      </c>
      <c r="T90" t="s">
        <v>290</v>
      </c>
      <c r="U90">
        <v>2.3307825092985398E-2</v>
      </c>
      <c r="V90" t="s">
        <v>154</v>
      </c>
      <c r="AK90">
        <v>2041</v>
      </c>
      <c r="AL90" t="s">
        <v>150</v>
      </c>
      <c r="AM90">
        <v>0.22440000000000002</v>
      </c>
      <c r="AN90" t="s">
        <v>279</v>
      </c>
    </row>
    <row r="91" spans="9:40" x14ac:dyDescent="0.25">
      <c r="I91" t="s">
        <v>169</v>
      </c>
      <c r="J91" t="s">
        <v>153</v>
      </c>
      <c r="K91">
        <v>7.5082674228086404E-3</v>
      </c>
      <c r="L91" t="s">
        <v>154</v>
      </c>
      <c r="N91" t="s">
        <v>199</v>
      </c>
      <c r="O91" t="s">
        <v>153</v>
      </c>
      <c r="P91">
        <v>3.8585626223091626E-2</v>
      </c>
      <c r="Q91" t="s">
        <v>154</v>
      </c>
      <c r="S91" t="s">
        <v>230</v>
      </c>
      <c r="T91" t="s">
        <v>153</v>
      </c>
      <c r="U91">
        <v>4.25866772078776E-2</v>
      </c>
      <c r="V91" t="s">
        <v>154</v>
      </c>
      <c r="AK91">
        <v>2042</v>
      </c>
      <c r="AL91" t="s">
        <v>142</v>
      </c>
      <c r="AM91">
        <v>0.24835000000000002</v>
      </c>
      <c r="AN91" t="s">
        <v>279</v>
      </c>
    </row>
    <row r="92" spans="9:40" x14ac:dyDescent="0.25">
      <c r="I92" t="s">
        <v>169</v>
      </c>
      <c r="J92" t="s">
        <v>155</v>
      </c>
      <c r="K92">
        <v>6.4535249319172081E-2</v>
      </c>
      <c r="L92" t="s">
        <v>154</v>
      </c>
      <c r="N92" t="s">
        <v>199</v>
      </c>
      <c r="O92" t="s">
        <v>155</v>
      </c>
      <c r="P92">
        <v>4.4375959230148226E-2</v>
      </c>
      <c r="Q92" t="s">
        <v>154</v>
      </c>
      <c r="S92" t="s">
        <v>230</v>
      </c>
      <c r="T92" t="s">
        <v>155</v>
      </c>
      <c r="U92">
        <v>3.67875087131792E-2</v>
      </c>
      <c r="V92" t="s">
        <v>154</v>
      </c>
      <c r="AK92">
        <v>2042</v>
      </c>
      <c r="AL92" t="s">
        <v>146</v>
      </c>
      <c r="AM92">
        <v>0.37966666666666665</v>
      </c>
      <c r="AN92" t="s">
        <v>279</v>
      </c>
    </row>
    <row r="93" spans="9:40" x14ac:dyDescent="0.25">
      <c r="I93" t="s">
        <v>169</v>
      </c>
      <c r="J93" t="s">
        <v>156</v>
      </c>
      <c r="K93">
        <v>1.3956001538171492E-3</v>
      </c>
      <c r="L93" t="s">
        <v>154</v>
      </c>
      <c r="N93" t="s">
        <v>199</v>
      </c>
      <c r="O93" t="s">
        <v>156</v>
      </c>
      <c r="P93">
        <v>5.7496367531296895E-3</v>
      </c>
      <c r="Q93" t="s">
        <v>154</v>
      </c>
      <c r="S93" t="s">
        <v>230</v>
      </c>
      <c r="T93" t="s">
        <v>156</v>
      </c>
      <c r="U93">
        <v>5.0219749142647162E-3</v>
      </c>
      <c r="V93" t="s">
        <v>154</v>
      </c>
      <c r="AK93">
        <v>2042</v>
      </c>
      <c r="AL93" t="s">
        <v>148</v>
      </c>
      <c r="AM93">
        <v>0.24014999999999997</v>
      </c>
      <c r="AN93" t="s">
        <v>279</v>
      </c>
    </row>
    <row r="94" spans="9:40" x14ac:dyDescent="0.25">
      <c r="I94" t="s">
        <v>169</v>
      </c>
      <c r="J94" t="s">
        <v>283</v>
      </c>
      <c r="K94">
        <v>0</v>
      </c>
      <c r="L94" t="s">
        <v>154</v>
      </c>
      <c r="N94" t="s">
        <v>199</v>
      </c>
      <c r="O94" t="s">
        <v>283</v>
      </c>
      <c r="P94">
        <v>4.1708867874443532E-3</v>
      </c>
      <c r="Q94" t="s">
        <v>154</v>
      </c>
      <c r="S94" t="s">
        <v>230</v>
      </c>
      <c r="T94" t="s">
        <v>283</v>
      </c>
      <c r="U94">
        <v>5.1698887471315529E-3</v>
      </c>
      <c r="V94" t="s">
        <v>154</v>
      </c>
      <c r="AK94">
        <v>2042</v>
      </c>
      <c r="AL94" t="s">
        <v>150</v>
      </c>
      <c r="AM94">
        <v>0.21779999999999999</v>
      </c>
      <c r="AN94" t="s">
        <v>279</v>
      </c>
    </row>
    <row r="95" spans="9:40" x14ac:dyDescent="0.25">
      <c r="I95" t="s">
        <v>169</v>
      </c>
      <c r="J95" t="s">
        <v>284</v>
      </c>
      <c r="K95">
        <v>0</v>
      </c>
      <c r="L95" t="s">
        <v>154</v>
      </c>
      <c r="N95" t="s">
        <v>199</v>
      </c>
      <c r="O95" t="s">
        <v>284</v>
      </c>
      <c r="P95">
        <v>1.9303870960015523E-2</v>
      </c>
      <c r="Q95" t="s">
        <v>154</v>
      </c>
      <c r="S95" t="s">
        <v>230</v>
      </c>
      <c r="T95" t="s">
        <v>284</v>
      </c>
      <c r="U95">
        <v>2.5320220956935015E-2</v>
      </c>
      <c r="V95" t="s">
        <v>154</v>
      </c>
      <c r="AK95">
        <v>2043</v>
      </c>
      <c r="AL95" t="s">
        <v>142</v>
      </c>
      <c r="AM95">
        <v>0.25209999999999999</v>
      </c>
      <c r="AN95" t="s">
        <v>279</v>
      </c>
    </row>
    <row r="96" spans="9:40" x14ac:dyDescent="0.25">
      <c r="I96" t="s">
        <v>169</v>
      </c>
      <c r="J96" t="s">
        <v>157</v>
      </c>
      <c r="K96">
        <v>0.11968918753621073</v>
      </c>
      <c r="L96" t="s">
        <v>154</v>
      </c>
      <c r="N96" t="s">
        <v>199</v>
      </c>
      <c r="O96" t="s">
        <v>157</v>
      </c>
      <c r="P96">
        <v>0.24821751435988829</v>
      </c>
      <c r="Q96" t="s">
        <v>154</v>
      </c>
      <c r="S96" t="s">
        <v>230</v>
      </c>
      <c r="T96" t="s">
        <v>157</v>
      </c>
      <c r="U96">
        <v>0.25012812711423077</v>
      </c>
      <c r="V96" t="s">
        <v>154</v>
      </c>
      <c r="AK96">
        <v>2043</v>
      </c>
      <c r="AL96" t="s">
        <v>146</v>
      </c>
      <c r="AM96">
        <v>0.37925555555555557</v>
      </c>
      <c r="AN96" t="s">
        <v>279</v>
      </c>
    </row>
    <row r="97" spans="9:40" x14ac:dyDescent="0.25">
      <c r="I97" t="s">
        <v>169</v>
      </c>
      <c r="J97" t="s">
        <v>158</v>
      </c>
      <c r="K97">
        <v>0.61602861021524324</v>
      </c>
      <c r="L97" t="s">
        <v>154</v>
      </c>
      <c r="N97" t="s">
        <v>199</v>
      </c>
      <c r="O97" t="s">
        <v>158</v>
      </c>
      <c r="P97">
        <v>0.24731307291906515</v>
      </c>
      <c r="Q97" t="s">
        <v>154</v>
      </c>
      <c r="S97" t="s">
        <v>230</v>
      </c>
      <c r="T97" t="s">
        <v>158</v>
      </c>
      <c r="U97">
        <v>0.23174819837292945</v>
      </c>
      <c r="V97" t="s">
        <v>154</v>
      </c>
      <c r="AK97">
        <v>2043</v>
      </c>
      <c r="AL97" t="s">
        <v>148</v>
      </c>
      <c r="AM97">
        <v>0.25269999999999998</v>
      </c>
      <c r="AN97" t="s">
        <v>279</v>
      </c>
    </row>
    <row r="98" spans="9:40" x14ac:dyDescent="0.25">
      <c r="I98" t="s">
        <v>169</v>
      </c>
      <c r="J98" t="s">
        <v>159</v>
      </c>
      <c r="K98">
        <v>3.7060018932952646E-2</v>
      </c>
      <c r="L98" t="s">
        <v>154</v>
      </c>
      <c r="N98" t="s">
        <v>199</v>
      </c>
      <c r="O98" t="s">
        <v>159</v>
      </c>
      <c r="P98">
        <v>3.3292999765661691E-2</v>
      </c>
      <c r="Q98" t="s">
        <v>154</v>
      </c>
      <c r="S98" t="s">
        <v>230</v>
      </c>
      <c r="T98" t="s">
        <v>159</v>
      </c>
      <c r="U98">
        <v>2.9776098307037712E-2</v>
      </c>
      <c r="V98" t="s">
        <v>154</v>
      </c>
      <c r="AK98">
        <v>2043</v>
      </c>
      <c r="AL98" t="s">
        <v>150</v>
      </c>
      <c r="AM98">
        <v>0.24020000000000002</v>
      </c>
      <c r="AN98" t="s">
        <v>279</v>
      </c>
    </row>
    <row r="99" spans="9:40" x14ac:dyDescent="0.25">
      <c r="I99" t="s">
        <v>169</v>
      </c>
      <c r="J99" t="s">
        <v>285</v>
      </c>
      <c r="K99">
        <v>1.1518034953902433E-2</v>
      </c>
      <c r="L99" t="s">
        <v>154</v>
      </c>
      <c r="N99" t="s">
        <v>199</v>
      </c>
      <c r="O99" t="s">
        <v>285</v>
      </c>
      <c r="P99">
        <v>2.3784659454519286E-2</v>
      </c>
      <c r="Q99" t="s">
        <v>154</v>
      </c>
      <c r="S99" t="s">
        <v>230</v>
      </c>
      <c r="T99" t="s">
        <v>285</v>
      </c>
      <c r="U99">
        <v>2.9787609812972144E-2</v>
      </c>
      <c r="V99" t="s">
        <v>154</v>
      </c>
      <c r="AK99">
        <v>2044</v>
      </c>
      <c r="AL99" t="s">
        <v>142</v>
      </c>
      <c r="AM99">
        <v>0.20784999999999998</v>
      </c>
      <c r="AN99" t="s">
        <v>279</v>
      </c>
    </row>
    <row r="100" spans="9:40" x14ac:dyDescent="0.25">
      <c r="I100" t="s">
        <v>169</v>
      </c>
      <c r="J100" t="s">
        <v>286</v>
      </c>
      <c r="K100">
        <v>0</v>
      </c>
      <c r="L100" t="s">
        <v>154</v>
      </c>
      <c r="N100" t="s">
        <v>199</v>
      </c>
      <c r="O100" t="s">
        <v>286</v>
      </c>
      <c r="P100">
        <v>0.13573364131876459</v>
      </c>
      <c r="Q100" t="s">
        <v>154</v>
      </c>
      <c r="S100" t="s">
        <v>230</v>
      </c>
      <c r="T100" t="s">
        <v>286</v>
      </c>
      <c r="U100">
        <v>0.13901556288625097</v>
      </c>
      <c r="V100" t="s">
        <v>154</v>
      </c>
      <c r="AK100">
        <v>2044</v>
      </c>
      <c r="AL100" t="s">
        <v>146</v>
      </c>
      <c r="AM100">
        <v>0.32544444444444448</v>
      </c>
      <c r="AN100" t="s">
        <v>279</v>
      </c>
    </row>
    <row r="101" spans="9:40" x14ac:dyDescent="0.25">
      <c r="I101" t="s">
        <v>169</v>
      </c>
      <c r="J101" t="s">
        <v>160</v>
      </c>
      <c r="K101">
        <v>9.9185909261415503E-3</v>
      </c>
      <c r="L101" t="s">
        <v>154</v>
      </c>
      <c r="N101" t="s">
        <v>199</v>
      </c>
      <c r="O101" t="s">
        <v>160</v>
      </c>
      <c r="P101">
        <v>1.991717896469479E-2</v>
      </c>
      <c r="Q101" t="s">
        <v>154</v>
      </c>
      <c r="S101" t="s">
        <v>230</v>
      </c>
      <c r="T101" t="s">
        <v>160</v>
      </c>
      <c r="U101">
        <v>2.840309844983514E-2</v>
      </c>
      <c r="V101" t="s">
        <v>154</v>
      </c>
      <c r="AK101">
        <v>2044</v>
      </c>
      <c r="AL101" t="s">
        <v>148</v>
      </c>
      <c r="AM101">
        <v>0.21495</v>
      </c>
      <c r="AN101" t="s">
        <v>279</v>
      </c>
    </row>
    <row r="102" spans="9:40" x14ac:dyDescent="0.25">
      <c r="I102" t="s">
        <v>169</v>
      </c>
      <c r="J102" t="s">
        <v>161</v>
      </c>
      <c r="K102">
        <v>5.8460105198748821E-2</v>
      </c>
      <c r="L102" t="s">
        <v>154</v>
      </c>
      <c r="N102" t="s">
        <v>199</v>
      </c>
      <c r="O102" t="s">
        <v>161</v>
      </c>
      <c r="P102">
        <v>2.2578268666289904E-2</v>
      </c>
      <c r="Q102" t="s">
        <v>154</v>
      </c>
      <c r="S102" t="s">
        <v>230</v>
      </c>
      <c r="T102" t="s">
        <v>161</v>
      </c>
      <c r="U102">
        <v>2.4755450820084093E-2</v>
      </c>
      <c r="V102" t="s">
        <v>154</v>
      </c>
      <c r="AK102">
        <v>2044</v>
      </c>
      <c r="AL102" t="s">
        <v>150</v>
      </c>
      <c r="AM102">
        <v>0.18980000000000002</v>
      </c>
      <c r="AN102" t="s">
        <v>279</v>
      </c>
    </row>
    <row r="103" spans="9:40" x14ac:dyDescent="0.25">
      <c r="I103" t="s">
        <v>169</v>
      </c>
      <c r="J103" t="s">
        <v>162</v>
      </c>
      <c r="K103">
        <v>0</v>
      </c>
      <c r="L103" t="s">
        <v>154</v>
      </c>
      <c r="N103" t="s">
        <v>199</v>
      </c>
      <c r="O103" t="s">
        <v>162</v>
      </c>
      <c r="P103">
        <v>2.4483787529524723E-3</v>
      </c>
      <c r="Q103" t="s">
        <v>154</v>
      </c>
      <c r="S103" t="s">
        <v>230</v>
      </c>
      <c r="T103" t="s">
        <v>162</v>
      </c>
      <c r="U103">
        <v>3.6146832060256623E-3</v>
      </c>
      <c r="V103" t="s">
        <v>154</v>
      </c>
      <c r="AK103">
        <v>2045</v>
      </c>
      <c r="AL103" t="s">
        <v>142</v>
      </c>
      <c r="AM103">
        <v>0.2051</v>
      </c>
      <c r="AN103" t="s">
        <v>279</v>
      </c>
    </row>
    <row r="104" spans="9:40" x14ac:dyDescent="0.25">
      <c r="I104" t="s">
        <v>169</v>
      </c>
      <c r="J104" t="s">
        <v>287</v>
      </c>
      <c r="K104">
        <v>0</v>
      </c>
      <c r="L104" t="s">
        <v>154</v>
      </c>
      <c r="N104" t="s">
        <v>199</v>
      </c>
      <c r="O104" t="s">
        <v>287</v>
      </c>
      <c r="P104">
        <v>2.0608061973449244E-3</v>
      </c>
      <c r="Q104" t="s">
        <v>154</v>
      </c>
      <c r="S104" t="s">
        <v>230</v>
      </c>
      <c r="T104" t="s">
        <v>287</v>
      </c>
      <c r="U104">
        <v>3.690131479549602E-3</v>
      </c>
      <c r="V104" t="s">
        <v>154</v>
      </c>
      <c r="AK104">
        <v>2045</v>
      </c>
      <c r="AL104" t="s">
        <v>146</v>
      </c>
      <c r="AM104">
        <v>0.30957777777777779</v>
      </c>
      <c r="AN104" t="s">
        <v>279</v>
      </c>
    </row>
    <row r="105" spans="9:40" x14ac:dyDescent="0.25">
      <c r="I105" t="s">
        <v>169</v>
      </c>
      <c r="J105" t="s">
        <v>288</v>
      </c>
      <c r="K105">
        <v>0</v>
      </c>
      <c r="L105" t="s">
        <v>154</v>
      </c>
      <c r="N105" t="s">
        <v>199</v>
      </c>
      <c r="O105" t="s">
        <v>288</v>
      </c>
      <c r="P105">
        <v>1.140715543143059E-2</v>
      </c>
      <c r="Q105" t="s">
        <v>154</v>
      </c>
      <c r="S105" t="s">
        <v>230</v>
      </c>
      <c r="T105" t="s">
        <v>288</v>
      </c>
      <c r="U105">
        <v>1.74728681852971E-2</v>
      </c>
      <c r="V105" t="s">
        <v>154</v>
      </c>
      <c r="AK105">
        <v>2045</v>
      </c>
      <c r="AL105" t="s">
        <v>148</v>
      </c>
      <c r="AM105">
        <v>0.2112</v>
      </c>
      <c r="AN105" t="s">
        <v>279</v>
      </c>
    </row>
    <row r="106" spans="9:40" x14ac:dyDescent="0.25">
      <c r="I106" t="s">
        <v>169</v>
      </c>
      <c r="J106" t="s">
        <v>163</v>
      </c>
      <c r="K106">
        <v>9.1777485465692095E-3</v>
      </c>
      <c r="L106" t="s">
        <v>154</v>
      </c>
      <c r="N106" t="s">
        <v>199</v>
      </c>
      <c r="O106" t="s">
        <v>163</v>
      </c>
      <c r="P106">
        <v>5.0605302564984272E-2</v>
      </c>
      <c r="Q106" t="s">
        <v>154</v>
      </c>
      <c r="S106" t="s">
        <v>230</v>
      </c>
      <c r="T106" t="s">
        <v>163</v>
      </c>
      <c r="U106">
        <v>4.6852222699394042E-2</v>
      </c>
      <c r="V106" t="s">
        <v>154</v>
      </c>
      <c r="AK106">
        <v>2045</v>
      </c>
      <c r="AL106" t="s">
        <v>150</v>
      </c>
      <c r="AM106">
        <v>0.20105000000000001</v>
      </c>
      <c r="AN106" t="s">
        <v>279</v>
      </c>
    </row>
    <row r="107" spans="9:40" x14ac:dyDescent="0.25">
      <c r="I107" t="s">
        <v>169</v>
      </c>
      <c r="J107" t="s">
        <v>164</v>
      </c>
      <c r="K107">
        <v>6.4708586794434086E-2</v>
      </c>
      <c r="L107" t="s">
        <v>154</v>
      </c>
      <c r="N107" t="s">
        <v>199</v>
      </c>
      <c r="O107" t="s">
        <v>164</v>
      </c>
      <c r="P107">
        <v>5.6413083576130021E-2</v>
      </c>
      <c r="Q107" t="s">
        <v>154</v>
      </c>
      <c r="S107" t="s">
        <v>230</v>
      </c>
      <c r="T107" t="s">
        <v>164</v>
      </c>
      <c r="U107">
        <v>4.2523559401395954E-2</v>
      </c>
      <c r="V107" t="s">
        <v>154</v>
      </c>
      <c r="AK107">
        <v>2046</v>
      </c>
      <c r="AL107" t="s">
        <v>142</v>
      </c>
      <c r="AM107">
        <v>0.19745000000000001</v>
      </c>
      <c r="AN107" t="s">
        <v>279</v>
      </c>
    </row>
    <row r="108" spans="9:40" x14ac:dyDescent="0.25">
      <c r="I108" t="s">
        <v>169</v>
      </c>
      <c r="J108" t="s">
        <v>165</v>
      </c>
      <c r="K108">
        <v>0</v>
      </c>
      <c r="L108" t="s">
        <v>154</v>
      </c>
      <c r="N108" t="s">
        <v>199</v>
      </c>
      <c r="O108" t="s">
        <v>165</v>
      </c>
      <c r="P108">
        <v>5.5648695111622688E-3</v>
      </c>
      <c r="Q108" t="s">
        <v>154</v>
      </c>
      <c r="S108" t="s">
        <v>230</v>
      </c>
      <c r="T108" t="s">
        <v>165</v>
      </c>
      <c r="U108">
        <v>5.4272833367014755E-3</v>
      </c>
      <c r="V108" t="s">
        <v>154</v>
      </c>
      <c r="AK108">
        <v>2046</v>
      </c>
      <c r="AL108" t="s">
        <v>146</v>
      </c>
      <c r="AM108">
        <v>0.32183333333333342</v>
      </c>
      <c r="AN108" t="s">
        <v>279</v>
      </c>
    </row>
    <row r="109" spans="9:40" x14ac:dyDescent="0.25">
      <c r="I109" t="s">
        <v>169</v>
      </c>
      <c r="J109" t="s">
        <v>289</v>
      </c>
      <c r="K109">
        <v>0</v>
      </c>
      <c r="L109" t="s">
        <v>154</v>
      </c>
      <c r="N109" t="s">
        <v>199</v>
      </c>
      <c r="O109" t="s">
        <v>289</v>
      </c>
      <c r="P109">
        <v>4.7835425358549125E-3</v>
      </c>
      <c r="Q109" t="s">
        <v>154</v>
      </c>
      <c r="S109" t="s">
        <v>230</v>
      </c>
      <c r="T109" t="s">
        <v>289</v>
      </c>
      <c r="U109">
        <v>5.3760310949905413E-3</v>
      </c>
      <c r="V109" t="s">
        <v>154</v>
      </c>
      <c r="AK109">
        <v>2046</v>
      </c>
      <c r="AL109" t="s">
        <v>148</v>
      </c>
      <c r="AM109">
        <v>0.2137</v>
      </c>
      <c r="AN109" t="s">
        <v>279</v>
      </c>
    </row>
    <row r="110" spans="9:40" x14ac:dyDescent="0.25">
      <c r="I110" t="s">
        <v>169</v>
      </c>
      <c r="J110" t="s">
        <v>290</v>
      </c>
      <c r="K110">
        <v>0</v>
      </c>
      <c r="L110" t="s">
        <v>154</v>
      </c>
      <c r="N110" t="s">
        <v>199</v>
      </c>
      <c r="O110" t="s">
        <v>290</v>
      </c>
      <c r="P110">
        <v>2.3693546027425929E-2</v>
      </c>
      <c r="Q110" t="s">
        <v>154</v>
      </c>
      <c r="S110" t="s">
        <v>230</v>
      </c>
      <c r="T110" t="s">
        <v>290</v>
      </c>
      <c r="U110">
        <v>2.6542804293917224E-2</v>
      </c>
      <c r="V110" t="s">
        <v>154</v>
      </c>
      <c r="AK110">
        <v>2046</v>
      </c>
      <c r="AL110" t="s">
        <v>150</v>
      </c>
      <c r="AM110">
        <v>0.21099999999999999</v>
      </c>
      <c r="AN110" t="s">
        <v>279</v>
      </c>
    </row>
    <row r="111" spans="9:40" x14ac:dyDescent="0.25">
      <c r="I111" t="s">
        <v>170</v>
      </c>
      <c r="J111" t="s">
        <v>153</v>
      </c>
      <c r="K111">
        <v>5.2290049828754613E-3</v>
      </c>
      <c r="L111" t="s">
        <v>154</v>
      </c>
      <c r="N111" t="s">
        <v>200</v>
      </c>
      <c r="O111" t="s">
        <v>153</v>
      </c>
      <c r="P111">
        <v>4.0341111033233741E-2</v>
      </c>
      <c r="Q111" t="s">
        <v>154</v>
      </c>
      <c r="S111" t="s">
        <v>231</v>
      </c>
      <c r="T111" t="s">
        <v>153</v>
      </c>
      <c r="U111">
        <v>4.2946831430872766E-2</v>
      </c>
      <c r="V111" t="s">
        <v>154</v>
      </c>
      <c r="AK111">
        <v>2047</v>
      </c>
      <c r="AL111" t="s">
        <v>142</v>
      </c>
      <c r="AM111">
        <v>0.21145</v>
      </c>
      <c r="AN111" t="s">
        <v>279</v>
      </c>
    </row>
    <row r="112" spans="9:40" x14ac:dyDescent="0.25">
      <c r="I112" t="s">
        <v>170</v>
      </c>
      <c r="J112" t="s">
        <v>155</v>
      </c>
      <c r="K112">
        <v>7.6446151360327119E-2</v>
      </c>
      <c r="L112" t="s">
        <v>154</v>
      </c>
      <c r="N112" t="s">
        <v>200</v>
      </c>
      <c r="O112" t="s">
        <v>155</v>
      </c>
      <c r="P112">
        <v>4.8118267551887237E-2</v>
      </c>
      <c r="Q112" t="s">
        <v>154</v>
      </c>
      <c r="S112" t="s">
        <v>231</v>
      </c>
      <c r="T112" t="s">
        <v>155</v>
      </c>
      <c r="U112">
        <v>3.8628021732220984E-2</v>
      </c>
      <c r="V112" t="s">
        <v>154</v>
      </c>
      <c r="AK112">
        <v>2047</v>
      </c>
      <c r="AL112" t="s">
        <v>146</v>
      </c>
      <c r="AM112">
        <v>0.31851111111111113</v>
      </c>
      <c r="AN112" t="s">
        <v>279</v>
      </c>
    </row>
    <row r="113" spans="9:40" x14ac:dyDescent="0.25">
      <c r="I113" t="s">
        <v>170</v>
      </c>
      <c r="J113" t="s">
        <v>156</v>
      </c>
      <c r="K113">
        <v>4.6582972139472129E-3</v>
      </c>
      <c r="L113" t="s">
        <v>154</v>
      </c>
      <c r="N113" t="s">
        <v>200</v>
      </c>
      <c r="O113" t="s">
        <v>156</v>
      </c>
      <c r="P113">
        <v>6.1812625748590023E-3</v>
      </c>
      <c r="Q113" t="s">
        <v>154</v>
      </c>
      <c r="S113" t="s">
        <v>231</v>
      </c>
      <c r="T113" t="s">
        <v>156</v>
      </c>
      <c r="U113">
        <v>4.8830783566829981E-3</v>
      </c>
      <c r="V113" t="s">
        <v>154</v>
      </c>
      <c r="AK113">
        <v>2047</v>
      </c>
      <c r="AL113" t="s">
        <v>148</v>
      </c>
      <c r="AM113">
        <v>0.21675</v>
      </c>
      <c r="AN113" t="s">
        <v>279</v>
      </c>
    </row>
    <row r="114" spans="9:40" x14ac:dyDescent="0.25">
      <c r="I114" t="s">
        <v>170</v>
      </c>
      <c r="J114" t="s">
        <v>283</v>
      </c>
      <c r="K114">
        <v>0</v>
      </c>
      <c r="L114" t="s">
        <v>154</v>
      </c>
      <c r="N114" t="s">
        <v>200</v>
      </c>
      <c r="O114" t="s">
        <v>283</v>
      </c>
      <c r="P114">
        <v>5.5148628207992521E-3</v>
      </c>
      <c r="Q114" t="s">
        <v>154</v>
      </c>
      <c r="S114" t="s">
        <v>231</v>
      </c>
      <c r="T114" t="s">
        <v>283</v>
      </c>
      <c r="U114">
        <v>4.8340414575843123E-3</v>
      </c>
      <c r="V114" t="s">
        <v>154</v>
      </c>
      <c r="AK114">
        <v>2047</v>
      </c>
      <c r="AL114" t="s">
        <v>150</v>
      </c>
      <c r="AM114">
        <v>0.19464999999999999</v>
      </c>
      <c r="AN114" t="s">
        <v>279</v>
      </c>
    </row>
    <row r="115" spans="9:40" x14ac:dyDescent="0.25">
      <c r="I115" t="s">
        <v>170</v>
      </c>
      <c r="J115" t="s">
        <v>284</v>
      </c>
      <c r="K115">
        <v>0</v>
      </c>
      <c r="L115" t="s">
        <v>154</v>
      </c>
      <c r="N115" t="s">
        <v>200</v>
      </c>
      <c r="O115" t="s">
        <v>284</v>
      </c>
      <c r="P115">
        <v>2.2547078298084031E-2</v>
      </c>
      <c r="Q115" t="s">
        <v>154</v>
      </c>
      <c r="S115" t="s">
        <v>231</v>
      </c>
      <c r="T115" t="s">
        <v>284</v>
      </c>
      <c r="U115">
        <v>2.6118593381122233E-2</v>
      </c>
      <c r="V115" t="s">
        <v>154</v>
      </c>
      <c r="AK115">
        <v>2048</v>
      </c>
      <c r="AL115" t="s">
        <v>142</v>
      </c>
      <c r="AM115">
        <v>0.21710000000000002</v>
      </c>
      <c r="AN115" t="s">
        <v>279</v>
      </c>
    </row>
    <row r="116" spans="9:40" x14ac:dyDescent="0.25">
      <c r="I116" t="s">
        <v>170</v>
      </c>
      <c r="J116" t="s">
        <v>157</v>
      </c>
      <c r="K116">
        <v>9.0731615505228083E-2</v>
      </c>
      <c r="L116" t="s">
        <v>154</v>
      </c>
      <c r="N116" t="s">
        <v>200</v>
      </c>
      <c r="O116" t="s">
        <v>157</v>
      </c>
      <c r="P116">
        <v>0.226839089102983</v>
      </c>
      <c r="Q116" t="s">
        <v>154</v>
      </c>
      <c r="S116" t="s">
        <v>231</v>
      </c>
      <c r="T116" t="s">
        <v>157</v>
      </c>
      <c r="U116">
        <v>0.26666402194387512</v>
      </c>
      <c r="V116" t="s">
        <v>154</v>
      </c>
      <c r="AK116">
        <v>2048</v>
      </c>
      <c r="AL116" t="s">
        <v>146</v>
      </c>
      <c r="AM116">
        <v>0.32371111111111112</v>
      </c>
      <c r="AN116" t="s">
        <v>279</v>
      </c>
    </row>
    <row r="117" spans="9:40" x14ac:dyDescent="0.25">
      <c r="I117" t="s">
        <v>170</v>
      </c>
      <c r="J117" t="s">
        <v>158</v>
      </c>
      <c r="K117">
        <v>0.60327010113520452</v>
      </c>
      <c r="L117" t="s">
        <v>154</v>
      </c>
      <c r="N117" t="s">
        <v>200</v>
      </c>
      <c r="O117" t="s">
        <v>158</v>
      </c>
      <c r="P117">
        <v>0.27533736291990657</v>
      </c>
      <c r="Q117" t="s">
        <v>154</v>
      </c>
      <c r="S117" t="s">
        <v>231</v>
      </c>
      <c r="T117" t="s">
        <v>158</v>
      </c>
      <c r="U117">
        <v>0.22834223719112853</v>
      </c>
      <c r="V117" t="s">
        <v>154</v>
      </c>
      <c r="AK117">
        <v>2048</v>
      </c>
      <c r="AL117" t="s">
        <v>148</v>
      </c>
      <c r="AM117">
        <v>0.20685000000000001</v>
      </c>
      <c r="AN117" t="s">
        <v>279</v>
      </c>
    </row>
    <row r="118" spans="9:40" x14ac:dyDescent="0.25">
      <c r="I118" t="s">
        <v>170</v>
      </c>
      <c r="J118" t="s">
        <v>159</v>
      </c>
      <c r="K118">
        <v>4.7724981239683523E-2</v>
      </c>
      <c r="L118" t="s">
        <v>154</v>
      </c>
      <c r="N118" t="s">
        <v>200</v>
      </c>
      <c r="O118" t="s">
        <v>159</v>
      </c>
      <c r="P118">
        <v>3.0834560251165301E-2</v>
      </c>
      <c r="Q118" t="s">
        <v>154</v>
      </c>
      <c r="S118" t="s">
        <v>231</v>
      </c>
      <c r="T118" t="s">
        <v>159</v>
      </c>
      <c r="U118">
        <v>2.9585391842522565E-2</v>
      </c>
      <c r="V118" t="s">
        <v>154</v>
      </c>
      <c r="AK118">
        <v>2048</v>
      </c>
      <c r="AL118" t="s">
        <v>150</v>
      </c>
      <c r="AM118">
        <v>0.1983</v>
      </c>
      <c r="AN118" t="s">
        <v>279</v>
      </c>
    </row>
    <row r="119" spans="9:40" x14ac:dyDescent="0.25">
      <c r="I119" t="s">
        <v>170</v>
      </c>
      <c r="J119" t="s">
        <v>285</v>
      </c>
      <c r="K119">
        <v>2.5947210765927691E-2</v>
      </c>
      <c r="L119" t="s">
        <v>154</v>
      </c>
      <c r="N119" t="s">
        <v>200</v>
      </c>
      <c r="O119" t="s">
        <v>285</v>
      </c>
      <c r="P119">
        <v>2.5438996459502181E-2</v>
      </c>
      <c r="Q119" t="s">
        <v>154</v>
      </c>
      <c r="S119" t="s">
        <v>231</v>
      </c>
      <c r="T119" t="s">
        <v>285</v>
      </c>
      <c r="U119">
        <v>2.7004048635284283E-2</v>
      </c>
      <c r="V119" t="s">
        <v>154</v>
      </c>
      <c r="AK119">
        <v>2049</v>
      </c>
      <c r="AL119" t="s">
        <v>142</v>
      </c>
      <c r="AM119">
        <v>0.22034999999999999</v>
      </c>
      <c r="AN119" t="s">
        <v>279</v>
      </c>
    </row>
    <row r="120" spans="9:40" x14ac:dyDescent="0.25">
      <c r="I120" t="s">
        <v>170</v>
      </c>
      <c r="J120" t="s">
        <v>286</v>
      </c>
      <c r="K120">
        <v>5.7369339410789982E-3</v>
      </c>
      <c r="L120" t="s">
        <v>154</v>
      </c>
      <c r="N120" t="s">
        <v>200</v>
      </c>
      <c r="O120" t="s">
        <v>286</v>
      </c>
      <c r="P120">
        <v>0.11307103546891427</v>
      </c>
      <c r="Q120" t="s">
        <v>154</v>
      </c>
      <c r="S120" t="s">
        <v>231</v>
      </c>
      <c r="T120" t="s">
        <v>286</v>
      </c>
      <c r="U120">
        <v>0.14679915642014718</v>
      </c>
      <c r="V120" t="s">
        <v>154</v>
      </c>
      <c r="AK120">
        <v>2049</v>
      </c>
      <c r="AL120" t="s">
        <v>146</v>
      </c>
      <c r="AM120">
        <v>0.32477777777777778</v>
      </c>
      <c r="AN120" t="s">
        <v>279</v>
      </c>
    </row>
    <row r="121" spans="9:40" x14ac:dyDescent="0.25">
      <c r="I121" t="s">
        <v>170</v>
      </c>
      <c r="J121" t="s">
        <v>160</v>
      </c>
      <c r="K121">
        <v>6.2061495812129027E-3</v>
      </c>
      <c r="L121" t="s">
        <v>154</v>
      </c>
      <c r="N121" t="s">
        <v>200</v>
      </c>
      <c r="O121" t="s">
        <v>160</v>
      </c>
      <c r="P121">
        <v>1.6413222285153628E-2</v>
      </c>
      <c r="Q121" t="s">
        <v>154</v>
      </c>
      <c r="S121" t="s">
        <v>231</v>
      </c>
      <c r="T121" t="s">
        <v>160</v>
      </c>
      <c r="U121">
        <v>2.6719057917298394E-2</v>
      </c>
      <c r="V121" t="s">
        <v>154</v>
      </c>
      <c r="AK121">
        <v>2049</v>
      </c>
      <c r="AL121" t="s">
        <v>148</v>
      </c>
      <c r="AM121">
        <v>0.21065</v>
      </c>
      <c r="AN121" t="s">
        <v>279</v>
      </c>
    </row>
    <row r="122" spans="9:40" x14ac:dyDescent="0.25">
      <c r="I122" t="s">
        <v>170</v>
      </c>
      <c r="J122" t="s">
        <v>161</v>
      </c>
      <c r="K122">
        <v>5.5284365972994319E-2</v>
      </c>
      <c r="L122" t="s">
        <v>154</v>
      </c>
      <c r="N122" t="s">
        <v>200</v>
      </c>
      <c r="O122" t="s">
        <v>161</v>
      </c>
      <c r="P122">
        <v>2.4977313220342186E-2</v>
      </c>
      <c r="Q122" t="s">
        <v>154</v>
      </c>
      <c r="S122" t="s">
        <v>231</v>
      </c>
      <c r="T122" t="s">
        <v>161</v>
      </c>
      <c r="U122">
        <v>2.4953266113081091E-2</v>
      </c>
      <c r="V122" t="s">
        <v>154</v>
      </c>
      <c r="AK122">
        <v>2049</v>
      </c>
      <c r="AL122" t="s">
        <v>150</v>
      </c>
      <c r="AM122">
        <v>0.19400000000000001</v>
      </c>
      <c r="AN122" t="s">
        <v>279</v>
      </c>
    </row>
    <row r="123" spans="9:40" x14ac:dyDescent="0.25">
      <c r="I123" t="s">
        <v>170</v>
      </c>
      <c r="J123" t="s">
        <v>162</v>
      </c>
      <c r="K123">
        <v>2.8753219520671535E-3</v>
      </c>
      <c r="L123" t="s">
        <v>154</v>
      </c>
      <c r="N123" t="s">
        <v>200</v>
      </c>
      <c r="O123" t="s">
        <v>162</v>
      </c>
      <c r="P123">
        <v>2.4781467752957799E-3</v>
      </c>
      <c r="Q123" t="s">
        <v>154</v>
      </c>
      <c r="S123" t="s">
        <v>231</v>
      </c>
      <c r="T123" t="s">
        <v>162</v>
      </c>
      <c r="U123">
        <v>3.1669670203069837E-3</v>
      </c>
      <c r="V123" t="s">
        <v>154</v>
      </c>
      <c r="AK123">
        <v>2050</v>
      </c>
      <c r="AL123" t="s">
        <v>142</v>
      </c>
      <c r="AM123">
        <v>0.2087</v>
      </c>
      <c r="AN123" t="s">
        <v>279</v>
      </c>
    </row>
    <row r="124" spans="9:40" x14ac:dyDescent="0.25">
      <c r="I124" t="s">
        <v>170</v>
      </c>
      <c r="J124" t="s">
        <v>287</v>
      </c>
      <c r="K124">
        <v>0</v>
      </c>
      <c r="L124" t="s">
        <v>154</v>
      </c>
      <c r="N124" t="s">
        <v>200</v>
      </c>
      <c r="O124" t="s">
        <v>287</v>
      </c>
      <c r="P124">
        <v>2.0560750038955242E-3</v>
      </c>
      <c r="Q124" t="s">
        <v>154</v>
      </c>
      <c r="S124" t="s">
        <v>231</v>
      </c>
      <c r="T124" t="s">
        <v>287</v>
      </c>
      <c r="U124">
        <v>3.0396962877640601E-3</v>
      </c>
      <c r="V124" t="s">
        <v>154</v>
      </c>
      <c r="AK124">
        <v>2050</v>
      </c>
      <c r="AL124" t="s">
        <v>146</v>
      </c>
      <c r="AM124">
        <v>0.32285555555555556</v>
      </c>
      <c r="AN124" t="s">
        <v>279</v>
      </c>
    </row>
    <row r="125" spans="9:40" x14ac:dyDescent="0.25">
      <c r="I125" t="s">
        <v>170</v>
      </c>
      <c r="J125" t="s">
        <v>288</v>
      </c>
      <c r="K125">
        <v>0</v>
      </c>
      <c r="L125" t="s">
        <v>154</v>
      </c>
      <c r="N125" t="s">
        <v>200</v>
      </c>
      <c r="O125" t="s">
        <v>288</v>
      </c>
      <c r="P125">
        <v>9.5316688756060808E-3</v>
      </c>
      <c r="Q125" t="s">
        <v>154</v>
      </c>
      <c r="S125" t="s">
        <v>231</v>
      </c>
      <c r="T125" t="s">
        <v>288</v>
      </c>
      <c r="U125">
        <v>1.5896928652644516E-2</v>
      </c>
      <c r="V125" t="s">
        <v>154</v>
      </c>
      <c r="AK125">
        <v>2050</v>
      </c>
      <c r="AL125" t="s">
        <v>148</v>
      </c>
      <c r="AM125">
        <v>0.22375</v>
      </c>
      <c r="AN125" t="s">
        <v>279</v>
      </c>
    </row>
    <row r="126" spans="9:40" x14ac:dyDescent="0.25">
      <c r="I126" t="s">
        <v>170</v>
      </c>
      <c r="J126" t="s">
        <v>163</v>
      </c>
      <c r="K126">
        <v>4.795859142909106E-3</v>
      </c>
      <c r="L126" t="s">
        <v>154</v>
      </c>
      <c r="N126" t="s">
        <v>200</v>
      </c>
      <c r="O126" t="s">
        <v>163</v>
      </c>
      <c r="P126">
        <v>4.796578460714019E-2</v>
      </c>
      <c r="Q126" t="s">
        <v>154</v>
      </c>
      <c r="S126" t="s">
        <v>231</v>
      </c>
      <c r="T126" t="s">
        <v>163</v>
      </c>
      <c r="U126">
        <v>4.061974984317749E-2</v>
      </c>
      <c r="V126" t="s">
        <v>154</v>
      </c>
      <c r="AK126">
        <v>2050</v>
      </c>
      <c r="AL126" t="s">
        <v>150</v>
      </c>
      <c r="AM126">
        <v>0.2064</v>
      </c>
      <c r="AN126" t="s">
        <v>279</v>
      </c>
    </row>
    <row r="127" spans="9:40" x14ac:dyDescent="0.25">
      <c r="I127" t="s">
        <v>170</v>
      </c>
      <c r="J127" t="s">
        <v>164</v>
      </c>
      <c r="K127">
        <v>6.853630539143378E-2</v>
      </c>
      <c r="L127" t="s">
        <v>154</v>
      </c>
      <c r="N127" t="s">
        <v>200</v>
      </c>
      <c r="O127" t="s">
        <v>164</v>
      </c>
      <c r="P127">
        <v>6.6079513128084869E-2</v>
      </c>
      <c r="Q127" t="s">
        <v>154</v>
      </c>
      <c r="S127" t="s">
        <v>231</v>
      </c>
      <c r="T127" t="s">
        <v>164</v>
      </c>
      <c r="U127">
        <v>3.6244381251308654E-2</v>
      </c>
      <c r="V127" t="s">
        <v>154</v>
      </c>
    </row>
    <row r="128" spans="9:40" x14ac:dyDescent="0.25">
      <c r="I128" t="s">
        <v>170</v>
      </c>
      <c r="J128" t="s">
        <v>165</v>
      </c>
      <c r="K128">
        <v>2.5577018151099664E-3</v>
      </c>
      <c r="L128" t="s">
        <v>154</v>
      </c>
      <c r="N128" t="s">
        <v>200</v>
      </c>
      <c r="O128" t="s">
        <v>165</v>
      </c>
      <c r="P128">
        <v>6.7681907308027632E-3</v>
      </c>
      <c r="Q128" t="s">
        <v>154</v>
      </c>
      <c r="S128" t="s">
        <v>231</v>
      </c>
      <c r="T128" t="s">
        <v>165</v>
      </c>
      <c r="U128">
        <v>4.8475054914856926E-3</v>
      </c>
      <c r="V128" t="s">
        <v>154</v>
      </c>
    </row>
    <row r="129" spans="9:22" x14ac:dyDescent="0.25">
      <c r="I129" t="s">
        <v>170</v>
      </c>
      <c r="J129" t="s">
        <v>289</v>
      </c>
      <c r="K129">
        <v>0</v>
      </c>
      <c r="L129" t="s">
        <v>154</v>
      </c>
      <c r="N129" t="s">
        <v>200</v>
      </c>
      <c r="O129" t="s">
        <v>289</v>
      </c>
      <c r="P129">
        <v>5.6097310057343858E-3</v>
      </c>
      <c r="Q129" t="s">
        <v>154</v>
      </c>
      <c r="S129" t="s">
        <v>231</v>
      </c>
      <c r="T129" t="s">
        <v>289</v>
      </c>
      <c r="U129">
        <v>5.0626003668584919E-3</v>
      </c>
      <c r="V129" t="s">
        <v>154</v>
      </c>
    </row>
    <row r="130" spans="9:22" x14ac:dyDescent="0.25">
      <c r="I130" t="s">
        <v>170</v>
      </c>
      <c r="J130" t="s">
        <v>290</v>
      </c>
      <c r="K130">
        <v>0</v>
      </c>
      <c r="L130" t="s">
        <v>154</v>
      </c>
      <c r="N130" t="s">
        <v>200</v>
      </c>
      <c r="O130" t="s">
        <v>290</v>
      </c>
      <c r="P130">
        <v>2.3896727886605896E-2</v>
      </c>
      <c r="Q130" t="s">
        <v>154</v>
      </c>
      <c r="S130" t="s">
        <v>231</v>
      </c>
      <c r="T130" t="s">
        <v>290</v>
      </c>
      <c r="U130">
        <v>2.3644424664632579E-2</v>
      </c>
      <c r="V130" t="s">
        <v>154</v>
      </c>
    </row>
    <row r="131" spans="9:22" x14ac:dyDescent="0.25">
      <c r="I131" t="s">
        <v>171</v>
      </c>
      <c r="J131" t="s">
        <v>153</v>
      </c>
      <c r="K131">
        <v>4.688089133017579E-3</v>
      </c>
      <c r="L131" t="s">
        <v>154</v>
      </c>
      <c r="N131" t="s">
        <v>201</v>
      </c>
      <c r="O131" t="s">
        <v>153</v>
      </c>
      <c r="P131">
        <v>5.2792990956814972E-2</v>
      </c>
      <c r="Q131" t="s">
        <v>154</v>
      </c>
      <c r="S131" t="s">
        <v>232</v>
      </c>
      <c r="T131" t="s">
        <v>153</v>
      </c>
      <c r="U131">
        <v>4.1987535035772447E-2</v>
      </c>
      <c r="V131" t="s">
        <v>154</v>
      </c>
    </row>
    <row r="132" spans="9:22" x14ac:dyDescent="0.25">
      <c r="I132" t="s">
        <v>171</v>
      </c>
      <c r="J132" t="s">
        <v>155</v>
      </c>
      <c r="K132">
        <v>7.019517916919242E-2</v>
      </c>
      <c r="L132" t="s">
        <v>154</v>
      </c>
      <c r="N132" t="s">
        <v>201</v>
      </c>
      <c r="O132" t="s">
        <v>155</v>
      </c>
      <c r="P132">
        <v>4.6366280896138486E-2</v>
      </c>
      <c r="Q132" t="s">
        <v>154</v>
      </c>
      <c r="S132" t="s">
        <v>232</v>
      </c>
      <c r="T132" t="s">
        <v>155</v>
      </c>
      <c r="U132">
        <v>3.8292257905370948E-2</v>
      </c>
      <c r="V132" t="s">
        <v>154</v>
      </c>
    </row>
    <row r="133" spans="9:22" x14ac:dyDescent="0.25">
      <c r="I133" t="s">
        <v>171</v>
      </c>
      <c r="J133" t="s">
        <v>156</v>
      </c>
      <c r="K133">
        <v>4.5814066281972482E-3</v>
      </c>
      <c r="L133" t="s">
        <v>154</v>
      </c>
      <c r="N133" t="s">
        <v>201</v>
      </c>
      <c r="O133" t="s">
        <v>156</v>
      </c>
      <c r="P133">
        <v>6.1501997835875311E-3</v>
      </c>
      <c r="Q133" t="s">
        <v>154</v>
      </c>
      <c r="S133" t="s">
        <v>232</v>
      </c>
      <c r="T133" t="s">
        <v>156</v>
      </c>
      <c r="U133">
        <v>5.3093745603130507E-3</v>
      </c>
      <c r="V133" t="s">
        <v>154</v>
      </c>
    </row>
    <row r="134" spans="9:22" x14ac:dyDescent="0.25">
      <c r="I134" t="s">
        <v>171</v>
      </c>
      <c r="J134" t="s">
        <v>283</v>
      </c>
      <c r="K134">
        <v>3.2536658122977887E-8</v>
      </c>
      <c r="L134" t="s">
        <v>154</v>
      </c>
      <c r="N134" t="s">
        <v>201</v>
      </c>
      <c r="O134" t="s">
        <v>283</v>
      </c>
      <c r="P134">
        <v>6.159474718966205E-3</v>
      </c>
      <c r="Q134" t="s">
        <v>154</v>
      </c>
      <c r="S134" t="s">
        <v>232</v>
      </c>
      <c r="T134" t="s">
        <v>283</v>
      </c>
      <c r="U134">
        <v>4.7008276305898931E-3</v>
      </c>
      <c r="V134" t="s">
        <v>154</v>
      </c>
    </row>
    <row r="135" spans="9:22" x14ac:dyDescent="0.25">
      <c r="I135" t="s">
        <v>171</v>
      </c>
      <c r="J135" t="s">
        <v>284</v>
      </c>
      <c r="K135">
        <v>0</v>
      </c>
      <c r="L135" t="s">
        <v>154</v>
      </c>
      <c r="N135" t="s">
        <v>201</v>
      </c>
      <c r="O135" t="s">
        <v>284</v>
      </c>
      <c r="P135">
        <v>2.7863591023748437E-2</v>
      </c>
      <c r="Q135" t="s">
        <v>154</v>
      </c>
      <c r="S135" t="s">
        <v>232</v>
      </c>
      <c r="T135" t="s">
        <v>284</v>
      </c>
      <c r="U135">
        <v>2.5170533063519039E-2</v>
      </c>
      <c r="V135" t="s">
        <v>154</v>
      </c>
    </row>
    <row r="136" spans="9:22" x14ac:dyDescent="0.25">
      <c r="I136" t="s">
        <v>171</v>
      </c>
      <c r="J136" t="s">
        <v>157</v>
      </c>
      <c r="K136">
        <v>8.4447733603685904E-2</v>
      </c>
      <c r="L136" t="s">
        <v>154</v>
      </c>
      <c r="N136" t="s">
        <v>201</v>
      </c>
      <c r="O136" t="s">
        <v>157</v>
      </c>
      <c r="P136">
        <v>0.22184749180719998</v>
      </c>
      <c r="Q136" t="s">
        <v>154</v>
      </c>
      <c r="S136" t="s">
        <v>232</v>
      </c>
      <c r="T136" t="s">
        <v>157</v>
      </c>
      <c r="U136">
        <v>0.27041781234075324</v>
      </c>
      <c r="V136" t="s">
        <v>154</v>
      </c>
    </row>
    <row r="137" spans="9:22" x14ac:dyDescent="0.25">
      <c r="I137" t="s">
        <v>171</v>
      </c>
      <c r="J137" t="s">
        <v>158</v>
      </c>
      <c r="K137">
        <v>0.6109757188393079</v>
      </c>
      <c r="L137" t="s">
        <v>154</v>
      </c>
      <c r="N137" t="s">
        <v>201</v>
      </c>
      <c r="O137" t="s">
        <v>158</v>
      </c>
      <c r="P137">
        <v>0.22779216430355556</v>
      </c>
      <c r="Q137" t="s">
        <v>154</v>
      </c>
      <c r="S137" t="s">
        <v>232</v>
      </c>
      <c r="T137" t="s">
        <v>158</v>
      </c>
      <c r="U137">
        <v>0.2247121004752663</v>
      </c>
      <c r="V137" t="s">
        <v>154</v>
      </c>
    </row>
    <row r="138" spans="9:22" x14ac:dyDescent="0.25">
      <c r="I138" t="s">
        <v>171</v>
      </c>
      <c r="J138" t="s">
        <v>159</v>
      </c>
      <c r="K138">
        <v>4.9208700445599218E-2</v>
      </c>
      <c r="L138" t="s">
        <v>154</v>
      </c>
      <c r="N138" t="s">
        <v>201</v>
      </c>
      <c r="O138" t="s">
        <v>159</v>
      </c>
      <c r="P138">
        <v>3.2549529870141293E-2</v>
      </c>
      <c r="Q138" t="s">
        <v>154</v>
      </c>
      <c r="S138" t="s">
        <v>232</v>
      </c>
      <c r="T138" t="s">
        <v>159</v>
      </c>
      <c r="U138">
        <v>2.9190303033616916E-2</v>
      </c>
      <c r="V138" t="s">
        <v>154</v>
      </c>
    </row>
    <row r="139" spans="9:22" x14ac:dyDescent="0.25">
      <c r="I139" t="s">
        <v>171</v>
      </c>
      <c r="J139" t="s">
        <v>285</v>
      </c>
      <c r="K139">
        <v>2.9080274026502585E-2</v>
      </c>
      <c r="L139" t="s">
        <v>154</v>
      </c>
      <c r="N139" t="s">
        <v>201</v>
      </c>
      <c r="O139" t="s">
        <v>285</v>
      </c>
      <c r="P139">
        <v>3.2285238858402787E-2</v>
      </c>
      <c r="Q139" t="s">
        <v>154</v>
      </c>
      <c r="S139" t="s">
        <v>232</v>
      </c>
      <c r="T139" t="s">
        <v>285</v>
      </c>
      <c r="U139">
        <v>2.6072448915984502E-2</v>
      </c>
      <c r="V139" t="s">
        <v>154</v>
      </c>
    </row>
    <row r="140" spans="9:22" x14ac:dyDescent="0.25">
      <c r="I140" t="s">
        <v>171</v>
      </c>
      <c r="J140" t="s">
        <v>286</v>
      </c>
      <c r="K140">
        <v>7.4550530413166616E-3</v>
      </c>
      <c r="L140" t="s">
        <v>154</v>
      </c>
      <c r="N140" t="s">
        <v>201</v>
      </c>
      <c r="O140" t="s">
        <v>286</v>
      </c>
      <c r="P140">
        <v>0.13580480871699332</v>
      </c>
      <c r="Q140" t="s">
        <v>154</v>
      </c>
      <c r="S140" t="s">
        <v>232</v>
      </c>
      <c r="T140" t="s">
        <v>286</v>
      </c>
      <c r="U140">
        <v>0.14597739714452648</v>
      </c>
      <c r="V140" t="s">
        <v>154</v>
      </c>
    </row>
    <row r="141" spans="9:22" x14ac:dyDescent="0.25">
      <c r="I141" t="s">
        <v>171</v>
      </c>
      <c r="J141" t="s">
        <v>160</v>
      </c>
      <c r="K141">
        <v>5.1554984599709065E-3</v>
      </c>
      <c r="L141" t="s">
        <v>154</v>
      </c>
      <c r="N141" t="s">
        <v>201</v>
      </c>
      <c r="O141" t="s">
        <v>160</v>
      </c>
      <c r="P141">
        <v>2.2783038468101764E-2</v>
      </c>
      <c r="Q141" t="s">
        <v>154</v>
      </c>
      <c r="S141" t="s">
        <v>232</v>
      </c>
      <c r="T141" t="s">
        <v>160</v>
      </c>
      <c r="U141">
        <v>2.7897320124117275E-2</v>
      </c>
      <c r="V141" t="s">
        <v>154</v>
      </c>
    </row>
    <row r="142" spans="9:22" x14ac:dyDescent="0.25">
      <c r="I142" t="s">
        <v>171</v>
      </c>
      <c r="J142" t="s">
        <v>161</v>
      </c>
      <c r="K142">
        <v>5.5870731452085515E-2</v>
      </c>
      <c r="L142" t="s">
        <v>154</v>
      </c>
      <c r="N142" t="s">
        <v>201</v>
      </c>
      <c r="O142" t="s">
        <v>161</v>
      </c>
      <c r="P142">
        <v>2.0495838064289347E-2</v>
      </c>
      <c r="Q142" t="s">
        <v>154</v>
      </c>
      <c r="S142" t="s">
        <v>232</v>
      </c>
      <c r="T142" t="s">
        <v>161</v>
      </c>
      <c r="U142">
        <v>2.4646439008840785E-2</v>
      </c>
      <c r="V142" t="s">
        <v>154</v>
      </c>
    </row>
    <row r="143" spans="9:22" x14ac:dyDescent="0.25">
      <c r="I143" t="s">
        <v>171</v>
      </c>
      <c r="J143" t="s">
        <v>162</v>
      </c>
      <c r="K143">
        <v>2.9569192981219513E-3</v>
      </c>
      <c r="L143" t="s">
        <v>154</v>
      </c>
      <c r="N143" t="s">
        <v>201</v>
      </c>
      <c r="O143" t="s">
        <v>162</v>
      </c>
      <c r="P143">
        <v>2.8301752527541859E-3</v>
      </c>
      <c r="Q143" t="s">
        <v>154</v>
      </c>
      <c r="S143" t="s">
        <v>232</v>
      </c>
      <c r="T143" t="s">
        <v>162</v>
      </c>
      <c r="U143">
        <v>3.3572667720833038E-3</v>
      </c>
      <c r="V143" t="s">
        <v>154</v>
      </c>
    </row>
    <row r="144" spans="9:22" x14ac:dyDescent="0.25">
      <c r="I144" t="s">
        <v>171</v>
      </c>
      <c r="J144" t="s">
        <v>287</v>
      </c>
      <c r="K144">
        <v>0</v>
      </c>
      <c r="L144" t="s">
        <v>154</v>
      </c>
      <c r="N144" t="s">
        <v>201</v>
      </c>
      <c r="O144" t="s">
        <v>287</v>
      </c>
      <c r="P144">
        <v>2.8315810373449571E-3</v>
      </c>
      <c r="Q144" t="s">
        <v>154</v>
      </c>
      <c r="S144" t="s">
        <v>232</v>
      </c>
      <c r="T144" t="s">
        <v>287</v>
      </c>
      <c r="U144">
        <v>2.8955514636731365E-3</v>
      </c>
      <c r="V144" t="s">
        <v>154</v>
      </c>
    </row>
    <row r="145" spans="9:22" x14ac:dyDescent="0.25">
      <c r="I145" t="s">
        <v>171</v>
      </c>
      <c r="J145" t="s">
        <v>288</v>
      </c>
      <c r="K145">
        <v>0</v>
      </c>
      <c r="L145" t="s">
        <v>154</v>
      </c>
      <c r="N145" t="s">
        <v>201</v>
      </c>
      <c r="O145" t="s">
        <v>288</v>
      </c>
      <c r="P145">
        <v>1.1819848215233953E-2</v>
      </c>
      <c r="Q145" t="s">
        <v>154</v>
      </c>
      <c r="S145" t="s">
        <v>232</v>
      </c>
      <c r="T145" t="s">
        <v>288</v>
      </c>
      <c r="U145">
        <v>1.6031977040159032E-2</v>
      </c>
      <c r="V145" t="s">
        <v>154</v>
      </c>
    </row>
    <row r="146" spans="9:22" x14ac:dyDescent="0.25">
      <c r="I146" t="s">
        <v>171</v>
      </c>
      <c r="J146" t="s">
        <v>163</v>
      </c>
      <c r="K146">
        <v>4.3125856729987052E-3</v>
      </c>
      <c r="L146" t="s">
        <v>154</v>
      </c>
      <c r="N146" t="s">
        <v>201</v>
      </c>
      <c r="O146" t="s">
        <v>163</v>
      </c>
      <c r="P146">
        <v>5.4434246538958363E-2</v>
      </c>
      <c r="Q146" t="s">
        <v>154</v>
      </c>
      <c r="S146" t="s">
        <v>232</v>
      </c>
      <c r="T146" t="s">
        <v>163</v>
      </c>
      <c r="U146">
        <v>4.2965468544673424E-2</v>
      </c>
      <c r="V146" t="s">
        <v>154</v>
      </c>
    </row>
    <row r="147" spans="9:22" x14ac:dyDescent="0.25">
      <c r="I147" t="s">
        <v>171</v>
      </c>
      <c r="J147" t="s">
        <v>164</v>
      </c>
      <c r="K147">
        <v>6.7300794803926131E-2</v>
      </c>
      <c r="L147" t="s">
        <v>154</v>
      </c>
      <c r="N147" t="s">
        <v>201</v>
      </c>
      <c r="O147" t="s">
        <v>164</v>
      </c>
      <c r="P147">
        <v>5.106144597065948E-2</v>
      </c>
      <c r="Q147" t="s">
        <v>154</v>
      </c>
      <c r="S147" t="s">
        <v>232</v>
      </c>
      <c r="T147" t="s">
        <v>164</v>
      </c>
      <c r="U147">
        <v>3.7307388346817162E-2</v>
      </c>
      <c r="V147" t="s">
        <v>154</v>
      </c>
    </row>
    <row r="148" spans="9:22" x14ac:dyDescent="0.25">
      <c r="I148" t="s">
        <v>171</v>
      </c>
      <c r="J148" t="s">
        <v>165</v>
      </c>
      <c r="K148">
        <v>3.771282889416745E-3</v>
      </c>
      <c r="L148" t="s">
        <v>154</v>
      </c>
      <c r="N148" t="s">
        <v>201</v>
      </c>
      <c r="O148" t="s">
        <v>165</v>
      </c>
      <c r="P148">
        <v>6.8587455912381464E-3</v>
      </c>
      <c r="Q148" t="s">
        <v>154</v>
      </c>
      <c r="S148" t="s">
        <v>232</v>
      </c>
      <c r="T148" t="s">
        <v>165</v>
      </c>
      <c r="U148">
        <v>4.8816299550249838E-3</v>
      </c>
      <c r="V148" t="s">
        <v>154</v>
      </c>
    </row>
    <row r="149" spans="9:22" x14ac:dyDescent="0.25">
      <c r="I149" t="s">
        <v>171</v>
      </c>
      <c r="J149" t="s">
        <v>289</v>
      </c>
      <c r="K149">
        <v>0</v>
      </c>
      <c r="L149" t="s">
        <v>154</v>
      </c>
      <c r="N149" t="s">
        <v>201</v>
      </c>
      <c r="O149" t="s">
        <v>289</v>
      </c>
      <c r="P149">
        <v>6.8208976588310152E-3</v>
      </c>
      <c r="Q149" t="s">
        <v>154</v>
      </c>
      <c r="S149" t="s">
        <v>232</v>
      </c>
      <c r="T149" t="s">
        <v>289</v>
      </c>
      <c r="U149">
        <v>4.789765874346044E-3</v>
      </c>
      <c r="V149" t="s">
        <v>154</v>
      </c>
    </row>
    <row r="150" spans="9:22" x14ac:dyDescent="0.25">
      <c r="I150" t="s">
        <v>171</v>
      </c>
      <c r="J150" t="s">
        <v>290</v>
      </c>
      <c r="K150">
        <v>0</v>
      </c>
      <c r="L150" t="s">
        <v>154</v>
      </c>
      <c r="N150" t="s">
        <v>201</v>
      </c>
      <c r="O150" t="s">
        <v>290</v>
      </c>
      <c r="P150">
        <v>3.045241226704172E-2</v>
      </c>
      <c r="Q150" t="s">
        <v>154</v>
      </c>
      <c r="S150" t="s">
        <v>232</v>
      </c>
      <c r="T150" t="s">
        <v>290</v>
      </c>
      <c r="U150">
        <v>2.3396602764552684E-2</v>
      </c>
      <c r="V150" t="s">
        <v>154</v>
      </c>
    </row>
    <row r="151" spans="9:22" x14ac:dyDescent="0.25">
      <c r="I151" t="s">
        <v>172</v>
      </c>
      <c r="J151" t="s">
        <v>153</v>
      </c>
      <c r="K151">
        <v>3.882347484179162E-3</v>
      </c>
      <c r="L151" t="s">
        <v>154</v>
      </c>
      <c r="N151" t="s">
        <v>202</v>
      </c>
      <c r="O151" t="s">
        <v>153</v>
      </c>
      <c r="P151">
        <v>4.8335792408557225E-2</v>
      </c>
      <c r="Q151" t="s">
        <v>154</v>
      </c>
      <c r="S151" t="s">
        <v>233</v>
      </c>
      <c r="T151" t="s">
        <v>153</v>
      </c>
      <c r="U151">
        <v>4.9068696603934765E-2</v>
      </c>
      <c r="V151" t="s">
        <v>154</v>
      </c>
    </row>
    <row r="152" spans="9:22" x14ac:dyDescent="0.25">
      <c r="I152" t="s">
        <v>172</v>
      </c>
      <c r="J152" t="s">
        <v>155</v>
      </c>
      <c r="K152">
        <v>7.3401938576365747E-2</v>
      </c>
      <c r="L152" t="s">
        <v>154</v>
      </c>
      <c r="N152" t="s">
        <v>202</v>
      </c>
      <c r="O152" t="s">
        <v>155</v>
      </c>
      <c r="P152">
        <v>5.1739771684297248E-2</v>
      </c>
      <c r="Q152" t="s">
        <v>154</v>
      </c>
      <c r="S152" t="s">
        <v>233</v>
      </c>
      <c r="T152" t="s">
        <v>155</v>
      </c>
      <c r="U152">
        <v>3.4744234391546225E-2</v>
      </c>
      <c r="V152" t="s">
        <v>154</v>
      </c>
    </row>
    <row r="153" spans="9:22" x14ac:dyDescent="0.25">
      <c r="I153" t="s">
        <v>172</v>
      </c>
      <c r="J153" t="s">
        <v>156</v>
      </c>
      <c r="K153">
        <v>6.4486157653367449E-3</v>
      </c>
      <c r="L153" t="s">
        <v>154</v>
      </c>
      <c r="N153" t="s">
        <v>202</v>
      </c>
      <c r="O153" t="s">
        <v>156</v>
      </c>
      <c r="P153">
        <v>6.4851806300939407E-3</v>
      </c>
      <c r="Q153" t="s">
        <v>154</v>
      </c>
      <c r="S153" t="s">
        <v>233</v>
      </c>
      <c r="T153" t="s">
        <v>156</v>
      </c>
      <c r="U153">
        <v>5.4360307381382394E-3</v>
      </c>
      <c r="V153" t="s">
        <v>154</v>
      </c>
    </row>
    <row r="154" spans="9:22" x14ac:dyDescent="0.25">
      <c r="I154" t="s">
        <v>172</v>
      </c>
      <c r="J154" t="s">
        <v>283</v>
      </c>
      <c r="K154">
        <v>1.5816150155290507E-3</v>
      </c>
      <c r="L154" t="s">
        <v>154</v>
      </c>
      <c r="N154" t="s">
        <v>202</v>
      </c>
      <c r="O154" t="s">
        <v>283</v>
      </c>
      <c r="P154">
        <v>6.0411002452035439E-3</v>
      </c>
      <c r="Q154" t="s">
        <v>154</v>
      </c>
      <c r="S154" t="s">
        <v>233</v>
      </c>
      <c r="T154" t="s">
        <v>283</v>
      </c>
      <c r="U154">
        <v>5.8574682266923448E-3</v>
      </c>
      <c r="V154" t="s">
        <v>154</v>
      </c>
    </row>
    <row r="155" spans="9:22" x14ac:dyDescent="0.25">
      <c r="I155" t="s">
        <v>172</v>
      </c>
      <c r="J155" t="s">
        <v>284</v>
      </c>
      <c r="K155">
        <v>0</v>
      </c>
      <c r="L155" t="s">
        <v>154</v>
      </c>
      <c r="N155" t="s">
        <v>202</v>
      </c>
      <c r="O155" t="s">
        <v>284</v>
      </c>
      <c r="P155">
        <v>2.4596900346751095E-2</v>
      </c>
      <c r="Q155" t="s">
        <v>154</v>
      </c>
      <c r="S155" t="s">
        <v>233</v>
      </c>
      <c r="T155" t="s">
        <v>284</v>
      </c>
      <c r="U155">
        <v>2.8746117765716898E-2</v>
      </c>
      <c r="V155" t="s">
        <v>154</v>
      </c>
    </row>
    <row r="156" spans="9:22" x14ac:dyDescent="0.25">
      <c r="I156" t="s">
        <v>172</v>
      </c>
      <c r="J156" t="s">
        <v>157</v>
      </c>
      <c r="K156">
        <v>6.0615295621230122E-2</v>
      </c>
      <c r="L156" t="s">
        <v>154</v>
      </c>
      <c r="N156" t="s">
        <v>202</v>
      </c>
      <c r="O156" t="s">
        <v>157</v>
      </c>
      <c r="P156">
        <v>0.20717873180098009</v>
      </c>
      <c r="Q156" t="s">
        <v>154</v>
      </c>
      <c r="S156" t="s">
        <v>233</v>
      </c>
      <c r="T156" t="s">
        <v>157</v>
      </c>
      <c r="U156">
        <v>0.2578615569301112</v>
      </c>
      <c r="V156" t="s">
        <v>154</v>
      </c>
    </row>
    <row r="157" spans="9:22" x14ac:dyDescent="0.25">
      <c r="I157" t="s">
        <v>172</v>
      </c>
      <c r="J157" t="s">
        <v>158</v>
      </c>
      <c r="K157">
        <v>0.59872189904025142</v>
      </c>
      <c r="L157" t="s">
        <v>154</v>
      </c>
      <c r="N157" t="s">
        <v>202</v>
      </c>
      <c r="O157" t="s">
        <v>158</v>
      </c>
      <c r="P157">
        <v>0.2685864683601637</v>
      </c>
      <c r="Q157" t="s">
        <v>154</v>
      </c>
      <c r="S157" t="s">
        <v>233</v>
      </c>
      <c r="T157" t="s">
        <v>158</v>
      </c>
      <c r="U157">
        <v>0.22172465128931876</v>
      </c>
      <c r="V157" t="s">
        <v>154</v>
      </c>
    </row>
    <row r="158" spans="9:22" x14ac:dyDescent="0.25">
      <c r="I158" t="s">
        <v>172</v>
      </c>
      <c r="J158" t="s">
        <v>159</v>
      </c>
      <c r="K158">
        <v>5.3889697648336045E-2</v>
      </c>
      <c r="L158" t="s">
        <v>154</v>
      </c>
      <c r="N158" t="s">
        <v>202</v>
      </c>
      <c r="O158" t="s">
        <v>159</v>
      </c>
      <c r="P158">
        <v>3.3901328406854538E-2</v>
      </c>
      <c r="Q158" t="s">
        <v>154</v>
      </c>
      <c r="S158" t="s">
        <v>233</v>
      </c>
      <c r="T158" t="s">
        <v>159</v>
      </c>
      <c r="U158">
        <v>2.9818170732703677E-2</v>
      </c>
      <c r="V158" t="s">
        <v>154</v>
      </c>
    </row>
    <row r="159" spans="9:22" x14ac:dyDescent="0.25">
      <c r="I159" t="s">
        <v>172</v>
      </c>
      <c r="J159" t="s">
        <v>285</v>
      </c>
      <c r="K159">
        <v>3.4124483374665525E-2</v>
      </c>
      <c r="L159" t="s">
        <v>154</v>
      </c>
      <c r="N159" t="s">
        <v>202</v>
      </c>
      <c r="O159" t="s">
        <v>285</v>
      </c>
      <c r="P159">
        <v>3.2076847110198647E-2</v>
      </c>
      <c r="Q159" t="s">
        <v>154</v>
      </c>
      <c r="S159" t="s">
        <v>233</v>
      </c>
      <c r="T159" t="s">
        <v>285</v>
      </c>
      <c r="U159">
        <v>3.0171955179990256E-2</v>
      </c>
      <c r="V159" t="s">
        <v>154</v>
      </c>
    </row>
    <row r="160" spans="9:22" x14ac:dyDescent="0.25">
      <c r="I160" t="s">
        <v>172</v>
      </c>
      <c r="J160" t="s">
        <v>286</v>
      </c>
      <c r="K160">
        <v>1.0117164834489049E-2</v>
      </c>
      <c r="L160" t="s">
        <v>154</v>
      </c>
      <c r="N160" t="s">
        <v>202</v>
      </c>
      <c r="O160" t="s">
        <v>286</v>
      </c>
      <c r="P160">
        <v>0.11496926202638312</v>
      </c>
      <c r="Q160" t="s">
        <v>154</v>
      </c>
      <c r="S160" t="s">
        <v>233</v>
      </c>
      <c r="T160" t="s">
        <v>286</v>
      </c>
      <c r="U160">
        <v>0.13786632957023109</v>
      </c>
      <c r="V160" t="s">
        <v>154</v>
      </c>
    </row>
    <row r="161" spans="9:22" x14ac:dyDescent="0.25">
      <c r="I161" t="s">
        <v>172</v>
      </c>
      <c r="J161" t="s">
        <v>160</v>
      </c>
      <c r="K161">
        <v>3.8892806658470465E-3</v>
      </c>
      <c r="L161" t="s">
        <v>154</v>
      </c>
      <c r="N161" t="s">
        <v>202</v>
      </c>
      <c r="O161" t="s">
        <v>160</v>
      </c>
      <c r="P161">
        <v>1.488645842404426E-2</v>
      </c>
      <c r="Q161" t="s">
        <v>154</v>
      </c>
      <c r="S161" t="s">
        <v>233</v>
      </c>
      <c r="T161" t="s">
        <v>160</v>
      </c>
      <c r="U161">
        <v>2.4569540070691332E-2</v>
      </c>
      <c r="V161" t="s">
        <v>154</v>
      </c>
    </row>
    <row r="162" spans="9:22" x14ac:dyDescent="0.25">
      <c r="I162" t="s">
        <v>172</v>
      </c>
      <c r="J162" t="s">
        <v>161</v>
      </c>
      <c r="K162">
        <v>6.4625464721226905E-2</v>
      </c>
      <c r="L162" t="s">
        <v>154</v>
      </c>
      <c r="N162" t="s">
        <v>202</v>
      </c>
      <c r="O162" t="s">
        <v>161</v>
      </c>
      <c r="P162">
        <v>2.1042349057202901E-2</v>
      </c>
      <c r="Q162" t="s">
        <v>154</v>
      </c>
      <c r="S162" t="s">
        <v>233</v>
      </c>
      <c r="T162" t="s">
        <v>161</v>
      </c>
      <c r="U162">
        <v>1.9697414793319615E-2</v>
      </c>
      <c r="V162" t="s">
        <v>154</v>
      </c>
    </row>
    <row r="163" spans="9:22" x14ac:dyDescent="0.25">
      <c r="I163" t="s">
        <v>172</v>
      </c>
      <c r="J163" t="s">
        <v>162</v>
      </c>
      <c r="K163">
        <v>3.9469755862564905E-3</v>
      </c>
      <c r="L163" t="s">
        <v>154</v>
      </c>
      <c r="N163" t="s">
        <v>202</v>
      </c>
      <c r="O163" t="s">
        <v>162</v>
      </c>
      <c r="P163">
        <v>2.4819539424727707E-3</v>
      </c>
      <c r="Q163" t="s">
        <v>154</v>
      </c>
      <c r="S163" t="s">
        <v>233</v>
      </c>
      <c r="T163" t="s">
        <v>162</v>
      </c>
      <c r="U163">
        <v>2.8108580901172256E-3</v>
      </c>
      <c r="V163" t="s">
        <v>154</v>
      </c>
    </row>
    <row r="164" spans="9:22" x14ac:dyDescent="0.25">
      <c r="I164" t="s">
        <v>172</v>
      </c>
      <c r="J164" t="s">
        <v>287</v>
      </c>
      <c r="K164">
        <v>0</v>
      </c>
      <c r="L164" t="s">
        <v>154</v>
      </c>
      <c r="N164" t="s">
        <v>202</v>
      </c>
      <c r="O164" t="s">
        <v>287</v>
      </c>
      <c r="P164">
        <v>2.266339935374154E-3</v>
      </c>
      <c r="Q164" t="s">
        <v>154</v>
      </c>
      <c r="S164" t="s">
        <v>233</v>
      </c>
      <c r="T164" t="s">
        <v>287</v>
      </c>
      <c r="U164">
        <v>2.8187578741789786E-3</v>
      </c>
      <c r="V164" t="s">
        <v>154</v>
      </c>
    </row>
    <row r="165" spans="9:22" x14ac:dyDescent="0.25">
      <c r="I165" t="s">
        <v>172</v>
      </c>
      <c r="J165" t="s">
        <v>288</v>
      </c>
      <c r="K165">
        <v>0</v>
      </c>
      <c r="L165" t="s">
        <v>154</v>
      </c>
      <c r="N165" t="s">
        <v>202</v>
      </c>
      <c r="O165" t="s">
        <v>288</v>
      </c>
      <c r="P165">
        <v>8.1424775371824291E-3</v>
      </c>
      <c r="Q165" t="s">
        <v>154</v>
      </c>
      <c r="S165" t="s">
        <v>233</v>
      </c>
      <c r="T165" t="s">
        <v>288</v>
      </c>
      <c r="U165">
        <v>1.3671397383200118E-2</v>
      </c>
      <c r="V165" t="s">
        <v>154</v>
      </c>
    </row>
    <row r="166" spans="9:22" x14ac:dyDescent="0.25">
      <c r="I166" t="s">
        <v>172</v>
      </c>
      <c r="J166" t="s">
        <v>163</v>
      </c>
      <c r="K166">
        <v>4.2483890954961769E-3</v>
      </c>
      <c r="L166" t="s">
        <v>154</v>
      </c>
      <c r="N166" t="s">
        <v>202</v>
      </c>
      <c r="O166" t="s">
        <v>163</v>
      </c>
      <c r="P166">
        <v>5.0797202816863556E-2</v>
      </c>
      <c r="Q166" t="s">
        <v>154</v>
      </c>
      <c r="S166" t="s">
        <v>233</v>
      </c>
      <c r="T166" t="s">
        <v>163</v>
      </c>
      <c r="U166">
        <v>4.9300329962686622E-2</v>
      </c>
      <c r="V166" t="s">
        <v>154</v>
      </c>
    </row>
    <row r="167" spans="9:22" x14ac:dyDescent="0.25">
      <c r="I167" t="s">
        <v>172</v>
      </c>
      <c r="J167" t="s">
        <v>164</v>
      </c>
      <c r="K167">
        <v>7.5691865081314369E-2</v>
      </c>
      <c r="L167" t="s">
        <v>154</v>
      </c>
      <c r="N167" t="s">
        <v>202</v>
      </c>
      <c r="O167" t="s">
        <v>164</v>
      </c>
      <c r="P167">
        <v>6.4267265616177391E-2</v>
      </c>
      <c r="Q167" t="s">
        <v>154</v>
      </c>
      <c r="S167" t="s">
        <v>233</v>
      </c>
      <c r="T167" t="s">
        <v>164</v>
      </c>
      <c r="U167">
        <v>4.5963576303053331E-2</v>
      </c>
      <c r="V167" t="s">
        <v>154</v>
      </c>
    </row>
    <row r="168" spans="9:22" x14ac:dyDescent="0.25">
      <c r="I168" t="s">
        <v>172</v>
      </c>
      <c r="J168" t="s">
        <v>165</v>
      </c>
      <c r="K168">
        <v>4.8149674894763326E-3</v>
      </c>
      <c r="L168" t="s">
        <v>154</v>
      </c>
      <c r="N168" t="s">
        <v>202</v>
      </c>
      <c r="O168" t="s">
        <v>165</v>
      </c>
      <c r="P168">
        <v>7.3670922965125086E-3</v>
      </c>
      <c r="Q168" t="s">
        <v>154</v>
      </c>
      <c r="S168" t="s">
        <v>233</v>
      </c>
      <c r="T168" t="s">
        <v>165</v>
      </c>
      <c r="U168">
        <v>6.0843383506363983E-3</v>
      </c>
      <c r="V168" t="s">
        <v>154</v>
      </c>
    </row>
    <row r="169" spans="9:22" x14ac:dyDescent="0.25">
      <c r="I169" t="s">
        <v>172</v>
      </c>
      <c r="J169" t="s">
        <v>289</v>
      </c>
      <c r="K169">
        <v>0</v>
      </c>
      <c r="L169" t="s">
        <v>154</v>
      </c>
      <c r="N169" t="s">
        <v>202</v>
      </c>
      <c r="O169" t="s">
        <v>289</v>
      </c>
      <c r="P169">
        <v>6.8640158667161305E-3</v>
      </c>
      <c r="Q169" t="s">
        <v>154</v>
      </c>
      <c r="S169" t="s">
        <v>233</v>
      </c>
      <c r="T169" t="s">
        <v>289</v>
      </c>
      <c r="U169">
        <v>6.1487525300655344E-3</v>
      </c>
      <c r="V169" t="s">
        <v>154</v>
      </c>
    </row>
    <row r="170" spans="9:22" x14ac:dyDescent="0.25">
      <c r="I170" t="s">
        <v>172</v>
      </c>
      <c r="J170" t="s">
        <v>290</v>
      </c>
      <c r="K170">
        <v>0</v>
      </c>
      <c r="L170" t="s">
        <v>154</v>
      </c>
      <c r="N170" t="s">
        <v>202</v>
      </c>
      <c r="O170" t="s">
        <v>290</v>
      </c>
      <c r="P170">
        <v>2.7973461487970017E-2</v>
      </c>
      <c r="Q170" t="s">
        <v>154</v>
      </c>
      <c r="S170" t="s">
        <v>233</v>
      </c>
      <c r="T170" t="s">
        <v>290</v>
      </c>
      <c r="U170">
        <v>2.7639823213669642E-2</v>
      </c>
      <c r="V170" t="s">
        <v>154</v>
      </c>
    </row>
    <row r="171" spans="9:22" x14ac:dyDescent="0.25">
      <c r="I171" t="s">
        <v>173</v>
      </c>
      <c r="J171" t="s">
        <v>153</v>
      </c>
      <c r="K171">
        <v>3.8531937851714738E-3</v>
      </c>
      <c r="L171" t="s">
        <v>154</v>
      </c>
      <c r="N171" t="s">
        <v>203</v>
      </c>
      <c r="O171" t="s">
        <v>153</v>
      </c>
      <c r="P171">
        <v>4.6967968079976587E-2</v>
      </c>
      <c r="Q171" t="s">
        <v>154</v>
      </c>
      <c r="S171" t="s">
        <v>234</v>
      </c>
      <c r="T171" t="s">
        <v>153</v>
      </c>
      <c r="U171">
        <v>5.2159180707831154E-2</v>
      </c>
      <c r="V171" t="s">
        <v>154</v>
      </c>
    </row>
    <row r="172" spans="9:22" x14ac:dyDescent="0.25">
      <c r="I172" t="s">
        <v>173</v>
      </c>
      <c r="J172" t="s">
        <v>155</v>
      </c>
      <c r="K172">
        <v>7.0179024458896677E-2</v>
      </c>
      <c r="L172" t="s">
        <v>154</v>
      </c>
      <c r="N172" t="s">
        <v>203</v>
      </c>
      <c r="O172" t="s">
        <v>155</v>
      </c>
      <c r="P172">
        <v>4.5322499970324337E-2</v>
      </c>
      <c r="Q172" t="s">
        <v>154</v>
      </c>
      <c r="S172" t="s">
        <v>234</v>
      </c>
      <c r="T172" t="s">
        <v>155</v>
      </c>
      <c r="U172">
        <v>3.3178336484449934E-2</v>
      </c>
      <c r="V172" t="s">
        <v>154</v>
      </c>
    </row>
    <row r="173" spans="9:22" x14ac:dyDescent="0.25">
      <c r="I173" t="s">
        <v>173</v>
      </c>
      <c r="J173" t="s">
        <v>156</v>
      </c>
      <c r="K173">
        <v>5.5897479984953263E-3</v>
      </c>
      <c r="L173" t="s">
        <v>154</v>
      </c>
      <c r="N173" t="s">
        <v>203</v>
      </c>
      <c r="O173" t="s">
        <v>156</v>
      </c>
      <c r="P173">
        <v>5.3274073377723892E-3</v>
      </c>
      <c r="Q173" t="s">
        <v>154</v>
      </c>
      <c r="S173" t="s">
        <v>234</v>
      </c>
      <c r="T173" t="s">
        <v>156</v>
      </c>
      <c r="U173">
        <v>4.6519481304354909E-3</v>
      </c>
      <c r="V173" t="s">
        <v>154</v>
      </c>
    </row>
    <row r="174" spans="9:22" x14ac:dyDescent="0.25">
      <c r="I174" t="s">
        <v>173</v>
      </c>
      <c r="J174" t="s">
        <v>283</v>
      </c>
      <c r="K174">
        <v>8.2743568075456585E-4</v>
      </c>
      <c r="L174" t="s">
        <v>154</v>
      </c>
      <c r="N174" t="s">
        <v>203</v>
      </c>
      <c r="O174" t="s">
        <v>283</v>
      </c>
      <c r="P174">
        <v>5.0960318726833015E-3</v>
      </c>
      <c r="Q174" t="s">
        <v>154</v>
      </c>
      <c r="S174" t="s">
        <v>234</v>
      </c>
      <c r="T174" t="s">
        <v>283</v>
      </c>
      <c r="U174">
        <v>4.7962809948776013E-3</v>
      </c>
      <c r="V174" t="s">
        <v>154</v>
      </c>
    </row>
    <row r="175" spans="9:22" x14ac:dyDescent="0.25">
      <c r="I175" t="s">
        <v>173</v>
      </c>
      <c r="J175" t="s">
        <v>284</v>
      </c>
      <c r="K175">
        <v>0</v>
      </c>
      <c r="L175" t="s">
        <v>154</v>
      </c>
      <c r="N175" t="s">
        <v>203</v>
      </c>
      <c r="O175" t="s">
        <v>284</v>
      </c>
      <c r="P175">
        <v>2.5329611683840868E-2</v>
      </c>
      <c r="Q175" t="s">
        <v>154</v>
      </c>
      <c r="S175" t="s">
        <v>234</v>
      </c>
      <c r="T175" t="s">
        <v>284</v>
      </c>
      <c r="U175">
        <v>2.3723153992190941E-2</v>
      </c>
      <c r="V175" t="s">
        <v>154</v>
      </c>
    </row>
    <row r="176" spans="9:22" x14ac:dyDescent="0.25">
      <c r="I176" t="s">
        <v>173</v>
      </c>
      <c r="J176" t="s">
        <v>157</v>
      </c>
      <c r="K176">
        <v>6.792273969641488E-2</v>
      </c>
      <c r="L176" t="s">
        <v>154</v>
      </c>
      <c r="N176" t="s">
        <v>203</v>
      </c>
      <c r="O176" t="s">
        <v>157</v>
      </c>
      <c r="P176">
        <v>0.23101616543279649</v>
      </c>
      <c r="Q176" t="s">
        <v>154</v>
      </c>
      <c r="S176" t="s">
        <v>234</v>
      </c>
      <c r="T176" t="s">
        <v>157</v>
      </c>
      <c r="U176">
        <v>0.27005318831314867</v>
      </c>
      <c r="V176" t="s">
        <v>154</v>
      </c>
    </row>
    <row r="177" spans="9:22" x14ac:dyDescent="0.25">
      <c r="I177" t="s">
        <v>173</v>
      </c>
      <c r="J177" t="s">
        <v>158</v>
      </c>
      <c r="K177">
        <v>0.6098968945515979</v>
      </c>
      <c r="L177" t="s">
        <v>154</v>
      </c>
      <c r="N177" t="s">
        <v>203</v>
      </c>
      <c r="O177" t="s">
        <v>158</v>
      </c>
      <c r="P177">
        <v>0.27755618332346488</v>
      </c>
      <c r="Q177" t="s">
        <v>154</v>
      </c>
      <c r="S177" t="s">
        <v>234</v>
      </c>
      <c r="T177" t="s">
        <v>158</v>
      </c>
      <c r="U177">
        <v>0.22289948888400501</v>
      </c>
      <c r="V177" t="s">
        <v>154</v>
      </c>
    </row>
    <row r="178" spans="9:22" x14ac:dyDescent="0.25">
      <c r="I178" t="s">
        <v>173</v>
      </c>
      <c r="J178" t="s">
        <v>159</v>
      </c>
      <c r="K178">
        <v>5.3854164053950243E-2</v>
      </c>
      <c r="L178" t="s">
        <v>154</v>
      </c>
      <c r="N178" t="s">
        <v>203</v>
      </c>
      <c r="O178" t="s">
        <v>159</v>
      </c>
      <c r="P178">
        <v>2.7868158085175544E-2</v>
      </c>
      <c r="Q178" t="s">
        <v>154</v>
      </c>
      <c r="S178" t="s">
        <v>234</v>
      </c>
      <c r="T178" t="s">
        <v>159</v>
      </c>
      <c r="U178">
        <v>3.1006079219222629E-2</v>
      </c>
      <c r="V178" t="s">
        <v>154</v>
      </c>
    </row>
    <row r="179" spans="9:22" x14ac:dyDescent="0.25">
      <c r="I179" t="s">
        <v>173</v>
      </c>
      <c r="J179" t="s">
        <v>285</v>
      </c>
      <c r="K179">
        <v>3.4358679279812961E-2</v>
      </c>
      <c r="L179" t="s">
        <v>154</v>
      </c>
      <c r="N179" t="s">
        <v>203</v>
      </c>
      <c r="O179" t="s">
        <v>285</v>
      </c>
      <c r="P179">
        <v>2.4836840186588209E-2</v>
      </c>
      <c r="Q179" t="s">
        <v>154</v>
      </c>
      <c r="S179" t="s">
        <v>234</v>
      </c>
      <c r="T179" t="s">
        <v>285</v>
      </c>
      <c r="U179">
        <v>3.1316877572965134E-2</v>
      </c>
      <c r="V179" t="s">
        <v>154</v>
      </c>
    </row>
    <row r="180" spans="9:22" x14ac:dyDescent="0.25">
      <c r="I180" t="s">
        <v>173</v>
      </c>
      <c r="J180" t="s">
        <v>286</v>
      </c>
      <c r="K180">
        <v>1.0205199664800319E-2</v>
      </c>
      <c r="L180" t="s">
        <v>154</v>
      </c>
      <c r="N180" t="s">
        <v>203</v>
      </c>
      <c r="O180" t="s">
        <v>286</v>
      </c>
      <c r="P180">
        <v>0.10402634333852115</v>
      </c>
      <c r="Q180" t="s">
        <v>154</v>
      </c>
      <c r="S180" t="s">
        <v>234</v>
      </c>
      <c r="T180" t="s">
        <v>286</v>
      </c>
      <c r="U180">
        <v>0.13756979833347407</v>
      </c>
      <c r="V180" t="s">
        <v>154</v>
      </c>
    </row>
    <row r="181" spans="9:22" x14ac:dyDescent="0.25">
      <c r="I181" t="s">
        <v>173</v>
      </c>
      <c r="J181" t="s">
        <v>160</v>
      </c>
      <c r="K181">
        <v>3.9225173228208685E-3</v>
      </c>
      <c r="L181" t="s">
        <v>154</v>
      </c>
      <c r="N181" t="s">
        <v>203</v>
      </c>
      <c r="O181" t="s">
        <v>160</v>
      </c>
      <c r="P181">
        <v>2.356281657533894E-2</v>
      </c>
      <c r="Q181" t="s">
        <v>154</v>
      </c>
      <c r="S181" t="s">
        <v>234</v>
      </c>
      <c r="T181" t="s">
        <v>160</v>
      </c>
      <c r="U181">
        <v>2.4535998193441131E-2</v>
      </c>
      <c r="V181" t="s">
        <v>154</v>
      </c>
    </row>
    <row r="182" spans="9:22" x14ac:dyDescent="0.25">
      <c r="I182" t="s">
        <v>173</v>
      </c>
      <c r="J182" t="s">
        <v>161</v>
      </c>
      <c r="K182">
        <v>5.9623475278956409E-2</v>
      </c>
      <c r="L182" t="s">
        <v>154</v>
      </c>
      <c r="N182" t="s">
        <v>203</v>
      </c>
      <c r="O182" t="s">
        <v>161</v>
      </c>
      <c r="P182">
        <v>2.2947183378184074E-2</v>
      </c>
      <c r="Q182" t="s">
        <v>154</v>
      </c>
      <c r="S182" t="s">
        <v>234</v>
      </c>
      <c r="T182" t="s">
        <v>161</v>
      </c>
      <c r="U182">
        <v>1.7578682020574415E-2</v>
      </c>
      <c r="V182" t="s">
        <v>154</v>
      </c>
    </row>
    <row r="183" spans="9:22" x14ac:dyDescent="0.25">
      <c r="I183" t="s">
        <v>173</v>
      </c>
      <c r="J183" t="s">
        <v>162</v>
      </c>
      <c r="K183">
        <v>3.5949613993489326E-3</v>
      </c>
      <c r="L183" t="s">
        <v>154</v>
      </c>
      <c r="N183" t="s">
        <v>203</v>
      </c>
      <c r="O183" t="s">
        <v>162</v>
      </c>
      <c r="P183">
        <v>2.4090225123867145E-3</v>
      </c>
      <c r="Q183" t="s">
        <v>154</v>
      </c>
      <c r="S183" t="s">
        <v>234</v>
      </c>
      <c r="T183" t="s">
        <v>162</v>
      </c>
      <c r="U183">
        <v>2.527362540577839E-3</v>
      </c>
      <c r="V183" t="s">
        <v>154</v>
      </c>
    </row>
    <row r="184" spans="9:22" x14ac:dyDescent="0.25">
      <c r="I184" t="s">
        <v>173</v>
      </c>
      <c r="J184" t="s">
        <v>287</v>
      </c>
      <c r="K184">
        <v>0</v>
      </c>
      <c r="L184" t="s">
        <v>154</v>
      </c>
      <c r="N184" t="s">
        <v>203</v>
      </c>
      <c r="O184" t="s">
        <v>287</v>
      </c>
      <c r="P184">
        <v>2.209991908291993E-3</v>
      </c>
      <c r="Q184" t="s">
        <v>154</v>
      </c>
      <c r="S184" t="s">
        <v>234</v>
      </c>
      <c r="T184" t="s">
        <v>287</v>
      </c>
      <c r="U184">
        <v>2.5738745543715633E-3</v>
      </c>
      <c r="V184" t="s">
        <v>154</v>
      </c>
    </row>
    <row r="185" spans="9:22" x14ac:dyDescent="0.25">
      <c r="I185" t="s">
        <v>173</v>
      </c>
      <c r="J185" t="s">
        <v>288</v>
      </c>
      <c r="K185">
        <v>0</v>
      </c>
      <c r="L185" t="s">
        <v>154</v>
      </c>
      <c r="N185" t="s">
        <v>203</v>
      </c>
      <c r="O185" t="s">
        <v>288</v>
      </c>
      <c r="P185">
        <v>1.2315167687637714E-2</v>
      </c>
      <c r="Q185" t="s">
        <v>154</v>
      </c>
      <c r="S185" t="s">
        <v>234</v>
      </c>
      <c r="T185" t="s">
        <v>288</v>
      </c>
      <c r="U185">
        <v>1.1926562057713395E-2</v>
      </c>
      <c r="V185" t="s">
        <v>154</v>
      </c>
    </row>
    <row r="186" spans="9:22" x14ac:dyDescent="0.25">
      <c r="I186" t="s">
        <v>173</v>
      </c>
      <c r="J186" t="s">
        <v>163</v>
      </c>
      <c r="K186">
        <v>3.8435760563625531E-3</v>
      </c>
      <c r="L186" t="s">
        <v>154</v>
      </c>
      <c r="N186" t="s">
        <v>203</v>
      </c>
      <c r="O186" t="s">
        <v>163</v>
      </c>
      <c r="P186">
        <v>4.849867558277509E-2</v>
      </c>
      <c r="Q186" t="s">
        <v>154</v>
      </c>
      <c r="S186" t="s">
        <v>234</v>
      </c>
      <c r="T186" t="s">
        <v>163</v>
      </c>
      <c r="U186">
        <v>4.767090395467477E-2</v>
      </c>
      <c r="V186" t="s">
        <v>154</v>
      </c>
    </row>
    <row r="187" spans="9:22" x14ac:dyDescent="0.25">
      <c r="I187" t="s">
        <v>173</v>
      </c>
      <c r="J187" t="s">
        <v>164</v>
      </c>
      <c r="K187">
        <v>6.824918990561446E-2</v>
      </c>
      <c r="L187" t="s">
        <v>154</v>
      </c>
      <c r="N187" t="s">
        <v>203</v>
      </c>
      <c r="O187" t="s">
        <v>164</v>
      </c>
      <c r="P187">
        <v>5.5706892548835221E-2</v>
      </c>
      <c r="Q187" t="s">
        <v>154</v>
      </c>
      <c r="S187" t="s">
        <v>234</v>
      </c>
      <c r="T187" t="s">
        <v>164</v>
      </c>
      <c r="U187">
        <v>4.1825677585182915E-2</v>
      </c>
      <c r="V187" t="s">
        <v>154</v>
      </c>
    </row>
    <row r="188" spans="9:22" x14ac:dyDescent="0.25">
      <c r="I188" t="s">
        <v>173</v>
      </c>
      <c r="J188" t="s">
        <v>165</v>
      </c>
      <c r="K188">
        <v>4.079200866999649E-3</v>
      </c>
      <c r="L188" t="s">
        <v>154</v>
      </c>
      <c r="N188" t="s">
        <v>203</v>
      </c>
      <c r="O188" t="s">
        <v>165</v>
      </c>
      <c r="P188">
        <v>6.7298736301107205E-3</v>
      </c>
      <c r="Q188" t="s">
        <v>154</v>
      </c>
      <c r="S188" t="s">
        <v>234</v>
      </c>
      <c r="T188" t="s">
        <v>165</v>
      </c>
      <c r="U188">
        <v>5.8278882884725252E-3</v>
      </c>
      <c r="V188" t="s">
        <v>154</v>
      </c>
    </row>
    <row r="189" spans="9:22" x14ac:dyDescent="0.25">
      <c r="I189" t="s">
        <v>173</v>
      </c>
      <c r="J189" t="s">
        <v>289</v>
      </c>
      <c r="K189">
        <v>0</v>
      </c>
      <c r="L189" t="s">
        <v>154</v>
      </c>
      <c r="N189" t="s">
        <v>203</v>
      </c>
      <c r="O189" t="s">
        <v>289</v>
      </c>
      <c r="P189">
        <v>6.2025959314718554E-3</v>
      </c>
      <c r="Q189" t="s">
        <v>154</v>
      </c>
      <c r="S189" t="s">
        <v>234</v>
      </c>
      <c r="T189" t="s">
        <v>289</v>
      </c>
      <c r="U189">
        <v>5.9593411385169236E-3</v>
      </c>
      <c r="V189" t="s">
        <v>154</v>
      </c>
    </row>
    <row r="190" spans="9:22" x14ac:dyDescent="0.25">
      <c r="I190" t="s">
        <v>173</v>
      </c>
      <c r="J190" t="s">
        <v>290</v>
      </c>
      <c r="K190">
        <v>0</v>
      </c>
      <c r="L190" t="s">
        <v>154</v>
      </c>
      <c r="N190" t="s">
        <v>203</v>
      </c>
      <c r="O190" t="s">
        <v>290</v>
      </c>
      <c r="P190">
        <v>2.6070570933826122E-2</v>
      </c>
      <c r="Q190" t="s">
        <v>154</v>
      </c>
      <c r="S190" t="s">
        <v>234</v>
      </c>
      <c r="T190" t="s">
        <v>290</v>
      </c>
      <c r="U190">
        <v>2.821937703387116E-2</v>
      </c>
      <c r="V190" t="s">
        <v>154</v>
      </c>
    </row>
    <row r="191" spans="9:22" x14ac:dyDescent="0.25">
      <c r="I191" t="s">
        <v>174</v>
      </c>
      <c r="J191" t="s">
        <v>153</v>
      </c>
      <c r="K191">
        <v>3.5222664412896012E-3</v>
      </c>
      <c r="L191" t="s">
        <v>154</v>
      </c>
      <c r="N191" t="s">
        <v>204</v>
      </c>
      <c r="O191" t="s">
        <v>153</v>
      </c>
      <c r="P191">
        <v>5.0451107036797879E-2</v>
      </c>
      <c r="Q191" t="s">
        <v>154</v>
      </c>
      <c r="S191" t="s">
        <v>235</v>
      </c>
      <c r="T191" t="s">
        <v>153</v>
      </c>
      <c r="U191">
        <v>3.9104501351390548E-2</v>
      </c>
      <c r="V191" t="s">
        <v>154</v>
      </c>
    </row>
    <row r="192" spans="9:22" x14ac:dyDescent="0.25">
      <c r="I192" t="s">
        <v>174</v>
      </c>
      <c r="J192" t="s">
        <v>155</v>
      </c>
      <c r="K192">
        <v>6.4891820606206366E-2</v>
      </c>
      <c r="L192" t="s">
        <v>154</v>
      </c>
      <c r="N192" t="s">
        <v>204</v>
      </c>
      <c r="O192" t="s">
        <v>155</v>
      </c>
      <c r="P192">
        <v>3.9982529311449633E-2</v>
      </c>
      <c r="Q192" t="s">
        <v>154</v>
      </c>
      <c r="S192" t="s">
        <v>235</v>
      </c>
      <c r="T192" t="s">
        <v>155</v>
      </c>
      <c r="U192">
        <v>2.780334805201648E-2</v>
      </c>
      <c r="V192" t="s">
        <v>154</v>
      </c>
    </row>
    <row r="193" spans="9:22" x14ac:dyDescent="0.25">
      <c r="I193" t="s">
        <v>174</v>
      </c>
      <c r="J193" t="s">
        <v>156</v>
      </c>
      <c r="K193">
        <v>4.7050969240484001E-3</v>
      </c>
      <c r="L193" t="s">
        <v>154</v>
      </c>
      <c r="N193" t="s">
        <v>204</v>
      </c>
      <c r="O193" t="s">
        <v>156</v>
      </c>
      <c r="P193">
        <v>5.6036739752182317E-3</v>
      </c>
      <c r="Q193" t="s">
        <v>154</v>
      </c>
      <c r="S193" t="s">
        <v>235</v>
      </c>
      <c r="T193" t="s">
        <v>156</v>
      </c>
      <c r="U193">
        <v>3.9484805644410701E-3</v>
      </c>
      <c r="V193" t="s">
        <v>154</v>
      </c>
    </row>
    <row r="194" spans="9:22" x14ac:dyDescent="0.25">
      <c r="I194" t="s">
        <v>174</v>
      </c>
      <c r="J194" t="s">
        <v>283</v>
      </c>
      <c r="K194">
        <v>3.5100975520098378E-4</v>
      </c>
      <c r="L194" t="s">
        <v>154</v>
      </c>
      <c r="N194" t="s">
        <v>204</v>
      </c>
      <c r="O194" t="s">
        <v>283</v>
      </c>
      <c r="P194">
        <v>5.7048198749155366E-3</v>
      </c>
      <c r="Q194" t="s">
        <v>154</v>
      </c>
      <c r="S194" t="s">
        <v>235</v>
      </c>
      <c r="T194" t="s">
        <v>283</v>
      </c>
      <c r="U194">
        <v>4.0902712486531228E-3</v>
      </c>
      <c r="V194" t="s">
        <v>154</v>
      </c>
    </row>
    <row r="195" spans="9:22" x14ac:dyDescent="0.25">
      <c r="I195" t="s">
        <v>174</v>
      </c>
      <c r="J195" t="s">
        <v>284</v>
      </c>
      <c r="K195">
        <v>0</v>
      </c>
      <c r="L195" t="s">
        <v>154</v>
      </c>
      <c r="N195" t="s">
        <v>204</v>
      </c>
      <c r="O195" t="s">
        <v>284</v>
      </c>
      <c r="P195">
        <v>2.687857599749641E-2</v>
      </c>
      <c r="Q195" t="s">
        <v>154</v>
      </c>
      <c r="S195" t="s">
        <v>235</v>
      </c>
      <c r="T195" t="s">
        <v>284</v>
      </c>
      <c r="U195">
        <v>2.1128437754079306E-2</v>
      </c>
      <c r="V195" t="s">
        <v>154</v>
      </c>
    </row>
    <row r="196" spans="9:22" x14ac:dyDescent="0.25">
      <c r="I196" t="s">
        <v>174</v>
      </c>
      <c r="J196" t="s">
        <v>157</v>
      </c>
      <c r="K196">
        <v>7.4430785548724829E-2</v>
      </c>
      <c r="L196" t="s">
        <v>154</v>
      </c>
      <c r="N196" t="s">
        <v>204</v>
      </c>
      <c r="O196" t="s">
        <v>157</v>
      </c>
      <c r="P196">
        <v>0.23746161300723542</v>
      </c>
      <c r="Q196" t="s">
        <v>154</v>
      </c>
      <c r="S196" t="s">
        <v>235</v>
      </c>
      <c r="T196" t="s">
        <v>157</v>
      </c>
      <c r="U196">
        <v>0.28361237230418712</v>
      </c>
      <c r="V196" t="s">
        <v>154</v>
      </c>
    </row>
    <row r="197" spans="9:22" x14ac:dyDescent="0.25">
      <c r="I197" t="s">
        <v>174</v>
      </c>
      <c r="J197" t="s">
        <v>158</v>
      </c>
      <c r="K197">
        <v>0.61875697713955025</v>
      </c>
      <c r="L197" t="s">
        <v>154</v>
      </c>
      <c r="N197" t="s">
        <v>204</v>
      </c>
      <c r="O197" t="s">
        <v>158</v>
      </c>
      <c r="P197">
        <v>0.22271506143547781</v>
      </c>
      <c r="Q197" t="s">
        <v>154</v>
      </c>
      <c r="S197" t="s">
        <v>235</v>
      </c>
      <c r="T197" t="s">
        <v>158</v>
      </c>
      <c r="U197">
        <v>0.2405419798661011</v>
      </c>
      <c r="V197" t="s">
        <v>154</v>
      </c>
    </row>
    <row r="198" spans="9:22" x14ac:dyDescent="0.25">
      <c r="I198" t="s">
        <v>174</v>
      </c>
      <c r="J198" t="s">
        <v>159</v>
      </c>
      <c r="K198">
        <v>5.4472864284940227E-2</v>
      </c>
      <c r="L198" t="s">
        <v>154</v>
      </c>
      <c r="N198" t="s">
        <v>204</v>
      </c>
      <c r="O198" t="s">
        <v>159</v>
      </c>
      <c r="P198">
        <v>3.0923365723165765E-2</v>
      </c>
      <c r="Q198" t="s">
        <v>154</v>
      </c>
      <c r="S198" t="s">
        <v>235</v>
      </c>
      <c r="T198" t="s">
        <v>159</v>
      </c>
      <c r="U198">
        <v>3.2764129218204707E-2</v>
      </c>
      <c r="V198" t="s">
        <v>154</v>
      </c>
    </row>
    <row r="199" spans="9:22" x14ac:dyDescent="0.25">
      <c r="I199" t="s">
        <v>174</v>
      </c>
      <c r="J199" t="s">
        <v>285</v>
      </c>
      <c r="K199">
        <v>3.5067898306805331E-2</v>
      </c>
      <c r="L199" t="s">
        <v>154</v>
      </c>
      <c r="N199" t="s">
        <v>204</v>
      </c>
      <c r="O199" t="s">
        <v>285</v>
      </c>
      <c r="P199">
        <v>3.1332455023520271E-2</v>
      </c>
      <c r="Q199" t="s">
        <v>154</v>
      </c>
      <c r="S199" t="s">
        <v>235</v>
      </c>
      <c r="T199" t="s">
        <v>285</v>
      </c>
      <c r="U199">
        <v>3.2947314492926989E-2</v>
      </c>
      <c r="V199" t="s">
        <v>154</v>
      </c>
    </row>
    <row r="200" spans="9:22" x14ac:dyDescent="0.25">
      <c r="I200" t="s">
        <v>174</v>
      </c>
      <c r="J200" t="s">
        <v>286</v>
      </c>
      <c r="K200">
        <v>1.0745096877091987E-2</v>
      </c>
      <c r="L200" t="s">
        <v>154</v>
      </c>
      <c r="N200" t="s">
        <v>204</v>
      </c>
      <c r="O200" t="s">
        <v>286</v>
      </c>
      <c r="P200">
        <v>0.13395137044204361</v>
      </c>
      <c r="Q200" t="s">
        <v>154</v>
      </c>
      <c r="S200" t="s">
        <v>235</v>
      </c>
      <c r="T200" t="s">
        <v>286</v>
      </c>
      <c r="U200">
        <v>0.15694187638138227</v>
      </c>
      <c r="V200" t="s">
        <v>154</v>
      </c>
    </row>
    <row r="201" spans="9:22" x14ac:dyDescent="0.25">
      <c r="I201" t="s">
        <v>174</v>
      </c>
      <c r="J201" t="s">
        <v>160</v>
      </c>
      <c r="K201">
        <v>4.0594542166270424E-3</v>
      </c>
      <c r="L201" t="s">
        <v>154</v>
      </c>
      <c r="N201" t="s">
        <v>204</v>
      </c>
      <c r="O201" t="s">
        <v>160</v>
      </c>
      <c r="P201">
        <v>2.3821207946618388E-2</v>
      </c>
      <c r="Q201" t="s">
        <v>154</v>
      </c>
      <c r="S201" t="s">
        <v>235</v>
      </c>
      <c r="T201" t="s">
        <v>160</v>
      </c>
      <c r="U201">
        <v>1.8329864973389832E-2</v>
      </c>
      <c r="V201" t="s">
        <v>154</v>
      </c>
    </row>
    <row r="202" spans="9:22" x14ac:dyDescent="0.25">
      <c r="I202" t="s">
        <v>174</v>
      </c>
      <c r="J202" t="s">
        <v>161</v>
      </c>
      <c r="K202">
        <v>5.7125563158884007E-2</v>
      </c>
      <c r="L202" t="s">
        <v>154</v>
      </c>
      <c r="N202" t="s">
        <v>204</v>
      </c>
      <c r="O202" t="s">
        <v>161</v>
      </c>
      <c r="P202">
        <v>2.1567552195032789E-2</v>
      </c>
      <c r="Q202" t="s">
        <v>154</v>
      </c>
      <c r="S202" t="s">
        <v>235</v>
      </c>
      <c r="T202" t="s">
        <v>161</v>
      </c>
      <c r="U202">
        <v>1.4691676966943672E-2</v>
      </c>
      <c r="V202" t="s">
        <v>154</v>
      </c>
    </row>
    <row r="203" spans="9:22" x14ac:dyDescent="0.25">
      <c r="I203" t="s">
        <v>174</v>
      </c>
      <c r="J203" t="s">
        <v>162</v>
      </c>
      <c r="K203">
        <v>3.3248744041090212E-3</v>
      </c>
      <c r="L203" t="s">
        <v>154</v>
      </c>
      <c r="N203" t="s">
        <v>204</v>
      </c>
      <c r="O203" t="s">
        <v>162</v>
      </c>
      <c r="P203">
        <v>3.1161435451235722E-3</v>
      </c>
      <c r="Q203" t="s">
        <v>154</v>
      </c>
      <c r="S203" t="s">
        <v>235</v>
      </c>
      <c r="T203" t="s">
        <v>162</v>
      </c>
      <c r="U203">
        <v>1.8187903584420315E-3</v>
      </c>
      <c r="V203" t="s">
        <v>154</v>
      </c>
    </row>
    <row r="204" spans="9:22" x14ac:dyDescent="0.25">
      <c r="I204" t="s">
        <v>174</v>
      </c>
      <c r="J204" t="s">
        <v>287</v>
      </c>
      <c r="K204">
        <v>0</v>
      </c>
      <c r="L204" t="s">
        <v>154</v>
      </c>
      <c r="N204" t="s">
        <v>204</v>
      </c>
      <c r="O204" t="s">
        <v>287</v>
      </c>
      <c r="P204">
        <v>3.1876298814559065E-3</v>
      </c>
      <c r="Q204" t="s">
        <v>154</v>
      </c>
      <c r="S204" t="s">
        <v>235</v>
      </c>
      <c r="T204" t="s">
        <v>287</v>
      </c>
      <c r="U204">
        <v>1.8114120089759722E-3</v>
      </c>
      <c r="V204" t="s">
        <v>154</v>
      </c>
    </row>
    <row r="205" spans="9:22" x14ac:dyDescent="0.25">
      <c r="I205" t="s">
        <v>174</v>
      </c>
      <c r="J205" t="s">
        <v>288</v>
      </c>
      <c r="K205">
        <v>0</v>
      </c>
      <c r="L205" t="s">
        <v>154</v>
      </c>
      <c r="N205" t="s">
        <v>204</v>
      </c>
      <c r="O205" t="s">
        <v>288</v>
      </c>
      <c r="P205">
        <v>1.4080671072973618E-2</v>
      </c>
      <c r="Q205" t="s">
        <v>154</v>
      </c>
      <c r="S205" t="s">
        <v>235</v>
      </c>
      <c r="T205" t="s">
        <v>288</v>
      </c>
      <c r="U205">
        <v>9.6227087446453426E-3</v>
      </c>
      <c r="V205" t="s">
        <v>154</v>
      </c>
    </row>
    <row r="206" spans="9:22" x14ac:dyDescent="0.25">
      <c r="I206" t="s">
        <v>174</v>
      </c>
      <c r="J206" t="s">
        <v>163</v>
      </c>
      <c r="K206">
        <v>3.38022856654876E-3</v>
      </c>
      <c r="L206" t="s">
        <v>154</v>
      </c>
      <c r="N206" t="s">
        <v>204</v>
      </c>
      <c r="O206" t="s">
        <v>163</v>
      </c>
      <c r="P206">
        <v>5.1615318417942951E-2</v>
      </c>
      <c r="Q206" t="s">
        <v>154</v>
      </c>
      <c r="S206" t="s">
        <v>235</v>
      </c>
      <c r="T206" t="s">
        <v>163</v>
      </c>
      <c r="U206">
        <v>4.1379182970079399E-2</v>
      </c>
      <c r="V206" t="s">
        <v>154</v>
      </c>
    </row>
    <row r="207" spans="9:22" x14ac:dyDescent="0.25">
      <c r="I207" t="s">
        <v>174</v>
      </c>
      <c r="J207" t="s">
        <v>164</v>
      </c>
      <c r="K207">
        <v>6.1640051474224154E-2</v>
      </c>
      <c r="L207" t="s">
        <v>154</v>
      </c>
      <c r="N207" t="s">
        <v>204</v>
      </c>
      <c r="O207" t="s">
        <v>164</v>
      </c>
      <c r="P207">
        <v>5.4869481282713316E-2</v>
      </c>
      <c r="Q207" t="s">
        <v>154</v>
      </c>
      <c r="S207" t="s">
        <v>235</v>
      </c>
      <c r="T207" t="s">
        <v>164</v>
      </c>
      <c r="U207">
        <v>3.6538940561286856E-2</v>
      </c>
      <c r="V207" t="s">
        <v>154</v>
      </c>
    </row>
    <row r="208" spans="9:22" x14ac:dyDescent="0.25">
      <c r="I208" t="s">
        <v>174</v>
      </c>
      <c r="J208" t="s">
        <v>165</v>
      </c>
      <c r="K208">
        <v>3.5260122957499278E-3</v>
      </c>
      <c r="L208" t="s">
        <v>154</v>
      </c>
      <c r="N208" t="s">
        <v>204</v>
      </c>
      <c r="O208" t="s">
        <v>165</v>
      </c>
      <c r="P208">
        <v>6.8697078462576161E-3</v>
      </c>
      <c r="Q208" t="s">
        <v>154</v>
      </c>
      <c r="S208" t="s">
        <v>235</v>
      </c>
      <c r="T208" t="s">
        <v>165</v>
      </c>
      <c r="U208">
        <v>4.867907647610947E-3</v>
      </c>
      <c r="V208" t="s">
        <v>154</v>
      </c>
    </row>
    <row r="209" spans="9:22" x14ac:dyDescent="0.25">
      <c r="I209" t="s">
        <v>174</v>
      </c>
      <c r="J209" t="s">
        <v>289</v>
      </c>
      <c r="K209">
        <v>0</v>
      </c>
      <c r="L209" t="s">
        <v>154</v>
      </c>
      <c r="N209" t="s">
        <v>204</v>
      </c>
      <c r="O209" t="s">
        <v>289</v>
      </c>
      <c r="P209">
        <v>6.6702702641955602E-3</v>
      </c>
      <c r="Q209" t="s">
        <v>154</v>
      </c>
      <c r="S209" t="s">
        <v>235</v>
      </c>
      <c r="T209" t="s">
        <v>289</v>
      </c>
      <c r="U209">
        <v>4.9360376991550887E-3</v>
      </c>
      <c r="V209" t="s">
        <v>154</v>
      </c>
    </row>
    <row r="210" spans="9:22" x14ac:dyDescent="0.25">
      <c r="I210" t="s">
        <v>174</v>
      </c>
      <c r="J210" t="s">
        <v>290</v>
      </c>
      <c r="K210">
        <v>0</v>
      </c>
      <c r="L210" t="s">
        <v>154</v>
      </c>
      <c r="N210" t="s">
        <v>204</v>
      </c>
      <c r="O210" t="s">
        <v>290</v>
      </c>
      <c r="P210">
        <v>2.9197445720366144E-2</v>
      </c>
      <c r="Q210" t="s">
        <v>154</v>
      </c>
      <c r="S210" t="s">
        <v>235</v>
      </c>
      <c r="T210" t="s">
        <v>290</v>
      </c>
      <c r="U210">
        <v>2.3120766836090781E-2</v>
      </c>
      <c r="V210" t="s">
        <v>154</v>
      </c>
    </row>
    <row r="211" spans="9:22" x14ac:dyDescent="0.25">
      <c r="I211" t="s">
        <v>175</v>
      </c>
      <c r="J211" t="s">
        <v>153</v>
      </c>
      <c r="K211">
        <v>3.6401915742811908E-3</v>
      </c>
      <c r="L211" t="s">
        <v>154</v>
      </c>
      <c r="N211" t="s">
        <v>205</v>
      </c>
      <c r="O211" t="s">
        <v>153</v>
      </c>
      <c r="P211">
        <v>4.8639660420991084E-2</v>
      </c>
      <c r="Q211" t="s">
        <v>154</v>
      </c>
      <c r="S211" t="s">
        <v>236</v>
      </c>
      <c r="T211" t="s">
        <v>153</v>
      </c>
      <c r="U211">
        <v>4.1102732439658028E-2</v>
      </c>
      <c r="V211" t="s">
        <v>154</v>
      </c>
    </row>
    <row r="212" spans="9:22" x14ac:dyDescent="0.25">
      <c r="I212" t="s">
        <v>175</v>
      </c>
      <c r="J212" t="s">
        <v>155</v>
      </c>
      <c r="K212">
        <v>6.2273771868624719E-2</v>
      </c>
      <c r="L212" t="s">
        <v>154</v>
      </c>
      <c r="N212" t="s">
        <v>205</v>
      </c>
      <c r="O212" t="s">
        <v>155</v>
      </c>
      <c r="P212">
        <v>4.6012112687071463E-2</v>
      </c>
      <c r="Q212" t="s">
        <v>154</v>
      </c>
      <c r="S212" t="s">
        <v>236</v>
      </c>
      <c r="T212" t="s">
        <v>155</v>
      </c>
      <c r="U212">
        <v>2.7951407656325547E-2</v>
      </c>
      <c r="V212" t="s">
        <v>154</v>
      </c>
    </row>
    <row r="213" spans="9:22" x14ac:dyDescent="0.25">
      <c r="I213" t="s">
        <v>175</v>
      </c>
      <c r="J213" t="s">
        <v>156</v>
      </c>
      <c r="K213">
        <v>3.9568830023642681E-3</v>
      </c>
      <c r="L213" t="s">
        <v>154</v>
      </c>
      <c r="N213" t="s">
        <v>205</v>
      </c>
      <c r="O213" t="s">
        <v>156</v>
      </c>
      <c r="P213">
        <v>6.0734714632274941E-3</v>
      </c>
      <c r="Q213" t="s">
        <v>154</v>
      </c>
      <c r="S213" t="s">
        <v>236</v>
      </c>
      <c r="T213" t="s">
        <v>156</v>
      </c>
      <c r="U213">
        <v>4.4559358960438748E-3</v>
      </c>
      <c r="V213" t="s">
        <v>154</v>
      </c>
    </row>
    <row r="214" spans="9:22" x14ac:dyDescent="0.25">
      <c r="I214" t="s">
        <v>175</v>
      </c>
      <c r="J214" t="s">
        <v>283</v>
      </c>
      <c r="K214">
        <v>1.1795517753401157E-5</v>
      </c>
      <c r="L214" t="s">
        <v>154</v>
      </c>
      <c r="N214" t="s">
        <v>205</v>
      </c>
      <c r="O214" t="s">
        <v>283</v>
      </c>
      <c r="P214">
        <v>6.0335275628359917E-3</v>
      </c>
      <c r="Q214" t="s">
        <v>154</v>
      </c>
      <c r="S214" t="s">
        <v>236</v>
      </c>
      <c r="T214" t="s">
        <v>283</v>
      </c>
      <c r="U214">
        <v>4.7912140171880134E-3</v>
      </c>
      <c r="V214" t="s">
        <v>154</v>
      </c>
    </row>
    <row r="215" spans="9:22" x14ac:dyDescent="0.25">
      <c r="I215" t="s">
        <v>175</v>
      </c>
      <c r="J215" t="s">
        <v>284</v>
      </c>
      <c r="K215">
        <v>0</v>
      </c>
      <c r="L215" t="s">
        <v>154</v>
      </c>
      <c r="N215" t="s">
        <v>205</v>
      </c>
      <c r="O215" t="s">
        <v>284</v>
      </c>
      <c r="P215">
        <v>2.8073933420642221E-2</v>
      </c>
      <c r="Q215" t="s">
        <v>154</v>
      </c>
      <c r="S215" t="s">
        <v>236</v>
      </c>
      <c r="T215" t="s">
        <v>284</v>
      </c>
      <c r="U215">
        <v>2.3705703279308734E-2</v>
      </c>
      <c r="V215" t="s">
        <v>154</v>
      </c>
    </row>
    <row r="216" spans="9:22" x14ac:dyDescent="0.25">
      <c r="I216" t="s">
        <v>175</v>
      </c>
      <c r="J216" t="s">
        <v>157</v>
      </c>
      <c r="K216">
        <v>7.952316681531986E-2</v>
      </c>
      <c r="L216" t="s">
        <v>154</v>
      </c>
      <c r="N216" t="s">
        <v>205</v>
      </c>
      <c r="O216" t="s">
        <v>157</v>
      </c>
      <c r="P216">
        <v>0.23180613155197111</v>
      </c>
      <c r="Q216" t="s">
        <v>154</v>
      </c>
      <c r="S216" t="s">
        <v>236</v>
      </c>
      <c r="T216" t="s">
        <v>157</v>
      </c>
      <c r="U216">
        <v>0.27129283220540534</v>
      </c>
      <c r="V216" t="s">
        <v>154</v>
      </c>
    </row>
    <row r="217" spans="9:22" x14ac:dyDescent="0.25">
      <c r="I217" t="s">
        <v>175</v>
      </c>
      <c r="J217" t="s">
        <v>158</v>
      </c>
      <c r="K217">
        <v>0.62782322486278941</v>
      </c>
      <c r="L217" t="s">
        <v>154</v>
      </c>
      <c r="N217" t="s">
        <v>205</v>
      </c>
      <c r="O217" t="s">
        <v>158</v>
      </c>
      <c r="P217">
        <v>0.23062614372838766</v>
      </c>
      <c r="Q217" t="s">
        <v>154</v>
      </c>
      <c r="S217" t="s">
        <v>236</v>
      </c>
      <c r="T217" t="s">
        <v>158</v>
      </c>
      <c r="U217">
        <v>0.2242894340793396</v>
      </c>
      <c r="V217" t="s">
        <v>154</v>
      </c>
    </row>
    <row r="218" spans="9:22" x14ac:dyDescent="0.25">
      <c r="I218" t="s">
        <v>175</v>
      </c>
      <c r="J218" t="s">
        <v>159</v>
      </c>
      <c r="K218">
        <v>5.2107733082848003E-2</v>
      </c>
      <c r="L218" t="s">
        <v>154</v>
      </c>
      <c r="N218" t="s">
        <v>205</v>
      </c>
      <c r="O218" t="s">
        <v>159</v>
      </c>
      <c r="P218">
        <v>2.9143303143146795E-2</v>
      </c>
      <c r="Q218" t="s">
        <v>154</v>
      </c>
      <c r="S218" t="s">
        <v>236</v>
      </c>
      <c r="T218" t="s">
        <v>159</v>
      </c>
      <c r="U218">
        <v>3.049204940608085E-2</v>
      </c>
      <c r="V218" t="s">
        <v>154</v>
      </c>
    </row>
    <row r="219" spans="9:22" x14ac:dyDescent="0.25">
      <c r="I219" t="s">
        <v>175</v>
      </c>
      <c r="J219" t="s">
        <v>285</v>
      </c>
      <c r="K219">
        <v>3.2026276783967057E-2</v>
      </c>
      <c r="L219" t="s">
        <v>154</v>
      </c>
      <c r="N219" t="s">
        <v>205</v>
      </c>
      <c r="O219" t="s">
        <v>285</v>
      </c>
      <c r="P219">
        <v>2.851719225108355E-2</v>
      </c>
      <c r="Q219" t="s">
        <v>154</v>
      </c>
      <c r="S219" t="s">
        <v>236</v>
      </c>
      <c r="T219" t="s">
        <v>285</v>
      </c>
      <c r="U219">
        <v>3.0855236195961949E-2</v>
      </c>
      <c r="V219" t="s">
        <v>154</v>
      </c>
    </row>
    <row r="220" spans="9:22" x14ac:dyDescent="0.25">
      <c r="I220" t="s">
        <v>175</v>
      </c>
      <c r="J220" t="s">
        <v>286</v>
      </c>
      <c r="K220">
        <v>9.3055426604914705E-3</v>
      </c>
      <c r="L220" t="s">
        <v>154</v>
      </c>
      <c r="N220" t="s">
        <v>205</v>
      </c>
      <c r="O220" t="s">
        <v>286</v>
      </c>
      <c r="P220">
        <v>0.11924857066812415</v>
      </c>
      <c r="Q220" t="s">
        <v>154</v>
      </c>
      <c r="S220" t="s">
        <v>236</v>
      </c>
      <c r="T220" t="s">
        <v>286</v>
      </c>
      <c r="U220">
        <v>0.14303150418298963</v>
      </c>
      <c r="V220" t="s">
        <v>154</v>
      </c>
    </row>
    <row r="221" spans="9:22" x14ac:dyDescent="0.25">
      <c r="I221" t="s">
        <v>175</v>
      </c>
      <c r="J221" t="s">
        <v>160</v>
      </c>
      <c r="K221">
        <v>4.1293095439720491E-3</v>
      </c>
      <c r="L221" t="s">
        <v>154</v>
      </c>
      <c r="N221" t="s">
        <v>205</v>
      </c>
      <c r="O221" t="s">
        <v>160</v>
      </c>
      <c r="P221">
        <v>2.2296190759830605E-2</v>
      </c>
      <c r="Q221" t="s">
        <v>154</v>
      </c>
      <c r="S221" t="s">
        <v>236</v>
      </c>
      <c r="T221" t="s">
        <v>160</v>
      </c>
      <c r="U221">
        <v>2.2794072367985523E-2</v>
      </c>
      <c r="V221" t="s">
        <v>154</v>
      </c>
    </row>
    <row r="222" spans="9:22" x14ac:dyDescent="0.25">
      <c r="I222" t="s">
        <v>175</v>
      </c>
      <c r="J222" t="s">
        <v>161</v>
      </c>
      <c r="K222">
        <v>5.5780859325912646E-2</v>
      </c>
      <c r="L222" t="s">
        <v>154</v>
      </c>
      <c r="N222" t="s">
        <v>205</v>
      </c>
      <c r="O222" t="s">
        <v>161</v>
      </c>
      <c r="P222">
        <v>2.4504345641477996E-2</v>
      </c>
      <c r="Q222" t="s">
        <v>154</v>
      </c>
      <c r="S222" t="s">
        <v>236</v>
      </c>
      <c r="T222" t="s">
        <v>161</v>
      </c>
      <c r="U222">
        <v>1.9277342498784451E-2</v>
      </c>
      <c r="V222" t="s">
        <v>154</v>
      </c>
    </row>
    <row r="223" spans="9:22" x14ac:dyDescent="0.25">
      <c r="I223" t="s">
        <v>175</v>
      </c>
      <c r="J223" t="s">
        <v>162</v>
      </c>
      <c r="K223">
        <v>3.0239022395448629E-3</v>
      </c>
      <c r="L223" t="s">
        <v>154</v>
      </c>
      <c r="N223" t="s">
        <v>205</v>
      </c>
      <c r="O223" t="s">
        <v>162</v>
      </c>
      <c r="P223">
        <v>3.1605935621835564E-3</v>
      </c>
      <c r="Q223" t="s">
        <v>154</v>
      </c>
      <c r="S223" t="s">
        <v>236</v>
      </c>
      <c r="T223" t="s">
        <v>162</v>
      </c>
      <c r="U223">
        <v>2.5785372861136897E-3</v>
      </c>
      <c r="V223" t="s">
        <v>154</v>
      </c>
    </row>
    <row r="224" spans="9:22" x14ac:dyDescent="0.25">
      <c r="I224" t="s">
        <v>175</v>
      </c>
      <c r="J224" t="s">
        <v>287</v>
      </c>
      <c r="K224">
        <v>0</v>
      </c>
      <c r="L224" t="s">
        <v>154</v>
      </c>
      <c r="N224" t="s">
        <v>205</v>
      </c>
      <c r="O224" t="s">
        <v>287</v>
      </c>
      <c r="P224">
        <v>3.0697966708228158E-3</v>
      </c>
      <c r="Q224" t="s">
        <v>154</v>
      </c>
      <c r="S224" t="s">
        <v>236</v>
      </c>
      <c r="T224" t="s">
        <v>287</v>
      </c>
      <c r="U224">
        <v>2.5583066141045209E-3</v>
      </c>
      <c r="V224" t="s">
        <v>154</v>
      </c>
    </row>
    <row r="225" spans="9:22" x14ac:dyDescent="0.25">
      <c r="I225" t="s">
        <v>175</v>
      </c>
      <c r="J225" t="s">
        <v>288</v>
      </c>
      <c r="K225">
        <v>0</v>
      </c>
      <c r="L225" t="s">
        <v>154</v>
      </c>
      <c r="N225" t="s">
        <v>205</v>
      </c>
      <c r="O225" t="s">
        <v>288</v>
      </c>
      <c r="P225">
        <v>1.3506276234036354E-2</v>
      </c>
      <c r="Q225" t="s">
        <v>154</v>
      </c>
      <c r="S225" t="s">
        <v>236</v>
      </c>
      <c r="T225" t="s">
        <v>288</v>
      </c>
      <c r="U225">
        <v>1.2888631403861008E-2</v>
      </c>
      <c r="V225" t="s">
        <v>154</v>
      </c>
    </row>
    <row r="226" spans="9:22" x14ac:dyDescent="0.25">
      <c r="I226" t="s">
        <v>175</v>
      </c>
      <c r="J226" t="s">
        <v>163</v>
      </c>
      <c r="K226">
        <v>3.3114403391109716E-3</v>
      </c>
      <c r="L226" t="s">
        <v>154</v>
      </c>
      <c r="N226" t="s">
        <v>205</v>
      </c>
      <c r="O226" t="s">
        <v>163</v>
      </c>
      <c r="P226">
        <v>5.3617898349282274E-2</v>
      </c>
      <c r="Q226" t="s">
        <v>154</v>
      </c>
      <c r="S226" t="s">
        <v>236</v>
      </c>
      <c r="T226" t="s">
        <v>163</v>
      </c>
      <c r="U226">
        <v>5.0345963209311569E-2</v>
      </c>
      <c r="V226" t="s">
        <v>154</v>
      </c>
    </row>
    <row r="227" spans="9:22" x14ac:dyDescent="0.25">
      <c r="I227" t="s">
        <v>175</v>
      </c>
      <c r="J227" t="s">
        <v>164</v>
      </c>
      <c r="K227">
        <v>5.9912587615516572E-2</v>
      </c>
      <c r="L227" t="s">
        <v>154</v>
      </c>
      <c r="N227" t="s">
        <v>205</v>
      </c>
      <c r="O227" t="s">
        <v>164</v>
      </c>
      <c r="P227">
        <v>6.0352057223478403E-2</v>
      </c>
      <c r="Q227" t="s">
        <v>154</v>
      </c>
      <c r="S227" t="s">
        <v>236</v>
      </c>
      <c r="T227" t="s">
        <v>164</v>
      </c>
      <c r="U227">
        <v>4.629413501437793E-2</v>
      </c>
      <c r="V227" t="s">
        <v>154</v>
      </c>
    </row>
    <row r="228" spans="9:22" x14ac:dyDescent="0.25">
      <c r="I228" t="s">
        <v>175</v>
      </c>
      <c r="J228" t="s">
        <v>165</v>
      </c>
      <c r="K228">
        <v>3.1733147675026786E-3</v>
      </c>
      <c r="L228" t="s">
        <v>154</v>
      </c>
      <c r="N228" t="s">
        <v>205</v>
      </c>
      <c r="O228" t="s">
        <v>165</v>
      </c>
      <c r="P228">
        <v>7.6746535698698302E-3</v>
      </c>
      <c r="Q228" t="s">
        <v>154</v>
      </c>
      <c r="S228" t="s">
        <v>236</v>
      </c>
      <c r="T228" t="s">
        <v>165</v>
      </c>
      <c r="U228">
        <v>6.0121165113417203E-3</v>
      </c>
      <c r="V228" t="s">
        <v>154</v>
      </c>
    </row>
    <row r="229" spans="9:22" x14ac:dyDescent="0.25">
      <c r="I229" t="s">
        <v>175</v>
      </c>
      <c r="J229" t="s">
        <v>289</v>
      </c>
      <c r="K229">
        <v>0</v>
      </c>
      <c r="L229" t="s">
        <v>154</v>
      </c>
      <c r="N229" t="s">
        <v>205</v>
      </c>
      <c r="O229" t="s">
        <v>289</v>
      </c>
      <c r="P229">
        <v>7.2353537557359633E-3</v>
      </c>
      <c r="Q229" t="s">
        <v>154</v>
      </c>
      <c r="S229" t="s">
        <v>236</v>
      </c>
      <c r="T229" t="s">
        <v>289</v>
      </c>
      <c r="U229">
        <v>6.0519094192048907E-3</v>
      </c>
      <c r="V229" t="s">
        <v>154</v>
      </c>
    </row>
    <row r="230" spans="9:22" x14ac:dyDescent="0.25">
      <c r="I230" t="s">
        <v>175</v>
      </c>
      <c r="J230" t="s">
        <v>290</v>
      </c>
      <c r="K230">
        <v>0</v>
      </c>
      <c r="L230" t="s">
        <v>154</v>
      </c>
      <c r="N230" t="s">
        <v>205</v>
      </c>
      <c r="O230" t="s">
        <v>290</v>
      </c>
      <c r="P230">
        <v>3.0408787335797115E-2</v>
      </c>
      <c r="Q230" t="s">
        <v>154</v>
      </c>
      <c r="S230" t="s">
        <v>236</v>
      </c>
      <c r="T230" t="s">
        <v>290</v>
      </c>
      <c r="U230">
        <v>2.9230936316609633E-2</v>
      </c>
      <c r="V230" t="s">
        <v>154</v>
      </c>
    </row>
    <row r="231" spans="9:22" x14ac:dyDescent="0.25">
      <c r="I231" t="s">
        <v>176</v>
      </c>
      <c r="J231" t="s">
        <v>153</v>
      </c>
      <c r="K231">
        <v>4.8112544473401164E-3</v>
      </c>
      <c r="L231" t="s">
        <v>154</v>
      </c>
      <c r="N231" t="s">
        <v>206</v>
      </c>
      <c r="O231" t="s">
        <v>153</v>
      </c>
      <c r="P231">
        <v>4.4292085239375147E-2</v>
      </c>
      <c r="Q231" t="s">
        <v>154</v>
      </c>
      <c r="S231" t="s">
        <v>237</v>
      </c>
      <c r="T231" t="s">
        <v>153</v>
      </c>
      <c r="U231">
        <v>4.0503605460335428E-2</v>
      </c>
      <c r="V231" t="s">
        <v>154</v>
      </c>
    </row>
    <row r="232" spans="9:22" x14ac:dyDescent="0.25">
      <c r="I232" t="s">
        <v>176</v>
      </c>
      <c r="J232" t="s">
        <v>155</v>
      </c>
      <c r="K232">
        <v>7.2375814542717923E-2</v>
      </c>
      <c r="L232" t="s">
        <v>154</v>
      </c>
      <c r="N232" t="s">
        <v>206</v>
      </c>
      <c r="O232" t="s">
        <v>155</v>
      </c>
      <c r="P232">
        <v>4.2031582273811326E-2</v>
      </c>
      <c r="Q232" t="s">
        <v>154</v>
      </c>
      <c r="S232" t="s">
        <v>237</v>
      </c>
      <c r="T232" t="s">
        <v>155</v>
      </c>
      <c r="U232">
        <v>3.4978789642370028E-2</v>
      </c>
      <c r="V232" t="s">
        <v>154</v>
      </c>
    </row>
    <row r="233" spans="9:22" x14ac:dyDescent="0.25">
      <c r="I233" t="s">
        <v>176</v>
      </c>
      <c r="J233" t="s">
        <v>156</v>
      </c>
      <c r="K233">
        <v>4.6472292336754655E-5</v>
      </c>
      <c r="L233" t="s">
        <v>154</v>
      </c>
      <c r="N233" t="s">
        <v>206</v>
      </c>
      <c r="O233" t="s">
        <v>156</v>
      </c>
      <c r="P233">
        <v>5.8645559575969215E-3</v>
      </c>
      <c r="Q233" t="s">
        <v>154</v>
      </c>
      <c r="S233" t="s">
        <v>237</v>
      </c>
      <c r="T233" t="s">
        <v>156</v>
      </c>
      <c r="U233">
        <v>4.6284722253756485E-3</v>
      </c>
      <c r="V233" t="s">
        <v>154</v>
      </c>
    </row>
    <row r="234" spans="9:22" x14ac:dyDescent="0.25">
      <c r="I234" t="s">
        <v>176</v>
      </c>
      <c r="J234" t="s">
        <v>283</v>
      </c>
      <c r="K234">
        <v>0</v>
      </c>
      <c r="L234" t="s">
        <v>154</v>
      </c>
      <c r="N234" t="s">
        <v>206</v>
      </c>
      <c r="O234" t="s">
        <v>283</v>
      </c>
      <c r="P234">
        <v>6.1117975115896426E-3</v>
      </c>
      <c r="Q234" t="s">
        <v>154</v>
      </c>
      <c r="S234" t="s">
        <v>237</v>
      </c>
      <c r="T234" t="s">
        <v>283</v>
      </c>
      <c r="U234">
        <v>4.8399980550342201E-3</v>
      </c>
      <c r="V234" t="s">
        <v>154</v>
      </c>
    </row>
    <row r="235" spans="9:22" x14ac:dyDescent="0.25">
      <c r="I235" t="s">
        <v>176</v>
      </c>
      <c r="J235" t="s">
        <v>284</v>
      </c>
      <c r="K235">
        <v>0</v>
      </c>
      <c r="L235" t="s">
        <v>154</v>
      </c>
      <c r="N235" t="s">
        <v>206</v>
      </c>
      <c r="O235" t="s">
        <v>284</v>
      </c>
      <c r="P235">
        <v>2.6145493196587342E-2</v>
      </c>
      <c r="Q235" t="s">
        <v>154</v>
      </c>
      <c r="S235" t="s">
        <v>237</v>
      </c>
      <c r="T235" t="s">
        <v>284</v>
      </c>
      <c r="U235">
        <v>2.4330247954888275E-2</v>
      </c>
      <c r="V235" t="s">
        <v>154</v>
      </c>
    </row>
    <row r="236" spans="9:22" x14ac:dyDescent="0.25">
      <c r="I236" t="s">
        <v>176</v>
      </c>
      <c r="J236" t="s">
        <v>157</v>
      </c>
      <c r="K236">
        <v>0.12483744768580769</v>
      </c>
      <c r="L236" t="s">
        <v>154</v>
      </c>
      <c r="N236" t="s">
        <v>206</v>
      </c>
      <c r="O236" t="s">
        <v>157</v>
      </c>
      <c r="P236">
        <v>0.20580164590007544</v>
      </c>
      <c r="Q236" t="s">
        <v>154</v>
      </c>
      <c r="S236" t="s">
        <v>237</v>
      </c>
      <c r="T236" t="s">
        <v>157</v>
      </c>
      <c r="U236">
        <v>0.26997541399863906</v>
      </c>
      <c r="V236" t="s">
        <v>154</v>
      </c>
    </row>
    <row r="237" spans="9:22" x14ac:dyDescent="0.25">
      <c r="I237" t="s">
        <v>176</v>
      </c>
      <c r="J237" t="s">
        <v>158</v>
      </c>
      <c r="K237">
        <v>0.61921644501340189</v>
      </c>
      <c r="L237" t="s">
        <v>154</v>
      </c>
      <c r="N237" t="s">
        <v>206</v>
      </c>
      <c r="O237" t="s">
        <v>158</v>
      </c>
      <c r="P237">
        <v>0.27234433273818909</v>
      </c>
      <c r="Q237" t="s">
        <v>154</v>
      </c>
      <c r="S237" t="s">
        <v>237</v>
      </c>
      <c r="T237" t="s">
        <v>158</v>
      </c>
      <c r="U237">
        <v>0.23144831890055595</v>
      </c>
      <c r="V237" t="s">
        <v>154</v>
      </c>
    </row>
    <row r="238" spans="9:22" x14ac:dyDescent="0.25">
      <c r="I238" t="s">
        <v>176</v>
      </c>
      <c r="J238" t="s">
        <v>159</v>
      </c>
      <c r="K238">
        <v>3.8801630337527489E-2</v>
      </c>
      <c r="L238" t="s">
        <v>154</v>
      </c>
      <c r="N238" t="s">
        <v>206</v>
      </c>
      <c r="O238" t="s">
        <v>159</v>
      </c>
      <c r="P238">
        <v>4.1156106607716611E-2</v>
      </c>
      <c r="Q238" t="s">
        <v>154</v>
      </c>
      <c r="S238" t="s">
        <v>237</v>
      </c>
      <c r="T238" t="s">
        <v>159</v>
      </c>
      <c r="U238">
        <v>3.0146682917790418E-2</v>
      </c>
      <c r="V238" t="s">
        <v>154</v>
      </c>
    </row>
    <row r="239" spans="9:22" x14ac:dyDescent="0.25">
      <c r="I239" t="s">
        <v>176</v>
      </c>
      <c r="J239" t="s">
        <v>285</v>
      </c>
      <c r="K239">
        <v>1.6170664304547246E-2</v>
      </c>
      <c r="L239" t="s">
        <v>154</v>
      </c>
      <c r="N239" t="s">
        <v>206</v>
      </c>
      <c r="O239" t="s">
        <v>285</v>
      </c>
      <c r="P239">
        <v>4.2523537396127305E-2</v>
      </c>
      <c r="Q239" t="s">
        <v>154</v>
      </c>
      <c r="S239" t="s">
        <v>237</v>
      </c>
      <c r="T239" t="s">
        <v>285</v>
      </c>
      <c r="U239">
        <v>2.8234223385997351E-2</v>
      </c>
      <c r="V239" t="s">
        <v>154</v>
      </c>
    </row>
    <row r="240" spans="9:22" x14ac:dyDescent="0.25">
      <c r="I240" t="s">
        <v>176</v>
      </c>
      <c r="J240" t="s">
        <v>286</v>
      </c>
      <c r="K240">
        <v>4.1224333886497348E-3</v>
      </c>
      <c r="L240" t="s">
        <v>154</v>
      </c>
      <c r="N240" t="s">
        <v>206</v>
      </c>
      <c r="O240" t="s">
        <v>286</v>
      </c>
      <c r="P240">
        <v>0.15453033618332337</v>
      </c>
      <c r="Q240" t="s">
        <v>154</v>
      </c>
      <c r="S240" t="s">
        <v>237</v>
      </c>
      <c r="T240" t="s">
        <v>286</v>
      </c>
      <c r="U240">
        <v>0.14735677583365717</v>
      </c>
      <c r="V240" t="s">
        <v>154</v>
      </c>
    </row>
    <row r="241" spans="9:22" x14ac:dyDescent="0.25">
      <c r="I241" t="s">
        <v>176</v>
      </c>
      <c r="J241" t="s">
        <v>160</v>
      </c>
      <c r="K241">
        <v>7.2945962390200533E-3</v>
      </c>
      <c r="L241" t="s">
        <v>154</v>
      </c>
      <c r="N241" t="s">
        <v>206</v>
      </c>
      <c r="O241" t="s">
        <v>160</v>
      </c>
      <c r="P241">
        <v>1.3325533939410432E-2</v>
      </c>
      <c r="Q241" t="s">
        <v>154</v>
      </c>
      <c r="S241" t="s">
        <v>237</v>
      </c>
      <c r="T241" t="s">
        <v>160</v>
      </c>
      <c r="U241">
        <v>2.3750282239269976E-2</v>
      </c>
      <c r="V241" t="s">
        <v>154</v>
      </c>
    </row>
    <row r="242" spans="9:22" x14ac:dyDescent="0.25">
      <c r="I242" t="s">
        <v>176</v>
      </c>
      <c r="J242" t="s">
        <v>161</v>
      </c>
      <c r="K242">
        <v>4.8454551541288526E-2</v>
      </c>
      <c r="L242" t="s">
        <v>154</v>
      </c>
      <c r="N242" t="s">
        <v>206</v>
      </c>
      <c r="O242" t="s">
        <v>161</v>
      </c>
      <c r="P242">
        <v>1.2188418456707871E-2</v>
      </c>
      <c r="Q242" t="s">
        <v>154</v>
      </c>
      <c r="S242" t="s">
        <v>237</v>
      </c>
      <c r="T242" t="s">
        <v>161</v>
      </c>
      <c r="U242">
        <v>2.1944767860909258E-2</v>
      </c>
      <c r="V242" t="s">
        <v>154</v>
      </c>
    </row>
    <row r="243" spans="9:22" x14ac:dyDescent="0.25">
      <c r="I243" t="s">
        <v>176</v>
      </c>
      <c r="J243" t="s">
        <v>162</v>
      </c>
      <c r="K243">
        <v>0</v>
      </c>
      <c r="L243" t="s">
        <v>154</v>
      </c>
      <c r="N243" t="s">
        <v>206</v>
      </c>
      <c r="O243" t="s">
        <v>162</v>
      </c>
      <c r="P243">
        <v>2.5311432552456558E-3</v>
      </c>
      <c r="Q243" t="s">
        <v>154</v>
      </c>
      <c r="S243" t="s">
        <v>237</v>
      </c>
      <c r="T243" t="s">
        <v>162</v>
      </c>
      <c r="U243">
        <v>2.7681525875790196E-3</v>
      </c>
      <c r="V243" t="s">
        <v>154</v>
      </c>
    </row>
    <row r="244" spans="9:22" x14ac:dyDescent="0.25">
      <c r="I244" t="s">
        <v>176</v>
      </c>
      <c r="J244" t="s">
        <v>287</v>
      </c>
      <c r="K244">
        <v>0</v>
      </c>
      <c r="L244" t="s">
        <v>154</v>
      </c>
      <c r="N244" t="s">
        <v>206</v>
      </c>
      <c r="O244" t="s">
        <v>287</v>
      </c>
      <c r="P244">
        <v>2.976229455113492E-3</v>
      </c>
      <c r="Q244" t="s">
        <v>154</v>
      </c>
      <c r="S244" t="s">
        <v>237</v>
      </c>
      <c r="T244" t="s">
        <v>287</v>
      </c>
      <c r="U244">
        <v>2.7389540274602806E-3</v>
      </c>
      <c r="V244" t="s">
        <v>154</v>
      </c>
    </row>
    <row r="245" spans="9:22" x14ac:dyDescent="0.25">
      <c r="I245" t="s">
        <v>176</v>
      </c>
      <c r="J245" t="s">
        <v>288</v>
      </c>
      <c r="K245">
        <v>0</v>
      </c>
      <c r="L245" t="s">
        <v>154</v>
      </c>
      <c r="N245" t="s">
        <v>206</v>
      </c>
      <c r="O245" t="s">
        <v>288</v>
      </c>
      <c r="P245">
        <v>9.9614817279691011E-3</v>
      </c>
      <c r="Q245" t="s">
        <v>154</v>
      </c>
      <c r="S245" t="s">
        <v>237</v>
      </c>
      <c r="T245" t="s">
        <v>288</v>
      </c>
      <c r="U245">
        <v>1.3516877453572843E-2</v>
      </c>
      <c r="V245" t="s">
        <v>154</v>
      </c>
    </row>
    <row r="246" spans="9:22" x14ac:dyDescent="0.25">
      <c r="I246" t="s">
        <v>176</v>
      </c>
      <c r="J246" t="s">
        <v>163</v>
      </c>
      <c r="K246">
        <v>4.7315517542085659E-3</v>
      </c>
      <c r="L246" t="s">
        <v>154</v>
      </c>
      <c r="N246" t="s">
        <v>206</v>
      </c>
      <c r="O246" t="s">
        <v>163</v>
      </c>
      <c r="P246">
        <v>3.9117230741762467E-2</v>
      </c>
      <c r="Q246" t="s">
        <v>154</v>
      </c>
      <c r="S246" t="s">
        <v>237</v>
      </c>
      <c r="T246" t="s">
        <v>163</v>
      </c>
      <c r="U246">
        <v>4.3707366183232572E-2</v>
      </c>
      <c r="V246" t="s">
        <v>154</v>
      </c>
    </row>
    <row r="247" spans="9:22" x14ac:dyDescent="0.25">
      <c r="I247" t="s">
        <v>176</v>
      </c>
      <c r="J247" t="s">
        <v>164</v>
      </c>
      <c r="K247">
        <v>5.9137138453155817E-2</v>
      </c>
      <c r="L247" t="s">
        <v>154</v>
      </c>
      <c r="N247" t="s">
        <v>206</v>
      </c>
      <c r="O247" t="s">
        <v>164</v>
      </c>
      <c r="P247">
        <v>3.4414779475237744E-2</v>
      </c>
      <c r="Q247" t="s">
        <v>154</v>
      </c>
      <c r="S247" t="s">
        <v>237</v>
      </c>
      <c r="T247" t="s">
        <v>164</v>
      </c>
      <c r="U247">
        <v>3.9937281531768572E-2</v>
      </c>
      <c r="V247" t="s">
        <v>154</v>
      </c>
    </row>
    <row r="248" spans="9:22" x14ac:dyDescent="0.25">
      <c r="I248" t="s">
        <v>176</v>
      </c>
      <c r="J248" t="s">
        <v>165</v>
      </c>
      <c r="K248">
        <v>0</v>
      </c>
      <c r="L248" t="s">
        <v>154</v>
      </c>
      <c r="N248" t="s">
        <v>206</v>
      </c>
      <c r="O248" t="s">
        <v>165</v>
      </c>
      <c r="P248">
        <v>6.2241363938599793E-3</v>
      </c>
      <c r="Q248" t="s">
        <v>154</v>
      </c>
      <c r="S248" t="s">
        <v>237</v>
      </c>
      <c r="T248" t="s">
        <v>165</v>
      </c>
      <c r="U248">
        <v>5.3304439372457661E-3</v>
      </c>
      <c r="V248" t="s">
        <v>154</v>
      </c>
    </row>
    <row r="249" spans="9:22" x14ac:dyDescent="0.25">
      <c r="I249" t="s">
        <v>176</v>
      </c>
      <c r="J249" t="s">
        <v>289</v>
      </c>
      <c r="K249">
        <v>0</v>
      </c>
      <c r="L249" t="s">
        <v>154</v>
      </c>
      <c r="N249" t="s">
        <v>206</v>
      </c>
      <c r="O249" t="s">
        <v>289</v>
      </c>
      <c r="P249">
        <v>6.413835465829497E-3</v>
      </c>
      <c r="Q249" t="s">
        <v>154</v>
      </c>
      <c r="S249" t="s">
        <v>237</v>
      </c>
      <c r="T249" t="s">
        <v>289</v>
      </c>
      <c r="U249">
        <v>5.304270886558435E-3</v>
      </c>
      <c r="V249" t="s">
        <v>154</v>
      </c>
    </row>
    <row r="250" spans="9:22" x14ac:dyDescent="0.25">
      <c r="I250" t="s">
        <v>176</v>
      </c>
      <c r="J250" t="s">
        <v>290</v>
      </c>
      <c r="K250">
        <v>0</v>
      </c>
      <c r="L250" t="s">
        <v>154</v>
      </c>
      <c r="N250" t="s">
        <v>206</v>
      </c>
      <c r="O250" t="s">
        <v>290</v>
      </c>
      <c r="P250">
        <v>3.2045738084469859E-2</v>
      </c>
      <c r="Q250" t="s">
        <v>154</v>
      </c>
      <c r="S250" t="s">
        <v>237</v>
      </c>
      <c r="T250" t="s">
        <v>290</v>
      </c>
      <c r="U250">
        <v>2.4559074917759171E-2</v>
      </c>
      <c r="V250" t="s">
        <v>154</v>
      </c>
    </row>
    <row r="251" spans="9:22" x14ac:dyDescent="0.25">
      <c r="I251" t="s">
        <v>177</v>
      </c>
      <c r="J251" t="s">
        <v>153</v>
      </c>
      <c r="K251">
        <v>6.5287455898866619E-3</v>
      </c>
      <c r="L251" t="s">
        <v>154</v>
      </c>
      <c r="N251" t="s">
        <v>207</v>
      </c>
      <c r="O251" t="s">
        <v>153</v>
      </c>
      <c r="P251">
        <v>4.6462565752928502E-2</v>
      </c>
      <c r="Q251" t="s">
        <v>154</v>
      </c>
      <c r="S251" t="s">
        <v>238</v>
      </c>
      <c r="T251" t="s">
        <v>153</v>
      </c>
      <c r="U251">
        <v>4.5184878165515724E-2</v>
      </c>
      <c r="V251" t="s">
        <v>154</v>
      </c>
    </row>
    <row r="252" spans="9:22" x14ac:dyDescent="0.25">
      <c r="I252" t="s">
        <v>177</v>
      </c>
      <c r="J252" t="s">
        <v>155</v>
      </c>
      <c r="K252">
        <v>8.3069321124123213E-2</v>
      </c>
      <c r="L252" t="s">
        <v>154</v>
      </c>
      <c r="N252" t="s">
        <v>207</v>
      </c>
      <c r="O252" t="s">
        <v>155</v>
      </c>
      <c r="P252">
        <v>3.0993559368368503E-2</v>
      </c>
      <c r="Q252" t="s">
        <v>154</v>
      </c>
      <c r="S252" t="s">
        <v>238</v>
      </c>
      <c r="T252" t="s">
        <v>155</v>
      </c>
      <c r="U252">
        <v>3.9928481356317991E-2</v>
      </c>
      <c r="V252" t="s">
        <v>154</v>
      </c>
    </row>
    <row r="253" spans="9:22" x14ac:dyDescent="0.25">
      <c r="I253" t="s">
        <v>177</v>
      </c>
      <c r="J253" t="s">
        <v>156</v>
      </c>
      <c r="K253">
        <v>0</v>
      </c>
      <c r="L253" t="s">
        <v>154</v>
      </c>
      <c r="N253" t="s">
        <v>207</v>
      </c>
      <c r="O253" t="s">
        <v>156</v>
      </c>
      <c r="P253">
        <v>3.7160516921583117E-3</v>
      </c>
      <c r="Q253" t="s">
        <v>154</v>
      </c>
      <c r="S253" t="s">
        <v>238</v>
      </c>
      <c r="T253" t="s">
        <v>156</v>
      </c>
      <c r="U253">
        <v>5.4724299137034905E-3</v>
      </c>
      <c r="V253" t="s">
        <v>154</v>
      </c>
    </row>
    <row r="254" spans="9:22" x14ac:dyDescent="0.25">
      <c r="I254" t="s">
        <v>177</v>
      </c>
      <c r="J254" t="s">
        <v>283</v>
      </c>
      <c r="K254">
        <v>0</v>
      </c>
      <c r="L254" t="s">
        <v>154</v>
      </c>
      <c r="N254" t="s">
        <v>207</v>
      </c>
      <c r="O254" t="s">
        <v>283</v>
      </c>
      <c r="P254">
        <v>4.1495302442420253E-3</v>
      </c>
      <c r="Q254" t="s">
        <v>154</v>
      </c>
      <c r="S254" t="s">
        <v>238</v>
      </c>
      <c r="T254" t="s">
        <v>283</v>
      </c>
      <c r="U254">
        <v>5.2422598969679955E-3</v>
      </c>
      <c r="V254" t="s">
        <v>154</v>
      </c>
    </row>
    <row r="255" spans="9:22" x14ac:dyDescent="0.25">
      <c r="I255" t="s">
        <v>177</v>
      </c>
      <c r="J255" t="s">
        <v>284</v>
      </c>
      <c r="K255">
        <v>0</v>
      </c>
      <c r="L255" t="s">
        <v>154</v>
      </c>
      <c r="N255" t="s">
        <v>207</v>
      </c>
      <c r="O255" t="s">
        <v>284</v>
      </c>
      <c r="P255">
        <v>2.0674933919433893E-2</v>
      </c>
      <c r="Q255" t="s">
        <v>154</v>
      </c>
      <c r="S255" t="s">
        <v>238</v>
      </c>
      <c r="T255" t="s">
        <v>284</v>
      </c>
      <c r="U255">
        <v>2.5209589237364907E-2</v>
      </c>
      <c r="V255" t="s">
        <v>154</v>
      </c>
    </row>
    <row r="256" spans="9:22" x14ac:dyDescent="0.25">
      <c r="I256" t="s">
        <v>177</v>
      </c>
      <c r="J256" t="s">
        <v>157</v>
      </c>
      <c r="K256">
        <v>0.11595246479973575</v>
      </c>
      <c r="L256" t="s">
        <v>154</v>
      </c>
      <c r="N256" t="s">
        <v>207</v>
      </c>
      <c r="O256" t="s">
        <v>157</v>
      </c>
      <c r="P256">
        <v>0.26097652182905245</v>
      </c>
      <c r="Q256" t="s">
        <v>154</v>
      </c>
      <c r="S256" t="s">
        <v>238</v>
      </c>
      <c r="T256" t="s">
        <v>157</v>
      </c>
      <c r="U256">
        <v>0.26529623635785821</v>
      </c>
      <c r="V256" t="s">
        <v>154</v>
      </c>
    </row>
    <row r="257" spans="9:22" x14ac:dyDescent="0.25">
      <c r="I257" t="s">
        <v>177</v>
      </c>
      <c r="J257" t="s">
        <v>158</v>
      </c>
      <c r="K257">
        <v>0.60466097358172621</v>
      </c>
      <c r="L257" t="s">
        <v>154</v>
      </c>
      <c r="N257" t="s">
        <v>207</v>
      </c>
      <c r="O257" t="s">
        <v>158</v>
      </c>
      <c r="P257">
        <v>0.2296689307286148</v>
      </c>
      <c r="Q257" t="s">
        <v>154</v>
      </c>
      <c r="S257" t="s">
        <v>238</v>
      </c>
      <c r="T257" t="s">
        <v>158</v>
      </c>
      <c r="U257">
        <v>0.20980118345164536</v>
      </c>
      <c r="V257" t="s">
        <v>154</v>
      </c>
    </row>
    <row r="258" spans="9:22" x14ac:dyDescent="0.25">
      <c r="I258" t="s">
        <v>177</v>
      </c>
      <c r="J258" t="s">
        <v>159</v>
      </c>
      <c r="K258">
        <v>3.6799317976767429E-2</v>
      </c>
      <c r="L258" t="s">
        <v>154</v>
      </c>
      <c r="N258" t="s">
        <v>207</v>
      </c>
      <c r="O258" t="s">
        <v>159</v>
      </c>
      <c r="P258">
        <v>3.4725251131857031E-2</v>
      </c>
      <c r="Q258" t="s">
        <v>154</v>
      </c>
      <c r="S258" t="s">
        <v>238</v>
      </c>
      <c r="T258" t="s">
        <v>159</v>
      </c>
      <c r="U258">
        <v>2.8483466717251407E-2</v>
      </c>
      <c r="V258" t="s">
        <v>154</v>
      </c>
    </row>
    <row r="259" spans="9:22" x14ac:dyDescent="0.25">
      <c r="I259" t="s">
        <v>177</v>
      </c>
      <c r="J259" t="s">
        <v>285</v>
      </c>
      <c r="K259">
        <v>1.3874948356667761E-2</v>
      </c>
      <c r="L259" t="s">
        <v>154</v>
      </c>
      <c r="N259" t="s">
        <v>207</v>
      </c>
      <c r="O259" t="s">
        <v>285</v>
      </c>
      <c r="P259">
        <v>3.6510650688517998E-2</v>
      </c>
      <c r="Q259" t="s">
        <v>154</v>
      </c>
      <c r="S259" t="s">
        <v>238</v>
      </c>
      <c r="T259" t="s">
        <v>285</v>
      </c>
      <c r="U259">
        <v>2.6157366858594155E-2</v>
      </c>
      <c r="V259" t="s">
        <v>154</v>
      </c>
    </row>
    <row r="260" spans="9:22" x14ac:dyDescent="0.25">
      <c r="I260" t="s">
        <v>177</v>
      </c>
      <c r="J260" t="s">
        <v>286</v>
      </c>
      <c r="K260">
        <v>2.9810880817956603E-3</v>
      </c>
      <c r="L260" t="s">
        <v>154</v>
      </c>
      <c r="N260" t="s">
        <v>207</v>
      </c>
      <c r="O260" t="s">
        <v>286</v>
      </c>
      <c r="P260">
        <v>0.16391320484707259</v>
      </c>
      <c r="Q260" t="s">
        <v>154</v>
      </c>
      <c r="S260" t="s">
        <v>238</v>
      </c>
      <c r="T260" t="s">
        <v>286</v>
      </c>
      <c r="U260">
        <v>0.14172953853119519</v>
      </c>
      <c r="V260" t="s">
        <v>154</v>
      </c>
    </row>
    <row r="261" spans="9:22" x14ac:dyDescent="0.25">
      <c r="I261" t="s">
        <v>177</v>
      </c>
      <c r="J261" t="s">
        <v>160</v>
      </c>
      <c r="K261">
        <v>8.934984532773119E-3</v>
      </c>
      <c r="L261" t="s">
        <v>154</v>
      </c>
      <c r="N261" t="s">
        <v>207</v>
      </c>
      <c r="O261" t="s">
        <v>160</v>
      </c>
      <c r="P261">
        <v>2.2157346303717584E-2</v>
      </c>
      <c r="Q261" t="s">
        <v>154</v>
      </c>
      <c r="S261" t="s">
        <v>238</v>
      </c>
      <c r="T261" t="s">
        <v>160</v>
      </c>
      <c r="U261">
        <v>2.6951698766976319E-2</v>
      </c>
      <c r="V261" t="s">
        <v>154</v>
      </c>
    </row>
    <row r="262" spans="9:22" x14ac:dyDescent="0.25">
      <c r="I262" t="s">
        <v>177</v>
      </c>
      <c r="J262" t="s">
        <v>161</v>
      </c>
      <c r="K262">
        <v>5.3900547631153602E-2</v>
      </c>
      <c r="L262" t="s">
        <v>154</v>
      </c>
      <c r="N262" t="s">
        <v>207</v>
      </c>
      <c r="O262" t="s">
        <v>161</v>
      </c>
      <c r="P262">
        <v>1.8083348763482221E-2</v>
      </c>
      <c r="Q262" t="s">
        <v>154</v>
      </c>
      <c r="S262" t="s">
        <v>238</v>
      </c>
      <c r="T262" t="s">
        <v>161</v>
      </c>
      <c r="U262">
        <v>2.4210710429345451E-2</v>
      </c>
      <c r="V262" t="s">
        <v>154</v>
      </c>
    </row>
    <row r="263" spans="9:22" x14ac:dyDescent="0.25">
      <c r="I263" t="s">
        <v>177</v>
      </c>
      <c r="J263" t="s">
        <v>162</v>
      </c>
      <c r="K263">
        <v>0</v>
      </c>
      <c r="L263" t="s">
        <v>154</v>
      </c>
      <c r="N263" t="s">
        <v>207</v>
      </c>
      <c r="O263" t="s">
        <v>162</v>
      </c>
      <c r="P263">
        <v>2.7013462849475836E-3</v>
      </c>
      <c r="Q263" t="s">
        <v>154</v>
      </c>
      <c r="S263" t="s">
        <v>238</v>
      </c>
      <c r="T263" t="s">
        <v>162</v>
      </c>
      <c r="U263">
        <v>3.1501222132448163E-3</v>
      </c>
      <c r="V263" t="s">
        <v>154</v>
      </c>
    </row>
    <row r="264" spans="9:22" x14ac:dyDescent="0.25">
      <c r="I264" t="s">
        <v>177</v>
      </c>
      <c r="J264" t="s">
        <v>287</v>
      </c>
      <c r="K264">
        <v>0</v>
      </c>
      <c r="L264" t="s">
        <v>154</v>
      </c>
      <c r="N264" t="s">
        <v>207</v>
      </c>
      <c r="O264" t="s">
        <v>287</v>
      </c>
      <c r="P264">
        <v>2.7663617431091143E-3</v>
      </c>
      <c r="Q264" t="s">
        <v>154</v>
      </c>
      <c r="S264" t="s">
        <v>238</v>
      </c>
      <c r="T264" t="s">
        <v>287</v>
      </c>
      <c r="U264">
        <v>2.958840674465146E-3</v>
      </c>
      <c r="V264" t="s">
        <v>154</v>
      </c>
    </row>
    <row r="265" spans="9:22" x14ac:dyDescent="0.25">
      <c r="I265" t="s">
        <v>177</v>
      </c>
      <c r="J265" t="s">
        <v>288</v>
      </c>
      <c r="K265">
        <v>0</v>
      </c>
      <c r="L265" t="s">
        <v>154</v>
      </c>
      <c r="N265" t="s">
        <v>207</v>
      </c>
      <c r="O265" t="s">
        <v>288</v>
      </c>
      <c r="P265">
        <v>1.2497022744080731E-2</v>
      </c>
      <c r="Q265" t="s">
        <v>154</v>
      </c>
      <c r="S265" t="s">
        <v>238</v>
      </c>
      <c r="T265" t="s">
        <v>288</v>
      </c>
      <c r="U265">
        <v>1.4520146545454752E-2</v>
      </c>
      <c r="V265" t="s">
        <v>154</v>
      </c>
    </row>
    <row r="266" spans="9:22" x14ac:dyDescent="0.25">
      <c r="I266" t="s">
        <v>177</v>
      </c>
      <c r="J266" t="s">
        <v>163</v>
      </c>
      <c r="K266">
        <v>6.0857567207258908E-3</v>
      </c>
      <c r="L266" t="s">
        <v>154</v>
      </c>
      <c r="N266" t="s">
        <v>207</v>
      </c>
      <c r="O266" t="s">
        <v>163</v>
      </c>
      <c r="P266">
        <v>4.1473629202969486E-2</v>
      </c>
      <c r="Q266" t="s">
        <v>154</v>
      </c>
      <c r="S266" t="s">
        <v>238</v>
      </c>
      <c r="T266" t="s">
        <v>163</v>
      </c>
      <c r="U266">
        <v>5.1533553566436331E-2</v>
      </c>
      <c r="V266" t="s">
        <v>154</v>
      </c>
    </row>
    <row r="267" spans="9:22" x14ac:dyDescent="0.25">
      <c r="I267" t="s">
        <v>177</v>
      </c>
      <c r="J267" t="s">
        <v>164</v>
      </c>
      <c r="K267">
        <v>6.7211851604645614E-2</v>
      </c>
      <c r="L267" t="s">
        <v>154</v>
      </c>
      <c r="N267" t="s">
        <v>207</v>
      </c>
      <c r="O267" t="s">
        <v>164</v>
      </c>
      <c r="P267">
        <v>3.1540167826862281E-2</v>
      </c>
      <c r="Q267" t="s">
        <v>154</v>
      </c>
      <c r="S267" t="s">
        <v>238</v>
      </c>
      <c r="T267" t="s">
        <v>164</v>
      </c>
      <c r="U267">
        <v>4.5343676707233126E-2</v>
      </c>
      <c r="V267" t="s">
        <v>154</v>
      </c>
    </row>
    <row r="268" spans="9:22" x14ac:dyDescent="0.25">
      <c r="I268" t="s">
        <v>177</v>
      </c>
      <c r="J268" t="s">
        <v>165</v>
      </c>
      <c r="K268">
        <v>0</v>
      </c>
      <c r="L268" t="s">
        <v>154</v>
      </c>
      <c r="N268" t="s">
        <v>207</v>
      </c>
      <c r="O268" t="s">
        <v>165</v>
      </c>
      <c r="P268">
        <v>4.8980079140605922E-3</v>
      </c>
      <c r="Q268" t="s">
        <v>154</v>
      </c>
      <c r="S268" t="s">
        <v>238</v>
      </c>
      <c r="T268" t="s">
        <v>165</v>
      </c>
      <c r="U268">
        <v>5.7945631368208029E-3</v>
      </c>
      <c r="V268" t="s">
        <v>154</v>
      </c>
    </row>
    <row r="269" spans="9:22" x14ac:dyDescent="0.25">
      <c r="I269" t="s">
        <v>177</v>
      </c>
      <c r="J269" t="s">
        <v>289</v>
      </c>
      <c r="K269">
        <v>0</v>
      </c>
      <c r="L269" t="s">
        <v>154</v>
      </c>
      <c r="N269" t="s">
        <v>207</v>
      </c>
      <c r="O269" t="s">
        <v>289</v>
      </c>
      <c r="P269">
        <v>5.2958835974503985E-3</v>
      </c>
      <c r="Q269" t="s">
        <v>154</v>
      </c>
      <c r="S269" t="s">
        <v>238</v>
      </c>
      <c r="T269" t="s">
        <v>289</v>
      </c>
      <c r="U269">
        <v>5.6385656556440589E-3</v>
      </c>
      <c r="V269" t="s">
        <v>154</v>
      </c>
    </row>
    <row r="270" spans="9:22" x14ac:dyDescent="0.25">
      <c r="I270" t="s">
        <v>177</v>
      </c>
      <c r="J270" t="s">
        <v>290</v>
      </c>
      <c r="K270">
        <v>0</v>
      </c>
      <c r="L270" t="s">
        <v>154</v>
      </c>
      <c r="N270" t="s">
        <v>207</v>
      </c>
      <c r="O270" t="s">
        <v>290</v>
      </c>
      <c r="P270">
        <v>2.6795685417073521E-2</v>
      </c>
      <c r="Q270" t="s">
        <v>154</v>
      </c>
      <c r="S270" t="s">
        <v>238</v>
      </c>
      <c r="T270" t="s">
        <v>290</v>
      </c>
      <c r="U270">
        <v>2.7392691817968797E-2</v>
      </c>
      <c r="V270" t="s">
        <v>154</v>
      </c>
    </row>
    <row r="271" spans="9:22" x14ac:dyDescent="0.25">
      <c r="I271" t="s">
        <v>178</v>
      </c>
      <c r="J271" t="s">
        <v>153</v>
      </c>
      <c r="K271">
        <v>6.9287759469839399E-3</v>
      </c>
      <c r="L271" t="s">
        <v>154</v>
      </c>
      <c r="N271" t="s">
        <v>208</v>
      </c>
      <c r="O271" t="s">
        <v>153</v>
      </c>
      <c r="P271">
        <v>3.7939903640249621E-2</v>
      </c>
      <c r="Q271" t="s">
        <v>154</v>
      </c>
      <c r="S271" t="s">
        <v>239</v>
      </c>
      <c r="T271" t="s">
        <v>153</v>
      </c>
      <c r="U271">
        <v>4.0614850564079034E-2</v>
      </c>
      <c r="V271" t="s">
        <v>154</v>
      </c>
    </row>
    <row r="272" spans="9:22" x14ac:dyDescent="0.25">
      <c r="I272" t="s">
        <v>178</v>
      </c>
      <c r="J272" t="s">
        <v>155</v>
      </c>
      <c r="K272">
        <v>9.0887775447666297E-2</v>
      </c>
      <c r="L272" t="s">
        <v>154</v>
      </c>
      <c r="N272" t="s">
        <v>208</v>
      </c>
      <c r="O272" t="s">
        <v>155</v>
      </c>
      <c r="P272">
        <v>4.7012062768492256E-2</v>
      </c>
      <c r="Q272" t="s">
        <v>154</v>
      </c>
      <c r="S272" t="s">
        <v>239</v>
      </c>
      <c r="T272" t="s">
        <v>155</v>
      </c>
      <c r="U272">
        <v>3.4976682515729378E-2</v>
      </c>
      <c r="V272" t="s">
        <v>154</v>
      </c>
    </row>
    <row r="273" spans="9:22" x14ac:dyDescent="0.25">
      <c r="I273" t="s">
        <v>178</v>
      </c>
      <c r="J273" t="s">
        <v>156</v>
      </c>
      <c r="K273">
        <v>4.6311632395283777E-4</v>
      </c>
      <c r="L273" t="s">
        <v>154</v>
      </c>
      <c r="N273" t="s">
        <v>208</v>
      </c>
      <c r="O273" t="s">
        <v>156</v>
      </c>
      <c r="P273">
        <v>6.5126269494850154E-3</v>
      </c>
      <c r="Q273" t="s">
        <v>154</v>
      </c>
      <c r="S273" t="s">
        <v>239</v>
      </c>
      <c r="T273" t="s">
        <v>156</v>
      </c>
      <c r="U273">
        <v>5.0133602523496183E-3</v>
      </c>
      <c r="V273" t="s">
        <v>154</v>
      </c>
    </row>
    <row r="274" spans="9:22" x14ac:dyDescent="0.25">
      <c r="I274" t="s">
        <v>178</v>
      </c>
      <c r="J274" t="s">
        <v>283</v>
      </c>
      <c r="K274">
        <v>0</v>
      </c>
      <c r="L274" t="s">
        <v>154</v>
      </c>
      <c r="N274" t="s">
        <v>208</v>
      </c>
      <c r="O274" t="s">
        <v>283</v>
      </c>
      <c r="P274">
        <v>5.987862817802489E-3</v>
      </c>
      <c r="Q274" t="s">
        <v>154</v>
      </c>
      <c r="S274" t="s">
        <v>239</v>
      </c>
      <c r="T274" t="s">
        <v>283</v>
      </c>
      <c r="U274">
        <v>4.3441213181078112E-3</v>
      </c>
      <c r="V274" t="s">
        <v>154</v>
      </c>
    </row>
    <row r="275" spans="9:22" x14ac:dyDescent="0.25">
      <c r="I275" t="s">
        <v>178</v>
      </c>
      <c r="J275" t="s">
        <v>284</v>
      </c>
      <c r="K275">
        <v>0</v>
      </c>
      <c r="L275" t="s">
        <v>154</v>
      </c>
      <c r="N275" t="s">
        <v>208</v>
      </c>
      <c r="O275" t="s">
        <v>284</v>
      </c>
      <c r="P275">
        <v>2.3099594720562836E-2</v>
      </c>
      <c r="Q275" t="s">
        <v>154</v>
      </c>
      <c r="S275" t="s">
        <v>239</v>
      </c>
      <c r="T275" t="s">
        <v>284</v>
      </c>
      <c r="U275">
        <v>2.1081509099883936E-2</v>
      </c>
      <c r="V275" t="s">
        <v>154</v>
      </c>
    </row>
    <row r="276" spans="9:22" x14ac:dyDescent="0.25">
      <c r="I276" t="s">
        <v>178</v>
      </c>
      <c r="J276" t="s">
        <v>157</v>
      </c>
      <c r="K276">
        <v>0.11563557656019798</v>
      </c>
      <c r="L276" t="s">
        <v>154</v>
      </c>
      <c r="N276" t="s">
        <v>208</v>
      </c>
      <c r="O276" t="s">
        <v>157</v>
      </c>
      <c r="P276">
        <v>0.17719683170885897</v>
      </c>
      <c r="Q276" t="s">
        <v>154</v>
      </c>
      <c r="S276" t="s">
        <v>239</v>
      </c>
      <c r="T276" t="s">
        <v>157</v>
      </c>
      <c r="U276">
        <v>0.25705243827681579</v>
      </c>
      <c r="V276" t="s">
        <v>154</v>
      </c>
    </row>
    <row r="277" spans="9:22" x14ac:dyDescent="0.25">
      <c r="I277" t="s">
        <v>178</v>
      </c>
      <c r="J277" t="s">
        <v>158</v>
      </c>
      <c r="K277">
        <v>0.59072826893239549</v>
      </c>
      <c r="L277" t="s">
        <v>154</v>
      </c>
      <c r="N277" t="s">
        <v>208</v>
      </c>
      <c r="O277" t="s">
        <v>158</v>
      </c>
      <c r="P277">
        <v>0.28811511086712843</v>
      </c>
      <c r="Q277" t="s">
        <v>154</v>
      </c>
      <c r="S277" t="s">
        <v>239</v>
      </c>
      <c r="T277" t="s">
        <v>158</v>
      </c>
      <c r="U277">
        <v>0.21881234396483992</v>
      </c>
      <c r="V277" t="s">
        <v>154</v>
      </c>
    </row>
    <row r="278" spans="9:22" x14ac:dyDescent="0.25">
      <c r="I278" t="s">
        <v>178</v>
      </c>
      <c r="J278" t="s">
        <v>159</v>
      </c>
      <c r="K278">
        <v>3.8498506190716167E-2</v>
      </c>
      <c r="L278" t="s">
        <v>154</v>
      </c>
      <c r="N278" t="s">
        <v>208</v>
      </c>
      <c r="O278" t="s">
        <v>159</v>
      </c>
      <c r="P278">
        <v>3.6227341243199783E-2</v>
      </c>
      <c r="Q278" t="s">
        <v>154</v>
      </c>
      <c r="S278" t="s">
        <v>239</v>
      </c>
      <c r="T278" t="s">
        <v>159</v>
      </c>
      <c r="U278">
        <v>3.2211620296765865E-2</v>
      </c>
      <c r="V278" t="s">
        <v>154</v>
      </c>
    </row>
    <row r="279" spans="9:22" x14ac:dyDescent="0.25">
      <c r="I279" t="s">
        <v>178</v>
      </c>
      <c r="J279" t="s">
        <v>285</v>
      </c>
      <c r="K279">
        <v>1.5779250069505899E-2</v>
      </c>
      <c r="L279" t="s">
        <v>154</v>
      </c>
      <c r="N279" t="s">
        <v>208</v>
      </c>
      <c r="O279" t="s">
        <v>285</v>
      </c>
      <c r="P279">
        <v>3.2637263081468131E-2</v>
      </c>
      <c r="Q279" t="s">
        <v>154</v>
      </c>
      <c r="S279" t="s">
        <v>239</v>
      </c>
      <c r="T279" t="s">
        <v>285</v>
      </c>
      <c r="U279">
        <v>2.6781609051182133E-2</v>
      </c>
      <c r="V279" t="s">
        <v>154</v>
      </c>
    </row>
    <row r="280" spans="9:22" x14ac:dyDescent="0.25">
      <c r="I280" t="s">
        <v>178</v>
      </c>
      <c r="J280" t="s">
        <v>286</v>
      </c>
      <c r="K280">
        <v>3.4905046931326951E-3</v>
      </c>
      <c r="L280" t="s">
        <v>154</v>
      </c>
      <c r="N280" t="s">
        <v>208</v>
      </c>
      <c r="O280" t="s">
        <v>286</v>
      </c>
      <c r="P280">
        <v>0.11613688721644888</v>
      </c>
      <c r="Q280" t="s">
        <v>154</v>
      </c>
      <c r="S280" t="s">
        <v>239</v>
      </c>
      <c r="T280" t="s">
        <v>286</v>
      </c>
      <c r="U280">
        <v>0.1426203034592142</v>
      </c>
      <c r="V280" t="s">
        <v>154</v>
      </c>
    </row>
    <row r="281" spans="9:22" x14ac:dyDescent="0.25">
      <c r="I281" t="s">
        <v>178</v>
      </c>
      <c r="J281" t="s">
        <v>160</v>
      </c>
      <c r="K281">
        <v>8.9906180801682511E-3</v>
      </c>
      <c r="L281" t="s">
        <v>154</v>
      </c>
      <c r="N281" t="s">
        <v>208</v>
      </c>
      <c r="O281" t="s">
        <v>160</v>
      </c>
      <c r="P281">
        <v>1.2164480598041871E-2</v>
      </c>
      <c r="Q281" t="s">
        <v>154</v>
      </c>
      <c r="S281" t="s">
        <v>239</v>
      </c>
      <c r="T281" t="s">
        <v>160</v>
      </c>
      <c r="U281">
        <v>2.5346486843304494E-2</v>
      </c>
      <c r="V281" t="s">
        <v>154</v>
      </c>
    </row>
    <row r="282" spans="9:22" x14ac:dyDescent="0.25">
      <c r="I282" t="s">
        <v>178</v>
      </c>
      <c r="J282" t="s">
        <v>161</v>
      </c>
      <c r="K282">
        <v>5.4491546103741309E-2</v>
      </c>
      <c r="L282" t="s">
        <v>154</v>
      </c>
      <c r="N282" t="s">
        <v>208</v>
      </c>
      <c r="O282" t="s">
        <v>161</v>
      </c>
      <c r="P282">
        <v>2.9143662242187358E-2</v>
      </c>
      <c r="Q282" t="s">
        <v>154</v>
      </c>
      <c r="S282" t="s">
        <v>239</v>
      </c>
      <c r="T282" t="s">
        <v>161</v>
      </c>
      <c r="U282">
        <v>2.2667027581646293E-2</v>
      </c>
      <c r="V282" t="s">
        <v>154</v>
      </c>
    </row>
    <row r="283" spans="9:22" x14ac:dyDescent="0.25">
      <c r="I283" t="s">
        <v>178</v>
      </c>
      <c r="J283" t="s">
        <v>162</v>
      </c>
      <c r="K283">
        <v>0</v>
      </c>
      <c r="L283" t="s">
        <v>154</v>
      </c>
      <c r="N283" t="s">
        <v>208</v>
      </c>
      <c r="O283" t="s">
        <v>162</v>
      </c>
      <c r="P283">
        <v>4.2839611913678549E-3</v>
      </c>
      <c r="Q283" t="s">
        <v>154</v>
      </c>
      <c r="S283" t="s">
        <v>239</v>
      </c>
      <c r="T283" t="s">
        <v>162</v>
      </c>
      <c r="U283">
        <v>2.8924086212771269E-3</v>
      </c>
      <c r="V283" t="s">
        <v>154</v>
      </c>
    </row>
    <row r="284" spans="9:22" x14ac:dyDescent="0.25">
      <c r="I284" t="s">
        <v>178</v>
      </c>
      <c r="J284" t="s">
        <v>287</v>
      </c>
      <c r="K284">
        <v>0</v>
      </c>
      <c r="L284" t="s">
        <v>154</v>
      </c>
      <c r="N284" t="s">
        <v>208</v>
      </c>
      <c r="O284" t="s">
        <v>287</v>
      </c>
      <c r="P284">
        <v>3.4269340979750699E-3</v>
      </c>
      <c r="Q284" t="s">
        <v>154</v>
      </c>
      <c r="S284" t="s">
        <v>239</v>
      </c>
      <c r="T284" t="s">
        <v>287</v>
      </c>
      <c r="U284">
        <v>2.743583758247195E-3</v>
      </c>
      <c r="V284" t="s">
        <v>154</v>
      </c>
    </row>
    <row r="285" spans="9:22" x14ac:dyDescent="0.25">
      <c r="I285" t="s">
        <v>178</v>
      </c>
      <c r="J285" t="s">
        <v>288</v>
      </c>
      <c r="K285">
        <v>0</v>
      </c>
      <c r="L285" t="s">
        <v>154</v>
      </c>
      <c r="N285" t="s">
        <v>208</v>
      </c>
      <c r="O285" t="s">
        <v>288</v>
      </c>
      <c r="P285">
        <v>1.2081286500544778E-2</v>
      </c>
      <c r="Q285" t="s">
        <v>154</v>
      </c>
      <c r="S285" t="s">
        <v>239</v>
      </c>
      <c r="T285" t="s">
        <v>288</v>
      </c>
      <c r="U285">
        <v>1.4494766313164299E-2</v>
      </c>
      <c r="V285" t="s">
        <v>154</v>
      </c>
    </row>
    <row r="286" spans="9:22" x14ac:dyDescent="0.25">
      <c r="I286" t="s">
        <v>178</v>
      </c>
      <c r="J286" t="s">
        <v>163</v>
      </c>
      <c r="K286">
        <v>5.9472829805556167E-3</v>
      </c>
      <c r="L286" t="s">
        <v>154</v>
      </c>
      <c r="N286" t="s">
        <v>208</v>
      </c>
      <c r="O286" t="s">
        <v>163</v>
      </c>
      <c r="P286">
        <v>4.4356455465753883E-2</v>
      </c>
      <c r="Q286" t="s">
        <v>154</v>
      </c>
      <c r="S286" t="s">
        <v>239</v>
      </c>
      <c r="T286" t="s">
        <v>163</v>
      </c>
      <c r="U286">
        <v>5.7861248149346935E-2</v>
      </c>
      <c r="V286" t="s">
        <v>154</v>
      </c>
    </row>
    <row r="287" spans="9:22" x14ac:dyDescent="0.25">
      <c r="I287" t="s">
        <v>178</v>
      </c>
      <c r="J287" t="s">
        <v>164</v>
      </c>
      <c r="K287">
        <v>6.815877867098552E-2</v>
      </c>
      <c r="L287" t="s">
        <v>154</v>
      </c>
      <c r="N287" t="s">
        <v>208</v>
      </c>
      <c r="O287" t="s">
        <v>164</v>
      </c>
      <c r="P287">
        <v>7.2069427670397909E-2</v>
      </c>
      <c r="Q287" t="s">
        <v>154</v>
      </c>
      <c r="S287" t="s">
        <v>239</v>
      </c>
      <c r="T287" t="s">
        <v>164</v>
      </c>
      <c r="U287">
        <v>4.8654906378291819E-2</v>
      </c>
      <c r="V287" t="s">
        <v>154</v>
      </c>
    </row>
    <row r="288" spans="9:22" x14ac:dyDescent="0.25">
      <c r="I288" t="s">
        <v>178</v>
      </c>
      <c r="J288" t="s">
        <v>165</v>
      </c>
      <c r="K288">
        <v>0</v>
      </c>
      <c r="L288" t="s">
        <v>154</v>
      </c>
      <c r="N288" t="s">
        <v>208</v>
      </c>
      <c r="O288" t="s">
        <v>165</v>
      </c>
      <c r="P288">
        <v>9.3734376661200776E-3</v>
      </c>
      <c r="Q288" t="s">
        <v>154</v>
      </c>
      <c r="S288" t="s">
        <v>239</v>
      </c>
      <c r="T288" t="s">
        <v>165</v>
      </c>
      <c r="U288">
        <v>6.172647946665266E-3</v>
      </c>
      <c r="V288" t="s">
        <v>154</v>
      </c>
    </row>
    <row r="289" spans="9:22" x14ac:dyDescent="0.25">
      <c r="I289" t="s">
        <v>178</v>
      </c>
      <c r="J289" t="s">
        <v>289</v>
      </c>
      <c r="K289">
        <v>0</v>
      </c>
      <c r="L289" t="s">
        <v>154</v>
      </c>
      <c r="N289" t="s">
        <v>208</v>
      </c>
      <c r="O289" t="s">
        <v>289</v>
      </c>
      <c r="P289">
        <v>8.3789696544446183E-3</v>
      </c>
      <c r="Q289" t="s">
        <v>154</v>
      </c>
      <c r="S289" t="s">
        <v>239</v>
      </c>
      <c r="T289" t="s">
        <v>289</v>
      </c>
      <c r="U289">
        <v>5.8576572871213602E-3</v>
      </c>
      <c r="V289" t="s">
        <v>154</v>
      </c>
    </row>
    <row r="290" spans="9:22" x14ac:dyDescent="0.25">
      <c r="I290" t="s">
        <v>178</v>
      </c>
      <c r="J290" t="s">
        <v>290</v>
      </c>
      <c r="K290">
        <v>0</v>
      </c>
      <c r="L290" t="s">
        <v>154</v>
      </c>
      <c r="N290" t="s">
        <v>208</v>
      </c>
      <c r="O290" t="s">
        <v>290</v>
      </c>
      <c r="P290">
        <v>3.3855899899474101E-2</v>
      </c>
      <c r="Q290" t="s">
        <v>154</v>
      </c>
      <c r="S290" t="s">
        <v>239</v>
      </c>
      <c r="T290" t="s">
        <v>290</v>
      </c>
      <c r="U290">
        <v>2.9800428321962922E-2</v>
      </c>
      <c r="V290" t="s">
        <v>154</v>
      </c>
    </row>
    <row r="291" spans="9:22" x14ac:dyDescent="0.25">
      <c r="I291" t="s">
        <v>179</v>
      </c>
      <c r="J291" t="s">
        <v>153</v>
      </c>
      <c r="K291">
        <v>2.9929115310071454E-3</v>
      </c>
      <c r="L291" t="s">
        <v>154</v>
      </c>
      <c r="N291" t="s">
        <v>209</v>
      </c>
      <c r="O291" t="s">
        <v>153</v>
      </c>
      <c r="P291">
        <v>4.5120036574694537E-2</v>
      </c>
      <c r="Q291" t="s">
        <v>154</v>
      </c>
      <c r="S291" t="s">
        <v>240</v>
      </c>
      <c r="T291" t="s">
        <v>153</v>
      </c>
      <c r="U291">
        <v>4.5044884205820312E-2</v>
      </c>
      <c r="V291" t="s">
        <v>154</v>
      </c>
    </row>
    <row r="292" spans="9:22" x14ac:dyDescent="0.25">
      <c r="I292" t="s">
        <v>179</v>
      </c>
      <c r="J292" t="s">
        <v>155</v>
      </c>
      <c r="K292">
        <v>5.876063200226149E-2</v>
      </c>
      <c r="L292" t="s">
        <v>154</v>
      </c>
      <c r="N292" t="s">
        <v>209</v>
      </c>
      <c r="O292" t="s">
        <v>155</v>
      </c>
      <c r="P292">
        <v>3.8661884432045469E-2</v>
      </c>
      <c r="Q292" t="s">
        <v>154</v>
      </c>
      <c r="S292" t="s">
        <v>240</v>
      </c>
      <c r="T292" t="s">
        <v>155</v>
      </c>
      <c r="U292">
        <v>3.757576078298739E-2</v>
      </c>
      <c r="V292" t="s">
        <v>154</v>
      </c>
    </row>
    <row r="293" spans="9:22" x14ac:dyDescent="0.25">
      <c r="I293" t="s">
        <v>179</v>
      </c>
      <c r="J293" t="s">
        <v>156</v>
      </c>
      <c r="K293">
        <v>3.7209756138212427E-4</v>
      </c>
      <c r="L293" t="s">
        <v>154</v>
      </c>
      <c r="N293" t="s">
        <v>209</v>
      </c>
      <c r="O293" t="s">
        <v>156</v>
      </c>
      <c r="P293">
        <v>5.0988622614550052E-3</v>
      </c>
      <c r="Q293" t="s">
        <v>154</v>
      </c>
      <c r="S293" t="s">
        <v>240</v>
      </c>
      <c r="T293" t="s">
        <v>156</v>
      </c>
      <c r="U293">
        <v>4.9735183973304521E-3</v>
      </c>
      <c r="V293" t="s">
        <v>154</v>
      </c>
    </row>
    <row r="294" spans="9:22" x14ac:dyDescent="0.25">
      <c r="I294" t="s">
        <v>179</v>
      </c>
      <c r="J294" t="s">
        <v>283</v>
      </c>
      <c r="K294">
        <v>0</v>
      </c>
      <c r="L294" t="s">
        <v>154</v>
      </c>
      <c r="N294" t="s">
        <v>209</v>
      </c>
      <c r="O294" t="s">
        <v>283</v>
      </c>
      <c r="P294">
        <v>5.0958755841288995E-3</v>
      </c>
      <c r="Q294" t="s">
        <v>154</v>
      </c>
      <c r="S294" t="s">
        <v>240</v>
      </c>
      <c r="T294" t="s">
        <v>283</v>
      </c>
      <c r="U294">
        <v>4.682671149745677E-3</v>
      </c>
      <c r="V294" t="s">
        <v>154</v>
      </c>
    </row>
    <row r="295" spans="9:22" x14ac:dyDescent="0.25">
      <c r="I295" t="s">
        <v>179</v>
      </c>
      <c r="J295" t="s">
        <v>284</v>
      </c>
      <c r="K295">
        <v>0</v>
      </c>
      <c r="L295" t="s">
        <v>154</v>
      </c>
      <c r="N295" t="s">
        <v>209</v>
      </c>
      <c r="O295" t="s">
        <v>284</v>
      </c>
      <c r="P295">
        <v>2.3857561348186337E-2</v>
      </c>
      <c r="Q295" t="s">
        <v>154</v>
      </c>
      <c r="S295" t="s">
        <v>240</v>
      </c>
      <c r="T295" t="s">
        <v>284</v>
      </c>
      <c r="U295">
        <v>2.3208177017787122E-2</v>
      </c>
      <c r="V295" t="s">
        <v>154</v>
      </c>
    </row>
    <row r="296" spans="9:22" x14ac:dyDescent="0.25">
      <c r="I296" t="s">
        <v>179</v>
      </c>
      <c r="J296" t="s">
        <v>157</v>
      </c>
      <c r="K296">
        <v>0.11634293194079781</v>
      </c>
      <c r="L296" t="s">
        <v>154</v>
      </c>
      <c r="N296" t="s">
        <v>209</v>
      </c>
      <c r="O296" t="s">
        <v>157</v>
      </c>
      <c r="P296">
        <v>0.23252966703685674</v>
      </c>
      <c r="Q296" t="s">
        <v>154</v>
      </c>
      <c r="S296" t="s">
        <v>240</v>
      </c>
      <c r="T296" t="s">
        <v>157</v>
      </c>
      <c r="U296">
        <v>0.26114193555324516</v>
      </c>
      <c r="V296" t="s">
        <v>154</v>
      </c>
    </row>
    <row r="297" spans="9:22" x14ac:dyDescent="0.25">
      <c r="I297" t="s">
        <v>179</v>
      </c>
      <c r="J297" t="s">
        <v>158</v>
      </c>
      <c r="K297">
        <v>0.64480131000662855</v>
      </c>
      <c r="L297" t="s">
        <v>154</v>
      </c>
      <c r="N297" t="s">
        <v>209</v>
      </c>
      <c r="O297" t="s">
        <v>158</v>
      </c>
      <c r="P297">
        <v>0.23346179617640347</v>
      </c>
      <c r="Q297" t="s">
        <v>154</v>
      </c>
      <c r="S297" t="s">
        <v>240</v>
      </c>
      <c r="T297" t="s">
        <v>158</v>
      </c>
      <c r="U297">
        <v>0.21073619767741367</v>
      </c>
      <c r="V297" t="s">
        <v>154</v>
      </c>
    </row>
    <row r="298" spans="9:22" x14ac:dyDescent="0.25">
      <c r="I298" t="s">
        <v>179</v>
      </c>
      <c r="J298" t="s">
        <v>159</v>
      </c>
      <c r="K298">
        <v>4.477874460582458E-2</v>
      </c>
      <c r="L298" t="s">
        <v>154</v>
      </c>
      <c r="N298" t="s">
        <v>209</v>
      </c>
      <c r="O298" t="s">
        <v>159</v>
      </c>
      <c r="P298">
        <v>3.1822694213019503E-2</v>
      </c>
      <c r="Q298" t="s">
        <v>154</v>
      </c>
      <c r="S298" t="s">
        <v>240</v>
      </c>
      <c r="T298" t="s">
        <v>159</v>
      </c>
      <c r="U298">
        <v>2.9704268188353873E-2</v>
      </c>
      <c r="V298" t="s">
        <v>154</v>
      </c>
    </row>
    <row r="299" spans="9:22" x14ac:dyDescent="0.25">
      <c r="I299" t="s">
        <v>179</v>
      </c>
      <c r="J299" t="s">
        <v>285</v>
      </c>
      <c r="K299">
        <v>2.177147862677381E-2</v>
      </c>
      <c r="L299" t="s">
        <v>154</v>
      </c>
      <c r="N299" t="s">
        <v>209</v>
      </c>
      <c r="O299" t="s">
        <v>285</v>
      </c>
      <c r="P299">
        <v>3.141964185849868E-2</v>
      </c>
      <c r="Q299" t="s">
        <v>154</v>
      </c>
      <c r="S299" t="s">
        <v>240</v>
      </c>
      <c r="T299" t="s">
        <v>285</v>
      </c>
      <c r="U299">
        <v>2.578148971055258E-2</v>
      </c>
      <c r="V299" t="s">
        <v>154</v>
      </c>
    </row>
    <row r="300" spans="9:22" x14ac:dyDescent="0.25">
      <c r="I300" t="s">
        <v>179</v>
      </c>
      <c r="J300" t="s">
        <v>286</v>
      </c>
      <c r="K300">
        <v>6.3941683843773975E-3</v>
      </c>
      <c r="L300" t="s">
        <v>154</v>
      </c>
      <c r="N300" t="s">
        <v>209</v>
      </c>
      <c r="O300" t="s">
        <v>286</v>
      </c>
      <c r="P300">
        <v>0.14031850946325367</v>
      </c>
      <c r="Q300" t="s">
        <v>154</v>
      </c>
      <c r="S300" t="s">
        <v>240</v>
      </c>
      <c r="T300" t="s">
        <v>286</v>
      </c>
      <c r="U300">
        <v>0.14538953436079577</v>
      </c>
      <c r="V300" t="s">
        <v>154</v>
      </c>
    </row>
    <row r="301" spans="9:22" x14ac:dyDescent="0.25">
      <c r="I301" t="s">
        <v>179</v>
      </c>
      <c r="J301" t="s">
        <v>160</v>
      </c>
      <c r="K301">
        <v>5.0747383593455538E-3</v>
      </c>
      <c r="L301" t="s">
        <v>154</v>
      </c>
      <c r="N301" t="s">
        <v>209</v>
      </c>
      <c r="O301" t="s">
        <v>160</v>
      </c>
      <c r="P301">
        <v>2.2528204523980223E-2</v>
      </c>
      <c r="Q301" t="s">
        <v>154</v>
      </c>
      <c r="S301" t="s">
        <v>240</v>
      </c>
      <c r="T301" t="s">
        <v>160</v>
      </c>
      <c r="U301">
        <v>2.6784278349793106E-2</v>
      </c>
      <c r="V301" t="s">
        <v>154</v>
      </c>
    </row>
    <row r="302" spans="9:22" x14ac:dyDescent="0.25">
      <c r="I302" t="s">
        <v>179</v>
      </c>
      <c r="J302" t="s">
        <v>161</v>
      </c>
      <c r="K302">
        <v>4.2918531725462214E-2</v>
      </c>
      <c r="L302" t="s">
        <v>154</v>
      </c>
      <c r="N302" t="s">
        <v>209</v>
      </c>
      <c r="O302" t="s">
        <v>161</v>
      </c>
      <c r="P302">
        <v>2.598756627402752E-2</v>
      </c>
      <c r="Q302" t="s">
        <v>154</v>
      </c>
      <c r="S302" t="s">
        <v>240</v>
      </c>
      <c r="T302" t="s">
        <v>161</v>
      </c>
      <c r="U302">
        <v>2.2901687521445859E-2</v>
      </c>
      <c r="V302" t="s">
        <v>154</v>
      </c>
    </row>
    <row r="303" spans="9:22" x14ac:dyDescent="0.25">
      <c r="I303" t="s">
        <v>179</v>
      </c>
      <c r="J303" t="s">
        <v>162</v>
      </c>
      <c r="K303">
        <v>0</v>
      </c>
      <c r="L303" t="s">
        <v>154</v>
      </c>
      <c r="N303" t="s">
        <v>209</v>
      </c>
      <c r="O303" t="s">
        <v>162</v>
      </c>
      <c r="P303">
        <v>3.5090709563624298E-3</v>
      </c>
      <c r="Q303" t="s">
        <v>154</v>
      </c>
      <c r="S303" t="s">
        <v>240</v>
      </c>
      <c r="T303" t="s">
        <v>162</v>
      </c>
      <c r="U303">
        <v>2.9782960519817835E-3</v>
      </c>
      <c r="V303" t="s">
        <v>154</v>
      </c>
    </row>
    <row r="304" spans="9:22" x14ac:dyDescent="0.25">
      <c r="I304" t="s">
        <v>179</v>
      </c>
      <c r="J304" t="s">
        <v>287</v>
      </c>
      <c r="K304">
        <v>0</v>
      </c>
      <c r="L304" t="s">
        <v>154</v>
      </c>
      <c r="N304" t="s">
        <v>209</v>
      </c>
      <c r="O304" t="s">
        <v>287</v>
      </c>
      <c r="P304">
        <v>3.2830736881248167E-3</v>
      </c>
      <c r="Q304" t="s">
        <v>154</v>
      </c>
      <c r="S304" t="s">
        <v>240</v>
      </c>
      <c r="T304" t="s">
        <v>287</v>
      </c>
      <c r="U304">
        <v>2.7903406902189121E-3</v>
      </c>
      <c r="V304" t="s">
        <v>154</v>
      </c>
    </row>
    <row r="305" spans="9:22" x14ac:dyDescent="0.25">
      <c r="I305" t="s">
        <v>179</v>
      </c>
      <c r="J305" t="s">
        <v>288</v>
      </c>
      <c r="K305">
        <v>0</v>
      </c>
      <c r="L305" t="s">
        <v>154</v>
      </c>
      <c r="N305" t="s">
        <v>209</v>
      </c>
      <c r="O305" t="s">
        <v>288</v>
      </c>
      <c r="P305">
        <v>1.3790707381500547E-2</v>
      </c>
      <c r="Q305" t="s">
        <v>154</v>
      </c>
      <c r="S305" t="s">
        <v>240</v>
      </c>
      <c r="T305" t="s">
        <v>288</v>
      </c>
      <c r="U305">
        <v>1.4049309413232647E-2</v>
      </c>
      <c r="V305" t="s">
        <v>154</v>
      </c>
    </row>
    <row r="306" spans="9:22" x14ac:dyDescent="0.25">
      <c r="I306" t="s">
        <v>179</v>
      </c>
      <c r="J306" t="s">
        <v>163</v>
      </c>
      <c r="K306">
        <v>3.5452730605669827E-3</v>
      </c>
      <c r="L306" t="s">
        <v>154</v>
      </c>
      <c r="N306" t="s">
        <v>209</v>
      </c>
      <c r="O306" t="s">
        <v>163</v>
      </c>
      <c r="P306">
        <v>4.9570612223093335E-2</v>
      </c>
      <c r="Q306" t="s">
        <v>154</v>
      </c>
      <c r="S306" t="s">
        <v>240</v>
      </c>
      <c r="T306" t="s">
        <v>163</v>
      </c>
      <c r="U306">
        <v>5.4939944974435148E-2</v>
      </c>
      <c r="V306" t="s">
        <v>154</v>
      </c>
    </row>
    <row r="307" spans="9:22" x14ac:dyDescent="0.25">
      <c r="I307" t="s">
        <v>179</v>
      </c>
      <c r="J307" t="s">
        <v>164</v>
      </c>
      <c r="K307">
        <v>5.224718219557388E-2</v>
      </c>
      <c r="L307" t="s">
        <v>154</v>
      </c>
      <c r="N307" t="s">
        <v>209</v>
      </c>
      <c r="O307" t="s">
        <v>164</v>
      </c>
      <c r="P307">
        <v>5.1129708427142311E-2</v>
      </c>
      <c r="Q307" t="s">
        <v>154</v>
      </c>
      <c r="S307" t="s">
        <v>240</v>
      </c>
      <c r="T307" t="s">
        <v>164</v>
      </c>
      <c r="U307">
        <v>4.6069191917592754E-2</v>
      </c>
      <c r="V307" t="s">
        <v>154</v>
      </c>
    </row>
    <row r="308" spans="9:22" x14ac:dyDescent="0.25">
      <c r="I308" t="s">
        <v>179</v>
      </c>
      <c r="J308" t="s">
        <v>165</v>
      </c>
      <c r="K308">
        <v>0</v>
      </c>
      <c r="L308" t="s">
        <v>154</v>
      </c>
      <c r="N308" t="s">
        <v>209</v>
      </c>
      <c r="O308" t="s">
        <v>165</v>
      </c>
      <c r="P308">
        <v>6.6469115761394679E-3</v>
      </c>
      <c r="Q308" t="s">
        <v>154</v>
      </c>
      <c r="S308" t="s">
        <v>240</v>
      </c>
      <c r="T308" t="s">
        <v>165</v>
      </c>
      <c r="U308">
        <v>5.9583933918486839E-3</v>
      </c>
      <c r="V308" t="s">
        <v>154</v>
      </c>
    </row>
    <row r="309" spans="9:22" x14ac:dyDescent="0.25">
      <c r="I309" t="s">
        <v>179</v>
      </c>
      <c r="J309" t="s">
        <v>289</v>
      </c>
      <c r="K309">
        <v>0</v>
      </c>
      <c r="L309" t="s">
        <v>154</v>
      </c>
      <c r="N309" t="s">
        <v>209</v>
      </c>
      <c r="O309" t="s">
        <v>289</v>
      </c>
      <c r="P309">
        <v>6.4136552113767276E-3</v>
      </c>
      <c r="Q309" t="s">
        <v>154</v>
      </c>
      <c r="S309" t="s">
        <v>240</v>
      </c>
      <c r="T309" t="s">
        <v>289</v>
      </c>
      <c r="U309">
        <v>5.847135226806353E-3</v>
      </c>
      <c r="V309" t="s">
        <v>154</v>
      </c>
    </row>
    <row r="310" spans="9:22" x14ac:dyDescent="0.25">
      <c r="I310" t="s">
        <v>179</v>
      </c>
      <c r="J310" t="s">
        <v>290</v>
      </c>
      <c r="K310">
        <v>0</v>
      </c>
      <c r="L310" t="s">
        <v>154</v>
      </c>
      <c r="N310" t="s">
        <v>209</v>
      </c>
      <c r="O310" t="s">
        <v>290</v>
      </c>
      <c r="P310">
        <v>2.9753960789710394E-2</v>
      </c>
      <c r="Q310" t="s">
        <v>154</v>
      </c>
      <c r="S310" t="s">
        <v>240</v>
      </c>
      <c r="T310" t="s">
        <v>290</v>
      </c>
      <c r="U310">
        <v>2.9442985418614478E-2</v>
      </c>
      <c r="V310" t="s">
        <v>154</v>
      </c>
    </row>
    <row r="311" spans="9:22" x14ac:dyDescent="0.25">
      <c r="I311" t="s">
        <v>180</v>
      </c>
      <c r="J311" t="s">
        <v>153</v>
      </c>
      <c r="K311">
        <v>2.9833846125980139E-3</v>
      </c>
      <c r="L311" t="s">
        <v>154</v>
      </c>
      <c r="N311" t="s">
        <v>210</v>
      </c>
      <c r="O311" t="s">
        <v>153</v>
      </c>
      <c r="P311">
        <v>4.1781572741605551E-2</v>
      </c>
      <c r="Q311" t="s">
        <v>154</v>
      </c>
      <c r="S311" t="s">
        <v>241</v>
      </c>
      <c r="T311" t="s">
        <v>153</v>
      </c>
      <c r="U311">
        <v>5.3360501461309405E-2</v>
      </c>
      <c r="V311" t="s">
        <v>154</v>
      </c>
    </row>
    <row r="312" spans="9:22" x14ac:dyDescent="0.25">
      <c r="I312" t="s">
        <v>180</v>
      </c>
      <c r="J312" t="s">
        <v>155</v>
      </c>
      <c r="K312">
        <v>5.6608685453848846E-2</v>
      </c>
      <c r="L312" t="s">
        <v>154</v>
      </c>
      <c r="N312" t="s">
        <v>210</v>
      </c>
      <c r="O312" t="s">
        <v>155</v>
      </c>
      <c r="P312">
        <v>3.7891450410972458E-2</v>
      </c>
      <c r="Q312" t="s">
        <v>154</v>
      </c>
      <c r="S312" t="s">
        <v>241</v>
      </c>
      <c r="T312" t="s">
        <v>155</v>
      </c>
      <c r="U312">
        <v>4.5234375564703749E-2</v>
      </c>
      <c r="V312" t="s">
        <v>154</v>
      </c>
    </row>
    <row r="313" spans="9:22" x14ac:dyDescent="0.25">
      <c r="I313" t="s">
        <v>180</v>
      </c>
      <c r="J313" t="s">
        <v>156</v>
      </c>
      <c r="K313">
        <v>2.6560430327352702E-4</v>
      </c>
      <c r="L313" t="s">
        <v>154</v>
      </c>
      <c r="N313" t="s">
        <v>210</v>
      </c>
      <c r="O313" t="s">
        <v>156</v>
      </c>
      <c r="P313">
        <v>5.7804104872022843E-3</v>
      </c>
      <c r="Q313" t="s">
        <v>154</v>
      </c>
      <c r="S313" t="s">
        <v>241</v>
      </c>
      <c r="T313" t="s">
        <v>156</v>
      </c>
      <c r="U313">
        <v>5.3815426811298899E-3</v>
      </c>
      <c r="V313" t="s">
        <v>154</v>
      </c>
    </row>
    <row r="314" spans="9:22" x14ac:dyDescent="0.25">
      <c r="I314" t="s">
        <v>180</v>
      </c>
      <c r="J314" t="s">
        <v>283</v>
      </c>
      <c r="K314">
        <v>0</v>
      </c>
      <c r="L314" t="s">
        <v>154</v>
      </c>
      <c r="N314" t="s">
        <v>210</v>
      </c>
      <c r="O314" t="s">
        <v>283</v>
      </c>
      <c r="P314">
        <v>5.7606356473289093E-3</v>
      </c>
      <c r="Q314" t="s">
        <v>154</v>
      </c>
      <c r="S314" t="s">
        <v>241</v>
      </c>
      <c r="T314" t="s">
        <v>283</v>
      </c>
      <c r="U314">
        <v>5.474452096893177E-3</v>
      </c>
      <c r="V314" t="s">
        <v>154</v>
      </c>
    </row>
    <row r="315" spans="9:22" x14ac:dyDescent="0.25">
      <c r="I315" t="s">
        <v>180</v>
      </c>
      <c r="J315" t="s">
        <v>284</v>
      </c>
      <c r="K315">
        <v>0</v>
      </c>
      <c r="L315" t="s">
        <v>154</v>
      </c>
      <c r="N315" t="s">
        <v>210</v>
      </c>
      <c r="O315" t="s">
        <v>284</v>
      </c>
      <c r="P315">
        <v>2.6046521091763655E-2</v>
      </c>
      <c r="Q315" t="s">
        <v>154</v>
      </c>
      <c r="S315" t="s">
        <v>241</v>
      </c>
      <c r="T315" t="s">
        <v>284</v>
      </c>
      <c r="U315">
        <v>2.6952311786712885E-2</v>
      </c>
      <c r="V315" t="s">
        <v>154</v>
      </c>
    </row>
    <row r="316" spans="9:22" x14ac:dyDescent="0.25">
      <c r="I316" t="s">
        <v>180</v>
      </c>
      <c r="J316" t="s">
        <v>157</v>
      </c>
      <c r="K316">
        <v>0.11643141815910825</v>
      </c>
      <c r="L316" t="s">
        <v>154</v>
      </c>
      <c r="N316" t="s">
        <v>210</v>
      </c>
      <c r="O316" t="s">
        <v>157</v>
      </c>
      <c r="P316">
        <v>0.24746860053223227</v>
      </c>
      <c r="Q316" t="s">
        <v>154</v>
      </c>
      <c r="S316" t="s">
        <v>241</v>
      </c>
      <c r="T316" t="s">
        <v>157</v>
      </c>
      <c r="U316">
        <v>0.22968760759762699</v>
      </c>
      <c r="V316" t="s">
        <v>154</v>
      </c>
    </row>
    <row r="317" spans="9:22" x14ac:dyDescent="0.25">
      <c r="I317" t="s">
        <v>180</v>
      </c>
      <c r="J317" t="s">
        <v>158</v>
      </c>
      <c r="K317">
        <v>0.65055299126695476</v>
      </c>
      <c r="L317" t="s">
        <v>154</v>
      </c>
      <c r="N317" t="s">
        <v>210</v>
      </c>
      <c r="O317" t="s">
        <v>158</v>
      </c>
      <c r="P317">
        <v>0.2236727997684437</v>
      </c>
      <c r="Q317" t="s">
        <v>154</v>
      </c>
      <c r="S317" t="s">
        <v>241</v>
      </c>
      <c r="T317" t="s">
        <v>158</v>
      </c>
      <c r="U317">
        <v>0.21439927688414337</v>
      </c>
      <c r="V317" t="s">
        <v>154</v>
      </c>
    </row>
    <row r="318" spans="9:22" x14ac:dyDescent="0.25">
      <c r="I318" t="s">
        <v>180</v>
      </c>
      <c r="J318" t="s">
        <v>159</v>
      </c>
      <c r="K318">
        <v>4.4454033248605571E-2</v>
      </c>
      <c r="L318" t="s">
        <v>154</v>
      </c>
      <c r="N318" t="s">
        <v>210</v>
      </c>
      <c r="O318" t="s">
        <v>159</v>
      </c>
      <c r="P318">
        <v>2.9005674473256349E-2</v>
      </c>
      <c r="Q318" t="s">
        <v>154</v>
      </c>
      <c r="S318" t="s">
        <v>241</v>
      </c>
      <c r="T318" t="s">
        <v>159</v>
      </c>
      <c r="U318">
        <v>2.7657510997176237E-2</v>
      </c>
      <c r="V318" t="s">
        <v>154</v>
      </c>
    </row>
    <row r="319" spans="9:22" x14ac:dyDescent="0.25">
      <c r="I319" t="s">
        <v>180</v>
      </c>
      <c r="J319" t="s">
        <v>285</v>
      </c>
      <c r="K319">
        <v>2.1387723984409E-2</v>
      </c>
      <c r="L319" t="s">
        <v>154</v>
      </c>
      <c r="N319" t="s">
        <v>210</v>
      </c>
      <c r="O319" t="s">
        <v>285</v>
      </c>
      <c r="P319">
        <v>2.8286485106928373E-2</v>
      </c>
      <c r="Q319" t="s">
        <v>154</v>
      </c>
      <c r="S319" t="s">
        <v>241</v>
      </c>
      <c r="T319" t="s">
        <v>285</v>
      </c>
      <c r="U319">
        <v>2.7187355113917119E-2</v>
      </c>
      <c r="V319" t="s">
        <v>154</v>
      </c>
    </row>
    <row r="320" spans="9:22" x14ac:dyDescent="0.25">
      <c r="I320" t="s">
        <v>180</v>
      </c>
      <c r="J320" t="s">
        <v>286</v>
      </c>
      <c r="K320">
        <v>6.0853264725964692E-3</v>
      </c>
      <c r="L320" t="s">
        <v>154</v>
      </c>
      <c r="N320" t="s">
        <v>210</v>
      </c>
      <c r="O320" t="s">
        <v>286</v>
      </c>
      <c r="P320">
        <v>0.12500008219713785</v>
      </c>
      <c r="Q320" t="s">
        <v>154</v>
      </c>
      <c r="S320" t="s">
        <v>241</v>
      </c>
      <c r="T320" t="s">
        <v>286</v>
      </c>
      <c r="U320">
        <v>0.12946877706793755</v>
      </c>
      <c r="V320" t="s">
        <v>154</v>
      </c>
    </row>
    <row r="321" spans="9:22" x14ac:dyDescent="0.25">
      <c r="I321" t="s">
        <v>180</v>
      </c>
      <c r="J321" t="s">
        <v>160</v>
      </c>
      <c r="K321">
        <v>5.0313116107326529E-3</v>
      </c>
      <c r="L321" t="s">
        <v>154</v>
      </c>
      <c r="N321" t="s">
        <v>210</v>
      </c>
      <c r="O321" t="s">
        <v>160</v>
      </c>
      <c r="P321">
        <v>2.7381671313101461E-2</v>
      </c>
      <c r="Q321" t="s">
        <v>154</v>
      </c>
      <c r="S321" t="s">
        <v>241</v>
      </c>
      <c r="T321" t="s">
        <v>160</v>
      </c>
      <c r="U321">
        <v>2.8620911792142944E-2</v>
      </c>
      <c r="V321" t="s">
        <v>154</v>
      </c>
    </row>
    <row r="322" spans="9:22" x14ac:dyDescent="0.25">
      <c r="I322" t="s">
        <v>180</v>
      </c>
      <c r="J322" t="s">
        <v>161</v>
      </c>
      <c r="K322">
        <v>4.3206718257025177E-2</v>
      </c>
      <c r="L322" t="s">
        <v>154</v>
      </c>
      <c r="N322" t="s">
        <v>210</v>
      </c>
      <c r="O322" t="s">
        <v>161</v>
      </c>
      <c r="P322">
        <v>2.6010888939163004E-2</v>
      </c>
      <c r="Q322" t="s">
        <v>154</v>
      </c>
      <c r="S322" t="s">
        <v>241</v>
      </c>
      <c r="T322" t="s">
        <v>161</v>
      </c>
      <c r="U322">
        <v>2.5776749272489644E-2</v>
      </c>
      <c r="V322" t="s">
        <v>154</v>
      </c>
    </row>
    <row r="323" spans="9:22" x14ac:dyDescent="0.25">
      <c r="I323" t="s">
        <v>180</v>
      </c>
      <c r="J323" t="s">
        <v>162</v>
      </c>
      <c r="K323">
        <v>0</v>
      </c>
      <c r="L323" t="s">
        <v>154</v>
      </c>
      <c r="N323" t="s">
        <v>210</v>
      </c>
      <c r="O323" t="s">
        <v>162</v>
      </c>
      <c r="P323">
        <v>3.2612724054620111E-3</v>
      </c>
      <c r="Q323" t="s">
        <v>154</v>
      </c>
      <c r="S323" t="s">
        <v>241</v>
      </c>
      <c r="T323" t="s">
        <v>162</v>
      </c>
      <c r="U323">
        <v>3.4919820466102138E-3</v>
      </c>
      <c r="V323" t="s">
        <v>154</v>
      </c>
    </row>
    <row r="324" spans="9:22" x14ac:dyDescent="0.25">
      <c r="I324" t="s">
        <v>180</v>
      </c>
      <c r="J324" t="s">
        <v>287</v>
      </c>
      <c r="K324">
        <v>0</v>
      </c>
      <c r="L324" t="s">
        <v>154</v>
      </c>
      <c r="N324" t="s">
        <v>210</v>
      </c>
      <c r="O324" t="s">
        <v>287</v>
      </c>
      <c r="P324">
        <v>3.2424611822747893E-3</v>
      </c>
      <c r="Q324" t="s">
        <v>154</v>
      </c>
      <c r="S324" t="s">
        <v>241</v>
      </c>
      <c r="T324" t="s">
        <v>287</v>
      </c>
      <c r="U324">
        <v>3.4961554338325753E-3</v>
      </c>
      <c r="V324" t="s">
        <v>154</v>
      </c>
    </row>
    <row r="325" spans="9:22" x14ac:dyDescent="0.25">
      <c r="I325" t="s">
        <v>180</v>
      </c>
      <c r="J325" t="s">
        <v>288</v>
      </c>
      <c r="K325">
        <v>0</v>
      </c>
      <c r="L325" t="s">
        <v>154</v>
      </c>
      <c r="N325" t="s">
        <v>210</v>
      </c>
      <c r="O325" t="s">
        <v>288</v>
      </c>
      <c r="P325">
        <v>1.5284013299630113E-2</v>
      </c>
      <c r="Q325" t="s">
        <v>154</v>
      </c>
      <c r="S325" t="s">
        <v>241</v>
      </c>
      <c r="T325" t="s">
        <v>288</v>
      </c>
      <c r="U325">
        <v>1.6135023319957434E-2</v>
      </c>
      <c r="V325" t="s">
        <v>154</v>
      </c>
    </row>
    <row r="326" spans="9:22" x14ac:dyDescent="0.25">
      <c r="I326" t="s">
        <v>180</v>
      </c>
      <c r="J326" t="s">
        <v>163</v>
      </c>
      <c r="K326">
        <v>3.3649457258790225E-3</v>
      </c>
      <c r="L326" t="s">
        <v>154</v>
      </c>
      <c r="N326" t="s">
        <v>210</v>
      </c>
      <c r="O326" t="s">
        <v>163</v>
      </c>
      <c r="P326">
        <v>5.4816604625721244E-2</v>
      </c>
      <c r="Q326" t="s">
        <v>154</v>
      </c>
      <c r="S326" t="s">
        <v>241</v>
      </c>
      <c r="T326" t="s">
        <v>163</v>
      </c>
      <c r="U326">
        <v>6.0074065146221413E-2</v>
      </c>
      <c r="V326" t="s">
        <v>154</v>
      </c>
    </row>
    <row r="327" spans="9:22" x14ac:dyDescent="0.25">
      <c r="I327" t="s">
        <v>180</v>
      </c>
      <c r="J327" t="s">
        <v>164</v>
      </c>
      <c r="K327">
        <v>4.9627856904969923E-2</v>
      </c>
      <c r="L327" t="s">
        <v>154</v>
      </c>
      <c r="N327" t="s">
        <v>210</v>
      </c>
      <c r="O327" t="s">
        <v>164</v>
      </c>
      <c r="P327">
        <v>5.6133170865921816E-2</v>
      </c>
      <c r="Q327" t="s">
        <v>154</v>
      </c>
      <c r="S327" t="s">
        <v>241</v>
      </c>
      <c r="T327" t="s">
        <v>164</v>
      </c>
      <c r="U327">
        <v>5.0100546558253876E-2</v>
      </c>
      <c r="V327" t="s">
        <v>154</v>
      </c>
    </row>
    <row r="328" spans="9:22" x14ac:dyDescent="0.25">
      <c r="I328" t="s">
        <v>180</v>
      </c>
      <c r="J328" t="s">
        <v>165</v>
      </c>
      <c r="K328">
        <v>0</v>
      </c>
      <c r="L328" t="s">
        <v>154</v>
      </c>
      <c r="N328" t="s">
        <v>210</v>
      </c>
      <c r="O328" t="s">
        <v>165</v>
      </c>
      <c r="P328">
        <v>7.0272804256704454E-3</v>
      </c>
      <c r="Q328" t="s">
        <v>154</v>
      </c>
      <c r="S328" t="s">
        <v>241</v>
      </c>
      <c r="T328" t="s">
        <v>165</v>
      </c>
      <c r="U328">
        <v>6.5844598267144625E-3</v>
      </c>
      <c r="V328" t="s">
        <v>154</v>
      </c>
    </row>
    <row r="329" spans="9:22" x14ac:dyDescent="0.25">
      <c r="I329" t="s">
        <v>180</v>
      </c>
      <c r="J329" t="s">
        <v>289</v>
      </c>
      <c r="K329">
        <v>0</v>
      </c>
      <c r="L329" t="s">
        <v>154</v>
      </c>
      <c r="N329" t="s">
        <v>210</v>
      </c>
      <c r="O329" t="s">
        <v>289</v>
      </c>
      <c r="P329">
        <v>6.7788299402541333E-3</v>
      </c>
      <c r="Q329" t="s">
        <v>154</v>
      </c>
      <c r="S329" t="s">
        <v>241</v>
      </c>
      <c r="T329" t="s">
        <v>289</v>
      </c>
      <c r="U329">
        <v>6.6720878200557726E-3</v>
      </c>
      <c r="V329" t="s">
        <v>154</v>
      </c>
    </row>
    <row r="330" spans="9:22" x14ac:dyDescent="0.25">
      <c r="I330" t="s">
        <v>180</v>
      </c>
      <c r="J330" t="s">
        <v>290</v>
      </c>
      <c r="K330">
        <v>0</v>
      </c>
      <c r="L330" t="s">
        <v>154</v>
      </c>
      <c r="N330" t="s">
        <v>210</v>
      </c>
      <c r="O330" t="s">
        <v>290</v>
      </c>
      <c r="P330">
        <v>2.9369574545925349E-2</v>
      </c>
      <c r="Q330" t="s">
        <v>154</v>
      </c>
      <c r="S330" t="s">
        <v>241</v>
      </c>
      <c r="T330" t="s">
        <v>290</v>
      </c>
      <c r="U330">
        <v>3.4244307532174237E-2</v>
      </c>
      <c r="V330" t="s">
        <v>154</v>
      </c>
    </row>
    <row r="331" spans="9:22" x14ac:dyDescent="0.25">
      <c r="I331" t="s">
        <v>181</v>
      </c>
      <c r="J331" t="s">
        <v>153</v>
      </c>
      <c r="K331">
        <v>3.5327675708331555E-3</v>
      </c>
      <c r="L331" t="s">
        <v>154</v>
      </c>
      <c r="N331" t="s">
        <v>211</v>
      </c>
      <c r="O331" t="s">
        <v>153</v>
      </c>
      <c r="P331">
        <v>5.6881248510325916E-2</v>
      </c>
      <c r="Q331" t="s">
        <v>154</v>
      </c>
      <c r="S331" t="s">
        <v>242</v>
      </c>
      <c r="T331" t="s">
        <v>153</v>
      </c>
      <c r="U331">
        <v>5.0732301789657569E-2</v>
      </c>
      <c r="V331" t="s">
        <v>154</v>
      </c>
    </row>
    <row r="332" spans="9:22" x14ac:dyDescent="0.25">
      <c r="I332" t="s">
        <v>181</v>
      </c>
      <c r="J332" t="s">
        <v>155</v>
      </c>
      <c r="K332">
        <v>5.9407589291202066E-2</v>
      </c>
      <c r="L332" t="s">
        <v>154</v>
      </c>
      <c r="N332" t="s">
        <v>211</v>
      </c>
      <c r="O332" t="s">
        <v>155</v>
      </c>
      <c r="P332">
        <v>4.3543501066001862E-2</v>
      </c>
      <c r="Q332" t="s">
        <v>154</v>
      </c>
      <c r="S332" t="s">
        <v>242</v>
      </c>
      <c r="T332" t="s">
        <v>155</v>
      </c>
      <c r="U332">
        <v>4.4495349442288258E-2</v>
      </c>
      <c r="V332" t="s">
        <v>154</v>
      </c>
    </row>
    <row r="333" spans="9:22" x14ac:dyDescent="0.25">
      <c r="I333" t="s">
        <v>181</v>
      </c>
      <c r="J333" t="s">
        <v>156</v>
      </c>
      <c r="K333">
        <v>8.4650104061164712E-4</v>
      </c>
      <c r="L333" t="s">
        <v>154</v>
      </c>
      <c r="N333" t="s">
        <v>211</v>
      </c>
      <c r="O333" t="s">
        <v>156</v>
      </c>
      <c r="P333">
        <v>5.5369180403930327E-3</v>
      </c>
      <c r="Q333" t="s">
        <v>154</v>
      </c>
      <c r="S333" t="s">
        <v>242</v>
      </c>
      <c r="T333" t="s">
        <v>156</v>
      </c>
      <c r="U333">
        <v>6.092429292295698E-3</v>
      </c>
      <c r="V333" t="s">
        <v>154</v>
      </c>
    </row>
    <row r="334" spans="9:22" x14ac:dyDescent="0.25">
      <c r="I334" t="s">
        <v>181</v>
      </c>
      <c r="J334" t="s">
        <v>283</v>
      </c>
      <c r="K334">
        <v>0</v>
      </c>
      <c r="L334" t="s">
        <v>154</v>
      </c>
      <c r="N334" t="s">
        <v>211</v>
      </c>
      <c r="O334" t="s">
        <v>283</v>
      </c>
      <c r="P334">
        <v>5.6107448263790442E-3</v>
      </c>
      <c r="Q334" t="s">
        <v>154</v>
      </c>
      <c r="S334" t="s">
        <v>242</v>
      </c>
      <c r="T334" t="s">
        <v>283</v>
      </c>
      <c r="U334">
        <v>6.1542868167421671E-3</v>
      </c>
      <c r="V334" t="s">
        <v>154</v>
      </c>
    </row>
    <row r="335" spans="9:22" x14ac:dyDescent="0.25">
      <c r="I335" t="s">
        <v>181</v>
      </c>
      <c r="J335" t="s">
        <v>284</v>
      </c>
      <c r="K335">
        <v>0</v>
      </c>
      <c r="L335" t="s">
        <v>154</v>
      </c>
      <c r="N335" t="s">
        <v>211</v>
      </c>
      <c r="O335" t="s">
        <v>284</v>
      </c>
      <c r="P335">
        <v>2.9496990389210255E-2</v>
      </c>
      <c r="Q335" t="s">
        <v>154</v>
      </c>
      <c r="S335" t="s">
        <v>242</v>
      </c>
      <c r="T335" t="s">
        <v>284</v>
      </c>
      <c r="U335">
        <v>2.8849192391115667E-2</v>
      </c>
      <c r="V335" t="s">
        <v>154</v>
      </c>
    </row>
    <row r="336" spans="9:22" x14ac:dyDescent="0.25">
      <c r="I336" t="s">
        <v>181</v>
      </c>
      <c r="J336" t="s">
        <v>157</v>
      </c>
      <c r="K336">
        <v>0.10907397000633828</v>
      </c>
      <c r="L336" t="s">
        <v>154</v>
      </c>
      <c r="N336" t="s">
        <v>211</v>
      </c>
      <c r="O336" t="s">
        <v>157</v>
      </c>
      <c r="P336">
        <v>0.22243604586076213</v>
      </c>
      <c r="Q336" t="s">
        <v>154</v>
      </c>
      <c r="S336" t="s">
        <v>242</v>
      </c>
      <c r="T336" t="s">
        <v>157</v>
      </c>
      <c r="U336">
        <v>0.23707227836480066</v>
      </c>
      <c r="V336" t="s">
        <v>154</v>
      </c>
    </row>
    <row r="337" spans="9:22" x14ac:dyDescent="0.25">
      <c r="I337" t="s">
        <v>181</v>
      </c>
      <c r="J337" t="s">
        <v>158</v>
      </c>
      <c r="K337">
        <v>0.6391783898479978</v>
      </c>
      <c r="L337" t="s">
        <v>154</v>
      </c>
      <c r="N337" t="s">
        <v>211</v>
      </c>
      <c r="O337" t="s">
        <v>158</v>
      </c>
      <c r="P337">
        <v>0.22355132960117727</v>
      </c>
      <c r="Q337" t="s">
        <v>154</v>
      </c>
      <c r="S337" t="s">
        <v>242</v>
      </c>
      <c r="T337" t="s">
        <v>158</v>
      </c>
      <c r="U337">
        <v>0.21629480278716151</v>
      </c>
      <c r="V337" t="s">
        <v>154</v>
      </c>
    </row>
    <row r="338" spans="9:22" x14ac:dyDescent="0.25">
      <c r="I338" t="s">
        <v>181</v>
      </c>
      <c r="J338" t="s">
        <v>159</v>
      </c>
      <c r="K338">
        <v>4.6526690454560218E-2</v>
      </c>
      <c r="L338" t="s">
        <v>154</v>
      </c>
      <c r="N338" t="s">
        <v>211</v>
      </c>
      <c r="O338" t="s">
        <v>159</v>
      </c>
      <c r="P338">
        <v>2.7708298491584217E-2</v>
      </c>
      <c r="Q338" t="s">
        <v>154</v>
      </c>
      <c r="S338" t="s">
        <v>242</v>
      </c>
      <c r="T338" t="s">
        <v>159</v>
      </c>
      <c r="U338">
        <v>2.9162473291969145E-2</v>
      </c>
      <c r="V338" t="s">
        <v>154</v>
      </c>
    </row>
    <row r="339" spans="9:22" x14ac:dyDescent="0.25">
      <c r="I339" t="s">
        <v>181</v>
      </c>
      <c r="J339" t="s">
        <v>285</v>
      </c>
      <c r="K339">
        <v>2.2997539410295902E-2</v>
      </c>
      <c r="L339" t="s">
        <v>154</v>
      </c>
      <c r="N339" t="s">
        <v>211</v>
      </c>
      <c r="O339" t="s">
        <v>285</v>
      </c>
      <c r="P339">
        <v>2.6610849209214728E-2</v>
      </c>
      <c r="Q339" t="s">
        <v>154</v>
      </c>
      <c r="S339" t="s">
        <v>242</v>
      </c>
      <c r="T339" t="s">
        <v>285</v>
      </c>
      <c r="U339">
        <v>2.9366710216801845E-2</v>
      </c>
      <c r="V339" t="s">
        <v>154</v>
      </c>
    </row>
    <row r="340" spans="9:22" x14ac:dyDescent="0.25">
      <c r="I340" t="s">
        <v>181</v>
      </c>
      <c r="J340" t="s">
        <v>286</v>
      </c>
      <c r="K340">
        <v>6.5402306655090951E-3</v>
      </c>
      <c r="L340" t="s">
        <v>154</v>
      </c>
      <c r="N340" t="s">
        <v>211</v>
      </c>
      <c r="O340" t="s">
        <v>286</v>
      </c>
      <c r="P340">
        <v>0.1134232135127734</v>
      </c>
      <c r="Q340" t="s">
        <v>154</v>
      </c>
      <c r="S340" t="s">
        <v>242</v>
      </c>
      <c r="T340" t="s">
        <v>286</v>
      </c>
      <c r="U340">
        <v>0.13469711786247046</v>
      </c>
      <c r="V340" t="s">
        <v>154</v>
      </c>
    </row>
    <row r="341" spans="9:22" x14ac:dyDescent="0.25">
      <c r="I341" t="s">
        <v>181</v>
      </c>
      <c r="J341" t="s">
        <v>160</v>
      </c>
      <c r="K341">
        <v>5.0532695500121547E-3</v>
      </c>
      <c r="L341" t="s">
        <v>154</v>
      </c>
      <c r="N341" t="s">
        <v>211</v>
      </c>
      <c r="O341" t="s">
        <v>160</v>
      </c>
      <c r="P341">
        <v>2.9103454462761403E-2</v>
      </c>
      <c r="Q341" t="s">
        <v>154</v>
      </c>
      <c r="S341" t="s">
        <v>242</v>
      </c>
      <c r="T341" t="s">
        <v>160</v>
      </c>
      <c r="U341">
        <v>3.0570877483045513E-2</v>
      </c>
      <c r="V341" t="s">
        <v>154</v>
      </c>
    </row>
    <row r="342" spans="9:22" x14ac:dyDescent="0.25">
      <c r="I342" t="s">
        <v>181</v>
      </c>
      <c r="J342" t="s">
        <v>161</v>
      </c>
      <c r="K342">
        <v>4.8227265377774955E-2</v>
      </c>
      <c r="L342" t="s">
        <v>154</v>
      </c>
      <c r="N342" t="s">
        <v>211</v>
      </c>
      <c r="O342" t="s">
        <v>161</v>
      </c>
      <c r="P342">
        <v>2.775922351083485E-2</v>
      </c>
      <c r="Q342" t="s">
        <v>154</v>
      </c>
      <c r="S342" t="s">
        <v>242</v>
      </c>
      <c r="T342" t="s">
        <v>161</v>
      </c>
      <c r="U342">
        <v>2.3481248379999504E-2</v>
      </c>
      <c r="V342" t="s">
        <v>154</v>
      </c>
    </row>
    <row r="343" spans="9:22" x14ac:dyDescent="0.25">
      <c r="I343" t="s">
        <v>181</v>
      </c>
      <c r="J343" t="s">
        <v>162</v>
      </c>
      <c r="K343">
        <v>0</v>
      </c>
      <c r="L343" t="s">
        <v>154</v>
      </c>
      <c r="N343" t="s">
        <v>211</v>
      </c>
      <c r="O343" t="s">
        <v>162</v>
      </c>
      <c r="P343">
        <v>3.3644105274934768E-3</v>
      </c>
      <c r="Q343" t="s">
        <v>154</v>
      </c>
      <c r="S343" t="s">
        <v>242</v>
      </c>
      <c r="T343" t="s">
        <v>162</v>
      </c>
      <c r="U343">
        <v>3.4466816442437495E-3</v>
      </c>
      <c r="V343" t="s">
        <v>154</v>
      </c>
    </row>
    <row r="344" spans="9:22" x14ac:dyDescent="0.25">
      <c r="I344" t="s">
        <v>181</v>
      </c>
      <c r="J344" t="s">
        <v>287</v>
      </c>
      <c r="K344">
        <v>0</v>
      </c>
      <c r="L344" t="s">
        <v>154</v>
      </c>
      <c r="N344" t="s">
        <v>211</v>
      </c>
      <c r="O344" t="s">
        <v>287</v>
      </c>
      <c r="P344">
        <v>3.1833793013058176E-3</v>
      </c>
      <c r="Q344" t="s">
        <v>154</v>
      </c>
      <c r="S344" t="s">
        <v>242</v>
      </c>
      <c r="T344" t="s">
        <v>287</v>
      </c>
      <c r="U344">
        <v>3.5110562786178482E-3</v>
      </c>
      <c r="V344" t="s">
        <v>154</v>
      </c>
    </row>
    <row r="345" spans="9:22" x14ac:dyDescent="0.25">
      <c r="I345" t="s">
        <v>181</v>
      </c>
      <c r="J345" t="s">
        <v>288</v>
      </c>
      <c r="K345">
        <v>0</v>
      </c>
      <c r="L345" t="s">
        <v>154</v>
      </c>
      <c r="N345" t="s">
        <v>211</v>
      </c>
      <c r="O345" t="s">
        <v>288</v>
      </c>
      <c r="P345">
        <v>1.6284567732257695E-2</v>
      </c>
      <c r="Q345" t="s">
        <v>154</v>
      </c>
      <c r="S345" t="s">
        <v>242</v>
      </c>
      <c r="T345" t="s">
        <v>288</v>
      </c>
      <c r="U345">
        <v>1.6467484777974786E-2</v>
      </c>
      <c r="V345" t="s">
        <v>154</v>
      </c>
    </row>
    <row r="346" spans="9:22" x14ac:dyDescent="0.25">
      <c r="I346" t="s">
        <v>181</v>
      </c>
      <c r="J346" t="s">
        <v>163</v>
      </c>
      <c r="K346">
        <v>3.6556572269840406E-3</v>
      </c>
      <c r="L346" t="s">
        <v>154</v>
      </c>
      <c r="N346" t="s">
        <v>211</v>
      </c>
      <c r="O346" t="s">
        <v>163</v>
      </c>
      <c r="P346">
        <v>5.5979381883727482E-2</v>
      </c>
      <c r="Q346" t="s">
        <v>154</v>
      </c>
      <c r="S346" t="s">
        <v>242</v>
      </c>
      <c r="T346" t="s">
        <v>163</v>
      </c>
      <c r="U346">
        <v>5.3527999800649581E-2</v>
      </c>
      <c r="V346" t="s">
        <v>154</v>
      </c>
    </row>
    <row r="347" spans="9:22" x14ac:dyDescent="0.25">
      <c r="I347" t="s">
        <v>181</v>
      </c>
      <c r="J347" t="s">
        <v>164</v>
      </c>
      <c r="K347">
        <v>5.4960129557883722E-2</v>
      </c>
      <c r="L347" t="s">
        <v>154</v>
      </c>
      <c r="N347" t="s">
        <v>211</v>
      </c>
      <c r="O347" t="s">
        <v>164</v>
      </c>
      <c r="P347">
        <v>5.7840037967569966E-2</v>
      </c>
      <c r="Q347" t="s">
        <v>154</v>
      </c>
      <c r="S347" t="s">
        <v>242</v>
      </c>
      <c r="T347" t="s">
        <v>164</v>
      </c>
      <c r="U347">
        <v>4.5448476049867154E-2</v>
      </c>
      <c r="V347" t="s">
        <v>154</v>
      </c>
    </row>
    <row r="348" spans="9:22" x14ac:dyDescent="0.25">
      <c r="I348" t="s">
        <v>181</v>
      </c>
      <c r="J348" t="s">
        <v>165</v>
      </c>
      <c r="K348">
        <v>0</v>
      </c>
      <c r="L348" t="s">
        <v>154</v>
      </c>
      <c r="N348" t="s">
        <v>211</v>
      </c>
      <c r="O348" t="s">
        <v>165</v>
      </c>
      <c r="P348">
        <v>7.7738969940472054E-3</v>
      </c>
      <c r="Q348" t="s">
        <v>154</v>
      </c>
      <c r="S348" t="s">
        <v>242</v>
      </c>
      <c r="T348" t="s">
        <v>165</v>
      </c>
      <c r="U348">
        <v>5.7838793556140326E-3</v>
      </c>
      <c r="V348" t="s">
        <v>154</v>
      </c>
    </row>
    <row r="349" spans="9:22" x14ac:dyDescent="0.25">
      <c r="I349" t="s">
        <v>181</v>
      </c>
      <c r="J349" t="s">
        <v>289</v>
      </c>
      <c r="K349">
        <v>0</v>
      </c>
      <c r="L349" t="s">
        <v>154</v>
      </c>
      <c r="N349" t="s">
        <v>211</v>
      </c>
      <c r="O349" t="s">
        <v>289</v>
      </c>
      <c r="P349">
        <v>7.6874797541558555E-3</v>
      </c>
      <c r="Q349" t="s">
        <v>154</v>
      </c>
      <c r="S349" t="s">
        <v>242</v>
      </c>
      <c r="T349" t="s">
        <v>289</v>
      </c>
      <c r="U349">
        <v>5.8328246125543782E-3</v>
      </c>
      <c r="V349" t="s">
        <v>154</v>
      </c>
    </row>
    <row r="350" spans="9:22" x14ac:dyDescent="0.25">
      <c r="I350" t="s">
        <v>181</v>
      </c>
      <c r="J350" t="s">
        <v>290</v>
      </c>
      <c r="K350">
        <v>0</v>
      </c>
      <c r="L350" t="s">
        <v>154</v>
      </c>
      <c r="N350" t="s">
        <v>211</v>
      </c>
      <c r="O350" t="s">
        <v>290</v>
      </c>
      <c r="P350">
        <v>3.6225028358019724E-2</v>
      </c>
      <c r="Q350" t="s">
        <v>154</v>
      </c>
      <c r="S350" t="s">
        <v>242</v>
      </c>
      <c r="T350" t="s">
        <v>290</v>
      </c>
      <c r="U350">
        <v>2.9012529362128253E-2</v>
      </c>
      <c r="V350" t="s">
        <v>154</v>
      </c>
    </row>
    <row r="351" spans="9:22" x14ac:dyDescent="0.25">
      <c r="I351" t="s">
        <v>182</v>
      </c>
      <c r="J351" t="s">
        <v>153</v>
      </c>
      <c r="K351">
        <v>3.8367630455422579E-3</v>
      </c>
      <c r="L351" t="s">
        <v>154</v>
      </c>
      <c r="N351" t="s">
        <v>212</v>
      </c>
      <c r="O351" t="s">
        <v>153</v>
      </c>
      <c r="P351">
        <v>4.3361226882538739E-2</v>
      </c>
      <c r="Q351" t="s">
        <v>154</v>
      </c>
      <c r="S351" t="s">
        <v>243</v>
      </c>
      <c r="T351" t="s">
        <v>153</v>
      </c>
      <c r="U351">
        <v>5.3288925548231926E-2</v>
      </c>
      <c r="V351" t="s">
        <v>154</v>
      </c>
    </row>
    <row r="352" spans="9:22" x14ac:dyDescent="0.25">
      <c r="I352" t="s">
        <v>182</v>
      </c>
      <c r="J352" t="s">
        <v>155</v>
      </c>
      <c r="K352">
        <v>6.5153836665951176E-2</v>
      </c>
      <c r="L352" t="s">
        <v>154</v>
      </c>
      <c r="N352" t="s">
        <v>212</v>
      </c>
      <c r="O352" t="s">
        <v>155</v>
      </c>
      <c r="P352">
        <v>3.1611660031061049E-2</v>
      </c>
      <c r="Q352" t="s">
        <v>154</v>
      </c>
      <c r="S352" t="s">
        <v>243</v>
      </c>
      <c r="T352" t="s">
        <v>155</v>
      </c>
      <c r="U352">
        <v>4.8339983421786269E-2</v>
      </c>
      <c r="V352" t="s">
        <v>154</v>
      </c>
    </row>
    <row r="353" spans="9:22" x14ac:dyDescent="0.25">
      <c r="I353" t="s">
        <v>182</v>
      </c>
      <c r="J353" t="s">
        <v>156</v>
      </c>
      <c r="K353">
        <v>1.087148105003963E-3</v>
      </c>
      <c r="L353" t="s">
        <v>154</v>
      </c>
      <c r="N353" t="s">
        <v>212</v>
      </c>
      <c r="O353" t="s">
        <v>156</v>
      </c>
      <c r="P353">
        <v>4.8823806909150834E-3</v>
      </c>
      <c r="Q353" t="s">
        <v>154</v>
      </c>
      <c r="S353" t="s">
        <v>243</v>
      </c>
      <c r="T353" t="s">
        <v>156</v>
      </c>
      <c r="U353">
        <v>6.2445319297729819E-3</v>
      </c>
      <c r="V353" t="s">
        <v>154</v>
      </c>
    </row>
    <row r="354" spans="9:22" x14ac:dyDescent="0.25">
      <c r="I354" t="s">
        <v>182</v>
      </c>
      <c r="J354" t="s">
        <v>283</v>
      </c>
      <c r="K354">
        <v>0</v>
      </c>
      <c r="L354" t="s">
        <v>154</v>
      </c>
      <c r="N354" t="s">
        <v>212</v>
      </c>
      <c r="O354" t="s">
        <v>283</v>
      </c>
      <c r="P354">
        <v>5.1121613298822643E-3</v>
      </c>
      <c r="Q354" t="s">
        <v>154</v>
      </c>
      <c r="S354" t="s">
        <v>243</v>
      </c>
      <c r="T354" t="s">
        <v>283</v>
      </c>
      <c r="U354">
        <v>6.2303806772126451E-3</v>
      </c>
      <c r="V354" t="s">
        <v>154</v>
      </c>
    </row>
    <row r="355" spans="9:22" x14ac:dyDescent="0.25">
      <c r="I355" t="s">
        <v>182</v>
      </c>
      <c r="J355" t="s">
        <v>284</v>
      </c>
      <c r="K355">
        <v>0</v>
      </c>
      <c r="L355" t="s">
        <v>154</v>
      </c>
      <c r="N355" t="s">
        <v>212</v>
      </c>
      <c r="O355" t="s">
        <v>284</v>
      </c>
      <c r="P355">
        <v>2.4659988113651936E-2</v>
      </c>
      <c r="Q355" t="s">
        <v>154</v>
      </c>
      <c r="S355" t="s">
        <v>243</v>
      </c>
      <c r="T355" t="s">
        <v>284</v>
      </c>
      <c r="U355">
        <v>2.9128820395418129E-2</v>
      </c>
      <c r="V355" t="s">
        <v>154</v>
      </c>
    </row>
    <row r="356" spans="9:22" x14ac:dyDescent="0.25">
      <c r="I356" t="s">
        <v>182</v>
      </c>
      <c r="J356" t="s">
        <v>157</v>
      </c>
      <c r="K356">
        <v>0.10206241750099376</v>
      </c>
      <c r="L356" t="s">
        <v>154</v>
      </c>
      <c r="N356" t="s">
        <v>212</v>
      </c>
      <c r="O356" t="s">
        <v>157</v>
      </c>
      <c r="P356">
        <v>0.2588315214337194</v>
      </c>
      <c r="Q356" t="s">
        <v>154</v>
      </c>
      <c r="S356" t="s">
        <v>243</v>
      </c>
      <c r="T356" t="s">
        <v>157</v>
      </c>
      <c r="U356">
        <v>0.23418448189438765</v>
      </c>
      <c r="V356" t="s">
        <v>154</v>
      </c>
    </row>
    <row r="357" spans="9:22" x14ac:dyDescent="0.25">
      <c r="I357" t="s">
        <v>182</v>
      </c>
      <c r="J357" t="s">
        <v>158</v>
      </c>
      <c r="K357">
        <v>0.63442736597887817</v>
      </c>
      <c r="L357" t="s">
        <v>154</v>
      </c>
      <c r="N357" t="s">
        <v>212</v>
      </c>
      <c r="O357" t="s">
        <v>158</v>
      </c>
      <c r="P357">
        <v>0.23727185058791272</v>
      </c>
      <c r="Q357" t="s">
        <v>154</v>
      </c>
      <c r="S357" t="s">
        <v>243</v>
      </c>
      <c r="T357" t="s">
        <v>158</v>
      </c>
      <c r="U357">
        <v>0.21724537465151292</v>
      </c>
      <c r="V357" t="s">
        <v>154</v>
      </c>
    </row>
    <row r="358" spans="9:22" x14ac:dyDescent="0.25">
      <c r="I358" t="s">
        <v>182</v>
      </c>
      <c r="J358" t="s">
        <v>159</v>
      </c>
      <c r="K358">
        <v>4.655466682229361E-2</v>
      </c>
      <c r="L358" t="s">
        <v>154</v>
      </c>
      <c r="N358" t="s">
        <v>212</v>
      </c>
      <c r="O358" t="s">
        <v>159</v>
      </c>
      <c r="P358">
        <v>3.219129461821757E-2</v>
      </c>
      <c r="Q358" t="s">
        <v>154</v>
      </c>
      <c r="S358" t="s">
        <v>243</v>
      </c>
      <c r="T358" t="s">
        <v>159</v>
      </c>
      <c r="U358">
        <v>2.8272352007029163E-2</v>
      </c>
      <c r="V358" t="s">
        <v>154</v>
      </c>
    </row>
    <row r="359" spans="9:22" x14ac:dyDescent="0.25">
      <c r="I359" t="s">
        <v>182</v>
      </c>
      <c r="J359" t="s">
        <v>285</v>
      </c>
      <c r="K359">
        <v>2.285856866198261E-2</v>
      </c>
      <c r="L359" t="s">
        <v>154</v>
      </c>
      <c r="N359" t="s">
        <v>212</v>
      </c>
      <c r="O359" t="s">
        <v>285</v>
      </c>
      <c r="P359">
        <v>3.1808183611125029E-2</v>
      </c>
      <c r="Q359" t="s">
        <v>154</v>
      </c>
      <c r="S359" t="s">
        <v>243</v>
      </c>
      <c r="T359" t="s">
        <v>285</v>
      </c>
      <c r="U359">
        <v>2.7653086522943678E-2</v>
      </c>
      <c r="V359" t="s">
        <v>154</v>
      </c>
    </row>
    <row r="360" spans="9:22" x14ac:dyDescent="0.25">
      <c r="I360" t="s">
        <v>182</v>
      </c>
      <c r="J360" t="s">
        <v>286</v>
      </c>
      <c r="K360">
        <v>5.9860772441083484E-3</v>
      </c>
      <c r="L360" t="s">
        <v>154</v>
      </c>
      <c r="N360" t="s">
        <v>212</v>
      </c>
      <c r="O360" t="s">
        <v>286</v>
      </c>
      <c r="P360">
        <v>0.14012093712179838</v>
      </c>
      <c r="Q360" t="s">
        <v>154</v>
      </c>
      <c r="S360" t="s">
        <v>243</v>
      </c>
      <c r="T360" t="s">
        <v>286</v>
      </c>
      <c r="U360">
        <v>0.12500954801713476</v>
      </c>
      <c r="V360" t="s">
        <v>154</v>
      </c>
    </row>
    <row r="361" spans="9:22" x14ac:dyDescent="0.25">
      <c r="I361" t="s">
        <v>182</v>
      </c>
      <c r="J361" t="s">
        <v>160</v>
      </c>
      <c r="K361">
        <v>5.7472315417904712E-3</v>
      </c>
      <c r="L361" t="s">
        <v>154</v>
      </c>
      <c r="N361" t="s">
        <v>212</v>
      </c>
      <c r="O361" t="s">
        <v>160</v>
      </c>
      <c r="P361">
        <v>2.1613889854066679E-2</v>
      </c>
      <c r="Q361" t="s">
        <v>154</v>
      </c>
      <c r="S361" t="s">
        <v>243</v>
      </c>
      <c r="T361" t="s">
        <v>160</v>
      </c>
      <c r="U361">
        <v>2.7720879919150131E-2</v>
      </c>
      <c r="V361" t="s">
        <v>154</v>
      </c>
    </row>
    <row r="362" spans="9:22" x14ac:dyDescent="0.25">
      <c r="I362" t="s">
        <v>182</v>
      </c>
      <c r="J362" t="s">
        <v>161</v>
      </c>
      <c r="K362">
        <v>5.0973302400979893E-2</v>
      </c>
      <c r="L362" t="s">
        <v>154</v>
      </c>
      <c r="N362" t="s">
        <v>212</v>
      </c>
      <c r="O362" t="s">
        <v>161</v>
      </c>
      <c r="P362">
        <v>1.9585971989402023E-2</v>
      </c>
      <c r="Q362" t="s">
        <v>154</v>
      </c>
      <c r="S362" t="s">
        <v>243</v>
      </c>
      <c r="T362" t="s">
        <v>161</v>
      </c>
      <c r="U362">
        <v>2.556390046402137E-2</v>
      </c>
      <c r="V362" t="s">
        <v>154</v>
      </c>
    </row>
    <row r="363" spans="9:22" x14ac:dyDescent="0.25">
      <c r="I363" t="s">
        <v>182</v>
      </c>
      <c r="J363" t="s">
        <v>162</v>
      </c>
      <c r="K363">
        <v>3.0661075724236652E-6</v>
      </c>
      <c r="L363" t="s">
        <v>154</v>
      </c>
      <c r="N363" t="s">
        <v>212</v>
      </c>
      <c r="O363" t="s">
        <v>162</v>
      </c>
      <c r="P363">
        <v>2.5810985361230804E-3</v>
      </c>
      <c r="Q363" t="s">
        <v>154</v>
      </c>
      <c r="S363" t="s">
        <v>243</v>
      </c>
      <c r="T363" t="s">
        <v>162</v>
      </c>
      <c r="U363">
        <v>3.4235165538264857E-3</v>
      </c>
      <c r="V363" t="s">
        <v>154</v>
      </c>
    </row>
    <row r="364" spans="9:22" x14ac:dyDescent="0.25">
      <c r="I364" t="s">
        <v>182</v>
      </c>
      <c r="J364" t="s">
        <v>287</v>
      </c>
      <c r="K364">
        <v>0</v>
      </c>
      <c r="L364" t="s">
        <v>154</v>
      </c>
      <c r="N364" t="s">
        <v>212</v>
      </c>
      <c r="O364" t="s">
        <v>287</v>
      </c>
      <c r="P364">
        <v>2.4672542126353094E-3</v>
      </c>
      <c r="Q364" t="s">
        <v>154</v>
      </c>
      <c r="S364" t="s">
        <v>243</v>
      </c>
      <c r="T364" t="s">
        <v>287</v>
      </c>
      <c r="U364">
        <v>3.3956521839584538E-3</v>
      </c>
      <c r="V364" t="s">
        <v>154</v>
      </c>
    </row>
    <row r="365" spans="9:22" x14ac:dyDescent="0.25">
      <c r="I365" t="s">
        <v>182</v>
      </c>
      <c r="J365" t="s">
        <v>288</v>
      </c>
      <c r="K365">
        <v>0</v>
      </c>
      <c r="L365" t="s">
        <v>154</v>
      </c>
      <c r="N365" t="s">
        <v>212</v>
      </c>
      <c r="O365" t="s">
        <v>288</v>
      </c>
      <c r="P365">
        <v>1.1831749639124683E-2</v>
      </c>
      <c r="Q365" t="s">
        <v>154</v>
      </c>
      <c r="S365" t="s">
        <v>243</v>
      </c>
      <c r="T365" t="s">
        <v>288</v>
      </c>
      <c r="U365">
        <v>1.5140430674580332E-2</v>
      </c>
      <c r="V365" t="s">
        <v>154</v>
      </c>
    </row>
    <row r="366" spans="9:22" x14ac:dyDescent="0.25">
      <c r="I366" t="s">
        <v>182</v>
      </c>
      <c r="J366" t="s">
        <v>163</v>
      </c>
      <c r="K366">
        <v>3.759793424394402E-3</v>
      </c>
      <c r="L366" t="s">
        <v>154</v>
      </c>
      <c r="N366" t="s">
        <v>212</v>
      </c>
      <c r="O366" t="s">
        <v>163</v>
      </c>
      <c r="P366">
        <v>4.7097095952151884E-2</v>
      </c>
      <c r="Q366" t="s">
        <v>154</v>
      </c>
      <c r="S366" t="s">
        <v>243</v>
      </c>
      <c r="T366" t="s">
        <v>163</v>
      </c>
      <c r="U366">
        <v>5.5475518282571794E-2</v>
      </c>
      <c r="V366" t="s">
        <v>154</v>
      </c>
    </row>
    <row r="367" spans="9:22" x14ac:dyDescent="0.25">
      <c r="I367" t="s">
        <v>182</v>
      </c>
      <c r="J367" t="s">
        <v>164</v>
      </c>
      <c r="K367">
        <v>5.7549762500507744E-2</v>
      </c>
      <c r="L367" t="s">
        <v>154</v>
      </c>
      <c r="N367" t="s">
        <v>212</v>
      </c>
      <c r="O367" t="s">
        <v>164</v>
      </c>
      <c r="P367">
        <v>4.6670632644668475E-2</v>
      </c>
      <c r="Q367" t="s">
        <v>154</v>
      </c>
      <c r="S367" t="s">
        <v>243</v>
      </c>
      <c r="T367" t="s">
        <v>164</v>
      </c>
      <c r="U367">
        <v>5.0288730261374037E-2</v>
      </c>
      <c r="V367" t="s">
        <v>154</v>
      </c>
    </row>
    <row r="368" spans="9:22" x14ac:dyDescent="0.25">
      <c r="I368" t="s">
        <v>182</v>
      </c>
      <c r="J368" t="s">
        <v>165</v>
      </c>
      <c r="K368">
        <v>0</v>
      </c>
      <c r="L368" t="s">
        <v>154</v>
      </c>
      <c r="N368" t="s">
        <v>212</v>
      </c>
      <c r="O368" t="s">
        <v>165</v>
      </c>
      <c r="P368">
        <v>5.9149281075600085E-3</v>
      </c>
      <c r="Q368" t="s">
        <v>154</v>
      </c>
      <c r="S368" t="s">
        <v>243</v>
      </c>
      <c r="T368" t="s">
        <v>165</v>
      </c>
      <c r="U368">
        <v>6.3814481406290384E-3</v>
      </c>
      <c r="V368" t="s">
        <v>154</v>
      </c>
    </row>
    <row r="369" spans="9:22" x14ac:dyDescent="0.25">
      <c r="I369" t="s">
        <v>182</v>
      </c>
      <c r="J369" t="s">
        <v>289</v>
      </c>
      <c r="K369">
        <v>0</v>
      </c>
      <c r="L369" t="s">
        <v>154</v>
      </c>
      <c r="N369" t="s">
        <v>212</v>
      </c>
      <c r="O369" t="s">
        <v>289</v>
      </c>
      <c r="P369">
        <v>5.8428996264376452E-3</v>
      </c>
      <c r="Q369" t="s">
        <v>154</v>
      </c>
      <c r="S369" t="s">
        <v>243</v>
      </c>
      <c r="T369" t="s">
        <v>289</v>
      </c>
      <c r="U369">
        <v>6.3570266184193522E-3</v>
      </c>
      <c r="V369" t="s">
        <v>154</v>
      </c>
    </row>
    <row r="370" spans="9:22" x14ac:dyDescent="0.25">
      <c r="I370" t="s">
        <v>182</v>
      </c>
      <c r="J370" t="s">
        <v>290</v>
      </c>
      <c r="K370">
        <v>0</v>
      </c>
      <c r="L370" t="s">
        <v>154</v>
      </c>
      <c r="N370" t="s">
        <v>212</v>
      </c>
      <c r="O370" t="s">
        <v>290</v>
      </c>
      <c r="P370">
        <v>2.6543275017009166E-2</v>
      </c>
      <c r="Q370" t="s">
        <v>154</v>
      </c>
      <c r="S370" t="s">
        <v>243</v>
      </c>
      <c r="T370" t="s">
        <v>290</v>
      </c>
      <c r="U370">
        <v>3.0655411836036626E-2</v>
      </c>
      <c r="V370" t="s">
        <v>154</v>
      </c>
    </row>
    <row r="371" spans="9:22" x14ac:dyDescent="0.25">
      <c r="I371" t="s">
        <v>183</v>
      </c>
      <c r="J371" t="s">
        <v>153</v>
      </c>
      <c r="K371">
        <v>5.8372092292856359E-3</v>
      </c>
      <c r="L371" t="s">
        <v>154</v>
      </c>
      <c r="N371" t="s">
        <v>213</v>
      </c>
      <c r="O371" t="s">
        <v>153</v>
      </c>
      <c r="P371">
        <v>4.3923673589036531E-2</v>
      </c>
      <c r="Q371" t="s">
        <v>154</v>
      </c>
      <c r="S371" t="s">
        <v>244</v>
      </c>
      <c r="T371" t="s">
        <v>153</v>
      </c>
      <c r="U371">
        <v>4.1365652349606014E-2</v>
      </c>
      <c r="V371" t="s">
        <v>154</v>
      </c>
    </row>
    <row r="372" spans="9:22" x14ac:dyDescent="0.25">
      <c r="I372" t="s">
        <v>183</v>
      </c>
      <c r="J372" t="s">
        <v>155</v>
      </c>
      <c r="K372">
        <v>7.7482390155725292E-2</v>
      </c>
      <c r="L372" t="s">
        <v>154</v>
      </c>
      <c r="N372" t="s">
        <v>213</v>
      </c>
      <c r="O372" t="s">
        <v>155</v>
      </c>
      <c r="P372">
        <v>3.8677833288650425E-2</v>
      </c>
      <c r="Q372" t="s">
        <v>154</v>
      </c>
      <c r="S372" t="s">
        <v>244</v>
      </c>
      <c r="T372" t="s">
        <v>155</v>
      </c>
      <c r="U372">
        <v>3.6932841792540368E-2</v>
      </c>
      <c r="V372" t="s">
        <v>154</v>
      </c>
    </row>
    <row r="373" spans="9:22" x14ac:dyDescent="0.25">
      <c r="I373" t="s">
        <v>183</v>
      </c>
      <c r="J373" t="s">
        <v>156</v>
      </c>
      <c r="K373">
        <v>7.6821350364644802E-4</v>
      </c>
      <c r="L373" t="s">
        <v>154</v>
      </c>
      <c r="N373" t="s">
        <v>213</v>
      </c>
      <c r="O373" t="s">
        <v>156</v>
      </c>
      <c r="P373">
        <v>5.277599816047974E-3</v>
      </c>
      <c r="Q373" t="s">
        <v>154</v>
      </c>
      <c r="S373" t="s">
        <v>244</v>
      </c>
      <c r="T373" t="s">
        <v>156</v>
      </c>
      <c r="U373">
        <v>4.5480697556470346E-3</v>
      </c>
      <c r="V373" t="s">
        <v>154</v>
      </c>
    </row>
    <row r="374" spans="9:22" x14ac:dyDescent="0.25">
      <c r="I374" t="s">
        <v>183</v>
      </c>
      <c r="J374" t="s">
        <v>283</v>
      </c>
      <c r="K374">
        <v>0</v>
      </c>
      <c r="L374" t="s">
        <v>154</v>
      </c>
      <c r="N374" t="s">
        <v>213</v>
      </c>
      <c r="O374" t="s">
        <v>283</v>
      </c>
      <c r="P374">
        <v>4.7143865245705451E-3</v>
      </c>
      <c r="Q374" t="s">
        <v>154</v>
      </c>
      <c r="S374" t="s">
        <v>244</v>
      </c>
      <c r="T374" t="s">
        <v>283</v>
      </c>
      <c r="U374">
        <v>4.4259196117114041E-3</v>
      </c>
      <c r="V374" t="s">
        <v>154</v>
      </c>
    </row>
    <row r="375" spans="9:22" x14ac:dyDescent="0.25">
      <c r="I375" t="s">
        <v>183</v>
      </c>
      <c r="J375" t="s">
        <v>284</v>
      </c>
      <c r="K375">
        <v>0</v>
      </c>
      <c r="L375" t="s">
        <v>154</v>
      </c>
      <c r="N375" t="s">
        <v>213</v>
      </c>
      <c r="O375" t="s">
        <v>284</v>
      </c>
      <c r="P375">
        <v>2.3067421800379417E-2</v>
      </c>
      <c r="Q375" t="s">
        <v>154</v>
      </c>
      <c r="S375" t="s">
        <v>244</v>
      </c>
      <c r="T375" t="s">
        <v>284</v>
      </c>
      <c r="U375">
        <v>2.186645569172263E-2</v>
      </c>
      <c r="V375" t="s">
        <v>154</v>
      </c>
    </row>
    <row r="376" spans="9:22" x14ac:dyDescent="0.25">
      <c r="I376" t="s">
        <v>183</v>
      </c>
      <c r="J376" t="s">
        <v>157</v>
      </c>
      <c r="K376">
        <v>0.11507012205440291</v>
      </c>
      <c r="L376" t="s">
        <v>154</v>
      </c>
      <c r="N376" t="s">
        <v>213</v>
      </c>
      <c r="O376" t="s">
        <v>157</v>
      </c>
      <c r="P376">
        <v>0.25269862708386082</v>
      </c>
      <c r="Q376" t="s">
        <v>154</v>
      </c>
      <c r="S376" t="s">
        <v>244</v>
      </c>
      <c r="T376" t="s">
        <v>157</v>
      </c>
      <c r="U376">
        <v>0.24036984559079655</v>
      </c>
      <c r="V376" t="s">
        <v>154</v>
      </c>
    </row>
    <row r="377" spans="9:22" x14ac:dyDescent="0.25">
      <c r="I377" t="s">
        <v>183</v>
      </c>
      <c r="J377" t="s">
        <v>158</v>
      </c>
      <c r="K377">
        <v>0.60727640197173582</v>
      </c>
      <c r="L377" t="s">
        <v>154</v>
      </c>
      <c r="N377" t="s">
        <v>213</v>
      </c>
      <c r="O377" t="s">
        <v>158</v>
      </c>
      <c r="P377">
        <v>0.21647827149120166</v>
      </c>
      <c r="Q377" t="s">
        <v>154</v>
      </c>
      <c r="S377" t="s">
        <v>244</v>
      </c>
      <c r="T377" t="s">
        <v>158</v>
      </c>
      <c r="U377">
        <v>0.22974380697566776</v>
      </c>
      <c r="V377" t="s">
        <v>154</v>
      </c>
    </row>
    <row r="378" spans="9:22" x14ac:dyDescent="0.25">
      <c r="I378" t="s">
        <v>183</v>
      </c>
      <c r="J378" t="s">
        <v>159</v>
      </c>
      <c r="K378">
        <v>4.0926482526984533E-2</v>
      </c>
      <c r="L378" t="s">
        <v>154</v>
      </c>
      <c r="N378" t="s">
        <v>213</v>
      </c>
      <c r="O378" t="s">
        <v>159</v>
      </c>
      <c r="P378">
        <v>3.111557212932169E-2</v>
      </c>
      <c r="Q378" t="s">
        <v>154</v>
      </c>
      <c r="S378" t="s">
        <v>244</v>
      </c>
      <c r="T378" t="s">
        <v>159</v>
      </c>
      <c r="U378">
        <v>3.1411729356490406E-2</v>
      </c>
      <c r="V378" t="s">
        <v>154</v>
      </c>
    </row>
    <row r="379" spans="9:22" x14ac:dyDescent="0.25">
      <c r="I379" t="s">
        <v>183</v>
      </c>
      <c r="J379" t="s">
        <v>285</v>
      </c>
      <c r="K379">
        <v>1.8457699446939493E-2</v>
      </c>
      <c r="L379" t="s">
        <v>154</v>
      </c>
      <c r="N379" t="s">
        <v>213</v>
      </c>
      <c r="O379" t="s">
        <v>285</v>
      </c>
      <c r="P379">
        <v>2.6585710595054456E-2</v>
      </c>
      <c r="Q379" t="s">
        <v>154</v>
      </c>
      <c r="S379" t="s">
        <v>244</v>
      </c>
      <c r="T379" t="s">
        <v>285</v>
      </c>
      <c r="U379">
        <v>3.1598557737763711E-2</v>
      </c>
      <c r="V379" t="s">
        <v>154</v>
      </c>
    </row>
    <row r="380" spans="9:22" x14ac:dyDescent="0.25">
      <c r="I380" t="s">
        <v>183</v>
      </c>
      <c r="J380" t="s">
        <v>286</v>
      </c>
      <c r="K380">
        <v>4.2347725313239878E-3</v>
      </c>
      <c r="L380" t="s">
        <v>154</v>
      </c>
      <c r="N380" t="s">
        <v>213</v>
      </c>
      <c r="O380" t="s">
        <v>286</v>
      </c>
      <c r="P380">
        <v>0.14254668704776635</v>
      </c>
      <c r="Q380" t="s">
        <v>154</v>
      </c>
      <c r="S380" t="s">
        <v>244</v>
      </c>
      <c r="T380" t="s">
        <v>286</v>
      </c>
      <c r="U380">
        <v>0.1453764743451107</v>
      </c>
      <c r="V380" t="s">
        <v>154</v>
      </c>
    </row>
    <row r="381" spans="9:22" x14ac:dyDescent="0.25">
      <c r="I381" t="s">
        <v>183</v>
      </c>
      <c r="J381" t="s">
        <v>160</v>
      </c>
      <c r="K381">
        <v>7.8895047038423094E-3</v>
      </c>
      <c r="L381" t="s">
        <v>154</v>
      </c>
      <c r="N381" t="s">
        <v>213</v>
      </c>
      <c r="O381" t="s">
        <v>160</v>
      </c>
      <c r="P381">
        <v>2.5500956926883592E-2</v>
      </c>
      <c r="Q381" t="s">
        <v>154</v>
      </c>
      <c r="S381" t="s">
        <v>244</v>
      </c>
      <c r="T381" t="s">
        <v>160</v>
      </c>
      <c r="U381">
        <v>2.8246538138197629E-2</v>
      </c>
      <c r="V381" t="s">
        <v>154</v>
      </c>
    </row>
    <row r="382" spans="9:22" x14ac:dyDescent="0.25">
      <c r="I382" t="s">
        <v>183</v>
      </c>
      <c r="J382" t="s">
        <v>161</v>
      </c>
      <c r="K382">
        <v>5.2572867426496528E-2</v>
      </c>
      <c r="L382" t="s">
        <v>154</v>
      </c>
      <c r="N382" t="s">
        <v>213</v>
      </c>
      <c r="O382" t="s">
        <v>161</v>
      </c>
      <c r="P382">
        <v>2.3611861955714155E-2</v>
      </c>
      <c r="Q382" t="s">
        <v>154</v>
      </c>
      <c r="S382" t="s">
        <v>244</v>
      </c>
      <c r="T382" t="s">
        <v>161</v>
      </c>
      <c r="U382">
        <v>2.318903500944855E-2</v>
      </c>
      <c r="V382" t="s">
        <v>154</v>
      </c>
    </row>
    <row r="383" spans="9:22" x14ac:dyDescent="0.25">
      <c r="I383" t="s">
        <v>183</v>
      </c>
      <c r="J383" t="s">
        <v>162</v>
      </c>
      <c r="K383">
        <v>0</v>
      </c>
      <c r="L383" t="s">
        <v>154</v>
      </c>
      <c r="N383" t="s">
        <v>213</v>
      </c>
      <c r="O383" t="s">
        <v>162</v>
      </c>
      <c r="P383">
        <v>3.1258785611414856E-3</v>
      </c>
      <c r="Q383" t="s">
        <v>154</v>
      </c>
      <c r="S383" t="s">
        <v>244</v>
      </c>
      <c r="T383" t="s">
        <v>162</v>
      </c>
      <c r="U383">
        <v>3.3794349395379342E-3</v>
      </c>
      <c r="V383" t="s">
        <v>154</v>
      </c>
    </row>
    <row r="384" spans="9:22" x14ac:dyDescent="0.25">
      <c r="I384" t="s">
        <v>183</v>
      </c>
      <c r="J384" t="s">
        <v>287</v>
      </c>
      <c r="K384">
        <v>0</v>
      </c>
      <c r="L384" t="s">
        <v>154</v>
      </c>
      <c r="N384" t="s">
        <v>213</v>
      </c>
      <c r="O384" t="s">
        <v>287</v>
      </c>
      <c r="P384">
        <v>2.944055687242104E-3</v>
      </c>
      <c r="Q384" t="s">
        <v>154</v>
      </c>
      <c r="S384" t="s">
        <v>244</v>
      </c>
      <c r="T384" t="s">
        <v>287</v>
      </c>
      <c r="U384">
        <v>3.3929005874950651E-3</v>
      </c>
      <c r="V384" t="s">
        <v>154</v>
      </c>
    </row>
    <row r="385" spans="9:22" x14ac:dyDescent="0.25">
      <c r="I385" t="s">
        <v>183</v>
      </c>
      <c r="J385" t="s">
        <v>288</v>
      </c>
      <c r="K385">
        <v>0</v>
      </c>
      <c r="L385" t="s">
        <v>154</v>
      </c>
      <c r="N385" t="s">
        <v>213</v>
      </c>
      <c r="O385" t="s">
        <v>288</v>
      </c>
      <c r="P385">
        <v>1.4857982551244115E-2</v>
      </c>
      <c r="Q385" t="s">
        <v>154</v>
      </c>
      <c r="S385" t="s">
        <v>244</v>
      </c>
      <c r="T385" t="s">
        <v>288</v>
      </c>
      <c r="U385">
        <v>1.6904768623578127E-2</v>
      </c>
      <c r="V385" t="s">
        <v>154</v>
      </c>
    </row>
    <row r="386" spans="9:22" x14ac:dyDescent="0.25">
      <c r="I386" t="s">
        <v>183</v>
      </c>
      <c r="J386" t="s">
        <v>163</v>
      </c>
      <c r="K386">
        <v>5.5072032565104314E-3</v>
      </c>
      <c r="L386" t="s">
        <v>154</v>
      </c>
      <c r="N386" t="s">
        <v>213</v>
      </c>
      <c r="O386" t="s">
        <v>163</v>
      </c>
      <c r="P386">
        <v>5.4982378483860568E-2</v>
      </c>
      <c r="Q386" t="s">
        <v>154</v>
      </c>
      <c r="S386" t="s">
        <v>244</v>
      </c>
      <c r="T386" t="s">
        <v>163</v>
      </c>
      <c r="U386">
        <v>5.171776275076892E-2</v>
      </c>
      <c r="V386" t="s">
        <v>154</v>
      </c>
    </row>
    <row r="387" spans="9:22" x14ac:dyDescent="0.25">
      <c r="I387" t="s">
        <v>183</v>
      </c>
      <c r="J387" t="s">
        <v>164</v>
      </c>
      <c r="K387">
        <v>6.3977133193109381E-2</v>
      </c>
      <c r="L387" t="s">
        <v>154</v>
      </c>
      <c r="N387" t="s">
        <v>213</v>
      </c>
      <c r="O387" t="s">
        <v>164</v>
      </c>
      <c r="P387">
        <v>4.9489989488223231E-2</v>
      </c>
      <c r="Q387" t="s">
        <v>154</v>
      </c>
      <c r="S387" t="s">
        <v>244</v>
      </c>
      <c r="T387" t="s">
        <v>164</v>
      </c>
      <c r="U387">
        <v>4.6156402241140343E-2</v>
      </c>
      <c r="V387" t="s">
        <v>154</v>
      </c>
    </row>
    <row r="388" spans="9:22" x14ac:dyDescent="0.25">
      <c r="I388" t="s">
        <v>183</v>
      </c>
      <c r="J388" t="s">
        <v>165</v>
      </c>
      <c r="K388">
        <v>0</v>
      </c>
      <c r="L388" t="s">
        <v>154</v>
      </c>
      <c r="N388" t="s">
        <v>213</v>
      </c>
      <c r="O388" t="s">
        <v>165</v>
      </c>
      <c r="P388">
        <v>6.1200741546610041E-3</v>
      </c>
      <c r="Q388" t="s">
        <v>154</v>
      </c>
      <c r="S388" t="s">
        <v>244</v>
      </c>
      <c r="T388" t="s">
        <v>165</v>
      </c>
      <c r="U388">
        <v>5.8386196002458805E-3</v>
      </c>
      <c r="V388" t="s">
        <v>154</v>
      </c>
    </row>
    <row r="389" spans="9:22" x14ac:dyDescent="0.25">
      <c r="I389" t="s">
        <v>183</v>
      </c>
      <c r="J389" t="s">
        <v>289</v>
      </c>
      <c r="K389">
        <v>0</v>
      </c>
      <c r="L389" t="s">
        <v>154</v>
      </c>
      <c r="N389" t="s">
        <v>213</v>
      </c>
      <c r="O389" t="s">
        <v>289</v>
      </c>
      <c r="P389">
        <v>5.7296679296418539E-3</v>
      </c>
      <c r="Q389" t="s">
        <v>154</v>
      </c>
      <c r="S389" t="s">
        <v>244</v>
      </c>
      <c r="T389" t="s">
        <v>289</v>
      </c>
      <c r="U389">
        <v>5.7819591270636284E-3</v>
      </c>
      <c r="V389" t="s">
        <v>154</v>
      </c>
    </row>
    <row r="390" spans="9:22" x14ac:dyDescent="0.25">
      <c r="I390" t="s">
        <v>183</v>
      </c>
      <c r="J390" t="s">
        <v>290</v>
      </c>
      <c r="K390">
        <v>0</v>
      </c>
      <c r="L390" t="s">
        <v>154</v>
      </c>
      <c r="N390" t="s">
        <v>213</v>
      </c>
      <c r="O390" t="s">
        <v>290</v>
      </c>
      <c r="P390">
        <v>2.8551370895502283E-2</v>
      </c>
      <c r="Q390" t="s">
        <v>154</v>
      </c>
      <c r="S390" t="s">
        <v>244</v>
      </c>
      <c r="T390" t="s">
        <v>290</v>
      </c>
      <c r="U390">
        <v>2.7753225775469202E-2</v>
      </c>
      <c r="V390" t="s">
        <v>154</v>
      </c>
    </row>
    <row r="391" spans="9:22" x14ac:dyDescent="0.25">
      <c r="I391" t="s">
        <v>184</v>
      </c>
      <c r="J391" t="s">
        <v>153</v>
      </c>
      <c r="K391">
        <v>4.4709972289331025E-3</v>
      </c>
      <c r="L391" t="s">
        <v>154</v>
      </c>
      <c r="N391" t="s">
        <v>214</v>
      </c>
      <c r="O391" t="s">
        <v>153</v>
      </c>
      <c r="P391">
        <v>6.1793037714221413E-2</v>
      </c>
      <c r="Q391" t="s">
        <v>154</v>
      </c>
      <c r="S391" t="s">
        <v>245</v>
      </c>
      <c r="T391" t="s">
        <v>153</v>
      </c>
      <c r="U391">
        <v>5.5270220538237491E-2</v>
      </c>
      <c r="V391" t="s">
        <v>154</v>
      </c>
    </row>
    <row r="392" spans="9:22" x14ac:dyDescent="0.25">
      <c r="I392" t="s">
        <v>184</v>
      </c>
      <c r="J392" t="s">
        <v>155</v>
      </c>
      <c r="K392">
        <v>7.2006672250782444E-2</v>
      </c>
      <c r="L392" t="s">
        <v>154</v>
      </c>
      <c r="N392" t="s">
        <v>214</v>
      </c>
      <c r="O392" t="s">
        <v>155</v>
      </c>
      <c r="P392">
        <v>5.2462521711739374E-2</v>
      </c>
      <c r="Q392" t="s">
        <v>154</v>
      </c>
      <c r="S392" t="s">
        <v>245</v>
      </c>
      <c r="T392" t="s">
        <v>155</v>
      </c>
      <c r="U392">
        <v>5.6412091355929901E-2</v>
      </c>
      <c r="V392" t="s">
        <v>154</v>
      </c>
    </row>
    <row r="393" spans="9:22" x14ac:dyDescent="0.25">
      <c r="I393" t="s">
        <v>184</v>
      </c>
      <c r="J393" t="s">
        <v>156</v>
      </c>
      <c r="K393">
        <v>5.9077774853083314E-4</v>
      </c>
      <c r="L393" t="s">
        <v>154</v>
      </c>
      <c r="N393" t="s">
        <v>214</v>
      </c>
      <c r="O393" t="s">
        <v>156</v>
      </c>
      <c r="P393">
        <v>6.3538926398439286E-3</v>
      </c>
      <c r="Q393" t="s">
        <v>154</v>
      </c>
      <c r="S393" t="s">
        <v>245</v>
      </c>
      <c r="T393" t="s">
        <v>156</v>
      </c>
      <c r="U393">
        <v>6.6099294280148645E-3</v>
      </c>
      <c r="V393" t="s">
        <v>154</v>
      </c>
    </row>
    <row r="394" spans="9:22" x14ac:dyDescent="0.25">
      <c r="I394" t="s">
        <v>184</v>
      </c>
      <c r="J394" t="s">
        <v>283</v>
      </c>
      <c r="K394">
        <v>0</v>
      </c>
      <c r="L394" t="s">
        <v>154</v>
      </c>
      <c r="N394" t="s">
        <v>214</v>
      </c>
      <c r="O394" t="s">
        <v>283</v>
      </c>
      <c r="P394">
        <v>6.2584931607199985E-3</v>
      </c>
      <c r="Q394" t="s">
        <v>154</v>
      </c>
      <c r="S394" t="s">
        <v>245</v>
      </c>
      <c r="T394" t="s">
        <v>283</v>
      </c>
      <c r="U394">
        <v>6.3548775776513071E-3</v>
      </c>
      <c r="V394" t="s">
        <v>154</v>
      </c>
    </row>
    <row r="395" spans="9:22" x14ac:dyDescent="0.25">
      <c r="I395" t="s">
        <v>184</v>
      </c>
      <c r="J395" t="s">
        <v>284</v>
      </c>
      <c r="K395">
        <v>0</v>
      </c>
      <c r="L395" t="s">
        <v>154</v>
      </c>
      <c r="N395" t="s">
        <v>214</v>
      </c>
      <c r="O395" t="s">
        <v>284</v>
      </c>
      <c r="P395">
        <v>3.2508067053930896E-2</v>
      </c>
      <c r="Q395" t="s">
        <v>154</v>
      </c>
      <c r="S395" t="s">
        <v>245</v>
      </c>
      <c r="T395" t="s">
        <v>284</v>
      </c>
      <c r="U395">
        <v>2.9747614397903403E-2</v>
      </c>
      <c r="V395" t="s">
        <v>154</v>
      </c>
    </row>
    <row r="396" spans="9:22" x14ac:dyDescent="0.25">
      <c r="I396" t="s">
        <v>184</v>
      </c>
      <c r="J396" t="s">
        <v>157</v>
      </c>
      <c r="K396">
        <v>0.11597983009326891</v>
      </c>
      <c r="L396" t="s">
        <v>154</v>
      </c>
      <c r="N396" t="s">
        <v>214</v>
      </c>
      <c r="O396" t="s">
        <v>157</v>
      </c>
      <c r="P396">
        <v>0.2182252935676198</v>
      </c>
      <c r="Q396" t="s">
        <v>154</v>
      </c>
      <c r="S396" t="s">
        <v>245</v>
      </c>
      <c r="T396" t="s">
        <v>157</v>
      </c>
      <c r="U396">
        <v>0.23368551352151057</v>
      </c>
      <c r="V396" t="s">
        <v>154</v>
      </c>
    </row>
    <row r="397" spans="9:22" x14ac:dyDescent="0.25">
      <c r="I397" t="s">
        <v>184</v>
      </c>
      <c r="J397" t="s">
        <v>158</v>
      </c>
      <c r="K397">
        <v>0.61884235101093243</v>
      </c>
      <c r="L397" t="s">
        <v>154</v>
      </c>
      <c r="N397" t="s">
        <v>214</v>
      </c>
      <c r="O397" t="s">
        <v>158</v>
      </c>
      <c r="P397">
        <v>0.215018739307863</v>
      </c>
      <c r="Q397" t="s">
        <v>154</v>
      </c>
      <c r="S397" t="s">
        <v>245</v>
      </c>
      <c r="T397" t="s">
        <v>158</v>
      </c>
      <c r="U397">
        <v>0.19663041538442028</v>
      </c>
      <c r="V397" t="s">
        <v>154</v>
      </c>
    </row>
    <row r="398" spans="9:22" x14ac:dyDescent="0.25">
      <c r="I398" t="s">
        <v>184</v>
      </c>
      <c r="J398" t="s">
        <v>159</v>
      </c>
      <c r="K398">
        <v>4.237107888556442E-2</v>
      </c>
      <c r="L398" t="s">
        <v>154</v>
      </c>
      <c r="N398" t="s">
        <v>214</v>
      </c>
      <c r="O398" t="s">
        <v>159</v>
      </c>
      <c r="P398">
        <v>2.6617289502676268E-2</v>
      </c>
      <c r="Q398" t="s">
        <v>154</v>
      </c>
      <c r="S398" t="s">
        <v>245</v>
      </c>
      <c r="T398" t="s">
        <v>159</v>
      </c>
      <c r="U398">
        <v>2.682959711117382E-2</v>
      </c>
      <c r="V398" t="s">
        <v>154</v>
      </c>
    </row>
    <row r="399" spans="9:22" x14ac:dyDescent="0.25">
      <c r="I399" t="s">
        <v>184</v>
      </c>
      <c r="J399" t="s">
        <v>285</v>
      </c>
      <c r="K399">
        <v>1.9974946644937683E-2</v>
      </c>
      <c r="L399" t="s">
        <v>154</v>
      </c>
      <c r="N399" t="s">
        <v>214</v>
      </c>
      <c r="O399" t="s">
        <v>285</v>
      </c>
      <c r="P399">
        <v>2.5444008768299126E-2</v>
      </c>
      <c r="Q399" t="s">
        <v>154</v>
      </c>
      <c r="S399" t="s">
        <v>245</v>
      </c>
      <c r="T399" t="s">
        <v>285</v>
      </c>
      <c r="U399">
        <v>2.7608565061246766E-2</v>
      </c>
      <c r="V399" t="s">
        <v>154</v>
      </c>
    </row>
    <row r="400" spans="9:22" x14ac:dyDescent="0.25">
      <c r="I400" t="s">
        <v>184</v>
      </c>
      <c r="J400" t="s">
        <v>286</v>
      </c>
      <c r="K400">
        <v>5.3937603060079621E-3</v>
      </c>
      <c r="L400" t="s">
        <v>154</v>
      </c>
      <c r="N400" t="s">
        <v>214</v>
      </c>
      <c r="O400" t="s">
        <v>286</v>
      </c>
      <c r="P400">
        <v>0.11620600330943888</v>
      </c>
      <c r="Q400" t="s">
        <v>154</v>
      </c>
      <c r="S400" t="s">
        <v>245</v>
      </c>
      <c r="T400" t="s">
        <v>286</v>
      </c>
      <c r="U400">
        <v>0.13146852292089292</v>
      </c>
      <c r="V400" t="s">
        <v>154</v>
      </c>
    </row>
    <row r="401" spans="9:22" x14ac:dyDescent="0.25">
      <c r="I401" t="s">
        <v>184</v>
      </c>
      <c r="J401" t="s">
        <v>160</v>
      </c>
      <c r="K401">
        <v>6.7035696846855751E-3</v>
      </c>
      <c r="L401" t="s">
        <v>154</v>
      </c>
      <c r="N401" t="s">
        <v>214</v>
      </c>
      <c r="O401" t="s">
        <v>160</v>
      </c>
      <c r="P401">
        <v>2.8117292893936718E-2</v>
      </c>
      <c r="Q401" t="s">
        <v>154</v>
      </c>
      <c r="S401" t="s">
        <v>245</v>
      </c>
      <c r="T401" t="s">
        <v>160</v>
      </c>
      <c r="U401">
        <v>3.4438358707822123E-2</v>
      </c>
      <c r="V401" t="s">
        <v>154</v>
      </c>
    </row>
    <row r="402" spans="9:22" x14ac:dyDescent="0.25">
      <c r="I402" t="s">
        <v>184</v>
      </c>
      <c r="J402" t="s">
        <v>161</v>
      </c>
      <c r="K402">
        <v>4.8757388483162939E-2</v>
      </c>
      <c r="L402" t="s">
        <v>154</v>
      </c>
      <c r="N402" t="s">
        <v>214</v>
      </c>
      <c r="O402" t="s">
        <v>161</v>
      </c>
      <c r="P402">
        <v>2.419870496065429E-2</v>
      </c>
      <c r="Q402" t="s">
        <v>154</v>
      </c>
      <c r="S402" t="s">
        <v>245</v>
      </c>
      <c r="T402" t="s">
        <v>161</v>
      </c>
      <c r="U402">
        <v>2.3298965139497876E-2</v>
      </c>
      <c r="V402" t="s">
        <v>154</v>
      </c>
    </row>
    <row r="403" spans="9:22" x14ac:dyDescent="0.25">
      <c r="I403" t="s">
        <v>184</v>
      </c>
      <c r="J403" t="s">
        <v>162</v>
      </c>
      <c r="K403">
        <v>0</v>
      </c>
      <c r="L403" t="s">
        <v>154</v>
      </c>
      <c r="N403" t="s">
        <v>214</v>
      </c>
      <c r="O403" t="s">
        <v>162</v>
      </c>
      <c r="P403">
        <v>2.822139841191576E-3</v>
      </c>
      <c r="Q403" t="s">
        <v>154</v>
      </c>
      <c r="S403" t="s">
        <v>245</v>
      </c>
      <c r="T403" t="s">
        <v>162</v>
      </c>
      <c r="U403">
        <v>2.6599484161624548E-3</v>
      </c>
      <c r="V403" t="s">
        <v>154</v>
      </c>
    </row>
    <row r="404" spans="9:22" x14ac:dyDescent="0.25">
      <c r="I404" t="s">
        <v>184</v>
      </c>
      <c r="J404" t="s">
        <v>287</v>
      </c>
      <c r="K404">
        <v>0</v>
      </c>
      <c r="L404" t="s">
        <v>154</v>
      </c>
      <c r="N404" t="s">
        <v>214</v>
      </c>
      <c r="O404" t="s">
        <v>287</v>
      </c>
      <c r="P404">
        <v>2.7794003900284397E-3</v>
      </c>
      <c r="Q404" t="s">
        <v>154</v>
      </c>
      <c r="S404" t="s">
        <v>245</v>
      </c>
      <c r="T404" t="s">
        <v>287</v>
      </c>
      <c r="U404">
        <v>2.7908984521384942E-3</v>
      </c>
      <c r="V404" t="s">
        <v>154</v>
      </c>
    </row>
    <row r="405" spans="9:22" x14ac:dyDescent="0.25">
      <c r="I405" t="s">
        <v>184</v>
      </c>
      <c r="J405" t="s">
        <v>288</v>
      </c>
      <c r="K405">
        <v>0</v>
      </c>
      <c r="L405" t="s">
        <v>154</v>
      </c>
      <c r="N405" t="s">
        <v>214</v>
      </c>
      <c r="O405" t="s">
        <v>288</v>
      </c>
      <c r="P405">
        <v>1.6182125943928895E-2</v>
      </c>
      <c r="Q405" t="s">
        <v>154</v>
      </c>
      <c r="S405" t="s">
        <v>245</v>
      </c>
      <c r="T405" t="s">
        <v>288</v>
      </c>
      <c r="U405">
        <v>1.3800147849894001E-2</v>
      </c>
      <c r="V405" t="s">
        <v>154</v>
      </c>
    </row>
    <row r="406" spans="9:22" x14ac:dyDescent="0.25">
      <c r="I406" t="s">
        <v>184</v>
      </c>
      <c r="J406" t="s">
        <v>163</v>
      </c>
      <c r="K406">
        <v>4.446378647126558E-3</v>
      </c>
      <c r="L406" t="s">
        <v>154</v>
      </c>
      <c r="N406" t="s">
        <v>214</v>
      </c>
      <c r="O406" t="s">
        <v>163</v>
      </c>
      <c r="P406">
        <v>5.968420504855769E-2</v>
      </c>
      <c r="Q406" t="s">
        <v>154</v>
      </c>
      <c r="S406" t="s">
        <v>245</v>
      </c>
      <c r="T406" t="s">
        <v>163</v>
      </c>
      <c r="U406">
        <v>5.6397417116351857E-2</v>
      </c>
      <c r="V406" t="s">
        <v>154</v>
      </c>
    </row>
    <row r="407" spans="9:22" x14ac:dyDescent="0.25">
      <c r="I407" t="s">
        <v>184</v>
      </c>
      <c r="J407" t="s">
        <v>164</v>
      </c>
      <c r="K407">
        <v>6.046224901606858E-2</v>
      </c>
      <c r="L407" t="s">
        <v>154</v>
      </c>
      <c r="N407" t="s">
        <v>214</v>
      </c>
      <c r="O407" t="s">
        <v>164</v>
      </c>
      <c r="P407">
        <v>5.4515463176246871E-2</v>
      </c>
      <c r="Q407" t="s">
        <v>154</v>
      </c>
      <c r="S407" t="s">
        <v>245</v>
      </c>
      <c r="T407" t="s">
        <v>164</v>
      </c>
      <c r="U407">
        <v>5.2157499849294887E-2</v>
      </c>
      <c r="V407" t="s">
        <v>154</v>
      </c>
    </row>
    <row r="408" spans="9:22" x14ac:dyDescent="0.25">
      <c r="I408" t="s">
        <v>184</v>
      </c>
      <c r="J408" t="s">
        <v>165</v>
      </c>
      <c r="K408">
        <v>0</v>
      </c>
      <c r="L408" t="s">
        <v>154</v>
      </c>
      <c r="N408" t="s">
        <v>214</v>
      </c>
      <c r="O408" t="s">
        <v>165</v>
      </c>
      <c r="P408">
        <v>7.0284712535044159E-3</v>
      </c>
      <c r="Q408" t="s">
        <v>154</v>
      </c>
      <c r="S408" t="s">
        <v>245</v>
      </c>
      <c r="T408" t="s">
        <v>165</v>
      </c>
      <c r="U408">
        <v>6.4087719130575165E-3</v>
      </c>
      <c r="V408" t="s">
        <v>154</v>
      </c>
    </row>
    <row r="409" spans="9:22" x14ac:dyDescent="0.25">
      <c r="I409" t="s">
        <v>184</v>
      </c>
      <c r="J409" t="s">
        <v>289</v>
      </c>
      <c r="K409">
        <v>0</v>
      </c>
      <c r="L409" t="s">
        <v>154</v>
      </c>
      <c r="N409" t="s">
        <v>214</v>
      </c>
      <c r="O409" t="s">
        <v>289</v>
      </c>
      <c r="P409">
        <v>7.0053693860412779E-3</v>
      </c>
      <c r="Q409" t="s">
        <v>154</v>
      </c>
      <c r="S409" t="s">
        <v>245</v>
      </c>
      <c r="T409" t="s">
        <v>289</v>
      </c>
      <c r="U409">
        <v>6.7108695708448241E-3</v>
      </c>
      <c r="V409" t="s">
        <v>154</v>
      </c>
    </row>
    <row r="410" spans="9:22" x14ac:dyDescent="0.25">
      <c r="I410" t="s">
        <v>184</v>
      </c>
      <c r="J410" t="s">
        <v>290</v>
      </c>
      <c r="K410">
        <v>0</v>
      </c>
      <c r="L410" t="s">
        <v>154</v>
      </c>
      <c r="N410" t="s">
        <v>214</v>
      </c>
      <c r="O410" t="s">
        <v>290</v>
      </c>
      <c r="P410">
        <v>3.6779480369555896E-2</v>
      </c>
      <c r="Q410" t="s">
        <v>154</v>
      </c>
      <c r="S410" t="s">
        <v>245</v>
      </c>
      <c r="T410" t="s">
        <v>290</v>
      </c>
      <c r="U410">
        <v>3.0719775687952984E-2</v>
      </c>
      <c r="V410" t="s">
        <v>154</v>
      </c>
    </row>
    <row r="411" spans="9:22" x14ac:dyDescent="0.25">
      <c r="I411" t="s">
        <v>185</v>
      </c>
      <c r="J411" t="s">
        <v>153</v>
      </c>
      <c r="K411">
        <v>6.0584608270899806E-3</v>
      </c>
      <c r="L411" t="s">
        <v>154</v>
      </c>
      <c r="N411" t="s">
        <v>215</v>
      </c>
      <c r="O411" t="s">
        <v>153</v>
      </c>
      <c r="P411">
        <v>4.9145644601111337E-2</v>
      </c>
      <c r="Q411" t="s">
        <v>154</v>
      </c>
      <c r="S411" t="s">
        <v>246</v>
      </c>
      <c r="T411" t="s">
        <v>153</v>
      </c>
      <c r="U411">
        <v>4.9185982214456254E-2</v>
      </c>
      <c r="V411" t="s">
        <v>154</v>
      </c>
    </row>
    <row r="412" spans="9:22" x14ac:dyDescent="0.25">
      <c r="I412" t="s">
        <v>185</v>
      </c>
      <c r="J412" t="s">
        <v>155</v>
      </c>
      <c r="K412">
        <v>8.3046590379445118E-2</v>
      </c>
      <c r="L412" t="s">
        <v>154</v>
      </c>
      <c r="N412" t="s">
        <v>215</v>
      </c>
      <c r="O412" t="s">
        <v>155</v>
      </c>
      <c r="P412">
        <v>5.5088030789426624E-2</v>
      </c>
      <c r="Q412" t="s">
        <v>154</v>
      </c>
      <c r="S412" t="s">
        <v>246</v>
      </c>
      <c r="T412" t="s">
        <v>155</v>
      </c>
      <c r="U412">
        <v>4.2794094607577521E-2</v>
      </c>
      <c r="V412" t="s">
        <v>154</v>
      </c>
    </row>
    <row r="413" spans="9:22" x14ac:dyDescent="0.25">
      <c r="I413" t="s">
        <v>185</v>
      </c>
      <c r="J413" t="s">
        <v>156</v>
      </c>
      <c r="K413">
        <v>5.0021281335199085E-3</v>
      </c>
      <c r="L413" t="s">
        <v>154</v>
      </c>
      <c r="N413" t="s">
        <v>215</v>
      </c>
      <c r="O413" t="s">
        <v>156</v>
      </c>
      <c r="P413">
        <v>6.60119210078252E-3</v>
      </c>
      <c r="Q413" t="s">
        <v>154</v>
      </c>
      <c r="S413" t="s">
        <v>246</v>
      </c>
      <c r="T413" t="s">
        <v>156</v>
      </c>
      <c r="U413">
        <v>5.1340251745890537E-3</v>
      </c>
      <c r="V413" t="s">
        <v>154</v>
      </c>
    </row>
    <row r="414" spans="9:22" x14ac:dyDescent="0.25">
      <c r="I414" t="s">
        <v>185</v>
      </c>
      <c r="J414" t="s">
        <v>283</v>
      </c>
      <c r="K414">
        <v>0</v>
      </c>
      <c r="L414" t="s">
        <v>154</v>
      </c>
      <c r="N414" t="s">
        <v>215</v>
      </c>
      <c r="O414" t="s">
        <v>283</v>
      </c>
      <c r="P414">
        <v>6.2121501122304581E-3</v>
      </c>
      <c r="Q414" t="s">
        <v>154</v>
      </c>
      <c r="S414" t="s">
        <v>246</v>
      </c>
      <c r="T414" t="s">
        <v>283</v>
      </c>
      <c r="U414">
        <v>5.1405892609135981E-3</v>
      </c>
      <c r="V414" t="s">
        <v>154</v>
      </c>
    </row>
    <row r="415" spans="9:22" x14ac:dyDescent="0.25">
      <c r="I415" t="s">
        <v>185</v>
      </c>
      <c r="J415" t="s">
        <v>284</v>
      </c>
      <c r="K415">
        <v>0</v>
      </c>
      <c r="L415" t="s">
        <v>154</v>
      </c>
      <c r="N415" t="s">
        <v>215</v>
      </c>
      <c r="O415" t="s">
        <v>284</v>
      </c>
      <c r="P415">
        <v>2.5762373070613884E-2</v>
      </c>
      <c r="Q415" t="s">
        <v>154</v>
      </c>
      <c r="S415" t="s">
        <v>246</v>
      </c>
      <c r="T415" t="s">
        <v>284</v>
      </c>
      <c r="U415">
        <v>2.5736341763565054E-2</v>
      </c>
      <c r="V415" t="s">
        <v>154</v>
      </c>
    </row>
    <row r="416" spans="9:22" x14ac:dyDescent="0.25">
      <c r="I416" t="s">
        <v>185</v>
      </c>
      <c r="J416" t="s">
        <v>157</v>
      </c>
      <c r="K416">
        <v>9.4640823569238072E-2</v>
      </c>
      <c r="L416" t="s">
        <v>154</v>
      </c>
      <c r="N416" t="s">
        <v>215</v>
      </c>
      <c r="O416" t="s">
        <v>157</v>
      </c>
      <c r="P416">
        <v>0.21435934373796589</v>
      </c>
      <c r="Q416" t="s">
        <v>154</v>
      </c>
      <c r="S416" t="s">
        <v>246</v>
      </c>
      <c r="T416" t="s">
        <v>157</v>
      </c>
      <c r="U416">
        <v>0.24500636163823439</v>
      </c>
      <c r="V416" t="s">
        <v>154</v>
      </c>
    </row>
    <row r="417" spans="9:22" x14ac:dyDescent="0.25">
      <c r="I417" t="s">
        <v>185</v>
      </c>
      <c r="J417" t="s">
        <v>158</v>
      </c>
      <c r="K417">
        <v>0.59434505877432287</v>
      </c>
      <c r="L417" t="s">
        <v>154</v>
      </c>
      <c r="N417" t="s">
        <v>215</v>
      </c>
      <c r="O417" t="s">
        <v>158</v>
      </c>
      <c r="P417">
        <v>0.25197558215795585</v>
      </c>
      <c r="Q417" t="s">
        <v>154</v>
      </c>
      <c r="S417" t="s">
        <v>246</v>
      </c>
      <c r="T417" t="s">
        <v>158</v>
      </c>
      <c r="U417">
        <v>0.20990110405769974</v>
      </c>
      <c r="V417" t="s">
        <v>154</v>
      </c>
    </row>
    <row r="418" spans="9:22" x14ac:dyDescent="0.25">
      <c r="I418" t="s">
        <v>185</v>
      </c>
      <c r="J418" t="s">
        <v>159</v>
      </c>
      <c r="K418">
        <v>4.5238765628159566E-2</v>
      </c>
      <c r="L418" t="s">
        <v>154</v>
      </c>
      <c r="N418" t="s">
        <v>215</v>
      </c>
      <c r="O418" t="s">
        <v>159</v>
      </c>
      <c r="P418">
        <v>3.2775265314832144E-2</v>
      </c>
      <c r="Q418" t="s">
        <v>154</v>
      </c>
      <c r="S418" t="s">
        <v>246</v>
      </c>
      <c r="T418" t="s">
        <v>159</v>
      </c>
      <c r="U418">
        <v>2.8478943182516023E-2</v>
      </c>
      <c r="V418" t="s">
        <v>154</v>
      </c>
    </row>
    <row r="419" spans="9:22" x14ac:dyDescent="0.25">
      <c r="I419" t="s">
        <v>185</v>
      </c>
      <c r="J419" t="s">
        <v>285</v>
      </c>
      <c r="K419">
        <v>2.1596048792649442E-2</v>
      </c>
      <c r="L419" t="s">
        <v>154</v>
      </c>
      <c r="N419" t="s">
        <v>215</v>
      </c>
      <c r="O419" t="s">
        <v>285</v>
      </c>
      <c r="P419">
        <v>3.1515614437537268E-2</v>
      </c>
      <c r="Q419" t="s">
        <v>154</v>
      </c>
      <c r="S419" t="s">
        <v>246</v>
      </c>
      <c r="T419" t="s">
        <v>285</v>
      </c>
      <c r="U419">
        <v>2.8989184279663682E-2</v>
      </c>
      <c r="V419" t="s">
        <v>154</v>
      </c>
    </row>
    <row r="420" spans="9:22" x14ac:dyDescent="0.25">
      <c r="I420" t="s">
        <v>185</v>
      </c>
      <c r="J420" t="s">
        <v>286</v>
      </c>
      <c r="K420">
        <v>3.0912796976737423E-3</v>
      </c>
      <c r="L420" t="s">
        <v>154</v>
      </c>
      <c r="N420" t="s">
        <v>215</v>
      </c>
      <c r="O420" t="s">
        <v>286</v>
      </c>
      <c r="P420">
        <v>0.1273202442657804</v>
      </c>
      <c r="Q420" t="s">
        <v>154</v>
      </c>
      <c r="S420" t="s">
        <v>246</v>
      </c>
      <c r="T420" t="s">
        <v>286</v>
      </c>
      <c r="U420">
        <v>0.13963643120576066</v>
      </c>
      <c r="V420" t="s">
        <v>154</v>
      </c>
    </row>
    <row r="421" spans="9:22" x14ac:dyDescent="0.25">
      <c r="I421" t="s">
        <v>185</v>
      </c>
      <c r="J421" t="s">
        <v>160</v>
      </c>
      <c r="K421">
        <v>7.4307881697505806E-3</v>
      </c>
      <c r="L421" t="s">
        <v>154</v>
      </c>
      <c r="N421" t="s">
        <v>215</v>
      </c>
      <c r="O421" t="s">
        <v>160</v>
      </c>
      <c r="P421">
        <v>2.1756064073167707E-2</v>
      </c>
      <c r="Q421" t="s">
        <v>154</v>
      </c>
      <c r="S421" t="s">
        <v>246</v>
      </c>
      <c r="T421" t="s">
        <v>160</v>
      </c>
      <c r="U421">
        <v>3.276681712627879E-2</v>
      </c>
      <c r="V421" t="s">
        <v>154</v>
      </c>
    </row>
    <row r="422" spans="9:22" x14ac:dyDescent="0.25">
      <c r="I422" t="s">
        <v>185</v>
      </c>
      <c r="J422" t="s">
        <v>161</v>
      </c>
      <c r="K422">
        <v>5.6326984816428387E-2</v>
      </c>
      <c r="L422" t="s">
        <v>154</v>
      </c>
      <c r="N422" t="s">
        <v>215</v>
      </c>
      <c r="O422" t="s">
        <v>161</v>
      </c>
      <c r="P422">
        <v>1.827749926652196E-2</v>
      </c>
      <c r="Q422" t="s">
        <v>154</v>
      </c>
      <c r="S422" t="s">
        <v>246</v>
      </c>
      <c r="T422" t="s">
        <v>161</v>
      </c>
      <c r="U422">
        <v>2.4767515315690335E-2</v>
      </c>
      <c r="V422" t="s">
        <v>154</v>
      </c>
    </row>
    <row r="423" spans="9:22" x14ac:dyDescent="0.25">
      <c r="I423" t="s">
        <v>185</v>
      </c>
      <c r="J423" t="s">
        <v>162</v>
      </c>
      <c r="K423">
        <v>1.3041542610427045E-3</v>
      </c>
      <c r="L423" t="s">
        <v>154</v>
      </c>
      <c r="N423" t="s">
        <v>215</v>
      </c>
      <c r="O423" t="s">
        <v>162</v>
      </c>
      <c r="P423">
        <v>2.4842951691316979E-3</v>
      </c>
      <c r="Q423" t="s">
        <v>154</v>
      </c>
      <c r="S423" t="s">
        <v>246</v>
      </c>
      <c r="T423" t="s">
        <v>162</v>
      </c>
      <c r="U423">
        <v>2.8364758421010783E-3</v>
      </c>
      <c r="V423" t="s">
        <v>154</v>
      </c>
    </row>
    <row r="424" spans="9:22" x14ac:dyDescent="0.25">
      <c r="I424" t="s">
        <v>185</v>
      </c>
      <c r="J424" t="s">
        <v>287</v>
      </c>
      <c r="K424">
        <v>0</v>
      </c>
      <c r="L424" t="s">
        <v>154</v>
      </c>
      <c r="N424" t="s">
        <v>215</v>
      </c>
      <c r="O424" t="s">
        <v>287</v>
      </c>
      <c r="P424">
        <v>2.7379460744396899E-3</v>
      </c>
      <c r="Q424" t="s">
        <v>154</v>
      </c>
      <c r="S424" t="s">
        <v>246</v>
      </c>
      <c r="T424" t="s">
        <v>287</v>
      </c>
      <c r="U424">
        <v>2.9580847738377744E-3</v>
      </c>
      <c r="V424" t="s">
        <v>154</v>
      </c>
    </row>
    <row r="425" spans="9:22" x14ac:dyDescent="0.25">
      <c r="I425" t="s">
        <v>185</v>
      </c>
      <c r="J425" t="s">
        <v>288</v>
      </c>
      <c r="K425">
        <v>0</v>
      </c>
      <c r="L425" t="s">
        <v>154</v>
      </c>
      <c r="N425" t="s">
        <v>215</v>
      </c>
      <c r="O425" t="s">
        <v>288</v>
      </c>
      <c r="P425">
        <v>1.2707399020568702E-2</v>
      </c>
      <c r="Q425" t="s">
        <v>154</v>
      </c>
      <c r="S425" t="s">
        <v>246</v>
      </c>
      <c r="T425" t="s">
        <v>288</v>
      </c>
      <c r="U425">
        <v>1.7072476508559604E-2</v>
      </c>
      <c r="V425" t="s">
        <v>154</v>
      </c>
    </row>
    <row r="426" spans="9:22" x14ac:dyDescent="0.25">
      <c r="I426" t="s">
        <v>185</v>
      </c>
      <c r="J426" t="s">
        <v>163</v>
      </c>
      <c r="K426">
        <v>5.9001997689061897E-3</v>
      </c>
      <c r="L426" t="s">
        <v>154</v>
      </c>
      <c r="N426" t="s">
        <v>215</v>
      </c>
      <c r="O426" t="s">
        <v>163</v>
      </c>
      <c r="P426">
        <v>4.8605551522864339E-2</v>
      </c>
      <c r="Q426" t="s">
        <v>154</v>
      </c>
      <c r="S426" t="s">
        <v>246</v>
      </c>
      <c r="T426" t="s">
        <v>163</v>
      </c>
      <c r="U426">
        <v>5.2181159793679169E-2</v>
      </c>
      <c r="V426" t="s">
        <v>154</v>
      </c>
    </row>
    <row r="427" spans="9:22" x14ac:dyDescent="0.25">
      <c r="I427" t="s">
        <v>185</v>
      </c>
      <c r="J427" t="s">
        <v>164</v>
      </c>
      <c r="K427">
        <v>7.5923652848750842E-2</v>
      </c>
      <c r="L427" t="s">
        <v>154</v>
      </c>
      <c r="N427" t="s">
        <v>215</v>
      </c>
      <c r="O427" t="s">
        <v>164</v>
      </c>
      <c r="P427">
        <v>4.8579084815847072E-2</v>
      </c>
      <c r="Q427" t="s">
        <v>154</v>
      </c>
      <c r="S427" t="s">
        <v>246</v>
      </c>
      <c r="T427" t="s">
        <v>164</v>
      </c>
      <c r="U427">
        <v>4.7149483540811256E-2</v>
      </c>
      <c r="V427" t="s">
        <v>154</v>
      </c>
    </row>
    <row r="428" spans="9:22" x14ac:dyDescent="0.25">
      <c r="I428" t="s">
        <v>185</v>
      </c>
      <c r="J428" t="s">
        <v>165</v>
      </c>
      <c r="K428">
        <v>9.5064333019726795E-5</v>
      </c>
      <c r="L428" t="s">
        <v>154</v>
      </c>
      <c r="N428" t="s">
        <v>215</v>
      </c>
      <c r="O428" t="s">
        <v>165</v>
      </c>
      <c r="P428">
        <v>6.4769445566876657E-3</v>
      </c>
      <c r="Q428" t="s">
        <v>154</v>
      </c>
      <c r="S428" t="s">
        <v>246</v>
      </c>
      <c r="T428" t="s">
        <v>165</v>
      </c>
      <c r="U428">
        <v>5.8353282089641557E-3</v>
      </c>
      <c r="V428" t="s">
        <v>154</v>
      </c>
    </row>
    <row r="429" spans="9:22" x14ac:dyDescent="0.25">
      <c r="I429" t="s">
        <v>185</v>
      </c>
      <c r="J429" t="s">
        <v>289</v>
      </c>
      <c r="K429">
        <v>0</v>
      </c>
      <c r="L429" t="s">
        <v>154</v>
      </c>
      <c r="N429" t="s">
        <v>215</v>
      </c>
      <c r="O429" t="s">
        <v>289</v>
      </c>
      <c r="P429">
        <v>6.5307045752370924E-3</v>
      </c>
      <c r="Q429" t="s">
        <v>154</v>
      </c>
      <c r="S429" t="s">
        <v>246</v>
      </c>
      <c r="T429" t="s">
        <v>289</v>
      </c>
      <c r="U429">
        <v>5.8057956207603284E-3</v>
      </c>
      <c r="V429" t="s">
        <v>154</v>
      </c>
    </row>
    <row r="430" spans="9:22" x14ac:dyDescent="0.25">
      <c r="I430" t="s">
        <v>185</v>
      </c>
      <c r="J430" t="s">
        <v>290</v>
      </c>
      <c r="K430">
        <v>0</v>
      </c>
      <c r="L430" t="s">
        <v>154</v>
      </c>
      <c r="N430" t="s">
        <v>215</v>
      </c>
      <c r="O430" t="s">
        <v>290</v>
      </c>
      <c r="P430">
        <v>3.1089070337294859E-2</v>
      </c>
      <c r="Q430" t="s">
        <v>154</v>
      </c>
      <c r="S430" t="s">
        <v>246</v>
      </c>
      <c r="T430" t="s">
        <v>290</v>
      </c>
      <c r="U430">
        <v>2.862380588434316E-2</v>
      </c>
      <c r="V430" t="s">
        <v>154</v>
      </c>
    </row>
    <row r="431" spans="9:22" x14ac:dyDescent="0.25">
      <c r="I431" t="s">
        <v>186</v>
      </c>
      <c r="J431" t="s">
        <v>153</v>
      </c>
      <c r="K431">
        <v>6.131416688066626E-3</v>
      </c>
      <c r="L431" t="s">
        <v>154</v>
      </c>
      <c r="N431" t="s">
        <v>216</v>
      </c>
      <c r="O431" t="s">
        <v>153</v>
      </c>
      <c r="P431">
        <v>5.1584307397419212E-2</v>
      </c>
      <c r="Q431" t="s">
        <v>154</v>
      </c>
      <c r="S431" t="s">
        <v>247</v>
      </c>
      <c r="T431" t="s">
        <v>153</v>
      </c>
      <c r="U431">
        <v>4.8414299950925818E-2</v>
      </c>
      <c r="V431" t="s">
        <v>154</v>
      </c>
    </row>
    <row r="432" spans="9:22" x14ac:dyDescent="0.25">
      <c r="I432" t="s">
        <v>186</v>
      </c>
      <c r="J432" t="s">
        <v>155</v>
      </c>
      <c r="K432">
        <v>8.277754265727176E-2</v>
      </c>
      <c r="L432" t="s">
        <v>154</v>
      </c>
      <c r="N432" t="s">
        <v>216</v>
      </c>
      <c r="O432" t="s">
        <v>155</v>
      </c>
      <c r="P432">
        <v>6.2826875667720189E-2</v>
      </c>
      <c r="Q432" t="s">
        <v>154</v>
      </c>
      <c r="S432" t="s">
        <v>247</v>
      </c>
      <c r="T432" t="s">
        <v>155</v>
      </c>
      <c r="U432">
        <v>4.0545683642015502E-2</v>
      </c>
      <c r="V432" t="s">
        <v>154</v>
      </c>
    </row>
    <row r="433" spans="9:22" x14ac:dyDescent="0.25">
      <c r="I433" t="s">
        <v>186</v>
      </c>
      <c r="J433" t="s">
        <v>156</v>
      </c>
      <c r="K433">
        <v>4.3736303412946834E-3</v>
      </c>
      <c r="L433" t="s">
        <v>154</v>
      </c>
      <c r="N433" t="s">
        <v>216</v>
      </c>
      <c r="O433" t="s">
        <v>156</v>
      </c>
      <c r="P433">
        <v>6.7072409222799769E-3</v>
      </c>
      <c r="Q433" t="s">
        <v>154</v>
      </c>
      <c r="S433" t="s">
        <v>247</v>
      </c>
      <c r="T433" t="s">
        <v>156</v>
      </c>
      <c r="U433">
        <v>5.0918119095417786E-3</v>
      </c>
      <c r="V433" t="s">
        <v>154</v>
      </c>
    </row>
    <row r="434" spans="9:22" x14ac:dyDescent="0.25">
      <c r="I434" t="s">
        <v>186</v>
      </c>
      <c r="J434" t="s">
        <v>283</v>
      </c>
      <c r="K434">
        <v>0</v>
      </c>
      <c r="L434" t="s">
        <v>154</v>
      </c>
      <c r="N434" t="s">
        <v>216</v>
      </c>
      <c r="O434" t="s">
        <v>283</v>
      </c>
      <c r="P434">
        <v>6.2660925408900723E-3</v>
      </c>
      <c r="Q434" t="s">
        <v>154</v>
      </c>
      <c r="S434" t="s">
        <v>247</v>
      </c>
      <c r="T434" t="s">
        <v>283</v>
      </c>
      <c r="U434">
        <v>5.1138182778561175E-3</v>
      </c>
      <c r="V434" t="s">
        <v>154</v>
      </c>
    </row>
    <row r="435" spans="9:22" x14ac:dyDescent="0.25">
      <c r="I435" t="s">
        <v>186</v>
      </c>
      <c r="J435" t="s">
        <v>284</v>
      </c>
      <c r="K435">
        <v>0</v>
      </c>
      <c r="L435" t="s">
        <v>154</v>
      </c>
      <c r="N435" t="s">
        <v>216</v>
      </c>
      <c r="O435" t="s">
        <v>284</v>
      </c>
      <c r="P435">
        <v>2.6491664008004213E-2</v>
      </c>
      <c r="Q435" t="s">
        <v>154</v>
      </c>
      <c r="S435" t="s">
        <v>247</v>
      </c>
      <c r="T435" t="s">
        <v>284</v>
      </c>
      <c r="U435">
        <v>2.58935037565362E-2</v>
      </c>
      <c r="V435" t="s">
        <v>154</v>
      </c>
    </row>
    <row r="436" spans="9:22" x14ac:dyDescent="0.25">
      <c r="I436" t="s">
        <v>186</v>
      </c>
      <c r="J436" t="s">
        <v>157</v>
      </c>
      <c r="K436">
        <v>9.8799605421926631E-2</v>
      </c>
      <c r="L436" t="s">
        <v>154</v>
      </c>
      <c r="N436" t="s">
        <v>216</v>
      </c>
      <c r="O436" t="s">
        <v>157</v>
      </c>
      <c r="P436">
        <v>0.20418780152717642</v>
      </c>
      <c r="Q436" t="s">
        <v>154</v>
      </c>
      <c r="S436" t="s">
        <v>247</v>
      </c>
      <c r="T436" t="s">
        <v>157</v>
      </c>
      <c r="U436">
        <v>0.24509203996344692</v>
      </c>
      <c r="V436" t="s">
        <v>154</v>
      </c>
    </row>
    <row r="437" spans="9:22" x14ac:dyDescent="0.25">
      <c r="I437" t="s">
        <v>186</v>
      </c>
      <c r="J437" t="s">
        <v>158</v>
      </c>
      <c r="K437">
        <v>0.59806642808262667</v>
      </c>
      <c r="L437" t="s">
        <v>154</v>
      </c>
      <c r="N437" t="s">
        <v>216</v>
      </c>
      <c r="O437" t="s">
        <v>158</v>
      </c>
      <c r="P437">
        <v>0.28379091384043226</v>
      </c>
      <c r="Q437" t="s">
        <v>154</v>
      </c>
      <c r="S437" t="s">
        <v>247</v>
      </c>
      <c r="T437" t="s">
        <v>158</v>
      </c>
      <c r="U437">
        <v>0.2162805498436926</v>
      </c>
      <c r="V437" t="s">
        <v>154</v>
      </c>
    </row>
    <row r="438" spans="9:22" x14ac:dyDescent="0.25">
      <c r="I438" t="s">
        <v>186</v>
      </c>
      <c r="J438" t="s">
        <v>159</v>
      </c>
      <c r="K438">
        <v>4.3789291025713377E-2</v>
      </c>
      <c r="L438" t="s">
        <v>154</v>
      </c>
      <c r="N438" t="s">
        <v>216</v>
      </c>
      <c r="O438" t="s">
        <v>159</v>
      </c>
      <c r="P438">
        <v>3.2505221803947687E-2</v>
      </c>
      <c r="Q438" t="s">
        <v>154</v>
      </c>
      <c r="S438" t="s">
        <v>247</v>
      </c>
      <c r="T438" t="s">
        <v>159</v>
      </c>
      <c r="U438">
        <v>2.815208254602063E-2</v>
      </c>
      <c r="V438" t="s">
        <v>154</v>
      </c>
    </row>
    <row r="439" spans="9:22" x14ac:dyDescent="0.25">
      <c r="I439" t="s">
        <v>186</v>
      </c>
      <c r="J439" t="s">
        <v>285</v>
      </c>
      <c r="K439">
        <v>2.0452913197518997E-2</v>
      </c>
      <c r="L439" t="s">
        <v>154</v>
      </c>
      <c r="N439" t="s">
        <v>216</v>
      </c>
      <c r="O439" t="s">
        <v>285</v>
      </c>
      <c r="P439">
        <v>3.0517617413576632E-2</v>
      </c>
      <c r="Q439" t="s">
        <v>154</v>
      </c>
      <c r="S439" t="s">
        <v>247</v>
      </c>
      <c r="T439" t="s">
        <v>285</v>
      </c>
      <c r="U439">
        <v>2.8597951251573196E-2</v>
      </c>
      <c r="V439" t="s">
        <v>154</v>
      </c>
    </row>
    <row r="440" spans="9:22" x14ac:dyDescent="0.25">
      <c r="I440" t="s">
        <v>186</v>
      </c>
      <c r="J440" t="s">
        <v>286</v>
      </c>
      <c r="K440">
        <v>2.6773710352398176E-3</v>
      </c>
      <c r="L440" t="s">
        <v>154</v>
      </c>
      <c r="N440" t="s">
        <v>216</v>
      </c>
      <c r="O440" t="s">
        <v>286</v>
      </c>
      <c r="P440">
        <v>0.11634106405225865</v>
      </c>
      <c r="Q440" t="s">
        <v>154</v>
      </c>
      <c r="S440" t="s">
        <v>247</v>
      </c>
      <c r="T440" t="s">
        <v>286</v>
      </c>
      <c r="U440">
        <v>0.14224971129774991</v>
      </c>
      <c r="V440" t="s">
        <v>154</v>
      </c>
    </row>
    <row r="441" spans="9:22" x14ac:dyDescent="0.25">
      <c r="I441" t="s">
        <v>186</v>
      </c>
      <c r="J441" t="s">
        <v>160</v>
      </c>
      <c r="K441">
        <v>7.7854917428128254E-3</v>
      </c>
      <c r="L441" t="s">
        <v>154</v>
      </c>
      <c r="N441" t="s">
        <v>216</v>
      </c>
      <c r="O441" t="s">
        <v>160</v>
      </c>
      <c r="P441">
        <v>1.5088557162241802E-2</v>
      </c>
      <c r="Q441" t="s">
        <v>154</v>
      </c>
      <c r="S441" t="s">
        <v>247</v>
      </c>
      <c r="T441" t="s">
        <v>160</v>
      </c>
      <c r="U441">
        <v>2.6604055726081807E-2</v>
      </c>
      <c r="V441" t="s">
        <v>154</v>
      </c>
    </row>
    <row r="442" spans="9:22" x14ac:dyDescent="0.25">
      <c r="I442" t="s">
        <v>186</v>
      </c>
      <c r="J442" t="s">
        <v>161</v>
      </c>
      <c r="K442">
        <v>5.6186785282395159E-2</v>
      </c>
      <c r="L442" t="s">
        <v>154</v>
      </c>
      <c r="N442" t="s">
        <v>216</v>
      </c>
      <c r="O442" t="s">
        <v>161</v>
      </c>
      <c r="P442">
        <v>1.5120368485546648E-2</v>
      </c>
      <c r="Q442" t="s">
        <v>154</v>
      </c>
      <c r="S442" t="s">
        <v>247</v>
      </c>
      <c r="T442" t="s">
        <v>161</v>
      </c>
      <c r="U442">
        <v>2.5957599469030288E-2</v>
      </c>
      <c r="V442" t="s">
        <v>154</v>
      </c>
    </row>
    <row r="443" spans="9:22" x14ac:dyDescent="0.25">
      <c r="I443" t="s">
        <v>186</v>
      </c>
      <c r="J443" t="s">
        <v>162</v>
      </c>
      <c r="K443">
        <v>7.6171133484926321E-4</v>
      </c>
      <c r="L443" t="s">
        <v>154</v>
      </c>
      <c r="N443" t="s">
        <v>216</v>
      </c>
      <c r="O443" t="s">
        <v>162</v>
      </c>
      <c r="P443">
        <v>2.1331360608561572E-3</v>
      </c>
      <c r="Q443" t="s">
        <v>154</v>
      </c>
      <c r="S443" t="s">
        <v>247</v>
      </c>
      <c r="T443" t="s">
        <v>162</v>
      </c>
      <c r="U443">
        <v>3.21509635354631E-3</v>
      </c>
      <c r="V443" t="s">
        <v>154</v>
      </c>
    </row>
    <row r="444" spans="9:22" x14ac:dyDescent="0.25">
      <c r="I444" t="s">
        <v>186</v>
      </c>
      <c r="J444" t="s">
        <v>287</v>
      </c>
      <c r="K444">
        <v>0</v>
      </c>
      <c r="L444" t="s">
        <v>154</v>
      </c>
      <c r="N444" t="s">
        <v>216</v>
      </c>
      <c r="O444" t="s">
        <v>287</v>
      </c>
      <c r="P444">
        <v>2.2893593838138469E-3</v>
      </c>
      <c r="Q444" t="s">
        <v>154</v>
      </c>
      <c r="S444" t="s">
        <v>247</v>
      </c>
      <c r="T444" t="s">
        <v>287</v>
      </c>
      <c r="U444">
        <v>3.1740927123709841E-3</v>
      </c>
      <c r="V444" t="s">
        <v>154</v>
      </c>
    </row>
    <row r="445" spans="9:22" x14ac:dyDescent="0.25">
      <c r="I445" t="s">
        <v>186</v>
      </c>
      <c r="J445" t="s">
        <v>288</v>
      </c>
      <c r="K445">
        <v>0</v>
      </c>
      <c r="L445" t="s">
        <v>154</v>
      </c>
      <c r="N445" t="s">
        <v>216</v>
      </c>
      <c r="O445" t="s">
        <v>288</v>
      </c>
      <c r="P445">
        <v>1.0591047530012065E-2</v>
      </c>
      <c r="Q445" t="s">
        <v>154</v>
      </c>
      <c r="S445" t="s">
        <v>247</v>
      </c>
      <c r="T445" t="s">
        <v>288</v>
      </c>
      <c r="U445">
        <v>1.4803170261618332E-2</v>
      </c>
      <c r="V445" t="s">
        <v>154</v>
      </c>
    </row>
    <row r="446" spans="9:22" x14ac:dyDescent="0.25">
      <c r="I446" t="s">
        <v>186</v>
      </c>
      <c r="J446" t="s">
        <v>163</v>
      </c>
      <c r="K446">
        <v>5.643381524674031E-3</v>
      </c>
      <c r="L446" t="s">
        <v>154</v>
      </c>
      <c r="N446" t="s">
        <v>216</v>
      </c>
      <c r="O446" t="s">
        <v>163</v>
      </c>
      <c r="P446">
        <v>4.1770296900275068E-2</v>
      </c>
      <c r="Q446" t="s">
        <v>154</v>
      </c>
      <c r="S446" t="s">
        <v>247</v>
      </c>
      <c r="T446" t="s">
        <v>163</v>
      </c>
      <c r="U446">
        <v>5.2189611446299508E-2</v>
      </c>
      <c r="V446" t="s">
        <v>154</v>
      </c>
    </row>
    <row r="447" spans="9:22" x14ac:dyDescent="0.25">
      <c r="I447" t="s">
        <v>186</v>
      </c>
      <c r="J447" t="s">
        <v>164</v>
      </c>
      <c r="K447">
        <v>7.255443166560803E-2</v>
      </c>
      <c r="L447" t="s">
        <v>154</v>
      </c>
      <c r="N447" t="s">
        <v>216</v>
      </c>
      <c r="O447" t="s">
        <v>164</v>
      </c>
      <c r="P447">
        <v>4.9117577632309992E-2</v>
      </c>
      <c r="Q447" t="s">
        <v>154</v>
      </c>
      <c r="S447" t="s">
        <v>247</v>
      </c>
      <c r="T447" t="s">
        <v>164</v>
      </c>
      <c r="U447">
        <v>4.6464331974224525E-2</v>
      </c>
      <c r="V447" t="s">
        <v>154</v>
      </c>
    </row>
    <row r="448" spans="9:22" x14ac:dyDescent="0.25">
      <c r="I448" t="s">
        <v>186</v>
      </c>
      <c r="J448" t="s">
        <v>165</v>
      </c>
      <c r="K448">
        <v>0</v>
      </c>
      <c r="L448" t="s">
        <v>154</v>
      </c>
      <c r="N448" t="s">
        <v>216</v>
      </c>
      <c r="O448" t="s">
        <v>165</v>
      </c>
      <c r="P448">
        <v>6.9304149110278133E-3</v>
      </c>
      <c r="Q448" t="s">
        <v>154</v>
      </c>
      <c r="S448" t="s">
        <v>247</v>
      </c>
      <c r="T448" t="s">
        <v>165</v>
      </c>
      <c r="U448">
        <v>5.954721802848984E-3</v>
      </c>
      <c r="V448" t="s">
        <v>154</v>
      </c>
    </row>
    <row r="449" spans="9:22" x14ac:dyDescent="0.25">
      <c r="I449" t="s">
        <v>186</v>
      </c>
      <c r="J449" t="s">
        <v>289</v>
      </c>
      <c r="K449">
        <v>0</v>
      </c>
      <c r="L449" t="s">
        <v>154</v>
      </c>
      <c r="N449" t="s">
        <v>216</v>
      </c>
      <c r="O449" t="s">
        <v>289</v>
      </c>
      <c r="P449">
        <v>6.8678573006091381E-3</v>
      </c>
      <c r="Q449" t="s">
        <v>154</v>
      </c>
      <c r="S449" t="s">
        <v>247</v>
      </c>
      <c r="T449" t="s">
        <v>289</v>
      </c>
      <c r="U449">
        <v>5.998773980556071E-3</v>
      </c>
      <c r="V449" t="s">
        <v>154</v>
      </c>
    </row>
    <row r="450" spans="9:22" x14ac:dyDescent="0.25">
      <c r="I450" t="s">
        <v>186</v>
      </c>
      <c r="J450" t="s">
        <v>290</v>
      </c>
      <c r="K450">
        <v>0</v>
      </c>
      <c r="L450" t="s">
        <v>154</v>
      </c>
      <c r="N450" t="s">
        <v>216</v>
      </c>
      <c r="O450" t="s">
        <v>290</v>
      </c>
      <c r="P450">
        <v>2.8872585459601099E-2</v>
      </c>
      <c r="Q450" t="s">
        <v>154</v>
      </c>
      <c r="S450" t="s">
        <v>247</v>
      </c>
      <c r="T450" t="s">
        <v>290</v>
      </c>
      <c r="U450">
        <v>3.0207093834061977E-2</v>
      </c>
      <c r="V450" t="s">
        <v>154</v>
      </c>
    </row>
    <row r="451" spans="9:22" x14ac:dyDescent="0.25">
      <c r="I451" t="s">
        <v>187</v>
      </c>
      <c r="J451" t="s">
        <v>153</v>
      </c>
      <c r="K451">
        <v>6.167906175636226E-3</v>
      </c>
      <c r="L451" t="s">
        <v>154</v>
      </c>
      <c r="N451" t="s">
        <v>217</v>
      </c>
      <c r="O451" t="s">
        <v>153</v>
      </c>
      <c r="P451">
        <v>5.6574785005028314E-2</v>
      </c>
      <c r="Q451" t="s">
        <v>154</v>
      </c>
      <c r="S451" t="s">
        <v>248</v>
      </c>
      <c r="T451" t="s">
        <v>153</v>
      </c>
      <c r="U451">
        <v>4.564671651886501E-2</v>
      </c>
      <c r="V451" t="s">
        <v>154</v>
      </c>
    </row>
    <row r="452" spans="9:22" x14ac:dyDescent="0.25">
      <c r="I452" t="s">
        <v>187</v>
      </c>
      <c r="J452" t="s">
        <v>155</v>
      </c>
      <c r="K452">
        <v>8.498595600799351E-2</v>
      </c>
      <c r="L452" t="s">
        <v>154</v>
      </c>
      <c r="N452" t="s">
        <v>217</v>
      </c>
      <c r="O452" t="s">
        <v>155</v>
      </c>
      <c r="P452">
        <v>6.661560505861637E-2</v>
      </c>
      <c r="Q452" t="s">
        <v>154</v>
      </c>
      <c r="S452" t="s">
        <v>248</v>
      </c>
      <c r="T452" t="s">
        <v>155</v>
      </c>
      <c r="U452">
        <v>3.9592636972847463E-2</v>
      </c>
      <c r="V452" t="s">
        <v>154</v>
      </c>
    </row>
    <row r="453" spans="9:22" x14ac:dyDescent="0.25">
      <c r="I453" t="s">
        <v>187</v>
      </c>
      <c r="J453" t="s">
        <v>156</v>
      </c>
      <c r="K453">
        <v>4.6625250941579634E-3</v>
      </c>
      <c r="L453" t="s">
        <v>154</v>
      </c>
      <c r="N453" t="s">
        <v>217</v>
      </c>
      <c r="O453" t="s">
        <v>156</v>
      </c>
      <c r="P453">
        <v>6.9252488292590791E-3</v>
      </c>
      <c r="Q453" t="s">
        <v>154</v>
      </c>
      <c r="S453" t="s">
        <v>248</v>
      </c>
      <c r="T453" t="s">
        <v>156</v>
      </c>
      <c r="U453">
        <v>4.7675285866711778E-3</v>
      </c>
      <c r="V453" t="s">
        <v>154</v>
      </c>
    </row>
    <row r="454" spans="9:22" x14ac:dyDescent="0.25">
      <c r="I454" t="s">
        <v>187</v>
      </c>
      <c r="J454" t="s">
        <v>283</v>
      </c>
      <c r="K454">
        <v>0</v>
      </c>
      <c r="L454" t="s">
        <v>154</v>
      </c>
      <c r="N454" t="s">
        <v>217</v>
      </c>
      <c r="O454" t="s">
        <v>283</v>
      </c>
      <c r="P454">
        <v>6.3428406171093295E-3</v>
      </c>
      <c r="Q454" t="s">
        <v>154</v>
      </c>
      <c r="S454" t="s">
        <v>248</v>
      </c>
      <c r="T454" t="s">
        <v>283</v>
      </c>
      <c r="U454">
        <v>4.7123764467299871E-3</v>
      </c>
      <c r="V454" t="s">
        <v>154</v>
      </c>
    </row>
    <row r="455" spans="9:22" x14ac:dyDescent="0.25">
      <c r="I455" t="s">
        <v>187</v>
      </c>
      <c r="J455" t="s">
        <v>284</v>
      </c>
      <c r="K455">
        <v>0</v>
      </c>
      <c r="L455" t="s">
        <v>154</v>
      </c>
      <c r="N455" t="s">
        <v>217</v>
      </c>
      <c r="O455" t="s">
        <v>284</v>
      </c>
      <c r="P455">
        <v>2.9058060609929437E-2</v>
      </c>
      <c r="Q455" t="s">
        <v>154</v>
      </c>
      <c r="S455" t="s">
        <v>248</v>
      </c>
      <c r="T455" t="s">
        <v>284</v>
      </c>
      <c r="U455">
        <v>2.4247844367327485E-2</v>
      </c>
      <c r="V455" t="s">
        <v>154</v>
      </c>
    </row>
    <row r="456" spans="9:22" x14ac:dyDescent="0.25">
      <c r="I456" t="s">
        <v>187</v>
      </c>
      <c r="J456" t="s">
        <v>157</v>
      </c>
      <c r="K456">
        <v>9.6625706822410673E-2</v>
      </c>
      <c r="L456" t="s">
        <v>154</v>
      </c>
      <c r="N456" t="s">
        <v>217</v>
      </c>
      <c r="O456" t="s">
        <v>157</v>
      </c>
      <c r="P456">
        <v>0.18995386058678557</v>
      </c>
      <c r="Q456" t="s">
        <v>154</v>
      </c>
      <c r="S456" t="s">
        <v>248</v>
      </c>
      <c r="T456" t="s">
        <v>157</v>
      </c>
      <c r="U456">
        <v>0.2486917929337184</v>
      </c>
      <c r="V456" t="s">
        <v>154</v>
      </c>
    </row>
    <row r="457" spans="9:22" x14ac:dyDescent="0.25">
      <c r="I457" t="s">
        <v>187</v>
      </c>
      <c r="J457" t="s">
        <v>158</v>
      </c>
      <c r="K457">
        <v>0.59335994348431054</v>
      </c>
      <c r="L457" t="s">
        <v>154</v>
      </c>
      <c r="N457" t="s">
        <v>217</v>
      </c>
      <c r="O457" t="s">
        <v>158</v>
      </c>
      <c r="P457">
        <v>0.2827558482579835</v>
      </c>
      <c r="Q457" t="s">
        <v>154</v>
      </c>
      <c r="S457" t="s">
        <v>248</v>
      </c>
      <c r="T457" t="s">
        <v>158</v>
      </c>
      <c r="U457">
        <v>0.22273457061240456</v>
      </c>
      <c r="V457" t="s">
        <v>154</v>
      </c>
    </row>
    <row r="458" spans="9:22" x14ac:dyDescent="0.25">
      <c r="I458" t="s">
        <v>187</v>
      </c>
      <c r="J458" t="s">
        <v>159</v>
      </c>
      <c r="K458">
        <v>4.4051440540076335E-2</v>
      </c>
      <c r="L458" t="s">
        <v>154</v>
      </c>
      <c r="N458" t="s">
        <v>217</v>
      </c>
      <c r="O458" t="s">
        <v>159</v>
      </c>
      <c r="P458">
        <v>3.1188068751939472E-2</v>
      </c>
      <c r="Q458" t="s">
        <v>154</v>
      </c>
      <c r="S458" t="s">
        <v>248</v>
      </c>
      <c r="T458" t="s">
        <v>159</v>
      </c>
      <c r="U458">
        <v>2.9024310663849494E-2</v>
      </c>
      <c r="V458" t="s">
        <v>154</v>
      </c>
    </row>
    <row r="459" spans="9:22" x14ac:dyDescent="0.25">
      <c r="I459" t="s">
        <v>187</v>
      </c>
      <c r="J459" t="s">
        <v>285</v>
      </c>
      <c r="K459">
        <v>2.1117010536585736E-2</v>
      </c>
      <c r="L459" t="s">
        <v>154</v>
      </c>
      <c r="N459" t="s">
        <v>217</v>
      </c>
      <c r="O459" t="s">
        <v>285</v>
      </c>
      <c r="P459">
        <v>2.726493968055179E-2</v>
      </c>
      <c r="Q459" t="s">
        <v>154</v>
      </c>
      <c r="S459" t="s">
        <v>248</v>
      </c>
      <c r="T459" t="s">
        <v>285</v>
      </c>
      <c r="U459">
        <v>2.9239682468008399E-2</v>
      </c>
      <c r="V459" t="s">
        <v>154</v>
      </c>
    </row>
    <row r="460" spans="9:22" x14ac:dyDescent="0.25">
      <c r="I460" t="s">
        <v>187</v>
      </c>
      <c r="J460" t="s">
        <v>286</v>
      </c>
      <c r="K460">
        <v>3.3624540113824284E-3</v>
      </c>
      <c r="L460" t="s">
        <v>154</v>
      </c>
      <c r="N460" t="s">
        <v>217</v>
      </c>
      <c r="O460" t="s">
        <v>286</v>
      </c>
      <c r="P460">
        <v>0.10249803434344125</v>
      </c>
      <c r="Q460" t="s">
        <v>154</v>
      </c>
      <c r="S460" t="s">
        <v>248</v>
      </c>
      <c r="T460" t="s">
        <v>286</v>
      </c>
      <c r="U460">
        <v>0.14258756181457713</v>
      </c>
      <c r="V460" t="s">
        <v>154</v>
      </c>
    </row>
    <row r="461" spans="9:22" x14ac:dyDescent="0.25">
      <c r="I461" t="s">
        <v>187</v>
      </c>
      <c r="J461" t="s">
        <v>160</v>
      </c>
      <c r="K461">
        <v>7.6755200747645469E-3</v>
      </c>
      <c r="L461" t="s">
        <v>154</v>
      </c>
      <c r="N461" t="s">
        <v>217</v>
      </c>
      <c r="O461" t="s">
        <v>160</v>
      </c>
      <c r="P461">
        <v>1.615210081738909E-2</v>
      </c>
      <c r="Q461" t="s">
        <v>154</v>
      </c>
      <c r="S461" t="s">
        <v>248</v>
      </c>
      <c r="T461" t="s">
        <v>160</v>
      </c>
      <c r="U461">
        <v>2.7019470516938249E-2</v>
      </c>
      <c r="V461" t="s">
        <v>154</v>
      </c>
    </row>
    <row r="462" spans="9:22" x14ac:dyDescent="0.25">
      <c r="I462" t="s">
        <v>187</v>
      </c>
      <c r="J462" t="s">
        <v>161</v>
      </c>
      <c r="K462">
        <v>5.7697975041005774E-2</v>
      </c>
      <c r="L462" t="s">
        <v>154</v>
      </c>
      <c r="N462" t="s">
        <v>217</v>
      </c>
      <c r="O462" t="s">
        <v>161</v>
      </c>
      <c r="P462">
        <v>1.7366907608570896E-2</v>
      </c>
      <c r="Q462" t="s">
        <v>154</v>
      </c>
      <c r="S462" t="s">
        <v>248</v>
      </c>
      <c r="T462" t="s">
        <v>161</v>
      </c>
      <c r="U462">
        <v>2.4532016042349468E-2</v>
      </c>
      <c r="V462" t="s">
        <v>154</v>
      </c>
    </row>
    <row r="463" spans="9:22" x14ac:dyDescent="0.25">
      <c r="I463" t="s">
        <v>187</v>
      </c>
      <c r="J463" t="s">
        <v>162</v>
      </c>
      <c r="K463">
        <v>1.1846655952476152E-3</v>
      </c>
      <c r="L463" t="s">
        <v>154</v>
      </c>
      <c r="N463" t="s">
        <v>217</v>
      </c>
      <c r="O463" t="s">
        <v>162</v>
      </c>
      <c r="P463">
        <v>2.0975904317452258E-3</v>
      </c>
      <c r="Q463" t="s">
        <v>154</v>
      </c>
      <c r="S463" t="s">
        <v>248</v>
      </c>
      <c r="T463" t="s">
        <v>162</v>
      </c>
      <c r="U463">
        <v>2.9763554279253496E-3</v>
      </c>
      <c r="V463" t="s">
        <v>154</v>
      </c>
    </row>
    <row r="464" spans="9:22" x14ac:dyDescent="0.25">
      <c r="I464" t="s">
        <v>187</v>
      </c>
      <c r="J464" t="s">
        <v>287</v>
      </c>
      <c r="K464">
        <v>0</v>
      </c>
      <c r="L464" t="s">
        <v>154</v>
      </c>
      <c r="N464" t="s">
        <v>217</v>
      </c>
      <c r="O464" t="s">
        <v>287</v>
      </c>
      <c r="P464">
        <v>2.2268816434371269E-3</v>
      </c>
      <c r="Q464" t="s">
        <v>154</v>
      </c>
      <c r="S464" t="s">
        <v>248</v>
      </c>
      <c r="T464" t="s">
        <v>287</v>
      </c>
      <c r="U464">
        <v>2.9083240444513548E-3</v>
      </c>
      <c r="V464" t="s">
        <v>154</v>
      </c>
    </row>
    <row r="465" spans="9:22" x14ac:dyDescent="0.25">
      <c r="I465" t="s">
        <v>187</v>
      </c>
      <c r="J465" t="s">
        <v>288</v>
      </c>
      <c r="K465">
        <v>0</v>
      </c>
      <c r="L465" t="s">
        <v>154</v>
      </c>
      <c r="N465" t="s">
        <v>217</v>
      </c>
      <c r="O465" t="s">
        <v>288</v>
      </c>
      <c r="P465">
        <v>1.0144289862805789E-2</v>
      </c>
      <c r="Q465" t="s">
        <v>154</v>
      </c>
      <c r="S465" t="s">
        <v>248</v>
      </c>
      <c r="T465" t="s">
        <v>288</v>
      </c>
      <c r="U465">
        <v>1.4593102040560343E-2</v>
      </c>
      <c r="V465" t="s">
        <v>154</v>
      </c>
    </row>
    <row r="466" spans="9:22" x14ac:dyDescent="0.25">
      <c r="I466" t="s">
        <v>187</v>
      </c>
      <c r="J466" t="s">
        <v>163</v>
      </c>
      <c r="K466">
        <v>5.5621520132459676E-3</v>
      </c>
      <c r="L466" t="s">
        <v>154</v>
      </c>
      <c r="N466" t="s">
        <v>217</v>
      </c>
      <c r="O466" t="s">
        <v>163</v>
      </c>
      <c r="P466">
        <v>5.1581740934799877E-2</v>
      </c>
      <c r="Q466" t="s">
        <v>154</v>
      </c>
      <c r="S466" t="s">
        <v>248</v>
      </c>
      <c r="T466" t="s">
        <v>163</v>
      </c>
      <c r="U466">
        <v>4.989586549299093E-2</v>
      </c>
      <c r="V466" t="s">
        <v>154</v>
      </c>
    </row>
    <row r="467" spans="9:22" x14ac:dyDescent="0.25">
      <c r="I467" t="s">
        <v>187</v>
      </c>
      <c r="J467" t="s">
        <v>164</v>
      </c>
      <c r="K467">
        <v>7.352222363595462E-2</v>
      </c>
      <c r="L467" t="s">
        <v>154</v>
      </c>
      <c r="N467" t="s">
        <v>217</v>
      </c>
      <c r="O467" t="s">
        <v>164</v>
      </c>
      <c r="P467">
        <v>5.6028488110893157E-2</v>
      </c>
      <c r="Q467" t="s">
        <v>154</v>
      </c>
      <c r="S467" t="s">
        <v>248</v>
      </c>
      <c r="T467" t="s">
        <v>164</v>
      </c>
      <c r="U467">
        <v>4.6639417510285587E-2</v>
      </c>
      <c r="V467" t="s">
        <v>154</v>
      </c>
    </row>
    <row r="468" spans="9:22" x14ac:dyDescent="0.25">
      <c r="I468" t="s">
        <v>187</v>
      </c>
      <c r="J468" t="s">
        <v>165</v>
      </c>
      <c r="K468">
        <v>2.4520967230344482E-5</v>
      </c>
      <c r="L468" t="s">
        <v>154</v>
      </c>
      <c r="N468" t="s">
        <v>217</v>
      </c>
      <c r="O468" t="s">
        <v>165</v>
      </c>
      <c r="P468">
        <v>7.4057899482774707E-3</v>
      </c>
      <c r="Q468" t="s">
        <v>154</v>
      </c>
      <c r="S468" t="s">
        <v>248</v>
      </c>
      <c r="T468" t="s">
        <v>165</v>
      </c>
      <c r="U468">
        <v>5.784380441697619E-3</v>
      </c>
      <c r="V468" t="s">
        <v>154</v>
      </c>
    </row>
    <row r="469" spans="9:22" x14ac:dyDescent="0.25">
      <c r="I469" t="s">
        <v>187</v>
      </c>
      <c r="J469" t="s">
        <v>289</v>
      </c>
      <c r="K469">
        <v>0</v>
      </c>
      <c r="L469" t="s">
        <v>154</v>
      </c>
      <c r="N469" t="s">
        <v>217</v>
      </c>
      <c r="O469" t="s">
        <v>289</v>
      </c>
      <c r="P469">
        <v>7.2131588039079904E-3</v>
      </c>
      <c r="Q469" t="s">
        <v>154</v>
      </c>
      <c r="S469" t="s">
        <v>248</v>
      </c>
      <c r="T469" t="s">
        <v>289</v>
      </c>
      <c r="U469">
        <v>5.7514380469642495E-3</v>
      </c>
      <c r="V469" t="s">
        <v>154</v>
      </c>
    </row>
    <row r="470" spans="9:22" x14ac:dyDescent="0.25">
      <c r="I470" t="s">
        <v>187</v>
      </c>
      <c r="J470" t="s">
        <v>290</v>
      </c>
      <c r="K470">
        <v>0</v>
      </c>
      <c r="L470" t="s">
        <v>154</v>
      </c>
      <c r="N470" t="s">
        <v>217</v>
      </c>
      <c r="O470" t="s">
        <v>290</v>
      </c>
      <c r="P470">
        <v>3.0605760097530538E-2</v>
      </c>
      <c r="Q470" t="s">
        <v>154</v>
      </c>
      <c r="S470" t="s">
        <v>248</v>
      </c>
      <c r="T470" t="s">
        <v>290</v>
      </c>
      <c r="U470">
        <v>2.8654609050838435E-2</v>
      </c>
      <c r="V470" t="s">
        <v>154</v>
      </c>
    </row>
    <row r="471" spans="9:22" x14ac:dyDescent="0.25">
      <c r="I471" t="s">
        <v>188</v>
      </c>
      <c r="J471" t="s">
        <v>153</v>
      </c>
      <c r="K471">
        <v>3.1866466019223115E-3</v>
      </c>
      <c r="L471" t="s">
        <v>154</v>
      </c>
      <c r="N471" t="s">
        <v>218</v>
      </c>
      <c r="O471" t="s">
        <v>153</v>
      </c>
      <c r="P471">
        <v>4.9808440669585882E-2</v>
      </c>
      <c r="Q471" t="s">
        <v>154</v>
      </c>
      <c r="S471" t="s">
        <v>249</v>
      </c>
      <c r="T471" t="s">
        <v>153</v>
      </c>
      <c r="U471">
        <v>4.7469108397728485E-2</v>
      </c>
      <c r="V471" t="s">
        <v>154</v>
      </c>
    </row>
    <row r="472" spans="9:22" x14ac:dyDescent="0.25">
      <c r="I472" t="s">
        <v>188</v>
      </c>
      <c r="J472" t="s">
        <v>155</v>
      </c>
      <c r="K472">
        <v>6.1138704893434974E-2</v>
      </c>
      <c r="L472" t="s">
        <v>154</v>
      </c>
      <c r="N472" t="s">
        <v>218</v>
      </c>
      <c r="O472" t="s">
        <v>155</v>
      </c>
      <c r="P472">
        <v>6.6961709963171745E-2</v>
      </c>
      <c r="Q472" t="s">
        <v>154</v>
      </c>
      <c r="S472" t="s">
        <v>249</v>
      </c>
      <c r="T472" t="s">
        <v>155</v>
      </c>
      <c r="U472">
        <v>4.2814963771629536E-2</v>
      </c>
      <c r="V472" t="s">
        <v>154</v>
      </c>
    </row>
    <row r="473" spans="9:22" x14ac:dyDescent="0.25">
      <c r="I473" t="s">
        <v>188</v>
      </c>
      <c r="J473" t="s">
        <v>156</v>
      </c>
      <c r="K473">
        <v>2.3044235788469715E-3</v>
      </c>
      <c r="L473" t="s">
        <v>154</v>
      </c>
      <c r="N473" t="s">
        <v>218</v>
      </c>
      <c r="O473" t="s">
        <v>156</v>
      </c>
      <c r="P473">
        <v>7.0769716819319402E-3</v>
      </c>
      <c r="Q473" t="s">
        <v>154</v>
      </c>
      <c r="S473" t="s">
        <v>249</v>
      </c>
      <c r="T473" t="s">
        <v>156</v>
      </c>
      <c r="U473">
        <v>5.0550896901251597E-3</v>
      </c>
      <c r="V473" t="s">
        <v>154</v>
      </c>
    </row>
    <row r="474" spans="9:22" x14ac:dyDescent="0.25">
      <c r="I474" t="s">
        <v>188</v>
      </c>
      <c r="J474" t="s">
        <v>283</v>
      </c>
      <c r="K474">
        <v>0</v>
      </c>
      <c r="L474" t="s">
        <v>154</v>
      </c>
      <c r="N474" t="s">
        <v>218</v>
      </c>
      <c r="O474" t="s">
        <v>283</v>
      </c>
      <c r="P474">
        <v>6.5507277575343166E-3</v>
      </c>
      <c r="Q474" t="s">
        <v>154</v>
      </c>
      <c r="S474" t="s">
        <v>249</v>
      </c>
      <c r="T474" t="s">
        <v>283</v>
      </c>
      <c r="U474">
        <v>5.0548934960096626E-3</v>
      </c>
      <c r="V474" t="s">
        <v>154</v>
      </c>
    </row>
    <row r="475" spans="9:22" x14ac:dyDescent="0.25">
      <c r="I475" t="s">
        <v>188</v>
      </c>
      <c r="J475" t="s">
        <v>284</v>
      </c>
      <c r="K475">
        <v>0</v>
      </c>
      <c r="L475" t="s">
        <v>154</v>
      </c>
      <c r="N475" t="s">
        <v>218</v>
      </c>
      <c r="O475" t="s">
        <v>284</v>
      </c>
      <c r="P475">
        <v>2.6204048866378032E-2</v>
      </c>
      <c r="Q475" t="s">
        <v>154</v>
      </c>
      <c r="S475" t="s">
        <v>249</v>
      </c>
      <c r="T475" t="s">
        <v>284</v>
      </c>
      <c r="U475">
        <v>2.5325969260534764E-2</v>
      </c>
      <c r="V475" t="s">
        <v>154</v>
      </c>
    </row>
    <row r="476" spans="9:22" x14ac:dyDescent="0.25">
      <c r="I476" t="s">
        <v>188</v>
      </c>
      <c r="J476" t="s">
        <v>157</v>
      </c>
      <c r="K476">
        <v>9.671617191524727E-2</v>
      </c>
      <c r="L476" t="s">
        <v>154</v>
      </c>
      <c r="N476" t="s">
        <v>218</v>
      </c>
      <c r="O476" t="s">
        <v>157</v>
      </c>
      <c r="P476">
        <v>0.20246845935789673</v>
      </c>
      <c r="Q476" t="s">
        <v>154</v>
      </c>
      <c r="S476" t="s">
        <v>249</v>
      </c>
      <c r="T476" t="s">
        <v>157</v>
      </c>
      <c r="U476">
        <v>0.23943715930658899</v>
      </c>
      <c r="V476" t="s">
        <v>154</v>
      </c>
    </row>
    <row r="477" spans="9:22" x14ac:dyDescent="0.25">
      <c r="I477" t="s">
        <v>188</v>
      </c>
      <c r="J477" t="s">
        <v>158</v>
      </c>
      <c r="K477">
        <v>0.65296847530906499</v>
      </c>
      <c r="L477" t="s">
        <v>154</v>
      </c>
      <c r="N477" t="s">
        <v>218</v>
      </c>
      <c r="O477" t="s">
        <v>158</v>
      </c>
      <c r="P477">
        <v>0.28065613192038402</v>
      </c>
      <c r="Q477" t="s">
        <v>154</v>
      </c>
      <c r="S477" t="s">
        <v>249</v>
      </c>
      <c r="T477" t="s">
        <v>158</v>
      </c>
      <c r="U477">
        <v>0.21576496459399164</v>
      </c>
      <c r="V477" t="s">
        <v>154</v>
      </c>
    </row>
    <row r="478" spans="9:22" x14ac:dyDescent="0.25">
      <c r="I478" t="s">
        <v>188</v>
      </c>
      <c r="J478" t="s">
        <v>159</v>
      </c>
      <c r="K478">
        <v>4.7597738404064255E-2</v>
      </c>
      <c r="L478" t="s">
        <v>154</v>
      </c>
      <c r="N478" t="s">
        <v>218</v>
      </c>
      <c r="O478" t="s">
        <v>159</v>
      </c>
      <c r="P478">
        <v>3.07669065377453E-2</v>
      </c>
      <c r="Q478" t="s">
        <v>154</v>
      </c>
      <c r="S478" t="s">
        <v>249</v>
      </c>
      <c r="T478" t="s">
        <v>159</v>
      </c>
      <c r="U478">
        <v>2.893522394288078E-2</v>
      </c>
      <c r="V478" t="s">
        <v>154</v>
      </c>
    </row>
    <row r="479" spans="9:22" x14ac:dyDescent="0.25">
      <c r="I479" t="s">
        <v>188</v>
      </c>
      <c r="J479" t="s">
        <v>285</v>
      </c>
      <c r="K479">
        <v>2.3884463470643932E-2</v>
      </c>
      <c r="L479" t="s">
        <v>154</v>
      </c>
      <c r="N479" t="s">
        <v>218</v>
      </c>
      <c r="O479" t="s">
        <v>285</v>
      </c>
      <c r="P479">
        <v>2.8098189024677714E-2</v>
      </c>
      <c r="Q479" t="s">
        <v>154</v>
      </c>
      <c r="S479" t="s">
        <v>249</v>
      </c>
      <c r="T479" t="s">
        <v>285</v>
      </c>
      <c r="U479">
        <v>2.890449340987299E-2</v>
      </c>
      <c r="V479" t="s">
        <v>154</v>
      </c>
    </row>
    <row r="480" spans="9:22" x14ac:dyDescent="0.25">
      <c r="I480" t="s">
        <v>188</v>
      </c>
      <c r="J480" t="s">
        <v>286</v>
      </c>
      <c r="K480">
        <v>5.0150212590054635E-3</v>
      </c>
      <c r="L480" t="s">
        <v>154</v>
      </c>
      <c r="N480" t="s">
        <v>218</v>
      </c>
      <c r="O480" t="s">
        <v>286</v>
      </c>
      <c r="P480">
        <v>0.11240094784746538</v>
      </c>
      <c r="Q480" t="s">
        <v>154</v>
      </c>
      <c r="S480" t="s">
        <v>249</v>
      </c>
      <c r="T480" t="s">
        <v>286</v>
      </c>
      <c r="U480">
        <v>0.13434270112316785</v>
      </c>
      <c r="V480" t="s">
        <v>154</v>
      </c>
    </row>
    <row r="481" spans="9:22" x14ac:dyDescent="0.25">
      <c r="I481" t="s">
        <v>188</v>
      </c>
      <c r="J481" t="s">
        <v>160</v>
      </c>
      <c r="K481">
        <v>4.6735162867352995E-3</v>
      </c>
      <c r="L481" t="s">
        <v>154</v>
      </c>
      <c r="N481" t="s">
        <v>218</v>
      </c>
      <c r="O481" t="s">
        <v>160</v>
      </c>
      <c r="P481">
        <v>1.9057772070704176E-2</v>
      </c>
      <c r="Q481" t="s">
        <v>154</v>
      </c>
      <c r="S481" t="s">
        <v>249</v>
      </c>
      <c r="T481" t="s">
        <v>160</v>
      </c>
      <c r="U481">
        <v>2.9093227215131894E-2</v>
      </c>
      <c r="V481" t="s">
        <v>154</v>
      </c>
    </row>
    <row r="482" spans="9:22" x14ac:dyDescent="0.25">
      <c r="I482" t="s">
        <v>188</v>
      </c>
      <c r="J482" t="s">
        <v>161</v>
      </c>
      <c r="K482">
        <v>4.9173497169782879E-2</v>
      </c>
      <c r="L482" t="s">
        <v>154</v>
      </c>
      <c r="N482" t="s">
        <v>218</v>
      </c>
      <c r="O482" t="s">
        <v>161</v>
      </c>
      <c r="P482">
        <v>2.2904900610194807E-2</v>
      </c>
      <c r="Q482" t="s">
        <v>154</v>
      </c>
      <c r="S482" t="s">
        <v>249</v>
      </c>
      <c r="T482" t="s">
        <v>161</v>
      </c>
      <c r="U482">
        <v>2.6106886514989023E-2</v>
      </c>
      <c r="V482" t="s">
        <v>154</v>
      </c>
    </row>
    <row r="483" spans="9:22" x14ac:dyDescent="0.25">
      <c r="I483" t="s">
        <v>188</v>
      </c>
      <c r="J483" t="s">
        <v>162</v>
      </c>
      <c r="K483">
        <v>1.0262606466014718E-3</v>
      </c>
      <c r="L483" t="s">
        <v>154</v>
      </c>
      <c r="N483" t="s">
        <v>218</v>
      </c>
      <c r="O483" t="s">
        <v>162</v>
      </c>
      <c r="P483">
        <v>2.5860119097335303E-3</v>
      </c>
      <c r="Q483" t="s">
        <v>154</v>
      </c>
      <c r="S483" t="s">
        <v>249</v>
      </c>
      <c r="T483" t="s">
        <v>162</v>
      </c>
      <c r="U483">
        <v>3.1532571270157217E-3</v>
      </c>
      <c r="V483" t="s">
        <v>154</v>
      </c>
    </row>
    <row r="484" spans="9:22" x14ac:dyDescent="0.25">
      <c r="I484" t="s">
        <v>188</v>
      </c>
      <c r="J484" t="s">
        <v>287</v>
      </c>
      <c r="K484">
        <v>0</v>
      </c>
      <c r="L484" t="s">
        <v>154</v>
      </c>
      <c r="N484" t="s">
        <v>218</v>
      </c>
      <c r="O484" t="s">
        <v>287</v>
      </c>
      <c r="P484">
        <v>2.5113273234926977E-3</v>
      </c>
      <c r="Q484" t="s">
        <v>154</v>
      </c>
      <c r="S484" t="s">
        <v>249</v>
      </c>
      <c r="T484" t="s">
        <v>287</v>
      </c>
      <c r="U484">
        <v>3.1535320954081628E-3</v>
      </c>
      <c r="V484" t="s">
        <v>154</v>
      </c>
    </row>
    <row r="485" spans="9:22" x14ac:dyDescent="0.25">
      <c r="I485" t="s">
        <v>188</v>
      </c>
      <c r="J485" t="s">
        <v>288</v>
      </c>
      <c r="K485">
        <v>0</v>
      </c>
      <c r="L485" t="s">
        <v>154</v>
      </c>
      <c r="N485" t="s">
        <v>218</v>
      </c>
      <c r="O485" t="s">
        <v>288</v>
      </c>
      <c r="P485">
        <v>1.1671965937693334E-2</v>
      </c>
      <c r="Q485" t="s">
        <v>154</v>
      </c>
      <c r="S485" t="s">
        <v>249</v>
      </c>
      <c r="T485" t="s">
        <v>288</v>
      </c>
      <c r="U485">
        <v>1.6637016948790277E-2</v>
      </c>
      <c r="V485" t="s">
        <v>154</v>
      </c>
    </row>
    <row r="486" spans="9:22" x14ac:dyDescent="0.25">
      <c r="I486" t="s">
        <v>188</v>
      </c>
      <c r="J486" t="s">
        <v>163</v>
      </c>
      <c r="K486">
        <v>2.6718965937982545E-3</v>
      </c>
      <c r="L486" t="s">
        <v>154</v>
      </c>
      <c r="N486" t="s">
        <v>218</v>
      </c>
      <c r="O486" t="s">
        <v>163</v>
      </c>
      <c r="P486">
        <v>4.4158758933911579E-2</v>
      </c>
      <c r="Q486" t="s">
        <v>154</v>
      </c>
      <c r="S486" t="s">
        <v>249</v>
      </c>
      <c r="T486" t="s">
        <v>163</v>
      </c>
      <c r="U486">
        <v>5.4990735266151114E-2</v>
      </c>
      <c r="V486" t="s">
        <v>154</v>
      </c>
    </row>
    <row r="487" spans="9:22" x14ac:dyDescent="0.25">
      <c r="I487" t="s">
        <v>188</v>
      </c>
      <c r="J487" t="s">
        <v>164</v>
      </c>
      <c r="K487">
        <v>4.9643183870850635E-2</v>
      </c>
      <c r="L487" t="s">
        <v>154</v>
      </c>
      <c r="N487" t="s">
        <v>218</v>
      </c>
      <c r="O487" t="s">
        <v>164</v>
      </c>
      <c r="P487">
        <v>4.9782834376951385E-2</v>
      </c>
      <c r="Q487" t="s">
        <v>154</v>
      </c>
      <c r="S487" t="s">
        <v>249</v>
      </c>
      <c r="T487" t="s">
        <v>164</v>
      </c>
      <c r="U487">
        <v>5.0886569858363734E-2</v>
      </c>
      <c r="V487" t="s">
        <v>154</v>
      </c>
    </row>
    <row r="488" spans="9:22" x14ac:dyDescent="0.25">
      <c r="I488" t="s">
        <v>188</v>
      </c>
      <c r="J488" t="s">
        <v>165</v>
      </c>
      <c r="K488">
        <v>0</v>
      </c>
      <c r="L488" t="s">
        <v>154</v>
      </c>
      <c r="N488" t="s">
        <v>218</v>
      </c>
      <c r="O488" t="s">
        <v>165</v>
      </c>
      <c r="P488">
        <v>5.7347309117361089E-3</v>
      </c>
      <c r="Q488" t="s">
        <v>154</v>
      </c>
      <c r="S488" t="s">
        <v>249</v>
      </c>
      <c r="T488" t="s">
        <v>165</v>
      </c>
      <c r="U488">
        <v>6.0093657384304782E-3</v>
      </c>
      <c r="V488" t="s">
        <v>154</v>
      </c>
    </row>
    <row r="489" spans="9:22" x14ac:dyDescent="0.25">
      <c r="I489" t="s">
        <v>188</v>
      </c>
      <c r="J489" t="s">
        <v>289</v>
      </c>
      <c r="K489">
        <v>0</v>
      </c>
      <c r="L489" t="s">
        <v>154</v>
      </c>
      <c r="N489" t="s">
        <v>218</v>
      </c>
      <c r="O489" t="s">
        <v>289</v>
      </c>
      <c r="P489">
        <v>5.6840359698995145E-3</v>
      </c>
      <c r="Q489" t="s">
        <v>154</v>
      </c>
      <c r="S489" t="s">
        <v>249</v>
      </c>
      <c r="T489" t="s">
        <v>289</v>
      </c>
      <c r="U489">
        <v>5.9747460496261864E-3</v>
      </c>
      <c r="V489" t="s">
        <v>154</v>
      </c>
    </row>
    <row r="490" spans="9:22" x14ac:dyDescent="0.25">
      <c r="I490" t="s">
        <v>188</v>
      </c>
      <c r="J490" t="s">
        <v>290</v>
      </c>
      <c r="K490">
        <v>0</v>
      </c>
      <c r="L490" t="s">
        <v>154</v>
      </c>
      <c r="N490" t="s">
        <v>218</v>
      </c>
      <c r="O490" t="s">
        <v>290</v>
      </c>
      <c r="P490">
        <v>2.4915128328909505E-2</v>
      </c>
      <c r="Q490" t="s">
        <v>154</v>
      </c>
      <c r="S490" t="s">
        <v>249</v>
      </c>
      <c r="T490" t="s">
        <v>290</v>
      </c>
      <c r="U490">
        <v>3.0890096193562557E-2</v>
      </c>
      <c r="V490" t="s">
        <v>154</v>
      </c>
    </row>
    <row r="491" spans="9:22" x14ac:dyDescent="0.25">
      <c r="I491" t="s">
        <v>189</v>
      </c>
      <c r="J491" t="s">
        <v>153</v>
      </c>
      <c r="K491">
        <v>2.830157977855879E-3</v>
      </c>
      <c r="L491" t="s">
        <v>154</v>
      </c>
      <c r="N491" t="s">
        <v>219</v>
      </c>
      <c r="O491" t="s">
        <v>153</v>
      </c>
      <c r="P491">
        <v>5.1637272711267619E-2</v>
      </c>
      <c r="Q491" t="s">
        <v>154</v>
      </c>
      <c r="S491" t="s">
        <v>250</v>
      </c>
      <c r="T491" t="s">
        <v>153</v>
      </c>
      <c r="U491">
        <v>5.978423676489332E-2</v>
      </c>
      <c r="V491" t="s">
        <v>154</v>
      </c>
    </row>
    <row r="492" spans="9:22" x14ac:dyDescent="0.25">
      <c r="I492" t="s">
        <v>189</v>
      </c>
      <c r="J492" t="s">
        <v>155</v>
      </c>
      <c r="K492">
        <v>5.5321518587395514E-2</v>
      </c>
      <c r="L492" t="s">
        <v>154</v>
      </c>
      <c r="N492" t="s">
        <v>219</v>
      </c>
      <c r="O492" t="s">
        <v>155</v>
      </c>
      <c r="P492">
        <v>4.9580519663225034E-2</v>
      </c>
      <c r="Q492" t="s">
        <v>154</v>
      </c>
      <c r="S492" t="s">
        <v>250</v>
      </c>
      <c r="T492" t="s">
        <v>155</v>
      </c>
      <c r="U492">
        <v>5.0462480321372641E-2</v>
      </c>
      <c r="V492" t="s">
        <v>154</v>
      </c>
    </row>
    <row r="493" spans="9:22" x14ac:dyDescent="0.25">
      <c r="I493" t="s">
        <v>189</v>
      </c>
      <c r="J493" t="s">
        <v>156</v>
      </c>
      <c r="K493">
        <v>2.7718266300626338E-3</v>
      </c>
      <c r="L493" t="s">
        <v>154</v>
      </c>
      <c r="N493" t="s">
        <v>219</v>
      </c>
      <c r="O493" t="s">
        <v>156</v>
      </c>
      <c r="P493">
        <v>5.6234097736771608E-3</v>
      </c>
      <c r="Q493" t="s">
        <v>154</v>
      </c>
      <c r="S493" t="s">
        <v>250</v>
      </c>
      <c r="T493" t="s">
        <v>156</v>
      </c>
      <c r="U493">
        <v>6.0824151787899332E-3</v>
      </c>
      <c r="V493" t="s">
        <v>154</v>
      </c>
    </row>
    <row r="494" spans="9:22" x14ac:dyDescent="0.25">
      <c r="I494" t="s">
        <v>189</v>
      </c>
      <c r="J494" t="s">
        <v>283</v>
      </c>
      <c r="K494">
        <v>0</v>
      </c>
      <c r="L494" t="s">
        <v>154</v>
      </c>
      <c r="N494" t="s">
        <v>219</v>
      </c>
      <c r="O494" t="s">
        <v>283</v>
      </c>
      <c r="P494">
        <v>5.6012057296471011E-3</v>
      </c>
      <c r="Q494" t="s">
        <v>154</v>
      </c>
      <c r="S494" t="s">
        <v>250</v>
      </c>
      <c r="T494" t="s">
        <v>283</v>
      </c>
      <c r="U494">
        <v>5.9841457432799295E-3</v>
      </c>
      <c r="V494" t="s">
        <v>154</v>
      </c>
    </row>
    <row r="495" spans="9:22" x14ac:dyDescent="0.25">
      <c r="I495" t="s">
        <v>189</v>
      </c>
      <c r="J495" t="s">
        <v>284</v>
      </c>
      <c r="K495">
        <v>0</v>
      </c>
      <c r="L495" t="s">
        <v>154</v>
      </c>
      <c r="N495" t="s">
        <v>219</v>
      </c>
      <c r="O495" t="s">
        <v>284</v>
      </c>
      <c r="P495">
        <v>2.5193155010474207E-2</v>
      </c>
      <c r="Q495" t="s">
        <v>154</v>
      </c>
      <c r="S495" t="s">
        <v>250</v>
      </c>
      <c r="T495" t="s">
        <v>284</v>
      </c>
      <c r="U495">
        <v>3.1482706923066768E-2</v>
      </c>
      <c r="V495" t="s">
        <v>154</v>
      </c>
    </row>
    <row r="496" spans="9:22" x14ac:dyDescent="0.25">
      <c r="I496" t="s">
        <v>189</v>
      </c>
      <c r="J496" t="s">
        <v>157</v>
      </c>
      <c r="K496">
        <v>9.3444500776076245E-2</v>
      </c>
      <c r="L496" t="s">
        <v>154</v>
      </c>
      <c r="N496" t="s">
        <v>219</v>
      </c>
      <c r="O496" t="s">
        <v>157</v>
      </c>
      <c r="P496">
        <v>0.21777387250583666</v>
      </c>
      <c r="Q496" t="s">
        <v>154</v>
      </c>
      <c r="S496" t="s">
        <v>250</v>
      </c>
      <c r="T496" t="s">
        <v>157</v>
      </c>
      <c r="U496">
        <v>0.23184542930140437</v>
      </c>
      <c r="V496" t="s">
        <v>154</v>
      </c>
    </row>
    <row r="497" spans="9:22" x14ac:dyDescent="0.25">
      <c r="I497" t="s">
        <v>189</v>
      </c>
      <c r="J497" t="s">
        <v>158</v>
      </c>
      <c r="K497">
        <v>0.64684090503402047</v>
      </c>
      <c r="L497" t="s">
        <v>154</v>
      </c>
      <c r="N497" t="s">
        <v>219</v>
      </c>
      <c r="O497" t="s">
        <v>158</v>
      </c>
      <c r="P497">
        <v>0.23993502390899457</v>
      </c>
      <c r="Q497" t="s">
        <v>154</v>
      </c>
      <c r="S497" t="s">
        <v>250</v>
      </c>
      <c r="T497" t="s">
        <v>158</v>
      </c>
      <c r="U497">
        <v>0.20130168628769149</v>
      </c>
      <c r="V497" t="s">
        <v>154</v>
      </c>
    </row>
    <row r="498" spans="9:22" x14ac:dyDescent="0.25">
      <c r="I498" t="s">
        <v>189</v>
      </c>
      <c r="J498" t="s">
        <v>159</v>
      </c>
      <c r="K498">
        <v>5.19694923668731E-2</v>
      </c>
      <c r="L498" t="s">
        <v>154</v>
      </c>
      <c r="N498" t="s">
        <v>219</v>
      </c>
      <c r="O498" t="s">
        <v>159</v>
      </c>
      <c r="P498">
        <v>2.9671953770380982E-2</v>
      </c>
      <c r="Q498" t="s">
        <v>154</v>
      </c>
      <c r="S498" t="s">
        <v>250</v>
      </c>
      <c r="T498" t="s">
        <v>159</v>
      </c>
      <c r="U498">
        <v>2.5501695494609788E-2</v>
      </c>
      <c r="V498" t="s">
        <v>154</v>
      </c>
    </row>
    <row r="499" spans="9:22" x14ac:dyDescent="0.25">
      <c r="I499" t="s">
        <v>189</v>
      </c>
      <c r="J499" t="s">
        <v>285</v>
      </c>
      <c r="K499">
        <v>2.8576673703689551E-2</v>
      </c>
      <c r="L499" t="s">
        <v>154</v>
      </c>
      <c r="N499" t="s">
        <v>219</v>
      </c>
      <c r="O499" t="s">
        <v>285</v>
      </c>
      <c r="P499">
        <v>2.844152785555927E-2</v>
      </c>
      <c r="Q499" t="s">
        <v>154</v>
      </c>
      <c r="S499" t="s">
        <v>250</v>
      </c>
      <c r="T499" t="s">
        <v>285</v>
      </c>
      <c r="U499">
        <v>2.5448677749319092E-2</v>
      </c>
      <c r="V499" t="s">
        <v>154</v>
      </c>
    </row>
    <row r="500" spans="9:22" x14ac:dyDescent="0.25">
      <c r="I500" t="s">
        <v>189</v>
      </c>
      <c r="J500" t="s">
        <v>286</v>
      </c>
      <c r="K500">
        <v>7.2988391745350267E-3</v>
      </c>
      <c r="L500" t="s">
        <v>154</v>
      </c>
      <c r="N500" t="s">
        <v>219</v>
      </c>
      <c r="O500" t="s">
        <v>286</v>
      </c>
      <c r="P500">
        <v>0.12275060967618261</v>
      </c>
      <c r="Q500" t="s">
        <v>154</v>
      </c>
      <c r="S500" t="s">
        <v>250</v>
      </c>
      <c r="T500" t="s">
        <v>286</v>
      </c>
      <c r="U500">
        <v>0.12392797737210859</v>
      </c>
      <c r="V500" t="s">
        <v>154</v>
      </c>
    </row>
    <row r="501" spans="9:22" x14ac:dyDescent="0.25">
      <c r="I501" t="s">
        <v>189</v>
      </c>
      <c r="J501" t="s">
        <v>160</v>
      </c>
      <c r="K501">
        <v>4.146354064264092E-3</v>
      </c>
      <c r="L501" t="s">
        <v>154</v>
      </c>
      <c r="N501" t="s">
        <v>219</v>
      </c>
      <c r="O501" t="s">
        <v>160</v>
      </c>
      <c r="P501">
        <v>2.6575432775816647E-2</v>
      </c>
      <c r="Q501" t="s">
        <v>154</v>
      </c>
      <c r="S501" t="s">
        <v>250</v>
      </c>
      <c r="T501" t="s">
        <v>160</v>
      </c>
      <c r="U501">
        <v>3.076465315816862E-2</v>
      </c>
      <c r="V501" t="s">
        <v>154</v>
      </c>
    </row>
    <row r="502" spans="9:22" x14ac:dyDescent="0.25">
      <c r="I502" t="s">
        <v>189</v>
      </c>
      <c r="J502" t="s">
        <v>161</v>
      </c>
      <c r="K502">
        <v>5.1084292981642077E-2</v>
      </c>
      <c r="L502" t="s">
        <v>154</v>
      </c>
      <c r="N502" t="s">
        <v>219</v>
      </c>
      <c r="O502" t="s">
        <v>161</v>
      </c>
      <c r="P502">
        <v>2.6194573055169333E-2</v>
      </c>
      <c r="Q502" t="s">
        <v>154</v>
      </c>
      <c r="S502" t="s">
        <v>250</v>
      </c>
      <c r="T502" t="s">
        <v>161</v>
      </c>
      <c r="U502">
        <v>2.5510583621755366E-2</v>
      </c>
      <c r="V502" t="s">
        <v>154</v>
      </c>
    </row>
    <row r="503" spans="9:22" x14ac:dyDescent="0.25">
      <c r="I503" t="s">
        <v>189</v>
      </c>
      <c r="J503" t="s">
        <v>162</v>
      </c>
      <c r="K503">
        <v>1.973511288836295E-3</v>
      </c>
      <c r="L503" t="s">
        <v>154</v>
      </c>
      <c r="N503" t="s">
        <v>219</v>
      </c>
      <c r="O503" t="s">
        <v>162</v>
      </c>
      <c r="P503">
        <v>3.2358424910986913E-3</v>
      </c>
      <c r="Q503" t="s">
        <v>154</v>
      </c>
      <c r="S503" t="s">
        <v>250</v>
      </c>
      <c r="T503" t="s">
        <v>162</v>
      </c>
      <c r="U503">
        <v>2.9893460774898946E-3</v>
      </c>
      <c r="V503" t="s">
        <v>154</v>
      </c>
    </row>
    <row r="504" spans="9:22" x14ac:dyDescent="0.25">
      <c r="I504" t="s">
        <v>189</v>
      </c>
      <c r="J504" t="s">
        <v>287</v>
      </c>
      <c r="K504">
        <v>0</v>
      </c>
      <c r="L504" t="s">
        <v>154</v>
      </c>
      <c r="N504" t="s">
        <v>219</v>
      </c>
      <c r="O504" t="s">
        <v>287</v>
      </c>
      <c r="P504">
        <v>3.2143158573008099E-3</v>
      </c>
      <c r="Q504" t="s">
        <v>154</v>
      </c>
      <c r="S504" t="s">
        <v>250</v>
      </c>
      <c r="T504" t="s">
        <v>287</v>
      </c>
      <c r="U504">
        <v>2.9793512616239567E-3</v>
      </c>
      <c r="V504" t="s">
        <v>154</v>
      </c>
    </row>
    <row r="505" spans="9:22" x14ac:dyDescent="0.25">
      <c r="I505" t="s">
        <v>189</v>
      </c>
      <c r="J505" t="s">
        <v>288</v>
      </c>
      <c r="K505">
        <v>0</v>
      </c>
      <c r="L505" t="s">
        <v>154</v>
      </c>
      <c r="N505" t="s">
        <v>219</v>
      </c>
      <c r="O505" t="s">
        <v>288</v>
      </c>
      <c r="P505">
        <v>1.4308065580682724E-2</v>
      </c>
      <c r="Q505" t="s">
        <v>154</v>
      </c>
      <c r="S505" t="s">
        <v>250</v>
      </c>
      <c r="T505" t="s">
        <v>288</v>
      </c>
      <c r="U505">
        <v>1.7414571965408191E-2</v>
      </c>
      <c r="V505" t="s">
        <v>154</v>
      </c>
    </row>
    <row r="506" spans="9:22" x14ac:dyDescent="0.25">
      <c r="I506" t="s">
        <v>189</v>
      </c>
      <c r="J506" t="s">
        <v>163</v>
      </c>
      <c r="K506">
        <v>2.3073514686906675E-3</v>
      </c>
      <c r="L506" t="s">
        <v>154</v>
      </c>
      <c r="N506" t="s">
        <v>219</v>
      </c>
      <c r="O506" t="s">
        <v>163</v>
      </c>
      <c r="P506">
        <v>5.679128599617294E-2</v>
      </c>
      <c r="Q506" t="s">
        <v>154</v>
      </c>
      <c r="S506" t="s">
        <v>250</v>
      </c>
      <c r="T506" t="s">
        <v>163</v>
      </c>
      <c r="U506">
        <v>5.7843666436718844E-2</v>
      </c>
      <c r="V506" t="s">
        <v>154</v>
      </c>
    </row>
    <row r="507" spans="9:22" x14ac:dyDescent="0.25">
      <c r="I507" t="s">
        <v>189</v>
      </c>
      <c r="J507" t="s">
        <v>164</v>
      </c>
      <c r="K507">
        <v>5.1055269834361872E-2</v>
      </c>
      <c r="L507" t="s">
        <v>154</v>
      </c>
      <c r="N507" t="s">
        <v>219</v>
      </c>
      <c r="O507" t="s">
        <v>164</v>
      </c>
      <c r="P507">
        <v>5.11470437681655E-2</v>
      </c>
      <c r="Q507" t="s">
        <v>154</v>
      </c>
      <c r="S507" t="s">
        <v>250</v>
      </c>
      <c r="T507" t="s">
        <v>164</v>
      </c>
      <c r="U507">
        <v>5.0296899711187185E-2</v>
      </c>
      <c r="V507" t="s">
        <v>154</v>
      </c>
    </row>
    <row r="508" spans="9:22" x14ac:dyDescent="0.25">
      <c r="I508" t="s">
        <v>189</v>
      </c>
      <c r="J508" t="s">
        <v>165</v>
      </c>
      <c r="K508">
        <v>3.7930611169903971E-4</v>
      </c>
      <c r="L508" t="s">
        <v>154</v>
      </c>
      <c r="N508" t="s">
        <v>219</v>
      </c>
      <c r="O508" t="s">
        <v>165</v>
      </c>
      <c r="P508">
        <v>6.1897779833622688E-3</v>
      </c>
      <c r="Q508" t="s">
        <v>154</v>
      </c>
      <c r="S508" t="s">
        <v>250</v>
      </c>
      <c r="T508" t="s">
        <v>165</v>
      </c>
      <c r="U508">
        <v>6.9196665018783467E-3</v>
      </c>
      <c r="V508" t="s">
        <v>154</v>
      </c>
    </row>
    <row r="509" spans="9:22" x14ac:dyDescent="0.25">
      <c r="I509" t="s">
        <v>189</v>
      </c>
      <c r="J509" t="s">
        <v>289</v>
      </c>
      <c r="K509">
        <v>0</v>
      </c>
      <c r="L509" t="s">
        <v>154</v>
      </c>
      <c r="N509" t="s">
        <v>219</v>
      </c>
      <c r="O509" t="s">
        <v>289</v>
      </c>
      <c r="P509">
        <v>6.1255336464527028E-3</v>
      </c>
      <c r="Q509" t="s">
        <v>154</v>
      </c>
      <c r="S509" t="s">
        <v>250</v>
      </c>
      <c r="T509" t="s">
        <v>289</v>
      </c>
      <c r="U509">
        <v>7.1274705418375023E-3</v>
      </c>
      <c r="V509" t="s">
        <v>154</v>
      </c>
    </row>
    <row r="510" spans="9:22" x14ac:dyDescent="0.25">
      <c r="I510" t="s">
        <v>189</v>
      </c>
      <c r="J510" t="s">
        <v>290</v>
      </c>
      <c r="K510">
        <v>0</v>
      </c>
      <c r="L510" t="s">
        <v>154</v>
      </c>
      <c r="N510" t="s">
        <v>219</v>
      </c>
      <c r="O510" t="s">
        <v>290</v>
      </c>
      <c r="P510">
        <v>3.0009578240536731E-2</v>
      </c>
      <c r="Q510" t="s">
        <v>154</v>
      </c>
      <c r="S510" t="s">
        <v>250</v>
      </c>
      <c r="T510" t="s">
        <v>290</v>
      </c>
      <c r="U510">
        <v>3.6332339587391613E-2</v>
      </c>
      <c r="V510" t="s">
        <v>154</v>
      </c>
    </row>
    <row r="511" spans="9:22" x14ac:dyDescent="0.25">
      <c r="I511" t="s">
        <v>190</v>
      </c>
      <c r="J511" t="s">
        <v>153</v>
      </c>
      <c r="K511">
        <v>3.2029805803991717E-3</v>
      </c>
      <c r="L511" t="s">
        <v>154</v>
      </c>
      <c r="N511" t="s">
        <v>220</v>
      </c>
      <c r="O511" t="s">
        <v>153</v>
      </c>
      <c r="P511">
        <v>4.8882323950946424E-2</v>
      </c>
      <c r="Q511" t="s">
        <v>154</v>
      </c>
      <c r="S511" t="s">
        <v>251</v>
      </c>
      <c r="T511" t="s">
        <v>153</v>
      </c>
      <c r="U511">
        <v>6.6210858156849642E-2</v>
      </c>
      <c r="V511" t="s">
        <v>154</v>
      </c>
    </row>
    <row r="512" spans="9:22" x14ac:dyDescent="0.25">
      <c r="I512" t="s">
        <v>190</v>
      </c>
      <c r="J512" t="s">
        <v>155</v>
      </c>
      <c r="K512">
        <v>6.4447342644342764E-2</v>
      </c>
      <c r="L512" t="s">
        <v>154</v>
      </c>
      <c r="N512" t="s">
        <v>220</v>
      </c>
      <c r="O512" t="s">
        <v>155</v>
      </c>
      <c r="P512">
        <v>4.2879222330871547E-2</v>
      </c>
      <c r="Q512" t="s">
        <v>154</v>
      </c>
      <c r="S512" t="s">
        <v>251</v>
      </c>
      <c r="T512" t="s">
        <v>155</v>
      </c>
      <c r="U512">
        <v>5.0468807151136705E-2</v>
      </c>
      <c r="V512" t="s">
        <v>154</v>
      </c>
    </row>
    <row r="513" spans="9:22" x14ac:dyDescent="0.25">
      <c r="I513" t="s">
        <v>190</v>
      </c>
      <c r="J513" t="s">
        <v>156</v>
      </c>
      <c r="K513">
        <v>3.2851022301089278E-3</v>
      </c>
      <c r="L513" t="s">
        <v>154</v>
      </c>
      <c r="N513" t="s">
        <v>220</v>
      </c>
      <c r="O513" t="s">
        <v>156</v>
      </c>
      <c r="P513">
        <v>5.7127801214029959E-3</v>
      </c>
      <c r="Q513" t="s">
        <v>154</v>
      </c>
      <c r="S513" t="s">
        <v>251</v>
      </c>
      <c r="T513" t="s">
        <v>156</v>
      </c>
      <c r="U513">
        <v>6.2439717833464694E-3</v>
      </c>
      <c r="V513" t="s">
        <v>154</v>
      </c>
    </row>
    <row r="514" spans="9:22" x14ac:dyDescent="0.25">
      <c r="I514" t="s">
        <v>190</v>
      </c>
      <c r="J514" t="s">
        <v>283</v>
      </c>
      <c r="K514">
        <v>0</v>
      </c>
      <c r="L514" t="s">
        <v>154</v>
      </c>
      <c r="N514" t="s">
        <v>220</v>
      </c>
      <c r="O514" t="s">
        <v>283</v>
      </c>
      <c r="P514">
        <v>5.7536658636143101E-3</v>
      </c>
      <c r="Q514" t="s">
        <v>154</v>
      </c>
      <c r="S514" t="s">
        <v>251</v>
      </c>
      <c r="T514" t="s">
        <v>283</v>
      </c>
      <c r="U514">
        <v>6.1984662280579455E-3</v>
      </c>
      <c r="V514" t="s">
        <v>154</v>
      </c>
    </row>
    <row r="515" spans="9:22" x14ac:dyDescent="0.25">
      <c r="I515" t="s">
        <v>190</v>
      </c>
      <c r="J515" t="s">
        <v>284</v>
      </c>
      <c r="K515">
        <v>0</v>
      </c>
      <c r="L515" t="s">
        <v>154</v>
      </c>
      <c r="N515" t="s">
        <v>220</v>
      </c>
      <c r="O515" t="s">
        <v>284</v>
      </c>
      <c r="P515">
        <v>2.7793873826500195E-2</v>
      </c>
      <c r="Q515" t="s">
        <v>154</v>
      </c>
      <c r="S515" t="s">
        <v>251</v>
      </c>
      <c r="T515" t="s">
        <v>284</v>
      </c>
      <c r="U515">
        <v>3.3070098195297069E-2</v>
      </c>
      <c r="V515" t="s">
        <v>154</v>
      </c>
    </row>
    <row r="516" spans="9:22" x14ac:dyDescent="0.25">
      <c r="I516" t="s">
        <v>190</v>
      </c>
      <c r="J516" t="s">
        <v>157</v>
      </c>
      <c r="K516">
        <v>9.4153106385319332E-2</v>
      </c>
      <c r="L516" t="s">
        <v>154</v>
      </c>
      <c r="N516" t="s">
        <v>220</v>
      </c>
      <c r="O516" t="s">
        <v>157</v>
      </c>
      <c r="P516">
        <v>0.23957020484948874</v>
      </c>
      <c r="Q516" t="s">
        <v>154</v>
      </c>
      <c r="S516" t="s">
        <v>251</v>
      </c>
      <c r="T516" t="s">
        <v>157</v>
      </c>
      <c r="U516">
        <v>0.2084948105509529</v>
      </c>
      <c r="V516" t="s">
        <v>154</v>
      </c>
    </row>
    <row r="517" spans="9:22" x14ac:dyDescent="0.25">
      <c r="I517" t="s">
        <v>190</v>
      </c>
      <c r="J517" t="s">
        <v>158</v>
      </c>
      <c r="K517">
        <v>0.63325909573505978</v>
      </c>
      <c r="L517" t="s">
        <v>154</v>
      </c>
      <c r="N517" t="s">
        <v>220</v>
      </c>
      <c r="O517" t="s">
        <v>158</v>
      </c>
      <c r="P517">
        <v>0.21868927958219939</v>
      </c>
      <c r="Q517" t="s">
        <v>154</v>
      </c>
      <c r="S517" t="s">
        <v>251</v>
      </c>
      <c r="T517" t="s">
        <v>158</v>
      </c>
      <c r="U517">
        <v>0.20386314196365535</v>
      </c>
      <c r="V517" t="s">
        <v>154</v>
      </c>
    </row>
    <row r="518" spans="9:22" x14ac:dyDescent="0.25">
      <c r="I518" t="s">
        <v>190</v>
      </c>
      <c r="J518" t="s">
        <v>159</v>
      </c>
      <c r="K518">
        <v>4.9447437206077062E-2</v>
      </c>
      <c r="L518" t="s">
        <v>154</v>
      </c>
      <c r="N518" t="s">
        <v>220</v>
      </c>
      <c r="O518" t="s">
        <v>159</v>
      </c>
      <c r="P518">
        <v>2.8987424234575739E-2</v>
      </c>
      <c r="Q518" t="s">
        <v>154</v>
      </c>
      <c r="S518" t="s">
        <v>251</v>
      </c>
      <c r="T518" t="s">
        <v>159</v>
      </c>
      <c r="U518">
        <v>2.6893774148454955E-2</v>
      </c>
      <c r="V518" t="s">
        <v>154</v>
      </c>
    </row>
    <row r="519" spans="9:22" x14ac:dyDescent="0.25">
      <c r="I519" t="s">
        <v>190</v>
      </c>
      <c r="J519" t="s">
        <v>285</v>
      </c>
      <c r="K519">
        <v>2.668017010292224E-2</v>
      </c>
      <c r="L519" t="s">
        <v>154</v>
      </c>
      <c r="N519" t="s">
        <v>220</v>
      </c>
      <c r="O519" t="s">
        <v>285</v>
      </c>
      <c r="P519">
        <v>2.8767472592342823E-2</v>
      </c>
      <c r="Q519" t="s">
        <v>154</v>
      </c>
      <c r="S519" t="s">
        <v>251</v>
      </c>
      <c r="T519" t="s">
        <v>285</v>
      </c>
      <c r="U519">
        <v>2.5885061228819575E-2</v>
      </c>
      <c r="V519" t="s">
        <v>154</v>
      </c>
    </row>
    <row r="520" spans="9:22" x14ac:dyDescent="0.25">
      <c r="I520" t="s">
        <v>190</v>
      </c>
      <c r="J520" t="s">
        <v>286</v>
      </c>
      <c r="K520">
        <v>6.7565966960137815E-3</v>
      </c>
      <c r="L520" t="s">
        <v>154</v>
      </c>
      <c r="N520" t="s">
        <v>220</v>
      </c>
      <c r="O520" t="s">
        <v>286</v>
      </c>
      <c r="P520">
        <v>0.13444280598989586</v>
      </c>
      <c r="Q520" t="s">
        <v>154</v>
      </c>
      <c r="S520" t="s">
        <v>251</v>
      </c>
      <c r="T520" t="s">
        <v>286</v>
      </c>
      <c r="U520">
        <v>0.11321830108667483</v>
      </c>
      <c r="V520" t="s">
        <v>154</v>
      </c>
    </row>
    <row r="521" spans="9:22" x14ac:dyDescent="0.25">
      <c r="I521" t="s">
        <v>190</v>
      </c>
      <c r="J521" t="s">
        <v>160</v>
      </c>
      <c r="K521">
        <v>5.0396603897785034E-3</v>
      </c>
      <c r="L521" t="s">
        <v>154</v>
      </c>
      <c r="N521" t="s">
        <v>220</v>
      </c>
      <c r="O521" t="s">
        <v>160</v>
      </c>
      <c r="P521">
        <v>2.8872732934270753E-2</v>
      </c>
      <c r="Q521" t="s">
        <v>154</v>
      </c>
      <c r="S521" t="s">
        <v>251</v>
      </c>
      <c r="T521" t="s">
        <v>160</v>
      </c>
      <c r="U521">
        <v>3.0254634263648279E-2</v>
      </c>
      <c r="V521" t="s">
        <v>154</v>
      </c>
    </row>
    <row r="522" spans="9:22" x14ac:dyDescent="0.25">
      <c r="I522" t="s">
        <v>190</v>
      </c>
      <c r="J522" t="s">
        <v>161</v>
      </c>
      <c r="K522">
        <v>5.3403731326012532E-2</v>
      </c>
      <c r="L522" t="s">
        <v>154</v>
      </c>
      <c r="N522" t="s">
        <v>220</v>
      </c>
      <c r="O522" t="s">
        <v>161</v>
      </c>
      <c r="P522">
        <v>2.5800799903731624E-2</v>
      </c>
      <c r="Q522" t="s">
        <v>154</v>
      </c>
      <c r="S522" t="s">
        <v>251</v>
      </c>
      <c r="T522" t="s">
        <v>161</v>
      </c>
      <c r="U522">
        <v>2.7474051115475462E-2</v>
      </c>
      <c r="V522" t="s">
        <v>154</v>
      </c>
    </row>
    <row r="523" spans="9:22" x14ac:dyDescent="0.25">
      <c r="I523" t="s">
        <v>190</v>
      </c>
      <c r="J523" t="s">
        <v>162</v>
      </c>
      <c r="K523">
        <v>2.1081237815883183E-3</v>
      </c>
      <c r="L523" t="s">
        <v>154</v>
      </c>
      <c r="N523" t="s">
        <v>220</v>
      </c>
      <c r="O523" t="s">
        <v>162</v>
      </c>
      <c r="P523">
        <v>3.5700538792453646E-3</v>
      </c>
      <c r="Q523" t="s">
        <v>154</v>
      </c>
      <c r="S523" t="s">
        <v>251</v>
      </c>
      <c r="T523" t="s">
        <v>162</v>
      </c>
      <c r="U523">
        <v>3.3228960527419433E-3</v>
      </c>
      <c r="V523" t="s">
        <v>154</v>
      </c>
    </row>
    <row r="524" spans="9:22" x14ac:dyDescent="0.25">
      <c r="I524" t="s">
        <v>190</v>
      </c>
      <c r="J524" t="s">
        <v>287</v>
      </c>
      <c r="K524">
        <v>0</v>
      </c>
      <c r="L524" t="s">
        <v>154</v>
      </c>
      <c r="N524" t="s">
        <v>220</v>
      </c>
      <c r="O524" t="s">
        <v>287</v>
      </c>
      <c r="P524">
        <v>3.5103704966634878E-3</v>
      </c>
      <c r="Q524" t="s">
        <v>154</v>
      </c>
      <c r="S524" t="s">
        <v>251</v>
      </c>
      <c r="T524" t="s">
        <v>287</v>
      </c>
      <c r="U524">
        <v>3.2116888050095606E-3</v>
      </c>
      <c r="V524" t="s">
        <v>154</v>
      </c>
    </row>
    <row r="525" spans="9:22" x14ac:dyDescent="0.25">
      <c r="I525" t="s">
        <v>190</v>
      </c>
      <c r="J525" t="s">
        <v>288</v>
      </c>
      <c r="K525">
        <v>0</v>
      </c>
      <c r="L525" t="s">
        <v>154</v>
      </c>
      <c r="N525" t="s">
        <v>220</v>
      </c>
      <c r="O525" t="s">
        <v>288</v>
      </c>
      <c r="P525">
        <v>1.5870169615140053E-2</v>
      </c>
      <c r="Q525" t="s">
        <v>154</v>
      </c>
      <c r="S525" t="s">
        <v>251</v>
      </c>
      <c r="T525" t="s">
        <v>288</v>
      </c>
      <c r="U525">
        <v>1.8351049910274714E-2</v>
      </c>
      <c r="V525" t="s">
        <v>154</v>
      </c>
    </row>
    <row r="526" spans="9:22" x14ac:dyDescent="0.25">
      <c r="I526" t="s">
        <v>190</v>
      </c>
      <c r="J526" t="s">
        <v>163</v>
      </c>
      <c r="K526">
        <v>2.9324555945805528E-3</v>
      </c>
      <c r="L526" t="s">
        <v>154</v>
      </c>
      <c r="N526" t="s">
        <v>220</v>
      </c>
      <c r="O526" t="s">
        <v>163</v>
      </c>
      <c r="P526">
        <v>5.3104365840039303E-2</v>
      </c>
      <c r="Q526" t="s">
        <v>154</v>
      </c>
      <c r="S526" t="s">
        <v>251</v>
      </c>
      <c r="T526" t="s">
        <v>163</v>
      </c>
      <c r="U526">
        <v>6.3006127910302537E-2</v>
      </c>
      <c r="V526" t="s">
        <v>154</v>
      </c>
    </row>
    <row r="527" spans="9:22" x14ac:dyDescent="0.25">
      <c r="I527" t="s">
        <v>190</v>
      </c>
      <c r="J527" t="s">
        <v>164</v>
      </c>
      <c r="K527">
        <v>5.439915072288784E-2</v>
      </c>
      <c r="L527" t="s">
        <v>154</v>
      </c>
      <c r="N527" t="s">
        <v>220</v>
      </c>
      <c r="O527" t="s">
        <v>164</v>
      </c>
      <c r="P527">
        <v>4.6589322234367479E-2</v>
      </c>
      <c r="Q527" t="s">
        <v>154</v>
      </c>
      <c r="S527" t="s">
        <v>251</v>
      </c>
      <c r="T527" t="s">
        <v>164</v>
      </c>
      <c r="U527">
        <v>5.7701137136835827E-2</v>
      </c>
      <c r="V527" t="s">
        <v>154</v>
      </c>
    </row>
    <row r="528" spans="9:22" x14ac:dyDescent="0.25">
      <c r="I528" t="s">
        <v>190</v>
      </c>
      <c r="J528" t="s">
        <v>165</v>
      </c>
      <c r="K528">
        <v>8.8504660490705946E-4</v>
      </c>
      <c r="L528" t="s">
        <v>154</v>
      </c>
      <c r="N528" t="s">
        <v>220</v>
      </c>
      <c r="O528" t="s">
        <v>165</v>
      </c>
      <c r="P528">
        <v>5.9677866032347184E-3</v>
      </c>
      <c r="Q528" t="s">
        <v>154</v>
      </c>
      <c r="S528" t="s">
        <v>251</v>
      </c>
      <c r="T528" t="s">
        <v>165</v>
      </c>
      <c r="U528">
        <v>7.6908817155609205E-3</v>
      </c>
      <c r="V528" t="s">
        <v>154</v>
      </c>
    </row>
    <row r="529" spans="9:22" x14ac:dyDescent="0.25">
      <c r="I529" t="s">
        <v>190</v>
      </c>
      <c r="J529" t="s">
        <v>289</v>
      </c>
      <c r="K529">
        <v>0</v>
      </c>
      <c r="L529" t="s">
        <v>154</v>
      </c>
      <c r="N529" t="s">
        <v>220</v>
      </c>
      <c r="O529" t="s">
        <v>289</v>
      </c>
      <c r="P529">
        <v>5.9924105099247197E-3</v>
      </c>
      <c r="Q529" t="s">
        <v>154</v>
      </c>
      <c r="S529" t="s">
        <v>251</v>
      </c>
      <c r="T529" t="s">
        <v>289</v>
      </c>
      <c r="U529">
        <v>7.7304576855876314E-3</v>
      </c>
      <c r="V529" t="s">
        <v>154</v>
      </c>
    </row>
    <row r="530" spans="9:22" x14ac:dyDescent="0.25">
      <c r="I530" t="s">
        <v>190</v>
      </c>
      <c r="J530" t="s">
        <v>290</v>
      </c>
      <c r="K530">
        <v>0</v>
      </c>
      <c r="L530" t="s">
        <v>154</v>
      </c>
      <c r="N530" t="s">
        <v>220</v>
      </c>
      <c r="O530" t="s">
        <v>290</v>
      </c>
      <c r="P530">
        <v>2.9242934641543077E-2</v>
      </c>
      <c r="Q530" t="s">
        <v>154</v>
      </c>
      <c r="S530" t="s">
        <v>251</v>
      </c>
      <c r="T530" t="s">
        <v>290</v>
      </c>
      <c r="U530">
        <v>4.0709784911319234E-2</v>
      </c>
      <c r="V530" t="s">
        <v>154</v>
      </c>
    </row>
    <row r="531" spans="9:22" x14ac:dyDescent="0.25">
      <c r="I531" t="s">
        <v>191</v>
      </c>
      <c r="J531" t="s">
        <v>153</v>
      </c>
      <c r="K531">
        <v>3.556490653810457E-3</v>
      </c>
      <c r="L531" t="s">
        <v>154</v>
      </c>
      <c r="N531" t="s">
        <v>221</v>
      </c>
      <c r="O531" t="s">
        <v>153</v>
      </c>
      <c r="P531">
        <v>5.3218048636431189E-2</v>
      </c>
      <c r="Q531" t="s">
        <v>154</v>
      </c>
      <c r="S531" t="s">
        <v>252</v>
      </c>
      <c r="T531" t="s">
        <v>153</v>
      </c>
      <c r="U531">
        <v>5.7431214661496741E-2</v>
      </c>
      <c r="V531" t="s">
        <v>154</v>
      </c>
    </row>
    <row r="532" spans="9:22" x14ac:dyDescent="0.25">
      <c r="I532" t="s">
        <v>191</v>
      </c>
      <c r="J532" t="s">
        <v>155</v>
      </c>
      <c r="K532">
        <v>6.2928989991263548E-2</v>
      </c>
      <c r="L532" t="s">
        <v>154</v>
      </c>
      <c r="N532" t="s">
        <v>221</v>
      </c>
      <c r="O532" t="s">
        <v>155</v>
      </c>
      <c r="P532">
        <v>5.6001995081475145E-2</v>
      </c>
      <c r="Q532" t="s">
        <v>154</v>
      </c>
      <c r="S532" t="s">
        <v>252</v>
      </c>
      <c r="T532" t="s">
        <v>155</v>
      </c>
      <c r="U532">
        <v>4.2173237804209202E-2</v>
      </c>
      <c r="V532" t="s">
        <v>154</v>
      </c>
    </row>
    <row r="533" spans="9:22" x14ac:dyDescent="0.25">
      <c r="I533" t="s">
        <v>191</v>
      </c>
      <c r="J533" t="s">
        <v>156</v>
      </c>
      <c r="K533">
        <v>1.2785847280341526E-3</v>
      </c>
      <c r="L533" t="s">
        <v>154</v>
      </c>
      <c r="N533" t="s">
        <v>221</v>
      </c>
      <c r="O533" t="s">
        <v>156</v>
      </c>
      <c r="P533">
        <v>6.6273130008616911E-3</v>
      </c>
      <c r="Q533" t="s">
        <v>154</v>
      </c>
      <c r="S533" t="s">
        <v>252</v>
      </c>
      <c r="T533" t="s">
        <v>156</v>
      </c>
      <c r="U533">
        <v>5.4835996089433858E-3</v>
      </c>
      <c r="V533" t="s">
        <v>154</v>
      </c>
    </row>
    <row r="534" spans="9:22" x14ac:dyDescent="0.25">
      <c r="I534" t="s">
        <v>191</v>
      </c>
      <c r="J534" t="s">
        <v>283</v>
      </c>
      <c r="K534">
        <v>0</v>
      </c>
      <c r="L534" t="s">
        <v>154</v>
      </c>
      <c r="N534" t="s">
        <v>221</v>
      </c>
      <c r="O534" t="s">
        <v>283</v>
      </c>
      <c r="P534">
        <v>6.4846979652022152E-3</v>
      </c>
      <c r="Q534" t="s">
        <v>154</v>
      </c>
      <c r="S534" t="s">
        <v>252</v>
      </c>
      <c r="T534" t="s">
        <v>283</v>
      </c>
      <c r="U534">
        <v>5.5787665116104257E-3</v>
      </c>
      <c r="V534" t="s">
        <v>154</v>
      </c>
    </row>
    <row r="535" spans="9:22" x14ac:dyDescent="0.25">
      <c r="I535" t="s">
        <v>191</v>
      </c>
      <c r="J535" t="s">
        <v>284</v>
      </c>
      <c r="K535">
        <v>0</v>
      </c>
      <c r="L535" t="s">
        <v>154</v>
      </c>
      <c r="N535" t="s">
        <v>221</v>
      </c>
      <c r="O535" t="s">
        <v>284</v>
      </c>
      <c r="P535">
        <v>2.8670902396887014E-2</v>
      </c>
      <c r="Q535" t="s">
        <v>154</v>
      </c>
      <c r="S535" t="s">
        <v>252</v>
      </c>
      <c r="T535" t="s">
        <v>284</v>
      </c>
      <c r="U535">
        <v>2.984696243546453E-2</v>
      </c>
      <c r="V535" t="s">
        <v>154</v>
      </c>
    </row>
    <row r="536" spans="9:22" x14ac:dyDescent="0.25">
      <c r="I536" t="s">
        <v>191</v>
      </c>
      <c r="J536" t="s">
        <v>157</v>
      </c>
      <c r="K536">
        <v>0.10526364660793078</v>
      </c>
      <c r="L536" t="s">
        <v>154</v>
      </c>
      <c r="N536" t="s">
        <v>221</v>
      </c>
      <c r="O536" t="s">
        <v>157</v>
      </c>
      <c r="P536">
        <v>0.22079600291697821</v>
      </c>
      <c r="Q536" t="s">
        <v>154</v>
      </c>
      <c r="S536" t="s">
        <v>252</v>
      </c>
      <c r="T536" t="s">
        <v>157</v>
      </c>
      <c r="U536">
        <v>0.22956230845440845</v>
      </c>
      <c r="V536" t="s">
        <v>154</v>
      </c>
    </row>
    <row r="537" spans="9:22" x14ac:dyDescent="0.25">
      <c r="I537" t="s">
        <v>191</v>
      </c>
      <c r="J537" t="s">
        <v>158</v>
      </c>
      <c r="K537">
        <v>0.63825944140397206</v>
      </c>
      <c r="L537" t="s">
        <v>154</v>
      </c>
      <c r="N537" t="s">
        <v>221</v>
      </c>
      <c r="O537" t="s">
        <v>158</v>
      </c>
      <c r="P537">
        <v>0.23827678702779836</v>
      </c>
      <c r="Q537" t="s">
        <v>154</v>
      </c>
      <c r="S537" t="s">
        <v>252</v>
      </c>
      <c r="T537" t="s">
        <v>158</v>
      </c>
      <c r="U537">
        <v>0.21830924259952136</v>
      </c>
      <c r="V537" t="s">
        <v>154</v>
      </c>
    </row>
    <row r="538" spans="9:22" x14ac:dyDescent="0.25">
      <c r="I538" t="s">
        <v>191</v>
      </c>
      <c r="J538" t="s">
        <v>159</v>
      </c>
      <c r="K538">
        <v>4.5763274455349695E-2</v>
      </c>
      <c r="L538" t="s">
        <v>154</v>
      </c>
      <c r="N538" t="s">
        <v>221</v>
      </c>
      <c r="O538" t="s">
        <v>159</v>
      </c>
      <c r="P538">
        <v>2.836159446510983E-2</v>
      </c>
      <c r="Q538" t="s">
        <v>154</v>
      </c>
      <c r="S538" t="s">
        <v>252</v>
      </c>
      <c r="T538" t="s">
        <v>159</v>
      </c>
      <c r="U538">
        <v>2.7670135326901352E-2</v>
      </c>
      <c r="V538" t="s">
        <v>154</v>
      </c>
    </row>
    <row r="539" spans="9:22" x14ac:dyDescent="0.25">
      <c r="I539" t="s">
        <v>191</v>
      </c>
      <c r="J539" t="s">
        <v>285</v>
      </c>
      <c r="K539">
        <v>2.1863809593455977E-2</v>
      </c>
      <c r="L539" t="s">
        <v>154</v>
      </c>
      <c r="N539" t="s">
        <v>221</v>
      </c>
      <c r="O539" t="s">
        <v>285</v>
      </c>
      <c r="P539">
        <v>2.7261449778946505E-2</v>
      </c>
      <c r="Q539" t="s">
        <v>154</v>
      </c>
      <c r="S539" t="s">
        <v>252</v>
      </c>
      <c r="T539" t="s">
        <v>285</v>
      </c>
      <c r="U539">
        <v>2.7121861041503322E-2</v>
      </c>
      <c r="V539" t="s">
        <v>154</v>
      </c>
    </row>
    <row r="540" spans="9:22" x14ac:dyDescent="0.25">
      <c r="I540" t="s">
        <v>191</v>
      </c>
      <c r="J540" t="s">
        <v>286</v>
      </c>
      <c r="K540">
        <v>5.2297289692216364E-3</v>
      </c>
      <c r="L540" t="s">
        <v>154</v>
      </c>
      <c r="N540" t="s">
        <v>221</v>
      </c>
      <c r="O540" t="s">
        <v>286</v>
      </c>
      <c r="P540">
        <v>0.12041189707854612</v>
      </c>
      <c r="Q540" t="s">
        <v>154</v>
      </c>
      <c r="S540" t="s">
        <v>252</v>
      </c>
      <c r="T540" t="s">
        <v>286</v>
      </c>
      <c r="U540">
        <v>0.11493267023602539</v>
      </c>
      <c r="V540" t="s">
        <v>154</v>
      </c>
    </row>
    <row r="541" spans="9:22" x14ac:dyDescent="0.25">
      <c r="I541" t="s">
        <v>191</v>
      </c>
      <c r="J541" t="s">
        <v>160</v>
      </c>
      <c r="K541">
        <v>5.2842796295649473E-3</v>
      </c>
      <c r="L541" t="s">
        <v>154</v>
      </c>
      <c r="N541" t="s">
        <v>221</v>
      </c>
      <c r="O541" t="s">
        <v>160</v>
      </c>
      <c r="P541">
        <v>2.5773297116797381E-2</v>
      </c>
      <c r="Q541" t="s">
        <v>154</v>
      </c>
      <c r="S541" t="s">
        <v>252</v>
      </c>
      <c r="T541" t="s">
        <v>160</v>
      </c>
      <c r="U541">
        <v>2.8752667577533839E-2</v>
      </c>
      <c r="V541" t="s">
        <v>154</v>
      </c>
    </row>
    <row r="542" spans="9:22" x14ac:dyDescent="0.25">
      <c r="I542" t="s">
        <v>191</v>
      </c>
      <c r="J542" t="s">
        <v>161</v>
      </c>
      <c r="K542">
        <v>4.8252998872609552E-2</v>
      </c>
      <c r="L542" t="s">
        <v>154</v>
      </c>
      <c r="N542" t="s">
        <v>221</v>
      </c>
      <c r="O542" t="s">
        <v>161</v>
      </c>
      <c r="P542">
        <v>2.4820291372698772E-2</v>
      </c>
      <c r="Q542" t="s">
        <v>154</v>
      </c>
      <c r="S542" t="s">
        <v>252</v>
      </c>
      <c r="T542" t="s">
        <v>161</v>
      </c>
      <c r="U542">
        <v>2.683963545888746E-2</v>
      </c>
      <c r="V542" t="s">
        <v>154</v>
      </c>
    </row>
    <row r="543" spans="9:22" x14ac:dyDescent="0.25">
      <c r="I543" t="s">
        <v>191</v>
      </c>
      <c r="J543" t="s">
        <v>162</v>
      </c>
      <c r="K543">
        <v>3.7085776530597428E-5</v>
      </c>
      <c r="L543" t="s">
        <v>154</v>
      </c>
      <c r="N543" t="s">
        <v>221</v>
      </c>
      <c r="O543" t="s">
        <v>162</v>
      </c>
      <c r="P543">
        <v>3.1132959425974249E-3</v>
      </c>
      <c r="Q543" t="s">
        <v>154</v>
      </c>
      <c r="S543" t="s">
        <v>252</v>
      </c>
      <c r="T543" t="s">
        <v>162</v>
      </c>
      <c r="U543">
        <v>3.3254955960679879E-3</v>
      </c>
      <c r="V543" t="s">
        <v>154</v>
      </c>
    </row>
    <row r="544" spans="9:22" x14ac:dyDescent="0.25">
      <c r="I544" t="s">
        <v>191</v>
      </c>
      <c r="J544" t="s">
        <v>287</v>
      </c>
      <c r="K544">
        <v>0</v>
      </c>
      <c r="L544" t="s">
        <v>154</v>
      </c>
      <c r="N544" t="s">
        <v>221</v>
      </c>
      <c r="O544" t="s">
        <v>287</v>
      </c>
      <c r="P544">
        <v>3.0972256401858014E-3</v>
      </c>
      <c r="Q544" t="s">
        <v>154</v>
      </c>
      <c r="S544" t="s">
        <v>252</v>
      </c>
      <c r="T544" t="s">
        <v>287</v>
      </c>
      <c r="U544">
        <v>3.2268486363355451E-3</v>
      </c>
      <c r="V544" t="s">
        <v>154</v>
      </c>
    </row>
    <row r="545" spans="9:22" x14ac:dyDescent="0.25">
      <c r="I545" t="s">
        <v>191</v>
      </c>
      <c r="J545" t="s">
        <v>288</v>
      </c>
      <c r="K545">
        <v>0</v>
      </c>
      <c r="L545" t="s">
        <v>154</v>
      </c>
      <c r="N545" t="s">
        <v>221</v>
      </c>
      <c r="O545" t="s">
        <v>288</v>
      </c>
      <c r="P545">
        <v>1.4125231595384813E-2</v>
      </c>
      <c r="Q545" t="s">
        <v>154</v>
      </c>
      <c r="S545" t="s">
        <v>252</v>
      </c>
      <c r="T545" t="s">
        <v>288</v>
      </c>
      <c r="U545">
        <v>1.7228791125313021E-2</v>
      </c>
      <c r="V545" t="s">
        <v>154</v>
      </c>
    </row>
    <row r="546" spans="9:22" x14ac:dyDescent="0.25">
      <c r="I546" t="s">
        <v>191</v>
      </c>
      <c r="J546" t="s">
        <v>163</v>
      </c>
      <c r="K546">
        <v>3.7971385710884376E-3</v>
      </c>
      <c r="L546" t="s">
        <v>154</v>
      </c>
      <c r="N546" t="s">
        <v>221</v>
      </c>
      <c r="O546" t="s">
        <v>163</v>
      </c>
      <c r="P546">
        <v>5.0605435411957264E-2</v>
      </c>
      <c r="Q546" t="s">
        <v>154</v>
      </c>
      <c r="S546" t="s">
        <v>252</v>
      </c>
      <c r="T546" t="s">
        <v>163</v>
      </c>
      <c r="U546">
        <v>5.5085081156450028E-2</v>
      </c>
      <c r="V546" t="s">
        <v>154</v>
      </c>
    </row>
    <row r="547" spans="9:22" x14ac:dyDescent="0.25">
      <c r="I547" t="s">
        <v>191</v>
      </c>
      <c r="J547" t="s">
        <v>164</v>
      </c>
      <c r="K547">
        <v>5.8484530747169111E-2</v>
      </c>
      <c r="L547" t="s">
        <v>154</v>
      </c>
      <c r="N547" t="s">
        <v>221</v>
      </c>
      <c r="O547" t="s">
        <v>164</v>
      </c>
      <c r="P547">
        <v>5.0424559468913895E-2</v>
      </c>
      <c r="Q547" t="s">
        <v>154</v>
      </c>
      <c r="S547" t="s">
        <v>252</v>
      </c>
      <c r="T547" t="s">
        <v>164</v>
      </c>
      <c r="U547">
        <v>5.6599892777992246E-2</v>
      </c>
      <c r="V547" t="s">
        <v>154</v>
      </c>
    </row>
    <row r="548" spans="9:22" x14ac:dyDescent="0.25">
      <c r="I548" t="s">
        <v>191</v>
      </c>
      <c r="J548" t="s">
        <v>165</v>
      </c>
      <c r="K548">
        <v>0</v>
      </c>
      <c r="L548" t="s">
        <v>154</v>
      </c>
      <c r="N548" t="s">
        <v>221</v>
      </c>
      <c r="O548" t="s">
        <v>165</v>
      </c>
      <c r="P548">
        <v>6.1026775598648289E-3</v>
      </c>
      <c r="Q548" t="s">
        <v>154</v>
      </c>
      <c r="S548" t="s">
        <v>252</v>
      </c>
      <c r="T548" t="s">
        <v>165</v>
      </c>
      <c r="U548">
        <v>7.7780131256819122E-3</v>
      </c>
      <c r="V548" t="s">
        <v>154</v>
      </c>
    </row>
    <row r="549" spans="9:22" x14ac:dyDescent="0.25">
      <c r="I549" t="s">
        <v>191</v>
      </c>
      <c r="J549" t="s">
        <v>289</v>
      </c>
      <c r="K549">
        <v>0</v>
      </c>
      <c r="L549" t="s">
        <v>154</v>
      </c>
      <c r="N549" t="s">
        <v>221</v>
      </c>
      <c r="O549" t="s">
        <v>289</v>
      </c>
      <c r="P549">
        <v>6.2047619452499951E-3</v>
      </c>
      <c r="Q549" t="s">
        <v>154</v>
      </c>
      <c r="S549" t="s">
        <v>252</v>
      </c>
      <c r="T549" t="s">
        <v>289</v>
      </c>
      <c r="U549">
        <v>7.6391536840860553E-3</v>
      </c>
      <c r="V549" t="s">
        <v>154</v>
      </c>
    </row>
    <row r="550" spans="9:22" x14ac:dyDescent="0.25">
      <c r="I550" t="s">
        <v>191</v>
      </c>
      <c r="J550" t="s">
        <v>290</v>
      </c>
      <c r="K550">
        <v>0</v>
      </c>
      <c r="L550" t="s">
        <v>154</v>
      </c>
      <c r="N550" t="s">
        <v>221</v>
      </c>
      <c r="O550" t="s">
        <v>290</v>
      </c>
      <c r="P550">
        <v>2.962253559811015E-2</v>
      </c>
      <c r="Q550" t="s">
        <v>154</v>
      </c>
      <c r="S550" t="s">
        <v>252</v>
      </c>
      <c r="T550" t="s">
        <v>290</v>
      </c>
      <c r="U550">
        <v>3.5414422181568872E-2</v>
      </c>
      <c r="V550" t="s">
        <v>154</v>
      </c>
    </row>
    <row r="551" spans="9:22" x14ac:dyDescent="0.25">
      <c r="I551" t="s">
        <v>192</v>
      </c>
      <c r="J551" t="s">
        <v>153</v>
      </c>
      <c r="K551">
        <v>3.9779283142517656E-3</v>
      </c>
      <c r="L551" t="s">
        <v>154</v>
      </c>
      <c r="N551" t="s">
        <v>222</v>
      </c>
      <c r="O551" t="s">
        <v>153</v>
      </c>
      <c r="P551">
        <v>4.7421378154603504E-2</v>
      </c>
      <c r="Q551" t="s">
        <v>154</v>
      </c>
      <c r="S551" t="s">
        <v>253</v>
      </c>
      <c r="T551" t="s">
        <v>153</v>
      </c>
      <c r="U551">
        <v>5.7698806908830232E-2</v>
      </c>
      <c r="V551" t="s">
        <v>154</v>
      </c>
    </row>
    <row r="552" spans="9:22" x14ac:dyDescent="0.25">
      <c r="I552" t="s">
        <v>192</v>
      </c>
      <c r="J552" t="s">
        <v>155</v>
      </c>
      <c r="K552">
        <v>6.5219520753449459E-2</v>
      </c>
      <c r="L552" t="s">
        <v>154</v>
      </c>
      <c r="N552" t="s">
        <v>222</v>
      </c>
      <c r="O552" t="s">
        <v>155</v>
      </c>
      <c r="P552">
        <v>4.3830422700531342E-2</v>
      </c>
      <c r="Q552" t="s">
        <v>154</v>
      </c>
      <c r="S552" t="s">
        <v>253</v>
      </c>
      <c r="T552" t="s">
        <v>155</v>
      </c>
      <c r="U552">
        <v>4.3585396599308969E-2</v>
      </c>
      <c r="V552" t="s">
        <v>154</v>
      </c>
    </row>
    <row r="553" spans="9:22" x14ac:dyDescent="0.25">
      <c r="I553" t="s">
        <v>192</v>
      </c>
      <c r="J553" t="s">
        <v>156</v>
      </c>
      <c r="K553">
        <v>1.8455665807137066E-3</v>
      </c>
      <c r="L553" t="s">
        <v>154</v>
      </c>
      <c r="N553" t="s">
        <v>222</v>
      </c>
      <c r="O553" t="s">
        <v>156</v>
      </c>
      <c r="P553">
        <v>4.2658351499252883E-3</v>
      </c>
      <c r="Q553" t="s">
        <v>154</v>
      </c>
      <c r="S553" t="s">
        <v>253</v>
      </c>
      <c r="T553" t="s">
        <v>156</v>
      </c>
      <c r="U553">
        <v>5.4076481804271655E-3</v>
      </c>
      <c r="V553" t="s">
        <v>154</v>
      </c>
    </row>
    <row r="554" spans="9:22" x14ac:dyDescent="0.25">
      <c r="I554" t="s">
        <v>192</v>
      </c>
      <c r="J554" t="s">
        <v>283</v>
      </c>
      <c r="K554">
        <v>0</v>
      </c>
      <c r="L554" t="s">
        <v>154</v>
      </c>
      <c r="N554" t="s">
        <v>222</v>
      </c>
      <c r="O554" t="s">
        <v>283</v>
      </c>
      <c r="P554">
        <v>4.160528917907063E-3</v>
      </c>
      <c r="Q554" t="s">
        <v>154</v>
      </c>
      <c r="S554" t="s">
        <v>253</v>
      </c>
      <c r="T554" t="s">
        <v>283</v>
      </c>
      <c r="U554">
        <v>5.3837137945838033E-3</v>
      </c>
      <c r="V554" t="s">
        <v>154</v>
      </c>
    </row>
    <row r="555" spans="9:22" x14ac:dyDescent="0.25">
      <c r="I555" t="s">
        <v>192</v>
      </c>
      <c r="J555" t="s">
        <v>284</v>
      </c>
      <c r="K555">
        <v>0</v>
      </c>
      <c r="L555" t="s">
        <v>154</v>
      </c>
      <c r="N555" t="s">
        <v>222</v>
      </c>
      <c r="O555" t="s">
        <v>284</v>
      </c>
      <c r="P555">
        <v>2.0507641055471829E-2</v>
      </c>
      <c r="Q555" t="s">
        <v>154</v>
      </c>
      <c r="S555" t="s">
        <v>253</v>
      </c>
      <c r="T555" t="s">
        <v>284</v>
      </c>
      <c r="U555">
        <v>2.9077030166718049E-2</v>
      </c>
      <c r="V555" t="s">
        <v>154</v>
      </c>
    </row>
    <row r="556" spans="9:22" x14ac:dyDescent="0.25">
      <c r="I556" t="s">
        <v>192</v>
      </c>
      <c r="J556" t="s">
        <v>157</v>
      </c>
      <c r="K556">
        <v>9.9477082043440676E-2</v>
      </c>
      <c r="L556" t="s">
        <v>154</v>
      </c>
      <c r="N556" t="s">
        <v>222</v>
      </c>
      <c r="O556" t="s">
        <v>157</v>
      </c>
      <c r="P556">
        <v>0.21117915331664047</v>
      </c>
      <c r="Q556" t="s">
        <v>154</v>
      </c>
      <c r="S556" t="s">
        <v>253</v>
      </c>
      <c r="T556" t="s">
        <v>157</v>
      </c>
      <c r="U556">
        <v>0.23102853098934212</v>
      </c>
      <c r="V556" t="s">
        <v>154</v>
      </c>
    </row>
    <row r="557" spans="9:22" x14ac:dyDescent="0.25">
      <c r="I557" t="s">
        <v>192</v>
      </c>
      <c r="J557" t="s">
        <v>158</v>
      </c>
      <c r="K557">
        <v>0.64262150938713403</v>
      </c>
      <c r="L557" t="s">
        <v>154</v>
      </c>
      <c r="N557" t="s">
        <v>222</v>
      </c>
      <c r="O557" t="s">
        <v>158</v>
      </c>
      <c r="P557">
        <v>0.26814918054564707</v>
      </c>
      <c r="Q557" t="s">
        <v>154</v>
      </c>
      <c r="S557" t="s">
        <v>253</v>
      </c>
      <c r="T557" t="s">
        <v>158</v>
      </c>
      <c r="U557">
        <v>0.21546519650131526</v>
      </c>
      <c r="V557" t="s">
        <v>154</v>
      </c>
    </row>
    <row r="558" spans="9:22" x14ac:dyDescent="0.25">
      <c r="I558" t="s">
        <v>192</v>
      </c>
      <c r="J558" t="s">
        <v>159</v>
      </c>
      <c r="K558">
        <v>4.6490846054099831E-2</v>
      </c>
      <c r="L558" t="s">
        <v>154</v>
      </c>
      <c r="N558" t="s">
        <v>222</v>
      </c>
      <c r="O558" t="s">
        <v>159</v>
      </c>
      <c r="P558">
        <v>3.0322083604346538E-2</v>
      </c>
      <c r="Q558" t="s">
        <v>154</v>
      </c>
      <c r="S558" t="s">
        <v>253</v>
      </c>
      <c r="T558" t="s">
        <v>159</v>
      </c>
      <c r="U558">
        <v>2.7478628584847103E-2</v>
      </c>
      <c r="V558" t="s">
        <v>154</v>
      </c>
    </row>
    <row r="559" spans="9:22" x14ac:dyDescent="0.25">
      <c r="I559" t="s">
        <v>192</v>
      </c>
      <c r="J559" t="s">
        <v>285</v>
      </c>
      <c r="K559">
        <v>2.2164687716077516E-2</v>
      </c>
      <c r="L559" t="s">
        <v>154</v>
      </c>
      <c r="N559" t="s">
        <v>222</v>
      </c>
      <c r="O559" t="s">
        <v>285</v>
      </c>
      <c r="P559">
        <v>2.8375588096170846E-2</v>
      </c>
      <c r="Q559" t="s">
        <v>154</v>
      </c>
      <c r="S559" t="s">
        <v>253</v>
      </c>
      <c r="T559" t="s">
        <v>285</v>
      </c>
      <c r="U559">
        <v>2.6862596663772508E-2</v>
      </c>
      <c r="V559" t="s">
        <v>154</v>
      </c>
    </row>
    <row r="560" spans="9:22" x14ac:dyDescent="0.25">
      <c r="I560" t="s">
        <v>192</v>
      </c>
      <c r="J560" t="s">
        <v>286</v>
      </c>
      <c r="K560">
        <v>5.3930712554154346E-3</v>
      </c>
      <c r="L560" t="s">
        <v>154</v>
      </c>
      <c r="N560" t="s">
        <v>222</v>
      </c>
      <c r="O560" t="s">
        <v>286</v>
      </c>
      <c r="P560">
        <v>0.1162822880056224</v>
      </c>
      <c r="Q560" t="s">
        <v>154</v>
      </c>
      <c r="S560" t="s">
        <v>253</v>
      </c>
      <c r="T560" t="s">
        <v>286</v>
      </c>
      <c r="U560">
        <v>0.11825290557760242</v>
      </c>
      <c r="V560" t="s">
        <v>154</v>
      </c>
    </row>
    <row r="561" spans="9:22" x14ac:dyDescent="0.25">
      <c r="I561" t="s">
        <v>192</v>
      </c>
      <c r="J561" t="s">
        <v>160</v>
      </c>
      <c r="K561">
        <v>4.6200003602440186E-3</v>
      </c>
      <c r="L561" t="s">
        <v>154</v>
      </c>
      <c r="N561" t="s">
        <v>222</v>
      </c>
      <c r="O561" t="s">
        <v>160</v>
      </c>
      <c r="P561">
        <v>2.6734216714421288E-2</v>
      </c>
      <c r="Q561" t="s">
        <v>154</v>
      </c>
      <c r="S561" t="s">
        <v>253</v>
      </c>
      <c r="T561" t="s">
        <v>160</v>
      </c>
      <c r="U561">
        <v>3.1554845347121337E-2</v>
      </c>
      <c r="V561" t="s">
        <v>154</v>
      </c>
    </row>
    <row r="562" spans="9:22" x14ac:dyDescent="0.25">
      <c r="I562" t="s">
        <v>192</v>
      </c>
      <c r="J562" t="s">
        <v>161</v>
      </c>
      <c r="K562">
        <v>4.8304738914196864E-2</v>
      </c>
      <c r="L562" t="s">
        <v>154</v>
      </c>
      <c r="N562" t="s">
        <v>222</v>
      </c>
      <c r="O562" t="s">
        <v>161</v>
      </c>
      <c r="P562">
        <v>2.845037826794607E-2</v>
      </c>
      <c r="Q562" t="s">
        <v>154</v>
      </c>
      <c r="S562" t="s">
        <v>253</v>
      </c>
      <c r="T562" t="s">
        <v>161</v>
      </c>
      <c r="U562">
        <v>2.7822523014355869E-2</v>
      </c>
      <c r="V562" t="s">
        <v>154</v>
      </c>
    </row>
    <row r="563" spans="9:22" x14ac:dyDescent="0.25">
      <c r="I563" t="s">
        <v>192</v>
      </c>
      <c r="J563" t="s">
        <v>162</v>
      </c>
      <c r="K563">
        <v>2.9614532656741503E-4</v>
      </c>
      <c r="L563" t="s">
        <v>154</v>
      </c>
      <c r="N563" t="s">
        <v>222</v>
      </c>
      <c r="O563" t="s">
        <v>162</v>
      </c>
      <c r="P563">
        <v>3.2218887222462502E-3</v>
      </c>
      <c r="Q563" t="s">
        <v>154</v>
      </c>
      <c r="S563" t="s">
        <v>253</v>
      </c>
      <c r="T563" t="s">
        <v>162</v>
      </c>
      <c r="U563">
        <v>3.4157960630457973E-3</v>
      </c>
      <c r="V563" t="s">
        <v>154</v>
      </c>
    </row>
    <row r="564" spans="9:22" x14ac:dyDescent="0.25">
      <c r="I564" t="s">
        <v>192</v>
      </c>
      <c r="J564" t="s">
        <v>287</v>
      </c>
      <c r="K564">
        <v>0</v>
      </c>
      <c r="L564" t="s">
        <v>154</v>
      </c>
      <c r="N564" t="s">
        <v>222</v>
      </c>
      <c r="O564" t="s">
        <v>287</v>
      </c>
      <c r="P564">
        <v>3.2633672398543856E-3</v>
      </c>
      <c r="Q564" t="s">
        <v>154</v>
      </c>
      <c r="S564" t="s">
        <v>253</v>
      </c>
      <c r="T564" t="s">
        <v>287</v>
      </c>
      <c r="U564">
        <v>3.3517379424967452E-3</v>
      </c>
      <c r="V564" t="s">
        <v>154</v>
      </c>
    </row>
    <row r="565" spans="9:22" x14ac:dyDescent="0.25">
      <c r="I565" t="s">
        <v>192</v>
      </c>
      <c r="J565" t="s">
        <v>288</v>
      </c>
      <c r="K565">
        <v>0</v>
      </c>
      <c r="L565" t="s">
        <v>154</v>
      </c>
      <c r="N565" t="s">
        <v>222</v>
      </c>
      <c r="O565" t="s">
        <v>288</v>
      </c>
      <c r="P565">
        <v>1.6655027679455071E-2</v>
      </c>
      <c r="Q565" t="s">
        <v>154</v>
      </c>
      <c r="S565" t="s">
        <v>253</v>
      </c>
      <c r="T565" t="s">
        <v>288</v>
      </c>
      <c r="U565">
        <v>1.9392317060181991E-2</v>
      </c>
      <c r="V565" t="s">
        <v>154</v>
      </c>
    </row>
    <row r="566" spans="9:22" x14ac:dyDescent="0.25">
      <c r="I566" t="s">
        <v>192</v>
      </c>
      <c r="J566" t="s">
        <v>163</v>
      </c>
      <c r="K566">
        <v>3.1762182161164799E-3</v>
      </c>
      <c r="L566" t="s">
        <v>154</v>
      </c>
      <c r="N566" t="s">
        <v>222</v>
      </c>
      <c r="O566" t="s">
        <v>163</v>
      </c>
      <c r="P566">
        <v>5.3030614729739613E-2</v>
      </c>
      <c r="Q566" t="s">
        <v>154</v>
      </c>
      <c r="S566" t="s">
        <v>253</v>
      </c>
      <c r="T566" t="s">
        <v>163</v>
      </c>
      <c r="U566">
        <v>5.6256791509782487E-2</v>
      </c>
      <c r="V566" t="s">
        <v>154</v>
      </c>
    </row>
    <row r="567" spans="9:22" x14ac:dyDescent="0.25">
      <c r="I567" t="s">
        <v>192</v>
      </c>
      <c r="J567" t="s">
        <v>164</v>
      </c>
      <c r="K567">
        <v>5.6412685078294104E-2</v>
      </c>
      <c r="L567" t="s">
        <v>154</v>
      </c>
      <c r="N567" t="s">
        <v>222</v>
      </c>
      <c r="O567" t="s">
        <v>164</v>
      </c>
      <c r="P567">
        <v>5.1648076302246326E-2</v>
      </c>
      <c r="Q567" t="s">
        <v>154</v>
      </c>
      <c r="S567" t="s">
        <v>253</v>
      </c>
      <c r="T567" t="s">
        <v>164</v>
      </c>
      <c r="U567">
        <v>5.1031679095047078E-2</v>
      </c>
      <c r="V567" t="s">
        <v>154</v>
      </c>
    </row>
    <row r="568" spans="9:22" x14ac:dyDescent="0.25">
      <c r="I568" t="s">
        <v>192</v>
      </c>
      <c r="J568" t="s">
        <v>165</v>
      </c>
      <c r="K568">
        <v>0</v>
      </c>
      <c r="L568" t="s">
        <v>154</v>
      </c>
      <c r="N568" t="s">
        <v>222</v>
      </c>
      <c r="O568" t="s">
        <v>165</v>
      </c>
      <c r="P568">
        <v>6.0148608234954553E-3</v>
      </c>
      <c r="Q568" t="s">
        <v>154</v>
      </c>
      <c r="S568" t="s">
        <v>253</v>
      </c>
      <c r="T568" t="s">
        <v>165</v>
      </c>
      <c r="U568">
        <v>6.8552036284612724E-3</v>
      </c>
      <c r="V568" t="s">
        <v>154</v>
      </c>
    </row>
    <row r="569" spans="9:22" x14ac:dyDescent="0.25">
      <c r="I569" t="s">
        <v>192</v>
      </c>
      <c r="J569" t="s">
        <v>289</v>
      </c>
      <c r="K569">
        <v>0</v>
      </c>
      <c r="L569" t="s">
        <v>154</v>
      </c>
      <c r="N569" t="s">
        <v>222</v>
      </c>
      <c r="O569" t="s">
        <v>289</v>
      </c>
      <c r="P569">
        <v>6.0620157573386055E-3</v>
      </c>
      <c r="Q569" t="s">
        <v>154</v>
      </c>
      <c r="S569" t="s">
        <v>253</v>
      </c>
      <c r="T569" t="s">
        <v>289</v>
      </c>
      <c r="U569">
        <v>6.7428264139620725E-3</v>
      </c>
      <c r="V569" t="s">
        <v>154</v>
      </c>
    </row>
    <row r="570" spans="9:22" x14ac:dyDescent="0.25">
      <c r="I570" t="s">
        <v>192</v>
      </c>
      <c r="J570" t="s">
        <v>290</v>
      </c>
      <c r="K570">
        <v>0</v>
      </c>
      <c r="L570" t="s">
        <v>154</v>
      </c>
      <c r="N570" t="s">
        <v>222</v>
      </c>
      <c r="O570" t="s">
        <v>290</v>
      </c>
      <c r="P570">
        <v>3.0425454216387374E-2</v>
      </c>
      <c r="Q570" t="s">
        <v>154</v>
      </c>
      <c r="S570" t="s">
        <v>253</v>
      </c>
      <c r="T570" t="s">
        <v>290</v>
      </c>
      <c r="U570">
        <v>3.3335825958801128E-2</v>
      </c>
      <c r="V570" t="s">
        <v>154</v>
      </c>
    </row>
    <row r="571" spans="9:22" x14ac:dyDescent="0.25">
      <c r="I571" t="s">
        <v>193</v>
      </c>
      <c r="J571" t="s">
        <v>153</v>
      </c>
      <c r="K571">
        <v>5.2210998729723974E-3</v>
      </c>
      <c r="L571" t="s">
        <v>154</v>
      </c>
      <c r="N571" t="s">
        <v>223</v>
      </c>
      <c r="O571" t="s">
        <v>153</v>
      </c>
      <c r="P571">
        <v>4.9356857027294157E-2</v>
      </c>
      <c r="Q571" t="s">
        <v>154</v>
      </c>
      <c r="S571" t="s">
        <v>254</v>
      </c>
      <c r="T571" t="s">
        <v>153</v>
      </c>
      <c r="U571">
        <v>3.6533324063604343E-2</v>
      </c>
      <c r="V571" t="s">
        <v>154</v>
      </c>
    </row>
    <row r="572" spans="9:22" x14ac:dyDescent="0.25">
      <c r="I572" t="s">
        <v>193</v>
      </c>
      <c r="J572" t="s">
        <v>155</v>
      </c>
      <c r="K572">
        <v>7.5590645621646954E-2</v>
      </c>
      <c r="L572" t="s">
        <v>154</v>
      </c>
      <c r="N572" t="s">
        <v>223</v>
      </c>
      <c r="O572" t="s">
        <v>155</v>
      </c>
      <c r="P572">
        <v>5.1780703835719789E-2</v>
      </c>
      <c r="Q572" t="s">
        <v>154</v>
      </c>
      <c r="S572" t="s">
        <v>254</v>
      </c>
      <c r="T572" t="s">
        <v>155</v>
      </c>
      <c r="U572">
        <v>3.096903163436367E-2</v>
      </c>
      <c r="V572" t="s">
        <v>154</v>
      </c>
    </row>
    <row r="573" spans="9:22" x14ac:dyDescent="0.25">
      <c r="I573" t="s">
        <v>193</v>
      </c>
      <c r="J573" t="s">
        <v>156</v>
      </c>
      <c r="K573">
        <v>2.1494964144144978E-3</v>
      </c>
      <c r="L573" t="s">
        <v>154</v>
      </c>
      <c r="N573" t="s">
        <v>223</v>
      </c>
      <c r="O573" t="s">
        <v>156</v>
      </c>
      <c r="P573">
        <v>4.9428096042011113E-3</v>
      </c>
      <c r="Q573" t="s">
        <v>154</v>
      </c>
      <c r="S573" t="s">
        <v>254</v>
      </c>
      <c r="T573" t="s">
        <v>156</v>
      </c>
      <c r="U573">
        <v>4.1112769777357826E-3</v>
      </c>
      <c r="V573" t="s">
        <v>154</v>
      </c>
    </row>
    <row r="574" spans="9:22" x14ac:dyDescent="0.25">
      <c r="I574" t="s">
        <v>193</v>
      </c>
      <c r="J574" t="s">
        <v>283</v>
      </c>
      <c r="K574">
        <v>0</v>
      </c>
      <c r="L574" t="s">
        <v>154</v>
      </c>
      <c r="N574" t="s">
        <v>223</v>
      </c>
      <c r="O574" t="s">
        <v>283</v>
      </c>
      <c r="P574">
        <v>4.7218995304155334E-3</v>
      </c>
      <c r="Q574" t="s">
        <v>154</v>
      </c>
      <c r="S574" t="s">
        <v>254</v>
      </c>
      <c r="T574" t="s">
        <v>283</v>
      </c>
      <c r="U574">
        <v>3.7686366992045672E-3</v>
      </c>
      <c r="V574" t="s">
        <v>154</v>
      </c>
    </row>
    <row r="575" spans="9:22" x14ac:dyDescent="0.25">
      <c r="I575" t="s">
        <v>193</v>
      </c>
      <c r="J575" t="s">
        <v>284</v>
      </c>
      <c r="K575">
        <v>0</v>
      </c>
      <c r="L575" t="s">
        <v>154</v>
      </c>
      <c r="N575" t="s">
        <v>223</v>
      </c>
      <c r="O575" t="s">
        <v>284</v>
      </c>
      <c r="P575">
        <v>2.1881614356789529E-2</v>
      </c>
      <c r="Q575" t="s">
        <v>154</v>
      </c>
      <c r="S575" t="s">
        <v>254</v>
      </c>
      <c r="T575" t="s">
        <v>284</v>
      </c>
      <c r="U575">
        <v>2.0285368984625785E-2</v>
      </c>
      <c r="V575" t="s">
        <v>154</v>
      </c>
    </row>
    <row r="576" spans="9:22" x14ac:dyDescent="0.25">
      <c r="I576" t="s">
        <v>193</v>
      </c>
      <c r="J576" t="s">
        <v>157</v>
      </c>
      <c r="K576">
        <v>0.1031169218755042</v>
      </c>
      <c r="L576" t="s">
        <v>154</v>
      </c>
      <c r="N576" t="s">
        <v>223</v>
      </c>
      <c r="O576" t="s">
        <v>157</v>
      </c>
      <c r="P576">
        <v>0.19887381438253474</v>
      </c>
      <c r="Q576" t="s">
        <v>154</v>
      </c>
      <c r="S576" t="s">
        <v>254</v>
      </c>
      <c r="T576" t="s">
        <v>157</v>
      </c>
      <c r="U576">
        <v>0.26416076617876283</v>
      </c>
      <c r="V576" t="s">
        <v>154</v>
      </c>
    </row>
    <row r="577" spans="9:22" x14ac:dyDescent="0.25">
      <c r="I577" t="s">
        <v>193</v>
      </c>
      <c r="J577" t="s">
        <v>158</v>
      </c>
      <c r="K577">
        <v>0.62037918212069731</v>
      </c>
      <c r="L577" t="s">
        <v>154</v>
      </c>
      <c r="N577" t="s">
        <v>223</v>
      </c>
      <c r="O577" t="s">
        <v>158</v>
      </c>
      <c r="P577">
        <v>0.25828955106878571</v>
      </c>
      <c r="Q577" t="s">
        <v>154</v>
      </c>
      <c r="S577" t="s">
        <v>254</v>
      </c>
      <c r="T577" t="s">
        <v>158</v>
      </c>
      <c r="U577">
        <v>0.22451150013720714</v>
      </c>
      <c r="V577" t="s">
        <v>154</v>
      </c>
    </row>
    <row r="578" spans="9:22" x14ac:dyDescent="0.25">
      <c r="I578" t="s">
        <v>193</v>
      </c>
      <c r="J578" t="s">
        <v>159</v>
      </c>
      <c r="K578">
        <v>4.3351525092107643E-2</v>
      </c>
      <c r="L578" t="s">
        <v>154</v>
      </c>
      <c r="N578" t="s">
        <v>223</v>
      </c>
      <c r="O578" t="s">
        <v>159</v>
      </c>
      <c r="P578">
        <v>3.068188099336519E-2</v>
      </c>
      <c r="Q578" t="s">
        <v>154</v>
      </c>
      <c r="S578" t="s">
        <v>254</v>
      </c>
      <c r="T578" t="s">
        <v>159</v>
      </c>
      <c r="U578">
        <v>3.2196164440541575E-2</v>
      </c>
      <c r="V578" t="s">
        <v>154</v>
      </c>
    </row>
    <row r="579" spans="9:22" x14ac:dyDescent="0.25">
      <c r="I579" t="s">
        <v>193</v>
      </c>
      <c r="J579" t="s">
        <v>285</v>
      </c>
      <c r="K579">
        <v>1.9480992738794514E-2</v>
      </c>
      <c r="L579" t="s">
        <v>154</v>
      </c>
      <c r="N579" t="s">
        <v>223</v>
      </c>
      <c r="O579" t="s">
        <v>285</v>
      </c>
      <c r="P579">
        <v>2.9217311479678942E-2</v>
      </c>
      <c r="Q579" t="s">
        <v>154</v>
      </c>
      <c r="S579" t="s">
        <v>254</v>
      </c>
      <c r="T579" t="s">
        <v>285</v>
      </c>
      <c r="U579">
        <v>2.8725984438244825E-2</v>
      </c>
      <c r="V579" t="s">
        <v>154</v>
      </c>
    </row>
    <row r="580" spans="9:22" x14ac:dyDescent="0.25">
      <c r="I580" t="s">
        <v>193</v>
      </c>
      <c r="J580" t="s">
        <v>286</v>
      </c>
      <c r="K580">
        <v>3.8467705447482736E-3</v>
      </c>
      <c r="L580" t="s">
        <v>154</v>
      </c>
      <c r="N580" t="s">
        <v>223</v>
      </c>
      <c r="O580" t="s">
        <v>286</v>
      </c>
      <c r="P580">
        <v>0.11855285391461839</v>
      </c>
      <c r="Q580" t="s">
        <v>154</v>
      </c>
      <c r="S580" t="s">
        <v>254</v>
      </c>
      <c r="T580" t="s">
        <v>286</v>
      </c>
      <c r="U580">
        <v>0.15673561144448428</v>
      </c>
      <c r="V580" t="s">
        <v>154</v>
      </c>
    </row>
    <row r="581" spans="9:22" x14ac:dyDescent="0.25">
      <c r="I581" t="s">
        <v>193</v>
      </c>
      <c r="J581" t="s">
        <v>160</v>
      </c>
      <c r="K581">
        <v>6.8714530848616711E-3</v>
      </c>
      <c r="L581" t="s">
        <v>154</v>
      </c>
      <c r="N581" t="s">
        <v>223</v>
      </c>
      <c r="O581" t="s">
        <v>160</v>
      </c>
      <c r="P581">
        <v>2.6827292745801007E-2</v>
      </c>
      <c r="Q581" t="s">
        <v>154</v>
      </c>
      <c r="S581" t="s">
        <v>254</v>
      </c>
      <c r="T581" t="s">
        <v>160</v>
      </c>
      <c r="U581">
        <v>2.3931520267263525E-2</v>
      </c>
      <c r="V581" t="s">
        <v>154</v>
      </c>
    </row>
    <row r="582" spans="9:22" x14ac:dyDescent="0.25">
      <c r="I582" t="s">
        <v>193</v>
      </c>
      <c r="J582" t="s">
        <v>161</v>
      </c>
      <c r="K582">
        <v>5.5695872737548044E-2</v>
      </c>
      <c r="L582" t="s">
        <v>154</v>
      </c>
      <c r="N582" t="s">
        <v>223</v>
      </c>
      <c r="O582" t="s">
        <v>161</v>
      </c>
      <c r="P582">
        <v>2.7355231457107897E-2</v>
      </c>
      <c r="Q582" t="s">
        <v>154</v>
      </c>
      <c r="S582" t="s">
        <v>254</v>
      </c>
      <c r="T582" t="s">
        <v>161</v>
      </c>
      <c r="U582">
        <v>2.0396496282727612E-2</v>
      </c>
      <c r="V582" t="s">
        <v>154</v>
      </c>
    </row>
    <row r="583" spans="9:22" x14ac:dyDescent="0.25">
      <c r="I583" t="s">
        <v>193</v>
      </c>
      <c r="J583" t="s">
        <v>162</v>
      </c>
      <c r="K583">
        <v>6.3402528739414448E-5</v>
      </c>
      <c r="L583" t="s">
        <v>154</v>
      </c>
      <c r="N583" t="s">
        <v>223</v>
      </c>
      <c r="O583" t="s">
        <v>162</v>
      </c>
      <c r="P583">
        <v>2.6856148112440093E-3</v>
      </c>
      <c r="Q583" t="s">
        <v>154</v>
      </c>
      <c r="S583" t="s">
        <v>254</v>
      </c>
      <c r="T583" t="s">
        <v>162</v>
      </c>
      <c r="U583">
        <v>2.7633617245737393E-3</v>
      </c>
      <c r="V583" t="s">
        <v>154</v>
      </c>
    </row>
    <row r="584" spans="9:22" x14ac:dyDescent="0.25">
      <c r="I584" t="s">
        <v>193</v>
      </c>
      <c r="J584" t="s">
        <v>287</v>
      </c>
      <c r="K584">
        <v>0</v>
      </c>
      <c r="L584" t="s">
        <v>154</v>
      </c>
      <c r="N584" t="s">
        <v>223</v>
      </c>
      <c r="O584" t="s">
        <v>287</v>
      </c>
      <c r="P584">
        <v>2.6119269519616658E-3</v>
      </c>
      <c r="Q584" t="s">
        <v>154</v>
      </c>
      <c r="S584" t="s">
        <v>254</v>
      </c>
      <c r="T584" t="s">
        <v>287</v>
      </c>
      <c r="U584">
        <v>2.5335223993323973E-3</v>
      </c>
      <c r="V584" t="s">
        <v>154</v>
      </c>
    </row>
    <row r="585" spans="9:22" x14ac:dyDescent="0.25">
      <c r="I585" t="s">
        <v>193</v>
      </c>
      <c r="J585" t="s">
        <v>288</v>
      </c>
      <c r="K585">
        <v>0</v>
      </c>
      <c r="L585" t="s">
        <v>154</v>
      </c>
      <c r="N585" t="s">
        <v>223</v>
      </c>
      <c r="O585" t="s">
        <v>288</v>
      </c>
      <c r="P585">
        <v>1.4063296037306182E-2</v>
      </c>
      <c r="Q585" t="s">
        <v>154</v>
      </c>
      <c r="S585" t="s">
        <v>254</v>
      </c>
      <c r="T585" t="s">
        <v>288</v>
      </c>
      <c r="U585">
        <v>1.4203724218587465E-2</v>
      </c>
      <c r="V585" t="s">
        <v>154</v>
      </c>
    </row>
    <row r="586" spans="9:22" x14ac:dyDescent="0.25">
      <c r="I586" t="s">
        <v>193</v>
      </c>
      <c r="J586" t="s">
        <v>163</v>
      </c>
      <c r="K586">
        <v>4.2265213857812607E-3</v>
      </c>
      <c r="L586" t="s">
        <v>154</v>
      </c>
      <c r="N586" t="s">
        <v>223</v>
      </c>
      <c r="O586" t="s">
        <v>163</v>
      </c>
      <c r="P586">
        <v>5.7625953649978211E-2</v>
      </c>
      <c r="Q586" t="s">
        <v>154</v>
      </c>
      <c r="S586" t="s">
        <v>254</v>
      </c>
      <c r="T586" t="s">
        <v>163</v>
      </c>
      <c r="U586">
        <v>5.2174403386889397E-2</v>
      </c>
      <c r="V586" t="s">
        <v>154</v>
      </c>
    </row>
    <row r="587" spans="9:22" x14ac:dyDescent="0.25">
      <c r="I587" t="s">
        <v>193</v>
      </c>
      <c r="J587" t="s">
        <v>164</v>
      </c>
      <c r="K587">
        <v>6.0006115982182889E-2</v>
      </c>
      <c r="L587" t="s">
        <v>154</v>
      </c>
      <c r="N587" t="s">
        <v>223</v>
      </c>
      <c r="O587" t="s">
        <v>164</v>
      </c>
      <c r="P587">
        <v>5.8732571840535361E-2</v>
      </c>
      <c r="Q587" t="s">
        <v>154</v>
      </c>
      <c r="S587" t="s">
        <v>254</v>
      </c>
      <c r="T587" t="s">
        <v>164</v>
      </c>
      <c r="U587">
        <v>4.3682956147779117E-2</v>
      </c>
      <c r="V587" t="s">
        <v>154</v>
      </c>
    </row>
    <row r="588" spans="9:22" x14ac:dyDescent="0.25">
      <c r="I588" t="s">
        <v>193</v>
      </c>
      <c r="J588" t="s">
        <v>165</v>
      </c>
      <c r="K588">
        <v>0</v>
      </c>
      <c r="L588" t="s">
        <v>154</v>
      </c>
      <c r="N588" t="s">
        <v>223</v>
      </c>
      <c r="O588" t="s">
        <v>165</v>
      </c>
      <c r="P588">
        <v>6.1635931242649796E-3</v>
      </c>
      <c r="Q588" t="s">
        <v>154</v>
      </c>
      <c r="S588" t="s">
        <v>254</v>
      </c>
      <c r="T588" t="s">
        <v>165</v>
      </c>
      <c r="U588">
        <v>5.6059492616659145E-3</v>
      </c>
      <c r="V588" t="s">
        <v>154</v>
      </c>
    </row>
    <row r="589" spans="9:22" x14ac:dyDescent="0.25">
      <c r="I589" t="s">
        <v>193</v>
      </c>
      <c r="J589" t="s">
        <v>289</v>
      </c>
      <c r="K589">
        <v>0</v>
      </c>
      <c r="L589" t="s">
        <v>154</v>
      </c>
      <c r="N589" t="s">
        <v>223</v>
      </c>
      <c r="O589" t="s">
        <v>289</v>
      </c>
      <c r="P589">
        <v>6.1709750367807256E-3</v>
      </c>
      <c r="Q589" t="s">
        <v>154</v>
      </c>
      <c r="S589" t="s">
        <v>254</v>
      </c>
      <c r="T589" t="s">
        <v>289</v>
      </c>
      <c r="U589">
        <v>5.2104537058579904E-3</v>
      </c>
      <c r="V589" t="s">
        <v>154</v>
      </c>
    </row>
    <row r="590" spans="9:22" x14ac:dyDescent="0.25">
      <c r="I590" t="s">
        <v>193</v>
      </c>
      <c r="J590" t="s">
        <v>290</v>
      </c>
      <c r="K590">
        <v>0</v>
      </c>
      <c r="L590" t="s">
        <v>154</v>
      </c>
      <c r="N590" t="s">
        <v>223</v>
      </c>
      <c r="O590" t="s">
        <v>290</v>
      </c>
      <c r="P590">
        <v>2.9464248151616326E-2</v>
      </c>
      <c r="Q590" t="s">
        <v>154</v>
      </c>
      <c r="S590" t="s">
        <v>254</v>
      </c>
      <c r="T590" t="s">
        <v>290</v>
      </c>
      <c r="U590">
        <v>2.7499947606543867E-2</v>
      </c>
      <c r="V590" t="s">
        <v>154</v>
      </c>
    </row>
    <row r="591" spans="9:22" x14ac:dyDescent="0.25">
      <c r="I591" t="s">
        <v>194</v>
      </c>
      <c r="J591" t="s">
        <v>153</v>
      </c>
      <c r="K591">
        <v>5.2122583009870764E-3</v>
      </c>
      <c r="L591" t="s">
        <v>154</v>
      </c>
      <c r="N591" t="s">
        <v>224</v>
      </c>
      <c r="O591" t="s">
        <v>153</v>
      </c>
      <c r="P591">
        <v>4.4938805199234856E-2</v>
      </c>
      <c r="Q591" t="s">
        <v>154</v>
      </c>
      <c r="S591" t="s">
        <v>255</v>
      </c>
      <c r="T591" t="s">
        <v>153</v>
      </c>
      <c r="U591">
        <v>3.8657415626498867E-2</v>
      </c>
      <c r="V591" t="s">
        <v>154</v>
      </c>
    </row>
    <row r="592" spans="9:22" x14ac:dyDescent="0.25">
      <c r="I592" t="s">
        <v>194</v>
      </c>
      <c r="J592" t="s">
        <v>155</v>
      </c>
      <c r="K592">
        <v>7.7897254004414287E-2</v>
      </c>
      <c r="L592" t="s">
        <v>154</v>
      </c>
      <c r="N592" t="s">
        <v>224</v>
      </c>
      <c r="O592" t="s">
        <v>155</v>
      </c>
      <c r="P592">
        <v>4.1756209463608016E-2</v>
      </c>
      <c r="Q592" t="s">
        <v>154</v>
      </c>
      <c r="S592" t="s">
        <v>255</v>
      </c>
      <c r="T592" t="s">
        <v>155</v>
      </c>
      <c r="U592">
        <v>3.380184536909818E-2</v>
      </c>
      <c r="V592" t="s">
        <v>154</v>
      </c>
    </row>
    <row r="593" spans="9:22" x14ac:dyDescent="0.25">
      <c r="I593" t="s">
        <v>194</v>
      </c>
      <c r="J593" t="s">
        <v>156</v>
      </c>
      <c r="K593">
        <v>2.9023642480176118E-3</v>
      </c>
      <c r="L593" t="s">
        <v>154</v>
      </c>
      <c r="N593" t="s">
        <v>224</v>
      </c>
      <c r="O593" t="s">
        <v>156</v>
      </c>
      <c r="P593">
        <v>4.7364909096921284E-3</v>
      </c>
      <c r="Q593" t="s">
        <v>154</v>
      </c>
      <c r="S593" t="s">
        <v>255</v>
      </c>
      <c r="T593" t="s">
        <v>156</v>
      </c>
      <c r="U593">
        <v>5.04169101834073E-3</v>
      </c>
      <c r="V593" t="s">
        <v>154</v>
      </c>
    </row>
    <row r="594" spans="9:22" x14ac:dyDescent="0.25">
      <c r="I594" t="s">
        <v>194</v>
      </c>
      <c r="J594" t="s">
        <v>283</v>
      </c>
      <c r="K594">
        <v>0</v>
      </c>
      <c r="L594" t="s">
        <v>154</v>
      </c>
      <c r="N594" t="s">
        <v>224</v>
      </c>
      <c r="O594" t="s">
        <v>283</v>
      </c>
      <c r="P594">
        <v>4.6278015615996435E-3</v>
      </c>
      <c r="Q594" t="s">
        <v>154</v>
      </c>
      <c r="S594" t="s">
        <v>255</v>
      </c>
      <c r="T594" t="s">
        <v>283</v>
      </c>
      <c r="U594">
        <v>5.066454218276323E-3</v>
      </c>
      <c r="V594" t="s">
        <v>154</v>
      </c>
    </row>
    <row r="595" spans="9:22" x14ac:dyDescent="0.25">
      <c r="I595" t="s">
        <v>194</v>
      </c>
      <c r="J595" t="s">
        <v>284</v>
      </c>
      <c r="K595">
        <v>0</v>
      </c>
      <c r="L595" t="s">
        <v>154</v>
      </c>
      <c r="N595" t="s">
        <v>224</v>
      </c>
      <c r="O595" t="s">
        <v>284</v>
      </c>
      <c r="P595">
        <v>2.2609275688441437E-2</v>
      </c>
      <c r="Q595" t="s">
        <v>154</v>
      </c>
      <c r="S595" t="s">
        <v>255</v>
      </c>
      <c r="T595" t="s">
        <v>284</v>
      </c>
      <c r="U595">
        <v>2.3342699584273065E-2</v>
      </c>
      <c r="V595" t="s">
        <v>154</v>
      </c>
    </row>
    <row r="596" spans="9:22" x14ac:dyDescent="0.25">
      <c r="I596" t="s">
        <v>194</v>
      </c>
      <c r="J596" t="s">
        <v>157</v>
      </c>
      <c r="K596">
        <v>0.10181510424552109</v>
      </c>
      <c r="L596" t="s">
        <v>154</v>
      </c>
      <c r="N596" t="s">
        <v>224</v>
      </c>
      <c r="O596" t="s">
        <v>157</v>
      </c>
      <c r="P596">
        <v>0.23209922335057701</v>
      </c>
      <c r="Q596" t="s">
        <v>154</v>
      </c>
      <c r="S596" t="s">
        <v>255</v>
      </c>
      <c r="T596" t="s">
        <v>157</v>
      </c>
      <c r="U596">
        <v>0.25934227716751379</v>
      </c>
      <c r="V596" t="s">
        <v>154</v>
      </c>
    </row>
    <row r="597" spans="9:22" x14ac:dyDescent="0.25">
      <c r="I597" t="s">
        <v>194</v>
      </c>
      <c r="J597" t="s">
        <v>158</v>
      </c>
      <c r="K597">
        <v>0.61714717268533015</v>
      </c>
      <c r="L597" t="s">
        <v>154</v>
      </c>
      <c r="N597" t="s">
        <v>224</v>
      </c>
      <c r="O597" t="s">
        <v>158</v>
      </c>
      <c r="P597">
        <v>0.23848452474741544</v>
      </c>
      <c r="Q597" t="s">
        <v>154</v>
      </c>
      <c r="S597" t="s">
        <v>255</v>
      </c>
      <c r="T597" t="s">
        <v>158</v>
      </c>
      <c r="U597">
        <v>0.21750905420274658</v>
      </c>
      <c r="V597" t="s">
        <v>154</v>
      </c>
    </row>
    <row r="598" spans="9:22" x14ac:dyDescent="0.25">
      <c r="I598" t="s">
        <v>194</v>
      </c>
      <c r="J598" t="s">
        <v>159</v>
      </c>
      <c r="K598">
        <v>4.2957343063116694E-2</v>
      </c>
      <c r="L598" t="s">
        <v>154</v>
      </c>
      <c r="N598" t="s">
        <v>224</v>
      </c>
      <c r="O598" t="s">
        <v>159</v>
      </c>
      <c r="P598">
        <v>2.8182357563677707E-2</v>
      </c>
      <c r="Q598" t="s">
        <v>154</v>
      </c>
      <c r="S598" t="s">
        <v>255</v>
      </c>
      <c r="T598" t="s">
        <v>159</v>
      </c>
      <c r="U598">
        <v>2.8861067775286988E-2</v>
      </c>
      <c r="V598" t="s">
        <v>154</v>
      </c>
    </row>
    <row r="599" spans="9:22" x14ac:dyDescent="0.25">
      <c r="I599" t="s">
        <v>194</v>
      </c>
      <c r="J599" t="s">
        <v>285</v>
      </c>
      <c r="K599">
        <v>1.9222789936270253E-2</v>
      </c>
      <c r="L599" t="s">
        <v>154</v>
      </c>
      <c r="N599" t="s">
        <v>224</v>
      </c>
      <c r="O599" t="s">
        <v>285</v>
      </c>
      <c r="P599">
        <v>2.7409239218668183E-2</v>
      </c>
      <c r="Q599" t="s">
        <v>154</v>
      </c>
      <c r="S599" t="s">
        <v>255</v>
      </c>
      <c r="T599" t="s">
        <v>285</v>
      </c>
      <c r="U599">
        <v>2.9020421467454829E-2</v>
      </c>
      <c r="V599" t="s">
        <v>154</v>
      </c>
    </row>
    <row r="600" spans="9:22" x14ac:dyDescent="0.25">
      <c r="I600" t="s">
        <v>194</v>
      </c>
      <c r="J600" t="s">
        <v>286</v>
      </c>
      <c r="K600">
        <v>3.0018441088996853E-3</v>
      </c>
      <c r="L600" t="s">
        <v>154</v>
      </c>
      <c r="N600" t="s">
        <v>224</v>
      </c>
      <c r="O600" t="s">
        <v>286</v>
      </c>
      <c r="P600">
        <v>0.12844923472494454</v>
      </c>
      <c r="Q600" t="s">
        <v>154</v>
      </c>
      <c r="S600" t="s">
        <v>255</v>
      </c>
      <c r="T600" t="s">
        <v>286</v>
      </c>
      <c r="U600">
        <v>0.13693920118711098</v>
      </c>
      <c r="V600" t="s">
        <v>154</v>
      </c>
    </row>
    <row r="601" spans="9:22" x14ac:dyDescent="0.25">
      <c r="I601" t="s">
        <v>194</v>
      </c>
      <c r="J601" t="s">
        <v>160</v>
      </c>
      <c r="K601">
        <v>7.20379423380672E-3</v>
      </c>
      <c r="L601" t="s">
        <v>154</v>
      </c>
      <c r="N601" t="s">
        <v>224</v>
      </c>
      <c r="O601" t="s">
        <v>160</v>
      </c>
      <c r="P601">
        <v>2.6972451304163769E-2</v>
      </c>
      <c r="Q601" t="s">
        <v>154</v>
      </c>
      <c r="S601" t="s">
        <v>255</v>
      </c>
      <c r="T601" t="s">
        <v>160</v>
      </c>
      <c r="U601">
        <v>2.7229356091667559E-2</v>
      </c>
      <c r="V601" t="s">
        <v>154</v>
      </c>
    </row>
    <row r="602" spans="9:22" x14ac:dyDescent="0.25">
      <c r="I602" t="s">
        <v>194</v>
      </c>
      <c r="J602" t="s">
        <v>161</v>
      </c>
      <c r="K602">
        <v>5.6062723645457335E-2</v>
      </c>
      <c r="L602" t="s">
        <v>154</v>
      </c>
      <c r="N602" t="s">
        <v>224</v>
      </c>
      <c r="O602" t="s">
        <v>161</v>
      </c>
      <c r="P602">
        <v>2.7584069118967401E-2</v>
      </c>
      <c r="Q602" t="s">
        <v>154</v>
      </c>
      <c r="S602" t="s">
        <v>255</v>
      </c>
      <c r="T602" t="s">
        <v>161</v>
      </c>
      <c r="U602">
        <v>2.3599731021584382E-2</v>
      </c>
      <c r="V602" t="s">
        <v>154</v>
      </c>
    </row>
    <row r="603" spans="9:22" x14ac:dyDescent="0.25">
      <c r="I603" t="s">
        <v>194</v>
      </c>
      <c r="J603" t="s">
        <v>162</v>
      </c>
      <c r="K603">
        <v>4.7218989746558896E-4</v>
      </c>
      <c r="L603" t="s">
        <v>154</v>
      </c>
      <c r="N603" t="s">
        <v>224</v>
      </c>
      <c r="O603" t="s">
        <v>162</v>
      </c>
      <c r="P603">
        <v>3.4410297476940824E-3</v>
      </c>
      <c r="Q603" t="s">
        <v>154</v>
      </c>
      <c r="S603" t="s">
        <v>255</v>
      </c>
      <c r="T603" t="s">
        <v>162</v>
      </c>
      <c r="U603">
        <v>3.1810106063449536E-3</v>
      </c>
      <c r="V603" t="s">
        <v>154</v>
      </c>
    </row>
    <row r="604" spans="9:22" x14ac:dyDescent="0.25">
      <c r="I604" t="s">
        <v>194</v>
      </c>
      <c r="J604" t="s">
        <v>287</v>
      </c>
      <c r="K604">
        <v>0</v>
      </c>
      <c r="L604" t="s">
        <v>154</v>
      </c>
      <c r="N604" t="s">
        <v>224</v>
      </c>
      <c r="O604" t="s">
        <v>287</v>
      </c>
      <c r="P604">
        <v>3.3980291041613439E-3</v>
      </c>
      <c r="Q604" t="s">
        <v>154</v>
      </c>
      <c r="S604" t="s">
        <v>255</v>
      </c>
      <c r="T604" t="s">
        <v>287</v>
      </c>
      <c r="U604">
        <v>3.2039841432827875E-3</v>
      </c>
      <c r="V604" t="s">
        <v>154</v>
      </c>
    </row>
    <row r="605" spans="9:22" x14ac:dyDescent="0.25">
      <c r="I605" t="s">
        <v>194</v>
      </c>
      <c r="J605" t="s">
        <v>288</v>
      </c>
      <c r="K605">
        <v>0</v>
      </c>
      <c r="L605" t="s">
        <v>154</v>
      </c>
      <c r="N605" t="s">
        <v>224</v>
      </c>
      <c r="O605" t="s">
        <v>288</v>
      </c>
      <c r="P605">
        <v>1.6632275997848764E-2</v>
      </c>
      <c r="Q605" t="s">
        <v>154</v>
      </c>
      <c r="S605" t="s">
        <v>255</v>
      </c>
      <c r="T605" t="s">
        <v>288</v>
      </c>
      <c r="U605">
        <v>1.5380084414609438E-2</v>
      </c>
      <c r="V605" t="s">
        <v>154</v>
      </c>
    </row>
    <row r="606" spans="9:22" x14ac:dyDescent="0.25">
      <c r="I606" t="s">
        <v>194</v>
      </c>
      <c r="J606" t="s">
        <v>163</v>
      </c>
      <c r="K606">
        <v>4.3425640474921623E-3</v>
      </c>
      <c r="L606" t="s">
        <v>154</v>
      </c>
      <c r="N606" t="s">
        <v>224</v>
      </c>
      <c r="O606" t="s">
        <v>163</v>
      </c>
      <c r="P606">
        <v>5.3721228203536524E-2</v>
      </c>
      <c r="Q606" t="s">
        <v>154</v>
      </c>
      <c r="S606" t="s">
        <v>255</v>
      </c>
      <c r="T606" t="s">
        <v>163</v>
      </c>
      <c r="U606">
        <v>5.5659310278953253E-2</v>
      </c>
      <c r="V606" t="s">
        <v>154</v>
      </c>
    </row>
    <row r="607" spans="9:22" x14ac:dyDescent="0.25">
      <c r="I607" t="s">
        <v>194</v>
      </c>
      <c r="J607" t="s">
        <v>164</v>
      </c>
      <c r="K607">
        <v>6.1762597583223292E-2</v>
      </c>
      <c r="L607" t="s">
        <v>154</v>
      </c>
      <c r="N607" t="s">
        <v>224</v>
      </c>
      <c r="O607" t="s">
        <v>164</v>
      </c>
      <c r="P607">
        <v>5.1714182418428713E-2</v>
      </c>
      <c r="Q607" t="s">
        <v>154</v>
      </c>
      <c r="S607" t="s">
        <v>255</v>
      </c>
      <c r="T607" t="s">
        <v>164</v>
      </c>
      <c r="U607">
        <v>5.267178975345635E-2</v>
      </c>
      <c r="V607" t="s">
        <v>154</v>
      </c>
    </row>
    <row r="608" spans="9:22" x14ac:dyDescent="0.25">
      <c r="I608" t="s">
        <v>194</v>
      </c>
      <c r="J608" t="s">
        <v>165</v>
      </c>
      <c r="K608">
        <v>0</v>
      </c>
      <c r="L608" t="s">
        <v>154</v>
      </c>
      <c r="N608" t="s">
        <v>224</v>
      </c>
      <c r="O608" t="s">
        <v>165</v>
      </c>
      <c r="P608">
        <v>6.1920346206457751E-3</v>
      </c>
      <c r="Q608" t="s">
        <v>154</v>
      </c>
      <c r="S608" t="s">
        <v>255</v>
      </c>
      <c r="T608" t="s">
        <v>165</v>
      </c>
      <c r="U608">
        <v>6.4473890288395935E-3</v>
      </c>
      <c r="V608" t="s">
        <v>154</v>
      </c>
    </row>
    <row r="609" spans="9:22" x14ac:dyDescent="0.25">
      <c r="I609" t="s">
        <v>194</v>
      </c>
      <c r="J609" t="s">
        <v>289</v>
      </c>
      <c r="K609">
        <v>0</v>
      </c>
      <c r="L609" t="s">
        <v>154</v>
      </c>
      <c r="N609" t="s">
        <v>224</v>
      </c>
      <c r="O609" t="s">
        <v>289</v>
      </c>
      <c r="P609">
        <v>6.164807460849007E-3</v>
      </c>
      <c r="Q609" t="s">
        <v>154</v>
      </c>
      <c r="S609" t="s">
        <v>255</v>
      </c>
      <c r="T609" t="s">
        <v>289</v>
      </c>
      <c r="U609">
        <v>6.347921708875064E-3</v>
      </c>
      <c r="V609" t="s">
        <v>154</v>
      </c>
    </row>
    <row r="610" spans="9:22" x14ac:dyDescent="0.25">
      <c r="I610" t="s">
        <v>194</v>
      </c>
      <c r="J610" t="s">
        <v>290</v>
      </c>
      <c r="K610">
        <v>0</v>
      </c>
      <c r="L610" t="s">
        <v>154</v>
      </c>
      <c r="N610" t="s">
        <v>224</v>
      </c>
      <c r="O610" t="s">
        <v>290</v>
      </c>
      <c r="P610">
        <v>3.088672959584678E-2</v>
      </c>
      <c r="Q610" t="s">
        <v>154</v>
      </c>
      <c r="S610" t="s">
        <v>255</v>
      </c>
      <c r="T610" t="s">
        <v>290</v>
      </c>
      <c r="U610">
        <v>2.8697295335788835E-2</v>
      </c>
      <c r="V610" t="s">
        <v>154</v>
      </c>
    </row>
    <row r="611" spans="9:22" x14ac:dyDescent="0.25">
      <c r="N611" t="s">
        <v>225</v>
      </c>
      <c r="O611" t="s">
        <v>153</v>
      </c>
      <c r="P611">
        <v>4.9344277439202978E-2</v>
      </c>
      <c r="Q611" t="s">
        <v>154</v>
      </c>
      <c r="S611" t="s">
        <v>256</v>
      </c>
      <c r="T611" t="s">
        <v>153</v>
      </c>
      <c r="U611">
        <v>4.6200671344486112E-2</v>
      </c>
      <c r="V611" t="s">
        <v>154</v>
      </c>
    </row>
    <row r="612" spans="9:22" x14ac:dyDescent="0.25">
      <c r="N612" t="s">
        <v>225</v>
      </c>
      <c r="O612" t="s">
        <v>155</v>
      </c>
      <c r="P612">
        <v>4.6132163925392516E-2</v>
      </c>
      <c r="Q612" t="s">
        <v>154</v>
      </c>
      <c r="S612" t="s">
        <v>256</v>
      </c>
      <c r="T612" t="s">
        <v>155</v>
      </c>
      <c r="U612">
        <v>3.7184340334552535E-2</v>
      </c>
      <c r="V612" t="s">
        <v>154</v>
      </c>
    </row>
    <row r="613" spans="9:22" x14ac:dyDescent="0.25">
      <c r="N613" t="s">
        <v>225</v>
      </c>
      <c r="O613" t="s">
        <v>156</v>
      </c>
      <c r="P613">
        <v>5.1294311235314865E-3</v>
      </c>
      <c r="Q613" t="s">
        <v>154</v>
      </c>
      <c r="S613" t="s">
        <v>256</v>
      </c>
      <c r="T613" t="s">
        <v>156</v>
      </c>
      <c r="U613">
        <v>5.1488787637752774E-3</v>
      </c>
      <c r="V613" t="s">
        <v>154</v>
      </c>
    </row>
    <row r="614" spans="9:22" x14ac:dyDescent="0.25">
      <c r="N614" t="s">
        <v>225</v>
      </c>
      <c r="O614" t="s">
        <v>283</v>
      </c>
      <c r="P614">
        <v>4.9273605710977268E-3</v>
      </c>
      <c r="Q614" t="s">
        <v>154</v>
      </c>
      <c r="S614" t="s">
        <v>256</v>
      </c>
      <c r="T614" t="s">
        <v>283</v>
      </c>
      <c r="U614">
        <v>5.2300622706780691E-3</v>
      </c>
      <c r="V614" t="s">
        <v>154</v>
      </c>
    </row>
    <row r="615" spans="9:22" x14ac:dyDescent="0.25">
      <c r="N615" t="s">
        <v>225</v>
      </c>
      <c r="O615" t="s">
        <v>284</v>
      </c>
      <c r="P615">
        <v>2.3779368574518112E-2</v>
      </c>
      <c r="Q615" t="s">
        <v>154</v>
      </c>
      <c r="S615" t="s">
        <v>256</v>
      </c>
      <c r="T615" t="s">
        <v>284</v>
      </c>
      <c r="U615">
        <v>2.5742002527043936E-2</v>
      </c>
      <c r="V615" t="s">
        <v>154</v>
      </c>
    </row>
    <row r="616" spans="9:22" x14ac:dyDescent="0.25">
      <c r="N616" t="s">
        <v>225</v>
      </c>
      <c r="O616" t="s">
        <v>157</v>
      </c>
      <c r="P616">
        <v>0.2296305322335781</v>
      </c>
      <c r="Q616" t="s">
        <v>154</v>
      </c>
      <c r="S616" t="s">
        <v>256</v>
      </c>
      <c r="T616" t="s">
        <v>157</v>
      </c>
      <c r="U616">
        <v>0.24418250595741167</v>
      </c>
      <c r="V616" t="s">
        <v>154</v>
      </c>
    </row>
    <row r="617" spans="9:22" x14ac:dyDescent="0.25">
      <c r="N617" t="s">
        <v>225</v>
      </c>
      <c r="O617" t="s">
        <v>158</v>
      </c>
      <c r="P617">
        <v>0.22594242733670133</v>
      </c>
      <c r="Q617" t="s">
        <v>154</v>
      </c>
      <c r="S617" t="s">
        <v>256</v>
      </c>
      <c r="T617" t="s">
        <v>158</v>
      </c>
      <c r="U617">
        <v>0.21805766968170059</v>
      </c>
      <c r="V617" t="s">
        <v>154</v>
      </c>
    </row>
    <row r="618" spans="9:22" x14ac:dyDescent="0.25">
      <c r="N618" t="s">
        <v>225</v>
      </c>
      <c r="O618" t="s">
        <v>159</v>
      </c>
      <c r="P618">
        <v>2.9639089659081859E-2</v>
      </c>
      <c r="Q618" t="s">
        <v>154</v>
      </c>
      <c r="S618" t="s">
        <v>256</v>
      </c>
      <c r="T618" t="s">
        <v>159</v>
      </c>
      <c r="U618">
        <v>2.7153010888037187E-2</v>
      </c>
      <c r="V618" t="s">
        <v>154</v>
      </c>
    </row>
    <row r="619" spans="9:22" x14ac:dyDescent="0.25">
      <c r="N619" t="s">
        <v>225</v>
      </c>
      <c r="O619" t="s">
        <v>285</v>
      </c>
      <c r="P619">
        <v>2.9483026448850053E-2</v>
      </c>
      <c r="Q619" t="s">
        <v>154</v>
      </c>
      <c r="S619" t="s">
        <v>256</v>
      </c>
      <c r="T619" t="s">
        <v>285</v>
      </c>
      <c r="U619">
        <v>2.6801278988528607E-2</v>
      </c>
      <c r="V619" t="s">
        <v>154</v>
      </c>
    </row>
    <row r="620" spans="9:22" x14ac:dyDescent="0.25">
      <c r="N620" t="s">
        <v>225</v>
      </c>
      <c r="O620" t="s">
        <v>286</v>
      </c>
      <c r="P620">
        <v>0.13374423490827764</v>
      </c>
      <c r="Q620" t="s">
        <v>154</v>
      </c>
      <c r="S620" t="s">
        <v>256</v>
      </c>
      <c r="T620" t="s">
        <v>286</v>
      </c>
      <c r="U620">
        <v>0.12830222295877602</v>
      </c>
      <c r="V620" t="s">
        <v>154</v>
      </c>
    </row>
    <row r="621" spans="9:22" x14ac:dyDescent="0.25">
      <c r="N621" t="s">
        <v>225</v>
      </c>
      <c r="O621" t="s">
        <v>160</v>
      </c>
      <c r="P621">
        <v>3.1815983037211809E-2</v>
      </c>
      <c r="Q621" t="s">
        <v>154</v>
      </c>
      <c r="S621" t="s">
        <v>256</v>
      </c>
      <c r="T621" t="s">
        <v>160</v>
      </c>
      <c r="U621">
        <v>2.7688020914054361E-2</v>
      </c>
      <c r="V621" t="s">
        <v>154</v>
      </c>
    </row>
    <row r="622" spans="9:22" x14ac:dyDescent="0.25">
      <c r="N622" t="s">
        <v>225</v>
      </c>
      <c r="O622" t="s">
        <v>161</v>
      </c>
      <c r="P622">
        <v>2.4838074768013096E-2</v>
      </c>
      <c r="Q622" t="s">
        <v>154</v>
      </c>
      <c r="S622" t="s">
        <v>256</v>
      </c>
      <c r="T622" t="s">
        <v>161</v>
      </c>
      <c r="U622">
        <v>2.7432645650338084E-2</v>
      </c>
      <c r="V622" t="s">
        <v>154</v>
      </c>
    </row>
    <row r="623" spans="9:22" x14ac:dyDescent="0.25">
      <c r="N623" t="s">
        <v>225</v>
      </c>
      <c r="O623" t="s">
        <v>162</v>
      </c>
      <c r="P623">
        <v>3.009537215817335E-3</v>
      </c>
      <c r="Q623" t="s">
        <v>154</v>
      </c>
      <c r="S623" t="s">
        <v>256</v>
      </c>
      <c r="T623" t="s">
        <v>162</v>
      </c>
      <c r="U623">
        <v>3.6072863900965899E-3</v>
      </c>
      <c r="V623" t="s">
        <v>154</v>
      </c>
    </row>
    <row r="624" spans="9:22" x14ac:dyDescent="0.25">
      <c r="N624" t="s">
        <v>225</v>
      </c>
      <c r="O624" t="s">
        <v>287</v>
      </c>
      <c r="P624">
        <v>3.0091299983112598E-3</v>
      </c>
      <c r="Q624" t="s">
        <v>154</v>
      </c>
      <c r="S624" t="s">
        <v>256</v>
      </c>
      <c r="T624" t="s">
        <v>287</v>
      </c>
      <c r="U624">
        <v>3.6555108890133636E-3</v>
      </c>
      <c r="V624" t="s">
        <v>154</v>
      </c>
    </row>
    <row r="625" spans="14:22" x14ac:dyDescent="0.25">
      <c r="N625" t="s">
        <v>225</v>
      </c>
      <c r="O625" t="s">
        <v>288</v>
      </c>
      <c r="P625">
        <v>1.557594493474092E-2</v>
      </c>
      <c r="Q625" t="s">
        <v>154</v>
      </c>
      <c r="S625" t="s">
        <v>256</v>
      </c>
      <c r="T625" t="s">
        <v>288</v>
      </c>
      <c r="U625">
        <v>1.7449657961411548E-2</v>
      </c>
      <c r="V625" t="s">
        <v>154</v>
      </c>
    </row>
    <row r="626" spans="14:22" x14ac:dyDescent="0.25">
      <c r="N626" t="s">
        <v>225</v>
      </c>
      <c r="O626" t="s">
        <v>163</v>
      </c>
      <c r="P626">
        <v>5.3410405546682291E-2</v>
      </c>
      <c r="Q626" t="s">
        <v>154</v>
      </c>
      <c r="S626" t="s">
        <v>256</v>
      </c>
      <c r="T626" t="s">
        <v>163</v>
      </c>
      <c r="U626">
        <v>5.7193174636036327E-2</v>
      </c>
      <c r="V626" t="s">
        <v>154</v>
      </c>
    </row>
    <row r="627" spans="14:22" x14ac:dyDescent="0.25">
      <c r="N627" t="s">
        <v>225</v>
      </c>
      <c r="O627" t="s">
        <v>164</v>
      </c>
      <c r="P627">
        <v>4.9300403086151925E-2</v>
      </c>
      <c r="Q627" t="s">
        <v>154</v>
      </c>
      <c r="S627" t="s">
        <v>256</v>
      </c>
      <c r="T627" t="s">
        <v>164</v>
      </c>
      <c r="U627">
        <v>5.4517037546128341E-2</v>
      </c>
      <c r="V627" t="s">
        <v>154</v>
      </c>
    </row>
    <row r="628" spans="14:22" x14ac:dyDescent="0.25">
      <c r="N628" t="s">
        <v>225</v>
      </c>
      <c r="O628" t="s">
        <v>165</v>
      </c>
      <c r="P628">
        <v>5.967050837032222E-3</v>
      </c>
      <c r="Q628" t="s">
        <v>154</v>
      </c>
      <c r="S628" t="s">
        <v>256</v>
      </c>
      <c r="T628" t="s">
        <v>165</v>
      </c>
      <c r="U628">
        <v>6.6797493607863769E-3</v>
      </c>
      <c r="V628" t="s">
        <v>154</v>
      </c>
    </row>
    <row r="629" spans="14:22" x14ac:dyDescent="0.25">
      <c r="N629" t="s">
        <v>225</v>
      </c>
      <c r="O629" t="s">
        <v>289</v>
      </c>
      <c r="P629">
        <v>6.1063065434923836E-3</v>
      </c>
      <c r="Q629" t="s">
        <v>154</v>
      </c>
      <c r="S629" t="s">
        <v>256</v>
      </c>
      <c r="T629" t="s">
        <v>289</v>
      </c>
      <c r="U629">
        <v>6.6184872797986367E-3</v>
      </c>
      <c r="V629" t="s">
        <v>154</v>
      </c>
    </row>
    <row r="630" spans="14:22" x14ac:dyDescent="0.25">
      <c r="N630" t="s">
        <v>225</v>
      </c>
      <c r="O630" t="s">
        <v>290</v>
      </c>
      <c r="P630">
        <v>2.9215251812317218E-2</v>
      </c>
      <c r="Q630" t="s">
        <v>154</v>
      </c>
      <c r="S630" t="s">
        <v>256</v>
      </c>
      <c r="T630" t="s">
        <v>290</v>
      </c>
      <c r="U630">
        <v>3.1155785657350055E-2</v>
      </c>
      <c r="V630" t="s">
        <v>154</v>
      </c>
    </row>
    <row r="631" spans="14:22" x14ac:dyDescent="0.25">
      <c r="S631" t="s">
        <v>257</v>
      </c>
      <c r="T631" t="s">
        <v>153</v>
      </c>
      <c r="U631">
        <v>5.5744867940890279E-2</v>
      </c>
      <c r="V631" t="s">
        <v>154</v>
      </c>
    </row>
    <row r="632" spans="14:22" x14ac:dyDescent="0.25">
      <c r="S632" t="s">
        <v>257</v>
      </c>
      <c r="T632" t="s">
        <v>155</v>
      </c>
      <c r="U632">
        <v>4.1954372551293841E-2</v>
      </c>
      <c r="V632" t="s">
        <v>154</v>
      </c>
    </row>
    <row r="633" spans="14:22" x14ac:dyDescent="0.25">
      <c r="S633" t="s">
        <v>257</v>
      </c>
      <c r="T633" t="s">
        <v>156</v>
      </c>
      <c r="U633">
        <v>5.4517087734589614E-3</v>
      </c>
      <c r="V633" t="s">
        <v>154</v>
      </c>
    </row>
    <row r="634" spans="14:22" x14ac:dyDescent="0.25">
      <c r="S634" t="s">
        <v>257</v>
      </c>
      <c r="T634" t="s">
        <v>283</v>
      </c>
      <c r="U634">
        <v>5.584246464873082E-3</v>
      </c>
      <c r="V634" t="s">
        <v>154</v>
      </c>
    </row>
    <row r="635" spans="14:22" x14ac:dyDescent="0.25">
      <c r="S635" t="s">
        <v>257</v>
      </c>
      <c r="T635" t="s">
        <v>284</v>
      </c>
      <c r="U635">
        <v>2.9644753168751762E-2</v>
      </c>
      <c r="V635" t="s">
        <v>154</v>
      </c>
    </row>
    <row r="636" spans="14:22" x14ac:dyDescent="0.25">
      <c r="S636" t="s">
        <v>257</v>
      </c>
      <c r="T636" t="s">
        <v>157</v>
      </c>
      <c r="U636">
        <v>0.24198628533712527</v>
      </c>
      <c r="V636" t="s">
        <v>154</v>
      </c>
    </row>
    <row r="637" spans="14:22" x14ac:dyDescent="0.25">
      <c r="S637" t="s">
        <v>257</v>
      </c>
      <c r="T637" t="s">
        <v>158</v>
      </c>
      <c r="U637">
        <v>0.20545899391643752</v>
      </c>
      <c r="V637" t="s">
        <v>154</v>
      </c>
    </row>
    <row r="638" spans="14:22" x14ac:dyDescent="0.25">
      <c r="S638" t="s">
        <v>257</v>
      </c>
      <c r="T638" t="s">
        <v>159</v>
      </c>
      <c r="U638">
        <v>2.628782615737553E-2</v>
      </c>
      <c r="V638" t="s">
        <v>154</v>
      </c>
    </row>
    <row r="639" spans="14:22" x14ac:dyDescent="0.25">
      <c r="S639" t="s">
        <v>257</v>
      </c>
      <c r="T639" t="s">
        <v>285</v>
      </c>
      <c r="U639">
        <v>2.6615477031091607E-2</v>
      </c>
      <c r="V639" t="s">
        <v>154</v>
      </c>
    </row>
    <row r="640" spans="14:22" x14ac:dyDescent="0.25">
      <c r="S640" t="s">
        <v>257</v>
      </c>
      <c r="T640" t="s">
        <v>286</v>
      </c>
      <c r="U640">
        <v>0.12380614108844683</v>
      </c>
      <c r="V640" t="s">
        <v>154</v>
      </c>
    </row>
    <row r="641" spans="19:22" x14ac:dyDescent="0.25">
      <c r="S641" t="s">
        <v>257</v>
      </c>
      <c r="T641" t="s">
        <v>160</v>
      </c>
      <c r="U641">
        <v>2.6923559065582539E-2</v>
      </c>
      <c r="V641" t="s">
        <v>154</v>
      </c>
    </row>
    <row r="642" spans="19:22" x14ac:dyDescent="0.25">
      <c r="S642" t="s">
        <v>257</v>
      </c>
      <c r="T642" t="s">
        <v>161</v>
      </c>
      <c r="U642">
        <v>2.4058836827821988E-2</v>
      </c>
      <c r="V642" t="s">
        <v>154</v>
      </c>
    </row>
    <row r="643" spans="19:22" x14ac:dyDescent="0.25">
      <c r="S643" t="s">
        <v>257</v>
      </c>
      <c r="T643" t="s">
        <v>162</v>
      </c>
      <c r="U643">
        <v>3.5286314047332248E-3</v>
      </c>
      <c r="V643" t="s">
        <v>154</v>
      </c>
    </row>
    <row r="644" spans="19:22" x14ac:dyDescent="0.25">
      <c r="S644" t="s">
        <v>257</v>
      </c>
      <c r="T644" t="s">
        <v>287</v>
      </c>
      <c r="U644">
        <v>3.5746880785742525E-3</v>
      </c>
      <c r="V644" t="s">
        <v>154</v>
      </c>
    </row>
    <row r="645" spans="19:22" x14ac:dyDescent="0.25">
      <c r="S645" t="s">
        <v>257</v>
      </c>
      <c r="T645" t="s">
        <v>288</v>
      </c>
      <c r="U645">
        <v>1.7773642518707774E-2</v>
      </c>
      <c r="V645" t="s">
        <v>154</v>
      </c>
    </row>
    <row r="646" spans="19:22" x14ac:dyDescent="0.25">
      <c r="S646" t="s">
        <v>257</v>
      </c>
      <c r="T646" t="s">
        <v>163</v>
      </c>
      <c r="U646">
        <v>5.6506785378847145E-2</v>
      </c>
      <c r="V646" t="s">
        <v>154</v>
      </c>
    </row>
    <row r="647" spans="19:22" x14ac:dyDescent="0.25">
      <c r="S647" t="s">
        <v>257</v>
      </c>
      <c r="T647" t="s">
        <v>164</v>
      </c>
      <c r="U647">
        <v>5.6306849891113002E-2</v>
      </c>
      <c r="V647" t="s">
        <v>154</v>
      </c>
    </row>
    <row r="648" spans="19:22" x14ac:dyDescent="0.25">
      <c r="S648" t="s">
        <v>257</v>
      </c>
      <c r="T648" t="s">
        <v>165</v>
      </c>
      <c r="U648">
        <v>7.5206501302826296E-3</v>
      </c>
      <c r="V648" t="s">
        <v>154</v>
      </c>
    </row>
    <row r="649" spans="19:22" x14ac:dyDescent="0.25">
      <c r="S649" t="s">
        <v>257</v>
      </c>
      <c r="T649" t="s">
        <v>289</v>
      </c>
      <c r="U649">
        <v>7.4000052081857719E-3</v>
      </c>
      <c r="V649" t="s">
        <v>154</v>
      </c>
    </row>
    <row r="650" spans="19:22" x14ac:dyDescent="0.25">
      <c r="S650" t="s">
        <v>257</v>
      </c>
      <c r="T650" t="s">
        <v>290</v>
      </c>
      <c r="U650">
        <v>3.3871679066408568E-2</v>
      </c>
      <c r="V650" t="s">
        <v>154</v>
      </c>
    </row>
    <row r="651" spans="19:22" x14ac:dyDescent="0.25">
      <c r="S651" t="s">
        <v>258</v>
      </c>
      <c r="T651" t="s">
        <v>153</v>
      </c>
      <c r="U651">
        <v>4.9951724790886172E-2</v>
      </c>
      <c r="V651" t="s">
        <v>154</v>
      </c>
    </row>
    <row r="652" spans="19:22" x14ac:dyDescent="0.25">
      <c r="S652" t="s">
        <v>258</v>
      </c>
      <c r="T652" t="s">
        <v>155</v>
      </c>
      <c r="U652">
        <v>3.9317853625548405E-2</v>
      </c>
      <c r="V652" t="s">
        <v>154</v>
      </c>
    </row>
    <row r="653" spans="19:22" x14ac:dyDescent="0.25">
      <c r="S653" t="s">
        <v>258</v>
      </c>
      <c r="T653" t="s">
        <v>156</v>
      </c>
      <c r="U653">
        <v>5.7231097977137281E-3</v>
      </c>
      <c r="V653" t="s">
        <v>154</v>
      </c>
    </row>
    <row r="654" spans="19:22" x14ac:dyDescent="0.25">
      <c r="S654" t="s">
        <v>258</v>
      </c>
      <c r="T654" t="s">
        <v>283</v>
      </c>
      <c r="U654">
        <v>5.8745882357382935E-3</v>
      </c>
      <c r="V654" t="s">
        <v>154</v>
      </c>
    </row>
    <row r="655" spans="19:22" x14ac:dyDescent="0.25">
      <c r="S655" t="s">
        <v>258</v>
      </c>
      <c r="T655" t="s">
        <v>284</v>
      </c>
      <c r="U655">
        <v>2.9552251694521962E-2</v>
      </c>
      <c r="V655" t="s">
        <v>154</v>
      </c>
    </row>
    <row r="656" spans="19:22" x14ac:dyDescent="0.25">
      <c r="S656" t="s">
        <v>258</v>
      </c>
      <c r="T656" t="s">
        <v>157</v>
      </c>
      <c r="U656">
        <v>0.23734473108663798</v>
      </c>
      <c r="V656" t="s">
        <v>154</v>
      </c>
    </row>
    <row r="657" spans="19:22" x14ac:dyDescent="0.25">
      <c r="S657" t="s">
        <v>258</v>
      </c>
      <c r="T657" t="s">
        <v>158</v>
      </c>
      <c r="U657">
        <v>0.20821446561618137</v>
      </c>
      <c r="V657" t="s">
        <v>154</v>
      </c>
    </row>
    <row r="658" spans="19:22" x14ac:dyDescent="0.25">
      <c r="S658" t="s">
        <v>258</v>
      </c>
      <c r="T658" t="s">
        <v>159</v>
      </c>
      <c r="U658">
        <v>2.7002123462817409E-2</v>
      </c>
      <c r="V658" t="s">
        <v>154</v>
      </c>
    </row>
    <row r="659" spans="19:22" x14ac:dyDescent="0.25">
      <c r="S659" t="s">
        <v>258</v>
      </c>
      <c r="T659" t="s">
        <v>285</v>
      </c>
      <c r="U659">
        <v>2.7059740820597058E-2</v>
      </c>
      <c r="V659" t="s">
        <v>154</v>
      </c>
    </row>
    <row r="660" spans="19:22" x14ac:dyDescent="0.25">
      <c r="S660" t="s">
        <v>258</v>
      </c>
      <c r="T660" t="s">
        <v>286</v>
      </c>
      <c r="U660">
        <v>0.12547666536998922</v>
      </c>
      <c r="V660" t="s">
        <v>154</v>
      </c>
    </row>
    <row r="661" spans="19:22" x14ac:dyDescent="0.25">
      <c r="S661" t="s">
        <v>258</v>
      </c>
      <c r="T661" t="s">
        <v>160</v>
      </c>
      <c r="U661">
        <v>2.7593369997028275E-2</v>
      </c>
      <c r="V661" t="s">
        <v>154</v>
      </c>
    </row>
    <row r="662" spans="19:22" x14ac:dyDescent="0.25">
      <c r="S662" t="s">
        <v>258</v>
      </c>
      <c r="T662" t="s">
        <v>161</v>
      </c>
      <c r="U662">
        <v>2.5342423732075976E-2</v>
      </c>
      <c r="V662" t="s">
        <v>154</v>
      </c>
    </row>
    <row r="663" spans="19:22" x14ac:dyDescent="0.25">
      <c r="S663" t="s">
        <v>258</v>
      </c>
      <c r="T663" t="s">
        <v>162</v>
      </c>
      <c r="U663">
        <v>3.4396126344657615E-3</v>
      </c>
      <c r="V663" t="s">
        <v>154</v>
      </c>
    </row>
    <row r="664" spans="19:22" x14ac:dyDescent="0.25">
      <c r="S664" t="s">
        <v>258</v>
      </c>
      <c r="T664" t="s">
        <v>287</v>
      </c>
      <c r="U664">
        <v>3.6262986447973835E-3</v>
      </c>
      <c r="V664" t="s">
        <v>154</v>
      </c>
    </row>
    <row r="665" spans="19:22" x14ac:dyDescent="0.25">
      <c r="S665" t="s">
        <v>258</v>
      </c>
      <c r="T665" t="s">
        <v>288</v>
      </c>
      <c r="U665">
        <v>1.7849646147535567E-2</v>
      </c>
      <c r="V665" t="s">
        <v>154</v>
      </c>
    </row>
    <row r="666" spans="19:22" x14ac:dyDescent="0.25">
      <c r="S666" t="s">
        <v>258</v>
      </c>
      <c r="T666" t="s">
        <v>163</v>
      </c>
      <c r="U666">
        <v>5.8855701128084491E-2</v>
      </c>
      <c r="V666" t="s">
        <v>154</v>
      </c>
    </row>
    <row r="667" spans="19:22" x14ac:dyDescent="0.25">
      <c r="S667" t="s">
        <v>258</v>
      </c>
      <c r="T667" t="s">
        <v>164</v>
      </c>
      <c r="U667">
        <v>5.8991141514598701E-2</v>
      </c>
      <c r="V667" t="s">
        <v>154</v>
      </c>
    </row>
    <row r="668" spans="19:22" x14ac:dyDescent="0.25">
      <c r="S668" t="s">
        <v>258</v>
      </c>
      <c r="T668" t="s">
        <v>165</v>
      </c>
      <c r="U668">
        <v>7.6318006173231234E-3</v>
      </c>
      <c r="V668" t="s">
        <v>154</v>
      </c>
    </row>
    <row r="669" spans="19:22" x14ac:dyDescent="0.25">
      <c r="S669" t="s">
        <v>258</v>
      </c>
      <c r="T669" t="s">
        <v>289</v>
      </c>
      <c r="U669">
        <v>7.4045974641775789E-3</v>
      </c>
      <c r="V669" t="s">
        <v>154</v>
      </c>
    </row>
    <row r="670" spans="19:22" x14ac:dyDescent="0.25">
      <c r="S670" t="s">
        <v>258</v>
      </c>
      <c r="T670" t="s">
        <v>290</v>
      </c>
      <c r="U670">
        <v>3.3748153619282961E-2</v>
      </c>
      <c r="V670" t="s">
        <v>154</v>
      </c>
    </row>
    <row r="671" spans="19:22" x14ac:dyDescent="0.25">
      <c r="S671" t="s">
        <v>259</v>
      </c>
      <c r="T671" t="s">
        <v>153</v>
      </c>
      <c r="U671">
        <v>4.184971386299214E-2</v>
      </c>
      <c r="V671" t="s">
        <v>154</v>
      </c>
    </row>
    <row r="672" spans="19:22" x14ac:dyDescent="0.25">
      <c r="S672" t="s">
        <v>259</v>
      </c>
      <c r="T672" t="s">
        <v>155</v>
      </c>
      <c r="U672">
        <v>3.6606573707582954E-2</v>
      </c>
      <c r="V672" t="s">
        <v>154</v>
      </c>
    </row>
    <row r="673" spans="19:22" x14ac:dyDescent="0.25">
      <c r="S673" t="s">
        <v>259</v>
      </c>
      <c r="T673" t="s">
        <v>156</v>
      </c>
      <c r="U673">
        <v>4.8977014285501892E-3</v>
      </c>
      <c r="V673" t="s">
        <v>154</v>
      </c>
    </row>
    <row r="674" spans="19:22" x14ac:dyDescent="0.25">
      <c r="S674" t="s">
        <v>259</v>
      </c>
      <c r="T674" t="s">
        <v>283</v>
      </c>
      <c r="U674">
        <v>5.071715776373548E-3</v>
      </c>
      <c r="V674" t="s">
        <v>154</v>
      </c>
    </row>
    <row r="675" spans="19:22" x14ac:dyDescent="0.25">
      <c r="S675" t="s">
        <v>259</v>
      </c>
      <c r="T675" t="s">
        <v>284</v>
      </c>
      <c r="U675">
        <v>2.3586232552253148E-2</v>
      </c>
      <c r="V675" t="s">
        <v>154</v>
      </c>
    </row>
    <row r="676" spans="19:22" x14ac:dyDescent="0.25">
      <c r="S676" t="s">
        <v>259</v>
      </c>
      <c r="T676" t="s">
        <v>157</v>
      </c>
      <c r="U676">
        <v>0.26573429028609935</v>
      </c>
      <c r="V676" t="s">
        <v>154</v>
      </c>
    </row>
    <row r="677" spans="19:22" x14ac:dyDescent="0.25">
      <c r="S677" t="s">
        <v>259</v>
      </c>
      <c r="T677" t="s">
        <v>158</v>
      </c>
      <c r="U677">
        <v>0.24571889936702696</v>
      </c>
      <c r="V677" t="s">
        <v>154</v>
      </c>
    </row>
    <row r="678" spans="19:22" x14ac:dyDescent="0.25">
      <c r="S678" t="s">
        <v>259</v>
      </c>
      <c r="T678" t="s">
        <v>159</v>
      </c>
      <c r="U678">
        <v>3.0989575075116616E-2</v>
      </c>
      <c r="V678" t="s">
        <v>154</v>
      </c>
    </row>
    <row r="679" spans="19:22" x14ac:dyDescent="0.25">
      <c r="S679" t="s">
        <v>259</v>
      </c>
      <c r="T679" t="s">
        <v>285</v>
      </c>
      <c r="U679">
        <v>3.0781564403585475E-2</v>
      </c>
      <c r="V679" t="s">
        <v>154</v>
      </c>
    </row>
    <row r="680" spans="19:22" x14ac:dyDescent="0.25">
      <c r="S680" t="s">
        <v>259</v>
      </c>
      <c r="T680" t="s">
        <v>286</v>
      </c>
      <c r="U680">
        <v>0.13920128470397966</v>
      </c>
      <c r="V680" t="s">
        <v>154</v>
      </c>
    </row>
    <row r="681" spans="19:22" x14ac:dyDescent="0.25">
      <c r="S681" t="s">
        <v>259</v>
      </c>
      <c r="T681" t="s">
        <v>160</v>
      </c>
      <c r="U681">
        <v>2.4247713846855264E-2</v>
      </c>
      <c r="V681" t="s">
        <v>154</v>
      </c>
    </row>
    <row r="682" spans="19:22" x14ac:dyDescent="0.25">
      <c r="S682" t="s">
        <v>259</v>
      </c>
      <c r="T682" t="s">
        <v>161</v>
      </c>
      <c r="U682">
        <v>2.1131570351292761E-2</v>
      </c>
      <c r="V682" t="s">
        <v>154</v>
      </c>
    </row>
    <row r="683" spans="19:22" x14ac:dyDescent="0.25">
      <c r="S683" t="s">
        <v>259</v>
      </c>
      <c r="T683" t="s">
        <v>162</v>
      </c>
      <c r="U683">
        <v>2.9485139597912229E-3</v>
      </c>
      <c r="V683" t="s">
        <v>154</v>
      </c>
    </row>
    <row r="684" spans="19:22" x14ac:dyDescent="0.25">
      <c r="S684" t="s">
        <v>259</v>
      </c>
      <c r="T684" t="s">
        <v>287</v>
      </c>
      <c r="U684">
        <v>2.9893866332079844E-3</v>
      </c>
      <c r="V684" t="s">
        <v>154</v>
      </c>
    </row>
    <row r="685" spans="19:22" x14ac:dyDescent="0.25">
      <c r="S685" t="s">
        <v>259</v>
      </c>
      <c r="T685" t="s">
        <v>288</v>
      </c>
      <c r="U685">
        <v>1.208565077105026E-2</v>
      </c>
      <c r="V685" t="s">
        <v>154</v>
      </c>
    </row>
    <row r="686" spans="19:22" x14ac:dyDescent="0.25">
      <c r="S686" t="s">
        <v>259</v>
      </c>
      <c r="T686" t="s">
        <v>163</v>
      </c>
      <c r="U686">
        <v>4.0602207051369792E-2</v>
      </c>
      <c r="V686" t="s">
        <v>154</v>
      </c>
    </row>
    <row r="687" spans="19:22" x14ac:dyDescent="0.25">
      <c r="S687" t="s">
        <v>259</v>
      </c>
      <c r="T687" t="s">
        <v>164</v>
      </c>
      <c r="U687">
        <v>3.8260820338481549E-2</v>
      </c>
      <c r="V687" t="s">
        <v>154</v>
      </c>
    </row>
    <row r="688" spans="19:22" x14ac:dyDescent="0.25">
      <c r="S688" t="s">
        <v>259</v>
      </c>
      <c r="T688" t="s">
        <v>165</v>
      </c>
      <c r="U688">
        <v>5.1089727974716519E-3</v>
      </c>
      <c r="V688" t="s">
        <v>154</v>
      </c>
    </row>
    <row r="689" spans="19:22" x14ac:dyDescent="0.25">
      <c r="S689" t="s">
        <v>259</v>
      </c>
      <c r="T689" t="s">
        <v>289</v>
      </c>
      <c r="U689">
        <v>5.1395507168755334E-3</v>
      </c>
      <c r="V689" t="s">
        <v>154</v>
      </c>
    </row>
    <row r="690" spans="19:22" x14ac:dyDescent="0.25">
      <c r="S690" t="s">
        <v>259</v>
      </c>
      <c r="T690" t="s">
        <v>290</v>
      </c>
      <c r="U690">
        <v>2.3048062370041731E-2</v>
      </c>
      <c r="V690" t="s">
        <v>154</v>
      </c>
    </row>
    <row r="691" spans="19:22" x14ac:dyDescent="0.25">
      <c r="S691" t="s">
        <v>260</v>
      </c>
      <c r="T691" t="s">
        <v>153</v>
      </c>
      <c r="U691">
        <v>4.8641142878967321E-2</v>
      </c>
      <c r="V691" t="s">
        <v>154</v>
      </c>
    </row>
    <row r="692" spans="19:22" x14ac:dyDescent="0.25">
      <c r="S692" t="s">
        <v>260</v>
      </c>
      <c r="T692" t="s">
        <v>155</v>
      </c>
      <c r="U692">
        <v>4.3654864244151277E-2</v>
      </c>
      <c r="V692" t="s">
        <v>154</v>
      </c>
    </row>
    <row r="693" spans="19:22" x14ac:dyDescent="0.25">
      <c r="S693" t="s">
        <v>260</v>
      </c>
      <c r="T693" t="s">
        <v>156</v>
      </c>
      <c r="U693">
        <v>6.1423431142357795E-3</v>
      </c>
      <c r="V693" t="s">
        <v>154</v>
      </c>
    </row>
    <row r="694" spans="19:22" x14ac:dyDescent="0.25">
      <c r="S694" t="s">
        <v>260</v>
      </c>
      <c r="T694" t="s">
        <v>283</v>
      </c>
      <c r="U694">
        <v>6.18775431685375E-3</v>
      </c>
      <c r="V694" t="s">
        <v>154</v>
      </c>
    </row>
    <row r="695" spans="19:22" x14ac:dyDescent="0.25">
      <c r="S695" t="s">
        <v>260</v>
      </c>
      <c r="T695" t="s">
        <v>284</v>
      </c>
      <c r="U695">
        <v>2.8426954812259854E-2</v>
      </c>
      <c r="V695" t="s">
        <v>154</v>
      </c>
    </row>
    <row r="696" spans="19:22" x14ac:dyDescent="0.25">
      <c r="S696" t="s">
        <v>260</v>
      </c>
      <c r="T696" t="s">
        <v>157</v>
      </c>
      <c r="U696">
        <v>0.25438802492181117</v>
      </c>
      <c r="V696" t="s">
        <v>154</v>
      </c>
    </row>
    <row r="697" spans="19:22" x14ac:dyDescent="0.25">
      <c r="S697" t="s">
        <v>260</v>
      </c>
      <c r="T697" t="s">
        <v>158</v>
      </c>
      <c r="U697">
        <v>0.22277645464673643</v>
      </c>
      <c r="V697" t="s">
        <v>154</v>
      </c>
    </row>
    <row r="698" spans="19:22" x14ac:dyDescent="0.25">
      <c r="S698" t="s">
        <v>260</v>
      </c>
      <c r="T698" t="s">
        <v>159</v>
      </c>
      <c r="U698">
        <v>2.8250559781426238E-2</v>
      </c>
      <c r="V698" t="s">
        <v>154</v>
      </c>
    </row>
    <row r="699" spans="19:22" x14ac:dyDescent="0.25">
      <c r="S699" t="s">
        <v>260</v>
      </c>
      <c r="T699" t="s">
        <v>285</v>
      </c>
      <c r="U699">
        <v>2.8582260891916979E-2</v>
      </c>
      <c r="V699" t="s">
        <v>154</v>
      </c>
    </row>
    <row r="700" spans="19:22" x14ac:dyDescent="0.25">
      <c r="S700" t="s">
        <v>260</v>
      </c>
      <c r="T700" t="s">
        <v>286</v>
      </c>
      <c r="U700">
        <v>0.14390925123555431</v>
      </c>
      <c r="V700" t="s">
        <v>154</v>
      </c>
    </row>
    <row r="701" spans="19:22" x14ac:dyDescent="0.25">
      <c r="S701" t="s">
        <v>260</v>
      </c>
      <c r="T701" t="s">
        <v>160</v>
      </c>
      <c r="U701">
        <v>2.821798473155903E-2</v>
      </c>
      <c r="V701" t="s">
        <v>154</v>
      </c>
    </row>
    <row r="702" spans="19:22" x14ac:dyDescent="0.25">
      <c r="S702" t="s">
        <v>260</v>
      </c>
      <c r="T702" t="s">
        <v>161</v>
      </c>
      <c r="U702">
        <v>2.2081885162845268E-2</v>
      </c>
      <c r="V702" t="s">
        <v>154</v>
      </c>
    </row>
    <row r="703" spans="19:22" x14ac:dyDescent="0.25">
      <c r="S703" t="s">
        <v>260</v>
      </c>
      <c r="T703" t="s">
        <v>162</v>
      </c>
      <c r="U703">
        <v>3.4304616558828841E-3</v>
      </c>
      <c r="V703" t="s">
        <v>154</v>
      </c>
    </row>
    <row r="704" spans="19:22" x14ac:dyDescent="0.25">
      <c r="S704" t="s">
        <v>260</v>
      </c>
      <c r="T704" t="s">
        <v>287</v>
      </c>
      <c r="U704">
        <v>3.6475444472902742E-3</v>
      </c>
      <c r="V704" t="s">
        <v>154</v>
      </c>
    </row>
    <row r="705" spans="19:22" x14ac:dyDescent="0.25">
      <c r="S705" t="s">
        <v>260</v>
      </c>
      <c r="T705" t="s">
        <v>288</v>
      </c>
      <c r="U705">
        <v>1.850215374480137E-2</v>
      </c>
      <c r="V705" t="s">
        <v>154</v>
      </c>
    </row>
    <row r="706" spans="19:22" x14ac:dyDescent="0.25">
      <c r="S706" t="s">
        <v>260</v>
      </c>
      <c r="T706" t="s">
        <v>163</v>
      </c>
      <c r="U706">
        <v>4.1926833538822747E-2</v>
      </c>
      <c r="V706" t="s">
        <v>154</v>
      </c>
    </row>
    <row r="707" spans="19:22" x14ac:dyDescent="0.25">
      <c r="S707" t="s">
        <v>260</v>
      </c>
      <c r="T707" t="s">
        <v>164</v>
      </c>
      <c r="U707">
        <v>3.7575919730178139E-2</v>
      </c>
      <c r="V707" t="s">
        <v>154</v>
      </c>
    </row>
    <row r="708" spans="19:22" x14ac:dyDescent="0.25">
      <c r="S708" t="s">
        <v>260</v>
      </c>
      <c r="T708" t="s">
        <v>165</v>
      </c>
      <c r="U708">
        <v>5.0466114039532705E-3</v>
      </c>
      <c r="V708" t="s">
        <v>154</v>
      </c>
    </row>
    <row r="709" spans="19:22" x14ac:dyDescent="0.25">
      <c r="S709" t="s">
        <v>260</v>
      </c>
      <c r="T709" t="s">
        <v>289</v>
      </c>
      <c r="U709">
        <v>4.9514629471973885E-3</v>
      </c>
      <c r="V709" t="s">
        <v>154</v>
      </c>
    </row>
    <row r="710" spans="19:22" x14ac:dyDescent="0.25">
      <c r="S710" t="s">
        <v>260</v>
      </c>
      <c r="T710" t="s">
        <v>290</v>
      </c>
      <c r="U710">
        <v>2.3659531793558869E-2</v>
      </c>
      <c r="V710" t="s">
        <v>154</v>
      </c>
    </row>
    <row r="711" spans="19:22" x14ac:dyDescent="0.25">
      <c r="S711" t="s">
        <v>261</v>
      </c>
      <c r="T711" t="s">
        <v>153</v>
      </c>
      <c r="U711">
        <v>4.3406596638561633E-2</v>
      </c>
      <c r="V711" t="s">
        <v>154</v>
      </c>
    </row>
    <row r="712" spans="19:22" x14ac:dyDescent="0.25">
      <c r="S712" t="s">
        <v>261</v>
      </c>
      <c r="T712" t="s">
        <v>155</v>
      </c>
      <c r="U712">
        <v>3.8456626304333864E-2</v>
      </c>
      <c r="V712" t="s">
        <v>154</v>
      </c>
    </row>
    <row r="713" spans="19:22" x14ac:dyDescent="0.25">
      <c r="S713" t="s">
        <v>261</v>
      </c>
      <c r="T713" t="s">
        <v>156</v>
      </c>
      <c r="U713">
        <v>5.6485740185835687E-3</v>
      </c>
      <c r="V713" t="s">
        <v>154</v>
      </c>
    </row>
    <row r="714" spans="19:22" x14ac:dyDescent="0.25">
      <c r="S714" t="s">
        <v>261</v>
      </c>
      <c r="T714" t="s">
        <v>283</v>
      </c>
      <c r="U714">
        <v>5.7199851985799506E-3</v>
      </c>
      <c r="V714" t="s">
        <v>154</v>
      </c>
    </row>
    <row r="715" spans="19:22" x14ac:dyDescent="0.25">
      <c r="S715" t="s">
        <v>261</v>
      </c>
      <c r="T715" t="s">
        <v>284</v>
      </c>
      <c r="U715">
        <v>2.5964429665762991E-2</v>
      </c>
      <c r="V715" t="s">
        <v>154</v>
      </c>
    </row>
    <row r="716" spans="19:22" x14ac:dyDescent="0.25">
      <c r="S716" t="s">
        <v>261</v>
      </c>
      <c r="T716" t="s">
        <v>157</v>
      </c>
      <c r="U716">
        <v>0.25351029440265638</v>
      </c>
      <c r="V716" t="s">
        <v>154</v>
      </c>
    </row>
    <row r="717" spans="19:22" x14ac:dyDescent="0.25">
      <c r="S717" t="s">
        <v>261</v>
      </c>
      <c r="T717" t="s">
        <v>158</v>
      </c>
      <c r="U717">
        <v>0.23207941880562452</v>
      </c>
      <c r="V717" t="s">
        <v>154</v>
      </c>
    </row>
    <row r="718" spans="19:22" x14ac:dyDescent="0.25">
      <c r="S718" t="s">
        <v>261</v>
      </c>
      <c r="T718" t="s">
        <v>159</v>
      </c>
      <c r="U718">
        <v>3.1035718927108321E-2</v>
      </c>
      <c r="V718" t="s">
        <v>154</v>
      </c>
    </row>
    <row r="719" spans="19:22" x14ac:dyDescent="0.25">
      <c r="S719" t="s">
        <v>261</v>
      </c>
      <c r="T719" t="s">
        <v>285</v>
      </c>
      <c r="U719">
        <v>3.1257292690774402E-2</v>
      </c>
      <c r="V719" t="s">
        <v>154</v>
      </c>
    </row>
    <row r="720" spans="19:22" x14ac:dyDescent="0.25">
      <c r="S720" t="s">
        <v>261</v>
      </c>
      <c r="T720" t="s">
        <v>286</v>
      </c>
      <c r="U720">
        <v>0.14444487936966011</v>
      </c>
      <c r="V720" t="s">
        <v>154</v>
      </c>
    </row>
    <row r="721" spans="19:22" x14ac:dyDescent="0.25">
      <c r="S721" t="s">
        <v>261</v>
      </c>
      <c r="T721" t="s">
        <v>160</v>
      </c>
      <c r="U721">
        <v>2.5235397514067733E-2</v>
      </c>
      <c r="V721" t="s">
        <v>154</v>
      </c>
    </row>
    <row r="722" spans="19:22" x14ac:dyDescent="0.25">
      <c r="S722" t="s">
        <v>261</v>
      </c>
      <c r="T722" t="s">
        <v>161</v>
      </c>
      <c r="U722">
        <v>2.2547792578811995E-2</v>
      </c>
      <c r="V722" t="s">
        <v>154</v>
      </c>
    </row>
    <row r="723" spans="19:22" x14ac:dyDescent="0.25">
      <c r="S723" t="s">
        <v>261</v>
      </c>
      <c r="T723" t="s">
        <v>162</v>
      </c>
      <c r="U723">
        <v>2.9290273136664243E-3</v>
      </c>
      <c r="V723" t="s">
        <v>154</v>
      </c>
    </row>
    <row r="724" spans="19:22" x14ac:dyDescent="0.25">
      <c r="S724" t="s">
        <v>261</v>
      </c>
      <c r="T724" t="s">
        <v>287</v>
      </c>
      <c r="U724">
        <v>3.0185008376883721E-3</v>
      </c>
      <c r="V724" t="s">
        <v>154</v>
      </c>
    </row>
    <row r="725" spans="19:22" x14ac:dyDescent="0.25">
      <c r="S725" t="s">
        <v>261</v>
      </c>
      <c r="T725" t="s">
        <v>288</v>
      </c>
      <c r="U725">
        <v>1.4426889420432297E-2</v>
      </c>
      <c r="V725" t="s">
        <v>154</v>
      </c>
    </row>
    <row r="726" spans="19:22" x14ac:dyDescent="0.25">
      <c r="S726" t="s">
        <v>261</v>
      </c>
      <c r="T726" t="s">
        <v>163</v>
      </c>
      <c r="U726">
        <v>4.5088432785062242E-2</v>
      </c>
      <c r="V726" t="s">
        <v>154</v>
      </c>
    </row>
    <row r="727" spans="19:22" x14ac:dyDescent="0.25">
      <c r="S727" t="s">
        <v>261</v>
      </c>
      <c r="T727" t="s">
        <v>164</v>
      </c>
      <c r="U727">
        <v>4.0378158895488049E-2</v>
      </c>
      <c r="V727" t="s">
        <v>154</v>
      </c>
    </row>
    <row r="728" spans="19:22" x14ac:dyDescent="0.25">
      <c r="S728" t="s">
        <v>261</v>
      </c>
      <c r="T728" t="s">
        <v>165</v>
      </c>
      <c r="U728">
        <v>5.2466047131104511E-3</v>
      </c>
      <c r="V728" t="s">
        <v>154</v>
      </c>
    </row>
    <row r="729" spans="19:22" x14ac:dyDescent="0.25">
      <c r="S729" t="s">
        <v>261</v>
      </c>
      <c r="T729" t="s">
        <v>289</v>
      </c>
      <c r="U729">
        <v>5.1716592897335621E-3</v>
      </c>
      <c r="V729" t="s">
        <v>154</v>
      </c>
    </row>
    <row r="730" spans="19:22" x14ac:dyDescent="0.25">
      <c r="S730" t="s">
        <v>261</v>
      </c>
      <c r="T730" t="s">
        <v>290</v>
      </c>
      <c r="U730">
        <v>2.4433720630294118E-2</v>
      </c>
      <c r="V730" t="s">
        <v>154</v>
      </c>
    </row>
    <row r="731" spans="19:22" x14ac:dyDescent="0.25">
      <c r="S731" t="s">
        <v>262</v>
      </c>
      <c r="T731" t="s">
        <v>153</v>
      </c>
      <c r="U731">
        <v>4.761737878239982E-2</v>
      </c>
      <c r="V731" t="s">
        <v>154</v>
      </c>
    </row>
    <row r="732" spans="19:22" x14ac:dyDescent="0.25">
      <c r="S732" t="s">
        <v>262</v>
      </c>
      <c r="T732" t="s">
        <v>155</v>
      </c>
      <c r="U732">
        <v>3.937106554681459E-2</v>
      </c>
      <c r="V732" t="s">
        <v>154</v>
      </c>
    </row>
    <row r="733" spans="19:22" x14ac:dyDescent="0.25">
      <c r="S733" t="s">
        <v>262</v>
      </c>
      <c r="T733" t="s">
        <v>156</v>
      </c>
      <c r="U733">
        <v>5.7449057128065618E-3</v>
      </c>
      <c r="V733" t="s">
        <v>154</v>
      </c>
    </row>
    <row r="734" spans="19:22" x14ac:dyDescent="0.25">
      <c r="S734" t="s">
        <v>262</v>
      </c>
      <c r="T734" t="s">
        <v>283</v>
      </c>
      <c r="U734">
        <v>5.8877891163135795E-3</v>
      </c>
      <c r="V734" t="s">
        <v>154</v>
      </c>
    </row>
    <row r="735" spans="19:22" x14ac:dyDescent="0.25">
      <c r="S735" t="s">
        <v>262</v>
      </c>
      <c r="T735" t="s">
        <v>284</v>
      </c>
      <c r="U735">
        <v>2.7983625423220831E-2</v>
      </c>
      <c r="V735" t="s">
        <v>154</v>
      </c>
    </row>
    <row r="736" spans="19:22" x14ac:dyDescent="0.25">
      <c r="S736" t="s">
        <v>262</v>
      </c>
      <c r="T736" t="s">
        <v>157</v>
      </c>
      <c r="U736">
        <v>0.24235057143983371</v>
      </c>
      <c r="V736" t="s">
        <v>154</v>
      </c>
    </row>
    <row r="737" spans="19:22" x14ac:dyDescent="0.25">
      <c r="S737" t="s">
        <v>262</v>
      </c>
      <c r="T737" t="s">
        <v>158</v>
      </c>
      <c r="U737">
        <v>0.21712791808663465</v>
      </c>
      <c r="V737" t="s">
        <v>154</v>
      </c>
    </row>
    <row r="738" spans="19:22" x14ac:dyDescent="0.25">
      <c r="S738" t="s">
        <v>262</v>
      </c>
      <c r="T738" t="s">
        <v>159</v>
      </c>
      <c r="U738">
        <v>2.7925571531256271E-2</v>
      </c>
      <c r="V738" t="s">
        <v>154</v>
      </c>
    </row>
    <row r="739" spans="19:22" x14ac:dyDescent="0.25">
      <c r="S739" t="s">
        <v>262</v>
      </c>
      <c r="T739" t="s">
        <v>285</v>
      </c>
      <c r="U739">
        <v>2.8433754545096539E-2</v>
      </c>
      <c r="V739" t="s">
        <v>154</v>
      </c>
    </row>
    <row r="740" spans="19:22" x14ac:dyDescent="0.25">
      <c r="S740" t="s">
        <v>262</v>
      </c>
      <c r="T740" t="s">
        <v>286</v>
      </c>
      <c r="U740">
        <v>0.13723572443768078</v>
      </c>
      <c r="V740" t="s">
        <v>154</v>
      </c>
    </row>
    <row r="741" spans="19:22" x14ac:dyDescent="0.25">
      <c r="S741" t="s">
        <v>262</v>
      </c>
      <c r="T741" t="s">
        <v>160</v>
      </c>
      <c r="U741">
        <v>3.0580196638797207E-2</v>
      </c>
      <c r="V741" t="s">
        <v>154</v>
      </c>
    </row>
    <row r="742" spans="19:22" x14ac:dyDescent="0.25">
      <c r="S742" t="s">
        <v>262</v>
      </c>
      <c r="T742" t="s">
        <v>161</v>
      </c>
      <c r="U742">
        <v>3.0426069806156419E-2</v>
      </c>
      <c r="V742" t="s">
        <v>154</v>
      </c>
    </row>
    <row r="743" spans="19:22" x14ac:dyDescent="0.25">
      <c r="S743" t="s">
        <v>262</v>
      </c>
      <c r="T743" t="s">
        <v>162</v>
      </c>
      <c r="U743">
        <v>4.2598973423825567E-3</v>
      </c>
      <c r="V743" t="s">
        <v>154</v>
      </c>
    </row>
    <row r="744" spans="19:22" x14ac:dyDescent="0.25">
      <c r="S744" t="s">
        <v>262</v>
      </c>
      <c r="T744" t="s">
        <v>287</v>
      </c>
      <c r="U744">
        <v>4.3998794698612764E-3</v>
      </c>
      <c r="V744" t="s">
        <v>154</v>
      </c>
    </row>
    <row r="745" spans="19:22" x14ac:dyDescent="0.25">
      <c r="S745" t="s">
        <v>262</v>
      </c>
      <c r="T745" t="s">
        <v>288</v>
      </c>
      <c r="U745">
        <v>1.9866383528570685E-2</v>
      </c>
      <c r="V745" t="s">
        <v>154</v>
      </c>
    </row>
    <row r="746" spans="19:22" x14ac:dyDescent="0.25">
      <c r="S746" t="s">
        <v>262</v>
      </c>
      <c r="T746" t="s">
        <v>163</v>
      </c>
      <c r="U746">
        <v>4.9789223424084234E-2</v>
      </c>
      <c r="V746" t="s">
        <v>154</v>
      </c>
    </row>
    <row r="747" spans="19:22" x14ac:dyDescent="0.25">
      <c r="S747" t="s">
        <v>262</v>
      </c>
      <c r="T747" t="s">
        <v>164</v>
      </c>
      <c r="U747">
        <v>4.3151498885210075E-2</v>
      </c>
      <c r="V747" t="s">
        <v>154</v>
      </c>
    </row>
    <row r="748" spans="19:22" x14ac:dyDescent="0.25">
      <c r="S748" t="s">
        <v>262</v>
      </c>
      <c r="T748" t="s">
        <v>165</v>
      </c>
      <c r="U748">
        <v>5.8049394876039766E-3</v>
      </c>
      <c r="V748" t="s">
        <v>154</v>
      </c>
    </row>
    <row r="749" spans="19:22" x14ac:dyDescent="0.25">
      <c r="S749" t="s">
        <v>262</v>
      </c>
      <c r="T749" t="s">
        <v>289</v>
      </c>
      <c r="U749">
        <v>5.8799994375396559E-3</v>
      </c>
      <c r="V749" t="s">
        <v>154</v>
      </c>
    </row>
    <row r="750" spans="19:22" x14ac:dyDescent="0.25">
      <c r="S750" t="s">
        <v>262</v>
      </c>
      <c r="T750" t="s">
        <v>290</v>
      </c>
      <c r="U750">
        <v>2.6163607357733265E-2</v>
      </c>
      <c r="V750" t="s">
        <v>154</v>
      </c>
    </row>
    <row r="751" spans="19:22" x14ac:dyDescent="0.25">
      <c r="S751" t="s">
        <v>263</v>
      </c>
      <c r="T751" t="s">
        <v>153</v>
      </c>
      <c r="U751">
        <v>4.2779471649523983E-2</v>
      </c>
      <c r="V751" t="s">
        <v>154</v>
      </c>
    </row>
    <row r="752" spans="19:22" x14ac:dyDescent="0.25">
      <c r="S752" t="s">
        <v>263</v>
      </c>
      <c r="T752" t="s">
        <v>155</v>
      </c>
      <c r="U752">
        <v>3.6147264766238363E-2</v>
      </c>
      <c r="V752" t="s">
        <v>154</v>
      </c>
    </row>
    <row r="753" spans="19:22" x14ac:dyDescent="0.25">
      <c r="S753" t="s">
        <v>263</v>
      </c>
      <c r="T753" t="s">
        <v>156</v>
      </c>
      <c r="U753">
        <v>4.1449721336717709E-3</v>
      </c>
      <c r="V753" t="s">
        <v>154</v>
      </c>
    </row>
    <row r="754" spans="19:22" x14ac:dyDescent="0.25">
      <c r="S754" t="s">
        <v>263</v>
      </c>
      <c r="T754" t="s">
        <v>283</v>
      </c>
      <c r="U754">
        <v>4.0377072610580248E-3</v>
      </c>
      <c r="V754" t="s">
        <v>154</v>
      </c>
    </row>
    <row r="755" spans="19:22" x14ac:dyDescent="0.25">
      <c r="S755" t="s">
        <v>263</v>
      </c>
      <c r="T755" t="s">
        <v>284</v>
      </c>
      <c r="U755">
        <v>2.1005207740944064E-2</v>
      </c>
      <c r="V755" t="s">
        <v>154</v>
      </c>
    </row>
    <row r="756" spans="19:22" x14ac:dyDescent="0.25">
      <c r="S756" t="s">
        <v>263</v>
      </c>
      <c r="T756" t="s">
        <v>157</v>
      </c>
      <c r="U756">
        <v>0.26685521547755936</v>
      </c>
      <c r="V756" t="s">
        <v>154</v>
      </c>
    </row>
    <row r="757" spans="19:22" x14ac:dyDescent="0.25">
      <c r="S757" t="s">
        <v>263</v>
      </c>
      <c r="T757" t="s">
        <v>158</v>
      </c>
      <c r="U757">
        <v>0.23135367445227181</v>
      </c>
      <c r="V757" t="s">
        <v>154</v>
      </c>
    </row>
    <row r="758" spans="19:22" x14ac:dyDescent="0.25">
      <c r="S758" t="s">
        <v>263</v>
      </c>
      <c r="T758" t="s">
        <v>159</v>
      </c>
      <c r="U758">
        <v>2.8099683728248066E-2</v>
      </c>
      <c r="V758" t="s">
        <v>154</v>
      </c>
    </row>
    <row r="759" spans="19:22" x14ac:dyDescent="0.25">
      <c r="S759" t="s">
        <v>263</v>
      </c>
      <c r="T759" t="s">
        <v>285</v>
      </c>
      <c r="U759">
        <v>2.8045354331654906E-2</v>
      </c>
      <c r="V759" t="s">
        <v>154</v>
      </c>
    </row>
    <row r="760" spans="19:22" x14ac:dyDescent="0.25">
      <c r="S760" t="s">
        <v>263</v>
      </c>
      <c r="T760" t="s">
        <v>286</v>
      </c>
      <c r="U760">
        <v>0.14068349592310336</v>
      </c>
      <c r="V760" t="s">
        <v>154</v>
      </c>
    </row>
    <row r="761" spans="19:22" x14ac:dyDescent="0.25">
      <c r="S761" t="s">
        <v>263</v>
      </c>
      <c r="T761" t="s">
        <v>160</v>
      </c>
      <c r="U761">
        <v>2.664581708835155E-2</v>
      </c>
      <c r="V761" t="s">
        <v>154</v>
      </c>
    </row>
    <row r="762" spans="19:22" x14ac:dyDescent="0.25">
      <c r="S762" t="s">
        <v>263</v>
      </c>
      <c r="T762" t="s">
        <v>161</v>
      </c>
      <c r="U762">
        <v>2.3053046497537175E-2</v>
      </c>
      <c r="V762" t="s">
        <v>154</v>
      </c>
    </row>
    <row r="763" spans="19:22" x14ac:dyDescent="0.25">
      <c r="S763" t="s">
        <v>263</v>
      </c>
      <c r="T763" t="s">
        <v>162</v>
      </c>
      <c r="U763">
        <v>2.8800093172186847E-3</v>
      </c>
      <c r="V763" t="s">
        <v>154</v>
      </c>
    </row>
    <row r="764" spans="19:22" x14ac:dyDescent="0.25">
      <c r="S764" t="s">
        <v>263</v>
      </c>
      <c r="T764" t="s">
        <v>287</v>
      </c>
      <c r="U764">
        <v>2.7909048185628185E-3</v>
      </c>
      <c r="V764" t="s">
        <v>154</v>
      </c>
    </row>
    <row r="765" spans="19:22" x14ac:dyDescent="0.25">
      <c r="S765" t="s">
        <v>263</v>
      </c>
      <c r="T765" t="s">
        <v>288</v>
      </c>
      <c r="U765">
        <v>1.3945356924338598E-2</v>
      </c>
      <c r="V765" t="s">
        <v>154</v>
      </c>
    </row>
    <row r="766" spans="19:22" x14ac:dyDescent="0.25">
      <c r="S766" t="s">
        <v>263</v>
      </c>
      <c r="T766" t="s">
        <v>163</v>
      </c>
      <c r="U766">
        <v>4.6638492229828403E-2</v>
      </c>
      <c r="V766" t="s">
        <v>154</v>
      </c>
    </row>
    <row r="767" spans="19:22" x14ac:dyDescent="0.25">
      <c r="S767" t="s">
        <v>263</v>
      </c>
      <c r="T767" t="s">
        <v>164</v>
      </c>
      <c r="U767">
        <v>4.2918220489607917E-2</v>
      </c>
      <c r="V767" t="s">
        <v>154</v>
      </c>
    </row>
    <row r="768" spans="19:22" x14ac:dyDescent="0.25">
      <c r="S768" t="s">
        <v>263</v>
      </c>
      <c r="T768" t="s">
        <v>165</v>
      </c>
      <c r="U768">
        <v>5.3523465405547694E-3</v>
      </c>
      <c r="V768" t="s">
        <v>154</v>
      </c>
    </row>
    <row r="769" spans="19:22" x14ac:dyDescent="0.25">
      <c r="S769" t="s">
        <v>263</v>
      </c>
      <c r="T769" t="s">
        <v>289</v>
      </c>
      <c r="U769">
        <v>5.2842184180435679E-3</v>
      </c>
      <c r="V769" t="s">
        <v>154</v>
      </c>
    </row>
    <row r="770" spans="19:22" x14ac:dyDescent="0.25">
      <c r="S770" t="s">
        <v>263</v>
      </c>
      <c r="T770" t="s">
        <v>290</v>
      </c>
      <c r="U770">
        <v>2.7339540211681952E-2</v>
      </c>
      <c r="V770" t="s">
        <v>154</v>
      </c>
    </row>
    <row r="771" spans="19:22" x14ac:dyDescent="0.25">
      <c r="S771" t="s">
        <v>264</v>
      </c>
      <c r="T771" t="s">
        <v>153</v>
      </c>
      <c r="U771">
        <v>5.3990903288628232E-2</v>
      </c>
      <c r="V771" t="s">
        <v>154</v>
      </c>
    </row>
    <row r="772" spans="19:22" x14ac:dyDescent="0.25">
      <c r="S772" t="s">
        <v>264</v>
      </c>
      <c r="T772" t="s">
        <v>155</v>
      </c>
      <c r="U772">
        <v>4.262566037962974E-2</v>
      </c>
      <c r="V772" t="s">
        <v>154</v>
      </c>
    </row>
    <row r="773" spans="19:22" x14ac:dyDescent="0.25">
      <c r="S773" t="s">
        <v>264</v>
      </c>
      <c r="T773" t="s">
        <v>156</v>
      </c>
      <c r="U773">
        <v>5.5504150161330892E-3</v>
      </c>
      <c r="V773" t="s">
        <v>154</v>
      </c>
    </row>
    <row r="774" spans="19:22" x14ac:dyDescent="0.25">
      <c r="S774" t="s">
        <v>264</v>
      </c>
      <c r="T774" t="s">
        <v>283</v>
      </c>
      <c r="U774">
        <v>5.7386861313586616E-3</v>
      </c>
      <c r="V774" t="s">
        <v>154</v>
      </c>
    </row>
    <row r="775" spans="19:22" x14ac:dyDescent="0.25">
      <c r="S775" t="s">
        <v>264</v>
      </c>
      <c r="T775" t="s">
        <v>284</v>
      </c>
      <c r="U775">
        <v>2.774571435240801E-2</v>
      </c>
      <c r="V775" t="s">
        <v>154</v>
      </c>
    </row>
    <row r="776" spans="19:22" x14ac:dyDescent="0.25">
      <c r="S776" t="s">
        <v>264</v>
      </c>
      <c r="T776" t="s">
        <v>157</v>
      </c>
      <c r="U776">
        <v>0.23722805790795309</v>
      </c>
      <c r="V776" t="s">
        <v>154</v>
      </c>
    </row>
    <row r="777" spans="19:22" x14ac:dyDescent="0.25">
      <c r="S777" t="s">
        <v>264</v>
      </c>
      <c r="T777" t="s">
        <v>158</v>
      </c>
      <c r="U777">
        <v>0.21377370927339345</v>
      </c>
      <c r="V777" t="s">
        <v>154</v>
      </c>
    </row>
    <row r="778" spans="19:22" x14ac:dyDescent="0.25">
      <c r="S778" t="s">
        <v>264</v>
      </c>
      <c r="T778" t="s">
        <v>159</v>
      </c>
      <c r="U778">
        <v>3.0492567865464004E-2</v>
      </c>
      <c r="V778" t="s">
        <v>154</v>
      </c>
    </row>
    <row r="779" spans="19:22" x14ac:dyDescent="0.25">
      <c r="S779" t="s">
        <v>264</v>
      </c>
      <c r="T779" t="s">
        <v>285</v>
      </c>
      <c r="U779">
        <v>3.0735941554319145E-2</v>
      </c>
      <c r="V779" t="s">
        <v>154</v>
      </c>
    </row>
    <row r="780" spans="19:22" x14ac:dyDescent="0.25">
      <c r="S780" t="s">
        <v>264</v>
      </c>
      <c r="T780" t="s">
        <v>286</v>
      </c>
      <c r="U780">
        <v>0.1403266676468998</v>
      </c>
      <c r="V780" t="s">
        <v>154</v>
      </c>
    </row>
    <row r="781" spans="19:22" x14ac:dyDescent="0.25">
      <c r="S781" t="s">
        <v>264</v>
      </c>
      <c r="T781" t="s">
        <v>160</v>
      </c>
      <c r="U781">
        <v>2.4328210523374381E-2</v>
      </c>
      <c r="V781" t="s">
        <v>154</v>
      </c>
    </row>
    <row r="782" spans="19:22" x14ac:dyDescent="0.25">
      <c r="S782" t="s">
        <v>264</v>
      </c>
      <c r="T782" t="s">
        <v>161</v>
      </c>
      <c r="U782">
        <v>2.1691530869916681E-2</v>
      </c>
      <c r="V782" t="s">
        <v>154</v>
      </c>
    </row>
    <row r="783" spans="19:22" x14ac:dyDescent="0.25">
      <c r="S783" t="s">
        <v>264</v>
      </c>
      <c r="T783" t="s">
        <v>162</v>
      </c>
      <c r="U783">
        <v>3.0765371876124285E-3</v>
      </c>
      <c r="V783" t="s">
        <v>154</v>
      </c>
    </row>
    <row r="784" spans="19:22" x14ac:dyDescent="0.25">
      <c r="S784" t="s">
        <v>264</v>
      </c>
      <c r="T784" t="s">
        <v>287</v>
      </c>
      <c r="U784">
        <v>3.0829184793666267E-3</v>
      </c>
      <c r="V784" t="s">
        <v>154</v>
      </c>
    </row>
    <row r="785" spans="19:22" x14ac:dyDescent="0.25">
      <c r="S785" t="s">
        <v>264</v>
      </c>
      <c r="T785" t="s">
        <v>288</v>
      </c>
      <c r="U785">
        <v>1.3388840449548536E-2</v>
      </c>
      <c r="V785" t="s">
        <v>154</v>
      </c>
    </row>
    <row r="786" spans="19:22" x14ac:dyDescent="0.25">
      <c r="S786" t="s">
        <v>264</v>
      </c>
      <c r="T786" t="s">
        <v>163</v>
      </c>
      <c r="U786">
        <v>5.5497809439896441E-2</v>
      </c>
      <c r="V786" t="s">
        <v>154</v>
      </c>
    </row>
    <row r="787" spans="19:22" x14ac:dyDescent="0.25">
      <c r="S787" t="s">
        <v>264</v>
      </c>
      <c r="T787" t="s">
        <v>164</v>
      </c>
      <c r="U787">
        <v>4.6453653125600451E-2</v>
      </c>
      <c r="V787" t="s">
        <v>154</v>
      </c>
    </row>
    <row r="788" spans="19:22" x14ac:dyDescent="0.25">
      <c r="S788" t="s">
        <v>264</v>
      </c>
      <c r="T788" t="s">
        <v>165</v>
      </c>
      <c r="U788">
        <v>6.3391250515504906E-3</v>
      </c>
      <c r="V788" t="s">
        <v>154</v>
      </c>
    </row>
    <row r="789" spans="19:22" x14ac:dyDescent="0.25">
      <c r="S789" t="s">
        <v>264</v>
      </c>
      <c r="T789" t="s">
        <v>289</v>
      </c>
      <c r="U789">
        <v>6.4320549845629871E-3</v>
      </c>
      <c r="V789" t="s">
        <v>154</v>
      </c>
    </row>
    <row r="790" spans="19:22" x14ac:dyDescent="0.25">
      <c r="S790" t="s">
        <v>264</v>
      </c>
      <c r="T790" t="s">
        <v>290</v>
      </c>
      <c r="U790">
        <v>3.1500996472387167E-2</v>
      </c>
      <c r="V790" t="s">
        <v>154</v>
      </c>
    </row>
    <row r="791" spans="19:22" x14ac:dyDescent="0.25">
      <c r="S791" t="s">
        <v>265</v>
      </c>
      <c r="T791" t="s">
        <v>153</v>
      </c>
      <c r="U791">
        <v>4.5419744593063374E-2</v>
      </c>
      <c r="V791" t="s">
        <v>154</v>
      </c>
    </row>
    <row r="792" spans="19:22" x14ac:dyDescent="0.25">
      <c r="S792" t="s">
        <v>265</v>
      </c>
      <c r="T792" t="s">
        <v>155</v>
      </c>
      <c r="U792">
        <v>3.6042327582300783E-2</v>
      </c>
      <c r="V792" t="s">
        <v>154</v>
      </c>
    </row>
    <row r="793" spans="19:22" x14ac:dyDescent="0.25">
      <c r="S793" t="s">
        <v>265</v>
      </c>
      <c r="T793" t="s">
        <v>156</v>
      </c>
      <c r="U793">
        <v>4.286930789242846E-3</v>
      </c>
      <c r="V793" t="s">
        <v>154</v>
      </c>
    </row>
    <row r="794" spans="19:22" x14ac:dyDescent="0.25">
      <c r="S794" t="s">
        <v>265</v>
      </c>
      <c r="T794" t="s">
        <v>283</v>
      </c>
      <c r="U794">
        <v>4.3375724427307258E-3</v>
      </c>
      <c r="V794" t="s">
        <v>154</v>
      </c>
    </row>
    <row r="795" spans="19:22" x14ac:dyDescent="0.25">
      <c r="S795" t="s">
        <v>265</v>
      </c>
      <c r="T795" t="s">
        <v>284</v>
      </c>
      <c r="U795">
        <v>2.2443711396977224E-2</v>
      </c>
      <c r="V795" t="s">
        <v>154</v>
      </c>
    </row>
    <row r="796" spans="19:22" x14ac:dyDescent="0.25">
      <c r="S796" t="s">
        <v>265</v>
      </c>
      <c r="T796" t="s">
        <v>157</v>
      </c>
      <c r="U796">
        <v>0.25137976621229102</v>
      </c>
      <c r="V796" t="s">
        <v>154</v>
      </c>
    </row>
    <row r="797" spans="19:22" x14ac:dyDescent="0.25">
      <c r="S797" t="s">
        <v>265</v>
      </c>
      <c r="T797" t="s">
        <v>158</v>
      </c>
      <c r="U797">
        <v>0.22882692359021134</v>
      </c>
      <c r="V797" t="s">
        <v>154</v>
      </c>
    </row>
    <row r="798" spans="19:22" x14ac:dyDescent="0.25">
      <c r="S798" t="s">
        <v>265</v>
      </c>
      <c r="T798" t="s">
        <v>159</v>
      </c>
      <c r="U798">
        <v>2.8960998566934508E-2</v>
      </c>
      <c r="V798" t="s">
        <v>154</v>
      </c>
    </row>
    <row r="799" spans="19:22" x14ac:dyDescent="0.25">
      <c r="S799" t="s">
        <v>265</v>
      </c>
      <c r="T799" t="s">
        <v>285</v>
      </c>
      <c r="U799">
        <v>2.9129554151647873E-2</v>
      </c>
      <c r="V799" t="s">
        <v>154</v>
      </c>
    </row>
    <row r="800" spans="19:22" x14ac:dyDescent="0.25">
      <c r="S800" t="s">
        <v>265</v>
      </c>
      <c r="T800" t="s">
        <v>286</v>
      </c>
      <c r="U800">
        <v>0.14130441762874807</v>
      </c>
      <c r="V800" t="s">
        <v>154</v>
      </c>
    </row>
    <row r="801" spans="19:22" x14ac:dyDescent="0.25">
      <c r="S801" t="s">
        <v>265</v>
      </c>
      <c r="T801" t="s">
        <v>160</v>
      </c>
      <c r="U801">
        <v>2.7563516295172726E-2</v>
      </c>
      <c r="V801" t="s">
        <v>154</v>
      </c>
    </row>
    <row r="802" spans="19:22" x14ac:dyDescent="0.25">
      <c r="S802" t="s">
        <v>265</v>
      </c>
      <c r="T802" t="s">
        <v>161</v>
      </c>
      <c r="U802">
        <v>2.5427298073711562E-2</v>
      </c>
      <c r="V802" t="s">
        <v>154</v>
      </c>
    </row>
    <row r="803" spans="19:22" x14ac:dyDescent="0.25">
      <c r="S803" t="s">
        <v>265</v>
      </c>
      <c r="T803" t="s">
        <v>162</v>
      </c>
      <c r="U803">
        <v>3.1035279384946379E-3</v>
      </c>
      <c r="V803" t="s">
        <v>154</v>
      </c>
    </row>
    <row r="804" spans="19:22" x14ac:dyDescent="0.25">
      <c r="S804" t="s">
        <v>265</v>
      </c>
      <c r="T804" t="s">
        <v>287</v>
      </c>
      <c r="U804">
        <v>3.0878043790785251E-3</v>
      </c>
      <c r="V804" t="s">
        <v>154</v>
      </c>
    </row>
    <row r="805" spans="19:22" x14ac:dyDescent="0.25">
      <c r="S805" t="s">
        <v>265</v>
      </c>
      <c r="T805" t="s">
        <v>288</v>
      </c>
      <c r="U805">
        <v>1.4807994545968249E-2</v>
      </c>
      <c r="V805" t="s">
        <v>154</v>
      </c>
    </row>
    <row r="806" spans="19:22" x14ac:dyDescent="0.25">
      <c r="S806" t="s">
        <v>265</v>
      </c>
      <c r="T806" t="s">
        <v>163</v>
      </c>
      <c r="U806">
        <v>4.970606410623786E-2</v>
      </c>
      <c r="V806" t="s">
        <v>154</v>
      </c>
    </row>
    <row r="807" spans="19:22" x14ac:dyDescent="0.25">
      <c r="S807" t="s">
        <v>265</v>
      </c>
      <c r="T807" t="s">
        <v>164</v>
      </c>
      <c r="U807">
        <v>4.5486140088462017E-2</v>
      </c>
      <c r="V807" t="s">
        <v>154</v>
      </c>
    </row>
    <row r="808" spans="19:22" x14ac:dyDescent="0.25">
      <c r="S808" t="s">
        <v>265</v>
      </c>
      <c r="T808" t="s">
        <v>165</v>
      </c>
      <c r="U808">
        <v>5.6570501837365835E-3</v>
      </c>
      <c r="V808" t="s">
        <v>154</v>
      </c>
    </row>
    <row r="809" spans="19:22" x14ac:dyDescent="0.25">
      <c r="S809" t="s">
        <v>265</v>
      </c>
      <c r="T809" t="s">
        <v>289</v>
      </c>
      <c r="U809">
        <v>5.5646699931878821E-3</v>
      </c>
      <c r="V809" t="s">
        <v>154</v>
      </c>
    </row>
    <row r="810" spans="19:22" x14ac:dyDescent="0.25">
      <c r="S810" t="s">
        <v>265</v>
      </c>
      <c r="T810" t="s">
        <v>290</v>
      </c>
      <c r="U810">
        <v>2.7463987441802944E-2</v>
      </c>
      <c r="V810" t="s">
        <v>154</v>
      </c>
    </row>
    <row r="811" spans="19:22" x14ac:dyDescent="0.25">
      <c r="S811" t="s">
        <v>266</v>
      </c>
      <c r="T811" t="s">
        <v>153</v>
      </c>
      <c r="U811">
        <v>5.2670384244625813E-2</v>
      </c>
      <c r="V811" t="s">
        <v>154</v>
      </c>
    </row>
    <row r="812" spans="19:22" x14ac:dyDescent="0.25">
      <c r="S812" t="s">
        <v>266</v>
      </c>
      <c r="T812" t="s">
        <v>155</v>
      </c>
      <c r="U812">
        <v>4.6371892134945213E-2</v>
      </c>
      <c r="V812" t="s">
        <v>154</v>
      </c>
    </row>
    <row r="813" spans="19:22" x14ac:dyDescent="0.25">
      <c r="S813" t="s">
        <v>266</v>
      </c>
      <c r="T813" t="s">
        <v>156</v>
      </c>
      <c r="U813">
        <v>6.1602186202303422E-3</v>
      </c>
      <c r="V813" t="s">
        <v>154</v>
      </c>
    </row>
    <row r="814" spans="19:22" x14ac:dyDescent="0.25">
      <c r="S814" t="s">
        <v>266</v>
      </c>
      <c r="T814" t="s">
        <v>283</v>
      </c>
      <c r="U814">
        <v>6.0966740093635619E-3</v>
      </c>
      <c r="V814" t="s">
        <v>154</v>
      </c>
    </row>
    <row r="815" spans="19:22" x14ac:dyDescent="0.25">
      <c r="S815" t="s">
        <v>266</v>
      </c>
      <c r="T815" t="s">
        <v>284</v>
      </c>
      <c r="U815">
        <v>2.7645015331912926E-2</v>
      </c>
      <c r="V815" t="s">
        <v>154</v>
      </c>
    </row>
    <row r="816" spans="19:22" x14ac:dyDescent="0.25">
      <c r="S816" t="s">
        <v>266</v>
      </c>
      <c r="T816" t="s">
        <v>157</v>
      </c>
      <c r="U816">
        <v>0.24610274829875439</v>
      </c>
      <c r="V816" t="s">
        <v>154</v>
      </c>
    </row>
    <row r="817" spans="19:22" x14ac:dyDescent="0.25">
      <c r="S817" t="s">
        <v>266</v>
      </c>
      <c r="T817" t="s">
        <v>158</v>
      </c>
      <c r="U817">
        <v>0.20987456231867674</v>
      </c>
      <c r="V817" t="s">
        <v>154</v>
      </c>
    </row>
    <row r="818" spans="19:22" x14ac:dyDescent="0.25">
      <c r="S818" t="s">
        <v>266</v>
      </c>
      <c r="T818" t="s">
        <v>159</v>
      </c>
      <c r="U818">
        <v>3.0349058972934859E-2</v>
      </c>
      <c r="V818" t="s">
        <v>154</v>
      </c>
    </row>
    <row r="819" spans="19:22" x14ac:dyDescent="0.25">
      <c r="S819" t="s">
        <v>266</v>
      </c>
      <c r="T819" t="s">
        <v>285</v>
      </c>
      <c r="U819">
        <v>3.0949170610740123E-2</v>
      </c>
      <c r="V819" t="s">
        <v>154</v>
      </c>
    </row>
    <row r="820" spans="19:22" x14ac:dyDescent="0.25">
      <c r="S820" t="s">
        <v>266</v>
      </c>
      <c r="T820" t="s">
        <v>286</v>
      </c>
      <c r="U820">
        <v>0.13808771245652482</v>
      </c>
      <c r="V820" t="s">
        <v>154</v>
      </c>
    </row>
    <row r="821" spans="19:22" x14ac:dyDescent="0.25">
      <c r="S821" t="s">
        <v>266</v>
      </c>
      <c r="T821" t="s">
        <v>160</v>
      </c>
      <c r="U821">
        <v>3.0422620172069099E-2</v>
      </c>
      <c r="V821" t="s">
        <v>154</v>
      </c>
    </row>
    <row r="822" spans="19:22" x14ac:dyDescent="0.25">
      <c r="S822" t="s">
        <v>266</v>
      </c>
      <c r="T822" t="s">
        <v>161</v>
      </c>
      <c r="U822">
        <v>1.9262374649799428E-2</v>
      </c>
      <c r="V822" t="s">
        <v>154</v>
      </c>
    </row>
    <row r="823" spans="19:22" x14ac:dyDescent="0.25">
      <c r="S823" t="s">
        <v>266</v>
      </c>
      <c r="T823" t="s">
        <v>162</v>
      </c>
      <c r="U823">
        <v>2.3710101201923342E-3</v>
      </c>
      <c r="V823" t="s">
        <v>154</v>
      </c>
    </row>
    <row r="824" spans="19:22" x14ac:dyDescent="0.25">
      <c r="S824" t="s">
        <v>266</v>
      </c>
      <c r="T824" t="s">
        <v>287</v>
      </c>
      <c r="U824">
        <v>2.5334147002357929E-3</v>
      </c>
      <c r="V824" t="s">
        <v>154</v>
      </c>
    </row>
    <row r="825" spans="19:22" x14ac:dyDescent="0.25">
      <c r="S825" t="s">
        <v>266</v>
      </c>
      <c r="T825" t="s">
        <v>288</v>
      </c>
      <c r="U825">
        <v>1.3586691404719999E-2</v>
      </c>
      <c r="V825" t="s">
        <v>154</v>
      </c>
    </row>
    <row r="826" spans="19:22" x14ac:dyDescent="0.25">
      <c r="S826" t="s">
        <v>266</v>
      </c>
      <c r="T826" t="s">
        <v>163</v>
      </c>
      <c r="U826">
        <v>5.3490421645911147E-2</v>
      </c>
      <c r="V826" t="s">
        <v>154</v>
      </c>
    </row>
    <row r="827" spans="19:22" x14ac:dyDescent="0.25">
      <c r="S827" t="s">
        <v>266</v>
      </c>
      <c r="T827" t="s">
        <v>164</v>
      </c>
      <c r="U827">
        <v>4.3611293438206855E-2</v>
      </c>
      <c r="V827" t="s">
        <v>154</v>
      </c>
    </row>
    <row r="828" spans="19:22" x14ac:dyDescent="0.25">
      <c r="S828" t="s">
        <v>266</v>
      </c>
      <c r="T828" t="s">
        <v>165</v>
      </c>
      <c r="U828">
        <v>5.7093962475527286E-3</v>
      </c>
      <c r="V828" t="s">
        <v>154</v>
      </c>
    </row>
    <row r="829" spans="19:22" x14ac:dyDescent="0.25">
      <c r="S829" t="s">
        <v>266</v>
      </c>
      <c r="T829" t="s">
        <v>289</v>
      </c>
      <c r="U829">
        <v>5.8316943244498612E-3</v>
      </c>
      <c r="V829" t="s">
        <v>154</v>
      </c>
    </row>
    <row r="830" spans="19:22" x14ac:dyDescent="0.25">
      <c r="S830" t="s">
        <v>266</v>
      </c>
      <c r="T830" t="s">
        <v>290</v>
      </c>
      <c r="U830">
        <v>2.8873646298158195E-2</v>
      </c>
      <c r="V830" t="s">
        <v>154</v>
      </c>
    </row>
    <row r="831" spans="19:22" x14ac:dyDescent="0.25">
      <c r="S831" t="s">
        <v>267</v>
      </c>
      <c r="T831" t="s">
        <v>153</v>
      </c>
      <c r="U831">
        <v>5.2431990065076255E-2</v>
      </c>
      <c r="V831" t="s">
        <v>154</v>
      </c>
    </row>
    <row r="832" spans="19:22" x14ac:dyDescent="0.25">
      <c r="S832" t="s">
        <v>267</v>
      </c>
      <c r="T832" t="s">
        <v>155</v>
      </c>
      <c r="U832">
        <v>4.9255396454366315E-2</v>
      </c>
      <c r="V832" t="s">
        <v>154</v>
      </c>
    </row>
    <row r="833" spans="19:22" x14ac:dyDescent="0.25">
      <c r="S833" t="s">
        <v>267</v>
      </c>
      <c r="T833" t="s">
        <v>156</v>
      </c>
      <c r="U833">
        <v>6.3563944076754286E-3</v>
      </c>
      <c r="V833" t="s">
        <v>154</v>
      </c>
    </row>
    <row r="834" spans="19:22" x14ac:dyDescent="0.25">
      <c r="S834" t="s">
        <v>267</v>
      </c>
      <c r="T834" t="s">
        <v>283</v>
      </c>
      <c r="U834">
        <v>6.1596948316757806E-3</v>
      </c>
      <c r="V834" t="s">
        <v>154</v>
      </c>
    </row>
    <row r="835" spans="19:22" x14ac:dyDescent="0.25">
      <c r="S835" t="s">
        <v>267</v>
      </c>
      <c r="T835" t="s">
        <v>284</v>
      </c>
      <c r="U835">
        <v>2.6317707224449104E-2</v>
      </c>
      <c r="V835" t="s">
        <v>154</v>
      </c>
    </row>
    <row r="836" spans="19:22" x14ac:dyDescent="0.25">
      <c r="S836" t="s">
        <v>267</v>
      </c>
      <c r="T836" t="s">
        <v>157</v>
      </c>
      <c r="U836">
        <v>0.23190094820468543</v>
      </c>
      <c r="V836" t="s">
        <v>154</v>
      </c>
    </row>
    <row r="837" spans="19:22" x14ac:dyDescent="0.25">
      <c r="S837" t="s">
        <v>267</v>
      </c>
      <c r="T837" t="s">
        <v>158</v>
      </c>
      <c r="U837">
        <v>0.226589666129701</v>
      </c>
      <c r="V837" t="s">
        <v>154</v>
      </c>
    </row>
    <row r="838" spans="19:22" x14ac:dyDescent="0.25">
      <c r="S838" t="s">
        <v>267</v>
      </c>
      <c r="T838" t="s">
        <v>159</v>
      </c>
      <c r="U838">
        <v>3.1344036238807077E-2</v>
      </c>
      <c r="V838" t="s">
        <v>154</v>
      </c>
    </row>
    <row r="839" spans="19:22" x14ac:dyDescent="0.25">
      <c r="S839" t="s">
        <v>267</v>
      </c>
      <c r="T839" t="s">
        <v>285</v>
      </c>
      <c r="U839">
        <v>3.0840218760131915E-2</v>
      </c>
      <c r="V839" t="s">
        <v>154</v>
      </c>
    </row>
    <row r="840" spans="19:22" x14ac:dyDescent="0.25">
      <c r="S840" t="s">
        <v>267</v>
      </c>
      <c r="T840" t="s">
        <v>286</v>
      </c>
      <c r="U840">
        <v>0.13240785071366742</v>
      </c>
      <c r="V840" t="s">
        <v>154</v>
      </c>
    </row>
    <row r="841" spans="19:22" x14ac:dyDescent="0.25">
      <c r="S841" t="s">
        <v>267</v>
      </c>
      <c r="T841" t="s">
        <v>160</v>
      </c>
      <c r="U841">
        <v>2.9481377442047162E-2</v>
      </c>
      <c r="V841" t="s">
        <v>154</v>
      </c>
    </row>
    <row r="842" spans="19:22" x14ac:dyDescent="0.25">
      <c r="S842" t="s">
        <v>267</v>
      </c>
      <c r="T842" t="s">
        <v>161</v>
      </c>
      <c r="U842">
        <v>1.9361102100878803E-2</v>
      </c>
      <c r="V842" t="s">
        <v>154</v>
      </c>
    </row>
    <row r="843" spans="19:22" x14ac:dyDescent="0.25">
      <c r="S843" t="s">
        <v>267</v>
      </c>
      <c r="T843" t="s">
        <v>162</v>
      </c>
      <c r="U843">
        <v>2.7447844542052647E-3</v>
      </c>
      <c r="V843" t="s">
        <v>154</v>
      </c>
    </row>
    <row r="844" spans="19:22" x14ac:dyDescent="0.25">
      <c r="S844" t="s">
        <v>267</v>
      </c>
      <c r="T844" t="s">
        <v>287</v>
      </c>
      <c r="U844">
        <v>2.9721358434738158E-3</v>
      </c>
      <c r="V844" t="s">
        <v>154</v>
      </c>
    </row>
    <row r="845" spans="19:22" x14ac:dyDescent="0.25">
      <c r="S845" t="s">
        <v>267</v>
      </c>
      <c r="T845" t="s">
        <v>288</v>
      </c>
      <c r="U845">
        <v>1.4652408040825675E-2</v>
      </c>
      <c r="V845" t="s">
        <v>154</v>
      </c>
    </row>
    <row r="846" spans="19:22" x14ac:dyDescent="0.25">
      <c r="S846" t="s">
        <v>267</v>
      </c>
      <c r="T846" t="s">
        <v>163</v>
      </c>
      <c r="U846">
        <v>5.0318150646910649E-2</v>
      </c>
      <c r="V846" t="s">
        <v>154</v>
      </c>
    </row>
    <row r="847" spans="19:22" x14ac:dyDescent="0.25">
      <c r="S847" t="s">
        <v>267</v>
      </c>
      <c r="T847" t="s">
        <v>164</v>
      </c>
      <c r="U847">
        <v>4.4899581168294601E-2</v>
      </c>
      <c r="V847" t="s">
        <v>154</v>
      </c>
    </row>
    <row r="848" spans="19:22" x14ac:dyDescent="0.25">
      <c r="S848" t="s">
        <v>267</v>
      </c>
      <c r="T848" t="s">
        <v>165</v>
      </c>
      <c r="U848">
        <v>5.8835173670723044E-3</v>
      </c>
      <c r="V848" t="s">
        <v>154</v>
      </c>
    </row>
    <row r="849" spans="19:22" x14ac:dyDescent="0.25">
      <c r="S849" t="s">
        <v>267</v>
      </c>
      <c r="T849" t="s">
        <v>289</v>
      </c>
      <c r="U849">
        <v>6.0968345151352571E-3</v>
      </c>
      <c r="V849" t="s">
        <v>154</v>
      </c>
    </row>
    <row r="850" spans="19:22" x14ac:dyDescent="0.25">
      <c r="S850" t="s">
        <v>267</v>
      </c>
      <c r="T850" t="s">
        <v>290</v>
      </c>
      <c r="U850">
        <v>2.9986205390926991E-2</v>
      </c>
      <c r="V850" t="s">
        <v>154</v>
      </c>
    </row>
    <row r="851" spans="19:22" x14ac:dyDescent="0.25">
      <c r="S851" t="s">
        <v>268</v>
      </c>
      <c r="T851" t="s">
        <v>153</v>
      </c>
      <c r="U851">
        <v>5.360824339185729E-2</v>
      </c>
      <c r="V851" t="s">
        <v>154</v>
      </c>
    </row>
    <row r="852" spans="19:22" x14ac:dyDescent="0.25">
      <c r="S852" t="s">
        <v>268</v>
      </c>
      <c r="T852" t="s">
        <v>155</v>
      </c>
      <c r="U852">
        <v>4.0499668141479039E-2</v>
      </c>
      <c r="V852" t="s">
        <v>154</v>
      </c>
    </row>
    <row r="853" spans="19:22" x14ac:dyDescent="0.25">
      <c r="S853" t="s">
        <v>268</v>
      </c>
      <c r="T853" t="s">
        <v>156</v>
      </c>
      <c r="U853">
        <v>5.4095290712831753E-3</v>
      </c>
      <c r="V853" t="s">
        <v>154</v>
      </c>
    </row>
    <row r="854" spans="19:22" x14ac:dyDescent="0.25">
      <c r="S854" t="s">
        <v>268</v>
      </c>
      <c r="T854" t="s">
        <v>283</v>
      </c>
      <c r="U854">
        <v>5.577317716819314E-3</v>
      </c>
      <c r="V854" t="s">
        <v>154</v>
      </c>
    </row>
    <row r="855" spans="19:22" x14ac:dyDescent="0.25">
      <c r="S855" t="s">
        <v>268</v>
      </c>
      <c r="T855" t="s">
        <v>284</v>
      </c>
      <c r="U855">
        <v>2.5785317765242271E-2</v>
      </c>
      <c r="V855" t="s">
        <v>154</v>
      </c>
    </row>
    <row r="856" spans="19:22" x14ac:dyDescent="0.25">
      <c r="S856" t="s">
        <v>268</v>
      </c>
      <c r="T856" t="s">
        <v>157</v>
      </c>
      <c r="U856">
        <v>0.25229475375437738</v>
      </c>
      <c r="V856" t="s">
        <v>154</v>
      </c>
    </row>
    <row r="857" spans="19:22" x14ac:dyDescent="0.25">
      <c r="S857" t="s">
        <v>268</v>
      </c>
      <c r="T857" t="s">
        <v>158</v>
      </c>
      <c r="U857">
        <v>0.21572937987469293</v>
      </c>
      <c r="V857" t="s">
        <v>154</v>
      </c>
    </row>
    <row r="858" spans="19:22" x14ac:dyDescent="0.25">
      <c r="S858" t="s">
        <v>268</v>
      </c>
      <c r="T858" t="s">
        <v>159</v>
      </c>
      <c r="U858">
        <v>3.2244374814885797E-2</v>
      </c>
      <c r="V858" t="s">
        <v>154</v>
      </c>
    </row>
    <row r="859" spans="19:22" x14ac:dyDescent="0.25">
      <c r="S859" t="s">
        <v>268</v>
      </c>
      <c r="T859" t="s">
        <v>285</v>
      </c>
      <c r="U859">
        <v>3.3023446156528649E-2</v>
      </c>
      <c r="V859" t="s">
        <v>154</v>
      </c>
    </row>
    <row r="860" spans="19:22" x14ac:dyDescent="0.25">
      <c r="S860" t="s">
        <v>268</v>
      </c>
      <c r="T860" t="s">
        <v>286</v>
      </c>
      <c r="U860">
        <v>0.14446951961376037</v>
      </c>
      <c r="V860" t="s">
        <v>154</v>
      </c>
    </row>
    <row r="861" spans="19:22" x14ac:dyDescent="0.25">
      <c r="S861" t="s">
        <v>268</v>
      </c>
      <c r="T861" t="s">
        <v>160</v>
      </c>
      <c r="U861">
        <v>2.8604478395992727E-2</v>
      </c>
      <c r="V861" t="s">
        <v>154</v>
      </c>
    </row>
    <row r="862" spans="19:22" x14ac:dyDescent="0.25">
      <c r="S862" t="s">
        <v>268</v>
      </c>
      <c r="T862" t="s">
        <v>161</v>
      </c>
      <c r="U862">
        <v>1.8847583154340423E-2</v>
      </c>
      <c r="V862" t="s">
        <v>154</v>
      </c>
    </row>
    <row r="863" spans="19:22" x14ac:dyDescent="0.25">
      <c r="S863" t="s">
        <v>268</v>
      </c>
      <c r="T863" t="s">
        <v>162</v>
      </c>
      <c r="U863">
        <v>2.3121276161371749E-3</v>
      </c>
      <c r="V863" t="s">
        <v>154</v>
      </c>
    </row>
    <row r="864" spans="19:22" x14ac:dyDescent="0.25">
      <c r="S864" t="s">
        <v>268</v>
      </c>
      <c r="T864" t="s">
        <v>287</v>
      </c>
      <c r="U864">
        <v>2.4067648862530055E-3</v>
      </c>
      <c r="V864" t="s">
        <v>154</v>
      </c>
    </row>
    <row r="865" spans="19:22" x14ac:dyDescent="0.25">
      <c r="S865" t="s">
        <v>268</v>
      </c>
      <c r="T865" t="s">
        <v>288</v>
      </c>
      <c r="U865">
        <v>1.2552140344577103E-2</v>
      </c>
      <c r="V865" t="s">
        <v>154</v>
      </c>
    </row>
    <row r="866" spans="19:22" x14ac:dyDescent="0.25">
      <c r="S866" t="s">
        <v>268</v>
      </c>
      <c r="T866" t="s">
        <v>163</v>
      </c>
      <c r="U866">
        <v>5.0185155325842522E-2</v>
      </c>
      <c r="V866" t="s">
        <v>154</v>
      </c>
    </row>
    <row r="867" spans="19:22" x14ac:dyDescent="0.25">
      <c r="S867" t="s">
        <v>268</v>
      </c>
      <c r="T867" t="s">
        <v>164</v>
      </c>
      <c r="U867">
        <v>3.8149565565059981E-2</v>
      </c>
      <c r="V867" t="s">
        <v>154</v>
      </c>
    </row>
    <row r="868" spans="19:22" x14ac:dyDescent="0.25">
      <c r="S868" t="s">
        <v>268</v>
      </c>
      <c r="T868" t="s">
        <v>165</v>
      </c>
      <c r="U868">
        <v>5.1465791270765057E-3</v>
      </c>
      <c r="V868" t="s">
        <v>154</v>
      </c>
    </row>
    <row r="869" spans="19:22" x14ac:dyDescent="0.25">
      <c r="S869" t="s">
        <v>268</v>
      </c>
      <c r="T869" t="s">
        <v>289</v>
      </c>
      <c r="U869">
        <v>5.4489804644763844E-3</v>
      </c>
      <c r="V869" t="s">
        <v>154</v>
      </c>
    </row>
    <row r="870" spans="19:22" x14ac:dyDescent="0.25">
      <c r="S870" t="s">
        <v>268</v>
      </c>
      <c r="T870" t="s">
        <v>290</v>
      </c>
      <c r="U870">
        <v>2.7705074819318404E-2</v>
      </c>
      <c r="V870" t="s">
        <v>154</v>
      </c>
    </row>
    <row r="871" spans="19:22" x14ac:dyDescent="0.25">
      <c r="S871" t="s">
        <v>269</v>
      </c>
      <c r="T871" t="s">
        <v>153</v>
      </c>
      <c r="U871">
        <v>4.6118147291603073E-2</v>
      </c>
      <c r="V871" t="s">
        <v>154</v>
      </c>
    </row>
    <row r="872" spans="19:22" x14ac:dyDescent="0.25">
      <c r="S872" t="s">
        <v>269</v>
      </c>
      <c r="T872" t="s">
        <v>155</v>
      </c>
      <c r="U872">
        <v>3.0976252656589882E-2</v>
      </c>
      <c r="V872" t="s">
        <v>154</v>
      </c>
    </row>
    <row r="873" spans="19:22" x14ac:dyDescent="0.25">
      <c r="S873" t="s">
        <v>269</v>
      </c>
      <c r="T873" t="s">
        <v>156</v>
      </c>
      <c r="U873">
        <v>3.5122992326171248E-3</v>
      </c>
      <c r="V873" t="s">
        <v>154</v>
      </c>
    </row>
    <row r="874" spans="19:22" x14ac:dyDescent="0.25">
      <c r="S874" t="s">
        <v>269</v>
      </c>
      <c r="T874" t="s">
        <v>283</v>
      </c>
      <c r="U874">
        <v>3.7899724420993102E-3</v>
      </c>
      <c r="V874" t="s">
        <v>154</v>
      </c>
    </row>
    <row r="875" spans="19:22" x14ac:dyDescent="0.25">
      <c r="S875" t="s">
        <v>269</v>
      </c>
      <c r="T875" t="s">
        <v>284</v>
      </c>
      <c r="U875">
        <v>1.9008184269067925E-2</v>
      </c>
      <c r="V875" t="s">
        <v>154</v>
      </c>
    </row>
    <row r="876" spans="19:22" x14ac:dyDescent="0.25">
      <c r="S876" t="s">
        <v>269</v>
      </c>
      <c r="T876" t="s">
        <v>157</v>
      </c>
      <c r="U876">
        <v>0.27330338458692588</v>
      </c>
      <c r="V876" t="s">
        <v>154</v>
      </c>
    </row>
    <row r="877" spans="19:22" x14ac:dyDescent="0.25">
      <c r="S877" t="s">
        <v>269</v>
      </c>
      <c r="T877" t="s">
        <v>158</v>
      </c>
      <c r="U877">
        <v>0.22130450958230063</v>
      </c>
      <c r="V877" t="s">
        <v>154</v>
      </c>
    </row>
    <row r="878" spans="19:22" x14ac:dyDescent="0.25">
      <c r="S878" t="s">
        <v>269</v>
      </c>
      <c r="T878" t="s">
        <v>159</v>
      </c>
      <c r="U878">
        <v>3.0755033497440586E-2</v>
      </c>
      <c r="V878" t="s">
        <v>154</v>
      </c>
    </row>
    <row r="879" spans="19:22" x14ac:dyDescent="0.25">
      <c r="S879" t="s">
        <v>269</v>
      </c>
      <c r="T879" t="s">
        <v>285</v>
      </c>
      <c r="U879">
        <v>3.1852732656864682E-2</v>
      </c>
      <c r="V879" t="s">
        <v>154</v>
      </c>
    </row>
    <row r="880" spans="19:22" x14ac:dyDescent="0.25">
      <c r="S880" t="s">
        <v>269</v>
      </c>
      <c r="T880" t="s">
        <v>286</v>
      </c>
      <c r="U880">
        <v>0.1521797875715743</v>
      </c>
      <c r="V880" t="s">
        <v>154</v>
      </c>
    </row>
    <row r="881" spans="19:22" x14ac:dyDescent="0.25">
      <c r="S881" t="s">
        <v>269</v>
      </c>
      <c r="T881" t="s">
        <v>160</v>
      </c>
      <c r="U881">
        <v>2.7068351475266185E-2</v>
      </c>
      <c r="V881" t="s">
        <v>154</v>
      </c>
    </row>
    <row r="882" spans="19:22" x14ac:dyDescent="0.25">
      <c r="S882" t="s">
        <v>269</v>
      </c>
      <c r="T882" t="s">
        <v>161</v>
      </c>
      <c r="U882">
        <v>2.0758948842267495E-2</v>
      </c>
      <c r="V882" t="s">
        <v>154</v>
      </c>
    </row>
    <row r="883" spans="19:22" x14ac:dyDescent="0.25">
      <c r="S883" t="s">
        <v>269</v>
      </c>
      <c r="T883" t="s">
        <v>162</v>
      </c>
      <c r="U883">
        <v>2.800692904689418E-3</v>
      </c>
      <c r="V883" t="s">
        <v>154</v>
      </c>
    </row>
    <row r="884" spans="19:22" x14ac:dyDescent="0.25">
      <c r="S884" t="s">
        <v>269</v>
      </c>
      <c r="T884" t="s">
        <v>287</v>
      </c>
      <c r="U884">
        <v>2.8346466236123108E-3</v>
      </c>
      <c r="V884" t="s">
        <v>154</v>
      </c>
    </row>
    <row r="885" spans="19:22" x14ac:dyDescent="0.25">
      <c r="S885" t="s">
        <v>269</v>
      </c>
      <c r="T885" t="s">
        <v>288</v>
      </c>
      <c r="U885">
        <v>1.3538839664603246E-2</v>
      </c>
      <c r="V885" t="s">
        <v>154</v>
      </c>
    </row>
    <row r="886" spans="19:22" x14ac:dyDescent="0.25">
      <c r="S886" t="s">
        <v>269</v>
      </c>
      <c r="T886" t="s">
        <v>163</v>
      </c>
      <c r="U886">
        <v>4.6163657544997912E-2</v>
      </c>
      <c r="V886" t="s">
        <v>154</v>
      </c>
    </row>
    <row r="887" spans="19:22" x14ac:dyDescent="0.25">
      <c r="S887" t="s">
        <v>269</v>
      </c>
      <c r="T887" t="s">
        <v>164</v>
      </c>
      <c r="U887">
        <v>3.8961656776731551E-2</v>
      </c>
      <c r="V887" t="s">
        <v>154</v>
      </c>
    </row>
    <row r="888" spans="19:22" x14ac:dyDescent="0.25">
      <c r="S888" t="s">
        <v>269</v>
      </c>
      <c r="T888" t="s">
        <v>165</v>
      </c>
      <c r="U888">
        <v>4.9102429586246228E-3</v>
      </c>
      <c r="V888" t="s">
        <v>154</v>
      </c>
    </row>
    <row r="889" spans="19:22" x14ac:dyDescent="0.25">
      <c r="S889" t="s">
        <v>269</v>
      </c>
      <c r="T889" t="s">
        <v>289</v>
      </c>
      <c r="U889">
        <v>4.9118311494380272E-3</v>
      </c>
      <c r="V889" t="s">
        <v>154</v>
      </c>
    </row>
    <row r="890" spans="19:22" x14ac:dyDescent="0.25">
      <c r="S890" t="s">
        <v>269</v>
      </c>
      <c r="T890" t="s">
        <v>290</v>
      </c>
      <c r="U890">
        <v>2.5250828272682563E-2</v>
      </c>
      <c r="V890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FF03-58BA-4319-B1A3-9845DAB4D631}">
  <dimension ref="A9:AN133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296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151</v>
      </c>
      <c r="L10" t="s">
        <v>30</v>
      </c>
      <c r="N10" t="s">
        <v>13</v>
      </c>
      <c r="O10" t="s">
        <v>116</v>
      </c>
      <c r="P10" t="s">
        <v>151</v>
      </c>
      <c r="Q10" t="s">
        <v>30</v>
      </c>
      <c r="S10" t="s">
        <v>13</v>
      </c>
      <c r="T10" t="s">
        <v>116</v>
      </c>
      <c r="U10" t="s">
        <v>151</v>
      </c>
      <c r="V10" t="s">
        <v>30</v>
      </c>
      <c r="X10" t="s">
        <v>270</v>
      </c>
      <c r="Y10" t="s">
        <v>151</v>
      </c>
      <c r="Z10" t="s">
        <v>116</v>
      </c>
      <c r="AA10" t="s">
        <v>13</v>
      </c>
      <c r="AC10" t="s">
        <v>13</v>
      </c>
      <c r="AD10" t="s">
        <v>116</v>
      </c>
      <c r="AE10" t="s">
        <v>151</v>
      </c>
      <c r="AG10" t="s">
        <v>13</v>
      </c>
      <c r="AH10" t="s">
        <v>116</v>
      </c>
      <c r="AI10" t="s">
        <v>276</v>
      </c>
      <c r="AK10" t="s">
        <v>47</v>
      </c>
      <c r="AL10" t="s">
        <v>116</v>
      </c>
      <c r="AM10" t="s">
        <v>277</v>
      </c>
      <c r="AN10" t="s">
        <v>278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293</v>
      </c>
      <c r="G11" t="s">
        <v>143</v>
      </c>
      <c r="I11" t="s">
        <v>152</v>
      </c>
      <c r="J11" t="s">
        <v>153</v>
      </c>
      <c r="K11">
        <v>5.3626147371590221E-3</v>
      </c>
      <c r="L11" t="s">
        <v>154</v>
      </c>
      <c r="N11" t="s">
        <v>195</v>
      </c>
      <c r="O11" t="s">
        <v>153</v>
      </c>
      <c r="P11">
        <v>4.1990819198183947E-2</v>
      </c>
      <c r="Q11" t="s">
        <v>154</v>
      </c>
      <c r="S11" t="s">
        <v>226</v>
      </c>
      <c r="T11" t="s">
        <v>153</v>
      </c>
      <c r="U11">
        <v>4.7331092146113106E-2</v>
      </c>
      <c r="V11" t="s">
        <v>154</v>
      </c>
      <c r="X11">
        <v>3.6986301369863014E-2</v>
      </c>
      <c r="Y11">
        <v>2.3473137259776754E-2</v>
      </c>
      <c r="Z11" t="s">
        <v>153</v>
      </c>
      <c r="AA11" t="s">
        <v>25</v>
      </c>
      <c r="AC11" t="s">
        <v>22</v>
      </c>
      <c r="AD11" t="s">
        <v>153</v>
      </c>
      <c r="AE11">
        <v>3.611155215249974E-2</v>
      </c>
      <c r="AG11" t="s">
        <v>97</v>
      </c>
      <c r="AH11" t="s">
        <v>153</v>
      </c>
      <c r="AI11">
        <v>0.23321428258539689</v>
      </c>
      <c r="AK11">
        <v>2020</v>
      </c>
      <c r="AL11" t="s">
        <v>142</v>
      </c>
      <c r="AM11">
        <v>0.26720804315727364</v>
      </c>
      <c r="AN11" t="s">
        <v>279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5.0807647701259021E-2</v>
      </c>
      <c r="L12" t="s">
        <v>154</v>
      </c>
      <c r="N12" t="s">
        <v>195</v>
      </c>
      <c r="O12" t="s">
        <v>155</v>
      </c>
      <c r="P12">
        <v>3.7432268294615378E-2</v>
      </c>
      <c r="Q12" t="s">
        <v>154</v>
      </c>
      <c r="S12" t="s">
        <v>226</v>
      </c>
      <c r="T12" t="s">
        <v>155</v>
      </c>
      <c r="U12">
        <v>3.8075321523878068E-2</v>
      </c>
      <c r="V12" t="s">
        <v>154</v>
      </c>
      <c r="X12">
        <v>3.287671232876712E-2</v>
      </c>
      <c r="Y12">
        <v>4.5442657186187015E-2</v>
      </c>
      <c r="Z12" t="s">
        <v>155</v>
      </c>
      <c r="AA12" t="s">
        <v>25</v>
      </c>
      <c r="AC12" t="s">
        <v>22</v>
      </c>
      <c r="AD12" t="s">
        <v>155</v>
      </c>
      <c r="AE12">
        <v>4.3159708791352169E-2</v>
      </c>
      <c r="AG12" t="s">
        <v>97</v>
      </c>
      <c r="AH12" t="s">
        <v>155</v>
      </c>
      <c r="AI12">
        <v>7.3512811862614713E-2</v>
      </c>
      <c r="AK12">
        <v>2020</v>
      </c>
      <c r="AL12" t="s">
        <v>146</v>
      </c>
      <c r="AM12">
        <v>0.2803102713035806</v>
      </c>
      <c r="AN12" t="s">
        <v>279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1.8116182377890177E-3</v>
      </c>
      <c r="L13" t="s">
        <v>154</v>
      </c>
      <c r="N13" t="s">
        <v>195</v>
      </c>
      <c r="O13" t="s">
        <v>156</v>
      </c>
      <c r="P13">
        <v>5.1623666680996327E-3</v>
      </c>
      <c r="Q13" t="s">
        <v>154</v>
      </c>
      <c r="S13" t="s">
        <v>226</v>
      </c>
      <c r="T13" t="s">
        <v>156</v>
      </c>
      <c r="U13">
        <v>4.7395196778244652E-3</v>
      </c>
      <c r="V13" t="s">
        <v>154</v>
      </c>
      <c r="X13">
        <v>4.10958904109589E-3</v>
      </c>
      <c r="Y13">
        <v>7.9954255028217708E-3</v>
      </c>
      <c r="Z13" t="s">
        <v>156</v>
      </c>
      <c r="AA13" t="s">
        <v>25</v>
      </c>
      <c r="AC13" t="s">
        <v>22</v>
      </c>
      <c r="AD13" t="s">
        <v>156</v>
      </c>
      <c r="AE13">
        <v>5.7094447673934632E-3</v>
      </c>
      <c r="AG13" t="s">
        <v>97</v>
      </c>
      <c r="AH13" t="s">
        <v>156</v>
      </c>
      <c r="AI13">
        <v>5.4946482841405686E-2</v>
      </c>
      <c r="AK13">
        <v>2020</v>
      </c>
      <c r="AL13" t="s">
        <v>148</v>
      </c>
      <c r="AM13">
        <v>0.3363326135242416</v>
      </c>
      <c r="AN13" t="s">
        <v>279</v>
      </c>
    </row>
    <row r="14" spans="1:40" x14ac:dyDescent="0.25">
      <c r="C14" t="s">
        <v>150</v>
      </c>
      <c r="E14" t="s">
        <v>280</v>
      </c>
      <c r="G14" t="s">
        <v>143</v>
      </c>
      <c r="I14" t="s">
        <v>152</v>
      </c>
      <c r="J14" t="s">
        <v>283</v>
      </c>
      <c r="K14">
        <v>0</v>
      </c>
      <c r="L14" t="s">
        <v>154</v>
      </c>
      <c r="N14" t="s">
        <v>195</v>
      </c>
      <c r="O14" t="s">
        <v>283</v>
      </c>
      <c r="P14">
        <v>4.7821200629141495E-3</v>
      </c>
      <c r="Q14" t="s">
        <v>154</v>
      </c>
      <c r="S14" t="s">
        <v>226</v>
      </c>
      <c r="T14" t="s">
        <v>283</v>
      </c>
      <c r="U14">
        <v>4.4234485655201827E-3</v>
      </c>
      <c r="V14" t="s">
        <v>154</v>
      </c>
      <c r="X14">
        <v>4.10958904109589E-3</v>
      </c>
      <c r="Y14">
        <v>6.2054048678616743E-3</v>
      </c>
      <c r="Z14" t="s">
        <v>283</v>
      </c>
      <c r="AA14" t="s">
        <v>25</v>
      </c>
      <c r="AC14" t="s">
        <v>22</v>
      </c>
      <c r="AD14" t="s">
        <v>283</v>
      </c>
      <c r="AE14">
        <v>5.7716348834399838E-3</v>
      </c>
      <c r="AG14" t="s">
        <v>97</v>
      </c>
      <c r="AH14" t="s">
        <v>283</v>
      </c>
      <c r="AI14">
        <v>4.8519371237761622E-2</v>
      </c>
      <c r="AK14">
        <v>2020</v>
      </c>
      <c r="AL14" t="s">
        <v>150</v>
      </c>
      <c r="AM14">
        <v>0.2335671871059449</v>
      </c>
      <c r="AN14" t="s">
        <v>279</v>
      </c>
    </row>
    <row r="15" spans="1:40" x14ac:dyDescent="0.25">
      <c r="C15" t="s">
        <v>294</v>
      </c>
      <c r="E15" t="s">
        <v>281</v>
      </c>
      <c r="G15" t="s">
        <v>143</v>
      </c>
      <c r="I15" t="s">
        <v>152</v>
      </c>
      <c r="J15" t="s">
        <v>284</v>
      </c>
      <c r="K15">
        <v>0</v>
      </c>
      <c r="L15" t="s">
        <v>154</v>
      </c>
      <c r="N15" t="s">
        <v>195</v>
      </c>
      <c r="O15" t="s">
        <v>284</v>
      </c>
      <c r="P15">
        <v>2.4950987165546949E-2</v>
      </c>
      <c r="Q15" t="s">
        <v>154</v>
      </c>
      <c r="S15" t="s">
        <v>226</v>
      </c>
      <c r="T15" t="s">
        <v>284</v>
      </c>
      <c r="U15">
        <v>2.4912614999900572E-2</v>
      </c>
      <c r="V15" t="s">
        <v>154</v>
      </c>
      <c r="X15">
        <v>2.0547945205479451E-2</v>
      </c>
      <c r="Y15">
        <v>1.5513512169654178E-2</v>
      </c>
      <c r="Z15" t="s">
        <v>284</v>
      </c>
      <c r="AA15" t="s">
        <v>25</v>
      </c>
      <c r="AC15" t="s">
        <v>22</v>
      </c>
      <c r="AD15" t="s">
        <v>284</v>
      </c>
      <c r="AE15">
        <v>2.4709450704676408E-2</v>
      </c>
      <c r="AG15" t="s">
        <v>97</v>
      </c>
      <c r="AH15" t="s">
        <v>284</v>
      </c>
      <c r="AI15">
        <v>0.15933317374040845</v>
      </c>
      <c r="AK15">
        <v>2020</v>
      </c>
      <c r="AL15" t="s">
        <v>294</v>
      </c>
      <c r="AM15">
        <v>0.21426246901692253</v>
      </c>
      <c r="AN15" t="s">
        <v>279</v>
      </c>
    </row>
    <row r="16" spans="1:40" x14ac:dyDescent="0.25">
      <c r="C16" t="s">
        <v>295</v>
      </c>
      <c r="I16" t="s">
        <v>152</v>
      </c>
      <c r="J16" t="s">
        <v>157</v>
      </c>
      <c r="K16">
        <v>7.0239303616092435E-4</v>
      </c>
      <c r="L16" t="s">
        <v>154</v>
      </c>
      <c r="N16" t="s">
        <v>195</v>
      </c>
      <c r="O16" t="s">
        <v>157</v>
      </c>
      <c r="P16">
        <v>1.3372237028393746E-2</v>
      </c>
      <c r="Q16" t="s">
        <v>154</v>
      </c>
      <c r="S16" t="s">
        <v>226</v>
      </c>
      <c r="T16" t="s">
        <v>157</v>
      </c>
      <c r="U16">
        <v>1.1860137221271428E-2</v>
      </c>
      <c r="V16" t="s">
        <v>154</v>
      </c>
      <c r="X16">
        <v>1.0273972602739725E-2</v>
      </c>
      <c r="Y16">
        <v>6.5203159054935426E-3</v>
      </c>
      <c r="Z16" t="s">
        <v>157</v>
      </c>
      <c r="AA16" t="s">
        <v>25</v>
      </c>
      <c r="AC16" t="s">
        <v>22</v>
      </c>
      <c r="AD16" t="s">
        <v>157</v>
      </c>
      <c r="AE16">
        <v>9.6368486443113924E-3</v>
      </c>
      <c r="AG16" t="s">
        <v>97</v>
      </c>
      <c r="AH16" t="s">
        <v>157</v>
      </c>
      <c r="AI16">
        <v>0.26407831860354203</v>
      </c>
      <c r="AK16">
        <v>2020</v>
      </c>
      <c r="AL16" t="s">
        <v>295</v>
      </c>
      <c r="AM16">
        <v>0.1915744498195148</v>
      </c>
      <c r="AN16" t="s">
        <v>279</v>
      </c>
    </row>
    <row r="17" spans="9:40" x14ac:dyDescent="0.25">
      <c r="I17" t="s">
        <v>152</v>
      </c>
      <c r="J17" t="s">
        <v>158</v>
      </c>
      <c r="K17">
        <v>1.0367671943017033E-2</v>
      </c>
      <c r="L17" t="s">
        <v>154</v>
      </c>
      <c r="N17" t="s">
        <v>195</v>
      </c>
      <c r="O17" t="s">
        <v>158</v>
      </c>
      <c r="P17">
        <v>1.0638344010613376E-2</v>
      </c>
      <c r="Q17" t="s">
        <v>154</v>
      </c>
      <c r="S17" t="s">
        <v>226</v>
      </c>
      <c r="T17" t="s">
        <v>158</v>
      </c>
      <c r="U17">
        <v>1.0892549353573635E-2</v>
      </c>
      <c r="V17" t="s">
        <v>154</v>
      </c>
      <c r="X17">
        <v>9.1324200913242004E-3</v>
      </c>
      <c r="Y17">
        <v>1.2622960329496393E-2</v>
      </c>
      <c r="Z17" t="s">
        <v>158</v>
      </c>
      <c r="AA17" t="s">
        <v>25</v>
      </c>
      <c r="AC17" t="s">
        <v>22</v>
      </c>
      <c r="AD17" t="s">
        <v>158</v>
      </c>
      <c r="AE17">
        <v>1.2138161598464398E-2</v>
      </c>
      <c r="AG17" t="s">
        <v>97</v>
      </c>
      <c r="AH17" t="s">
        <v>158</v>
      </c>
      <c r="AI17">
        <v>6.2997051201858723E-2</v>
      </c>
      <c r="AK17">
        <v>2021</v>
      </c>
      <c r="AL17" t="s">
        <v>142</v>
      </c>
      <c r="AM17">
        <v>0.20762054491871684</v>
      </c>
      <c r="AN17" t="s">
        <v>279</v>
      </c>
    </row>
    <row r="18" spans="9:40" x14ac:dyDescent="0.25">
      <c r="I18" t="s">
        <v>152</v>
      </c>
      <c r="J18" t="s">
        <v>159</v>
      </c>
      <c r="K18">
        <v>2.6364482638738251E-4</v>
      </c>
      <c r="L18" t="s">
        <v>154</v>
      </c>
      <c r="N18" t="s">
        <v>195</v>
      </c>
      <c r="O18" t="s">
        <v>159</v>
      </c>
      <c r="P18">
        <v>1.3759301277018931E-3</v>
      </c>
      <c r="Q18" t="s">
        <v>154</v>
      </c>
      <c r="S18" t="s">
        <v>226</v>
      </c>
      <c r="T18" t="s">
        <v>159</v>
      </c>
      <c r="U18">
        <v>1.5047739270774992E-3</v>
      </c>
      <c r="V18" t="s">
        <v>154</v>
      </c>
      <c r="X18">
        <v>1.1415525114155251E-3</v>
      </c>
      <c r="Y18">
        <v>2.220951528561603E-3</v>
      </c>
      <c r="Z18" t="s">
        <v>159</v>
      </c>
      <c r="AA18" t="s">
        <v>25</v>
      </c>
      <c r="AC18" t="s">
        <v>22</v>
      </c>
      <c r="AD18" t="s">
        <v>159</v>
      </c>
      <c r="AE18">
        <v>1.6001478962376671E-3</v>
      </c>
      <c r="AG18" t="s">
        <v>97</v>
      </c>
      <c r="AH18" t="s">
        <v>159</v>
      </c>
      <c r="AI18">
        <v>4.6322198756436173E-2</v>
      </c>
      <c r="AK18">
        <v>2021</v>
      </c>
      <c r="AL18" t="s">
        <v>146</v>
      </c>
      <c r="AM18">
        <v>0.2244583354508648</v>
      </c>
      <c r="AN18" t="s">
        <v>279</v>
      </c>
    </row>
    <row r="19" spans="9:40" x14ac:dyDescent="0.25">
      <c r="I19" t="s">
        <v>152</v>
      </c>
      <c r="J19" t="s">
        <v>285</v>
      </c>
      <c r="K19">
        <v>0</v>
      </c>
      <c r="L19" t="s">
        <v>154</v>
      </c>
      <c r="N19" t="s">
        <v>195</v>
      </c>
      <c r="O19" t="s">
        <v>285</v>
      </c>
      <c r="P19">
        <v>1.2640414533538506E-3</v>
      </c>
      <c r="Q19" t="s">
        <v>154</v>
      </c>
      <c r="S19" t="s">
        <v>226</v>
      </c>
      <c r="T19" t="s">
        <v>285</v>
      </c>
      <c r="U19">
        <v>1.3051857908071894E-3</v>
      </c>
      <c r="V19" t="s">
        <v>154</v>
      </c>
      <c r="X19">
        <v>1.1415525114155251E-3</v>
      </c>
      <c r="Y19">
        <v>1.7237235744060198E-3</v>
      </c>
      <c r="Z19" t="s">
        <v>285</v>
      </c>
      <c r="AA19" t="s">
        <v>25</v>
      </c>
      <c r="AC19" t="s">
        <v>22</v>
      </c>
      <c r="AD19" t="s">
        <v>285</v>
      </c>
      <c r="AE19">
        <v>1.6161984883407508E-3</v>
      </c>
      <c r="AG19" t="s">
        <v>97</v>
      </c>
      <c r="AH19" t="s">
        <v>285</v>
      </c>
      <c r="AI19">
        <v>4.0575161899975898E-2</v>
      </c>
      <c r="AK19">
        <v>2021</v>
      </c>
      <c r="AL19" t="s">
        <v>148</v>
      </c>
      <c r="AM19">
        <v>0.33988277467236855</v>
      </c>
      <c r="AN19" t="s">
        <v>279</v>
      </c>
    </row>
    <row r="20" spans="9:40" x14ac:dyDescent="0.25">
      <c r="I20" t="s">
        <v>152</v>
      </c>
      <c r="J20" t="s">
        <v>286</v>
      </c>
      <c r="K20">
        <v>0</v>
      </c>
      <c r="L20" t="s">
        <v>154</v>
      </c>
      <c r="N20" t="s">
        <v>195</v>
      </c>
      <c r="O20" t="s">
        <v>286</v>
      </c>
      <c r="P20">
        <v>6.928198922949034E-3</v>
      </c>
      <c r="Q20" t="s">
        <v>154</v>
      </c>
      <c r="S20" t="s">
        <v>226</v>
      </c>
      <c r="T20" t="s">
        <v>286</v>
      </c>
      <c r="U20">
        <v>7.6422990680000804E-3</v>
      </c>
      <c r="V20" t="s">
        <v>154</v>
      </c>
      <c r="X20">
        <v>5.7077625570776253E-3</v>
      </c>
      <c r="Y20">
        <v>4.3093089360150506E-3</v>
      </c>
      <c r="Z20" t="s">
        <v>286</v>
      </c>
      <c r="AA20" t="s">
        <v>25</v>
      </c>
      <c r="AC20" t="s">
        <v>22</v>
      </c>
      <c r="AD20" t="s">
        <v>286</v>
      </c>
      <c r="AE20">
        <v>6.8910575068327692E-3</v>
      </c>
      <c r="AG20" t="s">
        <v>97</v>
      </c>
      <c r="AH20" t="s">
        <v>286</v>
      </c>
      <c r="AI20">
        <v>0.15650546103673624</v>
      </c>
      <c r="AK20">
        <v>2021</v>
      </c>
      <c r="AL20" t="s">
        <v>150</v>
      </c>
      <c r="AM20">
        <v>0.2017802565191279</v>
      </c>
      <c r="AN20" t="s">
        <v>279</v>
      </c>
    </row>
    <row r="21" spans="9:40" x14ac:dyDescent="0.25">
      <c r="I21" t="s">
        <v>152</v>
      </c>
      <c r="J21" t="s">
        <v>160</v>
      </c>
      <c r="K21">
        <v>0.11677307325134417</v>
      </c>
      <c r="L21" t="s">
        <v>154</v>
      </c>
      <c r="N21" t="s">
        <v>195</v>
      </c>
      <c r="O21" t="s">
        <v>160</v>
      </c>
      <c r="P21">
        <v>0.23723135787761265</v>
      </c>
      <c r="Q21" t="s">
        <v>154</v>
      </c>
      <c r="S21" t="s">
        <v>226</v>
      </c>
      <c r="T21" t="s">
        <v>160</v>
      </c>
      <c r="U21">
        <v>0.20988169007703514</v>
      </c>
      <c r="V21" t="s">
        <v>154</v>
      </c>
      <c r="X21">
        <v>0.24965753424657533</v>
      </c>
      <c r="Y21">
        <v>0.15844367650349306</v>
      </c>
      <c r="Z21" t="s">
        <v>160</v>
      </c>
      <c r="AA21" t="s">
        <v>25</v>
      </c>
      <c r="AC21" t="s">
        <v>22</v>
      </c>
      <c r="AD21" t="s">
        <v>160</v>
      </c>
      <c r="AE21">
        <v>0.19837776374477153</v>
      </c>
      <c r="AG21" t="s">
        <v>97</v>
      </c>
      <c r="AH21" t="s">
        <v>160</v>
      </c>
      <c r="AI21">
        <v>0.43657855992114802</v>
      </c>
      <c r="AK21">
        <v>2021</v>
      </c>
      <c r="AL21" t="s">
        <v>294</v>
      </c>
      <c r="AM21">
        <v>0.19081463120434433</v>
      </c>
      <c r="AN21" t="s">
        <v>279</v>
      </c>
    </row>
    <row r="22" spans="9:40" x14ac:dyDescent="0.25">
      <c r="I22" t="s">
        <v>152</v>
      </c>
      <c r="J22" t="s">
        <v>161</v>
      </c>
      <c r="K22">
        <v>0.61883696159183676</v>
      </c>
      <c r="L22" t="s">
        <v>154</v>
      </c>
      <c r="N22" t="s">
        <v>195</v>
      </c>
      <c r="O22" t="s">
        <v>161</v>
      </c>
      <c r="P22">
        <v>0.19810123861694301</v>
      </c>
      <c r="Q22" t="s">
        <v>154</v>
      </c>
      <c r="S22" t="s">
        <v>226</v>
      </c>
      <c r="T22" t="s">
        <v>161</v>
      </c>
      <c r="U22">
        <v>0.17810605086319906</v>
      </c>
      <c r="V22" t="s">
        <v>154</v>
      </c>
      <c r="X22">
        <v>0.22191780821917809</v>
      </c>
      <c r="Y22">
        <v>0.30673793600676236</v>
      </c>
      <c r="Z22" t="s">
        <v>161</v>
      </c>
      <c r="AA22" t="s">
        <v>25</v>
      </c>
      <c r="AC22" t="s">
        <v>22</v>
      </c>
      <c r="AD22" t="s">
        <v>161</v>
      </c>
      <c r="AE22">
        <v>0.24790997049726682</v>
      </c>
      <c r="AG22" t="s">
        <v>97</v>
      </c>
      <c r="AH22" t="s">
        <v>161</v>
      </c>
      <c r="AI22">
        <v>0.35632048820498152</v>
      </c>
      <c r="AK22">
        <v>2021</v>
      </c>
      <c r="AL22" t="s">
        <v>295</v>
      </c>
      <c r="AM22">
        <v>0.21711300586915966</v>
      </c>
      <c r="AN22" t="s">
        <v>279</v>
      </c>
    </row>
    <row r="23" spans="9:40" x14ac:dyDescent="0.25">
      <c r="I23" t="s">
        <v>152</v>
      </c>
      <c r="J23" t="s">
        <v>162</v>
      </c>
      <c r="K23">
        <v>3.7091209888687089E-2</v>
      </c>
      <c r="L23" t="s">
        <v>154</v>
      </c>
      <c r="N23" t="s">
        <v>195</v>
      </c>
      <c r="O23" t="s">
        <v>162</v>
      </c>
      <c r="P23">
        <v>2.5708044641229163E-2</v>
      </c>
      <c r="Q23" t="s">
        <v>154</v>
      </c>
      <c r="S23" t="s">
        <v>226</v>
      </c>
      <c r="T23" t="s">
        <v>162</v>
      </c>
      <c r="U23">
        <v>2.3222891985731329E-2</v>
      </c>
      <c r="V23" t="s">
        <v>154</v>
      </c>
      <c r="X23">
        <v>2.7739726027397261E-2</v>
      </c>
      <c r="Y23">
        <v>5.3969122144046949E-2</v>
      </c>
      <c r="Z23" t="s">
        <v>162</v>
      </c>
      <c r="AA23" t="s">
        <v>25</v>
      </c>
      <c r="AC23" t="s">
        <v>22</v>
      </c>
      <c r="AD23" t="s">
        <v>162</v>
      </c>
      <c r="AE23">
        <v>3.1153106170737962E-2</v>
      </c>
      <c r="AG23" t="s">
        <v>97</v>
      </c>
      <c r="AH23" t="s">
        <v>162</v>
      </c>
      <c r="AI23">
        <v>0.33729550429656729</v>
      </c>
      <c r="AK23">
        <v>2022</v>
      </c>
      <c r="AL23" t="s">
        <v>142</v>
      </c>
      <c r="AM23">
        <v>0.18993556013116755</v>
      </c>
      <c r="AN23" t="s">
        <v>279</v>
      </c>
    </row>
    <row r="24" spans="9:40" x14ac:dyDescent="0.25">
      <c r="I24" t="s">
        <v>152</v>
      </c>
      <c r="J24" t="s">
        <v>287</v>
      </c>
      <c r="K24">
        <v>1.3521384567981978E-2</v>
      </c>
      <c r="L24" t="s">
        <v>154</v>
      </c>
      <c r="N24" t="s">
        <v>195</v>
      </c>
      <c r="O24" t="s">
        <v>287</v>
      </c>
      <c r="P24">
        <v>2.3114279179930933E-2</v>
      </c>
      <c r="Q24" t="s">
        <v>154</v>
      </c>
      <c r="S24" t="s">
        <v>226</v>
      </c>
      <c r="T24" t="s">
        <v>287</v>
      </c>
      <c r="U24">
        <v>2.0705605045725311E-2</v>
      </c>
      <c r="V24" t="s">
        <v>154</v>
      </c>
      <c r="X24">
        <v>2.7739726027397261E-2</v>
      </c>
      <c r="Y24">
        <v>4.1886482858066273E-2</v>
      </c>
      <c r="Z24" t="s">
        <v>287</v>
      </c>
      <c r="AA24" t="s">
        <v>25</v>
      </c>
      <c r="AC24" t="s">
        <v>22</v>
      </c>
      <c r="AD24" t="s">
        <v>287</v>
      </c>
      <c r="AE24">
        <v>3.1098061244405208E-2</v>
      </c>
      <c r="AG24" t="s">
        <v>97</v>
      </c>
      <c r="AH24" t="s">
        <v>287</v>
      </c>
      <c r="AI24">
        <v>0.32555136962152553</v>
      </c>
      <c r="AK24">
        <v>2022</v>
      </c>
      <c r="AL24" t="s">
        <v>146</v>
      </c>
      <c r="AM24">
        <v>0.1773049645390071</v>
      </c>
      <c r="AN24" t="s">
        <v>279</v>
      </c>
    </row>
    <row r="25" spans="9:40" x14ac:dyDescent="0.25">
      <c r="I25" t="s">
        <v>152</v>
      </c>
      <c r="J25" t="s">
        <v>288</v>
      </c>
      <c r="K25">
        <v>0</v>
      </c>
      <c r="L25" t="s">
        <v>154</v>
      </c>
      <c r="N25" t="s">
        <v>195</v>
      </c>
      <c r="O25" t="s">
        <v>288</v>
      </c>
      <c r="P25">
        <v>0.12904173027817117</v>
      </c>
      <c r="Q25" t="s">
        <v>154</v>
      </c>
      <c r="S25" t="s">
        <v>226</v>
      </c>
      <c r="T25" t="s">
        <v>288</v>
      </c>
      <c r="U25">
        <v>0.11720641585881265</v>
      </c>
      <c r="V25" t="s">
        <v>154</v>
      </c>
      <c r="X25">
        <v>0.1386986301369863</v>
      </c>
      <c r="Y25">
        <v>0.1047162071451657</v>
      </c>
      <c r="Z25" t="s">
        <v>288</v>
      </c>
      <c r="AA25" t="s">
        <v>25</v>
      </c>
      <c r="AC25" t="s">
        <v>22</v>
      </c>
      <c r="AD25" t="s">
        <v>288</v>
      </c>
      <c r="AE25">
        <v>0.14201854764331373</v>
      </c>
      <c r="AG25" t="s">
        <v>97</v>
      </c>
      <c r="AH25" t="s">
        <v>288</v>
      </c>
      <c r="AI25">
        <v>0.33795848942889384</v>
      </c>
      <c r="AK25">
        <v>2022</v>
      </c>
      <c r="AL25" t="s">
        <v>148</v>
      </c>
      <c r="AM25">
        <v>0.31558836156372944</v>
      </c>
      <c r="AN25" t="s">
        <v>279</v>
      </c>
    </row>
    <row r="26" spans="9:40" x14ac:dyDescent="0.25">
      <c r="I26" t="s">
        <v>152</v>
      </c>
      <c r="J26" t="s">
        <v>163</v>
      </c>
      <c r="K26">
        <v>2.4426930809741208E-3</v>
      </c>
      <c r="L26" t="s">
        <v>154</v>
      </c>
      <c r="N26" t="s">
        <v>195</v>
      </c>
      <c r="O26" t="s">
        <v>163</v>
      </c>
      <c r="P26">
        <v>1.9123891162288739E-2</v>
      </c>
      <c r="Q26" t="s">
        <v>154</v>
      </c>
      <c r="S26" t="s">
        <v>226</v>
      </c>
      <c r="T26" t="s">
        <v>163</v>
      </c>
      <c r="U26">
        <v>2.0550368377390812E-2</v>
      </c>
      <c r="V26" t="s">
        <v>154</v>
      </c>
      <c r="X26">
        <v>1.1301369863013699E-2</v>
      </c>
      <c r="Y26">
        <v>7.1723474960428968E-3</v>
      </c>
      <c r="Z26" t="s">
        <v>163</v>
      </c>
      <c r="AA26" t="s">
        <v>25</v>
      </c>
      <c r="AC26" t="s">
        <v>22</v>
      </c>
      <c r="AD26" t="s">
        <v>163</v>
      </c>
      <c r="AE26">
        <v>7.7231391453672481E-3</v>
      </c>
      <c r="AG26" t="s">
        <v>97</v>
      </c>
      <c r="AH26" t="s">
        <v>163</v>
      </c>
      <c r="AI26">
        <v>0.2377284298779816</v>
      </c>
      <c r="AK26">
        <v>2022</v>
      </c>
      <c r="AL26" t="s">
        <v>150</v>
      </c>
      <c r="AM26">
        <v>0.23688324563410351</v>
      </c>
      <c r="AN26" t="s">
        <v>279</v>
      </c>
    </row>
    <row r="27" spans="9:40" x14ac:dyDescent="0.25">
      <c r="I27" t="s">
        <v>152</v>
      </c>
      <c r="J27" t="s">
        <v>164</v>
      </c>
      <c r="K27">
        <v>1.9131473516949406E-2</v>
      </c>
      <c r="L27" t="s">
        <v>154</v>
      </c>
      <c r="N27" t="s">
        <v>195</v>
      </c>
      <c r="O27" t="s">
        <v>164</v>
      </c>
      <c r="P27">
        <v>1.6739101694947498E-2</v>
      </c>
      <c r="Q27" t="s">
        <v>154</v>
      </c>
      <c r="S27" t="s">
        <v>226</v>
      </c>
      <c r="T27" t="s">
        <v>164</v>
      </c>
      <c r="U27">
        <v>1.8324681054933276E-2</v>
      </c>
      <c r="V27" t="s">
        <v>154</v>
      </c>
      <c r="X27">
        <v>1.0045662100456621E-2</v>
      </c>
      <c r="Y27">
        <v>1.3885256362446032E-2</v>
      </c>
      <c r="Z27" t="s">
        <v>164</v>
      </c>
      <c r="AA27" t="s">
        <v>25</v>
      </c>
      <c r="AC27" t="s">
        <v>22</v>
      </c>
      <c r="AD27" t="s">
        <v>164</v>
      </c>
      <c r="AE27">
        <v>9.3283470279512237E-3</v>
      </c>
      <c r="AG27" t="s">
        <v>97</v>
      </c>
      <c r="AH27" t="s">
        <v>164</v>
      </c>
      <c r="AI27">
        <v>6.9215195855161449E-2</v>
      </c>
      <c r="AK27">
        <v>2022</v>
      </c>
      <c r="AL27" t="s">
        <v>294</v>
      </c>
      <c r="AM27">
        <v>0.1997063982307633</v>
      </c>
      <c r="AN27" t="s">
        <v>279</v>
      </c>
    </row>
    <row r="28" spans="9:40" x14ac:dyDescent="0.25">
      <c r="I28" t="s">
        <v>152</v>
      </c>
      <c r="J28" t="s">
        <v>165</v>
      </c>
      <c r="K28">
        <v>7.726030732435208E-4</v>
      </c>
      <c r="L28" t="s">
        <v>154</v>
      </c>
      <c r="N28" t="s">
        <v>195</v>
      </c>
      <c r="O28" t="s">
        <v>165</v>
      </c>
      <c r="P28">
        <v>2.080733210751915E-3</v>
      </c>
      <c r="Q28" t="s">
        <v>154</v>
      </c>
      <c r="S28" t="s">
        <v>226</v>
      </c>
      <c r="T28" t="s">
        <v>165</v>
      </c>
      <c r="U28">
        <v>2.3887923164541362E-3</v>
      </c>
      <c r="V28" t="s">
        <v>154</v>
      </c>
      <c r="X28">
        <v>1.2557077625570776E-3</v>
      </c>
      <c r="Y28">
        <v>2.4430466814177633E-3</v>
      </c>
      <c r="Z28" t="s">
        <v>165</v>
      </c>
      <c r="AA28" t="s">
        <v>25</v>
      </c>
      <c r="AC28" t="s">
        <v>22</v>
      </c>
      <c r="AD28" t="s">
        <v>165</v>
      </c>
      <c r="AE28">
        <v>1.1796369223799404E-3</v>
      </c>
      <c r="AG28" t="s">
        <v>97</v>
      </c>
      <c r="AH28" t="s">
        <v>165</v>
      </c>
      <c r="AI28">
        <v>5.0395706756780401E-2</v>
      </c>
      <c r="AK28">
        <v>2022</v>
      </c>
      <c r="AL28" t="s">
        <v>295</v>
      </c>
      <c r="AM28">
        <v>0.18278616639975589</v>
      </c>
      <c r="AN28" t="s">
        <v>279</v>
      </c>
    </row>
    <row r="29" spans="9:40" x14ac:dyDescent="0.25">
      <c r="I29" t="s">
        <v>152</v>
      </c>
      <c r="J29" t="s">
        <v>289</v>
      </c>
      <c r="K29">
        <v>0</v>
      </c>
      <c r="L29" t="s">
        <v>154</v>
      </c>
      <c r="N29" t="s">
        <v>195</v>
      </c>
      <c r="O29" t="s">
        <v>289</v>
      </c>
      <c r="P29">
        <v>2.0372152005659317E-3</v>
      </c>
      <c r="Q29" t="s">
        <v>154</v>
      </c>
      <c r="S29" t="s">
        <v>226</v>
      </c>
      <c r="T29" t="s">
        <v>289</v>
      </c>
      <c r="U29">
        <v>2.3465092178070416E-3</v>
      </c>
      <c r="V29" t="s">
        <v>154</v>
      </c>
      <c r="X29">
        <v>1.2557077625570776E-3</v>
      </c>
      <c r="Y29">
        <v>1.8960959318466218E-3</v>
      </c>
      <c r="Z29" t="s">
        <v>289</v>
      </c>
      <c r="AA29" t="s">
        <v>25</v>
      </c>
      <c r="AC29" t="s">
        <v>22</v>
      </c>
      <c r="AD29" t="s">
        <v>289</v>
      </c>
      <c r="AE29">
        <v>1.1858931979172927E-3</v>
      </c>
      <c r="AG29" t="s">
        <v>97</v>
      </c>
      <c r="AH29" t="s">
        <v>289</v>
      </c>
      <c r="AI29">
        <v>4.8301170120022219E-2</v>
      </c>
      <c r="AK29">
        <v>2025</v>
      </c>
      <c r="AL29" t="s">
        <v>142</v>
      </c>
      <c r="AM29">
        <v>0.19595000000000001</v>
      </c>
      <c r="AN29" t="s">
        <v>279</v>
      </c>
    </row>
    <row r="30" spans="9:40" x14ac:dyDescent="0.25">
      <c r="I30" t="s">
        <v>152</v>
      </c>
      <c r="J30" t="s">
        <v>290</v>
      </c>
      <c r="K30">
        <v>0</v>
      </c>
      <c r="L30" t="s">
        <v>154</v>
      </c>
      <c r="N30" t="s">
        <v>195</v>
      </c>
      <c r="O30" t="s">
        <v>290</v>
      </c>
      <c r="P30">
        <v>9.8806186524825219E-3</v>
      </c>
      <c r="Q30" t="s">
        <v>154</v>
      </c>
      <c r="S30" t="s">
        <v>226</v>
      </c>
      <c r="T30" t="s">
        <v>290</v>
      </c>
      <c r="U30">
        <v>1.1625014561043343E-2</v>
      </c>
      <c r="V30" t="s">
        <v>154</v>
      </c>
      <c r="X30">
        <v>6.2785388127853878E-3</v>
      </c>
      <c r="Y30">
        <v>4.7402398296165554E-3</v>
      </c>
      <c r="Z30" t="s">
        <v>290</v>
      </c>
      <c r="AA30" t="s">
        <v>25</v>
      </c>
      <c r="AC30" t="s">
        <v>22</v>
      </c>
      <c r="AD30" t="s">
        <v>290</v>
      </c>
      <c r="AE30">
        <v>5.5876527427654405E-3</v>
      </c>
      <c r="AG30" t="s">
        <v>97</v>
      </c>
      <c r="AH30" t="s">
        <v>290</v>
      </c>
      <c r="AI30">
        <v>8.4707521925779128E-2</v>
      </c>
      <c r="AK30">
        <v>2025</v>
      </c>
      <c r="AL30" t="s">
        <v>146</v>
      </c>
      <c r="AM30">
        <v>0.19869999999999999</v>
      </c>
      <c r="AN30" t="s">
        <v>279</v>
      </c>
    </row>
    <row r="31" spans="9:40" x14ac:dyDescent="0.25">
      <c r="I31" t="s">
        <v>152</v>
      </c>
      <c r="J31" t="s">
        <v>297</v>
      </c>
      <c r="K31">
        <v>8.3207916219241278E-3</v>
      </c>
      <c r="L31" t="s">
        <v>154</v>
      </c>
      <c r="N31" t="s">
        <v>195</v>
      </c>
      <c r="O31" t="s">
        <v>297</v>
      </c>
      <c r="P31">
        <v>2.8975203633183753E-2</v>
      </c>
      <c r="Q31" t="s">
        <v>154</v>
      </c>
      <c r="S31" t="s">
        <v>226</v>
      </c>
      <c r="T31" t="s">
        <v>297</v>
      </c>
      <c r="U31">
        <v>3.3108662047365234E-2</v>
      </c>
      <c r="V31" t="s">
        <v>154</v>
      </c>
      <c r="X31">
        <v>2.8767123287671233E-2</v>
      </c>
      <c r="Y31">
        <v>1.825688453538192E-2</v>
      </c>
      <c r="Z31" t="s">
        <v>297</v>
      </c>
      <c r="AA31" t="s">
        <v>25</v>
      </c>
      <c r="AC31" t="s">
        <v>22</v>
      </c>
      <c r="AD31" t="s">
        <v>297</v>
      </c>
      <c r="AE31">
        <v>2.1804748038293253E-2</v>
      </c>
      <c r="AG31" t="s">
        <v>97</v>
      </c>
      <c r="AH31" t="s">
        <v>297</v>
      </c>
      <c r="AI31">
        <v>0.33687595554774696</v>
      </c>
      <c r="AK31">
        <v>2025</v>
      </c>
      <c r="AL31" t="s">
        <v>148</v>
      </c>
      <c r="AM31">
        <v>0.26554444444444442</v>
      </c>
      <c r="AN31" t="s">
        <v>279</v>
      </c>
    </row>
    <row r="32" spans="9:40" x14ac:dyDescent="0.25">
      <c r="I32" t="s">
        <v>152</v>
      </c>
      <c r="J32" t="s">
        <v>298</v>
      </c>
      <c r="K32">
        <v>5.3938711372351809E-2</v>
      </c>
      <c r="L32" t="s">
        <v>154</v>
      </c>
      <c r="N32" t="s">
        <v>195</v>
      </c>
      <c r="O32" t="s">
        <v>298</v>
      </c>
      <c r="P32">
        <v>2.5367192785023546E-2</v>
      </c>
      <c r="Q32" t="s">
        <v>154</v>
      </c>
      <c r="S32" t="s">
        <v>226</v>
      </c>
      <c r="T32" t="s">
        <v>298</v>
      </c>
      <c r="U32">
        <v>3.2414959533379195E-2</v>
      </c>
      <c r="V32" t="s">
        <v>154</v>
      </c>
      <c r="X32">
        <v>2.5570776255707764E-2</v>
      </c>
      <c r="Y32">
        <v>3.5344288922589902E-2</v>
      </c>
      <c r="Z32" t="s">
        <v>298</v>
      </c>
      <c r="AA32" t="s">
        <v>25</v>
      </c>
      <c r="AC32" t="s">
        <v>22</v>
      </c>
      <c r="AD32" t="s">
        <v>298</v>
      </c>
      <c r="AE32">
        <v>2.5798023595573049E-2</v>
      </c>
      <c r="AG32" t="s">
        <v>97</v>
      </c>
      <c r="AH32" t="s">
        <v>298</v>
      </c>
      <c r="AI32">
        <v>0.13235487395756085</v>
      </c>
      <c r="AK32">
        <v>2025</v>
      </c>
      <c r="AL32" t="s">
        <v>150</v>
      </c>
      <c r="AM32">
        <v>0.18809999999999999</v>
      </c>
      <c r="AN32" t="s">
        <v>279</v>
      </c>
    </row>
    <row r="33" spans="9:40" x14ac:dyDescent="0.25">
      <c r="I33" t="s">
        <v>152</v>
      </c>
      <c r="J33" t="s">
        <v>299</v>
      </c>
      <c r="K33">
        <v>3.3890492067975304E-4</v>
      </c>
      <c r="L33" t="s">
        <v>154</v>
      </c>
      <c r="N33" t="s">
        <v>195</v>
      </c>
      <c r="O33" t="s">
        <v>299</v>
      </c>
      <c r="P33">
        <v>3.4742249909754841E-3</v>
      </c>
      <c r="Q33" t="s">
        <v>154</v>
      </c>
      <c r="S33" t="s">
        <v>226</v>
      </c>
      <c r="T33" t="s">
        <v>299</v>
      </c>
      <c r="U33">
        <v>4.1478229441031167E-3</v>
      </c>
      <c r="V33" t="s">
        <v>154</v>
      </c>
      <c r="X33">
        <v>3.1963470319634705E-3</v>
      </c>
      <c r="Y33">
        <v>6.2186642799724884E-3</v>
      </c>
      <c r="Z33" t="s">
        <v>299</v>
      </c>
      <c r="AA33" t="s">
        <v>25</v>
      </c>
      <c r="AC33" t="s">
        <v>22</v>
      </c>
      <c r="AD33" t="s">
        <v>299</v>
      </c>
      <c r="AE33">
        <v>3.3260898430838679E-3</v>
      </c>
      <c r="AG33" t="s">
        <v>97</v>
      </c>
      <c r="AH33" t="s">
        <v>299</v>
      </c>
      <c r="AI33">
        <v>0.12682443497274742</v>
      </c>
      <c r="AK33">
        <v>2025</v>
      </c>
      <c r="AL33" t="s">
        <v>294</v>
      </c>
      <c r="AM33">
        <v>0.1671</v>
      </c>
      <c r="AN33" t="s">
        <v>279</v>
      </c>
    </row>
    <row r="34" spans="9:40" x14ac:dyDescent="0.25">
      <c r="I34" t="s">
        <v>152</v>
      </c>
      <c r="J34" t="s">
        <v>300</v>
      </c>
      <c r="K34">
        <v>0</v>
      </c>
      <c r="L34" t="s">
        <v>154</v>
      </c>
      <c r="N34" t="s">
        <v>195</v>
      </c>
      <c r="O34" t="s">
        <v>300</v>
      </c>
      <c r="P34">
        <v>3.1343906242915667E-3</v>
      </c>
      <c r="Q34" t="s">
        <v>154</v>
      </c>
      <c r="S34" t="s">
        <v>226</v>
      </c>
      <c r="T34" t="s">
        <v>300</v>
      </c>
      <c r="U34">
        <v>3.7860606858765174E-3</v>
      </c>
      <c r="V34" t="s">
        <v>154</v>
      </c>
      <c r="X34">
        <v>3.1963470319634705E-3</v>
      </c>
      <c r="Y34">
        <v>4.8264260083368555E-3</v>
      </c>
      <c r="Z34" t="s">
        <v>300</v>
      </c>
      <c r="AA34" t="s">
        <v>25</v>
      </c>
      <c r="AC34" t="s">
        <v>22</v>
      </c>
      <c r="AD34" t="s">
        <v>300</v>
      </c>
      <c r="AE34">
        <v>3.4026191204334561E-3</v>
      </c>
      <c r="AG34" t="s">
        <v>97</v>
      </c>
      <c r="AH34" t="s">
        <v>300</v>
      </c>
      <c r="AI34">
        <v>0.12156578869387791</v>
      </c>
      <c r="AK34">
        <v>2025</v>
      </c>
      <c r="AL34" t="s">
        <v>295</v>
      </c>
      <c r="AM34">
        <v>0.1709</v>
      </c>
      <c r="AN34" t="s">
        <v>279</v>
      </c>
    </row>
    <row r="35" spans="9:40" x14ac:dyDescent="0.25">
      <c r="I35" t="s">
        <v>152</v>
      </c>
      <c r="J35" t="s">
        <v>301</v>
      </c>
      <c r="K35">
        <v>0</v>
      </c>
      <c r="L35" t="s">
        <v>154</v>
      </c>
      <c r="N35" t="s">
        <v>195</v>
      </c>
      <c r="O35" t="s">
        <v>301</v>
      </c>
      <c r="P35">
        <v>1.7016870120499003E-2</v>
      </c>
      <c r="Q35" t="s">
        <v>154</v>
      </c>
      <c r="S35" t="s">
        <v>226</v>
      </c>
      <c r="T35" t="s">
        <v>301</v>
      </c>
      <c r="U35">
        <v>1.9688618395457817E-2</v>
      </c>
      <c r="V35" t="s">
        <v>154</v>
      </c>
      <c r="X35">
        <v>1.5981735159817351E-2</v>
      </c>
      <c r="Y35">
        <v>1.2066065020842141E-2</v>
      </c>
      <c r="Z35" t="s">
        <v>301</v>
      </c>
      <c r="AA35" t="s">
        <v>25</v>
      </c>
      <c r="AC35" t="s">
        <v>22</v>
      </c>
      <c r="AD35" t="s">
        <v>301</v>
      </c>
      <c r="AE35">
        <v>1.5836198978585098E-2</v>
      </c>
      <c r="AG35" t="s">
        <v>97</v>
      </c>
      <c r="AH35" t="s">
        <v>301</v>
      </c>
      <c r="AI35">
        <v>0.18897332740602857</v>
      </c>
      <c r="AK35">
        <v>2026</v>
      </c>
      <c r="AL35" t="s">
        <v>142</v>
      </c>
      <c r="AM35">
        <v>0.1923</v>
      </c>
      <c r="AN35" t="s">
        <v>279</v>
      </c>
    </row>
    <row r="36" spans="9:40" x14ac:dyDescent="0.25">
      <c r="I36" t="s">
        <v>152</v>
      </c>
      <c r="J36" t="s">
        <v>302</v>
      </c>
      <c r="K36">
        <v>6.2581337645029721E-3</v>
      </c>
      <c r="L36" t="s">
        <v>154</v>
      </c>
      <c r="N36" t="s">
        <v>195</v>
      </c>
      <c r="O36" t="s">
        <v>302</v>
      </c>
      <c r="P36">
        <v>4.1880177196808394E-2</v>
      </c>
      <c r="Q36" t="s">
        <v>154</v>
      </c>
      <c r="S36" t="s">
        <v>226</v>
      </c>
      <c r="T36" t="s">
        <v>302</v>
      </c>
      <c r="U36">
        <v>5.6340424235233756E-2</v>
      </c>
      <c r="V36" t="s">
        <v>154</v>
      </c>
      <c r="X36">
        <v>3.801369863013699E-2</v>
      </c>
      <c r="Y36">
        <v>2.4125168850326107E-2</v>
      </c>
      <c r="Z36" t="s">
        <v>302</v>
      </c>
      <c r="AA36" t="s">
        <v>25</v>
      </c>
      <c r="AC36" t="s">
        <v>22</v>
      </c>
      <c r="AD36" t="s">
        <v>302</v>
      </c>
      <c r="AE36">
        <v>3.1934868170520686E-2</v>
      </c>
      <c r="AG36" t="s">
        <v>97</v>
      </c>
      <c r="AH36" t="s">
        <v>302</v>
      </c>
      <c r="AI36">
        <v>0.32447394356658088</v>
      </c>
      <c r="AK36">
        <v>2026</v>
      </c>
      <c r="AL36" t="s">
        <v>146</v>
      </c>
      <c r="AM36">
        <v>0.21010000000000001</v>
      </c>
      <c r="AN36" t="s">
        <v>279</v>
      </c>
    </row>
    <row r="37" spans="9:40" x14ac:dyDescent="0.25">
      <c r="I37" t="s">
        <v>152</v>
      </c>
      <c r="J37" t="s">
        <v>303</v>
      </c>
      <c r="K37">
        <v>5.3245324038139093E-2</v>
      </c>
      <c r="L37" t="s">
        <v>154</v>
      </c>
      <c r="N37" t="s">
        <v>195</v>
      </c>
      <c r="O37" t="s">
        <v>303</v>
      </c>
      <c r="P37">
        <v>3.6534713776496988E-2</v>
      </c>
      <c r="Q37" t="s">
        <v>154</v>
      </c>
      <c r="S37" t="s">
        <v>226</v>
      </c>
      <c r="T37" t="s">
        <v>303</v>
      </c>
      <c r="U37">
        <v>4.7793255656747843E-2</v>
      </c>
      <c r="V37" t="s">
        <v>154</v>
      </c>
      <c r="X37">
        <v>3.3789954337899546E-2</v>
      </c>
      <c r="Y37">
        <v>4.6704953219136654E-2</v>
      </c>
      <c r="Z37" t="s">
        <v>303</v>
      </c>
      <c r="AA37" t="s">
        <v>25</v>
      </c>
      <c r="AC37" t="s">
        <v>22</v>
      </c>
      <c r="AD37" t="s">
        <v>303</v>
      </c>
      <c r="AE37">
        <v>4.0589132392150513E-2</v>
      </c>
      <c r="AG37" t="s">
        <v>97</v>
      </c>
      <c r="AH37" t="s">
        <v>303</v>
      </c>
      <c r="AI37">
        <v>0.11278833420056755</v>
      </c>
      <c r="AK37">
        <v>2026</v>
      </c>
      <c r="AL37" t="s">
        <v>148</v>
      </c>
      <c r="AM37">
        <v>0.26685555555555557</v>
      </c>
      <c r="AN37" t="s">
        <v>279</v>
      </c>
    </row>
    <row r="38" spans="9:40" x14ac:dyDescent="0.25">
      <c r="I38" t="s">
        <v>152</v>
      </c>
      <c r="J38" t="s">
        <v>304</v>
      </c>
      <c r="K38">
        <v>1.3144829611768827E-5</v>
      </c>
      <c r="L38" t="s">
        <v>154</v>
      </c>
      <c r="N38" t="s">
        <v>195</v>
      </c>
      <c r="O38" t="s">
        <v>304</v>
      </c>
      <c r="P38">
        <v>4.8324745858067996E-3</v>
      </c>
      <c r="Q38" t="s">
        <v>154</v>
      </c>
      <c r="S38" t="s">
        <v>226</v>
      </c>
      <c r="T38" t="s">
        <v>304</v>
      </c>
      <c r="U38">
        <v>6.3999354342756144E-3</v>
      </c>
      <c r="V38" t="s">
        <v>154</v>
      </c>
      <c r="X38">
        <v>4.2237442922374432E-3</v>
      </c>
      <c r="Y38">
        <v>8.2175206556779311E-3</v>
      </c>
      <c r="Z38" t="s">
        <v>304</v>
      </c>
      <c r="AA38" t="s">
        <v>25</v>
      </c>
      <c r="AC38" t="s">
        <v>22</v>
      </c>
      <c r="AD38" t="s">
        <v>304</v>
      </c>
      <c r="AE38">
        <v>5.3869414508266574E-3</v>
      </c>
      <c r="AG38" t="s">
        <v>97</v>
      </c>
      <c r="AH38" t="s">
        <v>304</v>
      </c>
      <c r="AI38">
        <v>8.9555174263685533E-2</v>
      </c>
      <c r="AK38">
        <v>2026</v>
      </c>
      <c r="AL38" t="s">
        <v>150</v>
      </c>
      <c r="AM38">
        <v>0.18990000000000001</v>
      </c>
      <c r="AN38" t="s">
        <v>279</v>
      </c>
    </row>
    <row r="39" spans="9:40" x14ac:dyDescent="0.25">
      <c r="I39" t="s">
        <v>152</v>
      </c>
      <c r="J39" t="s">
        <v>305</v>
      </c>
      <c r="K39">
        <v>0</v>
      </c>
      <c r="L39" t="s">
        <v>154</v>
      </c>
      <c r="N39" t="s">
        <v>195</v>
      </c>
      <c r="O39" t="s">
        <v>305</v>
      </c>
      <c r="P39">
        <v>4.7756323046366667E-3</v>
      </c>
      <c r="Q39" t="s">
        <v>154</v>
      </c>
      <c r="S39" t="s">
        <v>226</v>
      </c>
      <c r="T39" t="s">
        <v>305</v>
      </c>
      <c r="U39">
        <v>6.0199126773674777E-3</v>
      </c>
      <c r="V39" t="s">
        <v>154</v>
      </c>
      <c r="X39">
        <v>4.2237442922374432E-3</v>
      </c>
      <c r="Y39">
        <v>6.3777772253022771E-3</v>
      </c>
      <c r="Z39" t="s">
        <v>305</v>
      </c>
      <c r="AA39" t="s">
        <v>25</v>
      </c>
      <c r="AC39" t="s">
        <v>22</v>
      </c>
      <c r="AD39" t="s">
        <v>305</v>
      </c>
      <c r="AE39">
        <v>5.4834604567287736E-3</v>
      </c>
      <c r="AG39" t="s">
        <v>97</v>
      </c>
      <c r="AH39" t="s">
        <v>305</v>
      </c>
      <c r="AI39">
        <v>8.2644273491520259E-2</v>
      </c>
      <c r="AK39">
        <v>2026</v>
      </c>
      <c r="AL39" t="s">
        <v>294</v>
      </c>
      <c r="AM39">
        <v>0.16844999999999999</v>
      </c>
      <c r="AN39" t="s">
        <v>279</v>
      </c>
    </row>
    <row r="40" spans="9:40" x14ac:dyDescent="0.25">
      <c r="I40" t="s">
        <v>152</v>
      </c>
      <c r="J40" t="s">
        <v>306</v>
      </c>
      <c r="K40">
        <v>0</v>
      </c>
      <c r="L40" t="s">
        <v>154</v>
      </c>
      <c r="N40" t="s">
        <v>195</v>
      </c>
      <c r="O40" t="s">
        <v>306</v>
      </c>
      <c r="P40">
        <v>2.3053596534979952E-2</v>
      </c>
      <c r="Q40" t="s">
        <v>154</v>
      </c>
      <c r="S40" t="s">
        <v>226</v>
      </c>
      <c r="T40" t="s">
        <v>306</v>
      </c>
      <c r="U40">
        <v>3.3255386758093995E-2</v>
      </c>
      <c r="V40" t="s">
        <v>154</v>
      </c>
      <c r="X40">
        <v>2.1118721461187213E-2</v>
      </c>
      <c r="Y40">
        <v>1.5944443063255685E-2</v>
      </c>
      <c r="Z40" t="s">
        <v>306</v>
      </c>
      <c r="AA40" t="s">
        <v>25</v>
      </c>
      <c r="AC40" t="s">
        <v>22</v>
      </c>
      <c r="AD40" t="s">
        <v>306</v>
      </c>
      <c r="AE40">
        <v>2.3531594183379419E-2</v>
      </c>
      <c r="AG40" t="s">
        <v>97</v>
      </c>
      <c r="AH40" t="s">
        <v>306</v>
      </c>
      <c r="AI40">
        <v>0.19784446806910894</v>
      </c>
      <c r="AK40">
        <v>2026</v>
      </c>
      <c r="AL40" t="s">
        <v>295</v>
      </c>
      <c r="AM40">
        <v>0.16864999999999999</v>
      </c>
      <c r="AN40" t="s">
        <v>279</v>
      </c>
    </row>
    <row r="41" spans="9:40" x14ac:dyDescent="0.25">
      <c r="I41" t="s">
        <v>166</v>
      </c>
      <c r="J41" t="s">
        <v>153</v>
      </c>
      <c r="K41">
        <v>4.7945111227659246E-3</v>
      </c>
      <c r="L41" t="s">
        <v>154</v>
      </c>
      <c r="N41" t="s">
        <v>196</v>
      </c>
      <c r="O41" t="s">
        <v>153</v>
      </c>
      <c r="P41">
        <v>3.9998377945488661E-2</v>
      </c>
      <c r="Q41" t="s">
        <v>154</v>
      </c>
      <c r="S41" t="s">
        <v>227</v>
      </c>
      <c r="T41" t="s">
        <v>153</v>
      </c>
      <c r="U41">
        <v>4.5592091764391572E-2</v>
      </c>
      <c r="V41" t="s">
        <v>154</v>
      </c>
      <c r="AC41" t="s">
        <v>19</v>
      </c>
      <c r="AD41" t="s">
        <v>153</v>
      </c>
      <c r="AE41">
        <v>3.6537764382112682E-2</v>
      </c>
      <c r="AK41">
        <v>2027</v>
      </c>
      <c r="AL41" t="s">
        <v>142</v>
      </c>
      <c r="AM41">
        <v>0.18759999999999999</v>
      </c>
      <c r="AN41" t="s">
        <v>279</v>
      </c>
    </row>
    <row r="42" spans="9:40" x14ac:dyDescent="0.25">
      <c r="I42" t="s">
        <v>166</v>
      </c>
      <c r="J42" t="s">
        <v>155</v>
      </c>
      <c r="K42">
        <v>5.5966985486041176E-2</v>
      </c>
      <c r="L42" t="s">
        <v>154</v>
      </c>
      <c r="N42" t="s">
        <v>196</v>
      </c>
      <c r="O42" t="s">
        <v>155</v>
      </c>
      <c r="P42">
        <v>3.5033459291311193E-2</v>
      </c>
      <c r="Q42" t="s">
        <v>154</v>
      </c>
      <c r="S42" t="s">
        <v>227</v>
      </c>
      <c r="T42" t="s">
        <v>155</v>
      </c>
      <c r="U42">
        <v>3.8649652790781593E-2</v>
      </c>
      <c r="V42" t="s">
        <v>154</v>
      </c>
      <c r="AC42" t="s">
        <v>19</v>
      </c>
      <c r="AD42" t="s">
        <v>155</v>
      </c>
      <c r="AE42">
        <v>3.3198489303523183E-2</v>
      </c>
      <c r="AK42">
        <v>2027</v>
      </c>
      <c r="AL42" t="s">
        <v>146</v>
      </c>
      <c r="AM42">
        <v>0.2049</v>
      </c>
      <c r="AN42" t="s">
        <v>279</v>
      </c>
    </row>
    <row r="43" spans="9:40" x14ac:dyDescent="0.25">
      <c r="I43" t="s">
        <v>166</v>
      </c>
      <c r="J43" t="s">
        <v>156</v>
      </c>
      <c r="K43">
        <v>2.5906157527301518E-3</v>
      </c>
      <c r="L43" t="s">
        <v>154</v>
      </c>
      <c r="N43" t="s">
        <v>196</v>
      </c>
      <c r="O43" t="s">
        <v>156</v>
      </c>
      <c r="P43">
        <v>4.8290394505782278E-3</v>
      </c>
      <c r="Q43" t="s">
        <v>154</v>
      </c>
      <c r="S43" t="s">
        <v>227</v>
      </c>
      <c r="T43" t="s">
        <v>156</v>
      </c>
      <c r="U43">
        <v>4.974177304579731E-3</v>
      </c>
      <c r="V43" t="s">
        <v>154</v>
      </c>
      <c r="AC43" t="s">
        <v>19</v>
      </c>
      <c r="AD43" t="s">
        <v>156</v>
      </c>
      <c r="AE43">
        <v>4.1702962446583747E-3</v>
      </c>
      <c r="AK43">
        <v>2027</v>
      </c>
      <c r="AL43" t="s">
        <v>148</v>
      </c>
      <c r="AM43">
        <v>0.26823333333333338</v>
      </c>
      <c r="AN43" t="s">
        <v>279</v>
      </c>
    </row>
    <row r="44" spans="9:40" x14ac:dyDescent="0.25">
      <c r="I44" t="s">
        <v>166</v>
      </c>
      <c r="J44" t="s">
        <v>283</v>
      </c>
      <c r="K44">
        <v>0</v>
      </c>
      <c r="L44" t="s">
        <v>154</v>
      </c>
      <c r="N44" t="s">
        <v>196</v>
      </c>
      <c r="O44" t="s">
        <v>283</v>
      </c>
      <c r="P44">
        <v>4.9335032843643078E-3</v>
      </c>
      <c r="Q44" t="s">
        <v>154</v>
      </c>
      <c r="S44" t="s">
        <v>227</v>
      </c>
      <c r="T44" t="s">
        <v>283</v>
      </c>
      <c r="U44">
        <v>4.779759195773399E-3</v>
      </c>
      <c r="V44" t="s">
        <v>154</v>
      </c>
      <c r="AC44" t="s">
        <v>19</v>
      </c>
      <c r="AD44" t="s">
        <v>283</v>
      </c>
      <c r="AE44">
        <v>4.174347264995916E-3</v>
      </c>
      <c r="AK44">
        <v>2027</v>
      </c>
      <c r="AL44" t="s">
        <v>150</v>
      </c>
      <c r="AM44">
        <v>0.18659999999999999</v>
      </c>
      <c r="AN44" t="s">
        <v>279</v>
      </c>
    </row>
    <row r="45" spans="9:40" x14ac:dyDescent="0.25">
      <c r="I45" t="s">
        <v>166</v>
      </c>
      <c r="J45" t="s">
        <v>284</v>
      </c>
      <c r="K45">
        <v>0</v>
      </c>
      <c r="L45" t="s">
        <v>154</v>
      </c>
      <c r="N45" t="s">
        <v>196</v>
      </c>
      <c r="O45" t="s">
        <v>284</v>
      </c>
      <c r="P45">
        <v>2.4544948788374502E-2</v>
      </c>
      <c r="Q45" t="s">
        <v>154</v>
      </c>
      <c r="S45" t="s">
        <v>227</v>
      </c>
      <c r="T45" t="s">
        <v>284</v>
      </c>
      <c r="U45">
        <v>2.5739526785048417E-2</v>
      </c>
      <c r="V45" t="s">
        <v>154</v>
      </c>
      <c r="AC45" t="s">
        <v>19</v>
      </c>
      <c r="AD45" t="s">
        <v>284</v>
      </c>
      <c r="AE45">
        <v>2.0601491385708243E-2</v>
      </c>
      <c r="AK45">
        <v>2027</v>
      </c>
      <c r="AL45" t="s">
        <v>294</v>
      </c>
      <c r="AM45">
        <v>0.16614999999999999</v>
      </c>
      <c r="AN45" t="s">
        <v>279</v>
      </c>
    </row>
    <row r="46" spans="9:40" x14ac:dyDescent="0.25">
      <c r="I46" t="s">
        <v>166</v>
      </c>
      <c r="J46" t="s">
        <v>157</v>
      </c>
      <c r="K46">
        <v>9.9126228568897738E-4</v>
      </c>
      <c r="L46" t="s">
        <v>154</v>
      </c>
      <c r="N46" t="s">
        <v>196</v>
      </c>
      <c r="O46" t="s">
        <v>157</v>
      </c>
      <c r="P46">
        <v>1.2631025970697566E-2</v>
      </c>
      <c r="Q46" t="s">
        <v>154</v>
      </c>
      <c r="S46" t="s">
        <v>227</v>
      </c>
      <c r="T46" t="s">
        <v>157</v>
      </c>
      <c r="U46">
        <v>1.2543494537537706E-2</v>
      </c>
      <c r="V46" t="s">
        <v>154</v>
      </c>
      <c r="AC46" t="s">
        <v>19</v>
      </c>
      <c r="AD46" t="s">
        <v>157</v>
      </c>
      <c r="AE46">
        <v>1.0150994869689883E-2</v>
      </c>
      <c r="AK46">
        <v>2027</v>
      </c>
      <c r="AL46" t="s">
        <v>295</v>
      </c>
      <c r="AM46">
        <v>0.15720000000000001</v>
      </c>
      <c r="AN46" t="s">
        <v>279</v>
      </c>
    </row>
    <row r="47" spans="9:40" x14ac:dyDescent="0.25">
      <c r="I47" t="s">
        <v>166</v>
      </c>
      <c r="J47" t="s">
        <v>158</v>
      </c>
      <c r="K47">
        <v>1.0515895362911769E-2</v>
      </c>
      <c r="L47" t="s">
        <v>154</v>
      </c>
      <c r="N47" t="s">
        <v>196</v>
      </c>
      <c r="O47" t="s">
        <v>158</v>
      </c>
      <c r="P47">
        <v>9.9263599738279255E-3</v>
      </c>
      <c r="Q47" t="s">
        <v>154</v>
      </c>
      <c r="S47" t="s">
        <v>227</v>
      </c>
      <c r="T47" t="s">
        <v>158</v>
      </c>
      <c r="U47">
        <v>9.5767135377019461E-3</v>
      </c>
      <c r="V47" t="s">
        <v>154</v>
      </c>
      <c r="AC47" t="s">
        <v>19</v>
      </c>
      <c r="AD47" t="s">
        <v>158</v>
      </c>
      <c r="AE47">
        <v>9.2557889286034555E-3</v>
      </c>
      <c r="AK47">
        <v>2028</v>
      </c>
      <c r="AL47" t="s">
        <v>142</v>
      </c>
      <c r="AM47">
        <v>0.18814999999999998</v>
      </c>
      <c r="AN47" t="s">
        <v>279</v>
      </c>
    </row>
    <row r="48" spans="9:40" x14ac:dyDescent="0.25">
      <c r="I48" t="s">
        <v>166</v>
      </c>
      <c r="J48" t="s">
        <v>159</v>
      </c>
      <c r="K48">
        <v>2.719730559216697E-4</v>
      </c>
      <c r="L48" t="s">
        <v>154</v>
      </c>
      <c r="N48" t="s">
        <v>196</v>
      </c>
      <c r="O48" t="s">
        <v>159</v>
      </c>
      <c r="P48">
        <v>1.1132415619845215E-3</v>
      </c>
      <c r="Q48" t="s">
        <v>154</v>
      </c>
      <c r="S48" t="s">
        <v>227</v>
      </c>
      <c r="T48" t="s">
        <v>159</v>
      </c>
      <c r="U48">
        <v>1.2499455722234708E-3</v>
      </c>
      <c r="V48" t="s">
        <v>154</v>
      </c>
      <c r="AC48" t="s">
        <v>19</v>
      </c>
      <c r="AD48" t="s">
        <v>159</v>
      </c>
      <c r="AE48">
        <v>1.1623722108218021E-3</v>
      </c>
      <c r="AK48">
        <v>2028</v>
      </c>
      <c r="AL48" t="s">
        <v>146</v>
      </c>
      <c r="AM48">
        <v>0.1981</v>
      </c>
      <c r="AN48" t="s">
        <v>279</v>
      </c>
    </row>
    <row r="49" spans="9:40" x14ac:dyDescent="0.25">
      <c r="I49" t="s">
        <v>166</v>
      </c>
      <c r="J49" t="s">
        <v>285</v>
      </c>
      <c r="K49">
        <v>0</v>
      </c>
      <c r="L49" t="s">
        <v>154</v>
      </c>
      <c r="N49" t="s">
        <v>196</v>
      </c>
      <c r="O49" t="s">
        <v>285</v>
      </c>
      <c r="P49">
        <v>1.2103049624129657E-3</v>
      </c>
      <c r="Q49" t="s">
        <v>154</v>
      </c>
      <c r="S49" t="s">
        <v>227</v>
      </c>
      <c r="T49" t="s">
        <v>285</v>
      </c>
      <c r="U49">
        <v>1.1722939637244915E-3</v>
      </c>
      <c r="V49" t="s">
        <v>154</v>
      </c>
      <c r="AC49" t="s">
        <v>19</v>
      </c>
      <c r="AD49" t="s">
        <v>285</v>
      </c>
      <c r="AE49">
        <v>1.1634177350814854E-3</v>
      </c>
      <c r="AK49">
        <v>2028</v>
      </c>
      <c r="AL49" t="s">
        <v>148</v>
      </c>
      <c r="AM49">
        <v>0.27376666666666666</v>
      </c>
      <c r="AN49" t="s">
        <v>279</v>
      </c>
    </row>
    <row r="50" spans="9:40" x14ac:dyDescent="0.25">
      <c r="I50" t="s">
        <v>166</v>
      </c>
      <c r="J50" t="s">
        <v>286</v>
      </c>
      <c r="K50">
        <v>0</v>
      </c>
      <c r="L50" t="s">
        <v>154</v>
      </c>
      <c r="N50" t="s">
        <v>196</v>
      </c>
      <c r="O50" t="s">
        <v>286</v>
      </c>
      <c r="P50">
        <v>6.1652289733362493E-3</v>
      </c>
      <c r="Q50" t="s">
        <v>154</v>
      </c>
      <c r="S50" t="s">
        <v>227</v>
      </c>
      <c r="T50" t="s">
        <v>286</v>
      </c>
      <c r="U50">
        <v>7.3504181264413783E-3</v>
      </c>
      <c r="V50" t="s">
        <v>154</v>
      </c>
      <c r="AC50" t="s">
        <v>19</v>
      </c>
      <c r="AD50" t="s">
        <v>286</v>
      </c>
      <c r="AE50">
        <v>5.7395771522273367E-3</v>
      </c>
      <c r="AK50">
        <v>2028</v>
      </c>
      <c r="AL50" t="s">
        <v>150</v>
      </c>
      <c r="AM50">
        <v>0.2084</v>
      </c>
      <c r="AN50" t="s">
        <v>279</v>
      </c>
    </row>
    <row r="51" spans="9:40" x14ac:dyDescent="0.25">
      <c r="I51" t="s">
        <v>166</v>
      </c>
      <c r="J51" t="s">
        <v>160</v>
      </c>
      <c r="K51">
        <v>0.11064507776269021</v>
      </c>
      <c r="L51" t="s">
        <v>154</v>
      </c>
      <c r="N51" t="s">
        <v>196</v>
      </c>
      <c r="O51" t="s">
        <v>160</v>
      </c>
      <c r="P51">
        <v>0.23808141104323979</v>
      </c>
      <c r="Q51" t="s">
        <v>154</v>
      </c>
      <c r="S51" t="s">
        <v>227</v>
      </c>
      <c r="T51" t="s">
        <v>160</v>
      </c>
      <c r="U51">
        <v>0.21768595074816607</v>
      </c>
      <c r="V51" t="s">
        <v>154</v>
      </c>
      <c r="AC51" t="s">
        <v>19</v>
      </c>
      <c r="AD51" t="s">
        <v>160</v>
      </c>
      <c r="AE51">
        <v>0.24667248953259796</v>
      </c>
      <c r="AK51">
        <v>2028</v>
      </c>
      <c r="AL51" t="s">
        <v>294</v>
      </c>
      <c r="AM51">
        <v>0.1865</v>
      </c>
      <c r="AN51" t="s">
        <v>279</v>
      </c>
    </row>
    <row r="52" spans="9:40" x14ac:dyDescent="0.25">
      <c r="I52" t="s">
        <v>166</v>
      </c>
      <c r="J52" t="s">
        <v>161</v>
      </c>
      <c r="K52">
        <v>0.61360506115810232</v>
      </c>
      <c r="L52" t="s">
        <v>154</v>
      </c>
      <c r="N52" t="s">
        <v>196</v>
      </c>
      <c r="O52" t="s">
        <v>161</v>
      </c>
      <c r="P52">
        <v>0.2106647935820595</v>
      </c>
      <c r="Q52" t="s">
        <v>154</v>
      </c>
      <c r="S52" t="s">
        <v>227</v>
      </c>
      <c r="T52" t="s">
        <v>161</v>
      </c>
      <c r="U52">
        <v>0.1811543726452422</v>
      </c>
      <c r="V52" t="s">
        <v>154</v>
      </c>
      <c r="AC52" t="s">
        <v>19</v>
      </c>
      <c r="AD52" t="s">
        <v>161</v>
      </c>
      <c r="AE52">
        <v>0.22392672682385173</v>
      </c>
      <c r="AK52">
        <v>2028</v>
      </c>
      <c r="AL52" t="s">
        <v>295</v>
      </c>
      <c r="AM52">
        <v>0.17085</v>
      </c>
      <c r="AN52" t="s">
        <v>279</v>
      </c>
    </row>
    <row r="53" spans="9:40" x14ac:dyDescent="0.25">
      <c r="I53" t="s">
        <v>166</v>
      </c>
      <c r="J53" t="s">
        <v>162</v>
      </c>
      <c r="K53">
        <v>4.0580504077785989E-2</v>
      </c>
      <c r="L53" t="s">
        <v>154</v>
      </c>
      <c r="N53" t="s">
        <v>196</v>
      </c>
      <c r="O53" t="s">
        <v>162</v>
      </c>
      <c r="P53">
        <v>2.7446307868619499E-2</v>
      </c>
      <c r="Q53" t="s">
        <v>154</v>
      </c>
      <c r="S53" t="s">
        <v>227</v>
      </c>
      <c r="T53" t="s">
        <v>162</v>
      </c>
      <c r="U53">
        <v>2.3183352796936701E-2</v>
      </c>
      <c r="V53" t="s">
        <v>154</v>
      </c>
      <c r="AC53" t="s">
        <v>19</v>
      </c>
      <c r="AD53" t="s">
        <v>162</v>
      </c>
      <c r="AE53">
        <v>2.8001547138354586E-2</v>
      </c>
      <c r="AK53">
        <v>2029</v>
      </c>
      <c r="AL53" t="s">
        <v>142</v>
      </c>
      <c r="AM53">
        <v>0.21149999999999999</v>
      </c>
      <c r="AN53" t="s">
        <v>279</v>
      </c>
    </row>
    <row r="54" spans="9:40" x14ac:dyDescent="0.25">
      <c r="I54" t="s">
        <v>166</v>
      </c>
      <c r="J54" t="s">
        <v>287</v>
      </c>
      <c r="K54">
        <v>1.6947985584766255E-2</v>
      </c>
      <c r="L54" t="s">
        <v>154</v>
      </c>
      <c r="N54" t="s">
        <v>196</v>
      </c>
      <c r="O54" t="s">
        <v>287</v>
      </c>
      <c r="P54">
        <v>2.5435664480691414E-2</v>
      </c>
      <c r="Q54" t="s">
        <v>154</v>
      </c>
      <c r="S54" t="s">
        <v>227</v>
      </c>
      <c r="T54" t="s">
        <v>287</v>
      </c>
      <c r="U54">
        <v>2.0472414804490875E-2</v>
      </c>
      <c r="V54" t="s">
        <v>154</v>
      </c>
      <c r="AC54" t="s">
        <v>19</v>
      </c>
      <c r="AD54" t="s">
        <v>287</v>
      </c>
      <c r="AE54">
        <v>2.7997961550640205E-2</v>
      </c>
      <c r="AK54">
        <v>2029</v>
      </c>
      <c r="AL54" t="s">
        <v>146</v>
      </c>
      <c r="AM54">
        <v>0.22109999999999999</v>
      </c>
      <c r="AN54" t="s">
        <v>279</v>
      </c>
    </row>
    <row r="55" spans="9:40" x14ac:dyDescent="0.25">
      <c r="I55" t="s">
        <v>166</v>
      </c>
      <c r="J55" t="s">
        <v>288</v>
      </c>
      <c r="K55">
        <v>0</v>
      </c>
      <c r="L55" t="s">
        <v>154</v>
      </c>
      <c r="N55" t="s">
        <v>196</v>
      </c>
      <c r="O55" t="s">
        <v>288</v>
      </c>
      <c r="P55">
        <v>0.13183030755898897</v>
      </c>
      <c r="Q55" t="s">
        <v>154</v>
      </c>
      <c r="S55" t="s">
        <v>227</v>
      </c>
      <c r="T55" t="s">
        <v>288</v>
      </c>
      <c r="U55">
        <v>0.11645038918239002</v>
      </c>
      <c r="V55" t="s">
        <v>154</v>
      </c>
      <c r="AC55" t="s">
        <v>19</v>
      </c>
      <c r="AD55" t="s">
        <v>288</v>
      </c>
      <c r="AE55">
        <v>0.13911226689214237</v>
      </c>
      <c r="AK55">
        <v>2029</v>
      </c>
      <c r="AL55" t="s">
        <v>148</v>
      </c>
      <c r="AM55">
        <v>0.32675555555555558</v>
      </c>
      <c r="AN55" t="s">
        <v>279</v>
      </c>
    </row>
    <row r="56" spans="9:40" x14ac:dyDescent="0.25">
      <c r="I56" t="s">
        <v>166</v>
      </c>
      <c r="J56" t="s">
        <v>163</v>
      </c>
      <c r="K56">
        <v>2.8184448633150057E-3</v>
      </c>
      <c r="L56" t="s">
        <v>154</v>
      </c>
      <c r="N56" t="s">
        <v>196</v>
      </c>
      <c r="O56" t="s">
        <v>163</v>
      </c>
      <c r="P56">
        <v>1.7530491494891824E-2</v>
      </c>
      <c r="Q56" t="s">
        <v>154</v>
      </c>
      <c r="S56" t="s">
        <v>227</v>
      </c>
      <c r="T56" t="s">
        <v>163</v>
      </c>
      <c r="U56">
        <v>2.1311086761482162E-2</v>
      </c>
      <c r="V56" t="s">
        <v>154</v>
      </c>
      <c r="AC56" t="s">
        <v>19</v>
      </c>
      <c r="AD56" t="s">
        <v>163</v>
      </c>
      <c r="AE56">
        <v>1.1158371822370075E-2</v>
      </c>
      <c r="AK56">
        <v>2029</v>
      </c>
      <c r="AL56" t="s">
        <v>150</v>
      </c>
      <c r="AM56">
        <v>0.2419</v>
      </c>
      <c r="AN56" t="s">
        <v>279</v>
      </c>
    </row>
    <row r="57" spans="9:40" x14ac:dyDescent="0.25">
      <c r="I57" t="s">
        <v>166</v>
      </c>
      <c r="J57" t="s">
        <v>164</v>
      </c>
      <c r="K57">
        <v>2.1080022331840764E-2</v>
      </c>
      <c r="L57" t="s">
        <v>154</v>
      </c>
      <c r="N57" t="s">
        <v>196</v>
      </c>
      <c r="O57" t="s">
        <v>164</v>
      </c>
      <c r="P57">
        <v>1.5757608361326076E-2</v>
      </c>
      <c r="Q57" t="s">
        <v>154</v>
      </c>
      <c r="S57" t="s">
        <v>227</v>
      </c>
      <c r="T57" t="s">
        <v>164</v>
      </c>
      <c r="U57">
        <v>1.9049071702648079E-2</v>
      </c>
      <c r="V57" t="s">
        <v>154</v>
      </c>
      <c r="AC57" t="s">
        <v>19</v>
      </c>
      <c r="AD57" t="s">
        <v>164</v>
      </c>
      <c r="AE57">
        <v>1.0079012601580756E-2</v>
      </c>
      <c r="AK57">
        <v>2029</v>
      </c>
      <c r="AL57" t="s">
        <v>294</v>
      </c>
      <c r="AM57">
        <v>0.22310000000000002</v>
      </c>
      <c r="AN57" t="s">
        <v>279</v>
      </c>
    </row>
    <row r="58" spans="9:40" x14ac:dyDescent="0.25">
      <c r="I58" t="s">
        <v>166</v>
      </c>
      <c r="J58" t="s">
        <v>165</v>
      </c>
      <c r="K58">
        <v>8.5945770469747973E-4</v>
      </c>
      <c r="L58" t="s">
        <v>154</v>
      </c>
      <c r="N58" t="s">
        <v>196</v>
      </c>
      <c r="O58" t="s">
        <v>165</v>
      </c>
      <c r="P58">
        <v>2.007684723589542E-3</v>
      </c>
      <c r="Q58" t="s">
        <v>154</v>
      </c>
      <c r="S58" t="s">
        <v>227</v>
      </c>
      <c r="T58" t="s">
        <v>165</v>
      </c>
      <c r="U58">
        <v>2.4451939838860915E-3</v>
      </c>
      <c r="V58" t="s">
        <v>154</v>
      </c>
      <c r="AC58" t="s">
        <v>19</v>
      </c>
      <c r="AD58" t="s">
        <v>165</v>
      </c>
      <c r="AE58">
        <v>1.2607620490677571E-3</v>
      </c>
      <c r="AK58">
        <v>2029</v>
      </c>
      <c r="AL58" t="s">
        <v>295</v>
      </c>
      <c r="AM58">
        <v>0.22010000000000002</v>
      </c>
      <c r="AN58" t="s">
        <v>279</v>
      </c>
    </row>
    <row r="59" spans="9:40" x14ac:dyDescent="0.25">
      <c r="I59" t="s">
        <v>166</v>
      </c>
      <c r="J59" t="s">
        <v>289</v>
      </c>
      <c r="K59">
        <v>0</v>
      </c>
      <c r="L59" t="s">
        <v>154</v>
      </c>
      <c r="N59" t="s">
        <v>196</v>
      </c>
      <c r="O59" t="s">
        <v>289</v>
      </c>
      <c r="P59">
        <v>1.8570419272569024E-3</v>
      </c>
      <c r="Q59" t="s">
        <v>154</v>
      </c>
      <c r="S59" t="s">
        <v>227</v>
      </c>
      <c r="T59" t="s">
        <v>289</v>
      </c>
      <c r="U59">
        <v>2.3834705400268817E-3</v>
      </c>
      <c r="V59" t="s">
        <v>154</v>
      </c>
      <c r="AC59" t="s">
        <v>19</v>
      </c>
      <c r="AD59" t="s">
        <v>289</v>
      </c>
      <c r="AE59">
        <v>1.2611695784478295E-3</v>
      </c>
      <c r="AK59">
        <v>2030</v>
      </c>
      <c r="AL59" t="s">
        <v>142</v>
      </c>
      <c r="AM59">
        <v>0.22555</v>
      </c>
      <c r="AN59" t="s">
        <v>279</v>
      </c>
    </row>
    <row r="60" spans="9:40" x14ac:dyDescent="0.25">
      <c r="I60" t="s">
        <v>166</v>
      </c>
      <c r="J60" t="s">
        <v>290</v>
      </c>
      <c r="K60">
        <v>0</v>
      </c>
      <c r="L60" t="s">
        <v>154</v>
      </c>
      <c r="N60" t="s">
        <v>196</v>
      </c>
      <c r="O60" t="s">
        <v>290</v>
      </c>
      <c r="P60">
        <v>9.4800791726457369E-3</v>
      </c>
      <c r="Q60" t="s">
        <v>154</v>
      </c>
      <c r="S60" t="s">
        <v>227</v>
      </c>
      <c r="T60" t="s">
        <v>290</v>
      </c>
      <c r="U60">
        <v>1.1682391191833468E-2</v>
      </c>
      <c r="V60" t="s">
        <v>154</v>
      </c>
      <c r="AC60" t="s">
        <v>19</v>
      </c>
      <c r="AD60" t="s">
        <v>290</v>
      </c>
      <c r="AE60">
        <v>6.2835824181969877E-3</v>
      </c>
      <c r="AK60">
        <v>2030</v>
      </c>
      <c r="AL60" t="s">
        <v>146</v>
      </c>
      <c r="AM60">
        <v>0.22370000000000001</v>
      </c>
      <c r="AN60" t="s">
        <v>279</v>
      </c>
    </row>
    <row r="61" spans="9:40" x14ac:dyDescent="0.25">
      <c r="I61" t="s">
        <v>166</v>
      </c>
      <c r="J61" t="s">
        <v>297</v>
      </c>
      <c r="K61">
        <v>7.2822309928321756E-3</v>
      </c>
      <c r="L61" t="s">
        <v>154</v>
      </c>
      <c r="N61" t="s">
        <v>196</v>
      </c>
      <c r="O61" t="s">
        <v>297</v>
      </c>
      <c r="P61">
        <v>2.3719794319640511E-2</v>
      </c>
      <c r="Q61" t="s">
        <v>154</v>
      </c>
      <c r="S61" t="s">
        <v>227</v>
      </c>
      <c r="T61" t="s">
        <v>297</v>
      </c>
      <c r="U61">
        <v>3.5042096833513614E-2</v>
      </c>
      <c r="V61" t="s">
        <v>154</v>
      </c>
      <c r="AC61" t="s">
        <v>19</v>
      </c>
      <c r="AD61" t="s">
        <v>297</v>
      </c>
      <c r="AE61">
        <v>2.8445080768569702E-2</v>
      </c>
      <c r="AK61">
        <v>2030</v>
      </c>
      <c r="AL61" t="s">
        <v>148</v>
      </c>
      <c r="AM61">
        <v>0.33065555555555559</v>
      </c>
      <c r="AN61" t="s">
        <v>279</v>
      </c>
    </row>
    <row r="62" spans="9:40" x14ac:dyDescent="0.25">
      <c r="I62" t="s">
        <v>166</v>
      </c>
      <c r="J62" t="s">
        <v>298</v>
      </c>
      <c r="K62">
        <v>5.3690734989790365E-2</v>
      </c>
      <c r="L62" t="s">
        <v>154</v>
      </c>
      <c r="N62" t="s">
        <v>196</v>
      </c>
      <c r="O62" t="s">
        <v>298</v>
      </c>
      <c r="P62">
        <v>2.1589968895036494E-2</v>
      </c>
      <c r="Q62" t="s">
        <v>154</v>
      </c>
      <c r="S62" t="s">
        <v>227</v>
      </c>
      <c r="T62" t="s">
        <v>298</v>
      </c>
      <c r="U62">
        <v>3.1451300561552278E-2</v>
      </c>
      <c r="V62" t="s">
        <v>154</v>
      </c>
      <c r="AC62" t="s">
        <v>19</v>
      </c>
      <c r="AD62" t="s">
        <v>298</v>
      </c>
      <c r="AE62">
        <v>2.5702451608334422E-2</v>
      </c>
      <c r="AK62">
        <v>2030</v>
      </c>
      <c r="AL62" t="s">
        <v>150</v>
      </c>
      <c r="AM62">
        <v>0.2596</v>
      </c>
      <c r="AN62" t="s">
        <v>279</v>
      </c>
    </row>
    <row r="63" spans="9:40" x14ac:dyDescent="0.25">
      <c r="I63" t="s">
        <v>166</v>
      </c>
      <c r="J63" t="s">
        <v>299</v>
      </c>
      <c r="K63">
        <v>1.388209889109865E-3</v>
      </c>
      <c r="L63" t="s">
        <v>154</v>
      </c>
      <c r="N63" t="s">
        <v>196</v>
      </c>
      <c r="O63" t="s">
        <v>299</v>
      </c>
      <c r="P63">
        <v>2.8329242450341038E-3</v>
      </c>
      <c r="Q63" t="s">
        <v>154</v>
      </c>
      <c r="S63" t="s">
        <v>227</v>
      </c>
      <c r="T63" t="s">
        <v>299</v>
      </c>
      <c r="U63">
        <v>3.9501406216732819E-3</v>
      </c>
      <c r="V63" t="s">
        <v>154</v>
      </c>
      <c r="AC63" t="s">
        <v>19</v>
      </c>
      <c r="AD63" t="s">
        <v>299</v>
      </c>
      <c r="AE63">
        <v>3.2194074648871623E-3</v>
      </c>
      <c r="AK63">
        <v>2030</v>
      </c>
      <c r="AL63" t="s">
        <v>294</v>
      </c>
      <c r="AM63">
        <v>0.21934999999999999</v>
      </c>
      <c r="AN63" t="s">
        <v>279</v>
      </c>
    </row>
    <row r="64" spans="9:40" x14ac:dyDescent="0.25">
      <c r="I64" t="s">
        <v>166</v>
      </c>
      <c r="J64" t="s">
        <v>300</v>
      </c>
      <c r="K64">
        <v>0</v>
      </c>
      <c r="L64" t="s">
        <v>154</v>
      </c>
      <c r="N64" t="s">
        <v>196</v>
      </c>
      <c r="O64" t="s">
        <v>300</v>
      </c>
      <c r="P64">
        <v>2.725950579975784E-3</v>
      </c>
      <c r="Q64" t="s">
        <v>154</v>
      </c>
      <c r="S64" t="s">
        <v>227</v>
      </c>
      <c r="T64" t="s">
        <v>300</v>
      </c>
      <c r="U64">
        <v>3.5789614018915585E-3</v>
      </c>
      <c r="V64" t="s">
        <v>154</v>
      </c>
      <c r="AC64" t="s">
        <v>19</v>
      </c>
      <c r="AD64" t="s">
        <v>300</v>
      </c>
      <c r="AE64">
        <v>3.2243925280880186E-3</v>
      </c>
      <c r="AK64">
        <v>2030</v>
      </c>
      <c r="AL64" t="s">
        <v>295</v>
      </c>
      <c r="AM64">
        <v>0.1973</v>
      </c>
      <c r="AN64" t="s">
        <v>279</v>
      </c>
    </row>
    <row r="65" spans="9:40" x14ac:dyDescent="0.25">
      <c r="I65" t="s">
        <v>166</v>
      </c>
      <c r="J65" t="s">
        <v>301</v>
      </c>
      <c r="K65">
        <v>0</v>
      </c>
      <c r="L65" t="s">
        <v>154</v>
      </c>
      <c r="N65" t="s">
        <v>196</v>
      </c>
      <c r="O65" t="s">
        <v>301</v>
      </c>
      <c r="P65">
        <v>1.377978864760721E-2</v>
      </c>
      <c r="Q65" t="s">
        <v>154</v>
      </c>
      <c r="S65" t="s">
        <v>227</v>
      </c>
      <c r="T65" t="s">
        <v>301</v>
      </c>
      <c r="U65">
        <v>1.9401571525735749E-2</v>
      </c>
      <c r="V65" t="s">
        <v>154</v>
      </c>
      <c r="AC65" t="s">
        <v>19</v>
      </c>
      <c r="AD65" t="s">
        <v>301</v>
      </c>
      <c r="AE65">
        <v>1.6045300423670021E-2</v>
      </c>
      <c r="AK65">
        <v>2031</v>
      </c>
      <c r="AL65" t="s">
        <v>142</v>
      </c>
      <c r="AM65">
        <v>0.21650000000000003</v>
      </c>
      <c r="AN65" t="s">
        <v>279</v>
      </c>
    </row>
    <row r="66" spans="9:40" x14ac:dyDescent="0.25">
      <c r="I66" t="s">
        <v>166</v>
      </c>
      <c r="J66" t="s">
        <v>302</v>
      </c>
      <c r="K66">
        <v>4.8806362892947642E-3</v>
      </c>
      <c r="L66" t="s">
        <v>154</v>
      </c>
      <c r="N66" t="s">
        <v>196</v>
      </c>
      <c r="O66" t="s">
        <v>302</v>
      </c>
      <c r="P66">
        <v>4.1930471016614741E-2</v>
      </c>
      <c r="Q66" t="s">
        <v>154</v>
      </c>
      <c r="S66" t="s">
        <v>227</v>
      </c>
      <c r="T66" t="s">
        <v>302</v>
      </c>
      <c r="U66">
        <v>5.4412106858867881E-2</v>
      </c>
      <c r="V66" t="s">
        <v>154</v>
      </c>
      <c r="AC66" t="s">
        <v>19</v>
      </c>
      <c r="AD66" t="s">
        <v>302</v>
      </c>
      <c r="AE66">
        <v>3.7513909776589707E-2</v>
      </c>
      <c r="AK66">
        <v>2031</v>
      </c>
      <c r="AL66" t="s">
        <v>146</v>
      </c>
      <c r="AM66">
        <v>0.23300000000000001</v>
      </c>
      <c r="AN66" t="s">
        <v>279</v>
      </c>
    </row>
    <row r="67" spans="9:40" x14ac:dyDescent="0.25">
      <c r="I67" t="s">
        <v>166</v>
      </c>
      <c r="J67" t="s">
        <v>303</v>
      </c>
      <c r="K67">
        <v>5.0498378260480974E-2</v>
      </c>
      <c r="L67" t="s">
        <v>154</v>
      </c>
      <c r="N67" t="s">
        <v>196</v>
      </c>
      <c r="O67" t="s">
        <v>303</v>
      </c>
      <c r="P67">
        <v>3.9200027193175571E-2</v>
      </c>
      <c r="Q67" t="s">
        <v>154</v>
      </c>
      <c r="S67" t="s">
        <v>227</v>
      </c>
      <c r="T67" t="s">
        <v>303</v>
      </c>
      <c r="U67">
        <v>4.296986536294764E-2</v>
      </c>
      <c r="V67" t="s">
        <v>154</v>
      </c>
      <c r="AC67" t="s">
        <v>19</v>
      </c>
      <c r="AD67" t="s">
        <v>303</v>
      </c>
      <c r="AE67">
        <v>3.4140565231323701E-2</v>
      </c>
      <c r="AK67">
        <v>2031</v>
      </c>
      <c r="AL67" t="s">
        <v>148</v>
      </c>
      <c r="AM67">
        <v>0.32822222222222219</v>
      </c>
      <c r="AN67" t="s">
        <v>279</v>
      </c>
    </row>
    <row r="68" spans="9:40" x14ac:dyDescent="0.25">
      <c r="I68" t="s">
        <v>166</v>
      </c>
      <c r="J68" t="s">
        <v>304</v>
      </c>
      <c r="K68">
        <v>5.9201302923637142E-4</v>
      </c>
      <c r="L68" t="s">
        <v>154</v>
      </c>
      <c r="N68" t="s">
        <v>196</v>
      </c>
      <c r="O68" t="s">
        <v>304</v>
      </c>
      <c r="P68">
        <v>5.1995120245693941E-3</v>
      </c>
      <c r="Q68" t="s">
        <v>154</v>
      </c>
      <c r="S68" t="s">
        <v>227</v>
      </c>
      <c r="T68" t="s">
        <v>304</v>
      </c>
      <c r="U68">
        <v>5.6314919861258101E-3</v>
      </c>
      <c r="V68" t="s">
        <v>154</v>
      </c>
      <c r="AC68" t="s">
        <v>19</v>
      </c>
      <c r="AD68" t="s">
        <v>304</v>
      </c>
      <c r="AE68">
        <v>4.2879787887551467E-3</v>
      </c>
      <c r="AK68">
        <v>2031</v>
      </c>
      <c r="AL68" t="s">
        <v>150</v>
      </c>
      <c r="AM68">
        <v>0.25119999999999998</v>
      </c>
      <c r="AN68" t="s">
        <v>279</v>
      </c>
    </row>
    <row r="69" spans="9:40" x14ac:dyDescent="0.25">
      <c r="I69" t="s">
        <v>166</v>
      </c>
      <c r="J69" t="s">
        <v>305</v>
      </c>
      <c r="K69">
        <v>0</v>
      </c>
      <c r="L69" t="s">
        <v>154</v>
      </c>
      <c r="N69" t="s">
        <v>196</v>
      </c>
      <c r="O69" t="s">
        <v>305</v>
      </c>
      <c r="P69">
        <v>5.1605480199932675E-3</v>
      </c>
      <c r="Q69" t="s">
        <v>154</v>
      </c>
      <c r="S69" t="s">
        <v>227</v>
      </c>
      <c r="T69" t="s">
        <v>305</v>
      </c>
      <c r="U69">
        <v>5.626416319124505E-3</v>
      </c>
      <c r="V69" t="s">
        <v>154</v>
      </c>
      <c r="AC69" t="s">
        <v>19</v>
      </c>
      <c r="AD69" t="s">
        <v>305</v>
      </c>
      <c r="AE69">
        <v>4.2942659687883241E-3</v>
      </c>
      <c r="AK69">
        <v>2031</v>
      </c>
      <c r="AL69" t="s">
        <v>294</v>
      </c>
      <c r="AM69">
        <v>0.22349999999999998</v>
      </c>
      <c r="AN69" t="s">
        <v>279</v>
      </c>
    </row>
    <row r="70" spans="9:40" x14ac:dyDescent="0.25">
      <c r="I70" t="s">
        <v>166</v>
      </c>
      <c r="J70" t="s">
        <v>306</v>
      </c>
      <c r="K70">
        <v>0</v>
      </c>
      <c r="L70" t="s">
        <v>154</v>
      </c>
      <c r="N70" t="s">
        <v>196</v>
      </c>
      <c r="O70" t="s">
        <v>306</v>
      </c>
      <c r="P70">
        <v>2.3384134642667167E-2</v>
      </c>
      <c r="Q70" t="s">
        <v>154</v>
      </c>
      <c r="S70" t="s">
        <v>227</v>
      </c>
      <c r="T70" t="s">
        <v>306</v>
      </c>
      <c r="U70">
        <v>3.0490280593262746E-2</v>
      </c>
      <c r="V70" t="s">
        <v>154</v>
      </c>
      <c r="AC70" t="s">
        <v>19</v>
      </c>
      <c r="AD70" t="s">
        <v>306</v>
      </c>
      <c r="AE70">
        <v>2.121821755632115E-2</v>
      </c>
      <c r="AK70">
        <v>2031</v>
      </c>
      <c r="AL70" t="s">
        <v>295</v>
      </c>
      <c r="AM70">
        <v>0.20650000000000002</v>
      </c>
      <c r="AN70" t="s">
        <v>279</v>
      </c>
    </row>
    <row r="71" spans="9:40" x14ac:dyDescent="0.25">
      <c r="I71" t="s">
        <v>167</v>
      </c>
      <c r="J71" t="s">
        <v>153</v>
      </c>
      <c r="K71">
        <v>5.0453986654104112E-3</v>
      </c>
      <c r="L71" t="s">
        <v>154</v>
      </c>
      <c r="N71" t="s">
        <v>197</v>
      </c>
      <c r="O71" t="s">
        <v>153</v>
      </c>
      <c r="P71">
        <v>4.3784736925622514E-2</v>
      </c>
      <c r="Q71" t="s">
        <v>154</v>
      </c>
      <c r="S71" t="s">
        <v>228</v>
      </c>
      <c r="T71" t="s">
        <v>153</v>
      </c>
      <c r="U71">
        <v>3.7848925658715955E-2</v>
      </c>
      <c r="V71" t="s">
        <v>154</v>
      </c>
      <c r="AK71">
        <v>2032</v>
      </c>
      <c r="AL71" t="s">
        <v>142</v>
      </c>
      <c r="AM71">
        <v>0.22210000000000002</v>
      </c>
      <c r="AN71" t="s">
        <v>279</v>
      </c>
    </row>
    <row r="72" spans="9:40" x14ac:dyDescent="0.25">
      <c r="I72" t="s">
        <v>167</v>
      </c>
      <c r="J72" t="s">
        <v>155</v>
      </c>
      <c r="K72">
        <v>5.8795480031384788E-2</v>
      </c>
      <c r="L72" t="s">
        <v>154</v>
      </c>
      <c r="N72" t="s">
        <v>197</v>
      </c>
      <c r="O72" t="s">
        <v>155</v>
      </c>
      <c r="P72">
        <v>4.3744007144250079E-2</v>
      </c>
      <c r="Q72" t="s">
        <v>154</v>
      </c>
      <c r="S72" t="s">
        <v>228</v>
      </c>
      <c r="T72" t="s">
        <v>155</v>
      </c>
      <c r="U72">
        <v>3.5532784782649422E-2</v>
      </c>
      <c r="V72" t="s">
        <v>154</v>
      </c>
      <c r="AK72">
        <v>2032</v>
      </c>
      <c r="AL72" t="s">
        <v>146</v>
      </c>
      <c r="AM72">
        <v>0.22320000000000001</v>
      </c>
      <c r="AN72" t="s">
        <v>279</v>
      </c>
    </row>
    <row r="73" spans="9:40" x14ac:dyDescent="0.25">
      <c r="I73" t="s">
        <v>167</v>
      </c>
      <c r="J73" t="s">
        <v>156</v>
      </c>
      <c r="K73">
        <v>1.292437581945685E-3</v>
      </c>
      <c r="L73" t="s">
        <v>154</v>
      </c>
      <c r="N73" t="s">
        <v>197</v>
      </c>
      <c r="O73" t="s">
        <v>156</v>
      </c>
      <c r="P73">
        <v>6.7747200236352237E-3</v>
      </c>
      <c r="Q73" t="s">
        <v>154</v>
      </c>
      <c r="S73" t="s">
        <v>228</v>
      </c>
      <c r="T73" t="s">
        <v>156</v>
      </c>
      <c r="U73">
        <v>4.6237452372560007E-3</v>
      </c>
      <c r="V73" t="s">
        <v>154</v>
      </c>
      <c r="AK73">
        <v>2032</v>
      </c>
      <c r="AL73" t="s">
        <v>148</v>
      </c>
      <c r="AM73">
        <v>0.31636666666666668</v>
      </c>
      <c r="AN73" t="s">
        <v>279</v>
      </c>
    </row>
    <row r="74" spans="9:40" x14ac:dyDescent="0.25">
      <c r="I74" t="s">
        <v>167</v>
      </c>
      <c r="J74" t="s">
        <v>283</v>
      </c>
      <c r="K74">
        <v>0</v>
      </c>
      <c r="L74" t="s">
        <v>154</v>
      </c>
      <c r="N74" t="s">
        <v>197</v>
      </c>
      <c r="O74" t="s">
        <v>283</v>
      </c>
      <c r="P74">
        <v>6.5842772516760293E-3</v>
      </c>
      <c r="Q74" t="s">
        <v>154</v>
      </c>
      <c r="S74" t="s">
        <v>228</v>
      </c>
      <c r="T74" t="s">
        <v>283</v>
      </c>
      <c r="U74">
        <v>4.7602455611624106E-3</v>
      </c>
      <c r="V74" t="s">
        <v>154</v>
      </c>
      <c r="AK74">
        <v>2032</v>
      </c>
      <c r="AL74" t="s">
        <v>150</v>
      </c>
      <c r="AM74">
        <v>0.22939999999999999</v>
      </c>
      <c r="AN74" t="s">
        <v>279</v>
      </c>
    </row>
    <row r="75" spans="9:40" x14ac:dyDescent="0.25">
      <c r="I75" t="s">
        <v>167</v>
      </c>
      <c r="J75" t="s">
        <v>284</v>
      </c>
      <c r="K75">
        <v>0</v>
      </c>
      <c r="L75" t="s">
        <v>154</v>
      </c>
      <c r="N75" t="s">
        <v>197</v>
      </c>
      <c r="O75" t="s">
        <v>284</v>
      </c>
      <c r="P75">
        <v>2.580131547216729E-2</v>
      </c>
      <c r="Q75" t="s">
        <v>154</v>
      </c>
      <c r="S75" t="s">
        <v>228</v>
      </c>
      <c r="T75" t="s">
        <v>284</v>
      </c>
      <c r="U75">
        <v>2.3693137746180162E-2</v>
      </c>
      <c r="V75" t="s">
        <v>154</v>
      </c>
      <c r="AK75">
        <v>2032</v>
      </c>
      <c r="AL75" t="s">
        <v>294</v>
      </c>
      <c r="AM75">
        <v>0.20444999999999999</v>
      </c>
      <c r="AN75" t="s">
        <v>279</v>
      </c>
    </row>
    <row r="76" spans="9:40" x14ac:dyDescent="0.25">
      <c r="I76" t="s">
        <v>167</v>
      </c>
      <c r="J76" t="s">
        <v>157</v>
      </c>
      <c r="K76">
        <v>2.3041373107857105E-3</v>
      </c>
      <c r="L76" t="s">
        <v>154</v>
      </c>
      <c r="N76" t="s">
        <v>197</v>
      </c>
      <c r="O76" t="s">
        <v>157</v>
      </c>
      <c r="P76">
        <v>1.3947958527201879E-2</v>
      </c>
      <c r="Q76" t="s">
        <v>154</v>
      </c>
      <c r="S76" t="s">
        <v>228</v>
      </c>
      <c r="T76" t="s">
        <v>157</v>
      </c>
      <c r="U76">
        <v>1.229377097714867E-2</v>
      </c>
      <c r="V76" t="s">
        <v>154</v>
      </c>
      <c r="AK76">
        <v>2032</v>
      </c>
      <c r="AL76" t="s">
        <v>295</v>
      </c>
      <c r="AM76">
        <v>0.20784999999999998</v>
      </c>
      <c r="AN76" t="s">
        <v>279</v>
      </c>
    </row>
    <row r="77" spans="9:40" x14ac:dyDescent="0.25">
      <c r="I77" t="s">
        <v>167</v>
      </c>
      <c r="J77" t="s">
        <v>158</v>
      </c>
      <c r="K77">
        <v>1.8757668776033253E-2</v>
      </c>
      <c r="L77" t="s">
        <v>154</v>
      </c>
      <c r="N77" t="s">
        <v>197</v>
      </c>
      <c r="O77" t="s">
        <v>158</v>
      </c>
      <c r="P77">
        <v>1.18849035071781E-2</v>
      </c>
      <c r="Q77" t="s">
        <v>154</v>
      </c>
      <c r="S77" t="s">
        <v>228</v>
      </c>
      <c r="T77" t="s">
        <v>158</v>
      </c>
      <c r="U77">
        <v>1.0155242158816214E-2</v>
      </c>
      <c r="V77" t="s">
        <v>154</v>
      </c>
      <c r="AK77">
        <v>2033</v>
      </c>
      <c r="AL77" t="s">
        <v>142</v>
      </c>
      <c r="AM77">
        <v>0.2135</v>
      </c>
      <c r="AN77" t="s">
        <v>279</v>
      </c>
    </row>
    <row r="78" spans="9:40" x14ac:dyDescent="0.25">
      <c r="I78" t="s">
        <v>167</v>
      </c>
      <c r="J78" t="s">
        <v>159</v>
      </c>
      <c r="K78">
        <v>8.5948071716961756E-4</v>
      </c>
      <c r="L78" t="s">
        <v>154</v>
      </c>
      <c r="N78" t="s">
        <v>197</v>
      </c>
      <c r="O78" t="s">
        <v>159</v>
      </c>
      <c r="P78">
        <v>1.4927484360479368E-3</v>
      </c>
      <c r="Q78" t="s">
        <v>154</v>
      </c>
      <c r="S78" t="s">
        <v>228</v>
      </c>
      <c r="T78" t="s">
        <v>159</v>
      </c>
      <c r="U78">
        <v>1.3006266621453178E-3</v>
      </c>
      <c r="V78" t="s">
        <v>154</v>
      </c>
      <c r="AK78">
        <v>2033</v>
      </c>
      <c r="AL78" t="s">
        <v>146</v>
      </c>
      <c r="AM78">
        <v>0.2046</v>
      </c>
      <c r="AN78" t="s">
        <v>279</v>
      </c>
    </row>
    <row r="79" spans="9:40" x14ac:dyDescent="0.25">
      <c r="I79" t="s">
        <v>167</v>
      </c>
      <c r="J79" t="s">
        <v>285</v>
      </c>
      <c r="K79">
        <v>0</v>
      </c>
      <c r="L79" t="s">
        <v>154</v>
      </c>
      <c r="N79" t="s">
        <v>197</v>
      </c>
      <c r="O79" t="s">
        <v>285</v>
      </c>
      <c r="P79">
        <v>1.4617501218916291E-3</v>
      </c>
      <c r="Q79" t="s">
        <v>154</v>
      </c>
      <c r="S79" t="s">
        <v>228</v>
      </c>
      <c r="T79" t="s">
        <v>285</v>
      </c>
      <c r="U79">
        <v>1.3415434735802698E-3</v>
      </c>
      <c r="V79" t="s">
        <v>154</v>
      </c>
      <c r="AK79">
        <v>2033</v>
      </c>
      <c r="AL79" t="s">
        <v>148</v>
      </c>
      <c r="AM79">
        <v>0.31353333333333333</v>
      </c>
      <c r="AN79" t="s">
        <v>279</v>
      </c>
    </row>
    <row r="80" spans="9:40" x14ac:dyDescent="0.25">
      <c r="I80" t="s">
        <v>167</v>
      </c>
      <c r="J80" t="s">
        <v>286</v>
      </c>
      <c r="K80">
        <v>0</v>
      </c>
      <c r="L80" t="s">
        <v>154</v>
      </c>
      <c r="N80" t="s">
        <v>197</v>
      </c>
      <c r="O80" t="s">
        <v>286</v>
      </c>
      <c r="P80">
        <v>5.5169715817271689E-3</v>
      </c>
      <c r="Q80" t="s">
        <v>154</v>
      </c>
      <c r="S80" t="s">
        <v>228</v>
      </c>
      <c r="T80" t="s">
        <v>286</v>
      </c>
      <c r="U80">
        <v>6.8553369487908428E-3</v>
      </c>
      <c r="V80" t="s">
        <v>154</v>
      </c>
      <c r="AK80">
        <v>2033</v>
      </c>
      <c r="AL80" t="s">
        <v>150</v>
      </c>
      <c r="AM80">
        <v>0.22570000000000001</v>
      </c>
      <c r="AN80" t="s">
        <v>279</v>
      </c>
    </row>
    <row r="81" spans="9:40" x14ac:dyDescent="0.25">
      <c r="I81" t="s">
        <v>167</v>
      </c>
      <c r="J81" t="s">
        <v>160</v>
      </c>
      <c r="K81">
        <v>0.11423139114009132</v>
      </c>
      <c r="L81" t="s">
        <v>154</v>
      </c>
      <c r="N81" t="s">
        <v>197</v>
      </c>
      <c r="O81" t="s">
        <v>160</v>
      </c>
      <c r="P81">
        <v>0.21303406210598411</v>
      </c>
      <c r="Q81" t="s">
        <v>154</v>
      </c>
      <c r="S81" t="s">
        <v>228</v>
      </c>
      <c r="T81" t="s">
        <v>160</v>
      </c>
      <c r="U81">
        <v>0.24202269796177522</v>
      </c>
      <c r="V81" t="s">
        <v>154</v>
      </c>
      <c r="AK81">
        <v>2033</v>
      </c>
      <c r="AL81" t="s">
        <v>294</v>
      </c>
      <c r="AM81">
        <v>0.20295000000000002</v>
      </c>
      <c r="AN81" t="s">
        <v>279</v>
      </c>
    </row>
    <row r="82" spans="9:40" x14ac:dyDescent="0.25">
      <c r="I82" t="s">
        <v>167</v>
      </c>
      <c r="J82" t="s">
        <v>161</v>
      </c>
      <c r="K82">
        <v>0.59203917207978196</v>
      </c>
      <c r="L82" t="s">
        <v>154</v>
      </c>
      <c r="N82" t="s">
        <v>197</v>
      </c>
      <c r="O82" t="s">
        <v>161</v>
      </c>
      <c r="P82">
        <v>0.1954461940765117</v>
      </c>
      <c r="Q82" t="s">
        <v>154</v>
      </c>
      <c r="S82" t="s">
        <v>228</v>
      </c>
      <c r="T82" t="s">
        <v>161</v>
      </c>
      <c r="U82">
        <v>0.20585541718274944</v>
      </c>
      <c r="V82" t="s">
        <v>154</v>
      </c>
      <c r="AK82">
        <v>2033</v>
      </c>
      <c r="AL82" t="s">
        <v>295</v>
      </c>
      <c r="AM82">
        <v>0.19800000000000001</v>
      </c>
      <c r="AN82" t="s">
        <v>279</v>
      </c>
    </row>
    <row r="83" spans="9:40" x14ac:dyDescent="0.25">
      <c r="I83" t="s">
        <v>167</v>
      </c>
      <c r="J83" t="s">
        <v>162</v>
      </c>
      <c r="K83">
        <v>3.7872995459769562E-2</v>
      </c>
      <c r="L83" t="s">
        <v>154</v>
      </c>
      <c r="N83" t="s">
        <v>197</v>
      </c>
      <c r="O83" t="s">
        <v>162</v>
      </c>
      <c r="P83">
        <v>2.5575880106932385E-2</v>
      </c>
      <c r="Q83" t="s">
        <v>154</v>
      </c>
      <c r="S83" t="s">
        <v>228</v>
      </c>
      <c r="T83" t="s">
        <v>162</v>
      </c>
      <c r="U83">
        <v>2.6385310023799666E-2</v>
      </c>
      <c r="V83" t="s">
        <v>154</v>
      </c>
      <c r="AK83">
        <v>2034</v>
      </c>
      <c r="AL83" t="s">
        <v>142</v>
      </c>
      <c r="AM83">
        <v>0.22685</v>
      </c>
      <c r="AN83" t="s">
        <v>279</v>
      </c>
    </row>
    <row r="84" spans="9:40" x14ac:dyDescent="0.25">
      <c r="I84" t="s">
        <v>167</v>
      </c>
      <c r="J84" t="s">
        <v>287</v>
      </c>
      <c r="K84">
        <v>1.2978324254672732E-2</v>
      </c>
      <c r="L84" t="s">
        <v>154</v>
      </c>
      <c r="N84" t="s">
        <v>197</v>
      </c>
      <c r="O84" t="s">
        <v>287</v>
      </c>
      <c r="P84">
        <v>2.5261789072329319E-2</v>
      </c>
      <c r="Q84" t="s">
        <v>154</v>
      </c>
      <c r="S84" t="s">
        <v>228</v>
      </c>
      <c r="T84" t="s">
        <v>287</v>
      </c>
      <c r="U84">
        <v>2.4529821947259674E-2</v>
      </c>
      <c r="V84" t="s">
        <v>154</v>
      </c>
      <c r="AK84">
        <v>2034</v>
      </c>
      <c r="AL84" t="s">
        <v>146</v>
      </c>
      <c r="AM84">
        <v>0.24160000000000001</v>
      </c>
      <c r="AN84" t="s">
        <v>279</v>
      </c>
    </row>
    <row r="85" spans="9:40" x14ac:dyDescent="0.25">
      <c r="I85" t="s">
        <v>167</v>
      </c>
      <c r="J85" t="s">
        <v>288</v>
      </c>
      <c r="K85">
        <v>7.6376068888646613E-6</v>
      </c>
      <c r="L85" t="s">
        <v>154</v>
      </c>
      <c r="N85" t="s">
        <v>197</v>
      </c>
      <c r="O85" t="s">
        <v>288</v>
      </c>
      <c r="P85">
        <v>0.10586043561616494</v>
      </c>
      <c r="Q85" t="s">
        <v>154</v>
      </c>
      <c r="S85" t="s">
        <v>228</v>
      </c>
      <c r="T85" t="s">
        <v>288</v>
      </c>
      <c r="U85">
        <v>0.13343164328582394</v>
      </c>
      <c r="V85" t="s">
        <v>154</v>
      </c>
      <c r="AK85">
        <v>2034</v>
      </c>
      <c r="AL85" t="s">
        <v>148</v>
      </c>
      <c r="AM85">
        <v>0.32966666666666661</v>
      </c>
      <c r="AN85" t="s">
        <v>279</v>
      </c>
    </row>
    <row r="86" spans="9:40" x14ac:dyDescent="0.25">
      <c r="I86" t="s">
        <v>167</v>
      </c>
      <c r="J86" t="s">
        <v>163</v>
      </c>
      <c r="K86">
        <v>2.8761496126058412E-3</v>
      </c>
      <c r="L86" t="s">
        <v>154</v>
      </c>
      <c r="N86" t="s">
        <v>197</v>
      </c>
      <c r="O86" t="s">
        <v>163</v>
      </c>
      <c r="P86">
        <v>1.2612738227491567E-2</v>
      </c>
      <c r="Q86" t="s">
        <v>154</v>
      </c>
      <c r="S86" t="s">
        <v>228</v>
      </c>
      <c r="T86" t="s">
        <v>163</v>
      </c>
      <c r="U86">
        <v>2.0245169100003495E-2</v>
      </c>
      <c r="V86" t="s">
        <v>154</v>
      </c>
      <c r="AK86">
        <v>2034</v>
      </c>
      <c r="AL86" t="s">
        <v>150</v>
      </c>
      <c r="AM86">
        <v>0.22850000000000001</v>
      </c>
      <c r="AN86" t="s">
        <v>279</v>
      </c>
    </row>
    <row r="87" spans="9:40" x14ac:dyDescent="0.25">
      <c r="I87" t="s">
        <v>167</v>
      </c>
      <c r="J87" t="s">
        <v>164</v>
      </c>
      <c r="K87">
        <v>1.8962936247144204E-2</v>
      </c>
      <c r="L87" t="s">
        <v>154</v>
      </c>
      <c r="N87" t="s">
        <v>197</v>
      </c>
      <c r="O87" t="s">
        <v>164</v>
      </c>
      <c r="P87">
        <v>1.0204855354297908E-2</v>
      </c>
      <c r="Q87" t="s">
        <v>154</v>
      </c>
      <c r="S87" t="s">
        <v>228</v>
      </c>
      <c r="T87" t="s">
        <v>164</v>
      </c>
      <c r="U87">
        <v>1.6989899465019637E-2</v>
      </c>
      <c r="V87" t="s">
        <v>154</v>
      </c>
      <c r="AK87">
        <v>2034</v>
      </c>
      <c r="AL87" t="s">
        <v>294</v>
      </c>
      <c r="AM87">
        <v>0.20700000000000002</v>
      </c>
      <c r="AN87" t="s">
        <v>279</v>
      </c>
    </row>
    <row r="88" spans="9:40" x14ac:dyDescent="0.25">
      <c r="I88" t="s">
        <v>167</v>
      </c>
      <c r="J88" t="s">
        <v>165</v>
      </c>
      <c r="K88">
        <v>4.284174703944299E-4</v>
      </c>
      <c r="L88" t="s">
        <v>154</v>
      </c>
      <c r="N88" t="s">
        <v>197</v>
      </c>
      <c r="O88" t="s">
        <v>165</v>
      </c>
      <c r="P88">
        <v>1.2626252457690189E-3</v>
      </c>
      <c r="Q88" t="s">
        <v>154</v>
      </c>
      <c r="S88" t="s">
        <v>228</v>
      </c>
      <c r="T88" t="s">
        <v>165</v>
      </c>
      <c r="U88">
        <v>2.2394851755393099E-3</v>
      </c>
      <c r="V88" t="s">
        <v>154</v>
      </c>
      <c r="AK88">
        <v>2034</v>
      </c>
      <c r="AL88" t="s">
        <v>295</v>
      </c>
      <c r="AM88">
        <v>0.20605000000000001</v>
      </c>
      <c r="AN88" t="s">
        <v>279</v>
      </c>
    </row>
    <row r="89" spans="9:40" x14ac:dyDescent="0.25">
      <c r="I89" t="s">
        <v>167</v>
      </c>
      <c r="J89" t="s">
        <v>289</v>
      </c>
      <c r="K89">
        <v>0</v>
      </c>
      <c r="L89" t="s">
        <v>154</v>
      </c>
      <c r="N89" t="s">
        <v>197</v>
      </c>
      <c r="O89" t="s">
        <v>289</v>
      </c>
      <c r="P89">
        <v>1.3486408203045757E-3</v>
      </c>
      <c r="Q89" t="s">
        <v>154</v>
      </c>
      <c r="S89" t="s">
        <v>228</v>
      </c>
      <c r="T89" t="s">
        <v>289</v>
      </c>
      <c r="U89">
        <v>2.061504800131776E-3</v>
      </c>
      <c r="V89" t="s">
        <v>154</v>
      </c>
      <c r="AK89">
        <v>2035</v>
      </c>
      <c r="AL89" t="s">
        <v>142</v>
      </c>
      <c r="AM89">
        <v>0.21684999999999999</v>
      </c>
      <c r="AN89" t="s">
        <v>279</v>
      </c>
    </row>
    <row r="90" spans="9:40" x14ac:dyDescent="0.25">
      <c r="I90" t="s">
        <v>167</v>
      </c>
      <c r="J90" t="s">
        <v>290</v>
      </c>
      <c r="K90">
        <v>0</v>
      </c>
      <c r="L90" t="s">
        <v>154</v>
      </c>
      <c r="N90" t="s">
        <v>197</v>
      </c>
      <c r="O90" t="s">
        <v>290</v>
      </c>
      <c r="P90">
        <v>6.0217308214839515E-3</v>
      </c>
      <c r="Q90" t="s">
        <v>154</v>
      </c>
      <c r="S90" t="s">
        <v>228</v>
      </c>
      <c r="T90" t="s">
        <v>290</v>
      </c>
      <c r="U90">
        <v>1.0916936115369017E-2</v>
      </c>
      <c r="V90" t="s">
        <v>154</v>
      </c>
      <c r="AK90">
        <v>2035</v>
      </c>
      <c r="AL90" t="s">
        <v>146</v>
      </c>
      <c r="AM90">
        <v>0.22639999999999999</v>
      </c>
      <c r="AN90" t="s">
        <v>279</v>
      </c>
    </row>
    <row r="91" spans="9:40" x14ac:dyDescent="0.25">
      <c r="I91" t="s">
        <v>167</v>
      </c>
      <c r="J91" t="s">
        <v>297</v>
      </c>
      <c r="K91">
        <v>9.3069420860553316E-3</v>
      </c>
      <c r="L91" t="s">
        <v>154</v>
      </c>
      <c r="N91" t="s">
        <v>197</v>
      </c>
      <c r="O91" t="s">
        <v>297</v>
      </c>
      <c r="P91">
        <v>2.5455363043623107E-2</v>
      </c>
      <c r="Q91" t="s">
        <v>154</v>
      </c>
      <c r="S91" t="s">
        <v>228</v>
      </c>
      <c r="T91" t="s">
        <v>297</v>
      </c>
      <c r="U91">
        <v>2.3419642208412299E-2</v>
      </c>
      <c r="V91" t="s">
        <v>154</v>
      </c>
      <c r="AK91">
        <v>2035</v>
      </c>
      <c r="AL91" t="s">
        <v>148</v>
      </c>
      <c r="AM91">
        <v>0.31518888888888891</v>
      </c>
      <c r="AN91" t="s">
        <v>279</v>
      </c>
    </row>
    <row r="92" spans="9:40" x14ac:dyDescent="0.25">
      <c r="I92" t="s">
        <v>167</v>
      </c>
      <c r="J92" t="s">
        <v>298</v>
      </c>
      <c r="K92">
        <v>5.5048643052643911E-2</v>
      </c>
      <c r="L92" t="s">
        <v>154</v>
      </c>
      <c r="N92" t="s">
        <v>197</v>
      </c>
      <c r="O92" t="s">
        <v>298</v>
      </c>
      <c r="P92">
        <v>2.864506438827772E-2</v>
      </c>
      <c r="Q92" t="s">
        <v>154</v>
      </c>
      <c r="S92" t="s">
        <v>228</v>
      </c>
      <c r="T92" t="s">
        <v>298</v>
      </c>
      <c r="U92">
        <v>2.4273014089342154E-2</v>
      </c>
      <c r="V92" t="s">
        <v>154</v>
      </c>
      <c r="AK92">
        <v>2035</v>
      </c>
      <c r="AL92" t="s">
        <v>150</v>
      </c>
      <c r="AM92">
        <v>0.25069999999999998</v>
      </c>
      <c r="AN92" t="s">
        <v>279</v>
      </c>
    </row>
    <row r="93" spans="9:40" x14ac:dyDescent="0.25">
      <c r="I93" t="s">
        <v>167</v>
      </c>
      <c r="J93" t="s">
        <v>299</v>
      </c>
      <c r="K93">
        <v>1.2906791743458171E-6</v>
      </c>
      <c r="L93" t="s">
        <v>154</v>
      </c>
      <c r="N93" t="s">
        <v>197</v>
      </c>
      <c r="O93" t="s">
        <v>299</v>
      </c>
      <c r="P93">
        <v>3.2202289622842374E-3</v>
      </c>
      <c r="Q93" t="s">
        <v>154</v>
      </c>
      <c r="S93" t="s">
        <v>228</v>
      </c>
      <c r="T93" t="s">
        <v>299</v>
      </c>
      <c r="U93">
        <v>3.0772427507905886E-3</v>
      </c>
      <c r="V93" t="s">
        <v>154</v>
      </c>
      <c r="AK93">
        <v>2035</v>
      </c>
      <c r="AL93" t="s">
        <v>294</v>
      </c>
      <c r="AM93">
        <v>0.22299999999999998</v>
      </c>
      <c r="AN93" t="s">
        <v>279</v>
      </c>
    </row>
    <row r="94" spans="9:40" x14ac:dyDescent="0.25">
      <c r="I94" t="s">
        <v>167</v>
      </c>
      <c r="J94" t="s">
        <v>300</v>
      </c>
      <c r="K94">
        <v>0</v>
      </c>
      <c r="L94" t="s">
        <v>154</v>
      </c>
      <c r="N94" t="s">
        <v>197</v>
      </c>
      <c r="O94" t="s">
        <v>300</v>
      </c>
      <c r="P94">
        <v>3.1005474225389716E-3</v>
      </c>
      <c r="Q94" t="s">
        <v>154</v>
      </c>
      <c r="S94" t="s">
        <v>228</v>
      </c>
      <c r="T94" t="s">
        <v>300</v>
      </c>
      <c r="U94">
        <v>2.9582119225088962E-3</v>
      </c>
      <c r="V94" t="s">
        <v>154</v>
      </c>
      <c r="AK94">
        <v>2035</v>
      </c>
      <c r="AL94" t="s">
        <v>295</v>
      </c>
      <c r="AM94">
        <v>0.21610000000000001</v>
      </c>
      <c r="AN94" t="s">
        <v>279</v>
      </c>
    </row>
    <row r="95" spans="9:40" x14ac:dyDescent="0.25">
      <c r="I95" t="s">
        <v>167</v>
      </c>
      <c r="J95" t="s">
        <v>301</v>
      </c>
      <c r="K95">
        <v>0</v>
      </c>
      <c r="L95" t="s">
        <v>154</v>
      </c>
      <c r="N95" t="s">
        <v>197</v>
      </c>
      <c r="O95" t="s">
        <v>301</v>
      </c>
      <c r="P95">
        <v>1.4280703615762568E-2</v>
      </c>
      <c r="Q95" t="s">
        <v>154</v>
      </c>
      <c r="S95" t="s">
        <v>228</v>
      </c>
      <c r="T95" t="s">
        <v>301</v>
      </c>
      <c r="U95">
        <v>1.4262117796017486E-2</v>
      </c>
      <c r="V95" t="s">
        <v>154</v>
      </c>
      <c r="AK95">
        <v>2036</v>
      </c>
      <c r="AL95" t="s">
        <v>142</v>
      </c>
      <c r="AM95">
        <v>0.22889999999999999</v>
      </c>
      <c r="AN95" t="s">
        <v>279</v>
      </c>
    </row>
    <row r="96" spans="9:40" x14ac:dyDescent="0.25">
      <c r="I96" t="s">
        <v>167</v>
      </c>
      <c r="J96" t="s">
        <v>302</v>
      </c>
      <c r="K96">
        <v>7.6314626283934036E-3</v>
      </c>
      <c r="L96" t="s">
        <v>154</v>
      </c>
      <c r="N96" t="s">
        <v>197</v>
      </c>
      <c r="O96" t="s">
        <v>302</v>
      </c>
      <c r="P96">
        <v>5.9564795144976312E-2</v>
      </c>
      <c r="Q96" t="s">
        <v>154</v>
      </c>
      <c r="S96" t="s">
        <v>228</v>
      </c>
      <c r="T96" t="s">
        <v>302</v>
      </c>
      <c r="U96">
        <v>3.9915133237309046E-2</v>
      </c>
      <c r="V96" t="s">
        <v>154</v>
      </c>
      <c r="AK96">
        <v>2036</v>
      </c>
      <c r="AL96" t="s">
        <v>146</v>
      </c>
      <c r="AM96">
        <v>0.23089999999999999</v>
      </c>
      <c r="AN96" t="s">
        <v>279</v>
      </c>
    </row>
    <row r="97" spans="9:40" x14ac:dyDescent="0.25">
      <c r="I97" t="s">
        <v>167</v>
      </c>
      <c r="J97" t="s">
        <v>303</v>
      </c>
      <c r="K97">
        <v>6.1560034599656699E-2</v>
      </c>
      <c r="L97" t="s">
        <v>154</v>
      </c>
      <c r="N97" t="s">
        <v>197</v>
      </c>
      <c r="O97" t="s">
        <v>303</v>
      </c>
      <c r="P97">
        <v>6.4775199629403549E-2</v>
      </c>
      <c r="Q97" t="s">
        <v>154</v>
      </c>
      <c r="S97" t="s">
        <v>228</v>
      </c>
      <c r="T97" t="s">
        <v>303</v>
      </c>
      <c r="U97">
        <v>3.6845270452497636E-2</v>
      </c>
      <c r="V97" t="s">
        <v>154</v>
      </c>
      <c r="AK97">
        <v>2036</v>
      </c>
      <c r="AL97" t="s">
        <v>148</v>
      </c>
      <c r="AM97">
        <v>0.32038888888888883</v>
      </c>
      <c r="AN97" t="s">
        <v>279</v>
      </c>
    </row>
    <row r="98" spans="9:40" x14ac:dyDescent="0.25">
      <c r="I98" t="s">
        <v>167</v>
      </c>
      <c r="J98" t="s">
        <v>304</v>
      </c>
      <c r="K98">
        <v>0</v>
      </c>
      <c r="L98" t="s">
        <v>154</v>
      </c>
      <c r="N98" t="s">
        <v>197</v>
      </c>
      <c r="O98" t="s">
        <v>304</v>
      </c>
      <c r="P98">
        <v>7.5624390796875029E-3</v>
      </c>
      <c r="Q98" t="s">
        <v>154</v>
      </c>
      <c r="S98" t="s">
        <v>228</v>
      </c>
      <c r="T98" t="s">
        <v>304</v>
      </c>
      <c r="U98">
        <v>4.7148850754645108E-3</v>
      </c>
      <c r="V98" t="s">
        <v>154</v>
      </c>
      <c r="AK98">
        <v>2036</v>
      </c>
      <c r="AL98" t="s">
        <v>150</v>
      </c>
      <c r="AM98">
        <v>0.25900000000000001</v>
      </c>
      <c r="AN98" t="s">
        <v>279</v>
      </c>
    </row>
    <row r="99" spans="9:40" x14ac:dyDescent="0.25">
      <c r="I99" t="s">
        <v>167</v>
      </c>
      <c r="J99" t="s">
        <v>305</v>
      </c>
      <c r="K99">
        <v>0</v>
      </c>
      <c r="L99" t="s">
        <v>154</v>
      </c>
      <c r="N99" t="s">
        <v>197</v>
      </c>
      <c r="O99" t="s">
        <v>305</v>
      </c>
      <c r="P99">
        <v>7.1017338603145252E-3</v>
      </c>
      <c r="Q99" t="s">
        <v>154</v>
      </c>
      <c r="S99" t="s">
        <v>228</v>
      </c>
      <c r="T99" t="s">
        <v>305</v>
      </c>
      <c r="U99">
        <v>4.8534388725989877E-3</v>
      </c>
      <c r="V99" t="s">
        <v>154</v>
      </c>
      <c r="AK99">
        <v>2036</v>
      </c>
      <c r="AL99" t="s">
        <v>294</v>
      </c>
      <c r="AM99">
        <v>0.2319</v>
      </c>
      <c r="AN99" t="s">
        <v>279</v>
      </c>
    </row>
    <row r="100" spans="9:40" x14ac:dyDescent="0.25">
      <c r="I100" t="s">
        <v>167</v>
      </c>
      <c r="J100" t="s">
        <v>306</v>
      </c>
      <c r="K100">
        <v>0</v>
      </c>
      <c r="L100" t="s">
        <v>154</v>
      </c>
      <c r="N100" t="s">
        <v>197</v>
      </c>
      <c r="O100" t="s">
        <v>306</v>
      </c>
      <c r="P100">
        <v>2.8671584414465153E-2</v>
      </c>
      <c r="Q100" t="s">
        <v>154</v>
      </c>
      <c r="S100" t="s">
        <v>228</v>
      </c>
      <c r="T100" t="s">
        <v>306</v>
      </c>
      <c r="U100">
        <v>2.2597799331142344E-2</v>
      </c>
      <c r="V100" t="s">
        <v>154</v>
      </c>
      <c r="AK100">
        <v>2036</v>
      </c>
      <c r="AL100" t="s">
        <v>295</v>
      </c>
      <c r="AM100">
        <v>0.20700000000000002</v>
      </c>
      <c r="AN100" t="s">
        <v>279</v>
      </c>
    </row>
    <row r="101" spans="9:40" x14ac:dyDescent="0.25">
      <c r="I101" t="s">
        <v>168</v>
      </c>
      <c r="J101" t="s">
        <v>153</v>
      </c>
      <c r="K101">
        <v>7.735493254578737E-3</v>
      </c>
      <c r="L101" t="s">
        <v>154</v>
      </c>
      <c r="N101" t="s">
        <v>198</v>
      </c>
      <c r="O101" t="s">
        <v>153</v>
      </c>
      <c r="P101">
        <v>4.8753917013970124E-2</v>
      </c>
      <c r="Q101" t="s">
        <v>154</v>
      </c>
      <c r="S101" t="s">
        <v>229</v>
      </c>
      <c r="T101" t="s">
        <v>153</v>
      </c>
      <c r="U101">
        <v>3.880752867167548E-2</v>
      </c>
      <c r="V101" t="s">
        <v>154</v>
      </c>
      <c r="AK101">
        <v>2037</v>
      </c>
      <c r="AL101" t="s">
        <v>142</v>
      </c>
      <c r="AM101">
        <v>0.22744999999999999</v>
      </c>
      <c r="AN101" t="s">
        <v>279</v>
      </c>
    </row>
    <row r="102" spans="9:40" x14ac:dyDescent="0.25">
      <c r="I102" t="s">
        <v>168</v>
      </c>
      <c r="J102" t="s">
        <v>155</v>
      </c>
      <c r="K102">
        <v>5.9676284560961163E-2</v>
      </c>
      <c r="L102" t="s">
        <v>154</v>
      </c>
      <c r="N102" t="s">
        <v>198</v>
      </c>
      <c r="O102" t="s">
        <v>155</v>
      </c>
      <c r="P102">
        <v>4.4394385022741026E-2</v>
      </c>
      <c r="Q102" t="s">
        <v>154</v>
      </c>
      <c r="S102" t="s">
        <v>229</v>
      </c>
      <c r="T102" t="s">
        <v>155</v>
      </c>
      <c r="U102">
        <v>3.4873474413892339E-2</v>
      </c>
      <c r="V102" t="s">
        <v>154</v>
      </c>
      <c r="AK102">
        <v>2037</v>
      </c>
      <c r="AL102" t="s">
        <v>146</v>
      </c>
      <c r="AM102">
        <v>0.2379</v>
      </c>
      <c r="AN102" t="s">
        <v>279</v>
      </c>
    </row>
    <row r="103" spans="9:40" x14ac:dyDescent="0.25">
      <c r="I103" t="s">
        <v>168</v>
      </c>
      <c r="J103" t="s">
        <v>156</v>
      </c>
      <c r="K103">
        <v>1.5910297986401244E-3</v>
      </c>
      <c r="L103" t="s">
        <v>154</v>
      </c>
      <c r="N103" t="s">
        <v>198</v>
      </c>
      <c r="O103" t="s">
        <v>156</v>
      </c>
      <c r="P103">
        <v>6.7666655852410638E-3</v>
      </c>
      <c r="Q103" t="s">
        <v>154</v>
      </c>
      <c r="S103" t="s">
        <v>229</v>
      </c>
      <c r="T103" t="s">
        <v>156</v>
      </c>
      <c r="U103">
        <v>4.5049438319785624E-3</v>
      </c>
      <c r="V103" t="s">
        <v>154</v>
      </c>
      <c r="AK103">
        <v>2037</v>
      </c>
      <c r="AL103" t="s">
        <v>148</v>
      </c>
      <c r="AM103">
        <v>0.32725555555555563</v>
      </c>
      <c r="AN103" t="s">
        <v>279</v>
      </c>
    </row>
    <row r="104" spans="9:40" x14ac:dyDescent="0.25">
      <c r="I104" t="s">
        <v>168</v>
      </c>
      <c r="J104" t="s">
        <v>283</v>
      </c>
      <c r="K104">
        <v>0</v>
      </c>
      <c r="L104" t="s">
        <v>154</v>
      </c>
      <c r="N104" t="s">
        <v>198</v>
      </c>
      <c r="O104" t="s">
        <v>283</v>
      </c>
      <c r="P104">
        <v>6.907396644430866E-3</v>
      </c>
      <c r="Q104" t="s">
        <v>154</v>
      </c>
      <c r="S104" t="s">
        <v>229</v>
      </c>
      <c r="T104" t="s">
        <v>283</v>
      </c>
      <c r="U104">
        <v>4.7123701832059882E-3</v>
      </c>
      <c r="V104" t="s">
        <v>154</v>
      </c>
      <c r="AK104">
        <v>2037</v>
      </c>
      <c r="AL104" t="s">
        <v>150</v>
      </c>
      <c r="AM104">
        <v>0.25950000000000001</v>
      </c>
      <c r="AN104" t="s">
        <v>279</v>
      </c>
    </row>
    <row r="105" spans="9:40" x14ac:dyDescent="0.25">
      <c r="I105" t="s">
        <v>168</v>
      </c>
      <c r="J105" t="s">
        <v>284</v>
      </c>
      <c r="K105">
        <v>0</v>
      </c>
      <c r="L105" t="s">
        <v>154</v>
      </c>
      <c r="N105" t="s">
        <v>198</v>
      </c>
      <c r="O105" t="s">
        <v>284</v>
      </c>
      <c r="P105">
        <v>2.9705025969223166E-2</v>
      </c>
      <c r="Q105" t="s">
        <v>154</v>
      </c>
      <c r="S105" t="s">
        <v>229</v>
      </c>
      <c r="T105" t="s">
        <v>284</v>
      </c>
      <c r="U105">
        <v>2.3358921908288279E-2</v>
      </c>
      <c r="V105" t="s">
        <v>154</v>
      </c>
      <c r="AK105">
        <v>2037</v>
      </c>
      <c r="AL105" t="s">
        <v>294</v>
      </c>
      <c r="AM105">
        <v>0.22625000000000001</v>
      </c>
      <c r="AN105" t="s">
        <v>279</v>
      </c>
    </row>
    <row r="106" spans="9:40" x14ac:dyDescent="0.25">
      <c r="I106" t="s">
        <v>168</v>
      </c>
      <c r="J106" t="s">
        <v>157</v>
      </c>
      <c r="K106">
        <v>1.9716751891429968E-3</v>
      </c>
      <c r="L106" t="s">
        <v>154</v>
      </c>
      <c r="N106" t="s">
        <v>198</v>
      </c>
      <c r="O106" t="s">
        <v>157</v>
      </c>
      <c r="P106">
        <v>1.4893001000106836E-2</v>
      </c>
      <c r="Q106" t="s">
        <v>154</v>
      </c>
      <c r="S106" t="s">
        <v>229</v>
      </c>
      <c r="T106" t="s">
        <v>157</v>
      </c>
      <c r="U106">
        <v>1.2391398425707379E-2</v>
      </c>
      <c r="V106" t="s">
        <v>154</v>
      </c>
      <c r="AK106">
        <v>2037</v>
      </c>
      <c r="AL106" t="s">
        <v>295</v>
      </c>
      <c r="AM106">
        <v>0.2069</v>
      </c>
      <c r="AN106" t="s">
        <v>279</v>
      </c>
    </row>
    <row r="107" spans="9:40" x14ac:dyDescent="0.25">
      <c r="I107" t="s">
        <v>168</v>
      </c>
      <c r="J107" t="s">
        <v>158</v>
      </c>
      <c r="K107">
        <v>1.8866804966117132E-2</v>
      </c>
      <c r="L107" t="s">
        <v>154</v>
      </c>
      <c r="N107" t="s">
        <v>198</v>
      </c>
      <c r="O107" t="s">
        <v>158</v>
      </c>
      <c r="P107">
        <v>1.283483550749423E-2</v>
      </c>
      <c r="Q107" t="s">
        <v>154</v>
      </c>
      <c r="S107" t="s">
        <v>229</v>
      </c>
      <c r="T107" t="s">
        <v>158</v>
      </c>
      <c r="U107">
        <v>1.0136956834385345E-2</v>
      </c>
      <c r="V107" t="s">
        <v>154</v>
      </c>
      <c r="AK107">
        <v>2038</v>
      </c>
      <c r="AL107" t="s">
        <v>142</v>
      </c>
      <c r="AM107">
        <v>0.19729999999999998</v>
      </c>
      <c r="AN107" t="s">
        <v>279</v>
      </c>
    </row>
    <row r="108" spans="9:40" x14ac:dyDescent="0.25">
      <c r="I108" t="s">
        <v>168</v>
      </c>
      <c r="J108" t="s">
        <v>159</v>
      </c>
      <c r="K108">
        <v>8.5317777193024021E-4</v>
      </c>
      <c r="L108" t="s">
        <v>154</v>
      </c>
      <c r="N108" t="s">
        <v>198</v>
      </c>
      <c r="O108" t="s">
        <v>159</v>
      </c>
      <c r="P108">
        <v>1.5425668771700421E-3</v>
      </c>
      <c r="Q108" t="s">
        <v>154</v>
      </c>
      <c r="S108" t="s">
        <v>229</v>
      </c>
      <c r="T108" t="s">
        <v>159</v>
      </c>
      <c r="U108">
        <v>1.1808610208831685E-3</v>
      </c>
      <c r="V108" t="s">
        <v>154</v>
      </c>
      <c r="AK108">
        <v>2038</v>
      </c>
      <c r="AL108" t="s">
        <v>146</v>
      </c>
      <c r="AM108">
        <v>0.20349999999999999</v>
      </c>
      <c r="AN108" t="s">
        <v>279</v>
      </c>
    </row>
    <row r="109" spans="9:40" x14ac:dyDescent="0.25">
      <c r="I109" t="s">
        <v>168</v>
      </c>
      <c r="J109" t="s">
        <v>285</v>
      </c>
      <c r="K109">
        <v>0</v>
      </c>
      <c r="L109" t="s">
        <v>154</v>
      </c>
      <c r="N109" t="s">
        <v>198</v>
      </c>
      <c r="O109" t="s">
        <v>285</v>
      </c>
      <c r="P109">
        <v>1.6173596179732252E-3</v>
      </c>
      <c r="Q109" t="s">
        <v>154</v>
      </c>
      <c r="S109" t="s">
        <v>229</v>
      </c>
      <c r="T109" t="s">
        <v>285</v>
      </c>
      <c r="U109">
        <v>1.2292946347425677E-3</v>
      </c>
      <c r="V109" t="s">
        <v>154</v>
      </c>
      <c r="AK109">
        <v>2038</v>
      </c>
      <c r="AL109" t="s">
        <v>148</v>
      </c>
      <c r="AM109">
        <v>0.32874444444444451</v>
      </c>
      <c r="AN109" t="s">
        <v>279</v>
      </c>
    </row>
    <row r="110" spans="9:40" x14ac:dyDescent="0.25">
      <c r="I110" t="s">
        <v>168</v>
      </c>
      <c r="J110" t="s">
        <v>286</v>
      </c>
      <c r="K110">
        <v>0</v>
      </c>
      <c r="L110" t="s">
        <v>154</v>
      </c>
      <c r="N110" t="s">
        <v>198</v>
      </c>
      <c r="O110" t="s">
        <v>286</v>
      </c>
      <c r="P110">
        <v>6.0138526410806045E-3</v>
      </c>
      <c r="Q110" t="s">
        <v>154</v>
      </c>
      <c r="S110" t="s">
        <v>229</v>
      </c>
      <c r="T110" t="s">
        <v>286</v>
      </c>
      <c r="U110">
        <v>6.4069756501956851E-3</v>
      </c>
      <c r="V110" t="s">
        <v>154</v>
      </c>
      <c r="AK110">
        <v>2038</v>
      </c>
      <c r="AL110" t="s">
        <v>150</v>
      </c>
      <c r="AM110">
        <v>0.22339999999999999</v>
      </c>
      <c r="AN110" t="s">
        <v>279</v>
      </c>
    </row>
    <row r="111" spans="9:40" x14ac:dyDescent="0.25">
      <c r="I111" t="s">
        <v>168</v>
      </c>
      <c r="J111" t="s">
        <v>160</v>
      </c>
      <c r="K111">
        <v>0.11580874030823272</v>
      </c>
      <c r="L111" t="s">
        <v>154</v>
      </c>
      <c r="N111" t="s">
        <v>198</v>
      </c>
      <c r="O111" t="s">
        <v>160</v>
      </c>
      <c r="P111">
        <v>0.1868112096509458</v>
      </c>
      <c r="Q111" t="s">
        <v>154</v>
      </c>
      <c r="S111" t="s">
        <v>229</v>
      </c>
      <c r="T111" t="s">
        <v>160</v>
      </c>
      <c r="U111">
        <v>0.23982022033485337</v>
      </c>
      <c r="V111" t="s">
        <v>154</v>
      </c>
      <c r="AK111">
        <v>2038</v>
      </c>
      <c r="AL111" t="s">
        <v>294</v>
      </c>
      <c r="AM111">
        <v>0.19939999999999999</v>
      </c>
      <c r="AN111" t="s">
        <v>279</v>
      </c>
    </row>
    <row r="112" spans="9:40" x14ac:dyDescent="0.25">
      <c r="I112" t="s">
        <v>168</v>
      </c>
      <c r="J112" t="s">
        <v>161</v>
      </c>
      <c r="K112">
        <v>0.58986562887484073</v>
      </c>
      <c r="L112" t="s">
        <v>154</v>
      </c>
      <c r="N112" t="s">
        <v>198</v>
      </c>
      <c r="O112" t="s">
        <v>161</v>
      </c>
      <c r="P112">
        <v>0.19871793232590593</v>
      </c>
      <c r="Q112" t="s">
        <v>154</v>
      </c>
      <c r="S112" t="s">
        <v>229</v>
      </c>
      <c r="T112" t="s">
        <v>161</v>
      </c>
      <c r="U112">
        <v>0.20823248641180361</v>
      </c>
      <c r="V112" t="s">
        <v>154</v>
      </c>
      <c r="AK112">
        <v>2038</v>
      </c>
      <c r="AL112" t="s">
        <v>295</v>
      </c>
      <c r="AM112">
        <v>0.2051</v>
      </c>
      <c r="AN112" t="s">
        <v>279</v>
      </c>
    </row>
    <row r="113" spans="9:40" x14ac:dyDescent="0.25">
      <c r="I113" t="s">
        <v>168</v>
      </c>
      <c r="J113" t="s">
        <v>162</v>
      </c>
      <c r="K113">
        <v>3.4553944355071302E-2</v>
      </c>
      <c r="L113" t="s">
        <v>154</v>
      </c>
      <c r="N113" t="s">
        <v>198</v>
      </c>
      <c r="O113" t="s">
        <v>162</v>
      </c>
      <c r="P113">
        <v>2.6124517608397242E-2</v>
      </c>
      <c r="Q113" t="s">
        <v>154</v>
      </c>
      <c r="S113" t="s">
        <v>229</v>
      </c>
      <c r="T113" t="s">
        <v>162</v>
      </c>
      <c r="U113">
        <v>2.6923807715151241E-2</v>
      </c>
      <c r="V113" t="s">
        <v>154</v>
      </c>
      <c r="AK113">
        <v>2039</v>
      </c>
      <c r="AL113" t="s">
        <v>142</v>
      </c>
      <c r="AM113">
        <v>0.23630000000000001</v>
      </c>
      <c r="AN113" t="s">
        <v>279</v>
      </c>
    </row>
    <row r="114" spans="9:40" x14ac:dyDescent="0.25">
      <c r="I114" t="s">
        <v>168</v>
      </c>
      <c r="J114" t="s">
        <v>287</v>
      </c>
      <c r="K114">
        <v>1.0939777366040557E-2</v>
      </c>
      <c r="L114" t="s">
        <v>154</v>
      </c>
      <c r="N114" t="s">
        <v>198</v>
      </c>
      <c r="O114" t="s">
        <v>287</v>
      </c>
      <c r="P114">
        <v>2.5861743106481316E-2</v>
      </c>
      <c r="Q114" t="s">
        <v>154</v>
      </c>
      <c r="S114" t="s">
        <v>229</v>
      </c>
      <c r="T114" t="s">
        <v>287</v>
      </c>
      <c r="U114">
        <v>2.4749421089025093E-2</v>
      </c>
      <c r="V114" t="s">
        <v>154</v>
      </c>
      <c r="AK114">
        <v>2039</v>
      </c>
      <c r="AL114" t="s">
        <v>146</v>
      </c>
      <c r="AM114">
        <v>0.2465</v>
      </c>
      <c r="AN114" t="s">
        <v>279</v>
      </c>
    </row>
    <row r="115" spans="9:40" x14ac:dyDescent="0.25">
      <c r="I115" t="s">
        <v>168</v>
      </c>
      <c r="J115" t="s">
        <v>288</v>
      </c>
      <c r="K115">
        <v>0</v>
      </c>
      <c r="L115" t="s">
        <v>154</v>
      </c>
      <c r="N115" t="s">
        <v>198</v>
      </c>
      <c r="O115" t="s">
        <v>288</v>
      </c>
      <c r="P115">
        <v>0.10323797827366338</v>
      </c>
      <c r="Q115" t="s">
        <v>154</v>
      </c>
      <c r="S115" t="s">
        <v>229</v>
      </c>
      <c r="T115" t="s">
        <v>288</v>
      </c>
      <c r="U115">
        <v>0.13209665741813875</v>
      </c>
      <c r="V115" t="s">
        <v>154</v>
      </c>
      <c r="AK115">
        <v>2039</v>
      </c>
      <c r="AL115" t="s">
        <v>148</v>
      </c>
      <c r="AM115">
        <v>0.37084444444444448</v>
      </c>
      <c r="AN115" t="s">
        <v>279</v>
      </c>
    </row>
    <row r="116" spans="9:40" x14ac:dyDescent="0.25">
      <c r="I116" t="s">
        <v>168</v>
      </c>
      <c r="J116" t="s">
        <v>163</v>
      </c>
      <c r="K116">
        <v>3.5391988389060934E-3</v>
      </c>
      <c r="L116" t="s">
        <v>154</v>
      </c>
      <c r="N116" t="s">
        <v>198</v>
      </c>
      <c r="O116" t="s">
        <v>163</v>
      </c>
      <c r="P116">
        <v>1.6350487737668624E-2</v>
      </c>
      <c r="Q116" t="s">
        <v>154</v>
      </c>
      <c r="S116" t="s">
        <v>229</v>
      </c>
      <c r="T116" t="s">
        <v>163</v>
      </c>
      <c r="U116">
        <v>1.9675839320650555E-2</v>
      </c>
      <c r="V116" t="s">
        <v>154</v>
      </c>
      <c r="AK116">
        <v>2039</v>
      </c>
      <c r="AL116" t="s">
        <v>150</v>
      </c>
      <c r="AM116">
        <v>0.2772</v>
      </c>
      <c r="AN116" t="s">
        <v>279</v>
      </c>
    </row>
    <row r="117" spans="9:40" x14ac:dyDescent="0.25">
      <c r="I117" t="s">
        <v>168</v>
      </c>
      <c r="J117" t="s">
        <v>164</v>
      </c>
      <c r="K117">
        <v>1.9109417149844429E-2</v>
      </c>
      <c r="L117" t="s">
        <v>154</v>
      </c>
      <c r="N117" t="s">
        <v>198</v>
      </c>
      <c r="O117" t="s">
        <v>164</v>
      </c>
      <c r="P117">
        <v>1.307651790537208E-2</v>
      </c>
      <c r="Q117" t="s">
        <v>154</v>
      </c>
      <c r="S117" t="s">
        <v>229</v>
      </c>
      <c r="T117" t="s">
        <v>164</v>
      </c>
      <c r="U117">
        <v>1.8014595598419905E-2</v>
      </c>
      <c r="V117" t="s">
        <v>154</v>
      </c>
      <c r="AK117">
        <v>2039</v>
      </c>
      <c r="AL117" t="s">
        <v>294</v>
      </c>
      <c r="AM117">
        <v>0.24695</v>
      </c>
      <c r="AN117" t="s">
        <v>279</v>
      </c>
    </row>
    <row r="118" spans="9:40" x14ac:dyDescent="0.25">
      <c r="I118" t="s">
        <v>168</v>
      </c>
      <c r="J118" t="s">
        <v>165</v>
      </c>
      <c r="K118">
        <v>3.0879616598962863E-4</v>
      </c>
      <c r="L118" t="s">
        <v>154</v>
      </c>
      <c r="N118" t="s">
        <v>198</v>
      </c>
      <c r="O118" t="s">
        <v>165</v>
      </c>
      <c r="P118">
        <v>1.7428009163604024E-3</v>
      </c>
      <c r="Q118" t="s">
        <v>154</v>
      </c>
      <c r="S118" t="s">
        <v>229</v>
      </c>
      <c r="T118" t="s">
        <v>165</v>
      </c>
      <c r="U118">
        <v>2.3410411419310779E-3</v>
      </c>
      <c r="V118" t="s">
        <v>154</v>
      </c>
      <c r="AK118">
        <v>2039</v>
      </c>
      <c r="AL118" t="s">
        <v>295</v>
      </c>
      <c r="AM118">
        <v>0.24279999999999999</v>
      </c>
      <c r="AN118" t="s">
        <v>279</v>
      </c>
    </row>
    <row r="119" spans="9:40" x14ac:dyDescent="0.25">
      <c r="I119" t="s">
        <v>168</v>
      </c>
      <c r="J119" t="s">
        <v>289</v>
      </c>
      <c r="K119">
        <v>0</v>
      </c>
      <c r="L119" t="s">
        <v>154</v>
      </c>
      <c r="N119" t="s">
        <v>198</v>
      </c>
      <c r="O119" t="s">
        <v>289</v>
      </c>
      <c r="P119">
        <v>1.8245370915315319E-3</v>
      </c>
      <c r="Q119" t="s">
        <v>154</v>
      </c>
      <c r="S119" t="s">
        <v>229</v>
      </c>
      <c r="T119" t="s">
        <v>289</v>
      </c>
      <c r="U119">
        <v>2.126036147429186E-3</v>
      </c>
      <c r="V119" t="s">
        <v>154</v>
      </c>
      <c r="AK119">
        <v>2040</v>
      </c>
      <c r="AL119" t="s">
        <v>142</v>
      </c>
      <c r="AM119">
        <v>0.24209999999999998</v>
      </c>
      <c r="AN119" t="s">
        <v>279</v>
      </c>
    </row>
    <row r="120" spans="9:40" x14ac:dyDescent="0.25">
      <c r="I120" t="s">
        <v>168</v>
      </c>
      <c r="J120" t="s">
        <v>290</v>
      </c>
      <c r="K120">
        <v>0</v>
      </c>
      <c r="L120" t="s">
        <v>154</v>
      </c>
      <c r="N120" t="s">
        <v>198</v>
      </c>
      <c r="O120" t="s">
        <v>290</v>
      </c>
      <c r="P120">
        <v>7.3407835137870572E-3</v>
      </c>
      <c r="Q120" t="s">
        <v>154</v>
      </c>
      <c r="S120" t="s">
        <v>229</v>
      </c>
      <c r="T120" t="s">
        <v>290</v>
      </c>
      <c r="U120">
        <v>1.0937321161006092E-2</v>
      </c>
      <c r="V120" t="s">
        <v>154</v>
      </c>
      <c r="AK120">
        <v>2040</v>
      </c>
      <c r="AL120" t="s">
        <v>146</v>
      </c>
      <c r="AM120">
        <v>0.2366</v>
      </c>
      <c r="AN120" t="s">
        <v>279</v>
      </c>
    </row>
    <row r="121" spans="9:40" x14ac:dyDescent="0.25">
      <c r="I121" t="s">
        <v>168</v>
      </c>
      <c r="J121" t="s">
        <v>297</v>
      </c>
      <c r="K121">
        <v>8.9436540246923962E-3</v>
      </c>
      <c r="L121" t="s">
        <v>154</v>
      </c>
      <c r="N121" t="s">
        <v>198</v>
      </c>
      <c r="O121" t="s">
        <v>297</v>
      </c>
      <c r="P121">
        <v>2.1731546968716171E-2</v>
      </c>
      <c r="Q121" t="s">
        <v>154</v>
      </c>
      <c r="S121" t="s">
        <v>229</v>
      </c>
      <c r="T121" t="s">
        <v>297</v>
      </c>
      <c r="U121">
        <v>2.3699333156960049E-2</v>
      </c>
      <c r="V121" t="s">
        <v>154</v>
      </c>
      <c r="AK121">
        <v>2040</v>
      </c>
      <c r="AL121" t="s">
        <v>148</v>
      </c>
      <c r="AM121">
        <v>0.36735555555555555</v>
      </c>
      <c r="AN121" t="s">
        <v>279</v>
      </c>
    </row>
    <row r="122" spans="9:40" x14ac:dyDescent="0.25">
      <c r="I122" t="s">
        <v>168</v>
      </c>
      <c r="J122" t="s">
        <v>298</v>
      </c>
      <c r="K122">
        <v>5.5879041336595672E-2</v>
      </c>
      <c r="L122" t="s">
        <v>154</v>
      </c>
      <c r="N122" t="s">
        <v>198</v>
      </c>
      <c r="O122" t="s">
        <v>298</v>
      </c>
      <c r="P122">
        <v>2.7415432092690265E-2</v>
      </c>
      <c r="Q122" t="s">
        <v>154</v>
      </c>
      <c r="S122" t="s">
        <v>229</v>
      </c>
      <c r="T122" t="s">
        <v>298</v>
      </c>
      <c r="U122">
        <v>2.2162302384327023E-2</v>
      </c>
      <c r="V122" t="s">
        <v>154</v>
      </c>
      <c r="AK122">
        <v>2040</v>
      </c>
      <c r="AL122" t="s">
        <v>150</v>
      </c>
      <c r="AM122">
        <v>0.29380000000000001</v>
      </c>
      <c r="AN122" t="s">
        <v>279</v>
      </c>
    </row>
    <row r="123" spans="9:40" x14ac:dyDescent="0.25">
      <c r="I123" t="s">
        <v>168</v>
      </c>
      <c r="J123" t="s">
        <v>299</v>
      </c>
      <c r="K123">
        <v>0</v>
      </c>
      <c r="L123" t="s">
        <v>154</v>
      </c>
      <c r="N123" t="s">
        <v>198</v>
      </c>
      <c r="O123" t="s">
        <v>299</v>
      </c>
      <c r="P123">
        <v>3.1719617248454099E-3</v>
      </c>
      <c r="Q123" t="s">
        <v>154</v>
      </c>
      <c r="S123" t="s">
        <v>229</v>
      </c>
      <c r="T123" t="s">
        <v>299</v>
      </c>
      <c r="U123">
        <v>3.1019970829933947E-3</v>
      </c>
      <c r="V123" t="s">
        <v>154</v>
      </c>
      <c r="AK123">
        <v>2040</v>
      </c>
      <c r="AL123" t="s">
        <v>294</v>
      </c>
      <c r="AM123">
        <v>0.24709999999999999</v>
      </c>
      <c r="AN123" t="s">
        <v>279</v>
      </c>
    </row>
    <row r="124" spans="9:40" x14ac:dyDescent="0.25">
      <c r="I124" t="s">
        <v>168</v>
      </c>
      <c r="J124" t="s">
        <v>300</v>
      </c>
      <c r="K124">
        <v>0</v>
      </c>
      <c r="L124" t="s">
        <v>154</v>
      </c>
      <c r="N124" t="s">
        <v>198</v>
      </c>
      <c r="O124" t="s">
        <v>300</v>
      </c>
      <c r="P124">
        <v>2.9717732961796273E-3</v>
      </c>
      <c r="Q124" t="s">
        <v>154</v>
      </c>
      <c r="S124" t="s">
        <v>229</v>
      </c>
      <c r="T124" t="s">
        <v>300</v>
      </c>
      <c r="U124">
        <v>2.8845514918750211E-3</v>
      </c>
      <c r="V124" t="s">
        <v>154</v>
      </c>
      <c r="AK124">
        <v>2040</v>
      </c>
      <c r="AL124" t="s">
        <v>295</v>
      </c>
      <c r="AM124">
        <v>0.22644999999999998</v>
      </c>
      <c r="AN124" t="s">
        <v>279</v>
      </c>
    </row>
    <row r="125" spans="9:40" x14ac:dyDescent="0.25">
      <c r="I125" t="s">
        <v>168</v>
      </c>
      <c r="J125" t="s">
        <v>301</v>
      </c>
      <c r="K125">
        <v>0</v>
      </c>
      <c r="L125" t="s">
        <v>154</v>
      </c>
      <c r="N125" t="s">
        <v>198</v>
      </c>
      <c r="O125" t="s">
        <v>301</v>
      </c>
      <c r="P125">
        <v>1.38083353936862E-2</v>
      </c>
      <c r="Q125" t="s">
        <v>154</v>
      </c>
      <c r="S125" t="s">
        <v>229</v>
      </c>
      <c r="T125" t="s">
        <v>301</v>
      </c>
      <c r="U125">
        <v>1.4879356994405034E-2</v>
      </c>
      <c r="V125" t="s">
        <v>154</v>
      </c>
      <c r="AK125">
        <v>2041</v>
      </c>
      <c r="AL125" t="s">
        <v>142</v>
      </c>
      <c r="AM125">
        <v>0.24115</v>
      </c>
      <c r="AN125" t="s">
        <v>279</v>
      </c>
    </row>
    <row r="126" spans="9:40" x14ac:dyDescent="0.25">
      <c r="I126" t="s">
        <v>168</v>
      </c>
      <c r="J126" t="s">
        <v>302</v>
      </c>
      <c r="K126">
        <v>8.7913656136399451E-3</v>
      </c>
      <c r="L126" t="s">
        <v>154</v>
      </c>
      <c r="N126" t="s">
        <v>198</v>
      </c>
      <c r="O126" t="s">
        <v>302</v>
      </c>
      <c r="P126">
        <v>5.770900316037763E-2</v>
      </c>
      <c r="Q126" t="s">
        <v>154</v>
      </c>
      <c r="S126" t="s">
        <v>229</v>
      </c>
      <c r="T126" t="s">
        <v>302</v>
      </c>
      <c r="U126">
        <v>4.0751467501917882E-2</v>
      </c>
      <c r="V126" t="s">
        <v>154</v>
      </c>
      <c r="AK126">
        <v>2041</v>
      </c>
      <c r="AL126" t="s">
        <v>146</v>
      </c>
      <c r="AM126">
        <v>0.23530000000000001</v>
      </c>
      <c r="AN126" t="s">
        <v>279</v>
      </c>
    </row>
    <row r="127" spans="9:40" x14ac:dyDescent="0.25">
      <c r="I127" t="s">
        <v>168</v>
      </c>
      <c r="J127" t="s">
        <v>303</v>
      </c>
      <c r="K127">
        <v>6.1565970424776725E-2</v>
      </c>
      <c r="L127" t="s">
        <v>154</v>
      </c>
      <c r="N127" t="s">
        <v>198</v>
      </c>
      <c r="O127" t="s">
        <v>303</v>
      </c>
      <c r="P127">
        <v>7.0029938631566882E-2</v>
      </c>
      <c r="Q127" t="s">
        <v>154</v>
      </c>
      <c r="S127" t="s">
        <v>229</v>
      </c>
      <c r="T127" t="s">
        <v>303</v>
      </c>
      <c r="U127">
        <v>3.6681296371658088E-2</v>
      </c>
      <c r="V127" t="s">
        <v>154</v>
      </c>
      <c r="AK127">
        <v>2041</v>
      </c>
      <c r="AL127" t="s">
        <v>148</v>
      </c>
      <c r="AM127">
        <v>0.37382222222222222</v>
      </c>
      <c r="AN127" t="s">
        <v>279</v>
      </c>
    </row>
    <row r="128" spans="9:40" x14ac:dyDescent="0.25">
      <c r="I128" t="s">
        <v>168</v>
      </c>
      <c r="J128" t="s">
        <v>304</v>
      </c>
      <c r="K128">
        <v>0</v>
      </c>
      <c r="L128" t="s">
        <v>154</v>
      </c>
      <c r="N128" t="s">
        <v>198</v>
      </c>
      <c r="O128" t="s">
        <v>304</v>
      </c>
      <c r="P128">
        <v>8.5936770242639113E-3</v>
      </c>
      <c r="Q128" t="s">
        <v>154</v>
      </c>
      <c r="S128" t="s">
        <v>229</v>
      </c>
      <c r="T128" t="s">
        <v>304</v>
      </c>
      <c r="U128">
        <v>4.965975445552019E-3</v>
      </c>
      <c r="V128" t="s">
        <v>154</v>
      </c>
      <c r="AK128">
        <v>2041</v>
      </c>
      <c r="AL128" t="s">
        <v>150</v>
      </c>
      <c r="AM128">
        <v>0.27610000000000001</v>
      </c>
      <c r="AN128" t="s">
        <v>279</v>
      </c>
    </row>
    <row r="129" spans="9:40" x14ac:dyDescent="0.25">
      <c r="I129" t="s">
        <v>168</v>
      </c>
      <c r="J129" t="s">
        <v>305</v>
      </c>
      <c r="K129">
        <v>0</v>
      </c>
      <c r="L129" t="s">
        <v>154</v>
      </c>
      <c r="N129" t="s">
        <v>198</v>
      </c>
      <c r="O129" t="s">
        <v>305</v>
      </c>
      <c r="P129">
        <v>8.1956163384032613E-3</v>
      </c>
      <c r="Q129" t="s">
        <v>154</v>
      </c>
      <c r="S129" t="s">
        <v>229</v>
      </c>
      <c r="T129" t="s">
        <v>305</v>
      </c>
      <c r="U129">
        <v>5.0457425639649214E-3</v>
      </c>
      <c r="V129" t="s">
        <v>154</v>
      </c>
      <c r="AK129">
        <v>2041</v>
      </c>
      <c r="AL129" t="s">
        <v>294</v>
      </c>
      <c r="AM129">
        <v>0.23705000000000001</v>
      </c>
      <c r="AN129" t="s">
        <v>279</v>
      </c>
    </row>
    <row r="130" spans="9:40" x14ac:dyDescent="0.25">
      <c r="I130" t="s">
        <v>168</v>
      </c>
      <c r="J130" t="s">
        <v>306</v>
      </c>
      <c r="K130">
        <v>0</v>
      </c>
      <c r="L130" t="s">
        <v>154</v>
      </c>
      <c r="N130" t="s">
        <v>198</v>
      </c>
      <c r="O130" t="s">
        <v>306</v>
      </c>
      <c r="P130">
        <v>3.185520135972697E-2</v>
      </c>
      <c r="Q130" t="s">
        <v>154</v>
      </c>
      <c r="S130" t="s">
        <v>229</v>
      </c>
      <c r="T130" t="s">
        <v>306</v>
      </c>
      <c r="U130">
        <v>2.3307825092985398E-2</v>
      </c>
      <c r="V130" t="s">
        <v>154</v>
      </c>
      <c r="AK130">
        <v>2041</v>
      </c>
      <c r="AL130" t="s">
        <v>295</v>
      </c>
      <c r="AM130">
        <v>0.22440000000000002</v>
      </c>
      <c r="AN130" t="s">
        <v>279</v>
      </c>
    </row>
    <row r="131" spans="9:40" x14ac:dyDescent="0.25">
      <c r="I131" t="s">
        <v>169</v>
      </c>
      <c r="J131" t="s">
        <v>153</v>
      </c>
      <c r="K131">
        <v>7.5082674228086404E-3</v>
      </c>
      <c r="L131" t="s">
        <v>154</v>
      </c>
      <c r="N131" t="s">
        <v>199</v>
      </c>
      <c r="O131" t="s">
        <v>153</v>
      </c>
      <c r="P131">
        <v>3.8585626223091626E-2</v>
      </c>
      <c r="Q131" t="s">
        <v>154</v>
      </c>
      <c r="S131" t="s">
        <v>230</v>
      </c>
      <c r="T131" t="s">
        <v>153</v>
      </c>
      <c r="U131">
        <v>4.25866772078776E-2</v>
      </c>
      <c r="V131" t="s">
        <v>154</v>
      </c>
      <c r="AK131">
        <v>2042</v>
      </c>
      <c r="AL131" t="s">
        <v>142</v>
      </c>
      <c r="AM131">
        <v>0.24835000000000002</v>
      </c>
      <c r="AN131" t="s">
        <v>279</v>
      </c>
    </row>
    <row r="132" spans="9:40" x14ac:dyDescent="0.25">
      <c r="I132" t="s">
        <v>169</v>
      </c>
      <c r="J132" t="s">
        <v>155</v>
      </c>
      <c r="K132">
        <v>6.4535249319172081E-2</v>
      </c>
      <c r="L132" t="s">
        <v>154</v>
      </c>
      <c r="N132" t="s">
        <v>199</v>
      </c>
      <c r="O132" t="s">
        <v>155</v>
      </c>
      <c r="P132">
        <v>4.4375959230148226E-2</v>
      </c>
      <c r="Q132" t="s">
        <v>154</v>
      </c>
      <c r="S132" t="s">
        <v>230</v>
      </c>
      <c r="T132" t="s">
        <v>155</v>
      </c>
      <c r="U132">
        <v>3.67875087131792E-2</v>
      </c>
      <c r="V132" t="s">
        <v>154</v>
      </c>
      <c r="AK132">
        <v>2042</v>
      </c>
      <c r="AL132" t="s">
        <v>146</v>
      </c>
      <c r="AM132">
        <v>0.26950000000000002</v>
      </c>
      <c r="AN132" t="s">
        <v>279</v>
      </c>
    </row>
    <row r="133" spans="9:40" x14ac:dyDescent="0.25">
      <c r="I133" t="s">
        <v>169</v>
      </c>
      <c r="J133" t="s">
        <v>156</v>
      </c>
      <c r="K133">
        <v>1.3956001538171492E-3</v>
      </c>
      <c r="L133" t="s">
        <v>154</v>
      </c>
      <c r="N133" t="s">
        <v>199</v>
      </c>
      <c r="O133" t="s">
        <v>156</v>
      </c>
      <c r="P133">
        <v>5.7496367531296895E-3</v>
      </c>
      <c r="Q133" t="s">
        <v>154</v>
      </c>
      <c r="S133" t="s">
        <v>230</v>
      </c>
      <c r="T133" t="s">
        <v>156</v>
      </c>
      <c r="U133">
        <v>5.0219749142647162E-3</v>
      </c>
      <c r="V133" t="s">
        <v>154</v>
      </c>
      <c r="AK133">
        <v>2042</v>
      </c>
      <c r="AL133" t="s">
        <v>148</v>
      </c>
      <c r="AM133">
        <v>0.37966666666666665</v>
      </c>
      <c r="AN133" t="s">
        <v>279</v>
      </c>
    </row>
    <row r="134" spans="9:40" x14ac:dyDescent="0.25">
      <c r="I134" t="s">
        <v>169</v>
      </c>
      <c r="J134" t="s">
        <v>283</v>
      </c>
      <c r="K134">
        <v>0</v>
      </c>
      <c r="L134" t="s">
        <v>154</v>
      </c>
      <c r="N134" t="s">
        <v>199</v>
      </c>
      <c r="O134" t="s">
        <v>283</v>
      </c>
      <c r="P134">
        <v>4.1708867874443532E-3</v>
      </c>
      <c r="Q134" t="s">
        <v>154</v>
      </c>
      <c r="S134" t="s">
        <v>230</v>
      </c>
      <c r="T134" t="s">
        <v>283</v>
      </c>
      <c r="U134">
        <v>5.1698887471315529E-3</v>
      </c>
      <c r="V134" t="s">
        <v>154</v>
      </c>
      <c r="AK134">
        <v>2042</v>
      </c>
      <c r="AL134" t="s">
        <v>150</v>
      </c>
      <c r="AM134">
        <v>0.28189999999999998</v>
      </c>
      <c r="AN134" t="s">
        <v>279</v>
      </c>
    </row>
    <row r="135" spans="9:40" x14ac:dyDescent="0.25">
      <c r="I135" t="s">
        <v>169</v>
      </c>
      <c r="J135" t="s">
        <v>284</v>
      </c>
      <c r="K135">
        <v>0</v>
      </c>
      <c r="L135" t="s">
        <v>154</v>
      </c>
      <c r="N135" t="s">
        <v>199</v>
      </c>
      <c r="O135" t="s">
        <v>284</v>
      </c>
      <c r="P135">
        <v>1.9303870960015523E-2</v>
      </c>
      <c r="Q135" t="s">
        <v>154</v>
      </c>
      <c r="S135" t="s">
        <v>230</v>
      </c>
      <c r="T135" t="s">
        <v>284</v>
      </c>
      <c r="U135">
        <v>2.5320220956935015E-2</v>
      </c>
      <c r="V135" t="s">
        <v>154</v>
      </c>
      <c r="AK135">
        <v>2042</v>
      </c>
      <c r="AL135" t="s">
        <v>294</v>
      </c>
      <c r="AM135">
        <v>0.24014999999999997</v>
      </c>
      <c r="AN135" t="s">
        <v>279</v>
      </c>
    </row>
    <row r="136" spans="9:40" x14ac:dyDescent="0.25">
      <c r="I136" t="s">
        <v>169</v>
      </c>
      <c r="J136" t="s">
        <v>157</v>
      </c>
      <c r="K136">
        <v>2.6152102969157634E-3</v>
      </c>
      <c r="L136" t="s">
        <v>154</v>
      </c>
      <c r="N136" t="s">
        <v>199</v>
      </c>
      <c r="O136" t="s">
        <v>157</v>
      </c>
      <c r="P136">
        <v>1.1776217228801997E-2</v>
      </c>
      <c r="Q136" t="s">
        <v>154</v>
      </c>
      <c r="S136" t="s">
        <v>230</v>
      </c>
      <c r="T136" t="s">
        <v>157</v>
      </c>
      <c r="U136">
        <v>8.4379414821541526E-3</v>
      </c>
      <c r="V136" t="s">
        <v>154</v>
      </c>
      <c r="AK136">
        <v>2042</v>
      </c>
      <c r="AL136" t="s">
        <v>295</v>
      </c>
      <c r="AM136">
        <v>0.21779999999999999</v>
      </c>
      <c r="AN136" t="s">
        <v>279</v>
      </c>
    </row>
    <row r="137" spans="9:40" x14ac:dyDescent="0.25">
      <c r="I137" t="s">
        <v>169</v>
      </c>
      <c r="J137" t="s">
        <v>158</v>
      </c>
      <c r="K137">
        <v>1.9999005555192694E-2</v>
      </c>
      <c r="L137" t="s">
        <v>154</v>
      </c>
      <c r="N137" t="s">
        <v>199</v>
      </c>
      <c r="O137" t="s">
        <v>158</v>
      </c>
      <c r="P137">
        <v>1.0178787350099206E-2</v>
      </c>
      <c r="Q137" t="s">
        <v>154</v>
      </c>
      <c r="S137" t="s">
        <v>230</v>
      </c>
      <c r="T137" t="s">
        <v>158</v>
      </c>
      <c r="U137">
        <v>9.3634306673168258E-3</v>
      </c>
      <c r="V137" t="s">
        <v>154</v>
      </c>
      <c r="AK137">
        <v>2043</v>
      </c>
      <c r="AL137" t="s">
        <v>142</v>
      </c>
      <c r="AM137">
        <v>0.25209999999999999</v>
      </c>
      <c r="AN137" t="s">
        <v>279</v>
      </c>
    </row>
    <row r="138" spans="9:40" x14ac:dyDescent="0.25">
      <c r="I138" t="s">
        <v>169</v>
      </c>
      <c r="J138" t="s">
        <v>159</v>
      </c>
      <c r="K138">
        <v>9.0682775223050295E-4</v>
      </c>
      <c r="L138" t="s">
        <v>154</v>
      </c>
      <c r="N138" t="s">
        <v>199</v>
      </c>
      <c r="O138" t="s">
        <v>159</v>
      </c>
      <c r="P138">
        <v>1.2490537987751894E-3</v>
      </c>
      <c r="Q138" t="s">
        <v>154</v>
      </c>
      <c r="S138" t="s">
        <v>230</v>
      </c>
      <c r="T138" t="s">
        <v>159</v>
      </c>
      <c r="U138">
        <v>1.1439207306009258E-3</v>
      </c>
      <c r="V138" t="s">
        <v>154</v>
      </c>
      <c r="AK138">
        <v>2043</v>
      </c>
      <c r="AL138" t="s">
        <v>146</v>
      </c>
      <c r="AM138">
        <v>0.24010000000000001</v>
      </c>
      <c r="AN138" t="s">
        <v>279</v>
      </c>
    </row>
    <row r="139" spans="9:40" x14ac:dyDescent="0.25">
      <c r="I139" t="s">
        <v>169</v>
      </c>
      <c r="J139" t="s">
        <v>285</v>
      </c>
      <c r="K139">
        <v>0</v>
      </c>
      <c r="L139" t="s">
        <v>154</v>
      </c>
      <c r="N139" t="s">
        <v>199</v>
      </c>
      <c r="O139" t="s">
        <v>285</v>
      </c>
      <c r="P139">
        <v>8.7420204341835011E-4</v>
      </c>
      <c r="Q139" t="s">
        <v>154</v>
      </c>
      <c r="S139" t="s">
        <v>230</v>
      </c>
      <c r="T139" t="s">
        <v>285</v>
      </c>
      <c r="U139">
        <v>1.1961739211979643E-3</v>
      </c>
      <c r="V139" t="s">
        <v>154</v>
      </c>
      <c r="AK139">
        <v>2043</v>
      </c>
      <c r="AL139" t="s">
        <v>148</v>
      </c>
      <c r="AM139">
        <v>0.37925555555555557</v>
      </c>
      <c r="AN139" t="s">
        <v>279</v>
      </c>
    </row>
    <row r="140" spans="9:40" x14ac:dyDescent="0.25">
      <c r="I140" t="s">
        <v>169</v>
      </c>
      <c r="J140" t="s">
        <v>286</v>
      </c>
      <c r="K140">
        <v>0</v>
      </c>
      <c r="L140" t="s">
        <v>154</v>
      </c>
      <c r="N140" t="s">
        <v>199</v>
      </c>
      <c r="O140" t="s">
        <v>286</v>
      </c>
      <c r="P140">
        <v>5.6769357576862012E-3</v>
      </c>
      <c r="Q140" t="s">
        <v>154</v>
      </c>
      <c r="S140" t="s">
        <v>230</v>
      </c>
      <c r="T140" t="s">
        <v>286</v>
      </c>
      <c r="U140">
        <v>5.9023481859163647E-3</v>
      </c>
      <c r="V140" t="s">
        <v>154</v>
      </c>
      <c r="AK140">
        <v>2043</v>
      </c>
      <c r="AL140" t="s">
        <v>150</v>
      </c>
      <c r="AM140">
        <v>0.27439999999999998</v>
      </c>
      <c r="AN140" t="s">
        <v>279</v>
      </c>
    </row>
    <row r="141" spans="9:40" x14ac:dyDescent="0.25">
      <c r="I141" t="s">
        <v>169</v>
      </c>
      <c r="J141" t="s">
        <v>160</v>
      </c>
      <c r="K141">
        <v>0.11365429514714437</v>
      </c>
      <c r="L141" t="s">
        <v>154</v>
      </c>
      <c r="N141" t="s">
        <v>199</v>
      </c>
      <c r="O141" t="s">
        <v>160</v>
      </c>
      <c r="P141">
        <v>0.21996610875991909</v>
      </c>
      <c r="Q141" t="s">
        <v>154</v>
      </c>
      <c r="S141" t="s">
        <v>230</v>
      </c>
      <c r="T141" t="s">
        <v>160</v>
      </c>
      <c r="U141">
        <v>0.22414893454887433</v>
      </c>
      <c r="V141" t="s">
        <v>154</v>
      </c>
      <c r="AK141">
        <v>2043</v>
      </c>
      <c r="AL141" t="s">
        <v>294</v>
      </c>
      <c r="AM141">
        <v>0.25269999999999998</v>
      </c>
      <c r="AN141" t="s">
        <v>279</v>
      </c>
    </row>
    <row r="142" spans="9:40" x14ac:dyDescent="0.25">
      <c r="I142" t="s">
        <v>169</v>
      </c>
      <c r="J142" t="s">
        <v>161</v>
      </c>
      <c r="K142">
        <v>0.57650492498130257</v>
      </c>
      <c r="L142" t="s">
        <v>154</v>
      </c>
      <c r="N142" t="s">
        <v>199</v>
      </c>
      <c r="O142" t="s">
        <v>161</v>
      </c>
      <c r="P142">
        <v>0.22038984942851958</v>
      </c>
      <c r="Q142" t="s">
        <v>154</v>
      </c>
      <c r="S142" t="s">
        <v>230</v>
      </c>
      <c r="T142" t="s">
        <v>161</v>
      </c>
      <c r="U142">
        <v>0.20567541355281713</v>
      </c>
      <c r="V142" t="s">
        <v>154</v>
      </c>
      <c r="AK142">
        <v>2043</v>
      </c>
      <c r="AL142" t="s">
        <v>295</v>
      </c>
      <c r="AM142">
        <v>0.24020000000000002</v>
      </c>
      <c r="AN142" t="s">
        <v>279</v>
      </c>
    </row>
    <row r="143" spans="9:40" x14ac:dyDescent="0.25">
      <c r="I143" t="s">
        <v>169</v>
      </c>
      <c r="J143" t="s">
        <v>162</v>
      </c>
      <c r="K143">
        <v>3.5833899928600893E-2</v>
      </c>
      <c r="L143" t="s">
        <v>154</v>
      </c>
      <c r="N143" t="s">
        <v>199</v>
      </c>
      <c r="O143" t="s">
        <v>162</v>
      </c>
      <c r="P143">
        <v>2.9558551871422152E-2</v>
      </c>
      <c r="Q143" t="s">
        <v>154</v>
      </c>
      <c r="S143" t="s">
        <v>230</v>
      </c>
      <c r="T143" t="s">
        <v>162</v>
      </c>
      <c r="U143">
        <v>2.6479031186901814E-2</v>
      </c>
      <c r="V143" t="s">
        <v>154</v>
      </c>
      <c r="AK143">
        <v>2044</v>
      </c>
      <c r="AL143" t="s">
        <v>142</v>
      </c>
      <c r="AM143">
        <v>0.20784999999999998</v>
      </c>
      <c r="AN143" t="s">
        <v>279</v>
      </c>
    </row>
    <row r="144" spans="9:40" x14ac:dyDescent="0.25">
      <c r="I144" t="s">
        <v>169</v>
      </c>
      <c r="J144" t="s">
        <v>287</v>
      </c>
      <c r="K144">
        <v>1.1518034953902433E-2</v>
      </c>
      <c r="L144" t="s">
        <v>154</v>
      </c>
      <c r="N144" t="s">
        <v>199</v>
      </c>
      <c r="O144" t="s">
        <v>287</v>
      </c>
      <c r="P144">
        <v>2.1231116095260332E-2</v>
      </c>
      <c r="Q144" t="s">
        <v>154</v>
      </c>
      <c r="S144" t="s">
        <v>230</v>
      </c>
      <c r="T144" t="s">
        <v>287</v>
      </c>
      <c r="U144">
        <v>2.6479835394346084E-2</v>
      </c>
      <c r="V144" t="s">
        <v>154</v>
      </c>
      <c r="AK144">
        <v>2044</v>
      </c>
      <c r="AL144" t="s">
        <v>146</v>
      </c>
      <c r="AM144">
        <v>0.22639999999999999</v>
      </c>
      <c r="AN144" t="s">
        <v>279</v>
      </c>
    </row>
    <row r="145" spans="9:40" x14ac:dyDescent="0.25">
      <c r="I145" t="s">
        <v>169</v>
      </c>
      <c r="J145" t="s">
        <v>288</v>
      </c>
      <c r="K145">
        <v>0</v>
      </c>
      <c r="L145" t="s">
        <v>154</v>
      </c>
      <c r="N145" t="s">
        <v>199</v>
      </c>
      <c r="O145" t="s">
        <v>288</v>
      </c>
      <c r="P145">
        <v>0.12042927334024524</v>
      </c>
      <c r="Q145" t="s">
        <v>154</v>
      </c>
      <c r="S145" t="s">
        <v>230</v>
      </c>
      <c r="T145" t="s">
        <v>288</v>
      </c>
      <c r="U145">
        <v>0.12261980912515258</v>
      </c>
      <c r="V145" t="s">
        <v>154</v>
      </c>
      <c r="AK145">
        <v>2044</v>
      </c>
      <c r="AL145" t="s">
        <v>148</v>
      </c>
      <c r="AM145">
        <v>0.32544444444444443</v>
      </c>
      <c r="AN145" t="s">
        <v>279</v>
      </c>
    </row>
    <row r="146" spans="9:40" x14ac:dyDescent="0.25">
      <c r="I146" t="s">
        <v>169</v>
      </c>
      <c r="J146" t="s">
        <v>163</v>
      </c>
      <c r="K146">
        <v>3.4196820921505999E-3</v>
      </c>
      <c r="L146" t="s">
        <v>154</v>
      </c>
      <c r="N146" t="s">
        <v>199</v>
      </c>
      <c r="O146" t="s">
        <v>163</v>
      </c>
      <c r="P146">
        <v>1.6475188371167179E-2</v>
      </c>
      <c r="Q146" t="s">
        <v>154</v>
      </c>
      <c r="S146" t="s">
        <v>230</v>
      </c>
      <c r="T146" t="s">
        <v>163</v>
      </c>
      <c r="U146">
        <v>1.7541251083202314E-2</v>
      </c>
      <c r="V146" t="s">
        <v>154</v>
      </c>
      <c r="AK146">
        <v>2044</v>
      </c>
      <c r="AL146" t="s">
        <v>150</v>
      </c>
      <c r="AM146">
        <v>0.25559999999999999</v>
      </c>
      <c r="AN146" t="s">
        <v>279</v>
      </c>
    </row>
    <row r="147" spans="9:40" x14ac:dyDescent="0.25">
      <c r="I147" t="s">
        <v>169</v>
      </c>
      <c r="J147" t="s">
        <v>164</v>
      </c>
      <c r="K147">
        <v>1.9524679678747898E-2</v>
      </c>
      <c r="L147" t="s">
        <v>154</v>
      </c>
      <c r="N147" t="s">
        <v>199</v>
      </c>
      <c r="O147" t="s">
        <v>164</v>
      </c>
      <c r="P147">
        <v>1.6744436140446385E-2</v>
      </c>
      <c r="Q147" t="s">
        <v>154</v>
      </c>
      <c r="S147" t="s">
        <v>230</v>
      </c>
      <c r="T147" t="s">
        <v>164</v>
      </c>
      <c r="U147">
        <v>1.6709354152795498E-2</v>
      </c>
      <c r="V147" t="s">
        <v>154</v>
      </c>
      <c r="AK147">
        <v>2044</v>
      </c>
      <c r="AL147" t="s">
        <v>294</v>
      </c>
      <c r="AM147">
        <v>0.21495</v>
      </c>
      <c r="AN147" t="s">
        <v>279</v>
      </c>
    </row>
    <row r="148" spans="9:40" x14ac:dyDescent="0.25">
      <c r="I148" t="s">
        <v>169</v>
      </c>
      <c r="J148" t="s">
        <v>165</v>
      </c>
      <c r="K148">
        <v>3.1929125212124991E-4</v>
      </c>
      <c r="L148" t="s">
        <v>154</v>
      </c>
      <c r="N148" t="s">
        <v>199</v>
      </c>
      <c r="O148" t="s">
        <v>165</v>
      </c>
      <c r="P148">
        <v>2.4853940954643462E-3</v>
      </c>
      <c r="Q148" t="s">
        <v>154</v>
      </c>
      <c r="S148" t="s">
        <v>230</v>
      </c>
      <c r="T148" t="s">
        <v>165</v>
      </c>
      <c r="U148">
        <v>2.1531463895349745E-3</v>
      </c>
      <c r="V148" t="s">
        <v>154</v>
      </c>
      <c r="AK148">
        <v>2044</v>
      </c>
      <c r="AL148" t="s">
        <v>295</v>
      </c>
      <c r="AM148">
        <v>0.18980000000000002</v>
      </c>
      <c r="AN148" t="s">
        <v>279</v>
      </c>
    </row>
    <row r="149" spans="9:40" x14ac:dyDescent="0.25">
      <c r="I149" t="s">
        <v>169</v>
      </c>
      <c r="J149" t="s">
        <v>289</v>
      </c>
      <c r="K149">
        <v>0</v>
      </c>
      <c r="L149" t="s">
        <v>154</v>
      </c>
      <c r="N149" t="s">
        <v>199</v>
      </c>
      <c r="O149" t="s">
        <v>289</v>
      </c>
      <c r="P149">
        <v>1.6793413158406058E-3</v>
      </c>
      <c r="Q149" t="s">
        <v>154</v>
      </c>
      <c r="S149" t="s">
        <v>230</v>
      </c>
      <c r="T149" t="s">
        <v>289</v>
      </c>
      <c r="U149">
        <v>2.111600497428096E-3</v>
      </c>
      <c r="V149" t="s">
        <v>154</v>
      </c>
      <c r="AK149">
        <v>2045</v>
      </c>
      <c r="AL149" t="s">
        <v>142</v>
      </c>
      <c r="AM149">
        <v>0.2051</v>
      </c>
      <c r="AN149" t="s">
        <v>279</v>
      </c>
    </row>
    <row r="150" spans="9:40" x14ac:dyDescent="0.25">
      <c r="I150" t="s">
        <v>169</v>
      </c>
      <c r="J150" t="s">
        <v>290</v>
      </c>
      <c r="K150">
        <v>0</v>
      </c>
      <c r="L150" t="s">
        <v>154</v>
      </c>
      <c r="N150" t="s">
        <v>199</v>
      </c>
      <c r="O150" t="s">
        <v>290</v>
      </c>
      <c r="P150">
        <v>9.6274322208331382E-3</v>
      </c>
      <c r="Q150" t="s">
        <v>154</v>
      </c>
      <c r="S150" t="s">
        <v>230</v>
      </c>
      <c r="T150" t="s">
        <v>290</v>
      </c>
      <c r="U150">
        <v>1.0493405575182026E-2</v>
      </c>
      <c r="V150" t="s">
        <v>154</v>
      </c>
      <c r="AK150">
        <v>2045</v>
      </c>
      <c r="AL150" t="s">
        <v>146</v>
      </c>
      <c r="AM150">
        <v>0.21690000000000001</v>
      </c>
      <c r="AN150" t="s">
        <v>279</v>
      </c>
    </row>
    <row r="151" spans="9:40" x14ac:dyDescent="0.25">
      <c r="I151" t="s">
        <v>169</v>
      </c>
      <c r="J151" t="s">
        <v>297</v>
      </c>
      <c r="K151">
        <v>9.9185909261415503E-3</v>
      </c>
      <c r="L151" t="s">
        <v>154</v>
      </c>
      <c r="N151" t="s">
        <v>199</v>
      </c>
      <c r="O151" t="s">
        <v>297</v>
      </c>
      <c r="P151">
        <v>1.991717896469479E-2</v>
      </c>
      <c r="Q151" t="s">
        <v>154</v>
      </c>
      <c r="S151" t="s">
        <v>230</v>
      </c>
      <c r="T151" t="s">
        <v>297</v>
      </c>
      <c r="U151">
        <v>2.840309844983514E-2</v>
      </c>
      <c r="V151" t="s">
        <v>154</v>
      </c>
      <c r="AK151">
        <v>2045</v>
      </c>
      <c r="AL151" t="s">
        <v>148</v>
      </c>
      <c r="AM151">
        <v>0.30957777777777779</v>
      </c>
      <c r="AN151" t="s">
        <v>279</v>
      </c>
    </row>
    <row r="152" spans="9:40" x14ac:dyDescent="0.25">
      <c r="I152" t="s">
        <v>169</v>
      </c>
      <c r="J152" t="s">
        <v>298</v>
      </c>
      <c r="K152">
        <v>5.8460105198748821E-2</v>
      </c>
      <c r="L152" t="s">
        <v>154</v>
      </c>
      <c r="N152" t="s">
        <v>199</v>
      </c>
      <c r="O152" t="s">
        <v>298</v>
      </c>
      <c r="P152">
        <v>2.2578268666289904E-2</v>
      </c>
      <c r="Q152" t="s">
        <v>154</v>
      </c>
      <c r="S152" t="s">
        <v>230</v>
      </c>
      <c r="T152" t="s">
        <v>298</v>
      </c>
      <c r="U152">
        <v>2.4755450820084093E-2</v>
      </c>
      <c r="V152" t="s">
        <v>154</v>
      </c>
      <c r="AK152">
        <v>2045</v>
      </c>
      <c r="AL152" t="s">
        <v>150</v>
      </c>
      <c r="AM152">
        <v>0.22650000000000001</v>
      </c>
      <c r="AN152" t="s">
        <v>279</v>
      </c>
    </row>
    <row r="153" spans="9:40" x14ac:dyDescent="0.25">
      <c r="I153" t="s">
        <v>169</v>
      </c>
      <c r="J153" t="s">
        <v>299</v>
      </c>
      <c r="K153">
        <v>0</v>
      </c>
      <c r="L153" t="s">
        <v>154</v>
      </c>
      <c r="N153" t="s">
        <v>199</v>
      </c>
      <c r="O153" t="s">
        <v>299</v>
      </c>
      <c r="P153">
        <v>2.4483787529524723E-3</v>
      </c>
      <c r="Q153" t="s">
        <v>154</v>
      </c>
      <c r="S153" t="s">
        <v>230</v>
      </c>
      <c r="T153" t="s">
        <v>299</v>
      </c>
      <c r="U153">
        <v>3.6146832060256623E-3</v>
      </c>
      <c r="V153" t="s">
        <v>154</v>
      </c>
      <c r="AK153">
        <v>2045</v>
      </c>
      <c r="AL153" t="s">
        <v>294</v>
      </c>
      <c r="AM153">
        <v>0.2112</v>
      </c>
      <c r="AN153" t="s">
        <v>279</v>
      </c>
    </row>
    <row r="154" spans="9:40" x14ac:dyDescent="0.25">
      <c r="I154" t="s">
        <v>169</v>
      </c>
      <c r="J154" t="s">
        <v>300</v>
      </c>
      <c r="K154">
        <v>0</v>
      </c>
      <c r="L154" t="s">
        <v>154</v>
      </c>
      <c r="N154" t="s">
        <v>199</v>
      </c>
      <c r="O154" t="s">
        <v>300</v>
      </c>
      <c r="P154">
        <v>2.0608061973449244E-3</v>
      </c>
      <c r="Q154" t="s">
        <v>154</v>
      </c>
      <c r="S154" t="s">
        <v>230</v>
      </c>
      <c r="T154" t="s">
        <v>300</v>
      </c>
      <c r="U154">
        <v>3.690131479549602E-3</v>
      </c>
      <c r="V154" t="s">
        <v>154</v>
      </c>
      <c r="AK154">
        <v>2045</v>
      </c>
      <c r="AL154" t="s">
        <v>295</v>
      </c>
      <c r="AM154">
        <v>0.20105000000000001</v>
      </c>
      <c r="AN154" t="s">
        <v>279</v>
      </c>
    </row>
    <row r="155" spans="9:40" x14ac:dyDescent="0.25">
      <c r="I155" t="s">
        <v>169</v>
      </c>
      <c r="J155" t="s">
        <v>301</v>
      </c>
      <c r="K155">
        <v>0</v>
      </c>
      <c r="L155" t="s">
        <v>154</v>
      </c>
      <c r="N155" t="s">
        <v>199</v>
      </c>
      <c r="O155" t="s">
        <v>301</v>
      </c>
      <c r="P155">
        <v>1.140715543143059E-2</v>
      </c>
      <c r="Q155" t="s">
        <v>154</v>
      </c>
      <c r="S155" t="s">
        <v>230</v>
      </c>
      <c r="T155" t="s">
        <v>301</v>
      </c>
      <c r="U155">
        <v>1.74728681852971E-2</v>
      </c>
      <c r="V155" t="s">
        <v>154</v>
      </c>
      <c r="AK155">
        <v>2046</v>
      </c>
      <c r="AL155" t="s">
        <v>142</v>
      </c>
      <c r="AM155">
        <v>0.19745000000000001</v>
      </c>
      <c r="AN155" t="s">
        <v>279</v>
      </c>
    </row>
    <row r="156" spans="9:40" x14ac:dyDescent="0.25">
      <c r="I156" t="s">
        <v>169</v>
      </c>
      <c r="J156" t="s">
        <v>302</v>
      </c>
      <c r="K156">
        <v>9.1777485465692095E-3</v>
      </c>
      <c r="L156" t="s">
        <v>154</v>
      </c>
      <c r="N156" t="s">
        <v>199</v>
      </c>
      <c r="O156" t="s">
        <v>302</v>
      </c>
      <c r="P156">
        <v>5.0605302564984272E-2</v>
      </c>
      <c r="Q156" t="s">
        <v>154</v>
      </c>
      <c r="S156" t="s">
        <v>230</v>
      </c>
      <c r="T156" t="s">
        <v>302</v>
      </c>
      <c r="U156">
        <v>4.6852222699394042E-2</v>
      </c>
      <c r="V156" t="s">
        <v>154</v>
      </c>
      <c r="AK156">
        <v>2046</v>
      </c>
      <c r="AL156" t="s">
        <v>146</v>
      </c>
      <c r="AM156">
        <v>0.2036</v>
      </c>
      <c r="AN156" t="s">
        <v>279</v>
      </c>
    </row>
    <row r="157" spans="9:40" x14ac:dyDescent="0.25">
      <c r="I157" t="s">
        <v>169</v>
      </c>
      <c r="J157" t="s">
        <v>303</v>
      </c>
      <c r="K157">
        <v>6.4708586794434086E-2</v>
      </c>
      <c r="L157" t="s">
        <v>154</v>
      </c>
      <c r="N157" t="s">
        <v>199</v>
      </c>
      <c r="O157" t="s">
        <v>303</v>
      </c>
      <c r="P157">
        <v>5.6413083576130021E-2</v>
      </c>
      <c r="Q157" t="s">
        <v>154</v>
      </c>
      <c r="S157" t="s">
        <v>230</v>
      </c>
      <c r="T157" t="s">
        <v>303</v>
      </c>
      <c r="U157">
        <v>4.2523559401395954E-2</v>
      </c>
      <c r="V157" t="s">
        <v>154</v>
      </c>
      <c r="AK157">
        <v>2046</v>
      </c>
      <c r="AL157" t="s">
        <v>148</v>
      </c>
      <c r="AM157">
        <v>0.32183333333333336</v>
      </c>
      <c r="AN157" t="s">
        <v>279</v>
      </c>
    </row>
    <row r="158" spans="9:40" x14ac:dyDescent="0.25">
      <c r="I158" t="s">
        <v>169</v>
      </c>
      <c r="J158" t="s">
        <v>304</v>
      </c>
      <c r="K158">
        <v>0</v>
      </c>
      <c r="L158" t="s">
        <v>154</v>
      </c>
      <c r="N158" t="s">
        <v>199</v>
      </c>
      <c r="O158" t="s">
        <v>304</v>
      </c>
      <c r="P158">
        <v>5.5648695111622688E-3</v>
      </c>
      <c r="Q158" t="s">
        <v>154</v>
      </c>
      <c r="S158" t="s">
        <v>230</v>
      </c>
      <c r="T158" t="s">
        <v>304</v>
      </c>
      <c r="U158">
        <v>5.4272833367014755E-3</v>
      </c>
      <c r="V158" t="s">
        <v>154</v>
      </c>
      <c r="AK158">
        <v>2046</v>
      </c>
      <c r="AL158" t="s">
        <v>150</v>
      </c>
      <c r="AM158">
        <v>0.2303</v>
      </c>
      <c r="AN158" t="s">
        <v>279</v>
      </c>
    </row>
    <row r="159" spans="9:40" x14ac:dyDescent="0.25">
      <c r="I159" t="s">
        <v>169</v>
      </c>
      <c r="J159" t="s">
        <v>305</v>
      </c>
      <c r="K159">
        <v>0</v>
      </c>
      <c r="L159" t="s">
        <v>154</v>
      </c>
      <c r="N159" t="s">
        <v>199</v>
      </c>
      <c r="O159" t="s">
        <v>305</v>
      </c>
      <c r="P159">
        <v>4.7835425358549125E-3</v>
      </c>
      <c r="Q159" t="s">
        <v>154</v>
      </c>
      <c r="S159" t="s">
        <v>230</v>
      </c>
      <c r="T159" t="s">
        <v>305</v>
      </c>
      <c r="U159">
        <v>5.3760310949905413E-3</v>
      </c>
      <c r="V159" t="s">
        <v>154</v>
      </c>
      <c r="AK159">
        <v>2046</v>
      </c>
      <c r="AL159" t="s">
        <v>294</v>
      </c>
      <c r="AM159">
        <v>0.2137</v>
      </c>
      <c r="AN159" t="s">
        <v>279</v>
      </c>
    </row>
    <row r="160" spans="9:40" x14ac:dyDescent="0.25">
      <c r="I160" t="s">
        <v>169</v>
      </c>
      <c r="J160" t="s">
        <v>306</v>
      </c>
      <c r="K160">
        <v>0</v>
      </c>
      <c r="L160" t="s">
        <v>154</v>
      </c>
      <c r="N160" t="s">
        <v>199</v>
      </c>
      <c r="O160" t="s">
        <v>306</v>
      </c>
      <c r="P160">
        <v>2.3693546027425929E-2</v>
      </c>
      <c r="Q160" t="s">
        <v>154</v>
      </c>
      <c r="S160" t="s">
        <v>230</v>
      </c>
      <c r="T160" t="s">
        <v>306</v>
      </c>
      <c r="U160">
        <v>2.6542804293917224E-2</v>
      </c>
      <c r="V160" t="s">
        <v>154</v>
      </c>
      <c r="AK160">
        <v>2046</v>
      </c>
      <c r="AL160" t="s">
        <v>295</v>
      </c>
      <c r="AM160">
        <v>0.21099999999999999</v>
      </c>
      <c r="AN160" t="s">
        <v>279</v>
      </c>
    </row>
    <row r="161" spans="9:40" x14ac:dyDescent="0.25">
      <c r="I161" t="s">
        <v>170</v>
      </c>
      <c r="J161" t="s">
        <v>153</v>
      </c>
      <c r="K161">
        <v>5.2290049828754613E-3</v>
      </c>
      <c r="L161" t="s">
        <v>154</v>
      </c>
      <c r="N161" t="s">
        <v>200</v>
      </c>
      <c r="O161" t="s">
        <v>153</v>
      </c>
      <c r="P161">
        <v>4.0341111033233741E-2</v>
      </c>
      <c r="Q161" t="s">
        <v>154</v>
      </c>
      <c r="S161" t="s">
        <v>231</v>
      </c>
      <c r="T161" t="s">
        <v>153</v>
      </c>
      <c r="U161">
        <v>4.2946831430872766E-2</v>
      </c>
      <c r="V161" t="s">
        <v>154</v>
      </c>
      <c r="AK161">
        <v>2047</v>
      </c>
      <c r="AL161" t="s">
        <v>142</v>
      </c>
      <c r="AM161">
        <v>0.21145</v>
      </c>
      <c r="AN161" t="s">
        <v>279</v>
      </c>
    </row>
    <row r="162" spans="9:40" x14ac:dyDescent="0.25">
      <c r="I162" t="s">
        <v>170</v>
      </c>
      <c r="J162" t="s">
        <v>155</v>
      </c>
      <c r="K162">
        <v>7.6446151360327119E-2</v>
      </c>
      <c r="L162" t="s">
        <v>154</v>
      </c>
      <c r="N162" t="s">
        <v>200</v>
      </c>
      <c r="O162" t="s">
        <v>155</v>
      </c>
      <c r="P162">
        <v>4.8118267551887237E-2</v>
      </c>
      <c r="Q162" t="s">
        <v>154</v>
      </c>
      <c r="S162" t="s">
        <v>231</v>
      </c>
      <c r="T162" t="s">
        <v>155</v>
      </c>
      <c r="U162">
        <v>3.8628021732220984E-2</v>
      </c>
      <c r="V162" t="s">
        <v>154</v>
      </c>
      <c r="AK162">
        <v>2047</v>
      </c>
      <c r="AL162" t="s">
        <v>146</v>
      </c>
      <c r="AM162">
        <v>0.20849999999999999</v>
      </c>
      <c r="AN162" t="s">
        <v>279</v>
      </c>
    </row>
    <row r="163" spans="9:40" x14ac:dyDescent="0.25">
      <c r="I163" t="s">
        <v>170</v>
      </c>
      <c r="J163" t="s">
        <v>156</v>
      </c>
      <c r="K163">
        <v>4.6582972139472129E-3</v>
      </c>
      <c r="L163" t="s">
        <v>154</v>
      </c>
      <c r="N163" t="s">
        <v>200</v>
      </c>
      <c r="O163" t="s">
        <v>156</v>
      </c>
      <c r="P163">
        <v>6.1812625748590023E-3</v>
      </c>
      <c r="Q163" t="s">
        <v>154</v>
      </c>
      <c r="S163" t="s">
        <v>231</v>
      </c>
      <c r="T163" t="s">
        <v>156</v>
      </c>
      <c r="U163">
        <v>4.8830783566829981E-3</v>
      </c>
      <c r="V163" t="s">
        <v>154</v>
      </c>
      <c r="AK163">
        <v>2047</v>
      </c>
      <c r="AL163" t="s">
        <v>148</v>
      </c>
      <c r="AM163">
        <v>0.31851111111111113</v>
      </c>
      <c r="AN163" t="s">
        <v>279</v>
      </c>
    </row>
    <row r="164" spans="9:40" x14ac:dyDescent="0.25">
      <c r="I164" t="s">
        <v>170</v>
      </c>
      <c r="J164" t="s">
        <v>283</v>
      </c>
      <c r="K164">
        <v>0</v>
      </c>
      <c r="L164" t="s">
        <v>154</v>
      </c>
      <c r="N164" t="s">
        <v>200</v>
      </c>
      <c r="O164" t="s">
        <v>283</v>
      </c>
      <c r="P164">
        <v>5.5148628207992521E-3</v>
      </c>
      <c r="Q164" t="s">
        <v>154</v>
      </c>
      <c r="S164" t="s">
        <v>231</v>
      </c>
      <c r="T164" t="s">
        <v>283</v>
      </c>
      <c r="U164">
        <v>4.8340414575843123E-3</v>
      </c>
      <c r="V164" t="s">
        <v>154</v>
      </c>
      <c r="AK164">
        <v>2047</v>
      </c>
      <c r="AL164" t="s">
        <v>150</v>
      </c>
      <c r="AM164">
        <v>0.25919999999999999</v>
      </c>
      <c r="AN164" t="s">
        <v>279</v>
      </c>
    </row>
    <row r="165" spans="9:40" x14ac:dyDescent="0.25">
      <c r="I165" t="s">
        <v>170</v>
      </c>
      <c r="J165" t="s">
        <v>284</v>
      </c>
      <c r="K165">
        <v>0</v>
      </c>
      <c r="L165" t="s">
        <v>154</v>
      </c>
      <c r="N165" t="s">
        <v>200</v>
      </c>
      <c r="O165" t="s">
        <v>284</v>
      </c>
      <c r="P165">
        <v>2.2547078298084031E-2</v>
      </c>
      <c r="Q165" t="s">
        <v>154</v>
      </c>
      <c r="S165" t="s">
        <v>231</v>
      </c>
      <c r="T165" t="s">
        <v>284</v>
      </c>
      <c r="U165">
        <v>2.6118593381122233E-2</v>
      </c>
      <c r="V165" t="s">
        <v>154</v>
      </c>
      <c r="AK165">
        <v>2047</v>
      </c>
      <c r="AL165" t="s">
        <v>294</v>
      </c>
      <c r="AM165">
        <v>0.21675</v>
      </c>
      <c r="AN165" t="s">
        <v>279</v>
      </c>
    </row>
    <row r="166" spans="9:40" x14ac:dyDescent="0.25">
      <c r="I166" t="s">
        <v>170</v>
      </c>
      <c r="J166" t="s">
        <v>157</v>
      </c>
      <c r="K166">
        <v>1.1316259536161726E-3</v>
      </c>
      <c r="L166" t="s">
        <v>154</v>
      </c>
      <c r="N166" t="s">
        <v>200</v>
      </c>
      <c r="O166" t="s">
        <v>157</v>
      </c>
      <c r="P166">
        <v>1.2741810952496562E-2</v>
      </c>
      <c r="Q166" t="s">
        <v>154</v>
      </c>
      <c r="S166" t="s">
        <v>231</v>
      </c>
      <c r="T166" t="s">
        <v>157</v>
      </c>
      <c r="U166">
        <v>1.3672055149688925E-2</v>
      </c>
      <c r="V166" t="s">
        <v>154</v>
      </c>
      <c r="AK166">
        <v>2047</v>
      </c>
      <c r="AL166" t="s">
        <v>295</v>
      </c>
      <c r="AM166">
        <v>0.19464999999999999</v>
      </c>
      <c r="AN166" t="s">
        <v>279</v>
      </c>
    </row>
    <row r="167" spans="9:40" x14ac:dyDescent="0.25">
      <c r="I167" t="s">
        <v>170</v>
      </c>
      <c r="J167" t="s">
        <v>158</v>
      </c>
      <c r="K167">
        <v>2.0425506532354046E-2</v>
      </c>
      <c r="L167" t="s">
        <v>154</v>
      </c>
      <c r="N167" t="s">
        <v>200</v>
      </c>
      <c r="O167" t="s">
        <v>158</v>
      </c>
      <c r="P167">
        <v>1.0713785968366639E-2</v>
      </c>
      <c r="Q167" t="s">
        <v>154</v>
      </c>
      <c r="S167" t="s">
        <v>231</v>
      </c>
      <c r="T167" t="s">
        <v>158</v>
      </c>
      <c r="U167">
        <v>1.1873563802781898E-2</v>
      </c>
      <c r="V167" t="s">
        <v>154</v>
      </c>
      <c r="AK167">
        <v>2048</v>
      </c>
      <c r="AL167" t="s">
        <v>142</v>
      </c>
      <c r="AM167">
        <v>0.21710000000000002</v>
      </c>
      <c r="AN167" t="s">
        <v>279</v>
      </c>
    </row>
    <row r="168" spans="9:40" x14ac:dyDescent="0.25">
      <c r="I168" t="s">
        <v>170</v>
      </c>
      <c r="J168" t="s">
        <v>159</v>
      </c>
      <c r="K168">
        <v>1.6934873318591283E-3</v>
      </c>
      <c r="L168" t="s">
        <v>154</v>
      </c>
      <c r="N168" t="s">
        <v>200</v>
      </c>
      <c r="O168" t="s">
        <v>159</v>
      </c>
      <c r="P168">
        <v>1.2152761316657019E-3</v>
      </c>
      <c r="Q168" t="s">
        <v>154</v>
      </c>
      <c r="S168" t="s">
        <v>231</v>
      </c>
      <c r="T168" t="s">
        <v>159</v>
      </c>
      <c r="U168">
        <v>1.5351810964995423E-3</v>
      </c>
      <c r="V168" t="s">
        <v>154</v>
      </c>
      <c r="AK168">
        <v>2048</v>
      </c>
      <c r="AL168" t="s">
        <v>146</v>
      </c>
      <c r="AM168">
        <v>0.22939999999999999</v>
      </c>
      <c r="AN168" t="s">
        <v>279</v>
      </c>
    </row>
    <row r="169" spans="9:40" x14ac:dyDescent="0.25">
      <c r="I169" t="s">
        <v>170</v>
      </c>
      <c r="J169" t="s">
        <v>285</v>
      </c>
      <c r="K169">
        <v>0</v>
      </c>
      <c r="L169" t="s">
        <v>154</v>
      </c>
      <c r="N169" t="s">
        <v>200</v>
      </c>
      <c r="O169" t="s">
        <v>285</v>
      </c>
      <c r="P169">
        <v>1.1511953914645628E-3</v>
      </c>
      <c r="Q169" t="s">
        <v>154</v>
      </c>
      <c r="S169" t="s">
        <v>231</v>
      </c>
      <c r="T169" t="s">
        <v>285</v>
      </c>
      <c r="U169">
        <v>1.475806372076251E-3</v>
      </c>
      <c r="V169" t="s">
        <v>154</v>
      </c>
      <c r="AK169">
        <v>2048</v>
      </c>
      <c r="AL169" t="s">
        <v>148</v>
      </c>
      <c r="AM169">
        <v>0.32371111111111112</v>
      </c>
      <c r="AN169" t="s">
        <v>279</v>
      </c>
    </row>
    <row r="170" spans="9:40" x14ac:dyDescent="0.25">
      <c r="I170" t="s">
        <v>170</v>
      </c>
      <c r="J170" t="s">
        <v>286</v>
      </c>
      <c r="K170">
        <v>0</v>
      </c>
      <c r="L170" t="s">
        <v>154</v>
      </c>
      <c r="N170" t="s">
        <v>200</v>
      </c>
      <c r="O170" t="s">
        <v>286</v>
      </c>
      <c r="P170">
        <v>5.1029700454664666E-3</v>
      </c>
      <c r="Q170" t="s">
        <v>154</v>
      </c>
      <c r="S170" t="s">
        <v>231</v>
      </c>
      <c r="T170" t="s">
        <v>286</v>
      </c>
      <c r="U170">
        <v>7.89269106469981E-3</v>
      </c>
      <c r="V170" t="s">
        <v>154</v>
      </c>
      <c r="AK170">
        <v>2048</v>
      </c>
      <c r="AL170" t="s">
        <v>150</v>
      </c>
      <c r="AM170">
        <v>0.2437</v>
      </c>
      <c r="AN170" t="s">
        <v>279</v>
      </c>
    </row>
    <row r="171" spans="9:40" x14ac:dyDescent="0.25">
      <c r="I171" t="s">
        <v>170</v>
      </c>
      <c r="J171" t="s">
        <v>160</v>
      </c>
      <c r="K171">
        <v>8.7677251486743837E-2</v>
      </c>
      <c r="L171" t="s">
        <v>154</v>
      </c>
      <c r="N171" t="s">
        <v>200</v>
      </c>
      <c r="O171" t="s">
        <v>160</v>
      </c>
      <c r="P171">
        <v>0.19952622388812252</v>
      </c>
      <c r="Q171" t="s">
        <v>154</v>
      </c>
      <c r="S171" t="s">
        <v>231</v>
      </c>
      <c r="T171" t="s">
        <v>160</v>
      </c>
      <c r="U171">
        <v>0.23380807089320274</v>
      </c>
      <c r="V171" t="s">
        <v>154</v>
      </c>
      <c r="AK171">
        <v>2048</v>
      </c>
      <c r="AL171" t="s">
        <v>294</v>
      </c>
      <c r="AM171">
        <v>0.20685000000000001</v>
      </c>
      <c r="AN171" t="s">
        <v>279</v>
      </c>
    </row>
    <row r="172" spans="9:40" x14ac:dyDescent="0.25">
      <c r="I172" t="s">
        <v>170</v>
      </c>
      <c r="J172" t="s">
        <v>161</v>
      </c>
      <c r="K172">
        <v>0.56675243317986856</v>
      </c>
      <c r="L172" t="s">
        <v>154</v>
      </c>
      <c r="N172" t="s">
        <v>200</v>
      </c>
      <c r="O172" t="s">
        <v>161</v>
      </c>
      <c r="P172">
        <v>0.24946322073465044</v>
      </c>
      <c r="Q172" t="s">
        <v>154</v>
      </c>
      <c r="S172" t="s">
        <v>231</v>
      </c>
      <c r="T172" t="s">
        <v>161</v>
      </c>
      <c r="U172">
        <v>0.19917917555538139</v>
      </c>
      <c r="V172" t="s">
        <v>154</v>
      </c>
      <c r="AK172">
        <v>2048</v>
      </c>
      <c r="AL172" t="s">
        <v>295</v>
      </c>
      <c r="AM172">
        <v>0.1983</v>
      </c>
      <c r="AN172" t="s">
        <v>279</v>
      </c>
    </row>
    <row r="173" spans="9:40" x14ac:dyDescent="0.25">
      <c r="I173" t="s">
        <v>170</v>
      </c>
      <c r="J173" t="s">
        <v>162</v>
      </c>
      <c r="K173">
        <v>4.5274351147565825E-2</v>
      </c>
      <c r="L173" t="s">
        <v>154</v>
      </c>
      <c r="N173" t="s">
        <v>200</v>
      </c>
      <c r="O173" t="s">
        <v>162</v>
      </c>
      <c r="P173">
        <v>2.7899232884537641E-2</v>
      </c>
      <c r="Q173" t="s">
        <v>154</v>
      </c>
      <c r="S173" t="s">
        <v>231</v>
      </c>
      <c r="T173" t="s">
        <v>162</v>
      </c>
      <c r="U173">
        <v>2.5870095303767195E-2</v>
      </c>
      <c r="V173" t="s">
        <v>154</v>
      </c>
      <c r="AK173">
        <v>2049</v>
      </c>
      <c r="AL173" t="s">
        <v>142</v>
      </c>
      <c r="AM173">
        <v>0.22034999999999999</v>
      </c>
      <c r="AN173" t="s">
        <v>279</v>
      </c>
    </row>
    <row r="174" spans="9:40" x14ac:dyDescent="0.25">
      <c r="I174" t="s">
        <v>170</v>
      </c>
      <c r="J174" t="s">
        <v>287</v>
      </c>
      <c r="K174">
        <v>2.5947210765927691E-2</v>
      </c>
      <c r="L174" t="s">
        <v>154</v>
      </c>
      <c r="N174" t="s">
        <v>200</v>
      </c>
      <c r="O174" t="s">
        <v>287</v>
      </c>
      <c r="P174">
        <v>2.2815295567622448E-2</v>
      </c>
      <c r="Q174" t="s">
        <v>154</v>
      </c>
      <c r="S174" t="s">
        <v>231</v>
      </c>
      <c r="T174" t="s">
        <v>287</v>
      </c>
      <c r="U174">
        <v>2.3409502820677421E-2</v>
      </c>
      <c r="V174" t="s">
        <v>154</v>
      </c>
      <c r="AK174">
        <v>2049</v>
      </c>
      <c r="AL174" t="s">
        <v>146</v>
      </c>
      <c r="AM174">
        <v>0.21279999999999999</v>
      </c>
      <c r="AN174" t="s">
        <v>279</v>
      </c>
    </row>
    <row r="175" spans="9:40" x14ac:dyDescent="0.25">
      <c r="I175" t="s">
        <v>170</v>
      </c>
      <c r="J175" t="s">
        <v>288</v>
      </c>
      <c r="K175">
        <v>5.7369339410789982E-3</v>
      </c>
      <c r="L175" t="s">
        <v>154</v>
      </c>
      <c r="N175" t="s">
        <v>200</v>
      </c>
      <c r="O175" t="s">
        <v>288</v>
      </c>
      <c r="P175">
        <v>0.10142752507728638</v>
      </c>
      <c r="Q175" t="s">
        <v>154</v>
      </c>
      <c r="S175" t="s">
        <v>231</v>
      </c>
      <c r="T175" t="s">
        <v>288</v>
      </c>
      <c r="U175">
        <v>0.12835972646424942</v>
      </c>
      <c r="V175" t="s">
        <v>154</v>
      </c>
      <c r="AK175">
        <v>2049</v>
      </c>
      <c r="AL175" t="s">
        <v>148</v>
      </c>
      <c r="AM175">
        <v>0.32477777777777778</v>
      </c>
      <c r="AN175" t="s">
        <v>279</v>
      </c>
    </row>
    <row r="176" spans="9:40" x14ac:dyDescent="0.25">
      <c r="I176" t="s">
        <v>170</v>
      </c>
      <c r="J176" t="s">
        <v>163</v>
      </c>
      <c r="K176">
        <v>1.9227380648680801E-3</v>
      </c>
      <c r="L176" t="s">
        <v>154</v>
      </c>
      <c r="N176" t="s">
        <v>200</v>
      </c>
      <c r="O176" t="s">
        <v>163</v>
      </c>
      <c r="P176">
        <v>1.4571054262363938E-2</v>
      </c>
      <c r="Q176" t="s">
        <v>154</v>
      </c>
      <c r="S176" t="s">
        <v>231</v>
      </c>
      <c r="T176" t="s">
        <v>163</v>
      </c>
      <c r="U176">
        <v>1.9183895900983461E-2</v>
      </c>
      <c r="V176" t="s">
        <v>154</v>
      </c>
      <c r="AK176">
        <v>2049</v>
      </c>
      <c r="AL176" t="s">
        <v>150</v>
      </c>
      <c r="AM176">
        <v>0.22969999999999999</v>
      </c>
      <c r="AN176" t="s">
        <v>279</v>
      </c>
    </row>
    <row r="177" spans="9:40" x14ac:dyDescent="0.25">
      <c r="I177" t="s">
        <v>170</v>
      </c>
      <c r="J177" t="s">
        <v>164</v>
      </c>
      <c r="K177">
        <v>1.6092161422981876E-2</v>
      </c>
      <c r="L177" t="s">
        <v>154</v>
      </c>
      <c r="N177" t="s">
        <v>200</v>
      </c>
      <c r="O177" t="s">
        <v>164</v>
      </c>
      <c r="P177">
        <v>1.5160356216889492E-2</v>
      </c>
      <c r="Q177" t="s">
        <v>154</v>
      </c>
      <c r="S177" t="s">
        <v>231</v>
      </c>
      <c r="T177" t="s">
        <v>164</v>
      </c>
      <c r="U177">
        <v>1.7289497832965236E-2</v>
      </c>
      <c r="V177" t="s">
        <v>154</v>
      </c>
      <c r="AK177">
        <v>2049</v>
      </c>
      <c r="AL177" t="s">
        <v>294</v>
      </c>
      <c r="AM177">
        <v>0.21065</v>
      </c>
      <c r="AN177" t="s">
        <v>279</v>
      </c>
    </row>
    <row r="178" spans="9:40" x14ac:dyDescent="0.25">
      <c r="I178" t="s">
        <v>170</v>
      </c>
      <c r="J178" t="s">
        <v>165</v>
      </c>
      <c r="K178">
        <v>7.5714276025857119E-4</v>
      </c>
      <c r="L178" t="s">
        <v>154</v>
      </c>
      <c r="N178" t="s">
        <v>200</v>
      </c>
      <c r="O178" t="s">
        <v>165</v>
      </c>
      <c r="P178">
        <v>1.7200512349619577E-3</v>
      </c>
      <c r="Q178" t="s">
        <v>154</v>
      </c>
      <c r="S178" t="s">
        <v>231</v>
      </c>
      <c r="T178" t="s">
        <v>165</v>
      </c>
      <c r="U178">
        <v>2.1801154422558277E-3</v>
      </c>
      <c r="V178" t="s">
        <v>154</v>
      </c>
      <c r="AK178">
        <v>2049</v>
      </c>
      <c r="AL178" t="s">
        <v>295</v>
      </c>
      <c r="AM178">
        <v>0.19400000000000001</v>
      </c>
      <c r="AN178" t="s">
        <v>279</v>
      </c>
    </row>
    <row r="179" spans="9:40" x14ac:dyDescent="0.25">
      <c r="I179" t="s">
        <v>170</v>
      </c>
      <c r="J179" t="s">
        <v>289</v>
      </c>
      <c r="K179">
        <v>0</v>
      </c>
      <c r="L179" t="s">
        <v>154</v>
      </c>
      <c r="N179" t="s">
        <v>200</v>
      </c>
      <c r="O179" t="s">
        <v>289</v>
      </c>
      <c r="P179">
        <v>1.4725055004151727E-3</v>
      </c>
      <c r="Q179" t="s">
        <v>154</v>
      </c>
      <c r="S179" t="s">
        <v>231</v>
      </c>
      <c r="T179" t="s">
        <v>289</v>
      </c>
      <c r="U179">
        <v>2.1187394425306108E-3</v>
      </c>
      <c r="V179" t="s">
        <v>154</v>
      </c>
      <c r="AK179">
        <v>2050</v>
      </c>
      <c r="AL179" t="s">
        <v>142</v>
      </c>
      <c r="AM179">
        <v>0.2087</v>
      </c>
      <c r="AN179" t="s">
        <v>279</v>
      </c>
    </row>
    <row r="180" spans="9:40" x14ac:dyDescent="0.25">
      <c r="I180" t="s">
        <v>170</v>
      </c>
      <c r="J180" t="s">
        <v>290</v>
      </c>
      <c r="K180">
        <v>0</v>
      </c>
      <c r="L180" t="s">
        <v>154</v>
      </c>
      <c r="N180" t="s">
        <v>200</v>
      </c>
      <c r="O180" t="s">
        <v>290</v>
      </c>
      <c r="P180">
        <v>6.5405403461614225E-3</v>
      </c>
      <c r="Q180" t="s">
        <v>154</v>
      </c>
      <c r="S180" t="s">
        <v>231</v>
      </c>
      <c r="T180" t="s">
        <v>290</v>
      </c>
      <c r="U180">
        <v>1.054673889119795E-2</v>
      </c>
      <c r="V180" t="s">
        <v>154</v>
      </c>
      <c r="AK180">
        <v>2050</v>
      </c>
      <c r="AL180" t="s">
        <v>146</v>
      </c>
      <c r="AM180">
        <v>0.20549999999999999</v>
      </c>
      <c r="AN180" t="s">
        <v>279</v>
      </c>
    </row>
    <row r="181" spans="9:40" x14ac:dyDescent="0.25">
      <c r="I181" t="s">
        <v>170</v>
      </c>
      <c r="J181" t="s">
        <v>297</v>
      </c>
      <c r="K181">
        <v>6.2061495812129027E-3</v>
      </c>
      <c r="L181" t="s">
        <v>154</v>
      </c>
      <c r="N181" t="s">
        <v>200</v>
      </c>
      <c r="O181" t="s">
        <v>297</v>
      </c>
      <c r="P181">
        <v>1.6413222285153628E-2</v>
      </c>
      <c r="Q181" t="s">
        <v>154</v>
      </c>
      <c r="S181" t="s">
        <v>231</v>
      </c>
      <c r="T181" t="s">
        <v>297</v>
      </c>
      <c r="U181">
        <v>2.6719057917298394E-2</v>
      </c>
      <c r="V181" t="s">
        <v>154</v>
      </c>
      <c r="AK181">
        <v>2050</v>
      </c>
      <c r="AL181" t="s">
        <v>148</v>
      </c>
      <c r="AM181">
        <v>0.32285555555555556</v>
      </c>
      <c r="AN181" t="s">
        <v>279</v>
      </c>
    </row>
    <row r="182" spans="9:40" x14ac:dyDescent="0.25">
      <c r="I182" t="s">
        <v>170</v>
      </c>
      <c r="J182" t="s">
        <v>298</v>
      </c>
      <c r="K182">
        <v>5.5284365972994319E-2</v>
      </c>
      <c r="L182" t="s">
        <v>154</v>
      </c>
      <c r="N182" t="s">
        <v>200</v>
      </c>
      <c r="O182" t="s">
        <v>298</v>
      </c>
      <c r="P182">
        <v>2.4977313220342186E-2</v>
      </c>
      <c r="Q182" t="s">
        <v>154</v>
      </c>
      <c r="S182" t="s">
        <v>231</v>
      </c>
      <c r="T182" t="s">
        <v>298</v>
      </c>
      <c r="U182">
        <v>2.4953266113081091E-2</v>
      </c>
      <c r="V182" t="s">
        <v>154</v>
      </c>
      <c r="AK182">
        <v>2050</v>
      </c>
      <c r="AL182" t="s">
        <v>150</v>
      </c>
      <c r="AM182">
        <v>0.252</v>
      </c>
      <c r="AN182" t="s">
        <v>279</v>
      </c>
    </row>
    <row r="183" spans="9:40" x14ac:dyDescent="0.25">
      <c r="I183" t="s">
        <v>170</v>
      </c>
      <c r="J183" t="s">
        <v>299</v>
      </c>
      <c r="K183">
        <v>2.8753219520671535E-3</v>
      </c>
      <c r="L183" t="s">
        <v>154</v>
      </c>
      <c r="N183" t="s">
        <v>200</v>
      </c>
      <c r="O183" t="s">
        <v>299</v>
      </c>
      <c r="P183">
        <v>2.4781467752957799E-3</v>
      </c>
      <c r="Q183" t="s">
        <v>154</v>
      </c>
      <c r="S183" t="s">
        <v>231</v>
      </c>
      <c r="T183" t="s">
        <v>299</v>
      </c>
      <c r="U183">
        <v>3.1669670203069837E-3</v>
      </c>
      <c r="V183" t="s">
        <v>154</v>
      </c>
      <c r="AK183">
        <v>2050</v>
      </c>
      <c r="AL183" t="s">
        <v>294</v>
      </c>
      <c r="AM183">
        <v>0.22375</v>
      </c>
      <c r="AN183" t="s">
        <v>279</v>
      </c>
    </row>
    <row r="184" spans="9:40" x14ac:dyDescent="0.25">
      <c r="I184" t="s">
        <v>170</v>
      </c>
      <c r="J184" t="s">
        <v>300</v>
      </c>
      <c r="K184">
        <v>0</v>
      </c>
      <c r="L184" t="s">
        <v>154</v>
      </c>
      <c r="N184" t="s">
        <v>200</v>
      </c>
      <c r="O184" t="s">
        <v>300</v>
      </c>
      <c r="P184">
        <v>2.0560750038955242E-3</v>
      </c>
      <c r="Q184" t="s">
        <v>154</v>
      </c>
      <c r="S184" t="s">
        <v>231</v>
      </c>
      <c r="T184" t="s">
        <v>300</v>
      </c>
      <c r="U184">
        <v>3.0396962877640601E-3</v>
      </c>
      <c r="V184" t="s">
        <v>154</v>
      </c>
      <c r="AK184">
        <v>2050</v>
      </c>
      <c r="AL184" t="s">
        <v>295</v>
      </c>
      <c r="AM184">
        <v>0.2064</v>
      </c>
      <c r="AN184" t="s">
        <v>279</v>
      </c>
    </row>
    <row r="185" spans="9:40" x14ac:dyDescent="0.25">
      <c r="I185" t="s">
        <v>170</v>
      </c>
      <c r="J185" t="s">
        <v>301</v>
      </c>
      <c r="K185">
        <v>0</v>
      </c>
      <c r="L185" t="s">
        <v>154</v>
      </c>
      <c r="N185" t="s">
        <v>200</v>
      </c>
      <c r="O185" t="s">
        <v>301</v>
      </c>
      <c r="P185">
        <v>9.5316688756060808E-3</v>
      </c>
      <c r="Q185" t="s">
        <v>154</v>
      </c>
      <c r="S185" t="s">
        <v>231</v>
      </c>
      <c r="T185" t="s">
        <v>301</v>
      </c>
      <c r="U185">
        <v>1.5896928652644516E-2</v>
      </c>
      <c r="V185" t="s">
        <v>154</v>
      </c>
    </row>
    <row r="186" spans="9:40" x14ac:dyDescent="0.25">
      <c r="I186" t="s">
        <v>170</v>
      </c>
      <c r="J186" t="s">
        <v>302</v>
      </c>
      <c r="K186">
        <v>4.795859142909106E-3</v>
      </c>
      <c r="L186" t="s">
        <v>154</v>
      </c>
      <c r="N186" t="s">
        <v>200</v>
      </c>
      <c r="O186" t="s">
        <v>302</v>
      </c>
      <c r="P186">
        <v>4.796578460714019E-2</v>
      </c>
      <c r="Q186" t="s">
        <v>154</v>
      </c>
      <c r="S186" t="s">
        <v>231</v>
      </c>
      <c r="T186" t="s">
        <v>302</v>
      </c>
      <c r="U186">
        <v>4.061974984317749E-2</v>
      </c>
      <c r="V186" t="s">
        <v>154</v>
      </c>
    </row>
    <row r="187" spans="9:40" x14ac:dyDescent="0.25">
      <c r="I187" t="s">
        <v>170</v>
      </c>
      <c r="J187" t="s">
        <v>303</v>
      </c>
      <c r="K187">
        <v>6.853630539143378E-2</v>
      </c>
      <c r="L187" t="s">
        <v>154</v>
      </c>
      <c r="N187" t="s">
        <v>200</v>
      </c>
      <c r="O187" t="s">
        <v>303</v>
      </c>
      <c r="P187">
        <v>6.6079513128084869E-2</v>
      </c>
      <c r="Q187" t="s">
        <v>154</v>
      </c>
      <c r="S187" t="s">
        <v>231</v>
      </c>
      <c r="T187" t="s">
        <v>303</v>
      </c>
      <c r="U187">
        <v>3.6244381251308654E-2</v>
      </c>
      <c r="V187" t="s">
        <v>154</v>
      </c>
    </row>
    <row r="188" spans="9:40" x14ac:dyDescent="0.25">
      <c r="I188" t="s">
        <v>170</v>
      </c>
      <c r="J188" t="s">
        <v>304</v>
      </c>
      <c r="K188">
        <v>2.5577018151099664E-3</v>
      </c>
      <c r="L188" t="s">
        <v>154</v>
      </c>
      <c r="N188" t="s">
        <v>200</v>
      </c>
      <c r="O188" t="s">
        <v>304</v>
      </c>
      <c r="P188">
        <v>6.7681907308027632E-3</v>
      </c>
      <c r="Q188" t="s">
        <v>154</v>
      </c>
      <c r="S188" t="s">
        <v>231</v>
      </c>
      <c r="T188" t="s">
        <v>304</v>
      </c>
      <c r="U188">
        <v>4.8475054914856926E-3</v>
      </c>
      <c r="V188" t="s">
        <v>154</v>
      </c>
    </row>
    <row r="189" spans="9:40" x14ac:dyDescent="0.25">
      <c r="I189" t="s">
        <v>170</v>
      </c>
      <c r="J189" t="s">
        <v>305</v>
      </c>
      <c r="K189">
        <v>0</v>
      </c>
      <c r="L189" t="s">
        <v>154</v>
      </c>
      <c r="N189" t="s">
        <v>200</v>
      </c>
      <c r="O189" t="s">
        <v>305</v>
      </c>
      <c r="P189">
        <v>5.6097310057343858E-3</v>
      </c>
      <c r="Q189" t="s">
        <v>154</v>
      </c>
      <c r="S189" t="s">
        <v>231</v>
      </c>
      <c r="T189" t="s">
        <v>305</v>
      </c>
      <c r="U189">
        <v>5.0626003668584919E-3</v>
      </c>
      <c r="V189" t="s">
        <v>154</v>
      </c>
    </row>
    <row r="190" spans="9:40" x14ac:dyDescent="0.25">
      <c r="I190" t="s">
        <v>170</v>
      </c>
      <c r="J190" t="s">
        <v>306</v>
      </c>
      <c r="K190">
        <v>0</v>
      </c>
      <c r="L190" t="s">
        <v>154</v>
      </c>
      <c r="N190" t="s">
        <v>200</v>
      </c>
      <c r="O190" t="s">
        <v>306</v>
      </c>
      <c r="P190">
        <v>2.3896727886605896E-2</v>
      </c>
      <c r="Q190" t="s">
        <v>154</v>
      </c>
      <c r="S190" t="s">
        <v>231</v>
      </c>
      <c r="T190" t="s">
        <v>306</v>
      </c>
      <c r="U190">
        <v>2.3644424664632579E-2</v>
      </c>
      <c r="V190" t="s">
        <v>154</v>
      </c>
    </row>
    <row r="191" spans="9:40" x14ac:dyDescent="0.25">
      <c r="I191" t="s">
        <v>171</v>
      </c>
      <c r="J191" t="s">
        <v>153</v>
      </c>
      <c r="K191">
        <v>4.688089133017579E-3</v>
      </c>
      <c r="L191" t="s">
        <v>154</v>
      </c>
      <c r="N191" t="s">
        <v>201</v>
      </c>
      <c r="O191" t="s">
        <v>153</v>
      </c>
      <c r="P191">
        <v>5.2792990956814972E-2</v>
      </c>
      <c r="Q191" t="s">
        <v>154</v>
      </c>
      <c r="S191" t="s">
        <v>232</v>
      </c>
      <c r="T191" t="s">
        <v>153</v>
      </c>
      <c r="U191">
        <v>4.1987535035772447E-2</v>
      </c>
      <c r="V191" t="s">
        <v>154</v>
      </c>
    </row>
    <row r="192" spans="9:40" x14ac:dyDescent="0.25">
      <c r="I192" t="s">
        <v>171</v>
      </c>
      <c r="J192" t="s">
        <v>155</v>
      </c>
      <c r="K192">
        <v>7.019517916919242E-2</v>
      </c>
      <c r="L192" t="s">
        <v>154</v>
      </c>
      <c r="N192" t="s">
        <v>201</v>
      </c>
      <c r="O192" t="s">
        <v>155</v>
      </c>
      <c r="P192">
        <v>4.6366280896138486E-2</v>
      </c>
      <c r="Q192" t="s">
        <v>154</v>
      </c>
      <c r="S192" t="s">
        <v>232</v>
      </c>
      <c r="T192" t="s">
        <v>155</v>
      </c>
      <c r="U192">
        <v>3.8292257905370948E-2</v>
      </c>
      <c r="V192" t="s">
        <v>154</v>
      </c>
    </row>
    <row r="193" spans="9:22" x14ac:dyDescent="0.25">
      <c r="I193" t="s">
        <v>171</v>
      </c>
      <c r="J193" t="s">
        <v>156</v>
      </c>
      <c r="K193">
        <v>4.5814066281972482E-3</v>
      </c>
      <c r="L193" t="s">
        <v>154</v>
      </c>
      <c r="N193" t="s">
        <v>201</v>
      </c>
      <c r="O193" t="s">
        <v>156</v>
      </c>
      <c r="P193">
        <v>6.1501997835875311E-3</v>
      </c>
      <c r="Q193" t="s">
        <v>154</v>
      </c>
      <c r="S193" t="s">
        <v>232</v>
      </c>
      <c r="T193" t="s">
        <v>156</v>
      </c>
      <c r="U193">
        <v>5.3093745603130507E-3</v>
      </c>
      <c r="V193" t="s">
        <v>154</v>
      </c>
    </row>
    <row r="194" spans="9:22" x14ac:dyDescent="0.25">
      <c r="I194" t="s">
        <v>171</v>
      </c>
      <c r="J194" t="s">
        <v>283</v>
      </c>
      <c r="K194">
        <v>3.2536658122977887E-8</v>
      </c>
      <c r="L194" t="s">
        <v>154</v>
      </c>
      <c r="N194" t="s">
        <v>201</v>
      </c>
      <c r="O194" t="s">
        <v>283</v>
      </c>
      <c r="P194">
        <v>6.159474718966205E-3</v>
      </c>
      <c r="Q194" t="s">
        <v>154</v>
      </c>
      <c r="S194" t="s">
        <v>232</v>
      </c>
      <c r="T194" t="s">
        <v>283</v>
      </c>
      <c r="U194">
        <v>4.7008276305898931E-3</v>
      </c>
      <c r="V194" t="s">
        <v>154</v>
      </c>
    </row>
    <row r="195" spans="9:22" x14ac:dyDescent="0.25">
      <c r="I195" t="s">
        <v>171</v>
      </c>
      <c r="J195" t="s">
        <v>284</v>
      </c>
      <c r="K195">
        <v>0</v>
      </c>
      <c r="L195" t="s">
        <v>154</v>
      </c>
      <c r="N195" t="s">
        <v>201</v>
      </c>
      <c r="O195" t="s">
        <v>284</v>
      </c>
      <c r="P195">
        <v>2.7863591023748437E-2</v>
      </c>
      <c r="Q195" t="s">
        <v>154</v>
      </c>
      <c r="S195" t="s">
        <v>232</v>
      </c>
      <c r="T195" t="s">
        <v>284</v>
      </c>
      <c r="U195">
        <v>2.5170533063519039E-2</v>
      </c>
      <c r="V195" t="s">
        <v>154</v>
      </c>
    </row>
    <row r="196" spans="9:22" x14ac:dyDescent="0.25">
      <c r="I196" t="s">
        <v>171</v>
      </c>
      <c r="J196" t="s">
        <v>157</v>
      </c>
      <c r="K196">
        <v>1.0104524021923005E-3</v>
      </c>
      <c r="L196" t="s">
        <v>154</v>
      </c>
      <c r="N196" t="s">
        <v>201</v>
      </c>
      <c r="O196" t="s">
        <v>157</v>
      </c>
      <c r="P196">
        <v>1.4518367583520569E-2</v>
      </c>
      <c r="Q196" t="s">
        <v>154</v>
      </c>
      <c r="S196" t="s">
        <v>232</v>
      </c>
      <c r="T196" t="s">
        <v>157</v>
      </c>
      <c r="U196">
        <v>1.34977989577835E-2</v>
      </c>
      <c r="V196" t="s">
        <v>154</v>
      </c>
    </row>
    <row r="197" spans="9:22" x14ac:dyDescent="0.25">
      <c r="I197" t="s">
        <v>171</v>
      </c>
      <c r="J197" t="s">
        <v>158</v>
      </c>
      <c r="K197">
        <v>1.9906710248153037E-2</v>
      </c>
      <c r="L197" t="s">
        <v>154</v>
      </c>
      <c r="N197" t="s">
        <v>201</v>
      </c>
      <c r="O197" t="s">
        <v>158</v>
      </c>
      <c r="P197">
        <v>1.4373802518211567E-2</v>
      </c>
      <c r="Q197" t="s">
        <v>154</v>
      </c>
      <c r="S197" t="s">
        <v>232</v>
      </c>
      <c r="T197" t="s">
        <v>158</v>
      </c>
      <c r="U197">
        <v>1.0845476656595651E-2</v>
      </c>
      <c r="V197" t="s">
        <v>154</v>
      </c>
    </row>
    <row r="198" spans="9:22" x14ac:dyDescent="0.25">
      <c r="I198" t="s">
        <v>171</v>
      </c>
      <c r="J198" t="s">
        <v>159</v>
      </c>
      <c r="K198">
        <v>1.604733546216069E-3</v>
      </c>
      <c r="L198" t="s">
        <v>154</v>
      </c>
      <c r="N198" t="s">
        <v>201</v>
      </c>
      <c r="O198" t="s">
        <v>159</v>
      </c>
      <c r="P198">
        <v>2.095491117779933E-3</v>
      </c>
      <c r="Q198" t="s">
        <v>154</v>
      </c>
      <c r="S198" t="s">
        <v>232</v>
      </c>
      <c r="T198" t="s">
        <v>159</v>
      </c>
      <c r="U198">
        <v>1.443769078840018E-3</v>
      </c>
      <c r="V198" t="s">
        <v>154</v>
      </c>
    </row>
    <row r="199" spans="9:22" x14ac:dyDescent="0.25">
      <c r="I199" t="s">
        <v>171</v>
      </c>
      <c r="J199" t="s">
        <v>285</v>
      </c>
      <c r="K199">
        <v>3.4495170795169805E-4</v>
      </c>
      <c r="L199" t="s">
        <v>154</v>
      </c>
      <c r="N199" t="s">
        <v>201</v>
      </c>
      <c r="O199" t="s">
        <v>285</v>
      </c>
      <c r="P199">
        <v>2.1099353951036866E-3</v>
      </c>
      <c r="Q199" t="s">
        <v>154</v>
      </c>
      <c r="S199" t="s">
        <v>232</v>
      </c>
      <c r="T199" t="s">
        <v>285</v>
      </c>
      <c r="U199">
        <v>1.3413718079764059E-3</v>
      </c>
      <c r="V199" t="s">
        <v>154</v>
      </c>
    </row>
    <row r="200" spans="9:22" x14ac:dyDescent="0.25">
      <c r="I200" t="s">
        <v>171</v>
      </c>
      <c r="J200" t="s">
        <v>286</v>
      </c>
      <c r="K200">
        <v>0</v>
      </c>
      <c r="L200" t="s">
        <v>154</v>
      </c>
      <c r="N200" t="s">
        <v>201</v>
      </c>
      <c r="O200" t="s">
        <v>286</v>
      </c>
      <c r="P200">
        <v>8.3139652746916943E-3</v>
      </c>
      <c r="Q200" t="s">
        <v>154</v>
      </c>
      <c r="S200" t="s">
        <v>232</v>
      </c>
      <c r="T200" t="s">
        <v>286</v>
      </c>
      <c r="U200">
        <v>7.3258071662962764E-3</v>
      </c>
      <c r="V200" t="s">
        <v>154</v>
      </c>
    </row>
    <row r="201" spans="9:22" x14ac:dyDescent="0.25">
      <c r="I201" t="s">
        <v>171</v>
      </c>
      <c r="J201" t="s">
        <v>160</v>
      </c>
      <c r="K201">
        <v>8.1803490465107917E-2</v>
      </c>
      <c r="L201" t="s">
        <v>154</v>
      </c>
      <c r="N201" t="s">
        <v>201</v>
      </c>
      <c r="O201" t="s">
        <v>160</v>
      </c>
      <c r="P201">
        <v>0.19092430143485678</v>
      </c>
      <c r="Q201" t="s">
        <v>154</v>
      </c>
      <c r="S201" t="s">
        <v>232</v>
      </c>
      <c r="T201" t="s">
        <v>160</v>
      </c>
      <c r="U201">
        <v>0.23552412457794261</v>
      </c>
      <c r="V201" t="s">
        <v>154</v>
      </c>
    </row>
    <row r="202" spans="9:22" x14ac:dyDescent="0.25">
      <c r="I202" t="s">
        <v>171</v>
      </c>
      <c r="J202" t="s">
        <v>161</v>
      </c>
      <c r="K202">
        <v>0.57656761177518345</v>
      </c>
      <c r="L202" t="s">
        <v>154</v>
      </c>
      <c r="N202" t="s">
        <v>201</v>
      </c>
      <c r="O202" t="s">
        <v>161</v>
      </c>
      <c r="P202">
        <v>0.20038933101494102</v>
      </c>
      <c r="Q202" t="s">
        <v>154</v>
      </c>
      <c r="S202" t="s">
        <v>232</v>
      </c>
      <c r="T202" t="s">
        <v>161</v>
      </c>
      <c r="U202">
        <v>0.19522624429425037</v>
      </c>
      <c r="V202" t="s">
        <v>154</v>
      </c>
    </row>
    <row r="203" spans="9:22" x14ac:dyDescent="0.25">
      <c r="I203" t="s">
        <v>171</v>
      </c>
      <c r="J203" t="s">
        <v>162</v>
      </c>
      <c r="K203">
        <v>4.678315478242806E-2</v>
      </c>
      <c r="L203" t="s">
        <v>154</v>
      </c>
      <c r="N203" t="s">
        <v>201</v>
      </c>
      <c r="O203" t="s">
        <v>162</v>
      </c>
      <c r="P203">
        <v>2.8763820288917968E-2</v>
      </c>
      <c r="Q203" t="s">
        <v>154</v>
      </c>
      <c r="S203" t="s">
        <v>232</v>
      </c>
      <c r="T203" t="s">
        <v>162</v>
      </c>
      <c r="U203">
        <v>2.5406613826595363E-2</v>
      </c>
      <c r="V203" t="s">
        <v>154</v>
      </c>
    </row>
    <row r="204" spans="9:22" x14ac:dyDescent="0.25">
      <c r="I204" t="s">
        <v>171</v>
      </c>
      <c r="J204" t="s">
        <v>287</v>
      </c>
      <c r="K204">
        <v>2.8735322318550888E-2</v>
      </c>
      <c r="L204" t="s">
        <v>154</v>
      </c>
      <c r="N204" t="s">
        <v>201</v>
      </c>
      <c r="O204" t="s">
        <v>287</v>
      </c>
      <c r="P204">
        <v>2.8468390477680159E-2</v>
      </c>
      <c r="Q204" t="s">
        <v>154</v>
      </c>
      <c r="S204" t="s">
        <v>232</v>
      </c>
      <c r="T204" t="s">
        <v>287</v>
      </c>
      <c r="U204">
        <v>2.2478240946508302E-2</v>
      </c>
      <c r="V204" t="s">
        <v>154</v>
      </c>
    </row>
    <row r="205" spans="9:22" x14ac:dyDescent="0.25">
      <c r="I205" t="s">
        <v>171</v>
      </c>
      <c r="J205" t="s">
        <v>288</v>
      </c>
      <c r="K205">
        <v>7.4550530413166616E-3</v>
      </c>
      <c r="L205" t="s">
        <v>154</v>
      </c>
      <c r="N205" t="s">
        <v>201</v>
      </c>
      <c r="O205" t="s">
        <v>288</v>
      </c>
      <c r="P205">
        <v>0.11971535793966948</v>
      </c>
      <c r="Q205" t="s">
        <v>154</v>
      </c>
      <c r="S205" t="s">
        <v>232</v>
      </c>
      <c r="T205" t="s">
        <v>288</v>
      </c>
      <c r="U205">
        <v>0.12742803463120744</v>
      </c>
      <c r="V205" t="s">
        <v>154</v>
      </c>
    </row>
    <row r="206" spans="9:22" x14ac:dyDescent="0.25">
      <c r="I206" t="s">
        <v>171</v>
      </c>
      <c r="J206" t="s">
        <v>163</v>
      </c>
      <c r="K206">
        <v>1.6337907363856881E-3</v>
      </c>
      <c r="L206" t="s">
        <v>154</v>
      </c>
      <c r="N206" t="s">
        <v>201</v>
      </c>
      <c r="O206" t="s">
        <v>163</v>
      </c>
      <c r="P206">
        <v>1.6404822788822639E-2</v>
      </c>
      <c r="Q206" t="s">
        <v>154</v>
      </c>
      <c r="S206" t="s">
        <v>232</v>
      </c>
      <c r="T206" t="s">
        <v>163</v>
      </c>
      <c r="U206">
        <v>2.1395888805027092E-2</v>
      </c>
      <c r="V206" t="s">
        <v>154</v>
      </c>
    </row>
    <row r="207" spans="9:22" x14ac:dyDescent="0.25">
      <c r="I207" t="s">
        <v>171</v>
      </c>
      <c r="J207" t="s">
        <v>164</v>
      </c>
      <c r="K207">
        <v>1.4501396815971471E-2</v>
      </c>
      <c r="L207" t="s">
        <v>154</v>
      </c>
      <c r="N207" t="s">
        <v>201</v>
      </c>
      <c r="O207" t="s">
        <v>164</v>
      </c>
      <c r="P207">
        <v>1.3029030770402954E-2</v>
      </c>
      <c r="Q207" t="s">
        <v>154</v>
      </c>
      <c r="S207" t="s">
        <v>232</v>
      </c>
      <c r="T207" t="s">
        <v>164</v>
      </c>
      <c r="U207">
        <v>1.8640379524420297E-2</v>
      </c>
      <c r="V207" t="s">
        <v>154</v>
      </c>
    </row>
    <row r="208" spans="9:22" x14ac:dyDescent="0.25">
      <c r="I208" t="s">
        <v>171</v>
      </c>
      <c r="J208" t="s">
        <v>165</v>
      </c>
      <c r="K208">
        <v>8.2081211695508795E-4</v>
      </c>
      <c r="L208" t="s">
        <v>154</v>
      </c>
      <c r="N208" t="s">
        <v>201</v>
      </c>
      <c r="O208" t="s">
        <v>165</v>
      </c>
      <c r="P208">
        <v>1.6902184634433959E-3</v>
      </c>
      <c r="Q208" t="s">
        <v>154</v>
      </c>
      <c r="S208" t="s">
        <v>232</v>
      </c>
      <c r="T208" t="s">
        <v>165</v>
      </c>
      <c r="U208">
        <v>2.3399201281815371E-3</v>
      </c>
      <c r="V208" t="s">
        <v>154</v>
      </c>
    </row>
    <row r="209" spans="9:22" x14ac:dyDescent="0.25">
      <c r="I209" t="s">
        <v>171</v>
      </c>
      <c r="J209" t="s">
        <v>289</v>
      </c>
      <c r="K209">
        <v>0</v>
      </c>
      <c r="L209" t="s">
        <v>154</v>
      </c>
      <c r="N209" t="s">
        <v>201</v>
      </c>
      <c r="O209" t="s">
        <v>289</v>
      </c>
      <c r="P209">
        <v>1.7069129856189416E-3</v>
      </c>
      <c r="Q209" t="s">
        <v>154</v>
      </c>
      <c r="S209" t="s">
        <v>232</v>
      </c>
      <c r="T209" t="s">
        <v>289</v>
      </c>
      <c r="U209">
        <v>2.2528361614997934E-3</v>
      </c>
      <c r="V209" t="s">
        <v>154</v>
      </c>
    </row>
    <row r="210" spans="9:22" x14ac:dyDescent="0.25">
      <c r="I210" t="s">
        <v>171</v>
      </c>
      <c r="J210" t="s">
        <v>290</v>
      </c>
      <c r="K210">
        <v>0</v>
      </c>
      <c r="L210" t="s">
        <v>154</v>
      </c>
      <c r="N210" t="s">
        <v>201</v>
      </c>
      <c r="O210" t="s">
        <v>290</v>
      </c>
      <c r="P210">
        <v>7.775485502632149E-3</v>
      </c>
      <c r="Q210" t="s">
        <v>154</v>
      </c>
      <c r="S210" t="s">
        <v>232</v>
      </c>
      <c r="T210" t="s">
        <v>290</v>
      </c>
      <c r="U210">
        <v>1.1223555347022745E-2</v>
      </c>
      <c r="V210" t="s">
        <v>154</v>
      </c>
    </row>
    <row r="211" spans="9:22" x14ac:dyDescent="0.25">
      <c r="I211" t="s">
        <v>171</v>
      </c>
      <c r="J211" t="s">
        <v>297</v>
      </c>
      <c r="K211">
        <v>5.1554984599709065E-3</v>
      </c>
      <c r="L211" t="s">
        <v>154</v>
      </c>
      <c r="N211" t="s">
        <v>201</v>
      </c>
      <c r="O211" t="s">
        <v>297</v>
      </c>
      <c r="P211">
        <v>2.2783038468101764E-2</v>
      </c>
      <c r="Q211" t="s">
        <v>154</v>
      </c>
      <c r="S211" t="s">
        <v>232</v>
      </c>
      <c r="T211" t="s">
        <v>297</v>
      </c>
      <c r="U211">
        <v>2.7897320124117275E-2</v>
      </c>
      <c r="V211" t="s">
        <v>154</v>
      </c>
    </row>
    <row r="212" spans="9:22" x14ac:dyDescent="0.25">
      <c r="I212" t="s">
        <v>171</v>
      </c>
      <c r="J212" t="s">
        <v>298</v>
      </c>
      <c r="K212">
        <v>5.5870731452085515E-2</v>
      </c>
      <c r="L212" t="s">
        <v>154</v>
      </c>
      <c r="N212" t="s">
        <v>201</v>
      </c>
      <c r="O212" t="s">
        <v>298</v>
      </c>
      <c r="P212">
        <v>2.0495838064289347E-2</v>
      </c>
      <c r="Q212" t="s">
        <v>154</v>
      </c>
      <c r="S212" t="s">
        <v>232</v>
      </c>
      <c r="T212" t="s">
        <v>298</v>
      </c>
      <c r="U212">
        <v>2.4646439008840785E-2</v>
      </c>
      <c r="V212" t="s">
        <v>154</v>
      </c>
    </row>
    <row r="213" spans="9:22" x14ac:dyDescent="0.25">
      <c r="I213" t="s">
        <v>171</v>
      </c>
      <c r="J213" t="s">
        <v>299</v>
      </c>
      <c r="K213">
        <v>2.9569192981219513E-3</v>
      </c>
      <c r="L213" t="s">
        <v>154</v>
      </c>
      <c r="N213" t="s">
        <v>201</v>
      </c>
      <c r="O213" t="s">
        <v>299</v>
      </c>
      <c r="P213">
        <v>2.8301752527541859E-3</v>
      </c>
      <c r="Q213" t="s">
        <v>154</v>
      </c>
      <c r="S213" t="s">
        <v>232</v>
      </c>
      <c r="T213" t="s">
        <v>299</v>
      </c>
      <c r="U213">
        <v>3.3572667720833038E-3</v>
      </c>
      <c r="V213" t="s">
        <v>154</v>
      </c>
    </row>
    <row r="214" spans="9:22" x14ac:dyDescent="0.25">
      <c r="I214" t="s">
        <v>171</v>
      </c>
      <c r="J214" t="s">
        <v>300</v>
      </c>
      <c r="K214">
        <v>0</v>
      </c>
      <c r="L214" t="s">
        <v>154</v>
      </c>
      <c r="N214" t="s">
        <v>201</v>
      </c>
      <c r="O214" t="s">
        <v>300</v>
      </c>
      <c r="P214">
        <v>2.8315810373449571E-3</v>
      </c>
      <c r="Q214" t="s">
        <v>154</v>
      </c>
      <c r="S214" t="s">
        <v>232</v>
      </c>
      <c r="T214" t="s">
        <v>300</v>
      </c>
      <c r="U214">
        <v>2.8955514636731365E-3</v>
      </c>
      <c r="V214" t="s">
        <v>154</v>
      </c>
    </row>
    <row r="215" spans="9:22" x14ac:dyDescent="0.25">
      <c r="I215" t="s">
        <v>171</v>
      </c>
      <c r="J215" t="s">
        <v>301</v>
      </c>
      <c r="K215">
        <v>0</v>
      </c>
      <c r="L215" t="s">
        <v>154</v>
      </c>
      <c r="N215" t="s">
        <v>201</v>
      </c>
      <c r="O215" t="s">
        <v>301</v>
      </c>
      <c r="P215">
        <v>1.1819848215233953E-2</v>
      </c>
      <c r="Q215" t="s">
        <v>154</v>
      </c>
      <c r="S215" t="s">
        <v>232</v>
      </c>
      <c r="T215" t="s">
        <v>301</v>
      </c>
      <c r="U215">
        <v>1.6031977040159032E-2</v>
      </c>
      <c r="V215" t="s">
        <v>154</v>
      </c>
    </row>
    <row r="216" spans="9:22" x14ac:dyDescent="0.25">
      <c r="I216" t="s">
        <v>171</v>
      </c>
      <c r="J216" t="s">
        <v>302</v>
      </c>
      <c r="K216">
        <v>4.3125856729987052E-3</v>
      </c>
      <c r="L216" t="s">
        <v>154</v>
      </c>
      <c r="N216" t="s">
        <v>201</v>
      </c>
      <c r="O216" t="s">
        <v>302</v>
      </c>
      <c r="P216">
        <v>5.4434246538958363E-2</v>
      </c>
      <c r="Q216" t="s">
        <v>154</v>
      </c>
      <c r="S216" t="s">
        <v>232</v>
      </c>
      <c r="T216" t="s">
        <v>302</v>
      </c>
      <c r="U216">
        <v>4.2965468544673424E-2</v>
      </c>
      <c r="V216" t="s">
        <v>154</v>
      </c>
    </row>
    <row r="217" spans="9:22" x14ac:dyDescent="0.25">
      <c r="I217" t="s">
        <v>171</v>
      </c>
      <c r="J217" t="s">
        <v>303</v>
      </c>
      <c r="K217">
        <v>6.7300794803926131E-2</v>
      </c>
      <c r="L217" t="s">
        <v>154</v>
      </c>
      <c r="N217" t="s">
        <v>201</v>
      </c>
      <c r="O217" t="s">
        <v>303</v>
      </c>
      <c r="P217">
        <v>5.106144597065948E-2</v>
      </c>
      <c r="Q217" t="s">
        <v>154</v>
      </c>
      <c r="S217" t="s">
        <v>232</v>
      </c>
      <c r="T217" t="s">
        <v>303</v>
      </c>
      <c r="U217">
        <v>3.7307388346817162E-2</v>
      </c>
      <c r="V217" t="s">
        <v>154</v>
      </c>
    </row>
    <row r="218" spans="9:22" x14ac:dyDescent="0.25">
      <c r="I218" t="s">
        <v>171</v>
      </c>
      <c r="J218" t="s">
        <v>304</v>
      </c>
      <c r="K218">
        <v>3.771282889416745E-3</v>
      </c>
      <c r="L218" t="s">
        <v>154</v>
      </c>
      <c r="N218" t="s">
        <v>201</v>
      </c>
      <c r="O218" t="s">
        <v>304</v>
      </c>
      <c r="P218">
        <v>6.8587455912381464E-3</v>
      </c>
      <c r="Q218" t="s">
        <v>154</v>
      </c>
      <c r="S218" t="s">
        <v>232</v>
      </c>
      <c r="T218" t="s">
        <v>304</v>
      </c>
      <c r="U218">
        <v>4.8816299550249838E-3</v>
      </c>
      <c r="V218" t="s">
        <v>154</v>
      </c>
    </row>
    <row r="219" spans="9:22" x14ac:dyDescent="0.25">
      <c r="I219" t="s">
        <v>171</v>
      </c>
      <c r="J219" t="s">
        <v>305</v>
      </c>
      <c r="K219">
        <v>0</v>
      </c>
      <c r="L219" t="s">
        <v>154</v>
      </c>
      <c r="N219" t="s">
        <v>201</v>
      </c>
      <c r="O219" t="s">
        <v>305</v>
      </c>
      <c r="P219">
        <v>6.8208976588310152E-3</v>
      </c>
      <c r="Q219" t="s">
        <v>154</v>
      </c>
      <c r="S219" t="s">
        <v>232</v>
      </c>
      <c r="T219" t="s">
        <v>305</v>
      </c>
      <c r="U219">
        <v>4.789765874346044E-3</v>
      </c>
      <c r="V219" t="s">
        <v>154</v>
      </c>
    </row>
    <row r="220" spans="9:22" x14ac:dyDescent="0.25">
      <c r="I220" t="s">
        <v>171</v>
      </c>
      <c r="J220" t="s">
        <v>306</v>
      </c>
      <c r="K220">
        <v>0</v>
      </c>
      <c r="L220" t="s">
        <v>154</v>
      </c>
      <c r="N220" t="s">
        <v>201</v>
      </c>
      <c r="O220" t="s">
        <v>306</v>
      </c>
      <c r="P220">
        <v>3.045241226704172E-2</v>
      </c>
      <c r="Q220" t="s">
        <v>154</v>
      </c>
      <c r="S220" t="s">
        <v>232</v>
      </c>
      <c r="T220" t="s">
        <v>306</v>
      </c>
      <c r="U220">
        <v>2.3396602764552684E-2</v>
      </c>
      <c r="V220" t="s">
        <v>154</v>
      </c>
    </row>
    <row r="221" spans="9:22" x14ac:dyDescent="0.25">
      <c r="I221" t="s">
        <v>172</v>
      </c>
      <c r="J221" t="s">
        <v>153</v>
      </c>
      <c r="K221">
        <v>3.882347484179162E-3</v>
      </c>
      <c r="L221" t="s">
        <v>154</v>
      </c>
      <c r="N221" t="s">
        <v>202</v>
      </c>
      <c r="O221" t="s">
        <v>153</v>
      </c>
      <c r="P221">
        <v>4.8335792408557225E-2</v>
      </c>
      <c r="Q221" t="s">
        <v>154</v>
      </c>
      <c r="S221" t="s">
        <v>233</v>
      </c>
      <c r="T221" t="s">
        <v>153</v>
      </c>
      <c r="U221">
        <v>4.9068696603934765E-2</v>
      </c>
      <c r="V221" t="s">
        <v>154</v>
      </c>
    </row>
    <row r="222" spans="9:22" x14ac:dyDescent="0.25">
      <c r="I222" t="s">
        <v>172</v>
      </c>
      <c r="J222" t="s">
        <v>155</v>
      </c>
      <c r="K222">
        <v>7.3401938576365747E-2</v>
      </c>
      <c r="L222" t="s">
        <v>154</v>
      </c>
      <c r="N222" t="s">
        <v>202</v>
      </c>
      <c r="O222" t="s">
        <v>155</v>
      </c>
      <c r="P222">
        <v>5.1739771684297248E-2</v>
      </c>
      <c r="Q222" t="s">
        <v>154</v>
      </c>
      <c r="S222" t="s">
        <v>233</v>
      </c>
      <c r="T222" t="s">
        <v>155</v>
      </c>
      <c r="U222">
        <v>3.4744234391546225E-2</v>
      </c>
      <c r="V222" t="s">
        <v>154</v>
      </c>
    </row>
    <row r="223" spans="9:22" x14ac:dyDescent="0.25">
      <c r="I223" t="s">
        <v>172</v>
      </c>
      <c r="J223" t="s">
        <v>156</v>
      </c>
      <c r="K223">
        <v>6.4486157653367449E-3</v>
      </c>
      <c r="L223" t="s">
        <v>154</v>
      </c>
      <c r="N223" t="s">
        <v>202</v>
      </c>
      <c r="O223" t="s">
        <v>156</v>
      </c>
      <c r="P223">
        <v>6.4851806300939407E-3</v>
      </c>
      <c r="Q223" t="s">
        <v>154</v>
      </c>
      <c r="S223" t="s">
        <v>233</v>
      </c>
      <c r="T223" t="s">
        <v>156</v>
      </c>
      <c r="U223">
        <v>5.4360307381382394E-3</v>
      </c>
      <c r="V223" t="s">
        <v>154</v>
      </c>
    </row>
    <row r="224" spans="9:22" x14ac:dyDescent="0.25">
      <c r="I224" t="s">
        <v>172</v>
      </c>
      <c r="J224" t="s">
        <v>283</v>
      </c>
      <c r="K224">
        <v>1.5816150155290507E-3</v>
      </c>
      <c r="L224" t="s">
        <v>154</v>
      </c>
      <c r="N224" t="s">
        <v>202</v>
      </c>
      <c r="O224" t="s">
        <v>283</v>
      </c>
      <c r="P224">
        <v>6.0411002452035439E-3</v>
      </c>
      <c r="Q224" t="s">
        <v>154</v>
      </c>
      <c r="S224" t="s">
        <v>233</v>
      </c>
      <c r="T224" t="s">
        <v>283</v>
      </c>
      <c r="U224">
        <v>5.8574682266923448E-3</v>
      </c>
      <c r="V224" t="s">
        <v>154</v>
      </c>
    </row>
    <row r="225" spans="9:22" x14ac:dyDescent="0.25">
      <c r="I225" t="s">
        <v>172</v>
      </c>
      <c r="J225" t="s">
        <v>284</v>
      </c>
      <c r="K225">
        <v>0</v>
      </c>
      <c r="L225" t="s">
        <v>154</v>
      </c>
      <c r="N225" t="s">
        <v>202</v>
      </c>
      <c r="O225" t="s">
        <v>284</v>
      </c>
      <c r="P225">
        <v>2.4596900346751095E-2</v>
      </c>
      <c r="Q225" t="s">
        <v>154</v>
      </c>
      <c r="S225" t="s">
        <v>233</v>
      </c>
      <c r="T225" t="s">
        <v>284</v>
      </c>
      <c r="U225">
        <v>2.8746117765716898E-2</v>
      </c>
      <c r="V225" t="s">
        <v>154</v>
      </c>
    </row>
    <row r="226" spans="9:22" x14ac:dyDescent="0.25">
      <c r="I226" t="s">
        <v>172</v>
      </c>
      <c r="J226" t="s">
        <v>157</v>
      </c>
      <c r="K226">
        <v>1.0935562189939962E-3</v>
      </c>
      <c r="L226" t="s">
        <v>154</v>
      </c>
      <c r="N226" t="s">
        <v>202</v>
      </c>
      <c r="O226" t="s">
        <v>157</v>
      </c>
      <c r="P226">
        <v>1.1874464347646869E-2</v>
      </c>
      <c r="Q226" t="s">
        <v>154</v>
      </c>
      <c r="S226" t="s">
        <v>233</v>
      </c>
      <c r="T226" t="s">
        <v>157</v>
      </c>
      <c r="U226">
        <v>1.3383857096437225E-2</v>
      </c>
      <c r="V226" t="s">
        <v>154</v>
      </c>
    </row>
    <row r="227" spans="9:22" x14ac:dyDescent="0.25">
      <c r="I227" t="s">
        <v>172</v>
      </c>
      <c r="J227" t="s">
        <v>158</v>
      </c>
      <c r="K227">
        <v>2.1931827827755997E-2</v>
      </c>
      <c r="L227" t="s">
        <v>154</v>
      </c>
      <c r="N227" t="s">
        <v>202</v>
      </c>
      <c r="O227" t="s">
        <v>158</v>
      </c>
      <c r="P227">
        <v>1.7600849974505315E-2</v>
      </c>
      <c r="Q227" t="s">
        <v>154</v>
      </c>
      <c r="S227" t="s">
        <v>233</v>
      </c>
      <c r="T227" t="s">
        <v>158</v>
      </c>
      <c r="U227">
        <v>1.4032238164395812E-2</v>
      </c>
      <c r="V227" t="s">
        <v>154</v>
      </c>
    </row>
    <row r="228" spans="9:22" x14ac:dyDescent="0.25">
      <c r="I228" t="s">
        <v>172</v>
      </c>
      <c r="J228" t="s">
        <v>159</v>
      </c>
      <c r="K228">
        <v>2.0555660824266848E-3</v>
      </c>
      <c r="L228" t="s">
        <v>154</v>
      </c>
      <c r="N228" t="s">
        <v>202</v>
      </c>
      <c r="O228" t="s">
        <v>159</v>
      </c>
      <c r="P228">
        <v>2.0927732041003512E-3</v>
      </c>
      <c r="Q228" t="s">
        <v>154</v>
      </c>
      <c r="S228" t="s">
        <v>233</v>
      </c>
      <c r="T228" t="s">
        <v>159</v>
      </c>
      <c r="U228">
        <v>1.56593072459566E-3</v>
      </c>
      <c r="V228" t="s">
        <v>154</v>
      </c>
    </row>
    <row r="229" spans="9:22" x14ac:dyDescent="0.25">
      <c r="I229" t="s">
        <v>172</v>
      </c>
      <c r="J229" t="s">
        <v>285</v>
      </c>
      <c r="K229">
        <v>1.0129560623649315E-3</v>
      </c>
      <c r="L229" t="s">
        <v>154</v>
      </c>
      <c r="N229" t="s">
        <v>202</v>
      </c>
      <c r="O229" t="s">
        <v>285</v>
      </c>
      <c r="P229">
        <v>1.9805762627471395E-3</v>
      </c>
      <c r="Q229" t="s">
        <v>154</v>
      </c>
      <c r="S229" t="s">
        <v>233</v>
      </c>
      <c r="T229" t="s">
        <v>285</v>
      </c>
      <c r="U229">
        <v>1.5041030387955819E-3</v>
      </c>
      <c r="V229" t="s">
        <v>154</v>
      </c>
    </row>
    <row r="230" spans="9:22" x14ac:dyDescent="0.25">
      <c r="I230" t="s">
        <v>172</v>
      </c>
      <c r="J230" t="s">
        <v>286</v>
      </c>
      <c r="K230">
        <v>0</v>
      </c>
      <c r="L230" t="s">
        <v>154</v>
      </c>
      <c r="N230" t="s">
        <v>202</v>
      </c>
      <c r="O230" t="s">
        <v>286</v>
      </c>
      <c r="P230">
        <v>6.3306558188144764E-3</v>
      </c>
      <c r="Q230" t="s">
        <v>154</v>
      </c>
      <c r="S230" t="s">
        <v>233</v>
      </c>
      <c r="T230" t="s">
        <v>286</v>
      </c>
      <c r="U230">
        <v>6.8480174902742367E-3</v>
      </c>
      <c r="V230" t="s">
        <v>154</v>
      </c>
    </row>
    <row r="231" spans="9:22" x14ac:dyDescent="0.25">
      <c r="I231" t="s">
        <v>172</v>
      </c>
      <c r="J231" t="s">
        <v>160</v>
      </c>
      <c r="K231">
        <v>5.7916282263802674E-2</v>
      </c>
      <c r="L231" t="s">
        <v>154</v>
      </c>
      <c r="N231" t="s">
        <v>202</v>
      </c>
      <c r="O231" t="s">
        <v>160</v>
      </c>
      <c r="P231">
        <v>0.17933656561893213</v>
      </c>
      <c r="Q231" t="s">
        <v>154</v>
      </c>
      <c r="S231" t="s">
        <v>233</v>
      </c>
      <c r="T231" t="s">
        <v>160</v>
      </c>
      <c r="U231">
        <v>0.22567314220303214</v>
      </c>
      <c r="V231" t="s">
        <v>154</v>
      </c>
    </row>
    <row r="232" spans="9:22" x14ac:dyDescent="0.25">
      <c r="I232" t="s">
        <v>172</v>
      </c>
      <c r="J232" t="s">
        <v>161</v>
      </c>
      <c r="K232">
        <v>0.55909166615080408</v>
      </c>
      <c r="L232" t="s">
        <v>154</v>
      </c>
      <c r="N232" t="s">
        <v>202</v>
      </c>
      <c r="O232" t="s">
        <v>161</v>
      </c>
      <c r="P232">
        <v>0.23574129528218657</v>
      </c>
      <c r="Q232" t="s">
        <v>154</v>
      </c>
      <c r="S232" t="s">
        <v>233</v>
      </c>
      <c r="T232" t="s">
        <v>161</v>
      </c>
      <c r="U232">
        <v>0.19328113382151682</v>
      </c>
      <c r="V232" t="s">
        <v>154</v>
      </c>
    </row>
    <row r="233" spans="9:22" x14ac:dyDescent="0.25">
      <c r="I233" t="s">
        <v>172</v>
      </c>
      <c r="J233" t="s">
        <v>162</v>
      </c>
      <c r="K233">
        <v>5.0688542877425857E-2</v>
      </c>
      <c r="L233" t="s">
        <v>154</v>
      </c>
      <c r="N233" t="s">
        <v>202</v>
      </c>
      <c r="O233" t="s">
        <v>162</v>
      </c>
      <c r="P233">
        <v>2.9705619900769201E-2</v>
      </c>
      <c r="Q233" t="s">
        <v>154</v>
      </c>
      <c r="S233" t="s">
        <v>233</v>
      </c>
      <c r="T233" t="s">
        <v>162</v>
      </c>
      <c r="U233">
        <v>2.6339641114293367E-2</v>
      </c>
      <c r="V233" t="s">
        <v>154</v>
      </c>
    </row>
    <row r="234" spans="9:22" x14ac:dyDescent="0.25">
      <c r="I234" t="s">
        <v>172</v>
      </c>
      <c r="J234" t="s">
        <v>287</v>
      </c>
      <c r="K234">
        <v>3.3061880255120392E-2</v>
      </c>
      <c r="L234" t="s">
        <v>154</v>
      </c>
      <c r="N234" t="s">
        <v>202</v>
      </c>
      <c r="O234" t="s">
        <v>287</v>
      </c>
      <c r="P234">
        <v>2.8027293557238091E-2</v>
      </c>
      <c r="Q234" t="s">
        <v>154</v>
      </c>
      <c r="S234" t="s">
        <v>233</v>
      </c>
      <c r="T234" t="s">
        <v>287</v>
      </c>
      <c r="U234">
        <v>2.6744979954363937E-2</v>
      </c>
      <c r="V234" t="s">
        <v>154</v>
      </c>
    </row>
    <row r="235" spans="9:22" x14ac:dyDescent="0.25">
      <c r="I235" t="s">
        <v>172</v>
      </c>
      <c r="J235" t="s">
        <v>288</v>
      </c>
      <c r="K235">
        <v>1.0117164834489049E-2</v>
      </c>
      <c r="L235" t="s">
        <v>154</v>
      </c>
      <c r="N235" t="s">
        <v>202</v>
      </c>
      <c r="O235" t="s">
        <v>288</v>
      </c>
      <c r="P235">
        <v>0.10117606703060864</v>
      </c>
      <c r="Q235" t="s">
        <v>154</v>
      </c>
      <c r="S235" t="s">
        <v>233</v>
      </c>
      <c r="T235" t="s">
        <v>288</v>
      </c>
      <c r="U235">
        <v>0.12231698215075945</v>
      </c>
      <c r="V235" t="s">
        <v>154</v>
      </c>
    </row>
    <row r="236" spans="9:22" x14ac:dyDescent="0.25">
      <c r="I236" t="s">
        <v>172</v>
      </c>
      <c r="J236" t="s">
        <v>163</v>
      </c>
      <c r="K236">
        <v>1.6054571384334559E-3</v>
      </c>
      <c r="L236" t="s">
        <v>154</v>
      </c>
      <c r="N236" t="s">
        <v>202</v>
      </c>
      <c r="O236" t="s">
        <v>163</v>
      </c>
      <c r="P236">
        <v>1.5967701834401091E-2</v>
      </c>
      <c r="Q236" t="s">
        <v>154</v>
      </c>
      <c r="S236" t="s">
        <v>233</v>
      </c>
      <c r="T236" t="s">
        <v>163</v>
      </c>
      <c r="U236">
        <v>1.8804557630641806E-2</v>
      </c>
      <c r="V236" t="s">
        <v>154</v>
      </c>
    </row>
    <row r="237" spans="9:22" x14ac:dyDescent="0.25">
      <c r="I237" t="s">
        <v>172</v>
      </c>
      <c r="J237" t="s">
        <v>164</v>
      </c>
      <c r="K237">
        <v>1.7698405061691316E-2</v>
      </c>
      <c r="L237" t="s">
        <v>154</v>
      </c>
      <c r="N237" t="s">
        <v>202</v>
      </c>
      <c r="O237" t="s">
        <v>164</v>
      </c>
      <c r="P237">
        <v>1.5244323103471792E-2</v>
      </c>
      <c r="Q237" t="s">
        <v>154</v>
      </c>
      <c r="S237" t="s">
        <v>233</v>
      </c>
      <c r="T237" t="s">
        <v>164</v>
      </c>
      <c r="U237">
        <v>1.4411279303406122E-2</v>
      </c>
      <c r="V237" t="s">
        <v>154</v>
      </c>
    </row>
    <row r="238" spans="9:22" x14ac:dyDescent="0.25">
      <c r="I238" t="s">
        <v>172</v>
      </c>
      <c r="J238" t="s">
        <v>165</v>
      </c>
      <c r="K238">
        <v>1.1455886884835041E-3</v>
      </c>
      <c r="L238" t="s">
        <v>154</v>
      </c>
      <c r="N238" t="s">
        <v>202</v>
      </c>
      <c r="O238" t="s">
        <v>165</v>
      </c>
      <c r="P238">
        <v>2.1029353019849841E-3</v>
      </c>
      <c r="Q238" t="s">
        <v>154</v>
      </c>
      <c r="S238" t="s">
        <v>233</v>
      </c>
      <c r="T238" t="s">
        <v>165</v>
      </c>
      <c r="U238">
        <v>1.9125988938146501E-3</v>
      </c>
      <c r="V238" t="s">
        <v>154</v>
      </c>
    </row>
    <row r="239" spans="9:22" x14ac:dyDescent="0.25">
      <c r="I239" t="s">
        <v>172</v>
      </c>
      <c r="J239" t="s">
        <v>289</v>
      </c>
      <c r="K239">
        <v>4.9647057180199033E-5</v>
      </c>
      <c r="L239" t="s">
        <v>154</v>
      </c>
      <c r="N239" t="s">
        <v>202</v>
      </c>
      <c r="O239" t="s">
        <v>289</v>
      </c>
      <c r="P239">
        <v>2.0689772902134193E-3</v>
      </c>
      <c r="Q239" t="s">
        <v>154</v>
      </c>
      <c r="S239" t="s">
        <v>233</v>
      </c>
      <c r="T239" t="s">
        <v>289</v>
      </c>
      <c r="U239">
        <v>1.9228721868307394E-3</v>
      </c>
      <c r="V239" t="s">
        <v>154</v>
      </c>
    </row>
    <row r="240" spans="9:22" x14ac:dyDescent="0.25">
      <c r="I240" t="s">
        <v>172</v>
      </c>
      <c r="J240" t="s">
        <v>290</v>
      </c>
      <c r="K240">
        <v>0</v>
      </c>
      <c r="L240" t="s">
        <v>154</v>
      </c>
      <c r="N240" t="s">
        <v>202</v>
      </c>
      <c r="O240" t="s">
        <v>290</v>
      </c>
      <c r="P240">
        <v>7.462539176960009E-3</v>
      </c>
      <c r="Q240" t="s">
        <v>154</v>
      </c>
      <c r="S240" t="s">
        <v>233</v>
      </c>
      <c r="T240" t="s">
        <v>290</v>
      </c>
      <c r="U240">
        <v>8.7013299291973951E-3</v>
      </c>
      <c r="V240" t="s">
        <v>154</v>
      </c>
    </row>
    <row r="241" spans="9:22" x14ac:dyDescent="0.25">
      <c r="I241" t="s">
        <v>172</v>
      </c>
      <c r="J241" t="s">
        <v>297</v>
      </c>
      <c r="K241">
        <v>3.8892806658470465E-3</v>
      </c>
      <c r="L241" t="s">
        <v>154</v>
      </c>
      <c r="N241" t="s">
        <v>202</v>
      </c>
      <c r="O241" t="s">
        <v>297</v>
      </c>
      <c r="P241">
        <v>1.488645842404426E-2</v>
      </c>
      <c r="Q241" t="s">
        <v>154</v>
      </c>
      <c r="S241" t="s">
        <v>233</v>
      </c>
      <c r="T241" t="s">
        <v>297</v>
      </c>
      <c r="U241">
        <v>2.4569540070691332E-2</v>
      </c>
      <c r="V241" t="s">
        <v>154</v>
      </c>
    </row>
    <row r="242" spans="9:22" x14ac:dyDescent="0.25">
      <c r="I242" t="s">
        <v>172</v>
      </c>
      <c r="J242" t="s">
        <v>298</v>
      </c>
      <c r="K242">
        <v>6.4625464721226905E-2</v>
      </c>
      <c r="L242" t="s">
        <v>154</v>
      </c>
      <c r="N242" t="s">
        <v>202</v>
      </c>
      <c r="O242" t="s">
        <v>298</v>
      </c>
      <c r="P242">
        <v>2.1042349057202901E-2</v>
      </c>
      <c r="Q242" t="s">
        <v>154</v>
      </c>
      <c r="S242" t="s">
        <v>233</v>
      </c>
      <c r="T242" t="s">
        <v>298</v>
      </c>
      <c r="U242">
        <v>1.9697414793319615E-2</v>
      </c>
      <c r="V242" t="s">
        <v>154</v>
      </c>
    </row>
    <row r="243" spans="9:22" x14ac:dyDescent="0.25">
      <c r="I243" t="s">
        <v>172</v>
      </c>
      <c r="J243" t="s">
        <v>299</v>
      </c>
      <c r="K243">
        <v>3.9469755862564905E-3</v>
      </c>
      <c r="L243" t="s">
        <v>154</v>
      </c>
      <c r="N243" t="s">
        <v>202</v>
      </c>
      <c r="O243" t="s">
        <v>299</v>
      </c>
      <c r="P243">
        <v>2.4819539424727707E-3</v>
      </c>
      <c r="Q243" t="s">
        <v>154</v>
      </c>
      <c r="S243" t="s">
        <v>233</v>
      </c>
      <c r="T243" t="s">
        <v>299</v>
      </c>
      <c r="U243">
        <v>2.8108580901172256E-3</v>
      </c>
      <c r="V243" t="s">
        <v>154</v>
      </c>
    </row>
    <row r="244" spans="9:22" x14ac:dyDescent="0.25">
      <c r="I244" t="s">
        <v>172</v>
      </c>
      <c r="J244" t="s">
        <v>300</v>
      </c>
      <c r="K244">
        <v>0</v>
      </c>
      <c r="L244" t="s">
        <v>154</v>
      </c>
      <c r="N244" t="s">
        <v>202</v>
      </c>
      <c r="O244" t="s">
        <v>300</v>
      </c>
      <c r="P244">
        <v>2.266339935374154E-3</v>
      </c>
      <c r="Q244" t="s">
        <v>154</v>
      </c>
      <c r="S244" t="s">
        <v>233</v>
      </c>
      <c r="T244" t="s">
        <v>300</v>
      </c>
      <c r="U244">
        <v>2.8187578741789786E-3</v>
      </c>
      <c r="V244" t="s">
        <v>154</v>
      </c>
    </row>
    <row r="245" spans="9:22" x14ac:dyDescent="0.25">
      <c r="I245" t="s">
        <v>172</v>
      </c>
      <c r="J245" t="s">
        <v>301</v>
      </c>
      <c r="K245">
        <v>0</v>
      </c>
      <c r="L245" t="s">
        <v>154</v>
      </c>
      <c r="N245" t="s">
        <v>202</v>
      </c>
      <c r="O245" t="s">
        <v>301</v>
      </c>
      <c r="P245">
        <v>8.1424775371824291E-3</v>
      </c>
      <c r="Q245" t="s">
        <v>154</v>
      </c>
      <c r="S245" t="s">
        <v>233</v>
      </c>
      <c r="T245" t="s">
        <v>301</v>
      </c>
      <c r="U245">
        <v>1.3671397383200118E-2</v>
      </c>
      <c r="V245" t="s">
        <v>154</v>
      </c>
    </row>
    <row r="246" spans="9:22" x14ac:dyDescent="0.25">
      <c r="I246" t="s">
        <v>172</v>
      </c>
      <c r="J246" t="s">
        <v>302</v>
      </c>
      <c r="K246">
        <v>4.2483890954961769E-3</v>
      </c>
      <c r="L246" t="s">
        <v>154</v>
      </c>
      <c r="N246" t="s">
        <v>202</v>
      </c>
      <c r="O246" t="s">
        <v>302</v>
      </c>
      <c r="P246">
        <v>5.0797202816863556E-2</v>
      </c>
      <c r="Q246" t="s">
        <v>154</v>
      </c>
      <c r="S246" t="s">
        <v>233</v>
      </c>
      <c r="T246" t="s">
        <v>302</v>
      </c>
      <c r="U246">
        <v>4.9300329962686622E-2</v>
      </c>
      <c r="V246" t="s">
        <v>154</v>
      </c>
    </row>
    <row r="247" spans="9:22" x14ac:dyDescent="0.25">
      <c r="I247" t="s">
        <v>172</v>
      </c>
      <c r="J247" t="s">
        <v>303</v>
      </c>
      <c r="K247">
        <v>7.5691865081314369E-2</v>
      </c>
      <c r="L247" t="s">
        <v>154</v>
      </c>
      <c r="N247" t="s">
        <v>202</v>
      </c>
      <c r="O247" t="s">
        <v>303</v>
      </c>
      <c r="P247">
        <v>6.4267265616177391E-2</v>
      </c>
      <c r="Q247" t="s">
        <v>154</v>
      </c>
      <c r="S247" t="s">
        <v>233</v>
      </c>
      <c r="T247" t="s">
        <v>303</v>
      </c>
      <c r="U247">
        <v>4.5963576303053331E-2</v>
      </c>
      <c r="V247" t="s">
        <v>154</v>
      </c>
    </row>
    <row r="248" spans="9:22" x14ac:dyDescent="0.25">
      <c r="I248" t="s">
        <v>172</v>
      </c>
      <c r="J248" t="s">
        <v>304</v>
      </c>
      <c r="K248">
        <v>4.8149674894763326E-3</v>
      </c>
      <c r="L248" t="s">
        <v>154</v>
      </c>
      <c r="N248" t="s">
        <v>202</v>
      </c>
      <c r="O248" t="s">
        <v>304</v>
      </c>
      <c r="P248">
        <v>7.3670922965125086E-3</v>
      </c>
      <c r="Q248" t="s">
        <v>154</v>
      </c>
      <c r="S248" t="s">
        <v>233</v>
      </c>
      <c r="T248" t="s">
        <v>304</v>
      </c>
      <c r="U248">
        <v>6.0843383506363983E-3</v>
      </c>
      <c r="V248" t="s">
        <v>154</v>
      </c>
    </row>
    <row r="249" spans="9:22" x14ac:dyDescent="0.25">
      <c r="I249" t="s">
        <v>172</v>
      </c>
      <c r="J249" t="s">
        <v>305</v>
      </c>
      <c r="K249">
        <v>0</v>
      </c>
      <c r="L249" t="s">
        <v>154</v>
      </c>
      <c r="N249" t="s">
        <v>202</v>
      </c>
      <c r="O249" t="s">
        <v>305</v>
      </c>
      <c r="P249">
        <v>6.8640158667161305E-3</v>
      </c>
      <c r="Q249" t="s">
        <v>154</v>
      </c>
      <c r="S249" t="s">
        <v>233</v>
      </c>
      <c r="T249" t="s">
        <v>305</v>
      </c>
      <c r="U249">
        <v>6.1487525300655344E-3</v>
      </c>
      <c r="V249" t="s">
        <v>154</v>
      </c>
    </row>
    <row r="250" spans="9:22" x14ac:dyDescent="0.25">
      <c r="I250" t="s">
        <v>172</v>
      </c>
      <c r="J250" t="s">
        <v>306</v>
      </c>
      <c r="K250">
        <v>0</v>
      </c>
      <c r="L250" t="s">
        <v>154</v>
      </c>
      <c r="N250" t="s">
        <v>202</v>
      </c>
      <c r="O250" t="s">
        <v>306</v>
      </c>
      <c r="P250">
        <v>2.7973461487970017E-2</v>
      </c>
      <c r="Q250" t="s">
        <v>154</v>
      </c>
      <c r="S250" t="s">
        <v>233</v>
      </c>
      <c r="T250" t="s">
        <v>306</v>
      </c>
      <c r="U250">
        <v>2.7639823213669642E-2</v>
      </c>
      <c r="V250" t="s">
        <v>154</v>
      </c>
    </row>
    <row r="251" spans="9:22" x14ac:dyDescent="0.25">
      <c r="I251" t="s">
        <v>173</v>
      </c>
      <c r="J251" t="s">
        <v>153</v>
      </c>
      <c r="K251">
        <v>3.8531937851714738E-3</v>
      </c>
      <c r="L251" t="s">
        <v>154</v>
      </c>
      <c r="N251" t="s">
        <v>203</v>
      </c>
      <c r="O251" t="s">
        <v>153</v>
      </c>
      <c r="P251">
        <v>4.6967968079976587E-2</v>
      </c>
      <c r="Q251" t="s">
        <v>154</v>
      </c>
      <c r="S251" t="s">
        <v>234</v>
      </c>
      <c r="T251" t="s">
        <v>153</v>
      </c>
      <c r="U251">
        <v>5.2159180707831154E-2</v>
      </c>
      <c r="V251" t="s">
        <v>154</v>
      </c>
    </row>
    <row r="252" spans="9:22" x14ac:dyDescent="0.25">
      <c r="I252" t="s">
        <v>173</v>
      </c>
      <c r="J252" t="s">
        <v>155</v>
      </c>
      <c r="K252">
        <v>7.0179024458896677E-2</v>
      </c>
      <c r="L252" t="s">
        <v>154</v>
      </c>
      <c r="N252" t="s">
        <v>203</v>
      </c>
      <c r="O252" t="s">
        <v>155</v>
      </c>
      <c r="P252">
        <v>4.5322499970324337E-2</v>
      </c>
      <c r="Q252" t="s">
        <v>154</v>
      </c>
      <c r="S252" t="s">
        <v>234</v>
      </c>
      <c r="T252" t="s">
        <v>155</v>
      </c>
      <c r="U252">
        <v>3.3178336484449934E-2</v>
      </c>
      <c r="V252" t="s">
        <v>154</v>
      </c>
    </row>
    <row r="253" spans="9:22" x14ac:dyDescent="0.25">
      <c r="I253" t="s">
        <v>173</v>
      </c>
      <c r="J253" t="s">
        <v>156</v>
      </c>
      <c r="K253">
        <v>5.5897479984953263E-3</v>
      </c>
      <c r="L253" t="s">
        <v>154</v>
      </c>
      <c r="N253" t="s">
        <v>203</v>
      </c>
      <c r="O253" t="s">
        <v>156</v>
      </c>
      <c r="P253">
        <v>5.3274073377723892E-3</v>
      </c>
      <c r="Q253" t="s">
        <v>154</v>
      </c>
      <c r="S253" t="s">
        <v>234</v>
      </c>
      <c r="T253" t="s">
        <v>156</v>
      </c>
      <c r="U253">
        <v>4.6519481304354909E-3</v>
      </c>
      <c r="V253" t="s">
        <v>154</v>
      </c>
    </row>
    <row r="254" spans="9:22" x14ac:dyDescent="0.25">
      <c r="I254" t="s">
        <v>173</v>
      </c>
      <c r="J254" t="s">
        <v>283</v>
      </c>
      <c r="K254">
        <v>8.2743568075456585E-4</v>
      </c>
      <c r="L254" t="s">
        <v>154</v>
      </c>
      <c r="N254" t="s">
        <v>203</v>
      </c>
      <c r="O254" t="s">
        <v>283</v>
      </c>
      <c r="P254">
        <v>5.0960318726833015E-3</v>
      </c>
      <c r="Q254" t="s">
        <v>154</v>
      </c>
      <c r="S254" t="s">
        <v>234</v>
      </c>
      <c r="T254" t="s">
        <v>283</v>
      </c>
      <c r="U254">
        <v>4.7962809948776013E-3</v>
      </c>
      <c r="V254" t="s">
        <v>154</v>
      </c>
    </row>
    <row r="255" spans="9:22" x14ac:dyDescent="0.25">
      <c r="I255" t="s">
        <v>173</v>
      </c>
      <c r="J255" t="s">
        <v>284</v>
      </c>
      <c r="K255">
        <v>0</v>
      </c>
      <c r="L255" t="s">
        <v>154</v>
      </c>
      <c r="N255" t="s">
        <v>203</v>
      </c>
      <c r="O255" t="s">
        <v>284</v>
      </c>
      <c r="P255">
        <v>2.5329611683840868E-2</v>
      </c>
      <c r="Q255" t="s">
        <v>154</v>
      </c>
      <c r="S255" t="s">
        <v>234</v>
      </c>
      <c r="T255" t="s">
        <v>284</v>
      </c>
      <c r="U255">
        <v>2.3723153992190941E-2</v>
      </c>
      <c r="V255" t="s">
        <v>154</v>
      </c>
    </row>
    <row r="256" spans="9:22" x14ac:dyDescent="0.25">
      <c r="I256" t="s">
        <v>173</v>
      </c>
      <c r="J256" t="s">
        <v>157</v>
      </c>
      <c r="K256">
        <v>1.0108675263377047E-3</v>
      </c>
      <c r="L256" t="s">
        <v>154</v>
      </c>
      <c r="N256" t="s">
        <v>203</v>
      </c>
      <c r="O256" t="s">
        <v>157</v>
      </c>
      <c r="P256">
        <v>1.03633307899336E-2</v>
      </c>
      <c r="Q256" t="s">
        <v>154</v>
      </c>
      <c r="S256" t="s">
        <v>234</v>
      </c>
      <c r="T256" t="s">
        <v>157</v>
      </c>
      <c r="U256">
        <v>1.0556313247834096E-2</v>
      </c>
      <c r="V256" t="s">
        <v>154</v>
      </c>
    </row>
    <row r="257" spans="9:22" x14ac:dyDescent="0.25">
      <c r="I257" t="s">
        <v>173</v>
      </c>
      <c r="J257" t="s">
        <v>158</v>
      </c>
      <c r="K257">
        <v>2.1652884980401275E-2</v>
      </c>
      <c r="L257" t="s">
        <v>154</v>
      </c>
      <c r="N257" t="s">
        <v>203</v>
      </c>
      <c r="O257" t="s">
        <v>158</v>
      </c>
      <c r="P257">
        <v>1.5639704444851171E-2</v>
      </c>
      <c r="Q257" t="s">
        <v>154</v>
      </c>
      <c r="S257" t="s">
        <v>234</v>
      </c>
      <c r="T257" t="s">
        <v>158</v>
      </c>
      <c r="U257">
        <v>1.015652551711262E-2</v>
      </c>
      <c r="V257" t="s">
        <v>154</v>
      </c>
    </row>
    <row r="258" spans="9:22" x14ac:dyDescent="0.25">
      <c r="I258" t="s">
        <v>173</v>
      </c>
      <c r="J258" t="s">
        <v>159</v>
      </c>
      <c r="K258">
        <v>1.9316016671796197E-3</v>
      </c>
      <c r="L258" t="s">
        <v>154</v>
      </c>
      <c r="N258" t="s">
        <v>203</v>
      </c>
      <c r="O258" t="s">
        <v>159</v>
      </c>
      <c r="P258">
        <v>1.5345705484586087E-3</v>
      </c>
      <c r="Q258" t="s">
        <v>154</v>
      </c>
      <c r="S258" t="s">
        <v>234</v>
      </c>
      <c r="T258" t="s">
        <v>159</v>
      </c>
      <c r="U258">
        <v>1.5419328426623349E-3</v>
      </c>
      <c r="V258" t="s">
        <v>154</v>
      </c>
    </row>
    <row r="259" spans="9:22" x14ac:dyDescent="0.25">
      <c r="I259" t="s">
        <v>173</v>
      </c>
      <c r="J259" t="s">
        <v>285</v>
      </c>
      <c r="K259">
        <v>1.0377230934735132E-3</v>
      </c>
      <c r="L259" t="s">
        <v>154</v>
      </c>
      <c r="N259" t="s">
        <v>203</v>
      </c>
      <c r="O259" t="s">
        <v>285</v>
      </c>
      <c r="P259">
        <v>1.289325442790518E-3</v>
      </c>
      <c r="Q259" t="s">
        <v>154</v>
      </c>
      <c r="S259" t="s">
        <v>234</v>
      </c>
      <c r="T259" t="s">
        <v>285</v>
      </c>
      <c r="U259">
        <v>1.5998065935087474E-3</v>
      </c>
      <c r="V259" t="s">
        <v>154</v>
      </c>
    </row>
    <row r="260" spans="9:22" x14ac:dyDescent="0.25">
      <c r="I260" t="s">
        <v>173</v>
      </c>
      <c r="J260" t="s">
        <v>286</v>
      </c>
      <c r="K260">
        <v>0</v>
      </c>
      <c r="L260" t="s">
        <v>154</v>
      </c>
      <c r="N260" t="s">
        <v>203</v>
      </c>
      <c r="O260" t="s">
        <v>286</v>
      </c>
      <c r="P260">
        <v>5.8670915309815882E-3</v>
      </c>
      <c r="Q260" t="s">
        <v>154</v>
      </c>
      <c r="S260" t="s">
        <v>234</v>
      </c>
      <c r="T260" t="s">
        <v>286</v>
      </c>
      <c r="U260">
        <v>6.0497505957910662E-3</v>
      </c>
      <c r="V260" t="s">
        <v>154</v>
      </c>
    </row>
    <row r="261" spans="9:22" x14ac:dyDescent="0.25">
      <c r="I261" t="s">
        <v>173</v>
      </c>
      <c r="J261" t="s">
        <v>160</v>
      </c>
      <c r="K261">
        <v>6.546355501648711E-2</v>
      </c>
      <c r="L261" t="s">
        <v>154</v>
      </c>
      <c r="N261" t="s">
        <v>203</v>
      </c>
      <c r="O261" t="s">
        <v>160</v>
      </c>
      <c r="P261">
        <v>0.21275296425589216</v>
      </c>
      <c r="Q261" t="s">
        <v>154</v>
      </c>
      <c r="S261" t="s">
        <v>234</v>
      </c>
      <c r="T261" t="s">
        <v>160</v>
      </c>
      <c r="U261">
        <v>0.23745073280890514</v>
      </c>
      <c r="V261" t="s">
        <v>154</v>
      </c>
    </row>
    <row r="262" spans="9:22" x14ac:dyDescent="0.25">
      <c r="I262" t="s">
        <v>173</v>
      </c>
      <c r="J262" t="s">
        <v>161</v>
      </c>
      <c r="K262">
        <v>0.57174505903119255</v>
      </c>
      <c r="L262" t="s">
        <v>154</v>
      </c>
      <c r="N262" t="s">
        <v>203</v>
      </c>
      <c r="O262" t="s">
        <v>161</v>
      </c>
      <c r="P262">
        <v>0.25300463157817765</v>
      </c>
      <c r="Q262" t="s">
        <v>154</v>
      </c>
      <c r="S262" t="s">
        <v>234</v>
      </c>
      <c r="T262" t="s">
        <v>161</v>
      </c>
      <c r="U262">
        <v>0.19394920055710144</v>
      </c>
      <c r="V262" t="s">
        <v>154</v>
      </c>
    </row>
    <row r="263" spans="9:22" x14ac:dyDescent="0.25">
      <c r="I263" t="s">
        <v>173</v>
      </c>
      <c r="J263" t="s">
        <v>162</v>
      </c>
      <c r="K263">
        <v>5.0895986279101142E-2</v>
      </c>
      <c r="L263" t="s">
        <v>154</v>
      </c>
      <c r="N263" t="s">
        <v>203</v>
      </c>
      <c r="O263" t="s">
        <v>162</v>
      </c>
      <c r="P263">
        <v>2.544231833733715E-2</v>
      </c>
      <c r="Q263" t="s">
        <v>154</v>
      </c>
      <c r="S263" t="s">
        <v>234</v>
      </c>
      <c r="T263" t="s">
        <v>162</v>
      </c>
      <c r="U263">
        <v>2.6901281085321204E-2</v>
      </c>
      <c r="V263" t="s">
        <v>154</v>
      </c>
    </row>
    <row r="264" spans="9:22" x14ac:dyDescent="0.25">
      <c r="I264" t="s">
        <v>173</v>
      </c>
      <c r="J264" t="s">
        <v>287</v>
      </c>
      <c r="K264">
        <v>3.3303009533865453E-2</v>
      </c>
      <c r="L264" t="s">
        <v>154</v>
      </c>
      <c r="N264" t="s">
        <v>203</v>
      </c>
      <c r="O264" t="s">
        <v>287</v>
      </c>
      <c r="P264">
        <v>2.2654522838289115E-2</v>
      </c>
      <c r="Q264" t="s">
        <v>154</v>
      </c>
      <c r="S264" t="s">
        <v>234</v>
      </c>
      <c r="T264" t="s">
        <v>287</v>
      </c>
      <c r="U264">
        <v>2.7149606092324145E-2</v>
      </c>
      <c r="V264" t="s">
        <v>154</v>
      </c>
    </row>
    <row r="265" spans="9:22" x14ac:dyDescent="0.25">
      <c r="I265" t="s">
        <v>173</v>
      </c>
      <c r="J265" t="s">
        <v>288</v>
      </c>
      <c r="K265">
        <v>1.0205199664800319E-2</v>
      </c>
      <c r="L265" t="s">
        <v>154</v>
      </c>
      <c r="N265" t="s">
        <v>203</v>
      </c>
      <c r="O265" t="s">
        <v>288</v>
      </c>
      <c r="P265">
        <v>9.4378597654499338E-2</v>
      </c>
      <c r="Q265" t="s">
        <v>154</v>
      </c>
      <c r="S265" t="s">
        <v>234</v>
      </c>
      <c r="T265" t="s">
        <v>288</v>
      </c>
      <c r="U265">
        <v>0.12144228840645226</v>
      </c>
      <c r="V265" t="s">
        <v>154</v>
      </c>
    </row>
    <row r="266" spans="9:22" x14ac:dyDescent="0.25">
      <c r="I266" t="s">
        <v>173</v>
      </c>
      <c r="J266" t="s">
        <v>163</v>
      </c>
      <c r="K266">
        <v>1.4483171535900697E-3</v>
      </c>
      <c r="L266" t="s">
        <v>154</v>
      </c>
      <c r="N266" t="s">
        <v>203</v>
      </c>
      <c r="O266" t="s">
        <v>163</v>
      </c>
      <c r="P266">
        <v>7.8998703869707521E-3</v>
      </c>
      <c r="Q266" t="s">
        <v>154</v>
      </c>
      <c r="S266" t="s">
        <v>234</v>
      </c>
      <c r="T266" t="s">
        <v>163</v>
      </c>
      <c r="U266">
        <v>2.2046142256409447E-2</v>
      </c>
      <c r="V266" t="s">
        <v>154</v>
      </c>
    </row>
    <row r="267" spans="9:22" x14ac:dyDescent="0.25">
      <c r="I267" t="s">
        <v>173</v>
      </c>
      <c r="J267" t="s">
        <v>164</v>
      </c>
      <c r="K267">
        <v>1.6498950540004043E-2</v>
      </c>
      <c r="L267" t="s">
        <v>154</v>
      </c>
      <c r="N267" t="s">
        <v>203</v>
      </c>
      <c r="O267" t="s">
        <v>164</v>
      </c>
      <c r="P267">
        <v>8.9118473004360585E-3</v>
      </c>
      <c r="Q267" t="s">
        <v>154</v>
      </c>
      <c r="S267" t="s">
        <v>234</v>
      </c>
      <c r="T267" t="s">
        <v>164</v>
      </c>
      <c r="U267">
        <v>1.8793762809790979E-2</v>
      </c>
      <c r="V267" t="s">
        <v>154</v>
      </c>
    </row>
    <row r="268" spans="9:22" x14ac:dyDescent="0.25">
      <c r="I268" t="s">
        <v>173</v>
      </c>
      <c r="J268" t="s">
        <v>165</v>
      </c>
      <c r="K268">
        <v>1.0265761076694814E-3</v>
      </c>
      <c r="L268" t="s">
        <v>154</v>
      </c>
      <c r="N268" t="s">
        <v>203</v>
      </c>
      <c r="O268" t="s">
        <v>165</v>
      </c>
      <c r="P268">
        <v>8.9126919937978426E-4</v>
      </c>
      <c r="Q268" t="s">
        <v>154</v>
      </c>
      <c r="S268" t="s">
        <v>234</v>
      </c>
      <c r="T268" t="s">
        <v>165</v>
      </c>
      <c r="U268">
        <v>2.5628652912390928E-3</v>
      </c>
      <c r="V268" t="s">
        <v>154</v>
      </c>
    </row>
    <row r="269" spans="9:22" x14ac:dyDescent="0.25">
      <c r="I269" t="s">
        <v>173</v>
      </c>
      <c r="J269" t="s">
        <v>289</v>
      </c>
      <c r="K269">
        <v>1.7946652473994193E-5</v>
      </c>
      <c r="L269" t="s">
        <v>154</v>
      </c>
      <c r="N269" t="s">
        <v>203</v>
      </c>
      <c r="O269" t="s">
        <v>289</v>
      </c>
      <c r="P269">
        <v>8.9299190550857631E-4</v>
      </c>
      <c r="Q269" t="s">
        <v>154</v>
      </c>
      <c r="S269" t="s">
        <v>234</v>
      </c>
      <c r="T269" t="s">
        <v>289</v>
      </c>
      <c r="U269">
        <v>2.5674648871322446E-3</v>
      </c>
      <c r="V269" t="s">
        <v>154</v>
      </c>
    </row>
    <row r="270" spans="9:22" x14ac:dyDescent="0.25">
      <c r="I270" t="s">
        <v>173</v>
      </c>
      <c r="J270" t="s">
        <v>290</v>
      </c>
      <c r="K270">
        <v>0</v>
      </c>
      <c r="L270" t="s">
        <v>154</v>
      </c>
      <c r="N270" t="s">
        <v>203</v>
      </c>
      <c r="O270" t="s">
        <v>290</v>
      </c>
      <c r="P270">
        <v>3.7806541530402298E-3</v>
      </c>
      <c r="Q270" t="s">
        <v>154</v>
      </c>
      <c r="S270" t="s">
        <v>234</v>
      </c>
      <c r="T270" t="s">
        <v>290</v>
      </c>
      <c r="U270">
        <v>1.0077759331230764E-2</v>
      </c>
      <c r="V270" t="s">
        <v>154</v>
      </c>
    </row>
    <row r="271" spans="9:22" x14ac:dyDescent="0.25">
      <c r="I271" t="s">
        <v>173</v>
      </c>
      <c r="J271" t="s">
        <v>297</v>
      </c>
      <c r="K271">
        <v>3.9225173228208685E-3</v>
      </c>
      <c r="L271" t="s">
        <v>154</v>
      </c>
      <c r="N271" t="s">
        <v>203</v>
      </c>
      <c r="O271" t="s">
        <v>297</v>
      </c>
      <c r="P271">
        <v>2.356281657533894E-2</v>
      </c>
      <c r="Q271" t="s">
        <v>154</v>
      </c>
      <c r="S271" t="s">
        <v>234</v>
      </c>
      <c r="T271" t="s">
        <v>297</v>
      </c>
      <c r="U271">
        <v>2.4535998193441131E-2</v>
      </c>
      <c r="V271" t="s">
        <v>154</v>
      </c>
    </row>
    <row r="272" spans="9:22" x14ac:dyDescent="0.25">
      <c r="I272" t="s">
        <v>173</v>
      </c>
      <c r="J272" t="s">
        <v>298</v>
      </c>
      <c r="K272">
        <v>5.9623475278956409E-2</v>
      </c>
      <c r="L272" t="s">
        <v>154</v>
      </c>
      <c r="N272" t="s">
        <v>203</v>
      </c>
      <c r="O272" t="s">
        <v>298</v>
      </c>
      <c r="P272">
        <v>2.2947183378184074E-2</v>
      </c>
      <c r="Q272" t="s">
        <v>154</v>
      </c>
      <c r="S272" t="s">
        <v>234</v>
      </c>
      <c r="T272" t="s">
        <v>298</v>
      </c>
      <c r="U272">
        <v>1.7578682020574415E-2</v>
      </c>
      <c r="V272" t="s">
        <v>154</v>
      </c>
    </row>
    <row r="273" spans="9:22" x14ac:dyDescent="0.25">
      <c r="I273" t="s">
        <v>173</v>
      </c>
      <c r="J273" t="s">
        <v>299</v>
      </c>
      <c r="K273">
        <v>3.5949613993489326E-3</v>
      </c>
      <c r="L273" t="s">
        <v>154</v>
      </c>
      <c r="N273" t="s">
        <v>203</v>
      </c>
      <c r="O273" t="s">
        <v>299</v>
      </c>
      <c r="P273">
        <v>2.4090225123867145E-3</v>
      </c>
      <c r="Q273" t="s">
        <v>154</v>
      </c>
      <c r="S273" t="s">
        <v>234</v>
      </c>
      <c r="T273" t="s">
        <v>299</v>
      </c>
      <c r="U273">
        <v>2.527362540577839E-3</v>
      </c>
      <c r="V273" t="s">
        <v>154</v>
      </c>
    </row>
    <row r="274" spans="9:22" x14ac:dyDescent="0.25">
      <c r="I274" t="s">
        <v>173</v>
      </c>
      <c r="J274" t="s">
        <v>300</v>
      </c>
      <c r="K274">
        <v>0</v>
      </c>
      <c r="L274" t="s">
        <v>154</v>
      </c>
      <c r="N274" t="s">
        <v>203</v>
      </c>
      <c r="O274" t="s">
        <v>300</v>
      </c>
      <c r="P274">
        <v>2.209991908291993E-3</v>
      </c>
      <c r="Q274" t="s">
        <v>154</v>
      </c>
      <c r="S274" t="s">
        <v>234</v>
      </c>
      <c r="T274" t="s">
        <v>300</v>
      </c>
      <c r="U274">
        <v>2.5738745543715633E-3</v>
      </c>
      <c r="V274" t="s">
        <v>154</v>
      </c>
    </row>
    <row r="275" spans="9:22" x14ac:dyDescent="0.25">
      <c r="I275" t="s">
        <v>173</v>
      </c>
      <c r="J275" t="s">
        <v>301</v>
      </c>
      <c r="K275">
        <v>0</v>
      </c>
      <c r="L275" t="s">
        <v>154</v>
      </c>
      <c r="N275" t="s">
        <v>203</v>
      </c>
      <c r="O275" t="s">
        <v>301</v>
      </c>
      <c r="P275">
        <v>1.2315167687637714E-2</v>
      </c>
      <c r="Q275" t="s">
        <v>154</v>
      </c>
      <c r="S275" t="s">
        <v>234</v>
      </c>
      <c r="T275" t="s">
        <v>301</v>
      </c>
      <c r="U275">
        <v>1.1926562057713395E-2</v>
      </c>
      <c r="V275" t="s">
        <v>154</v>
      </c>
    </row>
    <row r="276" spans="9:22" x14ac:dyDescent="0.25">
      <c r="I276" t="s">
        <v>173</v>
      </c>
      <c r="J276" t="s">
        <v>302</v>
      </c>
      <c r="K276">
        <v>3.8435760563625531E-3</v>
      </c>
      <c r="L276" t="s">
        <v>154</v>
      </c>
      <c r="N276" t="s">
        <v>203</v>
      </c>
      <c r="O276" t="s">
        <v>302</v>
      </c>
      <c r="P276">
        <v>4.849867558277509E-2</v>
      </c>
      <c r="Q276" t="s">
        <v>154</v>
      </c>
      <c r="S276" t="s">
        <v>234</v>
      </c>
      <c r="T276" t="s">
        <v>302</v>
      </c>
      <c r="U276">
        <v>4.767090395467477E-2</v>
      </c>
      <c r="V276" t="s">
        <v>154</v>
      </c>
    </row>
    <row r="277" spans="9:22" x14ac:dyDescent="0.25">
      <c r="I277" t="s">
        <v>173</v>
      </c>
      <c r="J277" t="s">
        <v>303</v>
      </c>
      <c r="K277">
        <v>6.824918990561446E-2</v>
      </c>
      <c r="L277" t="s">
        <v>154</v>
      </c>
      <c r="N277" t="s">
        <v>203</v>
      </c>
      <c r="O277" t="s">
        <v>303</v>
      </c>
      <c r="P277">
        <v>5.5706892548835221E-2</v>
      </c>
      <c r="Q277" t="s">
        <v>154</v>
      </c>
      <c r="S277" t="s">
        <v>234</v>
      </c>
      <c r="T277" t="s">
        <v>303</v>
      </c>
      <c r="U277">
        <v>4.1825677585182915E-2</v>
      </c>
      <c r="V277" t="s">
        <v>154</v>
      </c>
    </row>
    <row r="278" spans="9:22" x14ac:dyDescent="0.25">
      <c r="I278" t="s">
        <v>173</v>
      </c>
      <c r="J278" t="s">
        <v>304</v>
      </c>
      <c r="K278">
        <v>4.079200866999649E-3</v>
      </c>
      <c r="L278" t="s">
        <v>154</v>
      </c>
      <c r="N278" t="s">
        <v>203</v>
      </c>
      <c r="O278" t="s">
        <v>304</v>
      </c>
      <c r="P278">
        <v>6.7298736301107205E-3</v>
      </c>
      <c r="Q278" t="s">
        <v>154</v>
      </c>
      <c r="S278" t="s">
        <v>234</v>
      </c>
      <c r="T278" t="s">
        <v>304</v>
      </c>
      <c r="U278">
        <v>5.8278882884725252E-3</v>
      </c>
      <c r="V278" t="s">
        <v>154</v>
      </c>
    </row>
    <row r="279" spans="9:22" x14ac:dyDescent="0.25">
      <c r="I279" t="s">
        <v>173</v>
      </c>
      <c r="J279" t="s">
        <v>305</v>
      </c>
      <c r="K279">
        <v>0</v>
      </c>
      <c r="L279" t="s">
        <v>154</v>
      </c>
      <c r="N279" t="s">
        <v>203</v>
      </c>
      <c r="O279" t="s">
        <v>305</v>
      </c>
      <c r="P279">
        <v>6.2025959314718554E-3</v>
      </c>
      <c r="Q279" t="s">
        <v>154</v>
      </c>
      <c r="S279" t="s">
        <v>234</v>
      </c>
      <c r="T279" t="s">
        <v>305</v>
      </c>
      <c r="U279">
        <v>5.9593411385169236E-3</v>
      </c>
      <c r="V279" t="s">
        <v>154</v>
      </c>
    </row>
    <row r="280" spans="9:22" x14ac:dyDescent="0.25">
      <c r="I280" t="s">
        <v>173</v>
      </c>
      <c r="J280" t="s">
        <v>306</v>
      </c>
      <c r="K280">
        <v>0</v>
      </c>
      <c r="L280" t="s">
        <v>154</v>
      </c>
      <c r="N280" t="s">
        <v>203</v>
      </c>
      <c r="O280" t="s">
        <v>306</v>
      </c>
      <c r="P280">
        <v>2.6070570933826122E-2</v>
      </c>
      <c r="Q280" t="s">
        <v>154</v>
      </c>
      <c r="S280" t="s">
        <v>234</v>
      </c>
      <c r="T280" t="s">
        <v>306</v>
      </c>
      <c r="U280">
        <v>2.821937703387116E-2</v>
      </c>
      <c r="V280" t="s">
        <v>154</v>
      </c>
    </row>
    <row r="281" spans="9:22" x14ac:dyDescent="0.25">
      <c r="I281" t="s">
        <v>174</v>
      </c>
      <c r="J281" t="s">
        <v>153</v>
      </c>
      <c r="K281">
        <v>3.5222664412896012E-3</v>
      </c>
      <c r="L281" t="s">
        <v>154</v>
      </c>
      <c r="N281" t="s">
        <v>204</v>
      </c>
      <c r="O281" t="s">
        <v>153</v>
      </c>
      <c r="P281">
        <v>5.0451107036797879E-2</v>
      </c>
      <c r="Q281" t="s">
        <v>154</v>
      </c>
      <c r="S281" t="s">
        <v>235</v>
      </c>
      <c r="T281" t="s">
        <v>153</v>
      </c>
      <c r="U281">
        <v>3.9104501351390548E-2</v>
      </c>
      <c r="V281" t="s">
        <v>154</v>
      </c>
    </row>
    <row r="282" spans="9:22" x14ac:dyDescent="0.25">
      <c r="I282" t="s">
        <v>174</v>
      </c>
      <c r="J282" t="s">
        <v>155</v>
      </c>
      <c r="K282">
        <v>6.4891820606206366E-2</v>
      </c>
      <c r="L282" t="s">
        <v>154</v>
      </c>
      <c r="N282" t="s">
        <v>204</v>
      </c>
      <c r="O282" t="s">
        <v>155</v>
      </c>
      <c r="P282">
        <v>3.9982529311449633E-2</v>
      </c>
      <c r="Q282" t="s">
        <v>154</v>
      </c>
      <c r="S282" t="s">
        <v>235</v>
      </c>
      <c r="T282" t="s">
        <v>155</v>
      </c>
      <c r="U282">
        <v>2.780334805201648E-2</v>
      </c>
      <c r="V282" t="s">
        <v>154</v>
      </c>
    </row>
    <row r="283" spans="9:22" x14ac:dyDescent="0.25">
      <c r="I283" t="s">
        <v>174</v>
      </c>
      <c r="J283" t="s">
        <v>156</v>
      </c>
      <c r="K283">
        <v>4.7050969240484001E-3</v>
      </c>
      <c r="L283" t="s">
        <v>154</v>
      </c>
      <c r="N283" t="s">
        <v>204</v>
      </c>
      <c r="O283" t="s">
        <v>156</v>
      </c>
      <c r="P283">
        <v>5.6036739752182317E-3</v>
      </c>
      <c r="Q283" t="s">
        <v>154</v>
      </c>
      <c r="S283" t="s">
        <v>235</v>
      </c>
      <c r="T283" t="s">
        <v>156</v>
      </c>
      <c r="U283">
        <v>3.9484805644410701E-3</v>
      </c>
      <c r="V283" t="s">
        <v>154</v>
      </c>
    </row>
    <row r="284" spans="9:22" x14ac:dyDescent="0.25">
      <c r="I284" t="s">
        <v>174</v>
      </c>
      <c r="J284" t="s">
        <v>283</v>
      </c>
      <c r="K284">
        <v>3.5100975520098378E-4</v>
      </c>
      <c r="L284" t="s">
        <v>154</v>
      </c>
      <c r="N284" t="s">
        <v>204</v>
      </c>
      <c r="O284" t="s">
        <v>283</v>
      </c>
      <c r="P284">
        <v>5.7048198749155366E-3</v>
      </c>
      <c r="Q284" t="s">
        <v>154</v>
      </c>
      <c r="S284" t="s">
        <v>235</v>
      </c>
      <c r="T284" t="s">
        <v>283</v>
      </c>
      <c r="U284">
        <v>4.0902712486531228E-3</v>
      </c>
      <c r="V284" t="s">
        <v>154</v>
      </c>
    </row>
    <row r="285" spans="9:22" x14ac:dyDescent="0.25">
      <c r="I285" t="s">
        <v>174</v>
      </c>
      <c r="J285" t="s">
        <v>284</v>
      </c>
      <c r="K285">
        <v>0</v>
      </c>
      <c r="L285" t="s">
        <v>154</v>
      </c>
      <c r="N285" t="s">
        <v>204</v>
      </c>
      <c r="O285" t="s">
        <v>284</v>
      </c>
      <c r="P285">
        <v>2.687857599749641E-2</v>
      </c>
      <c r="Q285" t="s">
        <v>154</v>
      </c>
      <c r="S285" t="s">
        <v>235</v>
      </c>
      <c r="T285" t="s">
        <v>284</v>
      </c>
      <c r="U285">
        <v>2.1128437754079306E-2</v>
      </c>
      <c r="V285" t="s">
        <v>154</v>
      </c>
    </row>
    <row r="286" spans="9:22" x14ac:dyDescent="0.25">
      <c r="I286" t="s">
        <v>174</v>
      </c>
      <c r="J286" t="s">
        <v>157</v>
      </c>
      <c r="K286">
        <v>1.0105886169522317E-3</v>
      </c>
      <c r="L286" t="s">
        <v>154</v>
      </c>
      <c r="N286" t="s">
        <v>204</v>
      </c>
      <c r="O286" t="s">
        <v>157</v>
      </c>
      <c r="P286">
        <v>1.2751874679084844E-2</v>
      </c>
      <c r="Q286" t="s">
        <v>154</v>
      </c>
      <c r="S286" t="s">
        <v>235</v>
      </c>
      <c r="T286" t="s">
        <v>157</v>
      </c>
      <c r="U286">
        <v>9.5909081393218479E-3</v>
      </c>
      <c r="V286" t="s">
        <v>154</v>
      </c>
    </row>
    <row r="287" spans="9:22" x14ac:dyDescent="0.25">
      <c r="I287" t="s">
        <v>174</v>
      </c>
      <c r="J287" t="s">
        <v>158</v>
      </c>
      <c r="K287">
        <v>2.0632954060583318E-2</v>
      </c>
      <c r="L287" t="s">
        <v>154</v>
      </c>
      <c r="N287" t="s">
        <v>204</v>
      </c>
      <c r="O287" t="s">
        <v>158</v>
      </c>
      <c r="P287">
        <v>1.3349733627886473E-2</v>
      </c>
      <c r="Q287" t="s">
        <v>154</v>
      </c>
      <c r="S287" t="s">
        <v>235</v>
      </c>
      <c r="T287" t="s">
        <v>158</v>
      </c>
      <c r="U287">
        <v>6.6577109274319028E-3</v>
      </c>
      <c r="V287" t="s">
        <v>154</v>
      </c>
    </row>
    <row r="288" spans="9:22" x14ac:dyDescent="0.25">
      <c r="I288" t="s">
        <v>174</v>
      </c>
      <c r="J288" t="s">
        <v>159</v>
      </c>
      <c r="K288">
        <v>1.6851542466228549E-3</v>
      </c>
      <c r="L288" t="s">
        <v>154</v>
      </c>
      <c r="N288" t="s">
        <v>204</v>
      </c>
      <c r="O288" t="s">
        <v>159</v>
      </c>
      <c r="P288">
        <v>1.6693340937749548E-3</v>
      </c>
      <c r="Q288" t="s">
        <v>154</v>
      </c>
      <c r="S288" t="s">
        <v>235</v>
      </c>
      <c r="T288" t="s">
        <v>159</v>
      </c>
      <c r="U288">
        <v>7.6037491397799211E-4</v>
      </c>
      <c r="V288" t="s">
        <v>154</v>
      </c>
    </row>
    <row r="289" spans="9:22" x14ac:dyDescent="0.25">
      <c r="I289" t="s">
        <v>174</v>
      </c>
      <c r="J289" t="s">
        <v>285</v>
      </c>
      <c r="K289">
        <v>9.5850258174506235E-4</v>
      </c>
      <c r="L289" t="s">
        <v>154</v>
      </c>
      <c r="N289" t="s">
        <v>204</v>
      </c>
      <c r="O289" t="s">
        <v>285</v>
      </c>
      <c r="P289">
        <v>1.6659691480503591E-3</v>
      </c>
      <c r="Q289" t="s">
        <v>154</v>
      </c>
      <c r="S289" t="s">
        <v>235</v>
      </c>
      <c r="T289" t="s">
        <v>285</v>
      </c>
      <c r="U289">
        <v>7.02097524503515E-4</v>
      </c>
      <c r="V289" t="s">
        <v>154</v>
      </c>
    </row>
    <row r="290" spans="9:22" x14ac:dyDescent="0.25">
      <c r="I290" t="s">
        <v>174</v>
      </c>
      <c r="J290" t="s">
        <v>286</v>
      </c>
      <c r="K290">
        <v>0</v>
      </c>
      <c r="L290" t="s">
        <v>154</v>
      </c>
      <c r="N290" t="s">
        <v>204</v>
      </c>
      <c r="O290" t="s">
        <v>286</v>
      </c>
      <c r="P290">
        <v>6.6949011763000046E-3</v>
      </c>
      <c r="Q290" t="s">
        <v>154</v>
      </c>
      <c r="S290" t="s">
        <v>235</v>
      </c>
      <c r="T290" t="s">
        <v>286</v>
      </c>
      <c r="U290">
        <v>4.2828348876592839E-3</v>
      </c>
      <c r="V290" t="s">
        <v>154</v>
      </c>
    </row>
    <row r="291" spans="9:22" x14ac:dyDescent="0.25">
      <c r="I291" t="s">
        <v>174</v>
      </c>
      <c r="J291" t="s">
        <v>160</v>
      </c>
      <c r="K291">
        <v>7.1888349694891399E-2</v>
      </c>
      <c r="L291" t="s">
        <v>154</v>
      </c>
      <c r="N291" t="s">
        <v>204</v>
      </c>
      <c r="O291" t="s">
        <v>160</v>
      </c>
      <c r="P291">
        <v>0.20943247007505877</v>
      </c>
      <c r="Q291" t="s">
        <v>154</v>
      </c>
      <c r="S291" t="s">
        <v>235</v>
      </c>
      <c r="T291" t="s">
        <v>160</v>
      </c>
      <c r="U291">
        <v>0.24904107017314583</v>
      </c>
      <c r="V291" t="s">
        <v>154</v>
      </c>
    </row>
    <row r="292" spans="9:22" x14ac:dyDescent="0.25">
      <c r="I292" t="s">
        <v>174</v>
      </c>
      <c r="J292" t="s">
        <v>161</v>
      </c>
      <c r="K292">
        <v>0.58140266118055461</v>
      </c>
      <c r="L292" t="s">
        <v>154</v>
      </c>
      <c r="N292" t="s">
        <v>204</v>
      </c>
      <c r="O292" t="s">
        <v>161</v>
      </c>
      <c r="P292">
        <v>0.19600237759067768</v>
      </c>
      <c r="Q292" t="s">
        <v>154</v>
      </c>
      <c r="S292" t="s">
        <v>235</v>
      </c>
      <c r="T292" t="s">
        <v>161</v>
      </c>
      <c r="U292">
        <v>0.2129890785535766</v>
      </c>
      <c r="V292" t="s">
        <v>154</v>
      </c>
    </row>
    <row r="293" spans="9:22" x14ac:dyDescent="0.25">
      <c r="I293" t="s">
        <v>174</v>
      </c>
      <c r="J293" t="s">
        <v>162</v>
      </c>
      <c r="K293">
        <v>5.1844236133163253E-2</v>
      </c>
      <c r="L293" t="s">
        <v>154</v>
      </c>
      <c r="N293" t="s">
        <v>204</v>
      </c>
      <c r="O293" t="s">
        <v>162</v>
      </c>
      <c r="P293">
        <v>2.73747746302259E-2</v>
      </c>
      <c r="Q293" t="s">
        <v>154</v>
      </c>
      <c r="S293" t="s">
        <v>235</v>
      </c>
      <c r="T293" t="s">
        <v>162</v>
      </c>
      <c r="U293">
        <v>2.9567972652899798E-2</v>
      </c>
      <c r="V293" t="s">
        <v>154</v>
      </c>
    </row>
    <row r="294" spans="9:22" x14ac:dyDescent="0.25">
      <c r="I294" t="s">
        <v>174</v>
      </c>
      <c r="J294" t="s">
        <v>287</v>
      </c>
      <c r="K294">
        <v>3.4103424959075535E-2</v>
      </c>
      <c r="L294" t="s">
        <v>154</v>
      </c>
      <c r="N294" t="s">
        <v>204</v>
      </c>
      <c r="O294" t="s">
        <v>287</v>
      </c>
      <c r="P294">
        <v>2.7787986280233965E-2</v>
      </c>
      <c r="Q294" t="s">
        <v>154</v>
      </c>
      <c r="S294" t="s">
        <v>235</v>
      </c>
      <c r="T294" t="s">
        <v>287</v>
      </c>
      <c r="U294">
        <v>2.9733616206167244E-2</v>
      </c>
      <c r="V294" t="s">
        <v>154</v>
      </c>
    </row>
    <row r="295" spans="9:22" x14ac:dyDescent="0.25">
      <c r="I295" t="s">
        <v>174</v>
      </c>
      <c r="J295" t="s">
        <v>288</v>
      </c>
      <c r="K295">
        <v>1.0745096877091987E-2</v>
      </c>
      <c r="L295" t="s">
        <v>154</v>
      </c>
      <c r="N295" t="s">
        <v>204</v>
      </c>
      <c r="O295" t="s">
        <v>288</v>
      </c>
      <c r="P295">
        <v>0.12032834489190977</v>
      </c>
      <c r="Q295" t="s">
        <v>154</v>
      </c>
      <c r="S295" t="s">
        <v>235</v>
      </c>
      <c r="T295" t="s">
        <v>288</v>
      </c>
      <c r="U295">
        <v>0.14092224362815126</v>
      </c>
      <c r="V295" t="s">
        <v>154</v>
      </c>
    </row>
    <row r="296" spans="9:22" x14ac:dyDescent="0.25">
      <c r="I296" t="s">
        <v>174</v>
      </c>
      <c r="J296" t="s">
        <v>163</v>
      </c>
      <c r="K296">
        <v>1.5318472368811965E-3</v>
      </c>
      <c r="L296" t="s">
        <v>154</v>
      </c>
      <c r="N296" t="s">
        <v>204</v>
      </c>
      <c r="O296" t="s">
        <v>163</v>
      </c>
      <c r="P296">
        <v>1.5277268253091806E-2</v>
      </c>
      <c r="Q296" t="s">
        <v>154</v>
      </c>
      <c r="S296" t="s">
        <v>235</v>
      </c>
      <c r="T296" t="s">
        <v>163</v>
      </c>
      <c r="U296">
        <v>2.4980393991719464E-2</v>
      </c>
      <c r="V296" t="s">
        <v>154</v>
      </c>
    </row>
    <row r="297" spans="9:22" x14ac:dyDescent="0.25">
      <c r="I297" t="s">
        <v>174</v>
      </c>
      <c r="J297" t="s">
        <v>164</v>
      </c>
      <c r="K297">
        <v>1.672136189841231E-2</v>
      </c>
      <c r="L297" t="s">
        <v>154</v>
      </c>
      <c r="N297" t="s">
        <v>204</v>
      </c>
      <c r="O297" t="s">
        <v>164</v>
      </c>
      <c r="P297">
        <v>1.3362950216913647E-2</v>
      </c>
      <c r="Q297" t="s">
        <v>154</v>
      </c>
      <c r="S297" t="s">
        <v>235</v>
      </c>
      <c r="T297" t="s">
        <v>164</v>
      </c>
      <c r="U297">
        <v>2.0895190385092587E-2</v>
      </c>
      <c r="V297" t="s">
        <v>154</v>
      </c>
    </row>
    <row r="298" spans="9:22" x14ac:dyDescent="0.25">
      <c r="I298" t="s">
        <v>174</v>
      </c>
      <c r="J298" t="s">
        <v>165</v>
      </c>
      <c r="K298">
        <v>9.4347390515411942E-4</v>
      </c>
      <c r="L298" t="s">
        <v>154</v>
      </c>
      <c r="N298" t="s">
        <v>204</v>
      </c>
      <c r="O298" t="s">
        <v>165</v>
      </c>
      <c r="P298">
        <v>1.8792569991649077E-3</v>
      </c>
      <c r="Q298" t="s">
        <v>154</v>
      </c>
      <c r="S298" t="s">
        <v>235</v>
      </c>
      <c r="T298" t="s">
        <v>165</v>
      </c>
      <c r="U298">
        <v>2.4357816513269196E-3</v>
      </c>
      <c r="V298" t="s">
        <v>154</v>
      </c>
    </row>
    <row r="299" spans="9:22" x14ac:dyDescent="0.25">
      <c r="I299" t="s">
        <v>174</v>
      </c>
      <c r="J299" t="s">
        <v>289</v>
      </c>
      <c r="K299">
        <v>5.9707659847340302E-6</v>
      </c>
      <c r="L299" t="s">
        <v>154</v>
      </c>
      <c r="N299" t="s">
        <v>204</v>
      </c>
      <c r="O299" t="s">
        <v>289</v>
      </c>
      <c r="P299">
        <v>1.8784995952359467E-3</v>
      </c>
      <c r="Q299" t="s">
        <v>154</v>
      </c>
      <c r="S299" t="s">
        <v>235</v>
      </c>
      <c r="T299" t="s">
        <v>289</v>
      </c>
      <c r="U299">
        <v>2.5116007622562322E-3</v>
      </c>
      <c r="V299" t="s">
        <v>154</v>
      </c>
    </row>
    <row r="300" spans="9:22" x14ac:dyDescent="0.25">
      <c r="I300" t="s">
        <v>174</v>
      </c>
      <c r="J300" t="s">
        <v>290</v>
      </c>
      <c r="K300">
        <v>0</v>
      </c>
      <c r="L300" t="s">
        <v>154</v>
      </c>
      <c r="N300" t="s">
        <v>204</v>
      </c>
      <c r="O300" t="s">
        <v>290</v>
      </c>
      <c r="P300">
        <v>6.9281243738338397E-3</v>
      </c>
      <c r="Q300" t="s">
        <v>154</v>
      </c>
      <c r="S300" t="s">
        <v>235</v>
      </c>
      <c r="T300" t="s">
        <v>290</v>
      </c>
      <c r="U300">
        <v>1.173679786557175E-2</v>
      </c>
      <c r="V300" t="s">
        <v>154</v>
      </c>
    </row>
    <row r="301" spans="9:22" x14ac:dyDescent="0.25">
      <c r="I301" t="s">
        <v>174</v>
      </c>
      <c r="J301" t="s">
        <v>297</v>
      </c>
      <c r="K301">
        <v>4.0594542166270424E-3</v>
      </c>
      <c r="L301" t="s">
        <v>154</v>
      </c>
      <c r="N301" t="s">
        <v>204</v>
      </c>
      <c r="O301" t="s">
        <v>297</v>
      </c>
      <c r="P301">
        <v>2.3821207946618388E-2</v>
      </c>
      <c r="Q301" t="s">
        <v>154</v>
      </c>
      <c r="S301" t="s">
        <v>235</v>
      </c>
      <c r="T301" t="s">
        <v>297</v>
      </c>
      <c r="U301">
        <v>1.8329864973389832E-2</v>
      </c>
      <c r="V301" t="s">
        <v>154</v>
      </c>
    </row>
    <row r="302" spans="9:22" x14ac:dyDescent="0.25">
      <c r="I302" t="s">
        <v>174</v>
      </c>
      <c r="J302" t="s">
        <v>298</v>
      </c>
      <c r="K302">
        <v>5.7125563158884007E-2</v>
      </c>
      <c r="L302" t="s">
        <v>154</v>
      </c>
      <c r="N302" t="s">
        <v>204</v>
      </c>
      <c r="O302" t="s">
        <v>298</v>
      </c>
      <c r="P302">
        <v>2.1567552195032789E-2</v>
      </c>
      <c r="Q302" t="s">
        <v>154</v>
      </c>
      <c r="S302" t="s">
        <v>235</v>
      </c>
      <c r="T302" t="s">
        <v>298</v>
      </c>
      <c r="U302">
        <v>1.4691676966943672E-2</v>
      </c>
      <c r="V302" t="s">
        <v>154</v>
      </c>
    </row>
    <row r="303" spans="9:22" x14ac:dyDescent="0.25">
      <c r="I303" t="s">
        <v>174</v>
      </c>
      <c r="J303" t="s">
        <v>299</v>
      </c>
      <c r="K303">
        <v>3.3248744041090212E-3</v>
      </c>
      <c r="L303" t="s">
        <v>154</v>
      </c>
      <c r="N303" t="s">
        <v>204</v>
      </c>
      <c r="O303" t="s">
        <v>299</v>
      </c>
      <c r="P303">
        <v>3.1161435451235722E-3</v>
      </c>
      <c r="Q303" t="s">
        <v>154</v>
      </c>
      <c r="S303" t="s">
        <v>235</v>
      </c>
      <c r="T303" t="s">
        <v>299</v>
      </c>
      <c r="U303">
        <v>1.8187903584420315E-3</v>
      </c>
      <c r="V303" t="s">
        <v>154</v>
      </c>
    </row>
    <row r="304" spans="9:22" x14ac:dyDescent="0.25">
      <c r="I304" t="s">
        <v>174</v>
      </c>
      <c r="J304" t="s">
        <v>300</v>
      </c>
      <c r="K304">
        <v>0</v>
      </c>
      <c r="L304" t="s">
        <v>154</v>
      </c>
      <c r="N304" t="s">
        <v>204</v>
      </c>
      <c r="O304" t="s">
        <v>300</v>
      </c>
      <c r="P304">
        <v>3.1876298814559065E-3</v>
      </c>
      <c r="Q304" t="s">
        <v>154</v>
      </c>
      <c r="S304" t="s">
        <v>235</v>
      </c>
      <c r="T304" t="s">
        <v>300</v>
      </c>
      <c r="U304">
        <v>1.8114120089759722E-3</v>
      </c>
      <c r="V304" t="s">
        <v>154</v>
      </c>
    </row>
    <row r="305" spans="9:22" x14ac:dyDescent="0.25">
      <c r="I305" t="s">
        <v>174</v>
      </c>
      <c r="J305" t="s">
        <v>301</v>
      </c>
      <c r="K305">
        <v>0</v>
      </c>
      <c r="L305" t="s">
        <v>154</v>
      </c>
      <c r="N305" t="s">
        <v>204</v>
      </c>
      <c r="O305" t="s">
        <v>301</v>
      </c>
      <c r="P305">
        <v>1.4080671072973618E-2</v>
      </c>
      <c r="Q305" t="s">
        <v>154</v>
      </c>
      <c r="S305" t="s">
        <v>235</v>
      </c>
      <c r="T305" t="s">
        <v>301</v>
      </c>
      <c r="U305">
        <v>9.6227087446453426E-3</v>
      </c>
      <c r="V305" t="s">
        <v>154</v>
      </c>
    </row>
    <row r="306" spans="9:22" x14ac:dyDescent="0.25">
      <c r="I306" t="s">
        <v>174</v>
      </c>
      <c r="J306" t="s">
        <v>302</v>
      </c>
      <c r="K306">
        <v>3.38022856654876E-3</v>
      </c>
      <c r="L306" t="s">
        <v>154</v>
      </c>
      <c r="N306" t="s">
        <v>204</v>
      </c>
      <c r="O306" t="s">
        <v>302</v>
      </c>
      <c r="P306">
        <v>5.1615318417942951E-2</v>
      </c>
      <c r="Q306" t="s">
        <v>154</v>
      </c>
      <c r="S306" t="s">
        <v>235</v>
      </c>
      <c r="T306" t="s">
        <v>302</v>
      </c>
      <c r="U306">
        <v>4.1379182970079399E-2</v>
      </c>
      <c r="V306" t="s">
        <v>154</v>
      </c>
    </row>
    <row r="307" spans="9:22" x14ac:dyDescent="0.25">
      <c r="I307" t="s">
        <v>174</v>
      </c>
      <c r="J307" t="s">
        <v>303</v>
      </c>
      <c r="K307">
        <v>6.1640051474224154E-2</v>
      </c>
      <c r="L307" t="s">
        <v>154</v>
      </c>
      <c r="N307" t="s">
        <v>204</v>
      </c>
      <c r="O307" t="s">
        <v>303</v>
      </c>
      <c r="P307">
        <v>5.4869481282713316E-2</v>
      </c>
      <c r="Q307" t="s">
        <v>154</v>
      </c>
      <c r="S307" t="s">
        <v>235</v>
      </c>
      <c r="T307" t="s">
        <v>303</v>
      </c>
      <c r="U307">
        <v>3.6538940561286856E-2</v>
      </c>
      <c r="V307" t="s">
        <v>154</v>
      </c>
    </row>
    <row r="308" spans="9:22" x14ac:dyDescent="0.25">
      <c r="I308" t="s">
        <v>174</v>
      </c>
      <c r="J308" t="s">
        <v>304</v>
      </c>
      <c r="K308">
        <v>3.5260122957499278E-3</v>
      </c>
      <c r="L308" t="s">
        <v>154</v>
      </c>
      <c r="N308" t="s">
        <v>204</v>
      </c>
      <c r="O308" t="s">
        <v>304</v>
      </c>
      <c r="P308">
        <v>6.8697078462576161E-3</v>
      </c>
      <c r="Q308" t="s">
        <v>154</v>
      </c>
      <c r="S308" t="s">
        <v>235</v>
      </c>
      <c r="T308" t="s">
        <v>304</v>
      </c>
      <c r="U308">
        <v>4.867907647610947E-3</v>
      </c>
      <c r="V308" t="s">
        <v>154</v>
      </c>
    </row>
    <row r="309" spans="9:22" x14ac:dyDescent="0.25">
      <c r="I309" t="s">
        <v>174</v>
      </c>
      <c r="J309" t="s">
        <v>305</v>
      </c>
      <c r="K309">
        <v>0</v>
      </c>
      <c r="L309" t="s">
        <v>154</v>
      </c>
      <c r="N309" t="s">
        <v>204</v>
      </c>
      <c r="O309" t="s">
        <v>305</v>
      </c>
      <c r="P309">
        <v>6.6702702641955602E-3</v>
      </c>
      <c r="Q309" t="s">
        <v>154</v>
      </c>
      <c r="S309" t="s">
        <v>235</v>
      </c>
      <c r="T309" t="s">
        <v>305</v>
      </c>
      <c r="U309">
        <v>4.9360376991550887E-3</v>
      </c>
      <c r="V309" t="s">
        <v>154</v>
      </c>
    </row>
    <row r="310" spans="9:22" x14ac:dyDescent="0.25">
      <c r="I310" t="s">
        <v>174</v>
      </c>
      <c r="J310" t="s">
        <v>306</v>
      </c>
      <c r="K310">
        <v>0</v>
      </c>
      <c r="L310" t="s">
        <v>154</v>
      </c>
      <c r="N310" t="s">
        <v>204</v>
      </c>
      <c r="O310" t="s">
        <v>306</v>
      </c>
      <c r="P310">
        <v>2.9197445720366144E-2</v>
      </c>
      <c r="Q310" t="s">
        <v>154</v>
      </c>
      <c r="S310" t="s">
        <v>235</v>
      </c>
      <c r="T310" t="s">
        <v>306</v>
      </c>
      <c r="U310">
        <v>2.3120766836090781E-2</v>
      </c>
      <c r="V310" t="s">
        <v>154</v>
      </c>
    </row>
    <row r="311" spans="9:22" x14ac:dyDescent="0.25">
      <c r="I311" t="s">
        <v>175</v>
      </c>
      <c r="J311" t="s">
        <v>153</v>
      </c>
      <c r="K311">
        <v>3.6401915742811908E-3</v>
      </c>
      <c r="L311" t="s">
        <v>154</v>
      </c>
      <c r="N311" t="s">
        <v>205</v>
      </c>
      <c r="O311" t="s">
        <v>153</v>
      </c>
      <c r="P311">
        <v>4.8639660420991084E-2</v>
      </c>
      <c r="Q311" t="s">
        <v>154</v>
      </c>
      <c r="S311" t="s">
        <v>236</v>
      </c>
      <c r="T311" t="s">
        <v>153</v>
      </c>
      <c r="U311">
        <v>4.1102732439658028E-2</v>
      </c>
      <c r="V311" t="s">
        <v>154</v>
      </c>
    </row>
    <row r="312" spans="9:22" x14ac:dyDescent="0.25">
      <c r="I312" t="s">
        <v>175</v>
      </c>
      <c r="J312" t="s">
        <v>155</v>
      </c>
      <c r="K312">
        <v>6.2273771868624719E-2</v>
      </c>
      <c r="L312" t="s">
        <v>154</v>
      </c>
      <c r="N312" t="s">
        <v>205</v>
      </c>
      <c r="O312" t="s">
        <v>155</v>
      </c>
      <c r="P312">
        <v>4.6012112687071463E-2</v>
      </c>
      <c r="Q312" t="s">
        <v>154</v>
      </c>
      <c r="S312" t="s">
        <v>236</v>
      </c>
      <c r="T312" t="s">
        <v>155</v>
      </c>
      <c r="U312">
        <v>2.7951407656325547E-2</v>
      </c>
      <c r="V312" t="s">
        <v>154</v>
      </c>
    </row>
    <row r="313" spans="9:22" x14ac:dyDescent="0.25">
      <c r="I313" t="s">
        <v>175</v>
      </c>
      <c r="J313" t="s">
        <v>156</v>
      </c>
      <c r="K313">
        <v>3.9568830023642681E-3</v>
      </c>
      <c r="L313" t="s">
        <v>154</v>
      </c>
      <c r="N313" t="s">
        <v>205</v>
      </c>
      <c r="O313" t="s">
        <v>156</v>
      </c>
      <c r="P313">
        <v>6.0734714632274941E-3</v>
      </c>
      <c r="Q313" t="s">
        <v>154</v>
      </c>
      <c r="S313" t="s">
        <v>236</v>
      </c>
      <c r="T313" t="s">
        <v>156</v>
      </c>
      <c r="U313">
        <v>4.4559358960438748E-3</v>
      </c>
      <c r="V313" t="s">
        <v>154</v>
      </c>
    </row>
    <row r="314" spans="9:22" x14ac:dyDescent="0.25">
      <c r="I314" t="s">
        <v>175</v>
      </c>
      <c r="J314" t="s">
        <v>283</v>
      </c>
      <c r="K314">
        <v>1.1795517753401157E-5</v>
      </c>
      <c r="L314" t="s">
        <v>154</v>
      </c>
      <c r="N314" t="s">
        <v>205</v>
      </c>
      <c r="O314" t="s">
        <v>283</v>
      </c>
      <c r="P314">
        <v>6.0335275628359917E-3</v>
      </c>
      <c r="Q314" t="s">
        <v>154</v>
      </c>
      <c r="S314" t="s">
        <v>236</v>
      </c>
      <c r="T314" t="s">
        <v>283</v>
      </c>
      <c r="U314">
        <v>4.7912140171880134E-3</v>
      </c>
      <c r="V314" t="s">
        <v>154</v>
      </c>
    </row>
    <row r="315" spans="9:22" x14ac:dyDescent="0.25">
      <c r="I315" t="s">
        <v>175</v>
      </c>
      <c r="J315" t="s">
        <v>284</v>
      </c>
      <c r="K315">
        <v>0</v>
      </c>
      <c r="L315" t="s">
        <v>154</v>
      </c>
      <c r="N315" t="s">
        <v>205</v>
      </c>
      <c r="O315" t="s">
        <v>284</v>
      </c>
      <c r="P315">
        <v>2.8073933420642221E-2</v>
      </c>
      <c r="Q315" t="s">
        <v>154</v>
      </c>
      <c r="S315" t="s">
        <v>236</v>
      </c>
      <c r="T315" t="s">
        <v>284</v>
      </c>
      <c r="U315">
        <v>2.3705703279308734E-2</v>
      </c>
      <c r="V315" t="s">
        <v>154</v>
      </c>
    </row>
    <row r="316" spans="9:22" x14ac:dyDescent="0.25">
      <c r="I316" t="s">
        <v>175</v>
      </c>
      <c r="J316" t="s">
        <v>157</v>
      </c>
      <c r="K316">
        <v>8.4546249396288075E-4</v>
      </c>
      <c r="L316" t="s">
        <v>154</v>
      </c>
      <c r="N316" t="s">
        <v>205</v>
      </c>
      <c r="O316" t="s">
        <v>157</v>
      </c>
      <c r="P316">
        <v>1.1691283178161182E-2</v>
      </c>
      <c r="Q316" t="s">
        <v>154</v>
      </c>
      <c r="S316" t="s">
        <v>236</v>
      </c>
      <c r="T316" t="s">
        <v>157</v>
      </c>
      <c r="U316">
        <v>1.0221143592269048E-2</v>
      </c>
      <c r="V316" t="s">
        <v>154</v>
      </c>
    </row>
    <row r="317" spans="9:22" x14ac:dyDescent="0.25">
      <c r="I317" t="s">
        <v>175</v>
      </c>
      <c r="J317" t="s">
        <v>158</v>
      </c>
      <c r="K317">
        <v>1.9609813805603223E-2</v>
      </c>
      <c r="L317" t="s">
        <v>154</v>
      </c>
      <c r="N317" t="s">
        <v>205</v>
      </c>
      <c r="O317" t="s">
        <v>158</v>
      </c>
      <c r="P317">
        <v>1.3827313222609744E-2</v>
      </c>
      <c r="Q317" t="s">
        <v>154</v>
      </c>
      <c r="S317" t="s">
        <v>236</v>
      </c>
      <c r="T317" t="s">
        <v>158</v>
      </c>
      <c r="U317">
        <v>8.3353719911681678E-3</v>
      </c>
      <c r="V317" t="s">
        <v>154</v>
      </c>
    </row>
    <row r="318" spans="9:22" x14ac:dyDescent="0.25">
      <c r="I318" t="s">
        <v>175</v>
      </c>
      <c r="J318" t="s">
        <v>159</v>
      </c>
      <c r="K318">
        <v>1.4332753870862417E-3</v>
      </c>
      <c r="L318" t="s">
        <v>154</v>
      </c>
      <c r="N318" t="s">
        <v>205</v>
      </c>
      <c r="O318" t="s">
        <v>159</v>
      </c>
      <c r="P318">
        <v>1.57738404761008E-3</v>
      </c>
      <c r="Q318" t="s">
        <v>154</v>
      </c>
      <c r="S318" t="s">
        <v>236</v>
      </c>
      <c r="T318" t="s">
        <v>159</v>
      </c>
      <c r="U318">
        <v>1.0387978317923016E-3</v>
      </c>
      <c r="V318" t="s">
        <v>154</v>
      </c>
    </row>
    <row r="319" spans="9:22" x14ac:dyDescent="0.25">
      <c r="I319" t="s">
        <v>175</v>
      </c>
      <c r="J319" t="s">
        <v>285</v>
      </c>
      <c r="K319">
        <v>6.0250272215306715E-4</v>
      </c>
      <c r="L319" t="s">
        <v>154</v>
      </c>
      <c r="N319" t="s">
        <v>205</v>
      </c>
      <c r="O319" t="s">
        <v>285</v>
      </c>
      <c r="P319">
        <v>1.5301858690380909E-3</v>
      </c>
      <c r="Q319" t="s">
        <v>154</v>
      </c>
      <c r="S319" t="s">
        <v>236</v>
      </c>
      <c r="T319" t="s">
        <v>285</v>
      </c>
      <c r="U319">
        <v>1.0278792703933835E-3</v>
      </c>
      <c r="V319" t="s">
        <v>154</v>
      </c>
    </row>
    <row r="320" spans="9:22" x14ac:dyDescent="0.25">
      <c r="I320" t="s">
        <v>175</v>
      </c>
      <c r="J320" t="s">
        <v>286</v>
      </c>
      <c r="K320">
        <v>0</v>
      </c>
      <c r="L320" t="s">
        <v>154</v>
      </c>
      <c r="N320" t="s">
        <v>205</v>
      </c>
      <c r="O320" t="s">
        <v>286</v>
      </c>
      <c r="P320">
        <v>6.2201352620273155E-3</v>
      </c>
      <c r="Q320" t="s">
        <v>154</v>
      </c>
      <c r="S320" t="s">
        <v>236</v>
      </c>
      <c r="T320" t="s">
        <v>286</v>
      </c>
      <c r="U320">
        <v>4.4302211251660813E-3</v>
      </c>
      <c r="V320" t="s">
        <v>154</v>
      </c>
    </row>
    <row r="321" spans="9:22" x14ac:dyDescent="0.25">
      <c r="I321" t="s">
        <v>175</v>
      </c>
      <c r="J321" t="s">
        <v>160</v>
      </c>
      <c r="K321">
        <v>7.7086636687554611E-2</v>
      </c>
      <c r="L321" t="s">
        <v>154</v>
      </c>
      <c r="N321" t="s">
        <v>205</v>
      </c>
      <c r="O321" t="s">
        <v>160</v>
      </c>
      <c r="P321">
        <v>0.20795494024114722</v>
      </c>
      <c r="Q321" t="s">
        <v>154</v>
      </c>
      <c r="S321" t="s">
        <v>236</v>
      </c>
      <c r="T321" t="s">
        <v>160</v>
      </c>
      <c r="U321">
        <v>0.23936117077652883</v>
      </c>
      <c r="V321" t="s">
        <v>154</v>
      </c>
    </row>
    <row r="322" spans="9:22" x14ac:dyDescent="0.25">
      <c r="I322" t="s">
        <v>175</v>
      </c>
      <c r="J322" t="s">
        <v>161</v>
      </c>
      <c r="K322">
        <v>0.593251091784749</v>
      </c>
      <c r="L322" t="s">
        <v>154</v>
      </c>
      <c r="N322" t="s">
        <v>205</v>
      </c>
      <c r="O322" t="s">
        <v>161</v>
      </c>
      <c r="P322">
        <v>0.20526491877940714</v>
      </c>
      <c r="Q322" t="s">
        <v>154</v>
      </c>
      <c r="S322" t="s">
        <v>236</v>
      </c>
      <c r="T322" t="s">
        <v>161</v>
      </c>
      <c r="U322">
        <v>0.19796434918524933</v>
      </c>
      <c r="V322" t="s">
        <v>154</v>
      </c>
    </row>
    <row r="323" spans="9:22" x14ac:dyDescent="0.25">
      <c r="I323" t="s">
        <v>175</v>
      </c>
      <c r="J323" t="s">
        <v>162</v>
      </c>
      <c r="K323">
        <v>4.9978428152716622E-2</v>
      </c>
      <c r="L323" t="s">
        <v>154</v>
      </c>
      <c r="N323" t="s">
        <v>205</v>
      </c>
      <c r="O323" t="s">
        <v>162</v>
      </c>
      <c r="P323">
        <v>2.6060672148842667E-2</v>
      </c>
      <c r="Q323" t="s">
        <v>154</v>
      </c>
      <c r="S323" t="s">
        <v>236</v>
      </c>
      <c r="T323" t="s">
        <v>162</v>
      </c>
      <c r="U323">
        <v>2.706030411682997E-2</v>
      </c>
      <c r="V323" t="s">
        <v>154</v>
      </c>
    </row>
    <row r="324" spans="9:22" x14ac:dyDescent="0.25">
      <c r="I324" t="s">
        <v>175</v>
      </c>
      <c r="J324" t="s">
        <v>287</v>
      </c>
      <c r="K324">
        <v>3.1423774061813993E-2</v>
      </c>
      <c r="L324" t="s">
        <v>154</v>
      </c>
      <c r="N324" t="s">
        <v>205</v>
      </c>
      <c r="O324" t="s">
        <v>287</v>
      </c>
      <c r="P324">
        <v>2.5431614723940042E-2</v>
      </c>
      <c r="Q324" t="s">
        <v>154</v>
      </c>
      <c r="S324" t="s">
        <v>236</v>
      </c>
      <c r="T324" t="s">
        <v>287</v>
      </c>
      <c r="U324">
        <v>2.7399651263298217E-2</v>
      </c>
      <c r="V324" t="s">
        <v>154</v>
      </c>
    </row>
    <row r="325" spans="9:22" x14ac:dyDescent="0.25">
      <c r="I325" t="s">
        <v>175</v>
      </c>
      <c r="J325" t="s">
        <v>288</v>
      </c>
      <c r="K325">
        <v>9.3055426604914705E-3</v>
      </c>
      <c r="L325" t="s">
        <v>154</v>
      </c>
      <c r="N325" t="s">
        <v>205</v>
      </c>
      <c r="O325" t="s">
        <v>288</v>
      </c>
      <c r="P325">
        <v>0.10713534841871579</v>
      </c>
      <c r="Q325" t="s">
        <v>154</v>
      </c>
      <c r="S325" t="s">
        <v>236</v>
      </c>
      <c r="T325" t="s">
        <v>288</v>
      </c>
      <c r="U325">
        <v>0.12731595296687095</v>
      </c>
      <c r="V325" t="s">
        <v>154</v>
      </c>
    </row>
    <row r="326" spans="9:22" x14ac:dyDescent="0.25">
      <c r="I326" t="s">
        <v>175</v>
      </c>
      <c r="J326" t="s">
        <v>163</v>
      </c>
      <c r="K326">
        <v>1.5910676338023694E-3</v>
      </c>
      <c r="L326" t="s">
        <v>154</v>
      </c>
      <c r="N326" t="s">
        <v>205</v>
      </c>
      <c r="O326" t="s">
        <v>163</v>
      </c>
      <c r="P326">
        <v>1.2159908132662716E-2</v>
      </c>
      <c r="Q326" t="s">
        <v>154</v>
      </c>
      <c r="S326" t="s">
        <v>236</v>
      </c>
      <c r="T326" t="s">
        <v>163</v>
      </c>
      <c r="U326">
        <v>2.1710517836607469E-2</v>
      </c>
      <c r="V326" t="s">
        <v>154</v>
      </c>
    </row>
    <row r="327" spans="9:22" x14ac:dyDescent="0.25">
      <c r="I327" t="s">
        <v>175</v>
      </c>
      <c r="J327" t="s">
        <v>164</v>
      </c>
      <c r="K327">
        <v>1.496231927243718E-2</v>
      </c>
      <c r="L327" t="s">
        <v>154</v>
      </c>
      <c r="N327" t="s">
        <v>205</v>
      </c>
      <c r="O327" t="s">
        <v>164</v>
      </c>
      <c r="P327">
        <v>1.1533911726370779E-2</v>
      </c>
      <c r="Q327" t="s">
        <v>154</v>
      </c>
      <c r="S327" t="s">
        <v>236</v>
      </c>
      <c r="T327" t="s">
        <v>164</v>
      </c>
      <c r="U327">
        <v>1.7989712902922103E-2</v>
      </c>
      <c r="V327" t="s">
        <v>154</v>
      </c>
    </row>
    <row r="328" spans="9:22" x14ac:dyDescent="0.25">
      <c r="I328" t="s">
        <v>175</v>
      </c>
      <c r="J328" t="s">
        <v>165</v>
      </c>
      <c r="K328">
        <v>6.9602954304514198E-4</v>
      </c>
      <c r="L328" t="s">
        <v>154</v>
      </c>
      <c r="N328" t="s">
        <v>205</v>
      </c>
      <c r="O328" t="s">
        <v>165</v>
      </c>
      <c r="P328">
        <v>1.5052469466940491E-3</v>
      </c>
      <c r="Q328" t="s">
        <v>154</v>
      </c>
      <c r="S328" t="s">
        <v>236</v>
      </c>
      <c r="T328" t="s">
        <v>165</v>
      </c>
      <c r="U328">
        <v>2.3929474574585796E-3</v>
      </c>
      <c r="V328" t="s">
        <v>154</v>
      </c>
    </row>
    <row r="329" spans="9:22" x14ac:dyDescent="0.25">
      <c r="I329" t="s">
        <v>175</v>
      </c>
      <c r="J329" t="s">
        <v>289</v>
      </c>
      <c r="K329">
        <v>0</v>
      </c>
      <c r="L329" t="s">
        <v>154</v>
      </c>
      <c r="N329" t="s">
        <v>205</v>
      </c>
      <c r="O329" t="s">
        <v>289</v>
      </c>
      <c r="P329">
        <v>1.5553916581054162E-3</v>
      </c>
      <c r="Q329" t="s">
        <v>154</v>
      </c>
      <c r="S329" t="s">
        <v>236</v>
      </c>
      <c r="T329" t="s">
        <v>289</v>
      </c>
      <c r="U329">
        <v>2.4277056622703489E-3</v>
      </c>
      <c r="V329" t="s">
        <v>154</v>
      </c>
    </row>
    <row r="330" spans="9:22" x14ac:dyDescent="0.25">
      <c r="I330" t="s">
        <v>175</v>
      </c>
      <c r="J330" t="s">
        <v>290</v>
      </c>
      <c r="K330">
        <v>0</v>
      </c>
      <c r="L330" t="s">
        <v>154</v>
      </c>
      <c r="N330" t="s">
        <v>205</v>
      </c>
      <c r="O330" t="s">
        <v>290</v>
      </c>
      <c r="P330">
        <v>5.8930869873810385E-3</v>
      </c>
      <c r="Q330" t="s">
        <v>154</v>
      </c>
      <c r="S330" t="s">
        <v>236</v>
      </c>
      <c r="T330" t="s">
        <v>290</v>
      </c>
      <c r="U330">
        <v>1.1285330090952591E-2</v>
      </c>
      <c r="V330" t="s">
        <v>154</v>
      </c>
    </row>
    <row r="331" spans="9:22" x14ac:dyDescent="0.25">
      <c r="I331" t="s">
        <v>175</v>
      </c>
      <c r="J331" t="s">
        <v>297</v>
      </c>
      <c r="K331">
        <v>4.1293095439720491E-3</v>
      </c>
      <c r="L331" t="s">
        <v>154</v>
      </c>
      <c r="N331" t="s">
        <v>205</v>
      </c>
      <c r="O331" t="s">
        <v>297</v>
      </c>
      <c r="P331">
        <v>2.2296190759830605E-2</v>
      </c>
      <c r="Q331" t="s">
        <v>154</v>
      </c>
      <c r="S331" t="s">
        <v>236</v>
      </c>
      <c r="T331" t="s">
        <v>297</v>
      </c>
      <c r="U331">
        <v>2.2794072367985523E-2</v>
      </c>
      <c r="V331" t="s">
        <v>154</v>
      </c>
    </row>
    <row r="332" spans="9:22" x14ac:dyDescent="0.25">
      <c r="I332" t="s">
        <v>175</v>
      </c>
      <c r="J332" t="s">
        <v>298</v>
      </c>
      <c r="K332">
        <v>5.5780859325912646E-2</v>
      </c>
      <c r="L332" t="s">
        <v>154</v>
      </c>
      <c r="N332" t="s">
        <v>205</v>
      </c>
      <c r="O332" t="s">
        <v>298</v>
      </c>
      <c r="P332">
        <v>2.4504345641477996E-2</v>
      </c>
      <c r="Q332" t="s">
        <v>154</v>
      </c>
      <c r="S332" t="s">
        <v>236</v>
      </c>
      <c r="T332" t="s">
        <v>298</v>
      </c>
      <c r="U332">
        <v>1.9277342498784451E-2</v>
      </c>
      <c r="V332" t="s">
        <v>154</v>
      </c>
    </row>
    <row r="333" spans="9:22" x14ac:dyDescent="0.25">
      <c r="I333" t="s">
        <v>175</v>
      </c>
      <c r="J333" t="s">
        <v>299</v>
      </c>
      <c r="K333">
        <v>3.0239022395448629E-3</v>
      </c>
      <c r="L333" t="s">
        <v>154</v>
      </c>
      <c r="N333" t="s">
        <v>205</v>
      </c>
      <c r="O333" t="s">
        <v>299</v>
      </c>
      <c r="P333">
        <v>3.1605935621835564E-3</v>
      </c>
      <c r="Q333" t="s">
        <v>154</v>
      </c>
      <c r="S333" t="s">
        <v>236</v>
      </c>
      <c r="T333" t="s">
        <v>299</v>
      </c>
      <c r="U333">
        <v>2.5785372861136897E-3</v>
      </c>
      <c r="V333" t="s">
        <v>154</v>
      </c>
    </row>
    <row r="334" spans="9:22" x14ac:dyDescent="0.25">
      <c r="I334" t="s">
        <v>175</v>
      </c>
      <c r="J334" t="s">
        <v>300</v>
      </c>
      <c r="K334">
        <v>0</v>
      </c>
      <c r="L334" t="s">
        <v>154</v>
      </c>
      <c r="N334" t="s">
        <v>205</v>
      </c>
      <c r="O334" t="s">
        <v>300</v>
      </c>
      <c r="P334">
        <v>3.0697966708228158E-3</v>
      </c>
      <c r="Q334" t="s">
        <v>154</v>
      </c>
      <c r="S334" t="s">
        <v>236</v>
      </c>
      <c r="T334" t="s">
        <v>300</v>
      </c>
      <c r="U334">
        <v>2.5583066141045209E-3</v>
      </c>
      <c r="V334" t="s">
        <v>154</v>
      </c>
    </row>
    <row r="335" spans="9:22" x14ac:dyDescent="0.25">
      <c r="I335" t="s">
        <v>175</v>
      </c>
      <c r="J335" t="s">
        <v>301</v>
      </c>
      <c r="K335">
        <v>0</v>
      </c>
      <c r="L335" t="s">
        <v>154</v>
      </c>
      <c r="N335" t="s">
        <v>205</v>
      </c>
      <c r="O335" t="s">
        <v>301</v>
      </c>
      <c r="P335">
        <v>1.3506276234036354E-2</v>
      </c>
      <c r="Q335" t="s">
        <v>154</v>
      </c>
      <c r="S335" t="s">
        <v>236</v>
      </c>
      <c r="T335" t="s">
        <v>301</v>
      </c>
      <c r="U335">
        <v>1.2888631403861008E-2</v>
      </c>
      <c r="V335" t="s">
        <v>154</v>
      </c>
    </row>
    <row r="336" spans="9:22" x14ac:dyDescent="0.25">
      <c r="I336" t="s">
        <v>175</v>
      </c>
      <c r="J336" t="s">
        <v>302</v>
      </c>
      <c r="K336">
        <v>3.3114403391109716E-3</v>
      </c>
      <c r="L336" t="s">
        <v>154</v>
      </c>
      <c r="N336" t="s">
        <v>205</v>
      </c>
      <c r="O336" t="s">
        <v>302</v>
      </c>
      <c r="P336">
        <v>5.3617898349282274E-2</v>
      </c>
      <c r="Q336" t="s">
        <v>154</v>
      </c>
      <c r="S336" t="s">
        <v>236</v>
      </c>
      <c r="T336" t="s">
        <v>302</v>
      </c>
      <c r="U336">
        <v>5.0345963209311569E-2</v>
      </c>
      <c r="V336" t="s">
        <v>154</v>
      </c>
    </row>
    <row r="337" spans="9:22" x14ac:dyDescent="0.25">
      <c r="I337" t="s">
        <v>175</v>
      </c>
      <c r="J337" t="s">
        <v>303</v>
      </c>
      <c r="K337">
        <v>5.9912587615516572E-2</v>
      </c>
      <c r="L337" t="s">
        <v>154</v>
      </c>
      <c r="N337" t="s">
        <v>205</v>
      </c>
      <c r="O337" t="s">
        <v>303</v>
      </c>
      <c r="P337">
        <v>6.0352057223478403E-2</v>
      </c>
      <c r="Q337" t="s">
        <v>154</v>
      </c>
      <c r="S337" t="s">
        <v>236</v>
      </c>
      <c r="T337" t="s">
        <v>303</v>
      </c>
      <c r="U337">
        <v>4.629413501437793E-2</v>
      </c>
      <c r="V337" t="s">
        <v>154</v>
      </c>
    </row>
    <row r="338" spans="9:22" x14ac:dyDescent="0.25">
      <c r="I338" t="s">
        <v>175</v>
      </c>
      <c r="J338" t="s">
        <v>304</v>
      </c>
      <c r="K338">
        <v>3.1733147675026786E-3</v>
      </c>
      <c r="L338" t="s">
        <v>154</v>
      </c>
      <c r="N338" t="s">
        <v>205</v>
      </c>
      <c r="O338" t="s">
        <v>304</v>
      </c>
      <c r="P338">
        <v>7.6746535698698302E-3</v>
      </c>
      <c r="Q338" t="s">
        <v>154</v>
      </c>
      <c r="S338" t="s">
        <v>236</v>
      </c>
      <c r="T338" t="s">
        <v>304</v>
      </c>
      <c r="U338">
        <v>6.0121165113417203E-3</v>
      </c>
      <c r="V338" t="s">
        <v>154</v>
      </c>
    </row>
    <row r="339" spans="9:22" x14ac:dyDescent="0.25">
      <c r="I339" t="s">
        <v>175</v>
      </c>
      <c r="J339" t="s">
        <v>305</v>
      </c>
      <c r="K339">
        <v>0</v>
      </c>
      <c r="L339" t="s">
        <v>154</v>
      </c>
      <c r="N339" t="s">
        <v>205</v>
      </c>
      <c r="O339" t="s">
        <v>305</v>
      </c>
      <c r="P339">
        <v>7.2353537557359633E-3</v>
      </c>
      <c r="Q339" t="s">
        <v>154</v>
      </c>
      <c r="S339" t="s">
        <v>236</v>
      </c>
      <c r="T339" t="s">
        <v>305</v>
      </c>
      <c r="U339">
        <v>6.0519094192048907E-3</v>
      </c>
      <c r="V339" t="s">
        <v>154</v>
      </c>
    </row>
    <row r="340" spans="9:22" x14ac:dyDescent="0.25">
      <c r="I340" t="s">
        <v>175</v>
      </c>
      <c r="J340" t="s">
        <v>306</v>
      </c>
      <c r="K340">
        <v>0</v>
      </c>
      <c r="L340" t="s">
        <v>154</v>
      </c>
      <c r="N340" t="s">
        <v>205</v>
      </c>
      <c r="O340" t="s">
        <v>306</v>
      </c>
      <c r="P340">
        <v>3.0408787335797115E-2</v>
      </c>
      <c r="Q340" t="s">
        <v>154</v>
      </c>
      <c r="S340" t="s">
        <v>236</v>
      </c>
      <c r="T340" t="s">
        <v>306</v>
      </c>
      <c r="U340">
        <v>2.9230936316609633E-2</v>
      </c>
      <c r="V340" t="s">
        <v>154</v>
      </c>
    </row>
    <row r="341" spans="9:22" x14ac:dyDescent="0.25">
      <c r="I341" t="s">
        <v>176</v>
      </c>
      <c r="J341" t="s">
        <v>153</v>
      </c>
      <c r="K341">
        <v>4.8112544473401164E-3</v>
      </c>
      <c r="L341" t="s">
        <v>154</v>
      </c>
      <c r="N341" t="s">
        <v>206</v>
      </c>
      <c r="O341" t="s">
        <v>153</v>
      </c>
      <c r="P341">
        <v>4.4292085239375147E-2</v>
      </c>
      <c r="Q341" t="s">
        <v>154</v>
      </c>
      <c r="S341" t="s">
        <v>237</v>
      </c>
      <c r="T341" t="s">
        <v>153</v>
      </c>
      <c r="U341">
        <v>4.0503605460335428E-2</v>
      </c>
      <c r="V341" t="s">
        <v>154</v>
      </c>
    </row>
    <row r="342" spans="9:22" x14ac:dyDescent="0.25">
      <c r="I342" t="s">
        <v>176</v>
      </c>
      <c r="J342" t="s">
        <v>155</v>
      </c>
      <c r="K342">
        <v>7.2375814542717923E-2</v>
      </c>
      <c r="L342" t="s">
        <v>154</v>
      </c>
      <c r="N342" t="s">
        <v>206</v>
      </c>
      <c r="O342" t="s">
        <v>155</v>
      </c>
      <c r="P342">
        <v>4.2031582273811326E-2</v>
      </c>
      <c r="Q342" t="s">
        <v>154</v>
      </c>
      <c r="S342" t="s">
        <v>237</v>
      </c>
      <c r="T342" t="s">
        <v>155</v>
      </c>
      <c r="U342">
        <v>3.4978789642370028E-2</v>
      </c>
      <c r="V342" t="s">
        <v>154</v>
      </c>
    </row>
    <row r="343" spans="9:22" x14ac:dyDescent="0.25">
      <c r="I343" t="s">
        <v>176</v>
      </c>
      <c r="J343" t="s">
        <v>156</v>
      </c>
      <c r="K343">
        <v>4.6472292336754655E-5</v>
      </c>
      <c r="L343" t="s">
        <v>154</v>
      </c>
      <c r="N343" t="s">
        <v>206</v>
      </c>
      <c r="O343" t="s">
        <v>156</v>
      </c>
      <c r="P343">
        <v>5.8645559575969215E-3</v>
      </c>
      <c r="Q343" t="s">
        <v>154</v>
      </c>
      <c r="S343" t="s">
        <v>237</v>
      </c>
      <c r="T343" t="s">
        <v>156</v>
      </c>
      <c r="U343">
        <v>4.6284722253756485E-3</v>
      </c>
      <c r="V343" t="s">
        <v>154</v>
      </c>
    </row>
    <row r="344" spans="9:22" x14ac:dyDescent="0.25">
      <c r="I344" t="s">
        <v>176</v>
      </c>
      <c r="J344" t="s">
        <v>283</v>
      </c>
      <c r="K344">
        <v>0</v>
      </c>
      <c r="L344" t="s">
        <v>154</v>
      </c>
      <c r="N344" t="s">
        <v>206</v>
      </c>
      <c r="O344" t="s">
        <v>283</v>
      </c>
      <c r="P344">
        <v>6.1117975115896426E-3</v>
      </c>
      <c r="Q344" t="s">
        <v>154</v>
      </c>
      <c r="S344" t="s">
        <v>237</v>
      </c>
      <c r="T344" t="s">
        <v>283</v>
      </c>
      <c r="U344">
        <v>4.8399980550342201E-3</v>
      </c>
      <c r="V344" t="s">
        <v>154</v>
      </c>
    </row>
    <row r="345" spans="9:22" x14ac:dyDescent="0.25">
      <c r="I345" t="s">
        <v>176</v>
      </c>
      <c r="J345" t="s">
        <v>284</v>
      </c>
      <c r="K345">
        <v>0</v>
      </c>
      <c r="L345" t="s">
        <v>154</v>
      </c>
      <c r="N345" t="s">
        <v>206</v>
      </c>
      <c r="O345" t="s">
        <v>284</v>
      </c>
      <c r="P345">
        <v>2.6145493196587342E-2</v>
      </c>
      <c r="Q345" t="s">
        <v>154</v>
      </c>
      <c r="S345" t="s">
        <v>237</v>
      </c>
      <c r="T345" t="s">
        <v>284</v>
      </c>
      <c r="U345">
        <v>2.4330247954888275E-2</v>
      </c>
      <c r="V345" t="s">
        <v>154</v>
      </c>
    </row>
    <row r="346" spans="9:22" x14ac:dyDescent="0.25">
      <c r="I346" t="s">
        <v>176</v>
      </c>
      <c r="J346" t="s">
        <v>157</v>
      </c>
      <c r="K346">
        <v>1.9207624590680962E-3</v>
      </c>
      <c r="L346" t="s">
        <v>154</v>
      </c>
      <c r="N346" t="s">
        <v>206</v>
      </c>
      <c r="O346" t="s">
        <v>157</v>
      </c>
      <c r="P346">
        <v>1.0219073348639333E-2</v>
      </c>
      <c r="Q346" t="s">
        <v>154</v>
      </c>
      <c r="S346" t="s">
        <v>237</v>
      </c>
      <c r="T346" t="s">
        <v>157</v>
      </c>
      <c r="U346">
        <v>1.2540739125584434E-2</v>
      </c>
      <c r="V346" t="s">
        <v>154</v>
      </c>
    </row>
    <row r="347" spans="9:22" x14ac:dyDescent="0.25">
      <c r="I347" t="s">
        <v>176</v>
      </c>
      <c r="J347" t="s">
        <v>158</v>
      </c>
      <c r="K347">
        <v>2.3875934597911552E-2</v>
      </c>
      <c r="L347" t="s">
        <v>154</v>
      </c>
      <c r="N347" t="s">
        <v>206</v>
      </c>
      <c r="O347" t="s">
        <v>158</v>
      </c>
      <c r="P347">
        <v>1.8455096511454567E-2</v>
      </c>
      <c r="Q347" t="s">
        <v>154</v>
      </c>
      <c r="S347" t="s">
        <v>237</v>
      </c>
      <c r="T347" t="s">
        <v>158</v>
      </c>
      <c r="U347">
        <v>1.0116275982089465E-2</v>
      </c>
      <c r="V347" t="s">
        <v>154</v>
      </c>
    </row>
    <row r="348" spans="9:22" x14ac:dyDescent="0.25">
      <c r="I348" t="s">
        <v>176</v>
      </c>
      <c r="J348" t="s">
        <v>159</v>
      </c>
      <c r="K348">
        <v>1.0274198993160469E-3</v>
      </c>
      <c r="L348" t="s">
        <v>154</v>
      </c>
      <c r="N348" t="s">
        <v>206</v>
      </c>
      <c r="O348" t="s">
        <v>159</v>
      </c>
      <c r="P348">
        <v>2.1143047378450299E-3</v>
      </c>
      <c r="Q348" t="s">
        <v>154</v>
      </c>
      <c r="S348" t="s">
        <v>237</v>
      </c>
      <c r="T348" t="s">
        <v>159</v>
      </c>
      <c r="U348">
        <v>1.2387051758134709E-3</v>
      </c>
      <c r="V348" t="s">
        <v>154</v>
      </c>
    </row>
    <row r="349" spans="9:22" x14ac:dyDescent="0.25">
      <c r="I349" t="s">
        <v>176</v>
      </c>
      <c r="J349" t="s">
        <v>285</v>
      </c>
      <c r="K349">
        <v>0</v>
      </c>
      <c r="L349" t="s">
        <v>154</v>
      </c>
      <c r="N349" t="s">
        <v>206</v>
      </c>
      <c r="O349" t="s">
        <v>285</v>
      </c>
      <c r="P349">
        <v>1.7885310137023716E-3</v>
      </c>
      <c r="Q349" t="s">
        <v>154</v>
      </c>
      <c r="S349" t="s">
        <v>237</v>
      </c>
      <c r="T349" t="s">
        <v>285</v>
      </c>
      <c r="U349">
        <v>1.3359913905183791E-3</v>
      </c>
      <c r="V349" t="s">
        <v>154</v>
      </c>
    </row>
    <row r="350" spans="9:22" x14ac:dyDescent="0.25">
      <c r="I350" t="s">
        <v>176</v>
      </c>
      <c r="J350" t="s">
        <v>286</v>
      </c>
      <c r="K350">
        <v>0</v>
      </c>
      <c r="L350" t="s">
        <v>154</v>
      </c>
      <c r="N350" t="s">
        <v>206</v>
      </c>
      <c r="O350" t="s">
        <v>286</v>
      </c>
      <c r="P350">
        <v>6.9277634239146161E-3</v>
      </c>
      <c r="Q350" t="s">
        <v>154</v>
      </c>
      <c r="S350" t="s">
        <v>237</v>
      </c>
      <c r="T350" t="s">
        <v>286</v>
      </c>
      <c r="U350">
        <v>6.0832228616503918E-3</v>
      </c>
      <c r="V350" t="s">
        <v>154</v>
      </c>
    </row>
    <row r="351" spans="9:22" x14ac:dyDescent="0.25">
      <c r="I351" t="s">
        <v>176</v>
      </c>
      <c r="J351" t="s">
        <v>160</v>
      </c>
      <c r="K351">
        <v>0.11885775105529811</v>
      </c>
      <c r="L351" t="s">
        <v>154</v>
      </c>
      <c r="N351" t="s">
        <v>206</v>
      </c>
      <c r="O351" t="s">
        <v>160</v>
      </c>
      <c r="P351">
        <v>0.18079548557781389</v>
      </c>
      <c r="Q351" t="s">
        <v>154</v>
      </c>
      <c r="S351" t="s">
        <v>237</v>
      </c>
      <c r="T351" t="s">
        <v>160</v>
      </c>
      <c r="U351">
        <v>0.23860531611170793</v>
      </c>
      <c r="V351" t="s">
        <v>154</v>
      </c>
    </row>
    <row r="352" spans="9:22" x14ac:dyDescent="0.25">
      <c r="I352" t="s">
        <v>176</v>
      </c>
      <c r="J352" t="s">
        <v>161</v>
      </c>
      <c r="K352">
        <v>0.57566916263812506</v>
      </c>
      <c r="L352" t="s">
        <v>154</v>
      </c>
      <c r="N352" t="s">
        <v>206</v>
      </c>
      <c r="O352" t="s">
        <v>161</v>
      </c>
      <c r="P352">
        <v>0.24182283898136378</v>
      </c>
      <c r="Q352" t="s">
        <v>154</v>
      </c>
      <c r="S352" t="s">
        <v>237</v>
      </c>
      <c r="T352" t="s">
        <v>161</v>
      </c>
      <c r="U352">
        <v>0.20552800538876018</v>
      </c>
      <c r="V352" t="s">
        <v>154</v>
      </c>
    </row>
    <row r="353" spans="9:22" x14ac:dyDescent="0.25">
      <c r="I353" t="s">
        <v>176</v>
      </c>
      <c r="J353" t="s">
        <v>162</v>
      </c>
      <c r="K353">
        <v>3.7774210438211442E-2</v>
      </c>
      <c r="L353" t="s">
        <v>154</v>
      </c>
      <c r="N353" t="s">
        <v>206</v>
      </c>
      <c r="O353" t="s">
        <v>162</v>
      </c>
      <c r="P353">
        <v>3.7750199478090669E-2</v>
      </c>
      <c r="Q353" t="s">
        <v>154</v>
      </c>
      <c r="S353" t="s">
        <v>237</v>
      </c>
      <c r="T353" t="s">
        <v>162</v>
      </c>
      <c r="U353">
        <v>2.6832496361151391E-2</v>
      </c>
      <c r="V353" t="s">
        <v>154</v>
      </c>
    </row>
    <row r="354" spans="9:22" x14ac:dyDescent="0.25">
      <c r="I354" t="s">
        <v>176</v>
      </c>
      <c r="J354" t="s">
        <v>287</v>
      </c>
      <c r="K354">
        <v>1.6170664304547246E-2</v>
      </c>
      <c r="L354" t="s">
        <v>154</v>
      </c>
      <c r="N354" t="s">
        <v>206</v>
      </c>
      <c r="O354" t="s">
        <v>287</v>
      </c>
      <c r="P354">
        <v>3.9452559337016281E-2</v>
      </c>
      <c r="Q354" t="s">
        <v>154</v>
      </c>
      <c r="S354" t="s">
        <v>237</v>
      </c>
      <c r="T354" t="s">
        <v>287</v>
      </c>
      <c r="U354">
        <v>2.5011399427718448E-2</v>
      </c>
      <c r="V354" t="s">
        <v>154</v>
      </c>
    </row>
    <row r="355" spans="9:22" x14ac:dyDescent="0.25">
      <c r="I355" t="s">
        <v>176</v>
      </c>
      <c r="J355" t="s">
        <v>288</v>
      </c>
      <c r="K355">
        <v>4.1224333886497348E-3</v>
      </c>
      <c r="L355" t="s">
        <v>154</v>
      </c>
      <c r="N355" t="s">
        <v>206</v>
      </c>
      <c r="O355" t="s">
        <v>288</v>
      </c>
      <c r="P355">
        <v>0.14076171743840316</v>
      </c>
      <c r="Q355" t="s">
        <v>154</v>
      </c>
      <c r="S355" t="s">
        <v>237</v>
      </c>
      <c r="T355" t="s">
        <v>288</v>
      </c>
      <c r="U355">
        <v>0.13134279673250027</v>
      </c>
      <c r="V355" t="s">
        <v>154</v>
      </c>
    </row>
    <row r="356" spans="9:22" x14ac:dyDescent="0.25">
      <c r="I356" t="s">
        <v>176</v>
      </c>
      <c r="J356" t="s">
        <v>163</v>
      </c>
      <c r="K356">
        <v>4.0589341714414896E-3</v>
      </c>
      <c r="L356" t="s">
        <v>154</v>
      </c>
      <c r="N356" t="s">
        <v>206</v>
      </c>
      <c r="O356" t="s">
        <v>163</v>
      </c>
      <c r="P356">
        <v>1.4787086973622219E-2</v>
      </c>
      <c r="Q356" t="s">
        <v>154</v>
      </c>
      <c r="S356" t="s">
        <v>237</v>
      </c>
      <c r="T356" t="s">
        <v>163</v>
      </c>
      <c r="U356">
        <v>1.8829358761346723E-2</v>
      </c>
      <c r="V356" t="s">
        <v>154</v>
      </c>
    </row>
    <row r="357" spans="9:22" x14ac:dyDescent="0.25">
      <c r="I357" t="s">
        <v>176</v>
      </c>
      <c r="J357" t="s">
        <v>164</v>
      </c>
      <c r="K357">
        <v>1.9671347777365275E-2</v>
      </c>
      <c r="L357" t="s">
        <v>154</v>
      </c>
      <c r="N357" t="s">
        <v>206</v>
      </c>
      <c r="O357" t="s">
        <v>164</v>
      </c>
      <c r="P357">
        <v>1.2066397245370742E-2</v>
      </c>
      <c r="Q357" t="s">
        <v>154</v>
      </c>
      <c r="S357" t="s">
        <v>237</v>
      </c>
      <c r="T357" t="s">
        <v>164</v>
      </c>
      <c r="U357">
        <v>1.5804037529706313E-2</v>
      </c>
      <c r="V357" t="s">
        <v>154</v>
      </c>
    </row>
    <row r="358" spans="9:22" x14ac:dyDescent="0.25">
      <c r="I358" t="s">
        <v>176</v>
      </c>
      <c r="J358" t="s">
        <v>165</v>
      </c>
      <c r="K358">
        <v>0</v>
      </c>
      <c r="L358" t="s">
        <v>154</v>
      </c>
      <c r="N358" t="s">
        <v>206</v>
      </c>
      <c r="O358" t="s">
        <v>165</v>
      </c>
      <c r="P358">
        <v>1.2916023917809104E-3</v>
      </c>
      <c r="Q358" t="s">
        <v>154</v>
      </c>
      <c r="S358" t="s">
        <v>237</v>
      </c>
      <c r="T358" t="s">
        <v>165</v>
      </c>
      <c r="U358">
        <v>2.0754813808255565E-3</v>
      </c>
      <c r="V358" t="s">
        <v>154</v>
      </c>
    </row>
    <row r="359" spans="9:22" x14ac:dyDescent="0.25">
      <c r="I359" t="s">
        <v>176</v>
      </c>
      <c r="J359" t="s">
        <v>289</v>
      </c>
      <c r="K359">
        <v>0</v>
      </c>
      <c r="L359" t="s">
        <v>154</v>
      </c>
      <c r="N359" t="s">
        <v>206</v>
      </c>
      <c r="O359" t="s">
        <v>289</v>
      </c>
      <c r="P359">
        <v>1.2824470454086501E-3</v>
      </c>
      <c r="Q359" t="s">
        <v>154</v>
      </c>
      <c r="S359" t="s">
        <v>237</v>
      </c>
      <c r="T359" t="s">
        <v>289</v>
      </c>
      <c r="U359">
        <v>1.8868325677605263E-3</v>
      </c>
      <c r="V359" t="s">
        <v>154</v>
      </c>
    </row>
    <row r="360" spans="9:22" x14ac:dyDescent="0.25">
      <c r="I360" t="s">
        <v>176</v>
      </c>
      <c r="J360" t="s">
        <v>290</v>
      </c>
      <c r="K360">
        <v>0</v>
      </c>
      <c r="L360" t="s">
        <v>154</v>
      </c>
      <c r="N360" t="s">
        <v>206</v>
      </c>
      <c r="O360" t="s">
        <v>290</v>
      </c>
      <c r="P360">
        <v>6.8408553210055987E-3</v>
      </c>
      <c r="Q360" t="s">
        <v>154</v>
      </c>
      <c r="S360" t="s">
        <v>237</v>
      </c>
      <c r="T360" t="s">
        <v>290</v>
      </c>
      <c r="U360">
        <v>9.930756239506509E-3</v>
      </c>
      <c r="V360" t="s">
        <v>154</v>
      </c>
    </row>
    <row r="361" spans="9:22" x14ac:dyDescent="0.25">
      <c r="I361" t="s">
        <v>176</v>
      </c>
      <c r="J361" t="s">
        <v>297</v>
      </c>
      <c r="K361">
        <v>7.2945962390200533E-3</v>
      </c>
      <c r="L361" t="s">
        <v>154</v>
      </c>
      <c r="N361" t="s">
        <v>206</v>
      </c>
      <c r="O361" t="s">
        <v>297</v>
      </c>
      <c r="P361">
        <v>1.3325533939410432E-2</v>
      </c>
      <c r="Q361" t="s">
        <v>154</v>
      </c>
      <c r="S361" t="s">
        <v>237</v>
      </c>
      <c r="T361" t="s">
        <v>297</v>
      </c>
      <c r="U361">
        <v>2.3750282239269976E-2</v>
      </c>
      <c r="V361" t="s">
        <v>154</v>
      </c>
    </row>
    <row r="362" spans="9:22" x14ac:dyDescent="0.25">
      <c r="I362" t="s">
        <v>176</v>
      </c>
      <c r="J362" t="s">
        <v>298</v>
      </c>
      <c r="K362">
        <v>4.8454551541288526E-2</v>
      </c>
      <c r="L362" t="s">
        <v>154</v>
      </c>
      <c r="N362" t="s">
        <v>206</v>
      </c>
      <c r="O362" t="s">
        <v>298</v>
      </c>
      <c r="P362">
        <v>1.2188418456707871E-2</v>
      </c>
      <c r="Q362" t="s">
        <v>154</v>
      </c>
      <c r="S362" t="s">
        <v>237</v>
      </c>
      <c r="T362" t="s">
        <v>298</v>
      </c>
      <c r="U362">
        <v>2.1944767860909258E-2</v>
      </c>
      <c r="V362" t="s">
        <v>154</v>
      </c>
    </row>
    <row r="363" spans="9:22" x14ac:dyDescent="0.25">
      <c r="I363" t="s">
        <v>176</v>
      </c>
      <c r="J363" t="s">
        <v>299</v>
      </c>
      <c r="K363">
        <v>0</v>
      </c>
      <c r="L363" t="s">
        <v>154</v>
      </c>
      <c r="N363" t="s">
        <v>206</v>
      </c>
      <c r="O363" t="s">
        <v>299</v>
      </c>
      <c r="P363">
        <v>2.5311432552456558E-3</v>
      </c>
      <c r="Q363" t="s">
        <v>154</v>
      </c>
      <c r="S363" t="s">
        <v>237</v>
      </c>
      <c r="T363" t="s">
        <v>299</v>
      </c>
      <c r="U363">
        <v>2.7681525875790196E-3</v>
      </c>
      <c r="V363" t="s">
        <v>154</v>
      </c>
    </row>
    <row r="364" spans="9:22" x14ac:dyDescent="0.25">
      <c r="I364" t="s">
        <v>176</v>
      </c>
      <c r="J364" t="s">
        <v>300</v>
      </c>
      <c r="K364">
        <v>0</v>
      </c>
      <c r="L364" t="s">
        <v>154</v>
      </c>
      <c r="N364" t="s">
        <v>206</v>
      </c>
      <c r="O364" t="s">
        <v>300</v>
      </c>
      <c r="P364">
        <v>2.976229455113492E-3</v>
      </c>
      <c r="Q364" t="s">
        <v>154</v>
      </c>
      <c r="S364" t="s">
        <v>237</v>
      </c>
      <c r="T364" t="s">
        <v>300</v>
      </c>
      <c r="U364">
        <v>2.7389540274602806E-3</v>
      </c>
      <c r="V364" t="s">
        <v>154</v>
      </c>
    </row>
    <row r="365" spans="9:22" x14ac:dyDescent="0.25">
      <c r="I365" t="s">
        <v>176</v>
      </c>
      <c r="J365" t="s">
        <v>301</v>
      </c>
      <c r="K365">
        <v>0</v>
      </c>
      <c r="L365" t="s">
        <v>154</v>
      </c>
      <c r="N365" t="s">
        <v>206</v>
      </c>
      <c r="O365" t="s">
        <v>301</v>
      </c>
      <c r="P365">
        <v>9.9614817279691011E-3</v>
      </c>
      <c r="Q365" t="s">
        <v>154</v>
      </c>
      <c r="S365" t="s">
        <v>237</v>
      </c>
      <c r="T365" t="s">
        <v>301</v>
      </c>
      <c r="U365">
        <v>1.3516877453572843E-2</v>
      </c>
      <c r="V365" t="s">
        <v>154</v>
      </c>
    </row>
    <row r="366" spans="9:22" x14ac:dyDescent="0.25">
      <c r="I366" t="s">
        <v>176</v>
      </c>
      <c r="J366" t="s">
        <v>302</v>
      </c>
      <c r="K366">
        <v>4.7315517542085659E-3</v>
      </c>
      <c r="L366" t="s">
        <v>154</v>
      </c>
      <c r="N366" t="s">
        <v>206</v>
      </c>
      <c r="O366" t="s">
        <v>302</v>
      </c>
      <c r="P366">
        <v>3.9117230741762467E-2</v>
      </c>
      <c r="Q366" t="s">
        <v>154</v>
      </c>
      <c r="S366" t="s">
        <v>237</v>
      </c>
      <c r="T366" t="s">
        <v>302</v>
      </c>
      <c r="U366">
        <v>4.3707366183232572E-2</v>
      </c>
      <c r="V366" t="s">
        <v>154</v>
      </c>
    </row>
    <row r="367" spans="9:22" x14ac:dyDescent="0.25">
      <c r="I367" t="s">
        <v>176</v>
      </c>
      <c r="J367" t="s">
        <v>303</v>
      </c>
      <c r="K367">
        <v>5.9137138453155817E-2</v>
      </c>
      <c r="L367" t="s">
        <v>154</v>
      </c>
      <c r="N367" t="s">
        <v>206</v>
      </c>
      <c r="O367" t="s">
        <v>303</v>
      </c>
      <c r="P367">
        <v>3.4414779475237744E-2</v>
      </c>
      <c r="Q367" t="s">
        <v>154</v>
      </c>
      <c r="S367" t="s">
        <v>237</v>
      </c>
      <c r="T367" t="s">
        <v>303</v>
      </c>
      <c r="U367">
        <v>3.9937281531768572E-2</v>
      </c>
      <c r="V367" t="s">
        <v>154</v>
      </c>
    </row>
    <row r="368" spans="9:22" x14ac:dyDescent="0.25">
      <c r="I368" t="s">
        <v>176</v>
      </c>
      <c r="J368" t="s">
        <v>304</v>
      </c>
      <c r="K368">
        <v>0</v>
      </c>
      <c r="L368" t="s">
        <v>154</v>
      </c>
      <c r="N368" t="s">
        <v>206</v>
      </c>
      <c r="O368" t="s">
        <v>304</v>
      </c>
      <c r="P368">
        <v>6.2241363938599793E-3</v>
      </c>
      <c r="Q368" t="s">
        <v>154</v>
      </c>
      <c r="S368" t="s">
        <v>237</v>
      </c>
      <c r="T368" t="s">
        <v>304</v>
      </c>
      <c r="U368">
        <v>5.3304439372457661E-3</v>
      </c>
      <c r="V368" t="s">
        <v>154</v>
      </c>
    </row>
    <row r="369" spans="9:22" x14ac:dyDescent="0.25">
      <c r="I369" t="s">
        <v>176</v>
      </c>
      <c r="J369" t="s">
        <v>305</v>
      </c>
      <c r="K369">
        <v>0</v>
      </c>
      <c r="L369" t="s">
        <v>154</v>
      </c>
      <c r="N369" t="s">
        <v>206</v>
      </c>
      <c r="O369" t="s">
        <v>305</v>
      </c>
      <c r="P369">
        <v>6.413835465829497E-3</v>
      </c>
      <c r="Q369" t="s">
        <v>154</v>
      </c>
      <c r="S369" t="s">
        <v>237</v>
      </c>
      <c r="T369" t="s">
        <v>305</v>
      </c>
      <c r="U369">
        <v>5.304270886558435E-3</v>
      </c>
      <c r="V369" t="s">
        <v>154</v>
      </c>
    </row>
    <row r="370" spans="9:22" x14ac:dyDescent="0.25">
      <c r="I370" t="s">
        <v>176</v>
      </c>
      <c r="J370" t="s">
        <v>306</v>
      </c>
      <c r="K370">
        <v>0</v>
      </c>
      <c r="L370" t="s">
        <v>154</v>
      </c>
      <c r="N370" t="s">
        <v>206</v>
      </c>
      <c r="O370" t="s">
        <v>306</v>
      </c>
      <c r="P370">
        <v>3.2045738084469859E-2</v>
      </c>
      <c r="Q370" t="s">
        <v>154</v>
      </c>
      <c r="S370" t="s">
        <v>237</v>
      </c>
      <c r="T370" t="s">
        <v>306</v>
      </c>
      <c r="U370">
        <v>2.4559074917759171E-2</v>
      </c>
      <c r="V370" t="s">
        <v>154</v>
      </c>
    </row>
    <row r="371" spans="9:22" x14ac:dyDescent="0.25">
      <c r="I371" t="s">
        <v>177</v>
      </c>
      <c r="J371" t="s">
        <v>153</v>
      </c>
      <c r="K371">
        <v>6.5287455898866619E-3</v>
      </c>
      <c r="L371" t="s">
        <v>154</v>
      </c>
      <c r="N371" t="s">
        <v>207</v>
      </c>
      <c r="O371" t="s">
        <v>153</v>
      </c>
      <c r="P371">
        <v>4.6462565752928502E-2</v>
      </c>
      <c r="Q371" t="s">
        <v>154</v>
      </c>
      <c r="S371" t="s">
        <v>238</v>
      </c>
      <c r="T371" t="s">
        <v>153</v>
      </c>
      <c r="U371">
        <v>4.5184878165515724E-2</v>
      </c>
      <c r="V371" t="s">
        <v>154</v>
      </c>
    </row>
    <row r="372" spans="9:22" x14ac:dyDescent="0.25">
      <c r="I372" t="s">
        <v>177</v>
      </c>
      <c r="J372" t="s">
        <v>155</v>
      </c>
      <c r="K372">
        <v>8.3069321124123213E-2</v>
      </c>
      <c r="L372" t="s">
        <v>154</v>
      </c>
      <c r="N372" t="s">
        <v>207</v>
      </c>
      <c r="O372" t="s">
        <v>155</v>
      </c>
      <c r="P372">
        <v>3.0993559368368503E-2</v>
      </c>
      <c r="Q372" t="s">
        <v>154</v>
      </c>
      <c r="S372" t="s">
        <v>238</v>
      </c>
      <c r="T372" t="s">
        <v>155</v>
      </c>
      <c r="U372">
        <v>3.9928481356317991E-2</v>
      </c>
      <c r="V372" t="s">
        <v>154</v>
      </c>
    </row>
    <row r="373" spans="9:22" x14ac:dyDescent="0.25">
      <c r="I373" t="s">
        <v>177</v>
      </c>
      <c r="J373" t="s">
        <v>156</v>
      </c>
      <c r="K373">
        <v>0</v>
      </c>
      <c r="L373" t="s">
        <v>154</v>
      </c>
      <c r="N373" t="s">
        <v>207</v>
      </c>
      <c r="O373" t="s">
        <v>156</v>
      </c>
      <c r="P373">
        <v>3.7160516921583117E-3</v>
      </c>
      <c r="Q373" t="s">
        <v>154</v>
      </c>
      <c r="S373" t="s">
        <v>238</v>
      </c>
      <c r="T373" t="s">
        <v>156</v>
      </c>
      <c r="U373">
        <v>5.4724299137034905E-3</v>
      </c>
      <c r="V373" t="s">
        <v>154</v>
      </c>
    </row>
    <row r="374" spans="9:22" x14ac:dyDescent="0.25">
      <c r="I374" t="s">
        <v>177</v>
      </c>
      <c r="J374" t="s">
        <v>283</v>
      </c>
      <c r="K374">
        <v>0</v>
      </c>
      <c r="L374" t="s">
        <v>154</v>
      </c>
      <c r="N374" t="s">
        <v>207</v>
      </c>
      <c r="O374" t="s">
        <v>283</v>
      </c>
      <c r="P374">
        <v>4.1495302442420253E-3</v>
      </c>
      <c r="Q374" t="s">
        <v>154</v>
      </c>
      <c r="S374" t="s">
        <v>238</v>
      </c>
      <c r="T374" t="s">
        <v>283</v>
      </c>
      <c r="U374">
        <v>5.2422598969679955E-3</v>
      </c>
      <c r="V374" t="s">
        <v>154</v>
      </c>
    </row>
    <row r="375" spans="9:22" x14ac:dyDescent="0.25">
      <c r="I375" t="s">
        <v>177</v>
      </c>
      <c r="J375" t="s">
        <v>284</v>
      </c>
      <c r="K375">
        <v>0</v>
      </c>
      <c r="L375" t="s">
        <v>154</v>
      </c>
      <c r="N375" t="s">
        <v>207</v>
      </c>
      <c r="O375" t="s">
        <v>284</v>
      </c>
      <c r="P375">
        <v>2.0674933919433893E-2</v>
      </c>
      <c r="Q375" t="s">
        <v>154</v>
      </c>
      <c r="S375" t="s">
        <v>238</v>
      </c>
      <c r="T375" t="s">
        <v>284</v>
      </c>
      <c r="U375">
        <v>2.5209589237364907E-2</v>
      </c>
      <c r="V375" t="s">
        <v>154</v>
      </c>
    </row>
    <row r="376" spans="9:22" x14ac:dyDescent="0.25">
      <c r="I376" t="s">
        <v>177</v>
      </c>
      <c r="J376" t="s">
        <v>157</v>
      </c>
      <c r="K376">
        <v>2.8166713644151176E-3</v>
      </c>
      <c r="L376" t="s">
        <v>154</v>
      </c>
      <c r="N376" t="s">
        <v>207</v>
      </c>
      <c r="O376" t="s">
        <v>157</v>
      </c>
      <c r="P376">
        <v>9.2597306983787566E-3</v>
      </c>
      <c r="Q376" t="s">
        <v>154</v>
      </c>
      <c r="S376" t="s">
        <v>238</v>
      </c>
      <c r="T376" t="s">
        <v>157</v>
      </c>
      <c r="U376">
        <v>1.2916825560127729E-2</v>
      </c>
      <c r="V376" t="s">
        <v>154</v>
      </c>
    </row>
    <row r="377" spans="9:22" x14ac:dyDescent="0.25">
      <c r="I377" t="s">
        <v>177</v>
      </c>
      <c r="J377" t="s">
        <v>158</v>
      </c>
      <c r="K377">
        <v>2.4934944886433327E-2</v>
      </c>
      <c r="L377" t="s">
        <v>154</v>
      </c>
      <c r="N377" t="s">
        <v>207</v>
      </c>
      <c r="O377" t="s">
        <v>158</v>
      </c>
      <c r="P377">
        <v>1.0873695758235461E-2</v>
      </c>
      <c r="Q377" t="s">
        <v>154</v>
      </c>
      <c r="S377" t="s">
        <v>238</v>
      </c>
      <c r="T377" t="s">
        <v>158</v>
      </c>
      <c r="U377">
        <v>1.0493728129811445E-2</v>
      </c>
      <c r="V377" t="s">
        <v>154</v>
      </c>
    </row>
    <row r="378" spans="9:22" x14ac:dyDescent="0.25">
      <c r="I378" t="s">
        <v>177</v>
      </c>
      <c r="J378" t="s">
        <v>159</v>
      </c>
      <c r="K378">
        <v>1.1887224023030248E-3</v>
      </c>
      <c r="L378" t="s">
        <v>154</v>
      </c>
      <c r="N378" t="s">
        <v>207</v>
      </c>
      <c r="O378" t="s">
        <v>159</v>
      </c>
      <c r="P378">
        <v>1.6886094378448869E-3</v>
      </c>
      <c r="Q378" t="s">
        <v>154</v>
      </c>
      <c r="S378" t="s">
        <v>238</v>
      </c>
      <c r="T378" t="s">
        <v>159</v>
      </c>
      <c r="U378">
        <v>1.241642702515865E-3</v>
      </c>
      <c r="V378" t="s">
        <v>154</v>
      </c>
    </row>
    <row r="379" spans="9:22" x14ac:dyDescent="0.25">
      <c r="I379" t="s">
        <v>177</v>
      </c>
      <c r="J379" t="s">
        <v>285</v>
      </c>
      <c r="K379">
        <v>0</v>
      </c>
      <c r="L379" t="s">
        <v>154</v>
      </c>
      <c r="N379" t="s">
        <v>207</v>
      </c>
      <c r="O379" t="s">
        <v>285</v>
      </c>
      <c r="P379">
        <v>1.7027735334835998E-3</v>
      </c>
      <c r="Q379" t="s">
        <v>154</v>
      </c>
      <c r="S379" t="s">
        <v>238</v>
      </c>
      <c r="T379" t="s">
        <v>285</v>
      </c>
      <c r="U379">
        <v>1.2632654043836743E-3</v>
      </c>
      <c r="V379" t="s">
        <v>154</v>
      </c>
    </row>
    <row r="380" spans="9:22" x14ac:dyDescent="0.25">
      <c r="I380" t="s">
        <v>177</v>
      </c>
      <c r="J380" t="s">
        <v>286</v>
      </c>
      <c r="K380">
        <v>0</v>
      </c>
      <c r="L380" t="s">
        <v>154</v>
      </c>
      <c r="N380" t="s">
        <v>207</v>
      </c>
      <c r="O380" t="s">
        <v>286</v>
      </c>
      <c r="P380">
        <v>6.4682054049684402E-3</v>
      </c>
      <c r="Q380" t="s">
        <v>154</v>
      </c>
      <c r="S380" t="s">
        <v>238</v>
      </c>
      <c r="T380" t="s">
        <v>286</v>
      </c>
      <c r="U380">
        <v>6.4060531838490489E-3</v>
      </c>
      <c r="V380" t="s">
        <v>154</v>
      </c>
    </row>
    <row r="381" spans="9:22" x14ac:dyDescent="0.25">
      <c r="I381" t="s">
        <v>177</v>
      </c>
      <c r="J381" t="s">
        <v>160</v>
      </c>
      <c r="K381">
        <v>0.10914297100683687</v>
      </c>
      <c r="L381" t="s">
        <v>154</v>
      </c>
      <c r="N381" t="s">
        <v>207</v>
      </c>
      <c r="O381" t="s">
        <v>160</v>
      </c>
      <c r="P381">
        <v>0.23515648839388131</v>
      </c>
      <c r="Q381" t="s">
        <v>154</v>
      </c>
      <c r="S381" t="s">
        <v>238</v>
      </c>
      <c r="T381" t="s">
        <v>160</v>
      </c>
      <c r="U381">
        <v>0.23468479779550194</v>
      </c>
      <c r="V381" t="s">
        <v>154</v>
      </c>
    </row>
    <row r="382" spans="9:22" x14ac:dyDescent="0.25">
      <c r="I382" t="s">
        <v>177</v>
      </c>
      <c r="J382" t="s">
        <v>161</v>
      </c>
      <c r="K382">
        <v>0.56087118672330694</v>
      </c>
      <c r="L382" t="s">
        <v>154</v>
      </c>
      <c r="N382" t="s">
        <v>207</v>
      </c>
      <c r="O382" t="s">
        <v>161</v>
      </c>
      <c r="P382">
        <v>0.20535994987365988</v>
      </c>
      <c r="Q382" t="s">
        <v>154</v>
      </c>
      <c r="S382" t="s">
        <v>238</v>
      </c>
      <c r="T382" t="s">
        <v>161</v>
      </c>
      <c r="U382">
        <v>0.18445391602492184</v>
      </c>
      <c r="V382" t="s">
        <v>154</v>
      </c>
    </row>
    <row r="383" spans="9:22" x14ac:dyDescent="0.25">
      <c r="I383" t="s">
        <v>177</v>
      </c>
      <c r="J383" t="s">
        <v>162</v>
      </c>
      <c r="K383">
        <v>3.5610595574464401E-2</v>
      </c>
      <c r="L383" t="s">
        <v>154</v>
      </c>
      <c r="N383" t="s">
        <v>207</v>
      </c>
      <c r="O383" t="s">
        <v>162</v>
      </c>
      <c r="P383">
        <v>3.156971723275416E-2</v>
      </c>
      <c r="Q383" t="s">
        <v>154</v>
      </c>
      <c r="S383" t="s">
        <v>238</v>
      </c>
      <c r="T383" t="s">
        <v>162</v>
      </c>
      <c r="U383">
        <v>2.5231066595191715E-2</v>
      </c>
      <c r="V383" t="s">
        <v>154</v>
      </c>
    </row>
    <row r="384" spans="9:22" x14ac:dyDescent="0.25">
      <c r="I384" t="s">
        <v>177</v>
      </c>
      <c r="J384" t="s">
        <v>287</v>
      </c>
      <c r="K384">
        <v>1.3874948356667761E-2</v>
      </c>
      <c r="L384" t="s">
        <v>154</v>
      </c>
      <c r="N384" t="s">
        <v>207</v>
      </c>
      <c r="O384" t="s">
        <v>287</v>
      </c>
      <c r="P384">
        <v>3.3285433877431228E-2</v>
      </c>
      <c r="Q384" t="s">
        <v>154</v>
      </c>
      <c r="S384" t="s">
        <v>238</v>
      </c>
      <c r="T384" t="s">
        <v>287</v>
      </c>
      <c r="U384">
        <v>2.2987455957025945E-2</v>
      </c>
      <c r="V384" t="s">
        <v>154</v>
      </c>
    </row>
    <row r="385" spans="9:22" x14ac:dyDescent="0.25">
      <c r="I385" t="s">
        <v>177</v>
      </c>
      <c r="J385" t="s">
        <v>288</v>
      </c>
      <c r="K385">
        <v>2.9810880817956603E-3</v>
      </c>
      <c r="L385" t="s">
        <v>154</v>
      </c>
      <c r="N385" t="s">
        <v>207</v>
      </c>
      <c r="O385" t="s">
        <v>288</v>
      </c>
      <c r="P385">
        <v>0.15085396422701139</v>
      </c>
      <c r="Q385" t="s">
        <v>154</v>
      </c>
      <c r="S385" t="s">
        <v>238</v>
      </c>
      <c r="T385" t="s">
        <v>288</v>
      </c>
      <c r="U385">
        <v>0.12596340036394391</v>
      </c>
      <c r="V385" t="s">
        <v>154</v>
      </c>
    </row>
    <row r="386" spans="9:22" x14ac:dyDescent="0.25">
      <c r="I386" t="s">
        <v>177</v>
      </c>
      <c r="J386" t="s">
        <v>163</v>
      </c>
      <c r="K386">
        <v>3.9928224284837607E-3</v>
      </c>
      <c r="L386" t="s">
        <v>154</v>
      </c>
      <c r="N386" t="s">
        <v>207</v>
      </c>
      <c r="O386" t="s">
        <v>163</v>
      </c>
      <c r="P386">
        <v>1.6560302736792352E-2</v>
      </c>
      <c r="Q386" t="s">
        <v>154</v>
      </c>
      <c r="S386" t="s">
        <v>238</v>
      </c>
      <c r="T386" t="s">
        <v>163</v>
      </c>
      <c r="U386">
        <v>1.7694613002228528E-2</v>
      </c>
      <c r="V386" t="s">
        <v>154</v>
      </c>
    </row>
    <row r="387" spans="9:22" x14ac:dyDescent="0.25">
      <c r="I387" t="s">
        <v>177</v>
      </c>
      <c r="J387" t="s">
        <v>164</v>
      </c>
      <c r="K387">
        <v>1.8854841971985906E-2</v>
      </c>
      <c r="L387" t="s">
        <v>154</v>
      </c>
      <c r="N387" t="s">
        <v>207</v>
      </c>
      <c r="O387" t="s">
        <v>164</v>
      </c>
      <c r="P387">
        <v>1.3435285096719445E-2</v>
      </c>
      <c r="Q387" t="s">
        <v>154</v>
      </c>
      <c r="S387" t="s">
        <v>238</v>
      </c>
      <c r="T387" t="s">
        <v>164</v>
      </c>
      <c r="U387">
        <v>1.4853539296912069E-2</v>
      </c>
      <c r="V387" t="s">
        <v>154</v>
      </c>
    </row>
    <row r="388" spans="9:22" x14ac:dyDescent="0.25">
      <c r="I388" t="s">
        <v>177</v>
      </c>
      <c r="J388" t="s">
        <v>165</v>
      </c>
      <c r="K388">
        <v>0</v>
      </c>
      <c r="L388" t="s">
        <v>154</v>
      </c>
      <c r="N388" t="s">
        <v>207</v>
      </c>
      <c r="O388" t="s">
        <v>165</v>
      </c>
      <c r="P388">
        <v>1.4669244612579818E-3</v>
      </c>
      <c r="Q388" t="s">
        <v>154</v>
      </c>
      <c r="S388" t="s">
        <v>238</v>
      </c>
      <c r="T388" t="s">
        <v>165</v>
      </c>
      <c r="U388">
        <v>2.0107574195438261E-3</v>
      </c>
      <c r="V388" t="s">
        <v>154</v>
      </c>
    </row>
    <row r="389" spans="9:22" x14ac:dyDescent="0.25">
      <c r="I389" t="s">
        <v>177</v>
      </c>
      <c r="J389" t="s">
        <v>289</v>
      </c>
      <c r="K389">
        <v>0</v>
      </c>
      <c r="L389" t="s">
        <v>154</v>
      </c>
      <c r="N389" t="s">
        <v>207</v>
      </c>
      <c r="O389" t="s">
        <v>289</v>
      </c>
      <c r="P389">
        <v>1.5224432776031682E-3</v>
      </c>
      <c r="Q389" t="s">
        <v>154</v>
      </c>
      <c r="S389" t="s">
        <v>238</v>
      </c>
      <c r="T389" t="s">
        <v>289</v>
      </c>
      <c r="U389">
        <v>1.9066454971845346E-3</v>
      </c>
      <c r="V389" t="s">
        <v>154</v>
      </c>
    </row>
    <row r="390" spans="9:22" x14ac:dyDescent="0.25">
      <c r="I390" t="s">
        <v>177</v>
      </c>
      <c r="J390" t="s">
        <v>290</v>
      </c>
      <c r="K390">
        <v>0</v>
      </c>
      <c r="L390" t="s">
        <v>154</v>
      </c>
      <c r="N390" t="s">
        <v>207</v>
      </c>
      <c r="O390" t="s">
        <v>290</v>
      </c>
      <c r="P390">
        <v>6.5910352150927668E-3</v>
      </c>
      <c r="Q390" t="s">
        <v>154</v>
      </c>
      <c r="S390" t="s">
        <v>238</v>
      </c>
      <c r="T390" t="s">
        <v>290</v>
      </c>
      <c r="U390">
        <v>9.360084983402208E-3</v>
      </c>
      <c r="V390" t="s">
        <v>154</v>
      </c>
    </row>
    <row r="391" spans="9:22" x14ac:dyDescent="0.25">
      <c r="I391" t="s">
        <v>177</v>
      </c>
      <c r="J391" t="s">
        <v>297</v>
      </c>
      <c r="K391">
        <v>8.934984532773119E-3</v>
      </c>
      <c r="L391" t="s">
        <v>154</v>
      </c>
      <c r="N391" t="s">
        <v>207</v>
      </c>
      <c r="O391" t="s">
        <v>297</v>
      </c>
      <c r="P391">
        <v>2.2157346303717584E-2</v>
      </c>
      <c r="Q391" t="s">
        <v>154</v>
      </c>
      <c r="S391" t="s">
        <v>238</v>
      </c>
      <c r="T391" t="s">
        <v>297</v>
      </c>
      <c r="U391">
        <v>2.6951698766976319E-2</v>
      </c>
      <c r="V391" t="s">
        <v>154</v>
      </c>
    </row>
    <row r="392" spans="9:22" x14ac:dyDescent="0.25">
      <c r="I392" t="s">
        <v>177</v>
      </c>
      <c r="J392" t="s">
        <v>298</v>
      </c>
      <c r="K392">
        <v>5.3900547631153602E-2</v>
      </c>
      <c r="L392" t="s">
        <v>154</v>
      </c>
      <c r="N392" t="s">
        <v>207</v>
      </c>
      <c r="O392" t="s">
        <v>298</v>
      </c>
      <c r="P392">
        <v>1.8083348763482221E-2</v>
      </c>
      <c r="Q392" t="s">
        <v>154</v>
      </c>
      <c r="S392" t="s">
        <v>238</v>
      </c>
      <c r="T392" t="s">
        <v>298</v>
      </c>
      <c r="U392">
        <v>2.4210710429345451E-2</v>
      </c>
      <c r="V392" t="s">
        <v>154</v>
      </c>
    </row>
    <row r="393" spans="9:22" x14ac:dyDescent="0.25">
      <c r="I393" t="s">
        <v>177</v>
      </c>
      <c r="J393" t="s">
        <v>299</v>
      </c>
      <c r="K393">
        <v>0</v>
      </c>
      <c r="L393" t="s">
        <v>154</v>
      </c>
      <c r="N393" t="s">
        <v>207</v>
      </c>
      <c r="O393" t="s">
        <v>299</v>
      </c>
      <c r="P393">
        <v>2.7013462849475836E-3</v>
      </c>
      <c r="Q393" t="s">
        <v>154</v>
      </c>
      <c r="S393" t="s">
        <v>238</v>
      </c>
      <c r="T393" t="s">
        <v>299</v>
      </c>
      <c r="U393">
        <v>3.1501222132448163E-3</v>
      </c>
      <c r="V393" t="s">
        <v>154</v>
      </c>
    </row>
    <row r="394" spans="9:22" x14ac:dyDescent="0.25">
      <c r="I394" t="s">
        <v>177</v>
      </c>
      <c r="J394" t="s">
        <v>300</v>
      </c>
      <c r="K394">
        <v>0</v>
      </c>
      <c r="L394" t="s">
        <v>154</v>
      </c>
      <c r="N394" t="s">
        <v>207</v>
      </c>
      <c r="O394" t="s">
        <v>300</v>
      </c>
      <c r="P394">
        <v>2.7663617431091143E-3</v>
      </c>
      <c r="Q394" t="s">
        <v>154</v>
      </c>
      <c r="S394" t="s">
        <v>238</v>
      </c>
      <c r="T394" t="s">
        <v>300</v>
      </c>
      <c r="U394">
        <v>2.958840674465146E-3</v>
      </c>
      <c r="V394" t="s">
        <v>154</v>
      </c>
    </row>
    <row r="395" spans="9:22" x14ac:dyDescent="0.25">
      <c r="I395" t="s">
        <v>177</v>
      </c>
      <c r="J395" t="s">
        <v>301</v>
      </c>
      <c r="K395">
        <v>0</v>
      </c>
      <c r="L395" t="s">
        <v>154</v>
      </c>
      <c r="N395" t="s">
        <v>207</v>
      </c>
      <c r="O395" t="s">
        <v>301</v>
      </c>
      <c r="P395">
        <v>1.2497022744080731E-2</v>
      </c>
      <c r="Q395" t="s">
        <v>154</v>
      </c>
      <c r="S395" t="s">
        <v>238</v>
      </c>
      <c r="T395" t="s">
        <v>301</v>
      </c>
      <c r="U395">
        <v>1.4520146545454752E-2</v>
      </c>
      <c r="V395" t="s">
        <v>154</v>
      </c>
    </row>
    <row r="396" spans="9:22" x14ac:dyDescent="0.25">
      <c r="I396" t="s">
        <v>177</v>
      </c>
      <c r="J396" t="s">
        <v>302</v>
      </c>
      <c r="K396">
        <v>6.0857567207258908E-3</v>
      </c>
      <c r="L396" t="s">
        <v>154</v>
      </c>
      <c r="N396" t="s">
        <v>207</v>
      </c>
      <c r="O396" t="s">
        <v>302</v>
      </c>
      <c r="P396">
        <v>4.1473629202969486E-2</v>
      </c>
      <c r="Q396" t="s">
        <v>154</v>
      </c>
      <c r="S396" t="s">
        <v>238</v>
      </c>
      <c r="T396" t="s">
        <v>302</v>
      </c>
      <c r="U396">
        <v>5.1533553566436331E-2</v>
      </c>
      <c r="V396" t="s">
        <v>154</v>
      </c>
    </row>
    <row r="397" spans="9:22" x14ac:dyDescent="0.25">
      <c r="I397" t="s">
        <v>177</v>
      </c>
      <c r="J397" t="s">
        <v>303</v>
      </c>
      <c r="K397">
        <v>6.7211851604645614E-2</v>
      </c>
      <c r="L397" t="s">
        <v>154</v>
      </c>
      <c r="N397" t="s">
        <v>207</v>
      </c>
      <c r="O397" t="s">
        <v>303</v>
      </c>
      <c r="P397">
        <v>3.1540167826862281E-2</v>
      </c>
      <c r="Q397" t="s">
        <v>154</v>
      </c>
      <c r="S397" t="s">
        <v>238</v>
      </c>
      <c r="T397" t="s">
        <v>303</v>
      </c>
      <c r="U397">
        <v>4.5343676707233126E-2</v>
      </c>
      <c r="V397" t="s">
        <v>154</v>
      </c>
    </row>
    <row r="398" spans="9:22" x14ac:dyDescent="0.25">
      <c r="I398" t="s">
        <v>177</v>
      </c>
      <c r="J398" t="s">
        <v>304</v>
      </c>
      <c r="K398">
        <v>0</v>
      </c>
      <c r="L398" t="s">
        <v>154</v>
      </c>
      <c r="N398" t="s">
        <v>207</v>
      </c>
      <c r="O398" t="s">
        <v>304</v>
      </c>
      <c r="P398">
        <v>4.8980079140605922E-3</v>
      </c>
      <c r="Q398" t="s">
        <v>154</v>
      </c>
      <c r="S398" t="s">
        <v>238</v>
      </c>
      <c r="T398" t="s">
        <v>304</v>
      </c>
      <c r="U398">
        <v>5.7945631368208029E-3</v>
      </c>
      <c r="V398" t="s">
        <v>154</v>
      </c>
    </row>
    <row r="399" spans="9:22" x14ac:dyDescent="0.25">
      <c r="I399" t="s">
        <v>177</v>
      </c>
      <c r="J399" t="s">
        <v>305</v>
      </c>
      <c r="K399">
        <v>0</v>
      </c>
      <c r="L399" t="s">
        <v>154</v>
      </c>
      <c r="N399" t="s">
        <v>207</v>
      </c>
      <c r="O399" t="s">
        <v>305</v>
      </c>
      <c r="P399">
        <v>5.2958835974503985E-3</v>
      </c>
      <c r="Q399" t="s">
        <v>154</v>
      </c>
      <c r="S399" t="s">
        <v>238</v>
      </c>
      <c r="T399" t="s">
        <v>305</v>
      </c>
      <c r="U399">
        <v>5.6385656556440589E-3</v>
      </c>
      <c r="V399" t="s">
        <v>154</v>
      </c>
    </row>
    <row r="400" spans="9:22" x14ac:dyDescent="0.25">
      <c r="I400" t="s">
        <v>177</v>
      </c>
      <c r="J400" t="s">
        <v>306</v>
      </c>
      <c r="K400">
        <v>0</v>
      </c>
      <c r="L400" t="s">
        <v>154</v>
      </c>
      <c r="N400" t="s">
        <v>207</v>
      </c>
      <c r="O400" t="s">
        <v>306</v>
      </c>
      <c r="P400">
        <v>2.6795685417073521E-2</v>
      </c>
      <c r="Q400" t="s">
        <v>154</v>
      </c>
      <c r="S400" t="s">
        <v>238</v>
      </c>
      <c r="T400" t="s">
        <v>306</v>
      </c>
      <c r="U400">
        <v>2.7392691817968797E-2</v>
      </c>
      <c r="V400" t="s">
        <v>154</v>
      </c>
    </row>
    <row r="401" spans="9:22" x14ac:dyDescent="0.25">
      <c r="I401" t="s">
        <v>178</v>
      </c>
      <c r="J401" t="s">
        <v>153</v>
      </c>
      <c r="K401">
        <v>6.9287759469839399E-3</v>
      </c>
      <c r="L401" t="s">
        <v>154</v>
      </c>
      <c r="N401" t="s">
        <v>208</v>
      </c>
      <c r="O401" t="s">
        <v>153</v>
      </c>
      <c r="P401">
        <v>3.7939903640249621E-2</v>
      </c>
      <c r="Q401" t="s">
        <v>154</v>
      </c>
      <c r="S401" t="s">
        <v>239</v>
      </c>
      <c r="T401" t="s">
        <v>153</v>
      </c>
      <c r="U401">
        <v>4.0614850564079034E-2</v>
      </c>
      <c r="V401" t="s">
        <v>154</v>
      </c>
    </row>
    <row r="402" spans="9:22" x14ac:dyDescent="0.25">
      <c r="I402" t="s">
        <v>178</v>
      </c>
      <c r="J402" t="s">
        <v>155</v>
      </c>
      <c r="K402">
        <v>9.0887775447666297E-2</v>
      </c>
      <c r="L402" t="s">
        <v>154</v>
      </c>
      <c r="N402" t="s">
        <v>208</v>
      </c>
      <c r="O402" t="s">
        <v>155</v>
      </c>
      <c r="P402">
        <v>4.7012062768492256E-2</v>
      </c>
      <c r="Q402" t="s">
        <v>154</v>
      </c>
      <c r="S402" t="s">
        <v>239</v>
      </c>
      <c r="T402" t="s">
        <v>155</v>
      </c>
      <c r="U402">
        <v>3.4976682515729378E-2</v>
      </c>
      <c r="V402" t="s">
        <v>154</v>
      </c>
    </row>
    <row r="403" spans="9:22" x14ac:dyDescent="0.25">
      <c r="I403" t="s">
        <v>178</v>
      </c>
      <c r="J403" t="s">
        <v>156</v>
      </c>
      <c r="K403">
        <v>4.6311632395283777E-4</v>
      </c>
      <c r="L403" t="s">
        <v>154</v>
      </c>
      <c r="N403" t="s">
        <v>208</v>
      </c>
      <c r="O403" t="s">
        <v>156</v>
      </c>
      <c r="P403">
        <v>6.5126269494850154E-3</v>
      </c>
      <c r="Q403" t="s">
        <v>154</v>
      </c>
      <c r="S403" t="s">
        <v>239</v>
      </c>
      <c r="T403" t="s">
        <v>156</v>
      </c>
      <c r="U403">
        <v>5.0133602523496183E-3</v>
      </c>
      <c r="V403" t="s">
        <v>154</v>
      </c>
    </row>
    <row r="404" spans="9:22" x14ac:dyDescent="0.25">
      <c r="I404" t="s">
        <v>178</v>
      </c>
      <c r="J404" t="s">
        <v>283</v>
      </c>
      <c r="K404">
        <v>0</v>
      </c>
      <c r="L404" t="s">
        <v>154</v>
      </c>
      <c r="N404" t="s">
        <v>208</v>
      </c>
      <c r="O404" t="s">
        <v>283</v>
      </c>
      <c r="P404">
        <v>5.987862817802489E-3</v>
      </c>
      <c r="Q404" t="s">
        <v>154</v>
      </c>
      <c r="S404" t="s">
        <v>239</v>
      </c>
      <c r="T404" t="s">
        <v>283</v>
      </c>
      <c r="U404">
        <v>4.3441213181078112E-3</v>
      </c>
      <c r="V404" t="s">
        <v>154</v>
      </c>
    </row>
    <row r="405" spans="9:22" x14ac:dyDescent="0.25">
      <c r="I405" t="s">
        <v>178</v>
      </c>
      <c r="J405" t="s">
        <v>284</v>
      </c>
      <c r="K405">
        <v>0</v>
      </c>
      <c r="L405" t="s">
        <v>154</v>
      </c>
      <c r="N405" t="s">
        <v>208</v>
      </c>
      <c r="O405" t="s">
        <v>284</v>
      </c>
      <c r="P405">
        <v>2.3099594720562836E-2</v>
      </c>
      <c r="Q405" t="s">
        <v>154</v>
      </c>
      <c r="S405" t="s">
        <v>239</v>
      </c>
      <c r="T405" t="s">
        <v>284</v>
      </c>
      <c r="U405">
        <v>2.1081509099883936E-2</v>
      </c>
      <c r="V405" t="s">
        <v>154</v>
      </c>
    </row>
    <row r="406" spans="9:22" x14ac:dyDescent="0.25">
      <c r="I406" t="s">
        <v>178</v>
      </c>
      <c r="J406" t="s">
        <v>157</v>
      </c>
      <c r="K406">
        <v>2.0856470610522409E-3</v>
      </c>
      <c r="L406" t="s">
        <v>154</v>
      </c>
      <c r="N406" t="s">
        <v>208</v>
      </c>
      <c r="O406" t="s">
        <v>157</v>
      </c>
      <c r="P406">
        <v>1.100351891417547E-2</v>
      </c>
      <c r="Q406" t="s">
        <v>154</v>
      </c>
      <c r="S406" t="s">
        <v>239</v>
      </c>
      <c r="T406" t="s">
        <v>157</v>
      </c>
      <c r="U406">
        <v>9.9349452018136011E-3</v>
      </c>
      <c r="V406" t="s">
        <v>154</v>
      </c>
    </row>
    <row r="407" spans="9:22" x14ac:dyDescent="0.25">
      <c r="I407" t="s">
        <v>178</v>
      </c>
      <c r="J407" t="s">
        <v>158</v>
      </c>
      <c r="K407">
        <v>2.4209128123184896E-2</v>
      </c>
      <c r="L407" t="s">
        <v>154</v>
      </c>
      <c r="N407" t="s">
        <v>208</v>
      </c>
      <c r="O407" t="s">
        <v>158</v>
      </c>
      <c r="P407">
        <v>1.6462781245475764E-2</v>
      </c>
      <c r="Q407" t="s">
        <v>154</v>
      </c>
      <c r="S407" t="s">
        <v>239</v>
      </c>
      <c r="T407" t="s">
        <v>158</v>
      </c>
      <c r="U407">
        <v>7.8644312250862203E-3</v>
      </c>
      <c r="V407" t="s">
        <v>154</v>
      </c>
    </row>
    <row r="408" spans="9:22" x14ac:dyDescent="0.25">
      <c r="I408" t="s">
        <v>178</v>
      </c>
      <c r="J408" t="s">
        <v>159</v>
      </c>
      <c r="K408">
        <v>1.4637254731221982E-3</v>
      </c>
      <c r="L408" t="s">
        <v>154</v>
      </c>
      <c r="N408" t="s">
        <v>208</v>
      </c>
      <c r="O408" t="s">
        <v>159</v>
      </c>
      <c r="P408">
        <v>1.6609695240043794E-3</v>
      </c>
      <c r="Q408" t="s">
        <v>154</v>
      </c>
      <c r="S408" t="s">
        <v>239</v>
      </c>
      <c r="T408" t="s">
        <v>159</v>
      </c>
      <c r="U408">
        <v>1.051936591187332E-3</v>
      </c>
      <c r="V408" t="s">
        <v>154</v>
      </c>
    </row>
    <row r="409" spans="9:22" x14ac:dyDescent="0.25">
      <c r="I409" t="s">
        <v>178</v>
      </c>
      <c r="J409" t="s">
        <v>285</v>
      </c>
      <c r="K409">
        <v>0</v>
      </c>
      <c r="L409" t="s">
        <v>154</v>
      </c>
      <c r="N409" t="s">
        <v>208</v>
      </c>
      <c r="O409" t="s">
        <v>285</v>
      </c>
      <c r="P409">
        <v>1.560883395615471E-3</v>
      </c>
      <c r="Q409" t="s">
        <v>154</v>
      </c>
      <c r="S409" t="s">
        <v>239</v>
      </c>
      <c r="T409" t="s">
        <v>285</v>
      </c>
      <c r="U409">
        <v>8.9012536839661689E-4</v>
      </c>
      <c r="V409" t="s">
        <v>154</v>
      </c>
    </row>
    <row r="410" spans="9:22" x14ac:dyDescent="0.25">
      <c r="I410" t="s">
        <v>178</v>
      </c>
      <c r="J410" t="s">
        <v>286</v>
      </c>
      <c r="K410">
        <v>0</v>
      </c>
      <c r="L410" t="s">
        <v>154</v>
      </c>
      <c r="N410" t="s">
        <v>208</v>
      </c>
      <c r="O410" t="s">
        <v>286</v>
      </c>
      <c r="P410">
        <v>5.553980608906767E-3</v>
      </c>
      <c r="Q410" t="s">
        <v>154</v>
      </c>
      <c r="S410" t="s">
        <v>239</v>
      </c>
      <c r="T410" t="s">
        <v>286</v>
      </c>
      <c r="U410">
        <v>5.830214849427081E-3</v>
      </c>
      <c r="V410" t="s">
        <v>154</v>
      </c>
    </row>
    <row r="411" spans="9:22" x14ac:dyDescent="0.25">
      <c r="I411" t="s">
        <v>178</v>
      </c>
      <c r="J411" t="s">
        <v>160</v>
      </c>
      <c r="K411">
        <v>0.10995473232052889</v>
      </c>
      <c r="L411" t="s">
        <v>154</v>
      </c>
      <c r="N411" t="s">
        <v>208</v>
      </c>
      <c r="O411" t="s">
        <v>160</v>
      </c>
      <c r="P411">
        <v>0.14947311478554462</v>
      </c>
      <c r="Q411" t="s">
        <v>154</v>
      </c>
      <c r="S411" t="s">
        <v>239</v>
      </c>
      <c r="T411" t="s">
        <v>160</v>
      </c>
      <c r="U411">
        <v>0.23160353308762147</v>
      </c>
      <c r="V411" t="s">
        <v>154</v>
      </c>
    </row>
    <row r="412" spans="9:22" x14ac:dyDescent="0.25">
      <c r="I412" t="s">
        <v>178</v>
      </c>
      <c r="J412" t="s">
        <v>161</v>
      </c>
      <c r="K412">
        <v>0.54695313702485648</v>
      </c>
      <c r="L412" t="s">
        <v>154</v>
      </c>
      <c r="N412" t="s">
        <v>208</v>
      </c>
      <c r="O412" t="s">
        <v>161</v>
      </c>
      <c r="P412">
        <v>0.26166078800947845</v>
      </c>
      <c r="Q412" t="s">
        <v>154</v>
      </c>
      <c r="S412" t="s">
        <v>239</v>
      </c>
      <c r="T412" t="s">
        <v>161</v>
      </c>
      <c r="U412">
        <v>0.19850021135128332</v>
      </c>
      <c r="V412" t="s">
        <v>154</v>
      </c>
    </row>
    <row r="413" spans="9:22" x14ac:dyDescent="0.25">
      <c r="I413" t="s">
        <v>178</v>
      </c>
      <c r="J413" t="s">
        <v>162</v>
      </c>
      <c r="K413">
        <v>3.680794186702422E-2</v>
      </c>
      <c r="L413" t="s">
        <v>154</v>
      </c>
      <c r="N413" t="s">
        <v>208</v>
      </c>
      <c r="O413" t="s">
        <v>162</v>
      </c>
      <c r="P413">
        <v>3.3276980553086137E-2</v>
      </c>
      <c r="Q413" t="s">
        <v>154</v>
      </c>
      <c r="S413" t="s">
        <v>239</v>
      </c>
      <c r="T413" t="s">
        <v>162</v>
      </c>
      <c r="U413">
        <v>2.913749904639782E-2</v>
      </c>
      <c r="V413" t="s">
        <v>154</v>
      </c>
    </row>
    <row r="414" spans="9:22" x14ac:dyDescent="0.25">
      <c r="I414" t="s">
        <v>178</v>
      </c>
      <c r="J414" t="s">
        <v>287</v>
      </c>
      <c r="K414">
        <v>1.5779250069505899E-2</v>
      </c>
      <c r="L414" t="s">
        <v>154</v>
      </c>
      <c r="N414" t="s">
        <v>208</v>
      </c>
      <c r="O414" t="s">
        <v>287</v>
      </c>
      <c r="P414">
        <v>2.979300028337627E-2</v>
      </c>
      <c r="Q414" t="s">
        <v>154</v>
      </c>
      <c r="S414" t="s">
        <v>239</v>
      </c>
      <c r="T414" t="s">
        <v>287</v>
      </c>
      <c r="U414">
        <v>2.414845128685698E-2</v>
      </c>
      <c r="V414" t="s">
        <v>154</v>
      </c>
    </row>
    <row r="415" spans="9:22" x14ac:dyDescent="0.25">
      <c r="I415" t="s">
        <v>178</v>
      </c>
      <c r="J415" t="s">
        <v>288</v>
      </c>
      <c r="K415">
        <v>3.4905046931326951E-3</v>
      </c>
      <c r="L415" t="s">
        <v>154</v>
      </c>
      <c r="N415" t="s">
        <v>208</v>
      </c>
      <c r="O415" t="s">
        <v>288</v>
      </c>
      <c r="P415">
        <v>0.10499037145649079</v>
      </c>
      <c r="Q415" t="s">
        <v>154</v>
      </c>
      <c r="S415" t="s">
        <v>239</v>
      </c>
      <c r="T415" t="s">
        <v>288</v>
      </c>
      <c r="U415">
        <v>0.12753396916435644</v>
      </c>
      <c r="V415" t="s">
        <v>154</v>
      </c>
    </row>
    <row r="416" spans="9:22" x14ac:dyDescent="0.25">
      <c r="I416" t="s">
        <v>178</v>
      </c>
      <c r="J416" t="s">
        <v>163</v>
      </c>
      <c r="K416">
        <v>3.5951971786168445E-3</v>
      </c>
      <c r="L416" t="s">
        <v>154</v>
      </c>
      <c r="N416" t="s">
        <v>208</v>
      </c>
      <c r="O416" t="s">
        <v>163</v>
      </c>
      <c r="P416">
        <v>1.6720198009138893E-2</v>
      </c>
      <c r="Q416" t="s">
        <v>154</v>
      </c>
      <c r="S416" t="s">
        <v>239</v>
      </c>
      <c r="T416" t="s">
        <v>163</v>
      </c>
      <c r="U416">
        <v>1.5513959987380746E-2</v>
      </c>
      <c r="V416" t="s">
        <v>154</v>
      </c>
    </row>
    <row r="417" spans="9:22" x14ac:dyDescent="0.25">
      <c r="I417" t="s">
        <v>178</v>
      </c>
      <c r="J417" t="s">
        <v>164</v>
      </c>
      <c r="K417">
        <v>1.9566003784354108E-2</v>
      </c>
      <c r="L417" t="s">
        <v>154</v>
      </c>
      <c r="N417" t="s">
        <v>208</v>
      </c>
      <c r="O417" t="s">
        <v>164</v>
      </c>
      <c r="P417">
        <v>9.9915416121741946E-3</v>
      </c>
      <c r="Q417" t="s">
        <v>154</v>
      </c>
      <c r="S417" t="s">
        <v>239</v>
      </c>
      <c r="T417" t="s">
        <v>164</v>
      </c>
      <c r="U417">
        <v>1.2447701388470359E-2</v>
      </c>
      <c r="V417" t="s">
        <v>154</v>
      </c>
    </row>
    <row r="418" spans="9:22" x14ac:dyDescent="0.25">
      <c r="I418" t="s">
        <v>178</v>
      </c>
      <c r="J418" t="s">
        <v>165</v>
      </c>
      <c r="K418">
        <v>2.2683885056974849E-4</v>
      </c>
      <c r="L418" t="s">
        <v>154</v>
      </c>
      <c r="N418" t="s">
        <v>208</v>
      </c>
      <c r="O418" t="s">
        <v>165</v>
      </c>
      <c r="P418">
        <v>1.2893911661092611E-3</v>
      </c>
      <c r="Q418" t="s">
        <v>154</v>
      </c>
      <c r="S418" t="s">
        <v>239</v>
      </c>
      <c r="T418" t="s">
        <v>165</v>
      </c>
      <c r="U418">
        <v>2.0221846591807128E-3</v>
      </c>
      <c r="V418" t="s">
        <v>154</v>
      </c>
    </row>
    <row r="419" spans="9:22" x14ac:dyDescent="0.25">
      <c r="I419" t="s">
        <v>178</v>
      </c>
      <c r="J419" t="s">
        <v>289</v>
      </c>
      <c r="K419">
        <v>0</v>
      </c>
      <c r="L419" t="s">
        <v>154</v>
      </c>
      <c r="N419" t="s">
        <v>208</v>
      </c>
      <c r="O419" t="s">
        <v>289</v>
      </c>
      <c r="P419">
        <v>1.2833794024763917E-3</v>
      </c>
      <c r="Q419" t="s">
        <v>154</v>
      </c>
      <c r="S419" t="s">
        <v>239</v>
      </c>
      <c r="T419" t="s">
        <v>289</v>
      </c>
      <c r="U419">
        <v>1.7430323959285372E-3</v>
      </c>
      <c r="V419" t="s">
        <v>154</v>
      </c>
    </row>
    <row r="420" spans="9:22" x14ac:dyDescent="0.25">
      <c r="I420" t="s">
        <v>178</v>
      </c>
      <c r="J420" t="s">
        <v>290</v>
      </c>
      <c r="K420">
        <v>0</v>
      </c>
      <c r="L420" t="s">
        <v>154</v>
      </c>
      <c r="N420" t="s">
        <v>208</v>
      </c>
      <c r="O420" t="s">
        <v>290</v>
      </c>
      <c r="P420">
        <v>5.5925351510513321E-3</v>
      </c>
      <c r="Q420" t="s">
        <v>154</v>
      </c>
      <c r="S420" t="s">
        <v>239</v>
      </c>
      <c r="T420" t="s">
        <v>290</v>
      </c>
      <c r="U420">
        <v>9.2561194454306734E-3</v>
      </c>
      <c r="V420" t="s">
        <v>154</v>
      </c>
    </row>
    <row r="421" spans="9:22" x14ac:dyDescent="0.25">
      <c r="I421" t="s">
        <v>178</v>
      </c>
      <c r="J421" t="s">
        <v>297</v>
      </c>
      <c r="K421">
        <v>8.9906180801682511E-3</v>
      </c>
      <c r="L421" t="s">
        <v>154</v>
      </c>
      <c r="N421" t="s">
        <v>208</v>
      </c>
      <c r="O421" t="s">
        <v>297</v>
      </c>
      <c r="P421">
        <v>1.2164480598041871E-2</v>
      </c>
      <c r="Q421" t="s">
        <v>154</v>
      </c>
      <c r="S421" t="s">
        <v>239</v>
      </c>
      <c r="T421" t="s">
        <v>297</v>
      </c>
      <c r="U421">
        <v>2.5346486843304494E-2</v>
      </c>
      <c r="V421" t="s">
        <v>154</v>
      </c>
    </row>
    <row r="422" spans="9:22" x14ac:dyDescent="0.25">
      <c r="I422" t="s">
        <v>178</v>
      </c>
      <c r="J422" t="s">
        <v>298</v>
      </c>
      <c r="K422">
        <v>5.4491546103741309E-2</v>
      </c>
      <c r="L422" t="s">
        <v>154</v>
      </c>
      <c r="N422" t="s">
        <v>208</v>
      </c>
      <c r="O422" t="s">
        <v>298</v>
      </c>
      <c r="P422">
        <v>2.9143662242187358E-2</v>
      </c>
      <c r="Q422" t="s">
        <v>154</v>
      </c>
      <c r="S422" t="s">
        <v>239</v>
      </c>
      <c r="T422" t="s">
        <v>298</v>
      </c>
      <c r="U422">
        <v>2.2667027581646293E-2</v>
      </c>
      <c r="V422" t="s">
        <v>154</v>
      </c>
    </row>
    <row r="423" spans="9:22" x14ac:dyDescent="0.25">
      <c r="I423" t="s">
        <v>178</v>
      </c>
      <c r="J423" t="s">
        <v>299</v>
      </c>
      <c r="K423">
        <v>0</v>
      </c>
      <c r="L423" t="s">
        <v>154</v>
      </c>
      <c r="N423" t="s">
        <v>208</v>
      </c>
      <c r="O423" t="s">
        <v>299</v>
      </c>
      <c r="P423">
        <v>4.2839611913678549E-3</v>
      </c>
      <c r="Q423" t="s">
        <v>154</v>
      </c>
      <c r="S423" t="s">
        <v>239</v>
      </c>
      <c r="T423" t="s">
        <v>299</v>
      </c>
      <c r="U423">
        <v>2.8924086212771269E-3</v>
      </c>
      <c r="V423" t="s">
        <v>154</v>
      </c>
    </row>
    <row r="424" spans="9:22" x14ac:dyDescent="0.25">
      <c r="I424" t="s">
        <v>178</v>
      </c>
      <c r="J424" t="s">
        <v>300</v>
      </c>
      <c r="K424">
        <v>0</v>
      </c>
      <c r="L424" t="s">
        <v>154</v>
      </c>
      <c r="N424" t="s">
        <v>208</v>
      </c>
      <c r="O424" t="s">
        <v>300</v>
      </c>
      <c r="P424">
        <v>3.4269340979750699E-3</v>
      </c>
      <c r="Q424" t="s">
        <v>154</v>
      </c>
      <c r="S424" t="s">
        <v>239</v>
      </c>
      <c r="T424" t="s">
        <v>300</v>
      </c>
      <c r="U424">
        <v>2.743583758247195E-3</v>
      </c>
      <c r="V424" t="s">
        <v>154</v>
      </c>
    </row>
    <row r="425" spans="9:22" x14ac:dyDescent="0.25">
      <c r="I425" t="s">
        <v>178</v>
      </c>
      <c r="J425" t="s">
        <v>301</v>
      </c>
      <c r="K425">
        <v>0</v>
      </c>
      <c r="L425" t="s">
        <v>154</v>
      </c>
      <c r="N425" t="s">
        <v>208</v>
      </c>
      <c r="O425" t="s">
        <v>301</v>
      </c>
      <c r="P425">
        <v>1.2081286500544778E-2</v>
      </c>
      <c r="Q425" t="s">
        <v>154</v>
      </c>
      <c r="S425" t="s">
        <v>239</v>
      </c>
      <c r="T425" t="s">
        <v>301</v>
      </c>
      <c r="U425">
        <v>1.4494766313164299E-2</v>
      </c>
      <c r="V425" t="s">
        <v>154</v>
      </c>
    </row>
    <row r="426" spans="9:22" x14ac:dyDescent="0.25">
      <c r="I426" t="s">
        <v>178</v>
      </c>
      <c r="J426" t="s">
        <v>302</v>
      </c>
      <c r="K426">
        <v>5.9472829805556167E-3</v>
      </c>
      <c r="L426" t="s">
        <v>154</v>
      </c>
      <c r="N426" t="s">
        <v>208</v>
      </c>
      <c r="O426" t="s">
        <v>302</v>
      </c>
      <c r="P426">
        <v>4.4356455465753883E-2</v>
      </c>
      <c r="Q426" t="s">
        <v>154</v>
      </c>
      <c r="S426" t="s">
        <v>239</v>
      </c>
      <c r="T426" t="s">
        <v>302</v>
      </c>
      <c r="U426">
        <v>5.7861248149346935E-2</v>
      </c>
      <c r="V426" t="s">
        <v>154</v>
      </c>
    </row>
    <row r="427" spans="9:22" x14ac:dyDescent="0.25">
      <c r="I427" t="s">
        <v>178</v>
      </c>
      <c r="J427" t="s">
        <v>303</v>
      </c>
      <c r="K427">
        <v>6.815877867098552E-2</v>
      </c>
      <c r="L427" t="s">
        <v>154</v>
      </c>
      <c r="N427" t="s">
        <v>208</v>
      </c>
      <c r="O427" t="s">
        <v>303</v>
      </c>
      <c r="P427">
        <v>7.2069427670397909E-2</v>
      </c>
      <c r="Q427" t="s">
        <v>154</v>
      </c>
      <c r="S427" t="s">
        <v>239</v>
      </c>
      <c r="T427" t="s">
        <v>303</v>
      </c>
      <c r="U427">
        <v>4.8654906378291819E-2</v>
      </c>
      <c r="V427" t="s">
        <v>154</v>
      </c>
    </row>
    <row r="428" spans="9:22" x14ac:dyDescent="0.25">
      <c r="I428" t="s">
        <v>178</v>
      </c>
      <c r="J428" t="s">
        <v>304</v>
      </c>
      <c r="K428">
        <v>0</v>
      </c>
      <c r="L428" t="s">
        <v>154</v>
      </c>
      <c r="N428" t="s">
        <v>208</v>
      </c>
      <c r="O428" t="s">
        <v>304</v>
      </c>
      <c r="P428">
        <v>9.3734376661200776E-3</v>
      </c>
      <c r="Q428" t="s">
        <v>154</v>
      </c>
      <c r="S428" t="s">
        <v>239</v>
      </c>
      <c r="T428" t="s">
        <v>304</v>
      </c>
      <c r="U428">
        <v>6.172647946665266E-3</v>
      </c>
      <c r="V428" t="s">
        <v>154</v>
      </c>
    </row>
    <row r="429" spans="9:22" x14ac:dyDescent="0.25">
      <c r="I429" t="s">
        <v>178</v>
      </c>
      <c r="J429" t="s">
        <v>305</v>
      </c>
      <c r="K429">
        <v>0</v>
      </c>
      <c r="L429" t="s">
        <v>154</v>
      </c>
      <c r="N429" t="s">
        <v>208</v>
      </c>
      <c r="O429" t="s">
        <v>305</v>
      </c>
      <c r="P429">
        <v>8.3789696544446183E-3</v>
      </c>
      <c r="Q429" t="s">
        <v>154</v>
      </c>
      <c r="S429" t="s">
        <v>239</v>
      </c>
      <c r="T429" t="s">
        <v>305</v>
      </c>
      <c r="U429">
        <v>5.8576572871213602E-3</v>
      </c>
      <c r="V429" t="s">
        <v>154</v>
      </c>
    </row>
    <row r="430" spans="9:22" x14ac:dyDescent="0.25">
      <c r="I430" t="s">
        <v>178</v>
      </c>
      <c r="J430" t="s">
        <v>306</v>
      </c>
      <c r="K430">
        <v>0</v>
      </c>
      <c r="L430" t="s">
        <v>154</v>
      </c>
      <c r="N430" t="s">
        <v>208</v>
      </c>
      <c r="O430" t="s">
        <v>306</v>
      </c>
      <c r="P430">
        <v>3.3855899899474101E-2</v>
      </c>
      <c r="Q430" t="s">
        <v>154</v>
      </c>
      <c r="S430" t="s">
        <v>239</v>
      </c>
      <c r="T430" t="s">
        <v>306</v>
      </c>
      <c r="U430">
        <v>2.9800428321962922E-2</v>
      </c>
      <c r="V430" t="s">
        <v>154</v>
      </c>
    </row>
    <row r="431" spans="9:22" x14ac:dyDescent="0.25">
      <c r="I431" t="s">
        <v>179</v>
      </c>
      <c r="J431" t="s">
        <v>153</v>
      </c>
      <c r="K431">
        <v>2.9929115310071454E-3</v>
      </c>
      <c r="L431" t="s">
        <v>154</v>
      </c>
      <c r="N431" t="s">
        <v>209</v>
      </c>
      <c r="O431" t="s">
        <v>153</v>
      </c>
      <c r="P431">
        <v>4.5120036574694537E-2</v>
      </c>
      <c r="Q431" t="s">
        <v>154</v>
      </c>
      <c r="S431" t="s">
        <v>240</v>
      </c>
      <c r="T431" t="s">
        <v>153</v>
      </c>
      <c r="U431">
        <v>4.5044884205820312E-2</v>
      </c>
      <c r="V431" t="s">
        <v>154</v>
      </c>
    </row>
    <row r="432" spans="9:22" x14ac:dyDescent="0.25">
      <c r="I432" t="s">
        <v>179</v>
      </c>
      <c r="J432" t="s">
        <v>155</v>
      </c>
      <c r="K432">
        <v>5.876063200226149E-2</v>
      </c>
      <c r="L432" t="s">
        <v>154</v>
      </c>
      <c r="N432" t="s">
        <v>209</v>
      </c>
      <c r="O432" t="s">
        <v>155</v>
      </c>
      <c r="P432">
        <v>3.8661884432045469E-2</v>
      </c>
      <c r="Q432" t="s">
        <v>154</v>
      </c>
      <c r="S432" t="s">
        <v>240</v>
      </c>
      <c r="T432" t="s">
        <v>155</v>
      </c>
      <c r="U432">
        <v>3.757576078298739E-2</v>
      </c>
      <c r="V432" t="s">
        <v>154</v>
      </c>
    </row>
    <row r="433" spans="9:22" x14ac:dyDescent="0.25">
      <c r="I433" t="s">
        <v>179</v>
      </c>
      <c r="J433" t="s">
        <v>156</v>
      </c>
      <c r="K433">
        <v>3.7209756138212427E-4</v>
      </c>
      <c r="L433" t="s">
        <v>154</v>
      </c>
      <c r="N433" t="s">
        <v>209</v>
      </c>
      <c r="O433" t="s">
        <v>156</v>
      </c>
      <c r="P433">
        <v>5.0988622614550052E-3</v>
      </c>
      <c r="Q433" t="s">
        <v>154</v>
      </c>
      <c r="S433" t="s">
        <v>240</v>
      </c>
      <c r="T433" t="s">
        <v>156</v>
      </c>
      <c r="U433">
        <v>4.9735183973304521E-3</v>
      </c>
      <c r="V433" t="s">
        <v>154</v>
      </c>
    </row>
    <row r="434" spans="9:22" x14ac:dyDescent="0.25">
      <c r="I434" t="s">
        <v>179</v>
      </c>
      <c r="J434" t="s">
        <v>283</v>
      </c>
      <c r="K434">
        <v>0</v>
      </c>
      <c r="L434" t="s">
        <v>154</v>
      </c>
      <c r="N434" t="s">
        <v>209</v>
      </c>
      <c r="O434" t="s">
        <v>283</v>
      </c>
      <c r="P434">
        <v>5.0958755841288995E-3</v>
      </c>
      <c r="Q434" t="s">
        <v>154</v>
      </c>
      <c r="S434" t="s">
        <v>240</v>
      </c>
      <c r="T434" t="s">
        <v>283</v>
      </c>
      <c r="U434">
        <v>4.682671149745677E-3</v>
      </c>
      <c r="V434" t="s">
        <v>154</v>
      </c>
    </row>
    <row r="435" spans="9:22" x14ac:dyDescent="0.25">
      <c r="I435" t="s">
        <v>179</v>
      </c>
      <c r="J435" t="s">
        <v>284</v>
      </c>
      <c r="K435">
        <v>0</v>
      </c>
      <c r="L435" t="s">
        <v>154</v>
      </c>
      <c r="N435" t="s">
        <v>209</v>
      </c>
      <c r="O435" t="s">
        <v>284</v>
      </c>
      <c r="P435">
        <v>2.3857561348186337E-2</v>
      </c>
      <c r="Q435" t="s">
        <v>154</v>
      </c>
      <c r="S435" t="s">
        <v>240</v>
      </c>
      <c r="T435" t="s">
        <v>284</v>
      </c>
      <c r="U435">
        <v>2.3208177017787122E-2</v>
      </c>
      <c r="V435" t="s">
        <v>154</v>
      </c>
    </row>
    <row r="436" spans="9:22" x14ac:dyDescent="0.25">
      <c r="I436" t="s">
        <v>179</v>
      </c>
      <c r="J436" t="s">
        <v>157</v>
      </c>
      <c r="K436">
        <v>1.1614210968961835E-3</v>
      </c>
      <c r="L436" t="s">
        <v>154</v>
      </c>
      <c r="N436" t="s">
        <v>209</v>
      </c>
      <c r="O436" t="s">
        <v>157</v>
      </c>
      <c r="P436">
        <v>1.1281126783654782E-2</v>
      </c>
      <c r="Q436" t="s">
        <v>154</v>
      </c>
      <c r="S436" t="s">
        <v>240</v>
      </c>
      <c r="T436" t="s">
        <v>157</v>
      </c>
      <c r="U436">
        <v>1.1118897464183651E-2</v>
      </c>
      <c r="V436" t="s">
        <v>154</v>
      </c>
    </row>
    <row r="437" spans="9:22" x14ac:dyDescent="0.25">
      <c r="I437" t="s">
        <v>179</v>
      </c>
      <c r="J437" t="s">
        <v>158</v>
      </c>
      <c r="K437">
        <v>2.1083273082401106E-2</v>
      </c>
      <c r="L437" t="s">
        <v>154</v>
      </c>
      <c r="N437" t="s">
        <v>209</v>
      </c>
      <c r="O437" t="s">
        <v>158</v>
      </c>
      <c r="P437">
        <v>1.1590837640576307E-2</v>
      </c>
      <c r="Q437" t="s">
        <v>154</v>
      </c>
      <c r="S437" t="s">
        <v>240</v>
      </c>
      <c r="T437" t="s">
        <v>158</v>
      </c>
      <c r="U437">
        <v>9.0743069196380505E-3</v>
      </c>
      <c r="V437" t="s">
        <v>154</v>
      </c>
    </row>
    <row r="438" spans="9:22" x14ac:dyDescent="0.25">
      <c r="I438" t="s">
        <v>179</v>
      </c>
      <c r="J438" t="s">
        <v>159</v>
      </c>
      <c r="K438">
        <v>9.9080403416439773E-4</v>
      </c>
      <c r="L438" t="s">
        <v>154</v>
      </c>
      <c r="N438" t="s">
        <v>209</v>
      </c>
      <c r="O438" t="s">
        <v>159</v>
      </c>
      <c r="P438">
        <v>1.4032562029765584E-3</v>
      </c>
      <c r="Q438" t="s">
        <v>154</v>
      </c>
      <c r="S438" t="s">
        <v>240</v>
      </c>
      <c r="T438" t="s">
        <v>159</v>
      </c>
      <c r="U438">
        <v>1.2493088021716503E-3</v>
      </c>
      <c r="V438" t="s">
        <v>154</v>
      </c>
    </row>
    <row r="439" spans="9:22" x14ac:dyDescent="0.25">
      <c r="I439" t="s">
        <v>179</v>
      </c>
      <c r="J439" t="s">
        <v>285</v>
      </c>
      <c r="K439">
        <v>0</v>
      </c>
      <c r="L439" t="s">
        <v>154</v>
      </c>
      <c r="N439" t="s">
        <v>209</v>
      </c>
      <c r="O439" t="s">
        <v>285</v>
      </c>
      <c r="P439">
        <v>1.4351162713003036E-3</v>
      </c>
      <c r="Q439" t="s">
        <v>154</v>
      </c>
      <c r="S439" t="s">
        <v>240</v>
      </c>
      <c r="T439" t="s">
        <v>285</v>
      </c>
      <c r="U439">
        <v>1.1608103464398668E-3</v>
      </c>
      <c r="V439" t="s">
        <v>154</v>
      </c>
    </row>
    <row r="440" spans="9:22" x14ac:dyDescent="0.25">
      <c r="I440" t="s">
        <v>179</v>
      </c>
      <c r="J440" t="s">
        <v>286</v>
      </c>
      <c r="K440">
        <v>0</v>
      </c>
      <c r="L440" t="s">
        <v>154</v>
      </c>
      <c r="N440" t="s">
        <v>209</v>
      </c>
      <c r="O440" t="s">
        <v>286</v>
      </c>
      <c r="P440">
        <v>6.306441627987055E-3</v>
      </c>
      <c r="Q440" t="s">
        <v>154</v>
      </c>
      <c r="S440" t="s">
        <v>240</v>
      </c>
      <c r="T440" t="s">
        <v>286</v>
      </c>
      <c r="U440">
        <v>6.2843490005354725E-3</v>
      </c>
      <c r="V440" t="s">
        <v>154</v>
      </c>
    </row>
    <row r="441" spans="9:22" x14ac:dyDescent="0.25">
      <c r="I441" t="s">
        <v>179</v>
      </c>
      <c r="J441" t="s">
        <v>160</v>
      </c>
      <c r="K441">
        <v>0.1120574367762819</v>
      </c>
      <c r="L441" t="s">
        <v>154</v>
      </c>
      <c r="N441" t="s">
        <v>209</v>
      </c>
      <c r="O441" t="s">
        <v>160</v>
      </c>
      <c r="P441">
        <v>0.20414058253171397</v>
      </c>
      <c r="Q441" t="s">
        <v>154</v>
      </c>
      <c r="S441" t="s">
        <v>240</v>
      </c>
      <c r="T441" t="s">
        <v>160</v>
      </c>
      <c r="U441">
        <v>0.23348181215397693</v>
      </c>
      <c r="V441" t="s">
        <v>154</v>
      </c>
    </row>
    <row r="442" spans="9:22" x14ac:dyDescent="0.25">
      <c r="I442" t="s">
        <v>179</v>
      </c>
      <c r="J442" t="s">
        <v>161</v>
      </c>
      <c r="K442">
        <v>0.6017013175097663</v>
      </c>
      <c r="L442" t="s">
        <v>154</v>
      </c>
      <c r="N442" t="s">
        <v>209</v>
      </c>
      <c r="O442" t="s">
        <v>161</v>
      </c>
      <c r="P442">
        <v>0.20859956147345302</v>
      </c>
      <c r="Q442" t="s">
        <v>154</v>
      </c>
      <c r="S442" t="s">
        <v>240</v>
      </c>
      <c r="T442" t="s">
        <v>161</v>
      </c>
      <c r="U442">
        <v>0.18628946706365326</v>
      </c>
      <c r="V442" t="s">
        <v>154</v>
      </c>
    </row>
    <row r="443" spans="9:22" x14ac:dyDescent="0.25">
      <c r="I443" t="s">
        <v>179</v>
      </c>
      <c r="J443" t="s">
        <v>162</v>
      </c>
      <c r="K443">
        <v>4.3271135698558442E-2</v>
      </c>
      <c r="L443" t="s">
        <v>154</v>
      </c>
      <c r="N443" t="s">
        <v>209</v>
      </c>
      <c r="O443" t="s">
        <v>162</v>
      </c>
      <c r="P443">
        <v>2.8720540824749459E-2</v>
      </c>
      <c r="Q443" t="s">
        <v>154</v>
      </c>
      <c r="S443" t="s">
        <v>240</v>
      </c>
      <c r="T443" t="s">
        <v>162</v>
      </c>
      <c r="U443">
        <v>2.6398792954497003E-2</v>
      </c>
      <c r="V443" t="s">
        <v>154</v>
      </c>
    </row>
    <row r="444" spans="9:22" x14ac:dyDescent="0.25">
      <c r="I444" t="s">
        <v>179</v>
      </c>
      <c r="J444" t="s">
        <v>287</v>
      </c>
      <c r="K444">
        <v>2.177147862677381E-2</v>
      </c>
      <c r="L444" t="s">
        <v>154</v>
      </c>
      <c r="N444" t="s">
        <v>209</v>
      </c>
      <c r="O444" t="s">
        <v>287</v>
      </c>
      <c r="P444">
        <v>2.8238574927850302E-2</v>
      </c>
      <c r="Q444" t="s">
        <v>154</v>
      </c>
      <c r="S444" t="s">
        <v>240</v>
      </c>
      <c r="T444" t="s">
        <v>287</v>
      </c>
      <c r="U444">
        <v>2.2725441747407829E-2</v>
      </c>
      <c r="V444" t="s">
        <v>154</v>
      </c>
    </row>
    <row r="445" spans="9:22" x14ac:dyDescent="0.25">
      <c r="I445" t="s">
        <v>179</v>
      </c>
      <c r="J445" t="s">
        <v>288</v>
      </c>
      <c r="K445">
        <v>6.3941683843773975E-3</v>
      </c>
      <c r="L445" t="s">
        <v>154</v>
      </c>
      <c r="N445" t="s">
        <v>209</v>
      </c>
      <c r="O445" t="s">
        <v>288</v>
      </c>
      <c r="P445">
        <v>0.12611320645588953</v>
      </c>
      <c r="Q445" t="s">
        <v>154</v>
      </c>
      <c r="S445" t="s">
        <v>240</v>
      </c>
      <c r="T445" t="s">
        <v>288</v>
      </c>
      <c r="U445">
        <v>0.12948115784648584</v>
      </c>
      <c r="V445" t="s">
        <v>154</v>
      </c>
    </row>
    <row r="446" spans="9:22" x14ac:dyDescent="0.25">
      <c r="I446" t="s">
        <v>179</v>
      </c>
      <c r="J446" t="s">
        <v>163</v>
      </c>
      <c r="K446">
        <v>3.1240740676197302E-3</v>
      </c>
      <c r="L446" t="s">
        <v>154</v>
      </c>
      <c r="N446" t="s">
        <v>209</v>
      </c>
      <c r="O446" t="s">
        <v>163</v>
      </c>
      <c r="P446">
        <v>1.7107957721487991E-2</v>
      </c>
      <c r="Q446" t="s">
        <v>154</v>
      </c>
      <c r="S446" t="s">
        <v>240</v>
      </c>
      <c r="T446" t="s">
        <v>163</v>
      </c>
      <c r="U446">
        <v>1.6541225935084593E-2</v>
      </c>
      <c r="V446" t="s">
        <v>154</v>
      </c>
    </row>
    <row r="447" spans="9:22" x14ac:dyDescent="0.25">
      <c r="I447" t="s">
        <v>179</v>
      </c>
      <c r="J447" t="s">
        <v>164</v>
      </c>
      <c r="K447">
        <v>2.201671941446115E-2</v>
      </c>
      <c r="L447" t="s">
        <v>154</v>
      </c>
      <c r="N447" t="s">
        <v>209</v>
      </c>
      <c r="O447" t="s">
        <v>164</v>
      </c>
      <c r="P447">
        <v>1.3271397062374145E-2</v>
      </c>
      <c r="Q447" t="s">
        <v>154</v>
      </c>
      <c r="S447" t="s">
        <v>240</v>
      </c>
      <c r="T447" t="s">
        <v>164</v>
      </c>
      <c r="U447">
        <v>1.5372423694122356E-2</v>
      </c>
      <c r="V447" t="s">
        <v>154</v>
      </c>
    </row>
    <row r="448" spans="9:22" x14ac:dyDescent="0.25">
      <c r="I448" t="s">
        <v>179</v>
      </c>
      <c r="J448" t="s">
        <v>165</v>
      </c>
      <c r="K448">
        <v>5.1680487310174416E-4</v>
      </c>
      <c r="L448" t="s">
        <v>154</v>
      </c>
      <c r="N448" t="s">
        <v>209</v>
      </c>
      <c r="O448" t="s">
        <v>165</v>
      </c>
      <c r="P448">
        <v>1.6988971852934819E-3</v>
      </c>
      <c r="Q448" t="s">
        <v>154</v>
      </c>
      <c r="S448" t="s">
        <v>240</v>
      </c>
      <c r="T448" t="s">
        <v>165</v>
      </c>
      <c r="U448">
        <v>2.0561664316852174E-3</v>
      </c>
      <c r="V448" t="s">
        <v>154</v>
      </c>
    </row>
    <row r="449" spans="9:22" x14ac:dyDescent="0.25">
      <c r="I449" t="s">
        <v>179</v>
      </c>
      <c r="J449" t="s">
        <v>289</v>
      </c>
      <c r="K449">
        <v>0</v>
      </c>
      <c r="L449" t="s">
        <v>154</v>
      </c>
      <c r="N449" t="s">
        <v>209</v>
      </c>
      <c r="O449" t="s">
        <v>289</v>
      </c>
      <c r="P449">
        <v>1.7459506593480762E-3</v>
      </c>
      <c r="Q449" t="s">
        <v>154</v>
      </c>
      <c r="S449" t="s">
        <v>240</v>
      </c>
      <c r="T449" t="s">
        <v>289</v>
      </c>
      <c r="U449">
        <v>1.8952376167048809E-3</v>
      </c>
      <c r="V449" t="s">
        <v>154</v>
      </c>
    </row>
    <row r="450" spans="9:22" x14ac:dyDescent="0.25">
      <c r="I450" t="s">
        <v>179</v>
      </c>
      <c r="J450" t="s">
        <v>290</v>
      </c>
      <c r="K450">
        <v>0</v>
      </c>
      <c r="L450" t="s">
        <v>154</v>
      </c>
      <c r="N450" t="s">
        <v>209</v>
      </c>
      <c r="O450" t="s">
        <v>290</v>
      </c>
      <c r="P450">
        <v>7.8988613793770698E-3</v>
      </c>
      <c r="Q450" t="s">
        <v>154</v>
      </c>
      <c r="S450" t="s">
        <v>240</v>
      </c>
      <c r="T450" t="s">
        <v>290</v>
      </c>
      <c r="U450">
        <v>9.6240275137744555E-3</v>
      </c>
      <c r="V450" t="s">
        <v>154</v>
      </c>
    </row>
    <row r="451" spans="9:22" x14ac:dyDescent="0.25">
      <c r="I451" t="s">
        <v>179</v>
      </c>
      <c r="J451" t="s">
        <v>297</v>
      </c>
      <c r="K451">
        <v>5.0747383593455538E-3</v>
      </c>
      <c r="L451" t="s">
        <v>154</v>
      </c>
      <c r="N451" t="s">
        <v>209</v>
      </c>
      <c r="O451" t="s">
        <v>297</v>
      </c>
      <c r="P451">
        <v>2.2528204523980223E-2</v>
      </c>
      <c r="Q451" t="s">
        <v>154</v>
      </c>
      <c r="S451" t="s">
        <v>240</v>
      </c>
      <c r="T451" t="s">
        <v>297</v>
      </c>
      <c r="U451">
        <v>2.6784278349793106E-2</v>
      </c>
      <c r="V451" t="s">
        <v>154</v>
      </c>
    </row>
    <row r="452" spans="9:22" x14ac:dyDescent="0.25">
      <c r="I452" t="s">
        <v>179</v>
      </c>
      <c r="J452" t="s">
        <v>298</v>
      </c>
      <c r="K452">
        <v>4.2918531725462214E-2</v>
      </c>
      <c r="L452" t="s">
        <v>154</v>
      </c>
      <c r="N452" t="s">
        <v>209</v>
      </c>
      <c r="O452" t="s">
        <v>298</v>
      </c>
      <c r="P452">
        <v>2.598756627402752E-2</v>
      </c>
      <c r="Q452" t="s">
        <v>154</v>
      </c>
      <c r="S452" t="s">
        <v>240</v>
      </c>
      <c r="T452" t="s">
        <v>298</v>
      </c>
      <c r="U452">
        <v>2.2901687521445859E-2</v>
      </c>
      <c r="V452" t="s">
        <v>154</v>
      </c>
    </row>
    <row r="453" spans="9:22" x14ac:dyDescent="0.25">
      <c r="I453" t="s">
        <v>179</v>
      </c>
      <c r="J453" t="s">
        <v>299</v>
      </c>
      <c r="K453">
        <v>0</v>
      </c>
      <c r="L453" t="s">
        <v>154</v>
      </c>
      <c r="N453" t="s">
        <v>209</v>
      </c>
      <c r="O453" t="s">
        <v>299</v>
      </c>
      <c r="P453">
        <v>3.5090709563624298E-3</v>
      </c>
      <c r="Q453" t="s">
        <v>154</v>
      </c>
      <c r="S453" t="s">
        <v>240</v>
      </c>
      <c r="T453" t="s">
        <v>299</v>
      </c>
      <c r="U453">
        <v>2.9782960519817835E-3</v>
      </c>
      <c r="V453" t="s">
        <v>154</v>
      </c>
    </row>
    <row r="454" spans="9:22" x14ac:dyDescent="0.25">
      <c r="I454" t="s">
        <v>179</v>
      </c>
      <c r="J454" t="s">
        <v>300</v>
      </c>
      <c r="K454">
        <v>0</v>
      </c>
      <c r="L454" t="s">
        <v>154</v>
      </c>
      <c r="N454" t="s">
        <v>209</v>
      </c>
      <c r="O454" t="s">
        <v>300</v>
      </c>
      <c r="P454">
        <v>3.2830736881248167E-3</v>
      </c>
      <c r="Q454" t="s">
        <v>154</v>
      </c>
      <c r="S454" t="s">
        <v>240</v>
      </c>
      <c r="T454" t="s">
        <v>300</v>
      </c>
      <c r="U454">
        <v>2.7903406902189121E-3</v>
      </c>
      <c r="V454" t="s">
        <v>154</v>
      </c>
    </row>
    <row r="455" spans="9:22" x14ac:dyDescent="0.25">
      <c r="I455" t="s">
        <v>179</v>
      </c>
      <c r="J455" t="s">
        <v>301</v>
      </c>
      <c r="K455">
        <v>0</v>
      </c>
      <c r="L455" t="s">
        <v>154</v>
      </c>
      <c r="N455" t="s">
        <v>209</v>
      </c>
      <c r="O455" t="s">
        <v>301</v>
      </c>
      <c r="P455">
        <v>1.3790707381500547E-2</v>
      </c>
      <c r="Q455" t="s">
        <v>154</v>
      </c>
      <c r="S455" t="s">
        <v>240</v>
      </c>
      <c r="T455" t="s">
        <v>301</v>
      </c>
      <c r="U455">
        <v>1.4049309413232647E-2</v>
      </c>
      <c r="V455" t="s">
        <v>154</v>
      </c>
    </row>
    <row r="456" spans="9:22" x14ac:dyDescent="0.25">
      <c r="I456" t="s">
        <v>179</v>
      </c>
      <c r="J456" t="s">
        <v>302</v>
      </c>
      <c r="K456">
        <v>3.5452730605669827E-3</v>
      </c>
      <c r="L456" t="s">
        <v>154</v>
      </c>
      <c r="N456" t="s">
        <v>209</v>
      </c>
      <c r="O456" t="s">
        <v>302</v>
      </c>
      <c r="P456">
        <v>4.9570612223093335E-2</v>
      </c>
      <c r="Q456" t="s">
        <v>154</v>
      </c>
      <c r="S456" t="s">
        <v>240</v>
      </c>
      <c r="T456" t="s">
        <v>302</v>
      </c>
      <c r="U456">
        <v>5.4939944974435148E-2</v>
      </c>
      <c r="V456" t="s">
        <v>154</v>
      </c>
    </row>
    <row r="457" spans="9:22" x14ac:dyDescent="0.25">
      <c r="I457" t="s">
        <v>179</v>
      </c>
      <c r="J457" t="s">
        <v>303</v>
      </c>
      <c r="K457">
        <v>5.224718219557388E-2</v>
      </c>
      <c r="L457" t="s">
        <v>154</v>
      </c>
      <c r="N457" t="s">
        <v>209</v>
      </c>
      <c r="O457" t="s">
        <v>303</v>
      </c>
      <c r="P457">
        <v>5.1129708427142311E-2</v>
      </c>
      <c r="Q457" t="s">
        <v>154</v>
      </c>
      <c r="S457" t="s">
        <v>240</v>
      </c>
      <c r="T457" t="s">
        <v>303</v>
      </c>
      <c r="U457">
        <v>4.6069191917592754E-2</v>
      </c>
      <c r="V457" t="s">
        <v>154</v>
      </c>
    </row>
    <row r="458" spans="9:22" x14ac:dyDescent="0.25">
      <c r="I458" t="s">
        <v>179</v>
      </c>
      <c r="J458" t="s">
        <v>304</v>
      </c>
      <c r="K458">
        <v>0</v>
      </c>
      <c r="L458" t="s">
        <v>154</v>
      </c>
      <c r="N458" t="s">
        <v>209</v>
      </c>
      <c r="O458" t="s">
        <v>304</v>
      </c>
      <c r="P458">
        <v>6.6469115761394679E-3</v>
      </c>
      <c r="Q458" t="s">
        <v>154</v>
      </c>
      <c r="S458" t="s">
        <v>240</v>
      </c>
      <c r="T458" t="s">
        <v>304</v>
      </c>
      <c r="U458">
        <v>5.9583933918486839E-3</v>
      </c>
      <c r="V458" t="s">
        <v>154</v>
      </c>
    </row>
    <row r="459" spans="9:22" x14ac:dyDescent="0.25">
      <c r="I459" t="s">
        <v>179</v>
      </c>
      <c r="J459" t="s">
        <v>305</v>
      </c>
      <c r="K459">
        <v>0</v>
      </c>
      <c r="L459" t="s">
        <v>154</v>
      </c>
      <c r="N459" t="s">
        <v>209</v>
      </c>
      <c r="O459" t="s">
        <v>305</v>
      </c>
      <c r="P459">
        <v>6.4136552113767276E-3</v>
      </c>
      <c r="Q459" t="s">
        <v>154</v>
      </c>
      <c r="S459" t="s">
        <v>240</v>
      </c>
      <c r="T459" t="s">
        <v>305</v>
      </c>
      <c r="U459">
        <v>5.847135226806353E-3</v>
      </c>
      <c r="V459" t="s">
        <v>154</v>
      </c>
    </row>
    <row r="460" spans="9:22" x14ac:dyDescent="0.25">
      <c r="I460" t="s">
        <v>179</v>
      </c>
      <c r="J460" t="s">
        <v>306</v>
      </c>
      <c r="K460">
        <v>0</v>
      </c>
      <c r="L460" t="s">
        <v>154</v>
      </c>
      <c r="N460" t="s">
        <v>209</v>
      </c>
      <c r="O460" t="s">
        <v>306</v>
      </c>
      <c r="P460">
        <v>2.9753960789710394E-2</v>
      </c>
      <c r="Q460" t="s">
        <v>154</v>
      </c>
      <c r="S460" t="s">
        <v>240</v>
      </c>
      <c r="T460" t="s">
        <v>306</v>
      </c>
      <c r="U460">
        <v>2.9442985418614478E-2</v>
      </c>
      <c r="V460" t="s">
        <v>154</v>
      </c>
    </row>
    <row r="461" spans="9:22" x14ac:dyDescent="0.25">
      <c r="I461" t="s">
        <v>180</v>
      </c>
      <c r="J461" t="s">
        <v>153</v>
      </c>
      <c r="K461">
        <v>2.9833846125980139E-3</v>
      </c>
      <c r="L461" t="s">
        <v>154</v>
      </c>
      <c r="N461" t="s">
        <v>210</v>
      </c>
      <c r="O461" t="s">
        <v>153</v>
      </c>
      <c r="P461">
        <v>4.1781572741605551E-2</v>
      </c>
      <c r="Q461" t="s">
        <v>154</v>
      </c>
      <c r="S461" t="s">
        <v>241</v>
      </c>
      <c r="T461" t="s">
        <v>153</v>
      </c>
      <c r="U461">
        <v>5.3360501461309405E-2</v>
      </c>
      <c r="V461" t="s">
        <v>154</v>
      </c>
    </row>
    <row r="462" spans="9:22" x14ac:dyDescent="0.25">
      <c r="I462" t="s">
        <v>180</v>
      </c>
      <c r="J462" t="s">
        <v>155</v>
      </c>
      <c r="K462">
        <v>5.6608685453848846E-2</v>
      </c>
      <c r="L462" t="s">
        <v>154</v>
      </c>
      <c r="N462" t="s">
        <v>210</v>
      </c>
      <c r="O462" t="s">
        <v>155</v>
      </c>
      <c r="P462">
        <v>3.7891450410972458E-2</v>
      </c>
      <c r="Q462" t="s">
        <v>154</v>
      </c>
      <c r="S462" t="s">
        <v>241</v>
      </c>
      <c r="T462" t="s">
        <v>155</v>
      </c>
      <c r="U462">
        <v>4.5234375564703749E-2</v>
      </c>
      <c r="V462" t="s">
        <v>154</v>
      </c>
    </row>
    <row r="463" spans="9:22" x14ac:dyDescent="0.25">
      <c r="I463" t="s">
        <v>180</v>
      </c>
      <c r="J463" t="s">
        <v>156</v>
      </c>
      <c r="K463">
        <v>2.6560430327352702E-4</v>
      </c>
      <c r="L463" t="s">
        <v>154</v>
      </c>
      <c r="N463" t="s">
        <v>210</v>
      </c>
      <c r="O463" t="s">
        <v>156</v>
      </c>
      <c r="P463">
        <v>5.7804104872022843E-3</v>
      </c>
      <c r="Q463" t="s">
        <v>154</v>
      </c>
      <c r="S463" t="s">
        <v>241</v>
      </c>
      <c r="T463" t="s">
        <v>156</v>
      </c>
      <c r="U463">
        <v>5.3815426811298899E-3</v>
      </c>
      <c r="V463" t="s">
        <v>154</v>
      </c>
    </row>
    <row r="464" spans="9:22" x14ac:dyDescent="0.25">
      <c r="I464" t="s">
        <v>180</v>
      </c>
      <c r="J464" t="s">
        <v>283</v>
      </c>
      <c r="K464">
        <v>0</v>
      </c>
      <c r="L464" t="s">
        <v>154</v>
      </c>
      <c r="N464" t="s">
        <v>210</v>
      </c>
      <c r="O464" t="s">
        <v>283</v>
      </c>
      <c r="P464">
        <v>5.7606356473289093E-3</v>
      </c>
      <c r="Q464" t="s">
        <v>154</v>
      </c>
      <c r="S464" t="s">
        <v>241</v>
      </c>
      <c r="T464" t="s">
        <v>283</v>
      </c>
      <c r="U464">
        <v>5.474452096893177E-3</v>
      </c>
      <c r="V464" t="s">
        <v>154</v>
      </c>
    </row>
    <row r="465" spans="9:22" x14ac:dyDescent="0.25">
      <c r="I465" t="s">
        <v>180</v>
      </c>
      <c r="J465" t="s">
        <v>284</v>
      </c>
      <c r="K465">
        <v>0</v>
      </c>
      <c r="L465" t="s">
        <v>154</v>
      </c>
      <c r="N465" t="s">
        <v>210</v>
      </c>
      <c r="O465" t="s">
        <v>284</v>
      </c>
      <c r="P465">
        <v>2.6046521091763655E-2</v>
      </c>
      <c r="Q465" t="s">
        <v>154</v>
      </c>
      <c r="S465" t="s">
        <v>241</v>
      </c>
      <c r="T465" t="s">
        <v>284</v>
      </c>
      <c r="U465">
        <v>2.6952311786712885E-2</v>
      </c>
      <c r="V465" t="s">
        <v>154</v>
      </c>
    </row>
    <row r="466" spans="9:22" x14ac:dyDescent="0.25">
      <c r="I466" t="s">
        <v>180</v>
      </c>
      <c r="J466" t="s">
        <v>157</v>
      </c>
      <c r="K466">
        <v>1.002399753247122E-3</v>
      </c>
      <c r="L466" t="s">
        <v>154</v>
      </c>
      <c r="N466" t="s">
        <v>210</v>
      </c>
      <c r="O466" t="s">
        <v>157</v>
      </c>
      <c r="P466">
        <v>1.2095098597209272E-2</v>
      </c>
      <c r="Q466" t="s">
        <v>154</v>
      </c>
      <c r="S466" t="s">
        <v>241</v>
      </c>
      <c r="T466" t="s">
        <v>157</v>
      </c>
      <c r="U466">
        <v>6.8257310852293694E-3</v>
      </c>
      <c r="V466" t="s">
        <v>154</v>
      </c>
    </row>
    <row r="467" spans="9:22" x14ac:dyDescent="0.25">
      <c r="I467" t="s">
        <v>180</v>
      </c>
      <c r="J467" t="s">
        <v>158</v>
      </c>
      <c r="K467">
        <v>1.9616031113833386E-2</v>
      </c>
      <c r="L467" t="s">
        <v>154</v>
      </c>
      <c r="N467" t="s">
        <v>210</v>
      </c>
      <c r="O467" t="s">
        <v>158</v>
      </c>
      <c r="P467">
        <v>1.0473586878411994E-2</v>
      </c>
      <c r="Q467" t="s">
        <v>154</v>
      </c>
      <c r="S467" t="s">
        <v>241</v>
      </c>
      <c r="T467" t="s">
        <v>158</v>
      </c>
      <c r="U467">
        <v>7.1682886322314487E-3</v>
      </c>
      <c r="V467" t="s">
        <v>154</v>
      </c>
    </row>
    <row r="468" spans="9:22" x14ac:dyDescent="0.25">
      <c r="I468" t="s">
        <v>180</v>
      </c>
      <c r="J468" t="s">
        <v>159</v>
      </c>
      <c r="K468">
        <v>9.667697345712874E-4</v>
      </c>
      <c r="L468" t="s">
        <v>154</v>
      </c>
      <c r="N468" t="s">
        <v>210</v>
      </c>
      <c r="O468" t="s">
        <v>159</v>
      </c>
      <c r="P468">
        <v>1.299487430868545E-3</v>
      </c>
      <c r="Q468" t="s">
        <v>154</v>
      </c>
      <c r="S468" t="s">
        <v>241</v>
      </c>
      <c r="T468" t="s">
        <v>159</v>
      </c>
      <c r="U468">
        <v>1.0079007151844923E-3</v>
      </c>
      <c r="V468" t="s">
        <v>154</v>
      </c>
    </row>
    <row r="469" spans="9:22" x14ac:dyDescent="0.25">
      <c r="I469" t="s">
        <v>180</v>
      </c>
      <c r="J469" t="s">
        <v>285</v>
      </c>
      <c r="K469">
        <v>0</v>
      </c>
      <c r="L469" t="s">
        <v>154</v>
      </c>
      <c r="N469" t="s">
        <v>210</v>
      </c>
      <c r="O469" t="s">
        <v>285</v>
      </c>
      <c r="P469">
        <v>1.2753988438690207E-3</v>
      </c>
      <c r="Q469" t="s">
        <v>154</v>
      </c>
      <c r="S469" t="s">
        <v>241</v>
      </c>
      <c r="T469" t="s">
        <v>285</v>
      </c>
      <c r="U469">
        <v>9.7693527561836923E-4</v>
      </c>
      <c r="V469" t="s">
        <v>154</v>
      </c>
    </row>
    <row r="470" spans="9:22" x14ac:dyDescent="0.25">
      <c r="I470" t="s">
        <v>180</v>
      </c>
      <c r="J470" t="s">
        <v>286</v>
      </c>
      <c r="K470">
        <v>0</v>
      </c>
      <c r="L470" t="s">
        <v>154</v>
      </c>
      <c r="N470" t="s">
        <v>210</v>
      </c>
      <c r="O470" t="s">
        <v>286</v>
      </c>
      <c r="P470">
        <v>5.7599870911426623E-3</v>
      </c>
      <c r="Q470" t="s">
        <v>154</v>
      </c>
      <c r="S470" t="s">
        <v>241</v>
      </c>
      <c r="T470" t="s">
        <v>286</v>
      </c>
      <c r="U470">
        <v>4.0243215539003006E-3</v>
      </c>
      <c r="V470" t="s">
        <v>154</v>
      </c>
    </row>
    <row r="471" spans="9:22" x14ac:dyDescent="0.25">
      <c r="I471" t="s">
        <v>180</v>
      </c>
      <c r="J471" t="s">
        <v>160</v>
      </c>
      <c r="K471">
        <v>0.11210744254695433</v>
      </c>
      <c r="L471" t="s">
        <v>154</v>
      </c>
      <c r="N471" t="s">
        <v>210</v>
      </c>
      <c r="O471" t="s">
        <v>160</v>
      </c>
      <c r="P471">
        <v>0.22418830564719344</v>
      </c>
      <c r="Q471" t="s">
        <v>154</v>
      </c>
      <c r="S471" t="s">
        <v>241</v>
      </c>
      <c r="T471" t="s">
        <v>160</v>
      </c>
      <c r="U471">
        <v>0.21269712363096743</v>
      </c>
      <c r="V471" t="s">
        <v>154</v>
      </c>
    </row>
    <row r="472" spans="9:22" x14ac:dyDescent="0.25">
      <c r="I472" t="s">
        <v>180</v>
      </c>
      <c r="J472" t="s">
        <v>161</v>
      </c>
      <c r="K472">
        <v>0.60853761430211628</v>
      </c>
      <c r="L472" t="s">
        <v>154</v>
      </c>
      <c r="N472" t="s">
        <v>210</v>
      </c>
      <c r="O472" t="s">
        <v>161</v>
      </c>
      <c r="P472">
        <v>0.20248647690167662</v>
      </c>
      <c r="Q472" t="s">
        <v>154</v>
      </c>
      <c r="S472" t="s">
        <v>241</v>
      </c>
      <c r="T472" t="s">
        <v>161</v>
      </c>
      <c r="U472">
        <v>0.19777228065705682</v>
      </c>
      <c r="V472" t="s">
        <v>154</v>
      </c>
    </row>
    <row r="473" spans="9:22" x14ac:dyDescent="0.25">
      <c r="I473" t="s">
        <v>180</v>
      </c>
      <c r="J473" t="s">
        <v>162</v>
      </c>
      <c r="K473">
        <v>4.3140507999646631E-2</v>
      </c>
      <c r="L473" t="s">
        <v>154</v>
      </c>
      <c r="N473" t="s">
        <v>210</v>
      </c>
      <c r="O473" t="s">
        <v>162</v>
      </c>
      <c r="P473">
        <v>2.6332029543627778E-2</v>
      </c>
      <c r="Q473" t="s">
        <v>154</v>
      </c>
      <c r="S473" t="s">
        <v>241</v>
      </c>
      <c r="T473" t="s">
        <v>162</v>
      </c>
      <c r="U473">
        <v>2.5263464336258628E-2</v>
      </c>
      <c r="V473" t="s">
        <v>154</v>
      </c>
    </row>
    <row r="474" spans="9:22" x14ac:dyDescent="0.25">
      <c r="I474" t="s">
        <v>180</v>
      </c>
      <c r="J474" t="s">
        <v>287</v>
      </c>
      <c r="K474">
        <v>2.1387723984409E-2</v>
      </c>
      <c r="L474" t="s">
        <v>154</v>
      </c>
      <c r="N474" t="s">
        <v>210</v>
      </c>
      <c r="O474" t="s">
        <v>287</v>
      </c>
      <c r="P474">
        <v>2.5589451662197425E-2</v>
      </c>
      <c r="Q474" t="s">
        <v>154</v>
      </c>
      <c r="S474" t="s">
        <v>241</v>
      </c>
      <c r="T474" t="s">
        <v>287</v>
      </c>
      <c r="U474">
        <v>2.4796983831965047E-2</v>
      </c>
      <c r="V474" t="s">
        <v>154</v>
      </c>
    </row>
    <row r="475" spans="9:22" x14ac:dyDescent="0.25">
      <c r="I475" t="s">
        <v>180</v>
      </c>
      <c r="J475" t="s">
        <v>288</v>
      </c>
      <c r="K475">
        <v>6.0853264725964692E-3</v>
      </c>
      <c r="L475" t="s">
        <v>154</v>
      </c>
      <c r="N475" t="s">
        <v>210</v>
      </c>
      <c r="O475" t="s">
        <v>288</v>
      </c>
      <c r="P475">
        <v>0.11319524951885587</v>
      </c>
      <c r="Q475" t="s">
        <v>154</v>
      </c>
      <c r="S475" t="s">
        <v>241</v>
      </c>
      <c r="T475" t="s">
        <v>288</v>
      </c>
      <c r="U475">
        <v>0.11923448291048737</v>
      </c>
      <c r="V475" t="s">
        <v>154</v>
      </c>
    </row>
    <row r="476" spans="9:22" x14ac:dyDescent="0.25">
      <c r="I476" t="s">
        <v>180</v>
      </c>
      <c r="J476" t="s">
        <v>163</v>
      </c>
      <c r="K476">
        <v>3.3215758589068022E-3</v>
      </c>
      <c r="L476" t="s">
        <v>154</v>
      </c>
      <c r="N476" t="s">
        <v>210</v>
      </c>
      <c r="O476" t="s">
        <v>163</v>
      </c>
      <c r="P476">
        <v>1.1185196287829553E-2</v>
      </c>
      <c r="Q476" t="s">
        <v>154</v>
      </c>
      <c r="S476" t="s">
        <v>241</v>
      </c>
      <c r="T476" t="s">
        <v>163</v>
      </c>
      <c r="U476">
        <v>1.0164752881430187E-2</v>
      </c>
      <c r="V476" t="s">
        <v>154</v>
      </c>
    </row>
    <row r="477" spans="9:22" x14ac:dyDescent="0.25">
      <c r="I477" t="s">
        <v>180</v>
      </c>
      <c r="J477" t="s">
        <v>164</v>
      </c>
      <c r="K477">
        <v>2.2399345851005066E-2</v>
      </c>
      <c r="L477" t="s">
        <v>154</v>
      </c>
      <c r="N477" t="s">
        <v>210</v>
      </c>
      <c r="O477" t="s">
        <v>164</v>
      </c>
      <c r="P477">
        <v>1.071273598835509E-2</v>
      </c>
      <c r="Q477" t="s">
        <v>154</v>
      </c>
      <c r="S477" t="s">
        <v>241</v>
      </c>
      <c r="T477" t="s">
        <v>164</v>
      </c>
      <c r="U477">
        <v>9.458707594855096E-3</v>
      </c>
      <c r="V477" t="s">
        <v>154</v>
      </c>
    </row>
    <row r="478" spans="9:22" x14ac:dyDescent="0.25">
      <c r="I478" t="s">
        <v>180</v>
      </c>
      <c r="J478" t="s">
        <v>165</v>
      </c>
      <c r="K478">
        <v>3.4675551438765641E-4</v>
      </c>
      <c r="L478" t="s">
        <v>154</v>
      </c>
      <c r="N478" t="s">
        <v>210</v>
      </c>
      <c r="O478" t="s">
        <v>165</v>
      </c>
      <c r="P478">
        <v>1.3741574987600263E-3</v>
      </c>
      <c r="Q478" t="s">
        <v>154</v>
      </c>
      <c r="S478" t="s">
        <v>241</v>
      </c>
      <c r="T478" t="s">
        <v>165</v>
      </c>
      <c r="U478">
        <v>1.3861459457331193E-3</v>
      </c>
      <c r="V478" t="s">
        <v>154</v>
      </c>
    </row>
    <row r="479" spans="9:22" x14ac:dyDescent="0.25">
      <c r="I479" t="s">
        <v>180</v>
      </c>
      <c r="J479" t="s">
        <v>289</v>
      </c>
      <c r="K479">
        <v>0</v>
      </c>
      <c r="L479" t="s">
        <v>154</v>
      </c>
      <c r="N479" t="s">
        <v>210</v>
      </c>
      <c r="O479" t="s">
        <v>289</v>
      </c>
      <c r="P479">
        <v>1.4216346008619261E-3</v>
      </c>
      <c r="Q479" t="s">
        <v>154</v>
      </c>
      <c r="S479" t="s">
        <v>241</v>
      </c>
      <c r="T479" t="s">
        <v>289</v>
      </c>
      <c r="U479">
        <v>1.4134360063337021E-3</v>
      </c>
      <c r="V479" t="s">
        <v>154</v>
      </c>
    </row>
    <row r="480" spans="9:22" x14ac:dyDescent="0.25">
      <c r="I480" t="s">
        <v>180</v>
      </c>
      <c r="J480" t="s">
        <v>290</v>
      </c>
      <c r="K480">
        <v>0</v>
      </c>
      <c r="L480" t="s">
        <v>154</v>
      </c>
      <c r="N480" t="s">
        <v>210</v>
      </c>
      <c r="O480" t="s">
        <v>290</v>
      </c>
      <c r="P480">
        <v>6.044845587139319E-3</v>
      </c>
      <c r="Q480" t="s">
        <v>154</v>
      </c>
      <c r="S480" t="s">
        <v>241</v>
      </c>
      <c r="T480" t="s">
        <v>290</v>
      </c>
      <c r="U480">
        <v>6.2099726035498726E-3</v>
      </c>
      <c r="V480" t="s">
        <v>154</v>
      </c>
    </row>
    <row r="481" spans="9:22" x14ac:dyDescent="0.25">
      <c r="I481" t="s">
        <v>180</v>
      </c>
      <c r="J481" t="s">
        <v>297</v>
      </c>
      <c r="K481">
        <v>5.0313116107326529E-3</v>
      </c>
      <c r="L481" t="s">
        <v>154</v>
      </c>
      <c r="N481" t="s">
        <v>210</v>
      </c>
      <c r="O481" t="s">
        <v>297</v>
      </c>
      <c r="P481">
        <v>2.7381671313101461E-2</v>
      </c>
      <c r="Q481" t="s">
        <v>154</v>
      </c>
      <c r="S481" t="s">
        <v>241</v>
      </c>
      <c r="T481" t="s">
        <v>297</v>
      </c>
      <c r="U481">
        <v>2.8620911792142944E-2</v>
      </c>
      <c r="V481" t="s">
        <v>154</v>
      </c>
    </row>
    <row r="482" spans="9:22" x14ac:dyDescent="0.25">
      <c r="I482" t="s">
        <v>180</v>
      </c>
      <c r="J482" t="s">
        <v>298</v>
      </c>
      <c r="K482">
        <v>4.3206718257025177E-2</v>
      </c>
      <c r="L482" t="s">
        <v>154</v>
      </c>
      <c r="N482" t="s">
        <v>210</v>
      </c>
      <c r="O482" t="s">
        <v>298</v>
      </c>
      <c r="P482">
        <v>2.6010888939163004E-2</v>
      </c>
      <c r="Q482" t="s">
        <v>154</v>
      </c>
      <c r="S482" t="s">
        <v>241</v>
      </c>
      <c r="T482" t="s">
        <v>298</v>
      </c>
      <c r="U482">
        <v>2.5776749272489644E-2</v>
      </c>
      <c r="V482" t="s">
        <v>154</v>
      </c>
    </row>
    <row r="483" spans="9:22" x14ac:dyDescent="0.25">
      <c r="I483" t="s">
        <v>180</v>
      </c>
      <c r="J483" t="s">
        <v>299</v>
      </c>
      <c r="K483">
        <v>0</v>
      </c>
      <c r="L483" t="s">
        <v>154</v>
      </c>
      <c r="N483" t="s">
        <v>210</v>
      </c>
      <c r="O483" t="s">
        <v>299</v>
      </c>
      <c r="P483">
        <v>3.2612724054620111E-3</v>
      </c>
      <c r="Q483" t="s">
        <v>154</v>
      </c>
      <c r="S483" t="s">
        <v>241</v>
      </c>
      <c r="T483" t="s">
        <v>299</v>
      </c>
      <c r="U483">
        <v>3.4919820466102138E-3</v>
      </c>
      <c r="V483" t="s">
        <v>154</v>
      </c>
    </row>
    <row r="484" spans="9:22" x14ac:dyDescent="0.25">
      <c r="I484" t="s">
        <v>180</v>
      </c>
      <c r="J484" t="s">
        <v>300</v>
      </c>
      <c r="K484">
        <v>0</v>
      </c>
      <c r="L484" t="s">
        <v>154</v>
      </c>
      <c r="N484" t="s">
        <v>210</v>
      </c>
      <c r="O484" t="s">
        <v>300</v>
      </c>
      <c r="P484">
        <v>3.2424611822747893E-3</v>
      </c>
      <c r="Q484" t="s">
        <v>154</v>
      </c>
      <c r="S484" t="s">
        <v>241</v>
      </c>
      <c r="T484" t="s">
        <v>300</v>
      </c>
      <c r="U484">
        <v>3.4961554338325753E-3</v>
      </c>
      <c r="V484" t="s">
        <v>154</v>
      </c>
    </row>
    <row r="485" spans="9:22" x14ac:dyDescent="0.25">
      <c r="I485" t="s">
        <v>180</v>
      </c>
      <c r="J485" t="s">
        <v>301</v>
      </c>
      <c r="K485">
        <v>0</v>
      </c>
      <c r="L485" t="s">
        <v>154</v>
      </c>
      <c r="N485" t="s">
        <v>210</v>
      </c>
      <c r="O485" t="s">
        <v>301</v>
      </c>
      <c r="P485">
        <v>1.5284013299630113E-2</v>
      </c>
      <c r="Q485" t="s">
        <v>154</v>
      </c>
      <c r="S485" t="s">
        <v>241</v>
      </c>
      <c r="T485" t="s">
        <v>301</v>
      </c>
      <c r="U485">
        <v>1.6135023319957434E-2</v>
      </c>
      <c r="V485" t="s">
        <v>154</v>
      </c>
    </row>
    <row r="486" spans="9:22" x14ac:dyDescent="0.25">
      <c r="I486" t="s">
        <v>180</v>
      </c>
      <c r="J486" t="s">
        <v>302</v>
      </c>
      <c r="K486">
        <v>3.3649457258790225E-3</v>
      </c>
      <c r="L486" t="s">
        <v>154</v>
      </c>
      <c r="N486" t="s">
        <v>210</v>
      </c>
      <c r="O486" t="s">
        <v>302</v>
      </c>
      <c r="P486">
        <v>5.4816604625721244E-2</v>
      </c>
      <c r="Q486" t="s">
        <v>154</v>
      </c>
      <c r="S486" t="s">
        <v>241</v>
      </c>
      <c r="T486" t="s">
        <v>302</v>
      </c>
      <c r="U486">
        <v>6.0074065146221413E-2</v>
      </c>
      <c r="V486" t="s">
        <v>154</v>
      </c>
    </row>
    <row r="487" spans="9:22" x14ac:dyDescent="0.25">
      <c r="I487" t="s">
        <v>180</v>
      </c>
      <c r="J487" t="s">
        <v>303</v>
      </c>
      <c r="K487">
        <v>4.9627856904969923E-2</v>
      </c>
      <c r="L487" t="s">
        <v>154</v>
      </c>
      <c r="N487" t="s">
        <v>210</v>
      </c>
      <c r="O487" t="s">
        <v>303</v>
      </c>
      <c r="P487">
        <v>5.6133170865921816E-2</v>
      </c>
      <c r="Q487" t="s">
        <v>154</v>
      </c>
      <c r="S487" t="s">
        <v>241</v>
      </c>
      <c r="T487" t="s">
        <v>303</v>
      </c>
      <c r="U487">
        <v>5.0100546558253876E-2</v>
      </c>
      <c r="V487" t="s">
        <v>154</v>
      </c>
    </row>
    <row r="488" spans="9:22" x14ac:dyDescent="0.25">
      <c r="I488" t="s">
        <v>180</v>
      </c>
      <c r="J488" t="s">
        <v>304</v>
      </c>
      <c r="K488">
        <v>0</v>
      </c>
      <c r="L488" t="s">
        <v>154</v>
      </c>
      <c r="N488" t="s">
        <v>210</v>
      </c>
      <c r="O488" t="s">
        <v>304</v>
      </c>
      <c r="P488">
        <v>7.0272804256704454E-3</v>
      </c>
      <c r="Q488" t="s">
        <v>154</v>
      </c>
      <c r="S488" t="s">
        <v>241</v>
      </c>
      <c r="T488" t="s">
        <v>304</v>
      </c>
      <c r="U488">
        <v>6.5844598267144625E-3</v>
      </c>
      <c r="V488" t="s">
        <v>154</v>
      </c>
    </row>
    <row r="489" spans="9:22" x14ac:dyDescent="0.25">
      <c r="I489" t="s">
        <v>180</v>
      </c>
      <c r="J489" t="s">
        <v>305</v>
      </c>
      <c r="K489">
        <v>0</v>
      </c>
      <c r="L489" t="s">
        <v>154</v>
      </c>
      <c r="N489" t="s">
        <v>210</v>
      </c>
      <c r="O489" t="s">
        <v>305</v>
      </c>
      <c r="P489">
        <v>6.7788299402541333E-3</v>
      </c>
      <c r="Q489" t="s">
        <v>154</v>
      </c>
      <c r="S489" t="s">
        <v>241</v>
      </c>
      <c r="T489" t="s">
        <v>305</v>
      </c>
      <c r="U489">
        <v>6.6720878200557726E-3</v>
      </c>
      <c r="V489" t="s">
        <v>154</v>
      </c>
    </row>
    <row r="490" spans="9:22" x14ac:dyDescent="0.25">
      <c r="I490" t="s">
        <v>180</v>
      </c>
      <c r="J490" t="s">
        <v>306</v>
      </c>
      <c r="K490">
        <v>0</v>
      </c>
      <c r="L490" t="s">
        <v>154</v>
      </c>
      <c r="N490" t="s">
        <v>210</v>
      </c>
      <c r="O490" t="s">
        <v>306</v>
      </c>
      <c r="P490">
        <v>2.9369574545925349E-2</v>
      </c>
      <c r="Q490" t="s">
        <v>154</v>
      </c>
      <c r="S490" t="s">
        <v>241</v>
      </c>
      <c r="T490" t="s">
        <v>306</v>
      </c>
      <c r="U490">
        <v>3.4244307532174237E-2</v>
      </c>
      <c r="V490" t="s">
        <v>154</v>
      </c>
    </row>
    <row r="491" spans="9:22" x14ac:dyDescent="0.25">
      <c r="I491" t="s">
        <v>181</v>
      </c>
      <c r="J491" t="s">
        <v>153</v>
      </c>
      <c r="K491">
        <v>3.5327675708331555E-3</v>
      </c>
      <c r="L491" t="s">
        <v>154</v>
      </c>
      <c r="N491" t="s">
        <v>211</v>
      </c>
      <c r="O491" t="s">
        <v>153</v>
      </c>
      <c r="P491">
        <v>5.6881248510325916E-2</v>
      </c>
      <c r="Q491" t="s">
        <v>154</v>
      </c>
      <c r="S491" t="s">
        <v>242</v>
      </c>
      <c r="T491" t="s">
        <v>153</v>
      </c>
      <c r="U491">
        <v>5.0732301789657569E-2</v>
      </c>
      <c r="V491" t="s">
        <v>154</v>
      </c>
    </row>
    <row r="492" spans="9:22" x14ac:dyDescent="0.25">
      <c r="I492" t="s">
        <v>181</v>
      </c>
      <c r="J492" t="s">
        <v>155</v>
      </c>
      <c r="K492">
        <v>5.9407589291202066E-2</v>
      </c>
      <c r="L492" t="s">
        <v>154</v>
      </c>
      <c r="N492" t="s">
        <v>211</v>
      </c>
      <c r="O492" t="s">
        <v>155</v>
      </c>
      <c r="P492">
        <v>4.3543501066001862E-2</v>
      </c>
      <c r="Q492" t="s">
        <v>154</v>
      </c>
      <c r="S492" t="s">
        <v>242</v>
      </c>
      <c r="T492" t="s">
        <v>155</v>
      </c>
      <c r="U492">
        <v>4.4495349442288258E-2</v>
      </c>
      <c r="V492" t="s">
        <v>154</v>
      </c>
    </row>
    <row r="493" spans="9:22" x14ac:dyDescent="0.25">
      <c r="I493" t="s">
        <v>181</v>
      </c>
      <c r="J493" t="s">
        <v>156</v>
      </c>
      <c r="K493">
        <v>8.4650104061164712E-4</v>
      </c>
      <c r="L493" t="s">
        <v>154</v>
      </c>
      <c r="N493" t="s">
        <v>211</v>
      </c>
      <c r="O493" t="s">
        <v>156</v>
      </c>
      <c r="P493">
        <v>5.5369180403930327E-3</v>
      </c>
      <c r="Q493" t="s">
        <v>154</v>
      </c>
      <c r="S493" t="s">
        <v>242</v>
      </c>
      <c r="T493" t="s">
        <v>156</v>
      </c>
      <c r="U493">
        <v>6.092429292295698E-3</v>
      </c>
      <c r="V493" t="s">
        <v>154</v>
      </c>
    </row>
    <row r="494" spans="9:22" x14ac:dyDescent="0.25">
      <c r="I494" t="s">
        <v>181</v>
      </c>
      <c r="J494" t="s">
        <v>283</v>
      </c>
      <c r="K494">
        <v>0</v>
      </c>
      <c r="L494" t="s">
        <v>154</v>
      </c>
      <c r="N494" t="s">
        <v>211</v>
      </c>
      <c r="O494" t="s">
        <v>283</v>
      </c>
      <c r="P494">
        <v>5.6107448263790442E-3</v>
      </c>
      <c r="Q494" t="s">
        <v>154</v>
      </c>
      <c r="S494" t="s">
        <v>242</v>
      </c>
      <c r="T494" t="s">
        <v>283</v>
      </c>
      <c r="U494">
        <v>6.1542868167421671E-3</v>
      </c>
      <c r="V494" t="s">
        <v>154</v>
      </c>
    </row>
    <row r="495" spans="9:22" x14ac:dyDescent="0.25">
      <c r="I495" t="s">
        <v>181</v>
      </c>
      <c r="J495" t="s">
        <v>284</v>
      </c>
      <c r="K495">
        <v>0</v>
      </c>
      <c r="L495" t="s">
        <v>154</v>
      </c>
      <c r="N495" t="s">
        <v>211</v>
      </c>
      <c r="O495" t="s">
        <v>284</v>
      </c>
      <c r="P495">
        <v>2.9496990389210255E-2</v>
      </c>
      <c r="Q495" t="s">
        <v>154</v>
      </c>
      <c r="S495" t="s">
        <v>242</v>
      </c>
      <c r="T495" t="s">
        <v>284</v>
      </c>
      <c r="U495">
        <v>2.8849192391115667E-2</v>
      </c>
      <c r="V495" t="s">
        <v>154</v>
      </c>
    </row>
    <row r="496" spans="9:22" x14ac:dyDescent="0.25">
      <c r="I496" t="s">
        <v>181</v>
      </c>
      <c r="J496" t="s">
        <v>157</v>
      </c>
      <c r="K496">
        <v>1.3590355600206019E-3</v>
      </c>
      <c r="L496" t="s">
        <v>154</v>
      </c>
      <c r="N496" t="s">
        <v>211</v>
      </c>
      <c r="O496" t="s">
        <v>157</v>
      </c>
      <c r="P496">
        <v>1.3865622954017049E-2</v>
      </c>
      <c r="Q496" t="s">
        <v>154</v>
      </c>
      <c r="S496" t="s">
        <v>242</v>
      </c>
      <c r="T496" t="s">
        <v>157</v>
      </c>
      <c r="U496">
        <v>1.0196775370882621E-2</v>
      </c>
      <c r="V496" t="s">
        <v>154</v>
      </c>
    </row>
    <row r="497" spans="9:22" x14ac:dyDescent="0.25">
      <c r="I497" t="s">
        <v>181</v>
      </c>
      <c r="J497" t="s">
        <v>158</v>
      </c>
      <c r="K497">
        <v>2.083017090571139E-2</v>
      </c>
      <c r="L497" t="s">
        <v>154</v>
      </c>
      <c r="N497" t="s">
        <v>211</v>
      </c>
      <c r="O497" t="s">
        <v>158</v>
      </c>
      <c r="P497">
        <v>1.3190462517901515E-2</v>
      </c>
      <c r="Q497" t="s">
        <v>154</v>
      </c>
      <c r="S497" t="s">
        <v>242</v>
      </c>
      <c r="T497" t="s">
        <v>158</v>
      </c>
      <c r="U497">
        <v>9.4308068143329725E-3</v>
      </c>
      <c r="V497" t="s">
        <v>154</v>
      </c>
    </row>
    <row r="498" spans="9:22" x14ac:dyDescent="0.25">
      <c r="I498" t="s">
        <v>181</v>
      </c>
      <c r="J498" t="s">
        <v>159</v>
      </c>
      <c r="K498">
        <v>1.1308538186544899E-3</v>
      </c>
      <c r="L498" t="s">
        <v>154</v>
      </c>
      <c r="N498" t="s">
        <v>211</v>
      </c>
      <c r="O498" t="s">
        <v>159</v>
      </c>
      <c r="P498">
        <v>1.5100531894115374E-3</v>
      </c>
      <c r="Q498" t="s">
        <v>154</v>
      </c>
      <c r="S498" t="s">
        <v>242</v>
      </c>
      <c r="T498" t="s">
        <v>159</v>
      </c>
      <c r="U498">
        <v>1.0893009567134971E-3</v>
      </c>
      <c r="V498" t="s">
        <v>154</v>
      </c>
    </row>
    <row r="499" spans="9:22" x14ac:dyDescent="0.25">
      <c r="I499" t="s">
        <v>181</v>
      </c>
      <c r="J499" t="s">
        <v>285</v>
      </c>
      <c r="K499">
        <v>0</v>
      </c>
      <c r="L499" t="s">
        <v>154</v>
      </c>
      <c r="N499" t="s">
        <v>211</v>
      </c>
      <c r="O499" t="s">
        <v>285</v>
      </c>
      <c r="P499">
        <v>1.4354827121079087E-3</v>
      </c>
      <c r="Q499" t="s">
        <v>154</v>
      </c>
      <c r="S499" t="s">
        <v>242</v>
      </c>
      <c r="T499" t="s">
        <v>285</v>
      </c>
      <c r="U499">
        <v>1.084812225569587E-3</v>
      </c>
      <c r="V499" t="s">
        <v>154</v>
      </c>
    </row>
    <row r="500" spans="9:22" x14ac:dyDescent="0.25">
      <c r="I500" t="s">
        <v>181</v>
      </c>
      <c r="J500" t="s">
        <v>286</v>
      </c>
      <c r="K500">
        <v>0</v>
      </c>
      <c r="L500" t="s">
        <v>154</v>
      </c>
      <c r="N500" t="s">
        <v>211</v>
      </c>
      <c r="O500" t="s">
        <v>286</v>
      </c>
      <c r="P500">
        <v>6.7707820170429325E-3</v>
      </c>
      <c r="Q500" t="s">
        <v>154</v>
      </c>
      <c r="S500" t="s">
        <v>242</v>
      </c>
      <c r="T500" t="s">
        <v>286</v>
      </c>
      <c r="U500">
        <v>4.6696867292914442E-3</v>
      </c>
      <c r="V500" t="s">
        <v>154</v>
      </c>
    </row>
    <row r="501" spans="9:22" x14ac:dyDescent="0.25">
      <c r="I501" t="s">
        <v>181</v>
      </c>
      <c r="J501" t="s">
        <v>160</v>
      </c>
      <c r="K501">
        <v>0.1052914310127121</v>
      </c>
      <c r="L501" t="s">
        <v>154</v>
      </c>
      <c r="N501" t="s">
        <v>211</v>
      </c>
      <c r="O501" t="s">
        <v>160</v>
      </c>
      <c r="P501">
        <v>0.20036248781114271</v>
      </c>
      <c r="Q501" t="s">
        <v>154</v>
      </c>
      <c r="S501" t="s">
        <v>242</v>
      </c>
      <c r="T501" t="s">
        <v>160</v>
      </c>
      <c r="U501">
        <v>0.21245889719610081</v>
      </c>
      <c r="V501" t="s">
        <v>154</v>
      </c>
    </row>
    <row r="502" spans="9:22" x14ac:dyDescent="0.25">
      <c r="I502" t="s">
        <v>181</v>
      </c>
      <c r="J502" t="s">
        <v>161</v>
      </c>
      <c r="K502">
        <v>0.59955809194375853</v>
      </c>
      <c r="L502" t="s">
        <v>154</v>
      </c>
      <c r="N502" t="s">
        <v>211</v>
      </c>
      <c r="O502" t="s">
        <v>161</v>
      </c>
      <c r="P502">
        <v>0.20354465468558949</v>
      </c>
      <c r="Q502" t="s">
        <v>154</v>
      </c>
      <c r="S502" t="s">
        <v>242</v>
      </c>
      <c r="T502" t="s">
        <v>161</v>
      </c>
      <c r="U502">
        <v>0.19454461589919025</v>
      </c>
      <c r="V502" t="s">
        <v>154</v>
      </c>
    </row>
    <row r="503" spans="9:22" x14ac:dyDescent="0.25">
      <c r="I503" t="s">
        <v>181</v>
      </c>
      <c r="J503" t="s">
        <v>162</v>
      </c>
      <c r="K503">
        <v>4.4648507605548962E-2</v>
      </c>
      <c r="L503" t="s">
        <v>154</v>
      </c>
      <c r="N503" t="s">
        <v>211</v>
      </c>
      <c r="O503" t="s">
        <v>162</v>
      </c>
      <c r="P503">
        <v>2.5231080859317696E-2</v>
      </c>
      <c r="Q503" t="s">
        <v>154</v>
      </c>
      <c r="S503" t="s">
        <v>242</v>
      </c>
      <c r="T503" t="s">
        <v>162</v>
      </c>
      <c r="U503">
        <v>2.6400357423295624E-2</v>
      </c>
      <c r="V503" t="s">
        <v>154</v>
      </c>
    </row>
    <row r="504" spans="9:22" x14ac:dyDescent="0.25">
      <c r="I504" t="s">
        <v>181</v>
      </c>
      <c r="J504" t="s">
        <v>287</v>
      </c>
      <c r="K504">
        <v>2.2997539410295902E-2</v>
      </c>
      <c r="L504" t="s">
        <v>154</v>
      </c>
      <c r="N504" t="s">
        <v>211</v>
      </c>
      <c r="O504" t="s">
        <v>287</v>
      </c>
      <c r="P504">
        <v>2.4196599059406798E-2</v>
      </c>
      <c r="Q504" t="s">
        <v>154</v>
      </c>
      <c r="S504" t="s">
        <v>242</v>
      </c>
      <c r="T504" t="s">
        <v>287</v>
      </c>
      <c r="U504">
        <v>2.6608253278722693E-2</v>
      </c>
      <c r="V504" t="s">
        <v>154</v>
      </c>
    </row>
    <row r="505" spans="9:22" x14ac:dyDescent="0.25">
      <c r="I505" t="s">
        <v>181</v>
      </c>
      <c r="J505" t="s">
        <v>288</v>
      </c>
      <c r="K505">
        <v>6.5402306655090951E-3</v>
      </c>
      <c r="L505" t="s">
        <v>154</v>
      </c>
      <c r="N505" t="s">
        <v>211</v>
      </c>
      <c r="O505" t="s">
        <v>288</v>
      </c>
      <c r="P505">
        <v>0.10240061831971353</v>
      </c>
      <c r="Q505" t="s">
        <v>154</v>
      </c>
      <c r="S505" t="s">
        <v>242</v>
      </c>
      <c r="T505" t="s">
        <v>288</v>
      </c>
      <c r="U505">
        <v>0.12199171901153195</v>
      </c>
      <c r="V505" t="s">
        <v>154</v>
      </c>
    </row>
    <row r="506" spans="9:22" x14ac:dyDescent="0.25">
      <c r="I506" t="s">
        <v>181</v>
      </c>
      <c r="J506" t="s">
        <v>163</v>
      </c>
      <c r="K506">
        <v>2.4235034336055807E-3</v>
      </c>
      <c r="L506" t="s">
        <v>154</v>
      </c>
      <c r="N506" t="s">
        <v>211</v>
      </c>
      <c r="O506" t="s">
        <v>163</v>
      </c>
      <c r="P506">
        <v>8.2079350956023693E-3</v>
      </c>
      <c r="Q506" t="s">
        <v>154</v>
      </c>
      <c r="S506" t="s">
        <v>242</v>
      </c>
      <c r="T506" t="s">
        <v>163</v>
      </c>
      <c r="U506">
        <v>1.441660579781723E-2</v>
      </c>
      <c r="V506" t="s">
        <v>154</v>
      </c>
    </row>
    <row r="507" spans="9:22" x14ac:dyDescent="0.25">
      <c r="I507" t="s">
        <v>181</v>
      </c>
      <c r="J507" t="s">
        <v>164</v>
      </c>
      <c r="K507">
        <v>1.879012699852781E-2</v>
      </c>
      <c r="L507" t="s">
        <v>154</v>
      </c>
      <c r="N507" t="s">
        <v>211</v>
      </c>
      <c r="O507" t="s">
        <v>164</v>
      </c>
      <c r="P507">
        <v>6.8162123976862722E-3</v>
      </c>
      <c r="Q507" t="s">
        <v>154</v>
      </c>
      <c r="S507" t="s">
        <v>242</v>
      </c>
      <c r="T507" t="s">
        <v>164</v>
      </c>
      <c r="U507">
        <v>1.2319380073638309E-2</v>
      </c>
      <c r="V507" t="s">
        <v>154</v>
      </c>
    </row>
    <row r="508" spans="9:22" x14ac:dyDescent="0.25">
      <c r="I508" t="s">
        <v>181</v>
      </c>
      <c r="J508" t="s">
        <v>165</v>
      </c>
      <c r="K508">
        <v>7.4732903035676617E-4</v>
      </c>
      <c r="L508" t="s">
        <v>154</v>
      </c>
      <c r="N508" t="s">
        <v>211</v>
      </c>
      <c r="O508" t="s">
        <v>165</v>
      </c>
      <c r="P508">
        <v>9.6716444285498138E-4</v>
      </c>
      <c r="Q508" t="s">
        <v>154</v>
      </c>
      <c r="S508" t="s">
        <v>242</v>
      </c>
      <c r="T508" t="s">
        <v>165</v>
      </c>
      <c r="U508">
        <v>1.6728149119600239E-3</v>
      </c>
      <c r="V508" t="s">
        <v>154</v>
      </c>
    </row>
    <row r="509" spans="9:22" x14ac:dyDescent="0.25">
      <c r="I509" t="s">
        <v>181</v>
      </c>
      <c r="J509" t="s">
        <v>289</v>
      </c>
      <c r="K509">
        <v>0</v>
      </c>
      <c r="L509" t="s">
        <v>154</v>
      </c>
      <c r="N509" t="s">
        <v>211</v>
      </c>
      <c r="O509" t="s">
        <v>289</v>
      </c>
      <c r="P509">
        <v>9.787674377000218E-4</v>
      </c>
      <c r="Q509" t="s">
        <v>154</v>
      </c>
      <c r="S509" t="s">
        <v>242</v>
      </c>
      <c r="T509" t="s">
        <v>289</v>
      </c>
      <c r="U509">
        <v>1.6736447125095632E-3</v>
      </c>
      <c r="V509" t="s">
        <v>154</v>
      </c>
    </row>
    <row r="510" spans="9:22" x14ac:dyDescent="0.25">
      <c r="I510" t="s">
        <v>181</v>
      </c>
      <c r="J510" t="s">
        <v>290</v>
      </c>
      <c r="K510">
        <v>0</v>
      </c>
      <c r="L510" t="s">
        <v>154</v>
      </c>
      <c r="N510" t="s">
        <v>211</v>
      </c>
      <c r="O510" t="s">
        <v>290</v>
      </c>
      <c r="P510">
        <v>4.2518131760169477E-3</v>
      </c>
      <c r="Q510" t="s">
        <v>154</v>
      </c>
      <c r="S510" t="s">
        <v>242</v>
      </c>
      <c r="T510" t="s">
        <v>290</v>
      </c>
      <c r="U510">
        <v>8.0357121216470626E-3</v>
      </c>
      <c r="V510" t="s">
        <v>154</v>
      </c>
    </row>
    <row r="511" spans="9:22" x14ac:dyDescent="0.25">
      <c r="I511" t="s">
        <v>181</v>
      </c>
      <c r="J511" t="s">
        <v>297</v>
      </c>
      <c r="K511">
        <v>5.0532695500121547E-3</v>
      </c>
      <c r="L511" t="s">
        <v>154</v>
      </c>
      <c r="N511" t="s">
        <v>211</v>
      </c>
      <c r="O511" t="s">
        <v>297</v>
      </c>
      <c r="P511">
        <v>2.9103454462761403E-2</v>
      </c>
      <c r="Q511" t="s">
        <v>154</v>
      </c>
      <c r="S511" t="s">
        <v>242</v>
      </c>
      <c r="T511" t="s">
        <v>297</v>
      </c>
      <c r="U511">
        <v>3.0570877483045513E-2</v>
      </c>
      <c r="V511" t="s">
        <v>154</v>
      </c>
    </row>
    <row r="512" spans="9:22" x14ac:dyDescent="0.25">
      <c r="I512" t="s">
        <v>181</v>
      </c>
      <c r="J512" t="s">
        <v>298</v>
      </c>
      <c r="K512">
        <v>4.8227265377774955E-2</v>
      </c>
      <c r="L512" t="s">
        <v>154</v>
      </c>
      <c r="N512" t="s">
        <v>211</v>
      </c>
      <c r="O512" t="s">
        <v>298</v>
      </c>
      <c r="P512">
        <v>2.775922351083485E-2</v>
      </c>
      <c r="Q512" t="s">
        <v>154</v>
      </c>
      <c r="S512" t="s">
        <v>242</v>
      </c>
      <c r="T512" t="s">
        <v>298</v>
      </c>
      <c r="U512">
        <v>2.3481248379999504E-2</v>
      </c>
      <c r="V512" t="s">
        <v>154</v>
      </c>
    </row>
    <row r="513" spans="9:22" x14ac:dyDescent="0.25">
      <c r="I513" t="s">
        <v>181</v>
      </c>
      <c r="J513" t="s">
        <v>299</v>
      </c>
      <c r="K513">
        <v>0</v>
      </c>
      <c r="L513" t="s">
        <v>154</v>
      </c>
      <c r="N513" t="s">
        <v>211</v>
      </c>
      <c r="O513" t="s">
        <v>299</v>
      </c>
      <c r="P513">
        <v>3.3644105274934768E-3</v>
      </c>
      <c r="Q513" t="s">
        <v>154</v>
      </c>
      <c r="S513" t="s">
        <v>242</v>
      </c>
      <c r="T513" t="s">
        <v>299</v>
      </c>
      <c r="U513">
        <v>3.4466816442437495E-3</v>
      </c>
      <c r="V513" t="s">
        <v>154</v>
      </c>
    </row>
    <row r="514" spans="9:22" x14ac:dyDescent="0.25">
      <c r="I514" t="s">
        <v>181</v>
      </c>
      <c r="J514" t="s">
        <v>300</v>
      </c>
      <c r="K514">
        <v>0</v>
      </c>
      <c r="L514" t="s">
        <v>154</v>
      </c>
      <c r="N514" t="s">
        <v>211</v>
      </c>
      <c r="O514" t="s">
        <v>300</v>
      </c>
      <c r="P514">
        <v>3.1833793013058176E-3</v>
      </c>
      <c r="Q514" t="s">
        <v>154</v>
      </c>
      <c r="S514" t="s">
        <v>242</v>
      </c>
      <c r="T514" t="s">
        <v>300</v>
      </c>
      <c r="U514">
        <v>3.5110562786178482E-3</v>
      </c>
      <c r="V514" t="s">
        <v>154</v>
      </c>
    </row>
    <row r="515" spans="9:22" x14ac:dyDescent="0.25">
      <c r="I515" t="s">
        <v>181</v>
      </c>
      <c r="J515" t="s">
        <v>301</v>
      </c>
      <c r="K515">
        <v>0</v>
      </c>
      <c r="L515" t="s">
        <v>154</v>
      </c>
      <c r="N515" t="s">
        <v>211</v>
      </c>
      <c r="O515" t="s">
        <v>301</v>
      </c>
      <c r="P515">
        <v>1.6284567732257695E-2</v>
      </c>
      <c r="Q515" t="s">
        <v>154</v>
      </c>
      <c r="S515" t="s">
        <v>242</v>
      </c>
      <c r="T515" t="s">
        <v>301</v>
      </c>
      <c r="U515">
        <v>1.6467484777974786E-2</v>
      </c>
      <c r="V515" t="s">
        <v>154</v>
      </c>
    </row>
    <row r="516" spans="9:22" x14ac:dyDescent="0.25">
      <c r="I516" t="s">
        <v>181</v>
      </c>
      <c r="J516" t="s">
        <v>302</v>
      </c>
      <c r="K516">
        <v>3.6556572269840406E-3</v>
      </c>
      <c r="L516" t="s">
        <v>154</v>
      </c>
      <c r="N516" t="s">
        <v>211</v>
      </c>
      <c r="O516" t="s">
        <v>302</v>
      </c>
      <c r="P516">
        <v>5.5979381883727482E-2</v>
      </c>
      <c r="Q516" t="s">
        <v>154</v>
      </c>
      <c r="S516" t="s">
        <v>242</v>
      </c>
      <c r="T516" t="s">
        <v>302</v>
      </c>
      <c r="U516">
        <v>5.3527999800649581E-2</v>
      </c>
      <c r="V516" t="s">
        <v>154</v>
      </c>
    </row>
    <row r="517" spans="9:22" x14ac:dyDescent="0.25">
      <c r="I517" t="s">
        <v>181</v>
      </c>
      <c r="J517" t="s">
        <v>303</v>
      </c>
      <c r="K517">
        <v>5.4960129557883722E-2</v>
      </c>
      <c r="L517" t="s">
        <v>154</v>
      </c>
      <c r="N517" t="s">
        <v>211</v>
      </c>
      <c r="O517" t="s">
        <v>303</v>
      </c>
      <c r="P517">
        <v>5.7840037967569966E-2</v>
      </c>
      <c r="Q517" t="s">
        <v>154</v>
      </c>
      <c r="S517" t="s">
        <v>242</v>
      </c>
      <c r="T517" t="s">
        <v>303</v>
      </c>
      <c r="U517">
        <v>4.5448476049867154E-2</v>
      </c>
      <c r="V517" t="s">
        <v>154</v>
      </c>
    </row>
    <row r="518" spans="9:22" x14ac:dyDescent="0.25">
      <c r="I518" t="s">
        <v>181</v>
      </c>
      <c r="J518" t="s">
        <v>304</v>
      </c>
      <c r="K518">
        <v>0</v>
      </c>
      <c r="L518" t="s">
        <v>154</v>
      </c>
      <c r="N518" t="s">
        <v>211</v>
      </c>
      <c r="O518" t="s">
        <v>304</v>
      </c>
      <c r="P518">
        <v>7.7738969940472054E-3</v>
      </c>
      <c r="Q518" t="s">
        <v>154</v>
      </c>
      <c r="S518" t="s">
        <v>242</v>
      </c>
      <c r="T518" t="s">
        <v>304</v>
      </c>
      <c r="U518">
        <v>5.7838793556140326E-3</v>
      </c>
      <c r="V518" t="s">
        <v>154</v>
      </c>
    </row>
    <row r="519" spans="9:22" x14ac:dyDescent="0.25">
      <c r="I519" t="s">
        <v>181</v>
      </c>
      <c r="J519" t="s">
        <v>305</v>
      </c>
      <c r="K519">
        <v>0</v>
      </c>
      <c r="L519" t="s">
        <v>154</v>
      </c>
      <c r="N519" t="s">
        <v>211</v>
      </c>
      <c r="O519" t="s">
        <v>305</v>
      </c>
      <c r="P519">
        <v>7.6874797541558555E-3</v>
      </c>
      <c r="Q519" t="s">
        <v>154</v>
      </c>
      <c r="S519" t="s">
        <v>242</v>
      </c>
      <c r="T519" t="s">
        <v>305</v>
      </c>
      <c r="U519">
        <v>5.8328246125543782E-3</v>
      </c>
      <c r="V519" t="s">
        <v>154</v>
      </c>
    </row>
    <row r="520" spans="9:22" x14ac:dyDescent="0.25">
      <c r="I520" t="s">
        <v>181</v>
      </c>
      <c r="J520" t="s">
        <v>306</v>
      </c>
      <c r="K520">
        <v>0</v>
      </c>
      <c r="L520" t="s">
        <v>154</v>
      </c>
      <c r="N520" t="s">
        <v>211</v>
      </c>
      <c r="O520" t="s">
        <v>306</v>
      </c>
      <c r="P520">
        <v>3.6225028358019724E-2</v>
      </c>
      <c r="Q520" t="s">
        <v>154</v>
      </c>
      <c r="S520" t="s">
        <v>242</v>
      </c>
      <c r="T520" t="s">
        <v>306</v>
      </c>
      <c r="U520">
        <v>2.9012529362128253E-2</v>
      </c>
      <c r="V520" t="s">
        <v>154</v>
      </c>
    </row>
    <row r="521" spans="9:22" x14ac:dyDescent="0.25">
      <c r="I521" t="s">
        <v>182</v>
      </c>
      <c r="J521" t="s">
        <v>153</v>
      </c>
      <c r="K521">
        <v>3.8367630455422579E-3</v>
      </c>
      <c r="L521" t="s">
        <v>154</v>
      </c>
      <c r="N521" t="s">
        <v>212</v>
      </c>
      <c r="O521" t="s">
        <v>153</v>
      </c>
      <c r="P521">
        <v>4.3361226882538739E-2</v>
      </c>
      <c r="Q521" t="s">
        <v>154</v>
      </c>
      <c r="S521" t="s">
        <v>243</v>
      </c>
      <c r="T521" t="s">
        <v>153</v>
      </c>
      <c r="U521">
        <v>5.3288925548231926E-2</v>
      </c>
      <c r="V521" t="s">
        <v>154</v>
      </c>
    </row>
    <row r="522" spans="9:22" x14ac:dyDescent="0.25">
      <c r="I522" t="s">
        <v>182</v>
      </c>
      <c r="J522" t="s">
        <v>155</v>
      </c>
      <c r="K522">
        <v>6.5153836665951176E-2</v>
      </c>
      <c r="L522" t="s">
        <v>154</v>
      </c>
      <c r="N522" t="s">
        <v>212</v>
      </c>
      <c r="O522" t="s">
        <v>155</v>
      </c>
      <c r="P522">
        <v>3.1611660031061049E-2</v>
      </c>
      <c r="Q522" t="s">
        <v>154</v>
      </c>
      <c r="S522" t="s">
        <v>243</v>
      </c>
      <c r="T522" t="s">
        <v>155</v>
      </c>
      <c r="U522">
        <v>4.8339983421786269E-2</v>
      </c>
      <c r="V522" t="s">
        <v>154</v>
      </c>
    </row>
    <row r="523" spans="9:22" x14ac:dyDescent="0.25">
      <c r="I523" t="s">
        <v>182</v>
      </c>
      <c r="J523" t="s">
        <v>156</v>
      </c>
      <c r="K523">
        <v>1.087148105003963E-3</v>
      </c>
      <c r="L523" t="s">
        <v>154</v>
      </c>
      <c r="N523" t="s">
        <v>212</v>
      </c>
      <c r="O523" t="s">
        <v>156</v>
      </c>
      <c r="P523">
        <v>4.8823806909150834E-3</v>
      </c>
      <c r="Q523" t="s">
        <v>154</v>
      </c>
      <c r="S523" t="s">
        <v>243</v>
      </c>
      <c r="T523" t="s">
        <v>156</v>
      </c>
      <c r="U523">
        <v>6.2445319297729819E-3</v>
      </c>
      <c r="V523" t="s">
        <v>154</v>
      </c>
    </row>
    <row r="524" spans="9:22" x14ac:dyDescent="0.25">
      <c r="I524" t="s">
        <v>182</v>
      </c>
      <c r="J524" t="s">
        <v>283</v>
      </c>
      <c r="K524">
        <v>0</v>
      </c>
      <c r="L524" t="s">
        <v>154</v>
      </c>
      <c r="N524" t="s">
        <v>212</v>
      </c>
      <c r="O524" t="s">
        <v>283</v>
      </c>
      <c r="P524">
        <v>5.1121613298822643E-3</v>
      </c>
      <c r="Q524" t="s">
        <v>154</v>
      </c>
      <c r="S524" t="s">
        <v>243</v>
      </c>
      <c r="T524" t="s">
        <v>283</v>
      </c>
      <c r="U524">
        <v>6.2303806772126451E-3</v>
      </c>
      <c r="V524" t="s">
        <v>154</v>
      </c>
    </row>
    <row r="525" spans="9:22" x14ac:dyDescent="0.25">
      <c r="I525" t="s">
        <v>182</v>
      </c>
      <c r="J525" t="s">
        <v>284</v>
      </c>
      <c r="K525">
        <v>0</v>
      </c>
      <c r="L525" t="s">
        <v>154</v>
      </c>
      <c r="N525" t="s">
        <v>212</v>
      </c>
      <c r="O525" t="s">
        <v>284</v>
      </c>
      <c r="P525">
        <v>2.4659988113651936E-2</v>
      </c>
      <c r="Q525" t="s">
        <v>154</v>
      </c>
      <c r="S525" t="s">
        <v>243</v>
      </c>
      <c r="T525" t="s">
        <v>284</v>
      </c>
      <c r="U525">
        <v>2.9128820395418129E-2</v>
      </c>
      <c r="V525" t="s">
        <v>154</v>
      </c>
    </row>
    <row r="526" spans="9:22" x14ac:dyDescent="0.25">
      <c r="I526" t="s">
        <v>182</v>
      </c>
      <c r="J526" t="s">
        <v>157</v>
      </c>
      <c r="K526">
        <v>1.3870855123444352E-3</v>
      </c>
      <c r="L526" t="s">
        <v>154</v>
      </c>
      <c r="N526" t="s">
        <v>212</v>
      </c>
      <c r="O526" t="s">
        <v>157</v>
      </c>
      <c r="P526">
        <v>1.0939736283222715E-2</v>
      </c>
      <c r="Q526" t="s">
        <v>154</v>
      </c>
      <c r="S526" t="s">
        <v>243</v>
      </c>
      <c r="T526" t="s">
        <v>157</v>
      </c>
      <c r="U526">
        <v>1.2282621825326171E-2</v>
      </c>
      <c r="V526" t="s">
        <v>154</v>
      </c>
    </row>
    <row r="527" spans="9:22" x14ac:dyDescent="0.25">
      <c r="I527" t="s">
        <v>182</v>
      </c>
      <c r="J527" t="s">
        <v>158</v>
      </c>
      <c r="K527">
        <v>2.1032994722348475E-2</v>
      </c>
      <c r="L527" t="s">
        <v>154</v>
      </c>
      <c r="N527" t="s">
        <v>212</v>
      </c>
      <c r="O527" t="s">
        <v>158</v>
      </c>
      <c r="P527">
        <v>9.4980528981676998E-3</v>
      </c>
      <c r="Q527" t="s">
        <v>154</v>
      </c>
      <c r="S527" t="s">
        <v>243</v>
      </c>
      <c r="T527" t="s">
        <v>158</v>
      </c>
      <c r="U527">
        <v>1.0872046789542983E-2</v>
      </c>
      <c r="V527" t="s">
        <v>154</v>
      </c>
    </row>
    <row r="528" spans="9:22" x14ac:dyDescent="0.25">
      <c r="I528" t="s">
        <v>182</v>
      </c>
      <c r="J528" t="s">
        <v>159</v>
      </c>
      <c r="K528">
        <v>1.0216270067128239E-3</v>
      </c>
      <c r="L528" t="s">
        <v>154</v>
      </c>
      <c r="N528" t="s">
        <v>212</v>
      </c>
      <c r="O528" t="s">
        <v>159</v>
      </c>
      <c r="P528">
        <v>1.1583065599702163E-3</v>
      </c>
      <c r="Q528" t="s">
        <v>154</v>
      </c>
      <c r="S528" t="s">
        <v>243</v>
      </c>
      <c r="T528" t="s">
        <v>159</v>
      </c>
      <c r="U528">
        <v>1.4361115019856248E-3</v>
      </c>
      <c r="V528" t="s">
        <v>154</v>
      </c>
    </row>
    <row r="529" spans="9:22" x14ac:dyDescent="0.25">
      <c r="I529" t="s">
        <v>182</v>
      </c>
      <c r="J529" t="s">
        <v>285</v>
      </c>
      <c r="K529">
        <v>0</v>
      </c>
      <c r="L529" t="s">
        <v>154</v>
      </c>
      <c r="N529" t="s">
        <v>212</v>
      </c>
      <c r="O529" t="s">
        <v>285</v>
      </c>
      <c r="P529">
        <v>1.1419705170275299E-3</v>
      </c>
      <c r="Q529" t="s">
        <v>154</v>
      </c>
      <c r="S529" t="s">
        <v>243</v>
      </c>
      <c r="T529" t="s">
        <v>285</v>
      </c>
      <c r="U529">
        <v>1.4317650079083864E-3</v>
      </c>
      <c r="V529" t="s">
        <v>154</v>
      </c>
    </row>
    <row r="530" spans="9:22" x14ac:dyDescent="0.25">
      <c r="I530" t="s">
        <v>182</v>
      </c>
      <c r="J530" t="s">
        <v>286</v>
      </c>
      <c r="K530">
        <v>0</v>
      </c>
      <c r="L530" t="s">
        <v>154</v>
      </c>
      <c r="N530" t="s">
        <v>212</v>
      </c>
      <c r="O530" t="s">
        <v>286</v>
      </c>
      <c r="P530">
        <v>5.3676933010903816E-3</v>
      </c>
      <c r="Q530" t="s">
        <v>154</v>
      </c>
      <c r="S530" t="s">
        <v>243</v>
      </c>
      <c r="T530" t="s">
        <v>286</v>
      </c>
      <c r="U530">
        <v>6.3548243116471493E-3</v>
      </c>
      <c r="V530" t="s">
        <v>154</v>
      </c>
    </row>
    <row r="531" spans="9:22" x14ac:dyDescent="0.25">
      <c r="I531" t="s">
        <v>182</v>
      </c>
      <c r="J531" t="s">
        <v>160</v>
      </c>
      <c r="K531">
        <v>9.8317320384061713E-2</v>
      </c>
      <c r="L531" t="s">
        <v>154</v>
      </c>
      <c r="N531" t="s">
        <v>212</v>
      </c>
      <c r="O531" t="s">
        <v>160</v>
      </c>
      <c r="P531">
        <v>0.22625131553127767</v>
      </c>
      <c r="Q531" t="s">
        <v>154</v>
      </c>
      <c r="S531" t="s">
        <v>243</v>
      </c>
      <c r="T531" t="s">
        <v>160</v>
      </c>
      <c r="U531">
        <v>0.20948912584727702</v>
      </c>
      <c r="V531" t="s">
        <v>154</v>
      </c>
    </row>
    <row r="532" spans="9:22" x14ac:dyDescent="0.25">
      <c r="I532" t="s">
        <v>182</v>
      </c>
      <c r="J532" t="s">
        <v>161</v>
      </c>
      <c r="K532">
        <v>0.59574862983937582</v>
      </c>
      <c r="L532" t="s">
        <v>154</v>
      </c>
      <c r="N532" t="s">
        <v>212</v>
      </c>
      <c r="O532" t="s">
        <v>161</v>
      </c>
      <c r="P532">
        <v>0.21060300115925648</v>
      </c>
      <c r="Q532" t="s">
        <v>154</v>
      </c>
      <c r="S532" t="s">
        <v>243</v>
      </c>
      <c r="T532" t="s">
        <v>161</v>
      </c>
      <c r="U532">
        <v>0.1954693188282576</v>
      </c>
      <c r="V532" t="s">
        <v>154</v>
      </c>
    </row>
    <row r="533" spans="9:22" x14ac:dyDescent="0.25">
      <c r="I533" t="s">
        <v>182</v>
      </c>
      <c r="J533" t="s">
        <v>162</v>
      </c>
      <c r="K533">
        <v>4.4748187033595101E-2</v>
      </c>
      <c r="L533" t="s">
        <v>154</v>
      </c>
      <c r="N533" t="s">
        <v>212</v>
      </c>
      <c r="O533" t="s">
        <v>162</v>
      </c>
      <c r="P533">
        <v>2.8778227603450932E-2</v>
      </c>
      <c r="Q533" t="s">
        <v>154</v>
      </c>
      <c r="S533" t="s">
        <v>243</v>
      </c>
      <c r="T533" t="s">
        <v>162</v>
      </c>
      <c r="U533">
        <v>2.5352601452823535E-2</v>
      </c>
      <c r="V533" t="s">
        <v>154</v>
      </c>
    </row>
    <row r="534" spans="9:22" x14ac:dyDescent="0.25">
      <c r="I534" t="s">
        <v>182</v>
      </c>
      <c r="J534" t="s">
        <v>287</v>
      </c>
      <c r="K534">
        <v>2.285856866198261E-2</v>
      </c>
      <c r="L534" t="s">
        <v>154</v>
      </c>
      <c r="N534" t="s">
        <v>212</v>
      </c>
      <c r="O534" t="s">
        <v>287</v>
      </c>
      <c r="P534">
        <v>2.8378305779913959E-2</v>
      </c>
      <c r="Q534" t="s">
        <v>154</v>
      </c>
      <c r="S534" t="s">
        <v>243</v>
      </c>
      <c r="T534" t="s">
        <v>287</v>
      </c>
      <c r="U534">
        <v>2.471624511645569E-2</v>
      </c>
      <c r="V534" t="s">
        <v>154</v>
      </c>
    </row>
    <row r="535" spans="9:22" x14ac:dyDescent="0.25">
      <c r="I535" t="s">
        <v>182</v>
      </c>
      <c r="J535" t="s">
        <v>288</v>
      </c>
      <c r="K535">
        <v>5.9860772441083484E-3</v>
      </c>
      <c r="L535" t="s">
        <v>154</v>
      </c>
      <c r="N535" t="s">
        <v>212</v>
      </c>
      <c r="O535" t="s">
        <v>288</v>
      </c>
      <c r="P535">
        <v>0.12447918698533425</v>
      </c>
      <c r="Q535" t="s">
        <v>154</v>
      </c>
      <c r="S535" t="s">
        <v>243</v>
      </c>
      <c r="T535" t="s">
        <v>288</v>
      </c>
      <c r="U535">
        <v>0.11151857057935051</v>
      </c>
      <c r="V535" t="s">
        <v>154</v>
      </c>
    </row>
    <row r="536" spans="9:22" x14ac:dyDescent="0.25">
      <c r="I536" t="s">
        <v>182</v>
      </c>
      <c r="J536" t="s">
        <v>163</v>
      </c>
      <c r="K536">
        <v>2.358011604587608E-3</v>
      </c>
      <c r="L536" t="s">
        <v>154</v>
      </c>
      <c r="N536" t="s">
        <v>212</v>
      </c>
      <c r="O536" t="s">
        <v>163</v>
      </c>
      <c r="P536">
        <v>2.1640469619219043E-2</v>
      </c>
      <c r="Q536" t="s">
        <v>154</v>
      </c>
      <c r="S536" t="s">
        <v>243</v>
      </c>
      <c r="T536" t="s">
        <v>163</v>
      </c>
      <c r="U536">
        <v>1.241273422178445E-2</v>
      </c>
      <c r="V536" t="s">
        <v>154</v>
      </c>
    </row>
    <row r="537" spans="9:22" x14ac:dyDescent="0.25">
      <c r="I537" t="s">
        <v>182</v>
      </c>
      <c r="J537" t="s">
        <v>164</v>
      </c>
      <c r="K537">
        <v>1.7645741417153912E-2</v>
      </c>
      <c r="L537" t="s">
        <v>154</v>
      </c>
      <c r="N537" t="s">
        <v>212</v>
      </c>
      <c r="O537" t="s">
        <v>164</v>
      </c>
      <c r="P537">
        <v>1.7170796530488534E-2</v>
      </c>
      <c r="Q537" t="s">
        <v>154</v>
      </c>
      <c r="S537" t="s">
        <v>243</v>
      </c>
      <c r="T537" t="s">
        <v>164</v>
      </c>
      <c r="U537">
        <v>1.0904009033712315E-2</v>
      </c>
      <c r="V537" t="s">
        <v>154</v>
      </c>
    </row>
    <row r="538" spans="9:22" x14ac:dyDescent="0.25">
      <c r="I538" t="s">
        <v>182</v>
      </c>
      <c r="J538" t="s">
        <v>165</v>
      </c>
      <c r="K538">
        <v>7.8485278198568102E-4</v>
      </c>
      <c r="L538" t="s">
        <v>154</v>
      </c>
      <c r="N538" t="s">
        <v>212</v>
      </c>
      <c r="O538" t="s">
        <v>165</v>
      </c>
      <c r="P538">
        <v>2.2547604547964264E-3</v>
      </c>
      <c r="Q538" t="s">
        <v>154</v>
      </c>
      <c r="S538" t="s">
        <v>243</v>
      </c>
      <c r="T538" t="s">
        <v>165</v>
      </c>
      <c r="U538">
        <v>1.4836390522200034E-3</v>
      </c>
      <c r="V538" t="s">
        <v>154</v>
      </c>
    </row>
    <row r="539" spans="9:22" x14ac:dyDescent="0.25">
      <c r="I539" t="s">
        <v>182</v>
      </c>
      <c r="J539" t="s">
        <v>289</v>
      </c>
      <c r="K539">
        <v>0</v>
      </c>
      <c r="L539" t="s">
        <v>154</v>
      </c>
      <c r="N539" t="s">
        <v>212</v>
      </c>
      <c r="O539" t="s">
        <v>289</v>
      </c>
      <c r="P539">
        <v>2.2879073141835421E-3</v>
      </c>
      <c r="Q539" t="s">
        <v>154</v>
      </c>
      <c r="S539" t="s">
        <v>243</v>
      </c>
      <c r="T539" t="s">
        <v>289</v>
      </c>
      <c r="U539">
        <v>1.5050763985796024E-3</v>
      </c>
      <c r="V539" t="s">
        <v>154</v>
      </c>
    </row>
    <row r="540" spans="9:22" x14ac:dyDescent="0.25">
      <c r="I540" t="s">
        <v>182</v>
      </c>
      <c r="J540" t="s">
        <v>290</v>
      </c>
      <c r="K540">
        <v>0</v>
      </c>
      <c r="L540" t="s">
        <v>154</v>
      </c>
      <c r="N540" t="s">
        <v>212</v>
      </c>
      <c r="O540" t="s">
        <v>290</v>
      </c>
      <c r="P540">
        <v>1.0274056835373741E-2</v>
      </c>
      <c r="Q540" t="s">
        <v>154</v>
      </c>
      <c r="S540" t="s">
        <v>243</v>
      </c>
      <c r="T540" t="s">
        <v>290</v>
      </c>
      <c r="U540">
        <v>7.1361531261371217E-3</v>
      </c>
      <c r="V540" t="s">
        <v>154</v>
      </c>
    </row>
    <row r="541" spans="9:22" x14ac:dyDescent="0.25">
      <c r="I541" t="s">
        <v>182</v>
      </c>
      <c r="J541" t="s">
        <v>297</v>
      </c>
      <c r="K541">
        <v>5.7472315417904712E-3</v>
      </c>
      <c r="L541" t="s">
        <v>154</v>
      </c>
      <c r="N541" t="s">
        <v>212</v>
      </c>
      <c r="O541" t="s">
        <v>297</v>
      </c>
      <c r="P541">
        <v>2.1613889854066679E-2</v>
      </c>
      <c r="Q541" t="s">
        <v>154</v>
      </c>
      <c r="S541" t="s">
        <v>243</v>
      </c>
      <c r="T541" t="s">
        <v>297</v>
      </c>
      <c r="U541">
        <v>2.7720879919150131E-2</v>
      </c>
      <c r="V541" t="s">
        <v>154</v>
      </c>
    </row>
    <row r="542" spans="9:22" x14ac:dyDescent="0.25">
      <c r="I542" t="s">
        <v>182</v>
      </c>
      <c r="J542" t="s">
        <v>298</v>
      </c>
      <c r="K542">
        <v>5.0973302400979893E-2</v>
      </c>
      <c r="L542" t="s">
        <v>154</v>
      </c>
      <c r="N542" t="s">
        <v>212</v>
      </c>
      <c r="O542" t="s">
        <v>298</v>
      </c>
      <c r="P542">
        <v>1.9585971989402023E-2</v>
      </c>
      <c r="Q542" t="s">
        <v>154</v>
      </c>
      <c r="S542" t="s">
        <v>243</v>
      </c>
      <c r="T542" t="s">
        <v>298</v>
      </c>
      <c r="U542">
        <v>2.556390046402137E-2</v>
      </c>
      <c r="V542" t="s">
        <v>154</v>
      </c>
    </row>
    <row r="543" spans="9:22" x14ac:dyDescent="0.25">
      <c r="I543" t="s">
        <v>182</v>
      </c>
      <c r="J543" t="s">
        <v>299</v>
      </c>
      <c r="K543">
        <v>3.0661075724236652E-6</v>
      </c>
      <c r="L543" t="s">
        <v>154</v>
      </c>
      <c r="N543" t="s">
        <v>212</v>
      </c>
      <c r="O543" t="s">
        <v>299</v>
      </c>
      <c r="P543">
        <v>2.5810985361230804E-3</v>
      </c>
      <c r="Q543" t="s">
        <v>154</v>
      </c>
      <c r="S543" t="s">
        <v>243</v>
      </c>
      <c r="T543" t="s">
        <v>299</v>
      </c>
      <c r="U543">
        <v>3.4235165538264857E-3</v>
      </c>
      <c r="V543" t="s">
        <v>154</v>
      </c>
    </row>
    <row r="544" spans="9:22" x14ac:dyDescent="0.25">
      <c r="I544" t="s">
        <v>182</v>
      </c>
      <c r="J544" t="s">
        <v>300</v>
      </c>
      <c r="K544">
        <v>0</v>
      </c>
      <c r="L544" t="s">
        <v>154</v>
      </c>
      <c r="N544" t="s">
        <v>212</v>
      </c>
      <c r="O544" t="s">
        <v>300</v>
      </c>
      <c r="P544">
        <v>2.4672542126353094E-3</v>
      </c>
      <c r="Q544" t="s">
        <v>154</v>
      </c>
      <c r="S544" t="s">
        <v>243</v>
      </c>
      <c r="T544" t="s">
        <v>300</v>
      </c>
      <c r="U544">
        <v>3.3956521839584538E-3</v>
      </c>
      <c r="V544" t="s">
        <v>154</v>
      </c>
    </row>
    <row r="545" spans="9:22" x14ac:dyDescent="0.25">
      <c r="I545" t="s">
        <v>182</v>
      </c>
      <c r="J545" t="s">
        <v>301</v>
      </c>
      <c r="K545">
        <v>0</v>
      </c>
      <c r="L545" t="s">
        <v>154</v>
      </c>
      <c r="N545" t="s">
        <v>212</v>
      </c>
      <c r="O545" t="s">
        <v>301</v>
      </c>
      <c r="P545">
        <v>1.1831749639124683E-2</v>
      </c>
      <c r="Q545" t="s">
        <v>154</v>
      </c>
      <c r="S545" t="s">
        <v>243</v>
      </c>
      <c r="T545" t="s">
        <v>301</v>
      </c>
      <c r="U545">
        <v>1.5140430674580332E-2</v>
      </c>
      <c r="V545" t="s">
        <v>154</v>
      </c>
    </row>
    <row r="546" spans="9:22" x14ac:dyDescent="0.25">
      <c r="I546" t="s">
        <v>182</v>
      </c>
      <c r="J546" t="s">
        <v>302</v>
      </c>
      <c r="K546">
        <v>3.759793424394402E-3</v>
      </c>
      <c r="L546" t="s">
        <v>154</v>
      </c>
      <c r="N546" t="s">
        <v>212</v>
      </c>
      <c r="O546" t="s">
        <v>302</v>
      </c>
      <c r="P546">
        <v>4.7097095952151884E-2</v>
      </c>
      <c r="Q546" t="s">
        <v>154</v>
      </c>
      <c r="S546" t="s">
        <v>243</v>
      </c>
      <c r="T546" t="s">
        <v>302</v>
      </c>
      <c r="U546">
        <v>5.5475518282571794E-2</v>
      </c>
      <c r="V546" t="s">
        <v>154</v>
      </c>
    </row>
    <row r="547" spans="9:22" x14ac:dyDescent="0.25">
      <c r="I547" t="s">
        <v>182</v>
      </c>
      <c r="J547" t="s">
        <v>303</v>
      </c>
      <c r="K547">
        <v>5.7549762500507744E-2</v>
      </c>
      <c r="L547" t="s">
        <v>154</v>
      </c>
      <c r="N547" t="s">
        <v>212</v>
      </c>
      <c r="O547" t="s">
        <v>303</v>
      </c>
      <c r="P547">
        <v>4.6670632644668475E-2</v>
      </c>
      <c r="Q547" t="s">
        <v>154</v>
      </c>
      <c r="S547" t="s">
        <v>243</v>
      </c>
      <c r="T547" t="s">
        <v>303</v>
      </c>
      <c r="U547">
        <v>5.0288730261374037E-2</v>
      </c>
      <c r="V547" t="s">
        <v>154</v>
      </c>
    </row>
    <row r="548" spans="9:22" x14ac:dyDescent="0.25">
      <c r="I548" t="s">
        <v>182</v>
      </c>
      <c r="J548" t="s">
        <v>304</v>
      </c>
      <c r="K548">
        <v>0</v>
      </c>
      <c r="L548" t="s">
        <v>154</v>
      </c>
      <c r="N548" t="s">
        <v>212</v>
      </c>
      <c r="O548" t="s">
        <v>304</v>
      </c>
      <c r="P548">
        <v>5.9149281075600085E-3</v>
      </c>
      <c r="Q548" t="s">
        <v>154</v>
      </c>
      <c r="S548" t="s">
        <v>243</v>
      </c>
      <c r="T548" t="s">
        <v>304</v>
      </c>
      <c r="U548">
        <v>6.3814481406290384E-3</v>
      </c>
      <c r="V548" t="s">
        <v>154</v>
      </c>
    </row>
    <row r="549" spans="9:22" x14ac:dyDescent="0.25">
      <c r="I549" t="s">
        <v>182</v>
      </c>
      <c r="J549" t="s">
        <v>305</v>
      </c>
      <c r="K549">
        <v>0</v>
      </c>
      <c r="L549" t="s">
        <v>154</v>
      </c>
      <c r="N549" t="s">
        <v>212</v>
      </c>
      <c r="O549" t="s">
        <v>305</v>
      </c>
      <c r="P549">
        <v>5.8428996264376452E-3</v>
      </c>
      <c r="Q549" t="s">
        <v>154</v>
      </c>
      <c r="S549" t="s">
        <v>243</v>
      </c>
      <c r="T549" t="s">
        <v>305</v>
      </c>
      <c r="U549">
        <v>6.3570266184193522E-3</v>
      </c>
      <c r="V549" t="s">
        <v>154</v>
      </c>
    </row>
    <row r="550" spans="9:22" x14ac:dyDescent="0.25">
      <c r="I550" t="s">
        <v>182</v>
      </c>
      <c r="J550" t="s">
        <v>306</v>
      </c>
      <c r="K550">
        <v>0</v>
      </c>
      <c r="L550" t="s">
        <v>154</v>
      </c>
      <c r="N550" t="s">
        <v>212</v>
      </c>
      <c r="O550" t="s">
        <v>306</v>
      </c>
      <c r="P550">
        <v>2.6543275017009166E-2</v>
      </c>
      <c r="Q550" t="s">
        <v>154</v>
      </c>
      <c r="S550" t="s">
        <v>243</v>
      </c>
      <c r="T550" t="s">
        <v>306</v>
      </c>
      <c r="U550">
        <v>3.0655411836036626E-2</v>
      </c>
      <c r="V550" t="s">
        <v>154</v>
      </c>
    </row>
    <row r="551" spans="9:22" x14ac:dyDescent="0.25">
      <c r="I551" t="s">
        <v>183</v>
      </c>
      <c r="J551" t="s">
        <v>153</v>
      </c>
      <c r="K551">
        <v>5.8372092292856359E-3</v>
      </c>
      <c r="L551" t="s">
        <v>154</v>
      </c>
      <c r="N551" t="s">
        <v>213</v>
      </c>
      <c r="O551" t="s">
        <v>153</v>
      </c>
      <c r="P551">
        <v>4.3923673589036531E-2</v>
      </c>
      <c r="Q551" t="s">
        <v>154</v>
      </c>
      <c r="S551" t="s">
        <v>244</v>
      </c>
      <c r="T551" t="s">
        <v>153</v>
      </c>
      <c r="U551">
        <v>4.1365652349606014E-2</v>
      </c>
      <c r="V551" t="s">
        <v>154</v>
      </c>
    </row>
    <row r="552" spans="9:22" x14ac:dyDescent="0.25">
      <c r="I552" t="s">
        <v>183</v>
      </c>
      <c r="J552" t="s">
        <v>155</v>
      </c>
      <c r="K552">
        <v>7.7482390155725292E-2</v>
      </c>
      <c r="L552" t="s">
        <v>154</v>
      </c>
      <c r="N552" t="s">
        <v>213</v>
      </c>
      <c r="O552" t="s">
        <v>155</v>
      </c>
      <c r="P552">
        <v>3.8677833288650425E-2</v>
      </c>
      <c r="Q552" t="s">
        <v>154</v>
      </c>
      <c r="S552" t="s">
        <v>244</v>
      </c>
      <c r="T552" t="s">
        <v>155</v>
      </c>
      <c r="U552">
        <v>3.6932841792540368E-2</v>
      </c>
      <c r="V552" t="s">
        <v>154</v>
      </c>
    </row>
    <row r="553" spans="9:22" x14ac:dyDescent="0.25">
      <c r="I553" t="s">
        <v>183</v>
      </c>
      <c r="J553" t="s">
        <v>156</v>
      </c>
      <c r="K553">
        <v>7.6821350364644802E-4</v>
      </c>
      <c r="L553" t="s">
        <v>154</v>
      </c>
      <c r="N553" t="s">
        <v>213</v>
      </c>
      <c r="O553" t="s">
        <v>156</v>
      </c>
      <c r="P553">
        <v>5.277599816047974E-3</v>
      </c>
      <c r="Q553" t="s">
        <v>154</v>
      </c>
      <c r="S553" t="s">
        <v>244</v>
      </c>
      <c r="T553" t="s">
        <v>156</v>
      </c>
      <c r="U553">
        <v>4.5480697556470346E-3</v>
      </c>
      <c r="V553" t="s">
        <v>154</v>
      </c>
    </row>
    <row r="554" spans="9:22" x14ac:dyDescent="0.25">
      <c r="I554" t="s">
        <v>183</v>
      </c>
      <c r="J554" t="s">
        <v>283</v>
      </c>
      <c r="K554">
        <v>0</v>
      </c>
      <c r="L554" t="s">
        <v>154</v>
      </c>
      <c r="N554" t="s">
        <v>213</v>
      </c>
      <c r="O554" t="s">
        <v>283</v>
      </c>
      <c r="P554">
        <v>4.7143865245705451E-3</v>
      </c>
      <c r="Q554" t="s">
        <v>154</v>
      </c>
      <c r="S554" t="s">
        <v>244</v>
      </c>
      <c r="T554" t="s">
        <v>283</v>
      </c>
      <c r="U554">
        <v>4.4259196117114041E-3</v>
      </c>
      <c r="V554" t="s">
        <v>154</v>
      </c>
    </row>
    <row r="555" spans="9:22" x14ac:dyDescent="0.25">
      <c r="I555" t="s">
        <v>183</v>
      </c>
      <c r="J555" t="s">
        <v>284</v>
      </c>
      <c r="K555">
        <v>0</v>
      </c>
      <c r="L555" t="s">
        <v>154</v>
      </c>
      <c r="N555" t="s">
        <v>213</v>
      </c>
      <c r="O555" t="s">
        <v>284</v>
      </c>
      <c r="P555">
        <v>2.3067421800379417E-2</v>
      </c>
      <c r="Q555" t="s">
        <v>154</v>
      </c>
      <c r="S555" t="s">
        <v>244</v>
      </c>
      <c r="T555" t="s">
        <v>284</v>
      </c>
      <c r="U555">
        <v>2.186645569172263E-2</v>
      </c>
      <c r="V555" t="s">
        <v>154</v>
      </c>
    </row>
    <row r="556" spans="9:22" x14ac:dyDescent="0.25">
      <c r="I556" t="s">
        <v>183</v>
      </c>
      <c r="J556" t="s">
        <v>157</v>
      </c>
      <c r="K556">
        <v>1.5126808115128328E-3</v>
      </c>
      <c r="L556" t="s">
        <v>154</v>
      </c>
      <c r="N556" t="s">
        <v>213</v>
      </c>
      <c r="O556" t="s">
        <v>157</v>
      </c>
      <c r="P556">
        <v>1.1682993124013285E-2</v>
      </c>
      <c r="Q556" t="s">
        <v>154</v>
      </c>
      <c r="S556" t="s">
        <v>244</v>
      </c>
      <c r="T556" t="s">
        <v>157</v>
      </c>
      <c r="U556">
        <v>7.080207647016311E-3</v>
      </c>
      <c r="V556" t="s">
        <v>154</v>
      </c>
    </row>
    <row r="557" spans="9:22" x14ac:dyDescent="0.25">
      <c r="I557" t="s">
        <v>183</v>
      </c>
      <c r="J557" t="s">
        <v>158</v>
      </c>
      <c r="K557">
        <v>2.26376659547926E-2</v>
      </c>
      <c r="L557" t="s">
        <v>154</v>
      </c>
      <c r="N557" t="s">
        <v>213</v>
      </c>
      <c r="O557" t="s">
        <v>158</v>
      </c>
      <c r="P557">
        <v>9.7490578495598394E-3</v>
      </c>
      <c r="Q557" t="s">
        <v>154</v>
      </c>
      <c r="S557" t="s">
        <v>244</v>
      </c>
      <c r="T557" t="s">
        <v>158</v>
      </c>
      <c r="U557">
        <v>7.0887851034757629E-3</v>
      </c>
      <c r="V557" t="s">
        <v>154</v>
      </c>
    </row>
    <row r="558" spans="9:22" x14ac:dyDescent="0.25">
      <c r="I558" t="s">
        <v>183</v>
      </c>
      <c r="J558" t="s">
        <v>159</v>
      </c>
      <c r="K558">
        <v>1.275518551749438E-3</v>
      </c>
      <c r="L558" t="s">
        <v>154</v>
      </c>
      <c r="N558" t="s">
        <v>213</v>
      </c>
      <c r="O558" t="s">
        <v>159</v>
      </c>
      <c r="P558">
        <v>1.2542672531550678E-3</v>
      </c>
      <c r="Q558" t="s">
        <v>154</v>
      </c>
      <c r="S558" t="s">
        <v>244</v>
      </c>
      <c r="T558" t="s">
        <v>159</v>
      </c>
      <c r="U558">
        <v>1.0838914147039199E-3</v>
      </c>
      <c r="V558" t="s">
        <v>154</v>
      </c>
    </row>
    <row r="559" spans="9:22" x14ac:dyDescent="0.25">
      <c r="I559" t="s">
        <v>183</v>
      </c>
      <c r="J559" t="s">
        <v>285</v>
      </c>
      <c r="K559">
        <v>0</v>
      </c>
      <c r="L559" t="s">
        <v>154</v>
      </c>
      <c r="N559" t="s">
        <v>213</v>
      </c>
      <c r="O559" t="s">
        <v>285</v>
      </c>
      <c r="P559">
        <v>1.1278781730840537E-3</v>
      </c>
      <c r="Q559" t="s">
        <v>154</v>
      </c>
      <c r="S559" t="s">
        <v>244</v>
      </c>
      <c r="T559" t="s">
        <v>285</v>
      </c>
      <c r="U559">
        <v>1.0790969761096817E-3</v>
      </c>
      <c r="V559" t="s">
        <v>154</v>
      </c>
    </row>
    <row r="560" spans="9:22" x14ac:dyDescent="0.25">
      <c r="I560" t="s">
        <v>183</v>
      </c>
      <c r="J560" t="s">
        <v>286</v>
      </c>
      <c r="K560">
        <v>0</v>
      </c>
      <c r="L560" t="s">
        <v>154</v>
      </c>
      <c r="N560" t="s">
        <v>213</v>
      </c>
      <c r="O560" t="s">
        <v>286</v>
      </c>
      <c r="P560">
        <v>6.3741574054959529E-3</v>
      </c>
      <c r="Q560" t="s">
        <v>154</v>
      </c>
      <c r="S560" t="s">
        <v>244</v>
      </c>
      <c r="T560" t="s">
        <v>286</v>
      </c>
      <c r="U560">
        <v>4.76560148630914E-3</v>
      </c>
      <c r="V560" t="s">
        <v>154</v>
      </c>
    </row>
    <row r="561" spans="9:22" x14ac:dyDescent="0.25">
      <c r="I561" t="s">
        <v>183</v>
      </c>
      <c r="J561" t="s">
        <v>160</v>
      </c>
      <c r="K561">
        <v>0.11062537752671571</v>
      </c>
      <c r="L561" t="s">
        <v>154</v>
      </c>
      <c r="N561" t="s">
        <v>213</v>
      </c>
      <c r="O561" t="s">
        <v>160</v>
      </c>
      <c r="P561">
        <v>0.22525789265847462</v>
      </c>
      <c r="Q561" t="s">
        <v>154</v>
      </c>
      <c r="S561" t="s">
        <v>244</v>
      </c>
      <c r="T561" t="s">
        <v>160</v>
      </c>
      <c r="U561">
        <v>0.22210002587903863</v>
      </c>
      <c r="V561" t="s">
        <v>154</v>
      </c>
    </row>
    <row r="562" spans="9:22" x14ac:dyDescent="0.25">
      <c r="I562" t="s">
        <v>183</v>
      </c>
      <c r="J562" t="s">
        <v>161</v>
      </c>
      <c r="K562">
        <v>0.56599933826025828</v>
      </c>
      <c r="L562" t="s">
        <v>154</v>
      </c>
      <c r="N562" t="s">
        <v>213</v>
      </c>
      <c r="O562" t="s">
        <v>161</v>
      </c>
      <c r="P562">
        <v>0.19306483470273586</v>
      </c>
      <c r="Q562" t="s">
        <v>154</v>
      </c>
      <c r="S562" t="s">
        <v>244</v>
      </c>
      <c r="T562" t="s">
        <v>161</v>
      </c>
      <c r="U562">
        <v>0.21295755154844964</v>
      </c>
      <c r="V562" t="s">
        <v>154</v>
      </c>
    </row>
    <row r="563" spans="9:22" x14ac:dyDescent="0.25">
      <c r="I563" t="s">
        <v>183</v>
      </c>
      <c r="J563" t="s">
        <v>162</v>
      </c>
      <c r="K563">
        <v>3.9061795238987652E-2</v>
      </c>
      <c r="L563" t="s">
        <v>154</v>
      </c>
      <c r="N563" t="s">
        <v>213</v>
      </c>
      <c r="O563" t="s">
        <v>162</v>
      </c>
      <c r="P563">
        <v>2.787913484825685E-2</v>
      </c>
      <c r="Q563" t="s">
        <v>154</v>
      </c>
      <c r="S563" t="s">
        <v>244</v>
      </c>
      <c r="T563" t="s">
        <v>162</v>
      </c>
      <c r="U563">
        <v>2.8959108354519154E-2</v>
      </c>
      <c r="V563" t="s">
        <v>154</v>
      </c>
    </row>
    <row r="564" spans="9:22" x14ac:dyDescent="0.25">
      <c r="I564" t="s">
        <v>183</v>
      </c>
      <c r="J564" t="s">
        <v>287</v>
      </c>
      <c r="K564">
        <v>1.8457699446939493E-2</v>
      </c>
      <c r="L564" t="s">
        <v>154</v>
      </c>
      <c r="N564" t="s">
        <v>213</v>
      </c>
      <c r="O564" t="s">
        <v>287</v>
      </c>
      <c r="P564">
        <v>2.3717601300833425E-2</v>
      </c>
      <c r="Q564" t="s">
        <v>154</v>
      </c>
      <c r="S564" t="s">
        <v>244</v>
      </c>
      <c r="T564" t="s">
        <v>287</v>
      </c>
      <c r="U564">
        <v>2.9093087225591386E-2</v>
      </c>
      <c r="V564" t="s">
        <v>154</v>
      </c>
    </row>
    <row r="565" spans="9:22" x14ac:dyDescent="0.25">
      <c r="I565" t="s">
        <v>183</v>
      </c>
      <c r="J565" t="s">
        <v>288</v>
      </c>
      <c r="K565">
        <v>4.2347725313239878E-3</v>
      </c>
      <c r="L565" t="s">
        <v>154</v>
      </c>
      <c r="N565" t="s">
        <v>213</v>
      </c>
      <c r="O565" t="s">
        <v>288</v>
      </c>
      <c r="P565">
        <v>0.12714728316045978</v>
      </c>
      <c r="Q565" t="s">
        <v>154</v>
      </c>
      <c r="S565" t="s">
        <v>244</v>
      </c>
      <c r="T565" t="s">
        <v>288</v>
      </c>
      <c r="U565">
        <v>0.13398790293473919</v>
      </c>
      <c r="V565" t="s">
        <v>154</v>
      </c>
    </row>
    <row r="566" spans="9:22" x14ac:dyDescent="0.25">
      <c r="I566" t="s">
        <v>183</v>
      </c>
      <c r="J566" t="s">
        <v>163</v>
      </c>
      <c r="K566">
        <v>2.9320637161743637E-3</v>
      </c>
      <c r="L566" t="s">
        <v>154</v>
      </c>
      <c r="N566" t="s">
        <v>213</v>
      </c>
      <c r="O566" t="s">
        <v>163</v>
      </c>
      <c r="P566">
        <v>1.5757741301372929E-2</v>
      </c>
      <c r="Q566" t="s">
        <v>154</v>
      </c>
      <c r="S566" t="s">
        <v>244</v>
      </c>
      <c r="T566" t="s">
        <v>163</v>
      </c>
      <c r="U566">
        <v>1.1189612064741616E-2</v>
      </c>
      <c r="V566" t="s">
        <v>154</v>
      </c>
    </row>
    <row r="567" spans="9:22" x14ac:dyDescent="0.25">
      <c r="I567" t="s">
        <v>183</v>
      </c>
      <c r="J567" t="s">
        <v>164</v>
      </c>
      <c r="K567">
        <v>1.8639397756684942E-2</v>
      </c>
      <c r="L567" t="s">
        <v>154</v>
      </c>
      <c r="N567" t="s">
        <v>213</v>
      </c>
      <c r="O567" t="s">
        <v>164</v>
      </c>
      <c r="P567">
        <v>1.366437893890596E-2</v>
      </c>
      <c r="Q567" t="s">
        <v>154</v>
      </c>
      <c r="S567" t="s">
        <v>244</v>
      </c>
      <c r="T567" t="s">
        <v>164</v>
      </c>
      <c r="U567">
        <v>9.6974703237423503E-3</v>
      </c>
      <c r="V567" t="s">
        <v>154</v>
      </c>
    </row>
    <row r="568" spans="9:22" x14ac:dyDescent="0.25">
      <c r="I568" t="s">
        <v>183</v>
      </c>
      <c r="J568" t="s">
        <v>165</v>
      </c>
      <c r="K568">
        <v>5.8916873624744034E-4</v>
      </c>
      <c r="L568" t="s">
        <v>154</v>
      </c>
      <c r="N568" t="s">
        <v>213</v>
      </c>
      <c r="O568" t="s">
        <v>165</v>
      </c>
      <c r="P568">
        <v>1.9821700279097714E-3</v>
      </c>
      <c r="Q568" t="s">
        <v>154</v>
      </c>
      <c r="S568" t="s">
        <v>244</v>
      </c>
      <c r="T568" t="s">
        <v>165</v>
      </c>
      <c r="U568">
        <v>1.3687295872673328E-3</v>
      </c>
      <c r="V568" t="s">
        <v>154</v>
      </c>
    </row>
    <row r="569" spans="9:22" x14ac:dyDescent="0.25">
      <c r="I569" t="s">
        <v>183</v>
      </c>
      <c r="J569" t="s">
        <v>289</v>
      </c>
      <c r="K569">
        <v>0</v>
      </c>
      <c r="L569" t="s">
        <v>154</v>
      </c>
      <c r="N569" t="s">
        <v>213</v>
      </c>
      <c r="O569" t="s">
        <v>289</v>
      </c>
      <c r="P569">
        <v>1.740231121136976E-3</v>
      </c>
      <c r="Q569" t="s">
        <v>154</v>
      </c>
      <c r="S569" t="s">
        <v>244</v>
      </c>
      <c r="T569" t="s">
        <v>289</v>
      </c>
      <c r="U569">
        <v>1.4263735360626421E-3</v>
      </c>
      <c r="V569" t="s">
        <v>154</v>
      </c>
    </row>
    <row r="570" spans="9:22" x14ac:dyDescent="0.25">
      <c r="I570" t="s">
        <v>183</v>
      </c>
      <c r="J570" t="s">
        <v>290</v>
      </c>
      <c r="K570">
        <v>0</v>
      </c>
      <c r="L570" t="s">
        <v>154</v>
      </c>
      <c r="N570" t="s">
        <v>213</v>
      </c>
      <c r="O570" t="s">
        <v>290</v>
      </c>
      <c r="P570">
        <v>9.0252464818106216E-3</v>
      </c>
      <c r="Q570" t="s">
        <v>154</v>
      </c>
      <c r="S570" t="s">
        <v>244</v>
      </c>
      <c r="T570" t="s">
        <v>290</v>
      </c>
      <c r="U570">
        <v>6.6229699240623425E-3</v>
      </c>
      <c r="V570" t="s">
        <v>154</v>
      </c>
    </row>
    <row r="571" spans="9:22" x14ac:dyDescent="0.25">
      <c r="I571" t="s">
        <v>183</v>
      </c>
      <c r="J571" t="s">
        <v>297</v>
      </c>
      <c r="K571">
        <v>7.8895047038423094E-3</v>
      </c>
      <c r="L571" t="s">
        <v>154</v>
      </c>
      <c r="N571" t="s">
        <v>213</v>
      </c>
      <c r="O571" t="s">
        <v>297</v>
      </c>
      <c r="P571">
        <v>2.5500956926883592E-2</v>
      </c>
      <c r="Q571" t="s">
        <v>154</v>
      </c>
      <c r="S571" t="s">
        <v>244</v>
      </c>
      <c r="T571" t="s">
        <v>297</v>
      </c>
      <c r="U571">
        <v>2.8246538138197629E-2</v>
      </c>
      <c r="V571" t="s">
        <v>154</v>
      </c>
    </row>
    <row r="572" spans="9:22" x14ac:dyDescent="0.25">
      <c r="I572" t="s">
        <v>183</v>
      </c>
      <c r="J572" t="s">
        <v>298</v>
      </c>
      <c r="K572">
        <v>5.2572867426496528E-2</v>
      </c>
      <c r="L572" t="s">
        <v>154</v>
      </c>
      <c r="N572" t="s">
        <v>213</v>
      </c>
      <c r="O572" t="s">
        <v>298</v>
      </c>
      <c r="P572">
        <v>2.3611861955714155E-2</v>
      </c>
      <c r="Q572" t="s">
        <v>154</v>
      </c>
      <c r="S572" t="s">
        <v>244</v>
      </c>
      <c r="T572" t="s">
        <v>298</v>
      </c>
      <c r="U572">
        <v>2.318903500944855E-2</v>
      </c>
      <c r="V572" t="s">
        <v>154</v>
      </c>
    </row>
    <row r="573" spans="9:22" x14ac:dyDescent="0.25">
      <c r="I573" t="s">
        <v>183</v>
      </c>
      <c r="J573" t="s">
        <v>299</v>
      </c>
      <c r="K573">
        <v>0</v>
      </c>
      <c r="L573" t="s">
        <v>154</v>
      </c>
      <c r="N573" t="s">
        <v>213</v>
      </c>
      <c r="O573" t="s">
        <v>299</v>
      </c>
      <c r="P573">
        <v>3.1258785611414856E-3</v>
      </c>
      <c r="Q573" t="s">
        <v>154</v>
      </c>
      <c r="S573" t="s">
        <v>244</v>
      </c>
      <c r="T573" t="s">
        <v>299</v>
      </c>
      <c r="U573">
        <v>3.3794349395379342E-3</v>
      </c>
      <c r="V573" t="s">
        <v>154</v>
      </c>
    </row>
    <row r="574" spans="9:22" x14ac:dyDescent="0.25">
      <c r="I574" t="s">
        <v>183</v>
      </c>
      <c r="J574" t="s">
        <v>300</v>
      </c>
      <c r="K574">
        <v>0</v>
      </c>
      <c r="L574" t="s">
        <v>154</v>
      </c>
      <c r="N574" t="s">
        <v>213</v>
      </c>
      <c r="O574" t="s">
        <v>300</v>
      </c>
      <c r="P574">
        <v>2.944055687242104E-3</v>
      </c>
      <c r="Q574" t="s">
        <v>154</v>
      </c>
      <c r="S574" t="s">
        <v>244</v>
      </c>
      <c r="T574" t="s">
        <v>300</v>
      </c>
      <c r="U574">
        <v>3.3929005874950651E-3</v>
      </c>
      <c r="V574" t="s">
        <v>154</v>
      </c>
    </row>
    <row r="575" spans="9:22" x14ac:dyDescent="0.25">
      <c r="I575" t="s">
        <v>183</v>
      </c>
      <c r="J575" t="s">
        <v>301</v>
      </c>
      <c r="K575">
        <v>0</v>
      </c>
      <c r="L575" t="s">
        <v>154</v>
      </c>
      <c r="N575" t="s">
        <v>213</v>
      </c>
      <c r="O575" t="s">
        <v>301</v>
      </c>
      <c r="P575">
        <v>1.4857982551244115E-2</v>
      </c>
      <c r="Q575" t="s">
        <v>154</v>
      </c>
      <c r="S575" t="s">
        <v>244</v>
      </c>
      <c r="T575" t="s">
        <v>301</v>
      </c>
      <c r="U575">
        <v>1.6904768623578127E-2</v>
      </c>
      <c r="V575" t="s">
        <v>154</v>
      </c>
    </row>
    <row r="576" spans="9:22" x14ac:dyDescent="0.25">
      <c r="I576" t="s">
        <v>183</v>
      </c>
      <c r="J576" t="s">
        <v>302</v>
      </c>
      <c r="K576">
        <v>5.5072032565104314E-3</v>
      </c>
      <c r="L576" t="s">
        <v>154</v>
      </c>
      <c r="N576" t="s">
        <v>213</v>
      </c>
      <c r="O576" t="s">
        <v>302</v>
      </c>
      <c r="P576">
        <v>5.4982378483860568E-2</v>
      </c>
      <c r="Q576" t="s">
        <v>154</v>
      </c>
      <c r="S576" t="s">
        <v>244</v>
      </c>
      <c r="T576" t="s">
        <v>302</v>
      </c>
      <c r="U576">
        <v>5.171776275076892E-2</v>
      </c>
      <c r="V576" t="s">
        <v>154</v>
      </c>
    </row>
    <row r="577" spans="9:22" x14ac:dyDescent="0.25">
      <c r="I577" t="s">
        <v>183</v>
      </c>
      <c r="J577" t="s">
        <v>303</v>
      </c>
      <c r="K577">
        <v>6.3977133193109381E-2</v>
      </c>
      <c r="L577" t="s">
        <v>154</v>
      </c>
      <c r="N577" t="s">
        <v>213</v>
      </c>
      <c r="O577" t="s">
        <v>303</v>
      </c>
      <c r="P577">
        <v>4.9489989488223231E-2</v>
      </c>
      <c r="Q577" t="s">
        <v>154</v>
      </c>
      <c r="S577" t="s">
        <v>244</v>
      </c>
      <c r="T577" t="s">
        <v>303</v>
      </c>
      <c r="U577">
        <v>4.6156402241140343E-2</v>
      </c>
      <c r="V577" t="s">
        <v>154</v>
      </c>
    </row>
    <row r="578" spans="9:22" x14ac:dyDescent="0.25">
      <c r="I578" t="s">
        <v>183</v>
      </c>
      <c r="J578" t="s">
        <v>304</v>
      </c>
      <c r="K578">
        <v>0</v>
      </c>
      <c r="L578" t="s">
        <v>154</v>
      </c>
      <c r="N578" t="s">
        <v>213</v>
      </c>
      <c r="O578" t="s">
        <v>304</v>
      </c>
      <c r="P578">
        <v>6.1200741546610041E-3</v>
      </c>
      <c r="Q578" t="s">
        <v>154</v>
      </c>
      <c r="S578" t="s">
        <v>244</v>
      </c>
      <c r="T578" t="s">
        <v>304</v>
      </c>
      <c r="U578">
        <v>5.8386196002458805E-3</v>
      </c>
      <c r="V578" t="s">
        <v>154</v>
      </c>
    </row>
    <row r="579" spans="9:22" x14ac:dyDescent="0.25">
      <c r="I579" t="s">
        <v>183</v>
      </c>
      <c r="J579" t="s">
        <v>305</v>
      </c>
      <c r="K579">
        <v>0</v>
      </c>
      <c r="L579" t="s">
        <v>154</v>
      </c>
      <c r="N579" t="s">
        <v>213</v>
      </c>
      <c r="O579" t="s">
        <v>305</v>
      </c>
      <c r="P579">
        <v>5.7296679296418539E-3</v>
      </c>
      <c r="Q579" t="s">
        <v>154</v>
      </c>
      <c r="S579" t="s">
        <v>244</v>
      </c>
      <c r="T579" t="s">
        <v>305</v>
      </c>
      <c r="U579">
        <v>5.7819591270636284E-3</v>
      </c>
      <c r="V579" t="s">
        <v>154</v>
      </c>
    </row>
    <row r="580" spans="9:22" x14ac:dyDescent="0.25">
      <c r="I580" t="s">
        <v>183</v>
      </c>
      <c r="J580" t="s">
        <v>306</v>
      </c>
      <c r="K580">
        <v>0</v>
      </c>
      <c r="L580" t="s">
        <v>154</v>
      </c>
      <c r="N580" t="s">
        <v>213</v>
      </c>
      <c r="O580" t="s">
        <v>306</v>
      </c>
      <c r="P580">
        <v>2.8551370895502283E-2</v>
      </c>
      <c r="Q580" t="s">
        <v>154</v>
      </c>
      <c r="S580" t="s">
        <v>244</v>
      </c>
      <c r="T580" t="s">
        <v>306</v>
      </c>
      <c r="U580">
        <v>2.7753225775469202E-2</v>
      </c>
      <c r="V580" t="s">
        <v>154</v>
      </c>
    </row>
    <row r="581" spans="9:22" x14ac:dyDescent="0.25">
      <c r="I581" t="s">
        <v>184</v>
      </c>
      <c r="J581" t="s">
        <v>153</v>
      </c>
      <c r="K581">
        <v>4.4709972289331025E-3</v>
      </c>
      <c r="L581" t="s">
        <v>154</v>
      </c>
      <c r="N581" t="s">
        <v>214</v>
      </c>
      <c r="O581" t="s">
        <v>153</v>
      </c>
      <c r="P581">
        <v>6.1793037714221413E-2</v>
      </c>
      <c r="Q581" t="s">
        <v>154</v>
      </c>
      <c r="S581" t="s">
        <v>245</v>
      </c>
      <c r="T581" t="s">
        <v>153</v>
      </c>
      <c r="U581">
        <v>5.5270220538237491E-2</v>
      </c>
      <c r="V581" t="s">
        <v>154</v>
      </c>
    </row>
    <row r="582" spans="9:22" x14ac:dyDescent="0.25">
      <c r="I582" t="s">
        <v>184</v>
      </c>
      <c r="J582" t="s">
        <v>155</v>
      </c>
      <c r="K582">
        <v>7.2006672250782444E-2</v>
      </c>
      <c r="L582" t="s">
        <v>154</v>
      </c>
      <c r="N582" t="s">
        <v>214</v>
      </c>
      <c r="O582" t="s">
        <v>155</v>
      </c>
      <c r="P582">
        <v>5.2462521711739374E-2</v>
      </c>
      <c r="Q582" t="s">
        <v>154</v>
      </c>
      <c r="S582" t="s">
        <v>245</v>
      </c>
      <c r="T582" t="s">
        <v>155</v>
      </c>
      <c r="U582">
        <v>5.6412091355929901E-2</v>
      </c>
      <c r="V582" t="s">
        <v>154</v>
      </c>
    </row>
    <row r="583" spans="9:22" x14ac:dyDescent="0.25">
      <c r="I583" t="s">
        <v>184</v>
      </c>
      <c r="J583" t="s">
        <v>156</v>
      </c>
      <c r="K583">
        <v>5.9077774853083314E-4</v>
      </c>
      <c r="L583" t="s">
        <v>154</v>
      </c>
      <c r="N583" t="s">
        <v>214</v>
      </c>
      <c r="O583" t="s">
        <v>156</v>
      </c>
      <c r="P583">
        <v>6.3538926398439286E-3</v>
      </c>
      <c r="Q583" t="s">
        <v>154</v>
      </c>
      <c r="S583" t="s">
        <v>245</v>
      </c>
      <c r="T583" t="s">
        <v>156</v>
      </c>
      <c r="U583">
        <v>6.6099294280148645E-3</v>
      </c>
      <c r="V583" t="s">
        <v>154</v>
      </c>
    </row>
    <row r="584" spans="9:22" x14ac:dyDescent="0.25">
      <c r="I584" t="s">
        <v>184</v>
      </c>
      <c r="J584" t="s">
        <v>283</v>
      </c>
      <c r="K584">
        <v>0</v>
      </c>
      <c r="L584" t="s">
        <v>154</v>
      </c>
      <c r="N584" t="s">
        <v>214</v>
      </c>
      <c r="O584" t="s">
        <v>283</v>
      </c>
      <c r="P584">
        <v>6.2584931607199985E-3</v>
      </c>
      <c r="Q584" t="s">
        <v>154</v>
      </c>
      <c r="S584" t="s">
        <v>245</v>
      </c>
      <c r="T584" t="s">
        <v>283</v>
      </c>
      <c r="U584">
        <v>6.3548775776513071E-3</v>
      </c>
      <c r="V584" t="s">
        <v>154</v>
      </c>
    </row>
    <row r="585" spans="9:22" x14ac:dyDescent="0.25">
      <c r="I585" t="s">
        <v>184</v>
      </c>
      <c r="J585" t="s">
        <v>284</v>
      </c>
      <c r="K585">
        <v>0</v>
      </c>
      <c r="L585" t="s">
        <v>154</v>
      </c>
      <c r="N585" t="s">
        <v>214</v>
      </c>
      <c r="O585" t="s">
        <v>284</v>
      </c>
      <c r="P585">
        <v>3.2508067053930896E-2</v>
      </c>
      <c r="Q585" t="s">
        <v>154</v>
      </c>
      <c r="S585" t="s">
        <v>245</v>
      </c>
      <c r="T585" t="s">
        <v>284</v>
      </c>
      <c r="U585">
        <v>2.9747614397903403E-2</v>
      </c>
      <c r="V585" t="s">
        <v>154</v>
      </c>
    </row>
    <row r="586" spans="9:22" x14ac:dyDescent="0.25">
      <c r="I586" t="s">
        <v>184</v>
      </c>
      <c r="J586" t="s">
        <v>157</v>
      </c>
      <c r="K586">
        <v>1.6328288500021253E-3</v>
      </c>
      <c r="L586" t="s">
        <v>154</v>
      </c>
      <c r="N586" t="s">
        <v>214</v>
      </c>
      <c r="O586" t="s">
        <v>157</v>
      </c>
      <c r="P586">
        <v>1.4506442473092606E-2</v>
      </c>
      <c r="Q586" t="s">
        <v>154</v>
      </c>
      <c r="S586" t="s">
        <v>245</v>
      </c>
      <c r="T586" t="s">
        <v>157</v>
      </c>
      <c r="U586">
        <v>7.163581629029114E-3</v>
      </c>
      <c r="V586" t="s">
        <v>154</v>
      </c>
    </row>
    <row r="587" spans="9:22" x14ac:dyDescent="0.25">
      <c r="I587" t="s">
        <v>184</v>
      </c>
      <c r="J587" t="s">
        <v>158</v>
      </c>
      <c r="K587">
        <v>2.4144183139513678E-2</v>
      </c>
      <c r="L587" t="s">
        <v>154</v>
      </c>
      <c r="N587" t="s">
        <v>214</v>
      </c>
      <c r="O587" t="s">
        <v>158</v>
      </c>
      <c r="P587">
        <v>1.5092112152919581E-2</v>
      </c>
      <c r="Q587" t="s">
        <v>154</v>
      </c>
      <c r="S587" t="s">
        <v>245</v>
      </c>
      <c r="T587" t="s">
        <v>158</v>
      </c>
      <c r="U587">
        <v>6.5854180572475617E-3</v>
      </c>
      <c r="V587" t="s">
        <v>154</v>
      </c>
    </row>
    <row r="588" spans="9:22" x14ac:dyDescent="0.25">
      <c r="I588" t="s">
        <v>184</v>
      </c>
      <c r="J588" t="s">
        <v>159</v>
      </c>
      <c r="K588">
        <v>1.0867176883329198E-3</v>
      </c>
      <c r="L588" t="s">
        <v>154</v>
      </c>
      <c r="N588" t="s">
        <v>214</v>
      </c>
      <c r="O588" t="s">
        <v>159</v>
      </c>
      <c r="P588">
        <v>1.899360879050999E-3</v>
      </c>
      <c r="Q588" t="s">
        <v>154</v>
      </c>
      <c r="S588" t="s">
        <v>245</v>
      </c>
      <c r="T588" t="s">
        <v>159</v>
      </c>
      <c r="U588">
        <v>8.489124642709915E-4</v>
      </c>
      <c r="V588" t="s">
        <v>154</v>
      </c>
    </row>
    <row r="589" spans="9:22" x14ac:dyDescent="0.25">
      <c r="I589" t="s">
        <v>184</v>
      </c>
      <c r="J589" t="s">
        <v>285</v>
      </c>
      <c r="K589">
        <v>0</v>
      </c>
      <c r="L589" t="s">
        <v>154</v>
      </c>
      <c r="N589" t="s">
        <v>214</v>
      </c>
      <c r="O589" t="s">
        <v>285</v>
      </c>
      <c r="P589">
        <v>1.87578116119691E-3</v>
      </c>
      <c r="Q589" t="s">
        <v>154</v>
      </c>
      <c r="S589" t="s">
        <v>245</v>
      </c>
      <c r="T589" t="s">
        <v>285</v>
      </c>
      <c r="U589">
        <v>8.0720570822748845E-4</v>
      </c>
      <c r="V589" t="s">
        <v>154</v>
      </c>
    </row>
    <row r="590" spans="9:22" x14ac:dyDescent="0.25">
      <c r="I590" t="s">
        <v>184</v>
      </c>
      <c r="J590" t="s">
        <v>286</v>
      </c>
      <c r="K590">
        <v>0</v>
      </c>
      <c r="L590" t="s">
        <v>154</v>
      </c>
      <c r="N590" t="s">
        <v>214</v>
      </c>
      <c r="O590" t="s">
        <v>286</v>
      </c>
      <c r="P590">
        <v>8.9652291426151956E-3</v>
      </c>
      <c r="Q590" t="s">
        <v>154</v>
      </c>
      <c r="S590" t="s">
        <v>245</v>
      </c>
      <c r="T590" t="s">
        <v>286</v>
      </c>
      <c r="U590">
        <v>2.9796703920276116E-3</v>
      </c>
      <c r="V590" t="s">
        <v>154</v>
      </c>
    </row>
    <row r="591" spans="9:22" x14ac:dyDescent="0.25">
      <c r="I591" t="s">
        <v>184</v>
      </c>
      <c r="J591" t="s">
        <v>160</v>
      </c>
      <c r="K591">
        <v>0.11138675806659884</v>
      </c>
      <c r="L591" t="s">
        <v>154</v>
      </c>
      <c r="N591" t="s">
        <v>214</v>
      </c>
      <c r="O591" t="s">
        <v>160</v>
      </c>
      <c r="P591">
        <v>0.19262713952052474</v>
      </c>
      <c r="Q591" t="s">
        <v>154</v>
      </c>
      <c r="S591" t="s">
        <v>245</v>
      </c>
      <c r="T591" t="s">
        <v>160</v>
      </c>
      <c r="U591">
        <v>0.21449086036209358</v>
      </c>
      <c r="V591" t="s">
        <v>154</v>
      </c>
    </row>
    <row r="592" spans="9:22" x14ac:dyDescent="0.25">
      <c r="I592" t="s">
        <v>184</v>
      </c>
      <c r="J592" t="s">
        <v>161</v>
      </c>
      <c r="K592">
        <v>0.57498271476185858</v>
      </c>
      <c r="L592" t="s">
        <v>154</v>
      </c>
      <c r="N592" t="s">
        <v>214</v>
      </c>
      <c r="O592" t="s">
        <v>161</v>
      </c>
      <c r="P592">
        <v>0.1916707761025967</v>
      </c>
      <c r="Q592" t="s">
        <v>154</v>
      </c>
      <c r="S592" t="s">
        <v>245</v>
      </c>
      <c r="T592" t="s">
        <v>161</v>
      </c>
      <c r="U592">
        <v>0.17903246796130862</v>
      </c>
      <c r="V592" t="s">
        <v>154</v>
      </c>
    </row>
    <row r="593" spans="9:22" x14ac:dyDescent="0.25">
      <c r="I593" t="s">
        <v>184</v>
      </c>
      <c r="J593" t="s">
        <v>162</v>
      </c>
      <c r="K593">
        <v>4.0738636649160331E-2</v>
      </c>
      <c r="L593" t="s">
        <v>154</v>
      </c>
      <c r="N593" t="s">
        <v>214</v>
      </c>
      <c r="O593" t="s">
        <v>162</v>
      </c>
      <c r="P593">
        <v>2.3402501794551431E-2</v>
      </c>
      <c r="Q593" t="s">
        <v>154</v>
      </c>
      <c r="S593" t="s">
        <v>245</v>
      </c>
      <c r="T593" t="s">
        <v>162</v>
      </c>
      <c r="U593">
        <v>2.475055410359835E-2</v>
      </c>
      <c r="V593" t="s">
        <v>154</v>
      </c>
    </row>
    <row r="594" spans="9:22" x14ac:dyDescent="0.25">
      <c r="I594" t="s">
        <v>184</v>
      </c>
      <c r="J594" t="s">
        <v>287</v>
      </c>
      <c r="K594">
        <v>1.9974946644937683E-2</v>
      </c>
      <c r="L594" t="s">
        <v>154</v>
      </c>
      <c r="N594" t="s">
        <v>214</v>
      </c>
      <c r="O594" t="s">
        <v>287</v>
      </c>
      <c r="P594">
        <v>2.2216715404829755E-2</v>
      </c>
      <c r="Q594" t="s">
        <v>154</v>
      </c>
      <c r="S594" t="s">
        <v>245</v>
      </c>
      <c r="T594" t="s">
        <v>287</v>
      </c>
      <c r="U594">
        <v>2.5559136170656065E-2</v>
      </c>
      <c r="V594" t="s">
        <v>154</v>
      </c>
    </row>
    <row r="595" spans="9:22" x14ac:dyDescent="0.25">
      <c r="I595" t="s">
        <v>184</v>
      </c>
      <c r="J595" t="s">
        <v>288</v>
      </c>
      <c r="K595">
        <v>5.3937603060079621E-3</v>
      </c>
      <c r="L595" t="s">
        <v>154</v>
      </c>
      <c r="N595" t="s">
        <v>214</v>
      </c>
      <c r="O595" t="s">
        <v>288</v>
      </c>
      <c r="P595">
        <v>0.10101803815536263</v>
      </c>
      <c r="Q595" t="s">
        <v>154</v>
      </c>
      <c r="S595" t="s">
        <v>245</v>
      </c>
      <c r="T595" t="s">
        <v>288</v>
      </c>
      <c r="U595">
        <v>0.12131154603555901</v>
      </c>
      <c r="V595" t="s">
        <v>154</v>
      </c>
    </row>
    <row r="596" spans="9:22" x14ac:dyDescent="0.25">
      <c r="I596" t="s">
        <v>184</v>
      </c>
      <c r="J596" t="s">
        <v>163</v>
      </c>
      <c r="K596">
        <v>2.9602431766679494E-3</v>
      </c>
      <c r="L596" t="s">
        <v>154</v>
      </c>
      <c r="N596" t="s">
        <v>214</v>
      </c>
      <c r="O596" t="s">
        <v>163</v>
      </c>
      <c r="P596">
        <v>1.1091711574002464E-2</v>
      </c>
      <c r="Q596" t="s">
        <v>154</v>
      </c>
      <c r="S596" t="s">
        <v>245</v>
      </c>
      <c r="T596" t="s">
        <v>163</v>
      </c>
      <c r="U596">
        <v>1.2031071530387872E-2</v>
      </c>
      <c r="V596" t="s">
        <v>154</v>
      </c>
    </row>
    <row r="597" spans="9:22" x14ac:dyDescent="0.25">
      <c r="I597" t="s">
        <v>184</v>
      </c>
      <c r="J597" t="s">
        <v>164</v>
      </c>
      <c r="K597">
        <v>1.9715453109560237E-2</v>
      </c>
      <c r="L597" t="s">
        <v>154</v>
      </c>
      <c r="N597" t="s">
        <v>214</v>
      </c>
      <c r="O597" t="s">
        <v>164</v>
      </c>
      <c r="P597">
        <v>8.2558510523467257E-3</v>
      </c>
      <c r="Q597" t="s">
        <v>154</v>
      </c>
      <c r="S597" t="s">
        <v>245</v>
      </c>
      <c r="T597" t="s">
        <v>164</v>
      </c>
      <c r="U597">
        <v>1.1012529365864073E-2</v>
      </c>
      <c r="V597" t="s">
        <v>154</v>
      </c>
    </row>
    <row r="598" spans="9:22" x14ac:dyDescent="0.25">
      <c r="I598" t="s">
        <v>184</v>
      </c>
      <c r="J598" t="s">
        <v>165</v>
      </c>
      <c r="K598">
        <v>5.4572454807117301E-4</v>
      </c>
      <c r="L598" t="s">
        <v>154</v>
      </c>
      <c r="N598" t="s">
        <v>214</v>
      </c>
      <c r="O598" t="s">
        <v>165</v>
      </c>
      <c r="P598">
        <v>1.3154268290738378E-3</v>
      </c>
      <c r="Q598" t="s">
        <v>154</v>
      </c>
      <c r="S598" t="s">
        <v>245</v>
      </c>
      <c r="T598" t="s">
        <v>165</v>
      </c>
      <c r="U598">
        <v>1.2301305433044798E-3</v>
      </c>
      <c r="V598" t="s">
        <v>154</v>
      </c>
    </row>
    <row r="599" spans="9:22" x14ac:dyDescent="0.25">
      <c r="I599" t="s">
        <v>184</v>
      </c>
      <c r="J599" t="s">
        <v>289</v>
      </c>
      <c r="K599">
        <v>0</v>
      </c>
      <c r="L599" t="s">
        <v>154</v>
      </c>
      <c r="N599" t="s">
        <v>214</v>
      </c>
      <c r="O599" t="s">
        <v>289</v>
      </c>
      <c r="P599">
        <v>1.3515122022724627E-3</v>
      </c>
      <c r="Q599" t="s">
        <v>154</v>
      </c>
      <c r="S599" t="s">
        <v>245</v>
      </c>
      <c r="T599" t="s">
        <v>289</v>
      </c>
      <c r="U599">
        <v>1.2422231823632141E-3</v>
      </c>
      <c r="V599" t="s">
        <v>154</v>
      </c>
    </row>
    <row r="600" spans="9:22" x14ac:dyDescent="0.25">
      <c r="I600" t="s">
        <v>184</v>
      </c>
      <c r="J600" t="s">
        <v>290</v>
      </c>
      <c r="K600">
        <v>0</v>
      </c>
      <c r="L600" t="s">
        <v>154</v>
      </c>
      <c r="N600" t="s">
        <v>214</v>
      </c>
      <c r="O600" t="s">
        <v>290</v>
      </c>
      <c r="P600">
        <v>6.2227360114610591E-3</v>
      </c>
      <c r="Q600" t="s">
        <v>154</v>
      </c>
      <c r="S600" t="s">
        <v>245</v>
      </c>
      <c r="T600" t="s">
        <v>290</v>
      </c>
      <c r="U600">
        <v>7.1773064933063138E-3</v>
      </c>
      <c r="V600" t="s">
        <v>154</v>
      </c>
    </row>
    <row r="601" spans="9:22" x14ac:dyDescent="0.25">
      <c r="I601" t="s">
        <v>184</v>
      </c>
      <c r="J601" t="s">
        <v>297</v>
      </c>
      <c r="K601">
        <v>6.7035696846855751E-3</v>
      </c>
      <c r="L601" t="s">
        <v>154</v>
      </c>
      <c r="N601" t="s">
        <v>214</v>
      </c>
      <c r="O601" t="s">
        <v>297</v>
      </c>
      <c r="P601">
        <v>2.8117292893936718E-2</v>
      </c>
      <c r="Q601" t="s">
        <v>154</v>
      </c>
      <c r="S601" t="s">
        <v>245</v>
      </c>
      <c r="T601" t="s">
        <v>297</v>
      </c>
      <c r="U601">
        <v>3.4438358707822123E-2</v>
      </c>
      <c r="V601" t="s">
        <v>154</v>
      </c>
    </row>
    <row r="602" spans="9:22" x14ac:dyDescent="0.25">
      <c r="I602" t="s">
        <v>184</v>
      </c>
      <c r="J602" t="s">
        <v>298</v>
      </c>
      <c r="K602">
        <v>4.8757388483162939E-2</v>
      </c>
      <c r="L602" t="s">
        <v>154</v>
      </c>
      <c r="N602" t="s">
        <v>214</v>
      </c>
      <c r="O602" t="s">
        <v>298</v>
      </c>
      <c r="P602">
        <v>2.419870496065429E-2</v>
      </c>
      <c r="Q602" t="s">
        <v>154</v>
      </c>
      <c r="S602" t="s">
        <v>245</v>
      </c>
      <c r="T602" t="s">
        <v>298</v>
      </c>
      <c r="U602">
        <v>2.3298965139497876E-2</v>
      </c>
      <c r="V602" t="s">
        <v>154</v>
      </c>
    </row>
    <row r="603" spans="9:22" x14ac:dyDescent="0.25">
      <c r="I603" t="s">
        <v>184</v>
      </c>
      <c r="J603" t="s">
        <v>299</v>
      </c>
      <c r="K603">
        <v>0</v>
      </c>
      <c r="L603" t="s">
        <v>154</v>
      </c>
      <c r="N603" t="s">
        <v>214</v>
      </c>
      <c r="O603" t="s">
        <v>299</v>
      </c>
      <c r="P603">
        <v>2.822139841191576E-3</v>
      </c>
      <c r="Q603" t="s">
        <v>154</v>
      </c>
      <c r="S603" t="s">
        <v>245</v>
      </c>
      <c r="T603" t="s">
        <v>299</v>
      </c>
      <c r="U603">
        <v>2.6599484161624548E-3</v>
      </c>
      <c r="V603" t="s">
        <v>154</v>
      </c>
    </row>
    <row r="604" spans="9:22" x14ac:dyDescent="0.25">
      <c r="I604" t="s">
        <v>184</v>
      </c>
      <c r="J604" t="s">
        <v>300</v>
      </c>
      <c r="K604">
        <v>0</v>
      </c>
      <c r="L604" t="s">
        <v>154</v>
      </c>
      <c r="N604" t="s">
        <v>214</v>
      </c>
      <c r="O604" t="s">
        <v>300</v>
      </c>
      <c r="P604">
        <v>2.7794003900284397E-3</v>
      </c>
      <c r="Q604" t="s">
        <v>154</v>
      </c>
      <c r="S604" t="s">
        <v>245</v>
      </c>
      <c r="T604" t="s">
        <v>300</v>
      </c>
      <c r="U604">
        <v>2.7908984521384942E-3</v>
      </c>
      <c r="V604" t="s">
        <v>154</v>
      </c>
    </row>
    <row r="605" spans="9:22" x14ac:dyDescent="0.25">
      <c r="I605" t="s">
        <v>184</v>
      </c>
      <c r="J605" t="s">
        <v>301</v>
      </c>
      <c r="K605">
        <v>0</v>
      </c>
      <c r="L605" t="s">
        <v>154</v>
      </c>
      <c r="N605" t="s">
        <v>214</v>
      </c>
      <c r="O605" t="s">
        <v>301</v>
      </c>
      <c r="P605">
        <v>1.6182125943928895E-2</v>
      </c>
      <c r="Q605" t="s">
        <v>154</v>
      </c>
      <c r="S605" t="s">
        <v>245</v>
      </c>
      <c r="T605" t="s">
        <v>301</v>
      </c>
      <c r="U605">
        <v>1.3800147849894001E-2</v>
      </c>
      <c r="V605" t="s">
        <v>154</v>
      </c>
    </row>
    <row r="606" spans="9:22" x14ac:dyDescent="0.25">
      <c r="I606" t="s">
        <v>184</v>
      </c>
      <c r="J606" t="s">
        <v>302</v>
      </c>
      <c r="K606">
        <v>4.446378647126558E-3</v>
      </c>
      <c r="L606" t="s">
        <v>154</v>
      </c>
      <c r="N606" t="s">
        <v>214</v>
      </c>
      <c r="O606" t="s">
        <v>302</v>
      </c>
      <c r="P606">
        <v>5.968420504855769E-2</v>
      </c>
      <c r="Q606" t="s">
        <v>154</v>
      </c>
      <c r="S606" t="s">
        <v>245</v>
      </c>
      <c r="T606" t="s">
        <v>302</v>
      </c>
      <c r="U606">
        <v>5.6397417116351857E-2</v>
      </c>
      <c r="V606" t="s">
        <v>154</v>
      </c>
    </row>
    <row r="607" spans="9:22" x14ac:dyDescent="0.25">
      <c r="I607" t="s">
        <v>184</v>
      </c>
      <c r="J607" t="s">
        <v>303</v>
      </c>
      <c r="K607">
        <v>6.046224901606858E-2</v>
      </c>
      <c r="L607" t="s">
        <v>154</v>
      </c>
      <c r="N607" t="s">
        <v>214</v>
      </c>
      <c r="O607" t="s">
        <v>303</v>
      </c>
      <c r="P607">
        <v>5.4515463176246871E-2</v>
      </c>
      <c r="Q607" t="s">
        <v>154</v>
      </c>
      <c r="S607" t="s">
        <v>245</v>
      </c>
      <c r="T607" t="s">
        <v>303</v>
      </c>
      <c r="U607">
        <v>5.2157499849294887E-2</v>
      </c>
      <c r="V607" t="s">
        <v>154</v>
      </c>
    </row>
    <row r="608" spans="9:22" x14ac:dyDescent="0.25">
      <c r="I608" t="s">
        <v>184</v>
      </c>
      <c r="J608" t="s">
        <v>304</v>
      </c>
      <c r="K608">
        <v>0</v>
      </c>
      <c r="L608" t="s">
        <v>154</v>
      </c>
      <c r="N608" t="s">
        <v>214</v>
      </c>
      <c r="O608" t="s">
        <v>304</v>
      </c>
      <c r="P608">
        <v>7.0284712535044159E-3</v>
      </c>
      <c r="Q608" t="s">
        <v>154</v>
      </c>
      <c r="S608" t="s">
        <v>245</v>
      </c>
      <c r="T608" t="s">
        <v>304</v>
      </c>
      <c r="U608">
        <v>6.4087719130575165E-3</v>
      </c>
      <c r="V608" t="s">
        <v>154</v>
      </c>
    </row>
    <row r="609" spans="9:22" x14ac:dyDescent="0.25">
      <c r="I609" t="s">
        <v>184</v>
      </c>
      <c r="J609" t="s">
        <v>305</v>
      </c>
      <c r="K609">
        <v>0</v>
      </c>
      <c r="L609" t="s">
        <v>154</v>
      </c>
      <c r="N609" t="s">
        <v>214</v>
      </c>
      <c r="O609" t="s">
        <v>305</v>
      </c>
      <c r="P609">
        <v>7.0053693860412779E-3</v>
      </c>
      <c r="Q609" t="s">
        <v>154</v>
      </c>
      <c r="S609" t="s">
        <v>245</v>
      </c>
      <c r="T609" t="s">
        <v>305</v>
      </c>
      <c r="U609">
        <v>6.7108695708448241E-3</v>
      </c>
      <c r="V609" t="s">
        <v>154</v>
      </c>
    </row>
    <row r="610" spans="9:22" x14ac:dyDescent="0.25">
      <c r="I610" t="s">
        <v>184</v>
      </c>
      <c r="J610" t="s">
        <v>306</v>
      </c>
      <c r="K610">
        <v>0</v>
      </c>
      <c r="L610" t="s">
        <v>154</v>
      </c>
      <c r="N610" t="s">
        <v>214</v>
      </c>
      <c r="O610" t="s">
        <v>306</v>
      </c>
      <c r="P610">
        <v>3.6779480369555896E-2</v>
      </c>
      <c r="Q610" t="s">
        <v>154</v>
      </c>
      <c r="S610" t="s">
        <v>245</v>
      </c>
      <c r="T610" t="s">
        <v>306</v>
      </c>
      <c r="U610">
        <v>3.0719775687952984E-2</v>
      </c>
      <c r="V610" t="s">
        <v>154</v>
      </c>
    </row>
    <row r="611" spans="9:22" x14ac:dyDescent="0.25">
      <c r="I611" t="s">
        <v>185</v>
      </c>
      <c r="J611" t="s">
        <v>153</v>
      </c>
      <c r="K611">
        <v>6.0584608270899806E-3</v>
      </c>
      <c r="L611" t="s">
        <v>154</v>
      </c>
      <c r="N611" t="s">
        <v>215</v>
      </c>
      <c r="O611" t="s">
        <v>153</v>
      </c>
      <c r="P611">
        <v>4.9145644601111337E-2</v>
      </c>
      <c r="Q611" t="s">
        <v>154</v>
      </c>
      <c r="S611" t="s">
        <v>246</v>
      </c>
      <c r="T611" t="s">
        <v>153</v>
      </c>
      <c r="U611">
        <v>4.9185982214456254E-2</v>
      </c>
      <c r="V611" t="s">
        <v>154</v>
      </c>
    </row>
    <row r="612" spans="9:22" x14ac:dyDescent="0.25">
      <c r="I612" t="s">
        <v>185</v>
      </c>
      <c r="J612" t="s">
        <v>155</v>
      </c>
      <c r="K612">
        <v>8.3046590379445118E-2</v>
      </c>
      <c r="L612" t="s">
        <v>154</v>
      </c>
      <c r="N612" t="s">
        <v>215</v>
      </c>
      <c r="O612" t="s">
        <v>155</v>
      </c>
      <c r="P612">
        <v>5.5088030789426624E-2</v>
      </c>
      <c r="Q612" t="s">
        <v>154</v>
      </c>
      <c r="S612" t="s">
        <v>246</v>
      </c>
      <c r="T612" t="s">
        <v>155</v>
      </c>
      <c r="U612">
        <v>4.2794094607577521E-2</v>
      </c>
      <c r="V612" t="s">
        <v>154</v>
      </c>
    </row>
    <row r="613" spans="9:22" x14ac:dyDescent="0.25">
      <c r="I613" t="s">
        <v>185</v>
      </c>
      <c r="J613" t="s">
        <v>156</v>
      </c>
      <c r="K613">
        <v>5.0021281335199085E-3</v>
      </c>
      <c r="L613" t="s">
        <v>154</v>
      </c>
      <c r="N613" t="s">
        <v>215</v>
      </c>
      <c r="O613" t="s">
        <v>156</v>
      </c>
      <c r="P613">
        <v>6.60119210078252E-3</v>
      </c>
      <c r="Q613" t="s">
        <v>154</v>
      </c>
      <c r="S613" t="s">
        <v>246</v>
      </c>
      <c r="T613" t="s">
        <v>156</v>
      </c>
      <c r="U613">
        <v>5.1340251745890537E-3</v>
      </c>
      <c r="V613" t="s">
        <v>154</v>
      </c>
    </row>
    <row r="614" spans="9:22" x14ac:dyDescent="0.25">
      <c r="I614" t="s">
        <v>185</v>
      </c>
      <c r="J614" t="s">
        <v>283</v>
      </c>
      <c r="K614">
        <v>0</v>
      </c>
      <c r="L614" t="s">
        <v>154</v>
      </c>
      <c r="N614" t="s">
        <v>215</v>
      </c>
      <c r="O614" t="s">
        <v>283</v>
      </c>
      <c r="P614">
        <v>6.2121501122304581E-3</v>
      </c>
      <c r="Q614" t="s">
        <v>154</v>
      </c>
      <c r="S614" t="s">
        <v>246</v>
      </c>
      <c r="T614" t="s">
        <v>283</v>
      </c>
      <c r="U614">
        <v>5.1405892609135981E-3</v>
      </c>
      <c r="V614" t="s">
        <v>154</v>
      </c>
    </row>
    <row r="615" spans="9:22" x14ac:dyDescent="0.25">
      <c r="I615" t="s">
        <v>185</v>
      </c>
      <c r="J615" t="s">
        <v>284</v>
      </c>
      <c r="K615">
        <v>0</v>
      </c>
      <c r="L615" t="s">
        <v>154</v>
      </c>
      <c r="N615" t="s">
        <v>215</v>
      </c>
      <c r="O615" t="s">
        <v>284</v>
      </c>
      <c r="P615">
        <v>2.5762373070613884E-2</v>
      </c>
      <c r="Q615" t="s">
        <v>154</v>
      </c>
      <c r="S615" t="s">
        <v>246</v>
      </c>
      <c r="T615" t="s">
        <v>284</v>
      </c>
      <c r="U615">
        <v>2.5736341763565054E-2</v>
      </c>
      <c r="V615" t="s">
        <v>154</v>
      </c>
    </row>
    <row r="616" spans="9:22" x14ac:dyDescent="0.25">
      <c r="I616" t="s">
        <v>185</v>
      </c>
      <c r="J616" t="s">
        <v>157</v>
      </c>
      <c r="K616">
        <v>1.2389059302439305E-3</v>
      </c>
      <c r="L616" t="s">
        <v>154</v>
      </c>
      <c r="N616" t="s">
        <v>215</v>
      </c>
      <c r="O616" t="s">
        <v>157</v>
      </c>
      <c r="P616">
        <v>1.0673301475650857E-2</v>
      </c>
      <c r="Q616" t="s">
        <v>154</v>
      </c>
      <c r="S616" t="s">
        <v>246</v>
      </c>
      <c r="T616" t="s">
        <v>157</v>
      </c>
      <c r="U616">
        <v>6.4636487525239501E-3</v>
      </c>
      <c r="V616" t="s">
        <v>154</v>
      </c>
    </row>
    <row r="617" spans="9:22" x14ac:dyDescent="0.25">
      <c r="I617" t="s">
        <v>185</v>
      </c>
      <c r="J617" t="s">
        <v>158</v>
      </c>
      <c r="K617">
        <v>2.0232511793996634E-2</v>
      </c>
      <c r="L617" t="s">
        <v>154</v>
      </c>
      <c r="N617" t="s">
        <v>215</v>
      </c>
      <c r="O617" t="s">
        <v>158</v>
      </c>
      <c r="P617">
        <v>1.5458595424199247E-2</v>
      </c>
      <c r="Q617" t="s">
        <v>154</v>
      </c>
      <c r="S617" t="s">
        <v>246</v>
      </c>
      <c r="T617" t="s">
        <v>158</v>
      </c>
      <c r="U617">
        <v>6.2257935290680405E-3</v>
      </c>
      <c r="V617" t="s">
        <v>154</v>
      </c>
    </row>
    <row r="618" spans="9:22" x14ac:dyDescent="0.25">
      <c r="I618" t="s">
        <v>185</v>
      </c>
      <c r="J618" t="s">
        <v>159</v>
      </c>
      <c r="K618">
        <v>1.5060516153864406E-3</v>
      </c>
      <c r="L618" t="s">
        <v>154</v>
      </c>
      <c r="N618" t="s">
        <v>215</v>
      </c>
      <c r="O618" t="s">
        <v>159</v>
      </c>
      <c r="P618">
        <v>1.9302152232342333E-3</v>
      </c>
      <c r="Q618" t="s">
        <v>154</v>
      </c>
      <c r="S618" t="s">
        <v>246</v>
      </c>
      <c r="T618" t="s">
        <v>159</v>
      </c>
      <c r="U618">
        <v>8.1744238357473094E-4</v>
      </c>
      <c r="V618" t="s">
        <v>154</v>
      </c>
    </row>
    <row r="619" spans="9:22" x14ac:dyDescent="0.25">
      <c r="I619" t="s">
        <v>185</v>
      </c>
      <c r="J619" t="s">
        <v>285</v>
      </c>
      <c r="K619">
        <v>0</v>
      </c>
      <c r="L619" t="s">
        <v>154</v>
      </c>
      <c r="N619" t="s">
        <v>215</v>
      </c>
      <c r="O619" t="s">
        <v>285</v>
      </c>
      <c r="P619">
        <v>1.8621770998884595E-3</v>
      </c>
      <c r="Q619" t="s">
        <v>154</v>
      </c>
      <c r="S619" t="s">
        <v>246</v>
      </c>
      <c r="T619" t="s">
        <v>285</v>
      </c>
      <c r="U619">
        <v>7.2841697858838032E-4</v>
      </c>
      <c r="V619" t="s">
        <v>154</v>
      </c>
    </row>
    <row r="620" spans="9:22" x14ac:dyDescent="0.25">
      <c r="I620" t="s">
        <v>185</v>
      </c>
      <c r="J620" t="s">
        <v>286</v>
      </c>
      <c r="K620">
        <v>0</v>
      </c>
      <c r="L620" t="s">
        <v>154</v>
      </c>
      <c r="N620" t="s">
        <v>215</v>
      </c>
      <c r="O620" t="s">
        <v>286</v>
      </c>
      <c r="P620">
        <v>6.4816937303412373E-3</v>
      </c>
      <c r="Q620" t="s">
        <v>154</v>
      </c>
      <c r="S620" t="s">
        <v>246</v>
      </c>
      <c r="T620" t="s">
        <v>286</v>
      </c>
      <c r="U620">
        <v>2.8715988792865042E-3</v>
      </c>
      <c r="V620" t="s">
        <v>154</v>
      </c>
    </row>
    <row r="621" spans="9:22" x14ac:dyDescent="0.25">
      <c r="I621" t="s">
        <v>185</v>
      </c>
      <c r="J621" t="s">
        <v>160</v>
      </c>
      <c r="K621">
        <v>9.183796322172734E-2</v>
      </c>
      <c r="L621" t="s">
        <v>154</v>
      </c>
      <c r="N621" t="s">
        <v>215</v>
      </c>
      <c r="O621" t="s">
        <v>160</v>
      </c>
      <c r="P621">
        <v>0.1921434303971733</v>
      </c>
      <c r="Q621" t="s">
        <v>154</v>
      </c>
      <c r="S621" t="s">
        <v>246</v>
      </c>
      <c r="T621" t="s">
        <v>160</v>
      </c>
      <c r="U621">
        <v>0.22816995471571538</v>
      </c>
      <c r="V621" t="s">
        <v>154</v>
      </c>
    </row>
    <row r="622" spans="9:22" x14ac:dyDescent="0.25">
      <c r="I622" t="s">
        <v>185</v>
      </c>
      <c r="J622" t="s">
        <v>161</v>
      </c>
      <c r="K622">
        <v>0.561610216964745</v>
      </c>
      <c r="L622" t="s">
        <v>154</v>
      </c>
      <c r="N622" t="s">
        <v>215</v>
      </c>
      <c r="O622" t="s">
        <v>161</v>
      </c>
      <c r="P622">
        <v>0.2249488507869471</v>
      </c>
      <c r="Q622" t="s">
        <v>154</v>
      </c>
      <c r="S622" t="s">
        <v>246</v>
      </c>
      <c r="T622" t="s">
        <v>161</v>
      </c>
      <c r="U622">
        <v>0.1953090931264789</v>
      </c>
      <c r="V622" t="s">
        <v>154</v>
      </c>
    </row>
    <row r="623" spans="9:22" x14ac:dyDescent="0.25">
      <c r="I623" t="s">
        <v>185</v>
      </c>
      <c r="J623" t="s">
        <v>162</v>
      </c>
      <c r="K623">
        <v>4.3282896565830842E-2</v>
      </c>
      <c r="L623" t="s">
        <v>154</v>
      </c>
      <c r="N623" t="s">
        <v>215</v>
      </c>
      <c r="O623" t="s">
        <v>162</v>
      </c>
      <c r="P623">
        <v>2.9120242525356912E-2</v>
      </c>
      <c r="Q623" t="s">
        <v>154</v>
      </c>
      <c r="S623" t="s">
        <v>246</v>
      </c>
      <c r="T623" t="s">
        <v>162</v>
      </c>
      <c r="U623">
        <v>2.6689723745797356E-2</v>
      </c>
      <c r="V623" t="s">
        <v>154</v>
      </c>
    </row>
    <row r="624" spans="9:22" x14ac:dyDescent="0.25">
      <c r="I624" t="s">
        <v>185</v>
      </c>
      <c r="J624" t="s">
        <v>287</v>
      </c>
      <c r="K624">
        <v>2.1596048792649442E-2</v>
      </c>
      <c r="L624" t="s">
        <v>154</v>
      </c>
      <c r="N624" t="s">
        <v>215</v>
      </c>
      <c r="O624" t="s">
        <v>287</v>
      </c>
      <c r="P624">
        <v>2.7973120285660989E-2</v>
      </c>
      <c r="Q624" t="s">
        <v>154</v>
      </c>
      <c r="S624" t="s">
        <v>246</v>
      </c>
      <c r="T624" t="s">
        <v>287</v>
      </c>
      <c r="U624">
        <v>2.7238946525691688E-2</v>
      </c>
      <c r="V624" t="s">
        <v>154</v>
      </c>
    </row>
    <row r="625" spans="9:22" x14ac:dyDescent="0.25">
      <c r="I625" t="s">
        <v>185</v>
      </c>
      <c r="J625" t="s">
        <v>288</v>
      </c>
      <c r="K625">
        <v>3.0912796976737423E-3</v>
      </c>
      <c r="L625" t="s">
        <v>154</v>
      </c>
      <c r="N625" t="s">
        <v>215</v>
      </c>
      <c r="O625" t="s">
        <v>288</v>
      </c>
      <c r="P625">
        <v>0.11469241782085986</v>
      </c>
      <c r="Q625" t="s">
        <v>154</v>
      </c>
      <c r="S625" t="s">
        <v>246</v>
      </c>
      <c r="T625" t="s">
        <v>288</v>
      </c>
      <c r="U625">
        <v>0.13048630232853356</v>
      </c>
      <c r="V625" t="s">
        <v>154</v>
      </c>
    </row>
    <row r="626" spans="9:22" x14ac:dyDescent="0.25">
      <c r="I626" t="s">
        <v>185</v>
      </c>
      <c r="J626" t="s">
        <v>163</v>
      </c>
      <c r="K626">
        <v>1.5639544172668016E-3</v>
      </c>
      <c r="L626" t="s">
        <v>154</v>
      </c>
      <c r="N626" t="s">
        <v>215</v>
      </c>
      <c r="O626" t="s">
        <v>163</v>
      </c>
      <c r="P626">
        <v>1.1542611865141716E-2</v>
      </c>
      <c r="Q626" t="s">
        <v>154</v>
      </c>
      <c r="S626" t="s">
        <v>246</v>
      </c>
      <c r="T626" t="s">
        <v>163</v>
      </c>
      <c r="U626">
        <v>1.0372758169995059E-2</v>
      </c>
      <c r="V626" t="s">
        <v>154</v>
      </c>
    </row>
    <row r="627" spans="9:22" x14ac:dyDescent="0.25">
      <c r="I627" t="s">
        <v>185</v>
      </c>
      <c r="J627" t="s">
        <v>164</v>
      </c>
      <c r="K627">
        <v>1.250233001558124E-2</v>
      </c>
      <c r="L627" t="s">
        <v>154</v>
      </c>
      <c r="N627" t="s">
        <v>215</v>
      </c>
      <c r="O627" t="s">
        <v>164</v>
      </c>
      <c r="P627">
        <v>1.1568135946809501E-2</v>
      </c>
      <c r="Q627" t="s">
        <v>154</v>
      </c>
      <c r="S627" t="s">
        <v>246</v>
      </c>
      <c r="T627" t="s">
        <v>164</v>
      </c>
      <c r="U627">
        <v>8.3662174021527803E-3</v>
      </c>
      <c r="V627" t="s">
        <v>154</v>
      </c>
    </row>
    <row r="628" spans="9:22" x14ac:dyDescent="0.25">
      <c r="I628" t="s">
        <v>185</v>
      </c>
      <c r="J628" t="s">
        <v>165</v>
      </c>
      <c r="K628">
        <v>4.4981744694228031E-4</v>
      </c>
      <c r="L628" t="s">
        <v>154</v>
      </c>
      <c r="N628" t="s">
        <v>215</v>
      </c>
      <c r="O628" t="s">
        <v>165</v>
      </c>
      <c r="P628">
        <v>1.7248075662409977E-3</v>
      </c>
      <c r="Q628" t="s">
        <v>154</v>
      </c>
      <c r="S628" t="s">
        <v>246</v>
      </c>
      <c r="T628" t="s">
        <v>165</v>
      </c>
      <c r="U628">
        <v>9.7177705314393647E-4</v>
      </c>
      <c r="V628" t="s">
        <v>154</v>
      </c>
    </row>
    <row r="629" spans="9:22" x14ac:dyDescent="0.25">
      <c r="I629" t="s">
        <v>185</v>
      </c>
      <c r="J629" t="s">
        <v>289</v>
      </c>
      <c r="K629">
        <v>0</v>
      </c>
      <c r="L629" t="s">
        <v>154</v>
      </c>
      <c r="N629" t="s">
        <v>215</v>
      </c>
      <c r="O629" t="s">
        <v>289</v>
      </c>
      <c r="P629">
        <v>1.6803170519878209E-3</v>
      </c>
      <c r="Q629" t="s">
        <v>154</v>
      </c>
      <c r="S629" t="s">
        <v>246</v>
      </c>
      <c r="T629" t="s">
        <v>289</v>
      </c>
      <c r="U629">
        <v>1.0218207753836161E-3</v>
      </c>
      <c r="V629" t="s">
        <v>154</v>
      </c>
    </row>
    <row r="630" spans="9:22" x14ac:dyDescent="0.25">
      <c r="I630" t="s">
        <v>185</v>
      </c>
      <c r="J630" t="s">
        <v>290</v>
      </c>
      <c r="K630">
        <v>0</v>
      </c>
      <c r="L630" t="s">
        <v>154</v>
      </c>
      <c r="N630" t="s">
        <v>215</v>
      </c>
      <c r="O630" t="s">
        <v>290</v>
      </c>
      <c r="P630">
        <v>6.1461327145792902E-3</v>
      </c>
      <c r="Q630" t="s">
        <v>154</v>
      </c>
      <c r="S630" t="s">
        <v>246</v>
      </c>
      <c r="T630" t="s">
        <v>290</v>
      </c>
      <c r="U630">
        <v>6.2785299979406239E-3</v>
      </c>
      <c r="V630" t="s">
        <v>154</v>
      </c>
    </row>
    <row r="631" spans="9:22" x14ac:dyDescent="0.25">
      <c r="I631" t="s">
        <v>185</v>
      </c>
      <c r="J631" t="s">
        <v>297</v>
      </c>
      <c r="K631">
        <v>7.4307881697505806E-3</v>
      </c>
      <c r="L631" t="s">
        <v>154</v>
      </c>
      <c r="N631" t="s">
        <v>215</v>
      </c>
      <c r="O631" t="s">
        <v>297</v>
      </c>
      <c r="P631">
        <v>2.1756064073167707E-2</v>
      </c>
      <c r="Q631" t="s">
        <v>154</v>
      </c>
      <c r="S631" t="s">
        <v>246</v>
      </c>
      <c r="T631" t="s">
        <v>297</v>
      </c>
      <c r="U631">
        <v>3.276681712627879E-2</v>
      </c>
      <c r="V631" t="s">
        <v>154</v>
      </c>
    </row>
    <row r="632" spans="9:22" x14ac:dyDescent="0.25">
      <c r="I632" t="s">
        <v>185</v>
      </c>
      <c r="J632" t="s">
        <v>298</v>
      </c>
      <c r="K632">
        <v>5.6326984816428387E-2</v>
      </c>
      <c r="L632" t="s">
        <v>154</v>
      </c>
      <c r="N632" t="s">
        <v>215</v>
      </c>
      <c r="O632" t="s">
        <v>298</v>
      </c>
      <c r="P632">
        <v>1.827749926652196E-2</v>
      </c>
      <c r="Q632" t="s">
        <v>154</v>
      </c>
      <c r="S632" t="s">
        <v>246</v>
      </c>
      <c r="T632" t="s">
        <v>298</v>
      </c>
      <c r="U632">
        <v>2.4767515315690335E-2</v>
      </c>
      <c r="V632" t="s">
        <v>154</v>
      </c>
    </row>
    <row r="633" spans="9:22" x14ac:dyDescent="0.25">
      <c r="I633" t="s">
        <v>185</v>
      </c>
      <c r="J633" t="s">
        <v>299</v>
      </c>
      <c r="K633">
        <v>1.3041542610427045E-3</v>
      </c>
      <c r="L633" t="s">
        <v>154</v>
      </c>
      <c r="N633" t="s">
        <v>215</v>
      </c>
      <c r="O633" t="s">
        <v>299</v>
      </c>
      <c r="P633">
        <v>2.4842951691316979E-3</v>
      </c>
      <c r="Q633" t="s">
        <v>154</v>
      </c>
      <c r="S633" t="s">
        <v>246</v>
      </c>
      <c r="T633" t="s">
        <v>299</v>
      </c>
      <c r="U633">
        <v>2.8364758421010783E-3</v>
      </c>
      <c r="V633" t="s">
        <v>154</v>
      </c>
    </row>
    <row r="634" spans="9:22" x14ac:dyDescent="0.25">
      <c r="I634" t="s">
        <v>185</v>
      </c>
      <c r="J634" t="s">
        <v>300</v>
      </c>
      <c r="K634">
        <v>0</v>
      </c>
      <c r="L634" t="s">
        <v>154</v>
      </c>
      <c r="N634" t="s">
        <v>215</v>
      </c>
      <c r="O634" t="s">
        <v>300</v>
      </c>
      <c r="P634">
        <v>2.7379460744396899E-3</v>
      </c>
      <c r="Q634" t="s">
        <v>154</v>
      </c>
      <c r="S634" t="s">
        <v>246</v>
      </c>
      <c r="T634" t="s">
        <v>300</v>
      </c>
      <c r="U634">
        <v>2.9580847738377744E-3</v>
      </c>
      <c r="V634" t="s">
        <v>154</v>
      </c>
    </row>
    <row r="635" spans="9:22" x14ac:dyDescent="0.25">
      <c r="I635" t="s">
        <v>185</v>
      </c>
      <c r="J635" t="s">
        <v>301</v>
      </c>
      <c r="K635">
        <v>0</v>
      </c>
      <c r="L635" t="s">
        <v>154</v>
      </c>
      <c r="N635" t="s">
        <v>215</v>
      </c>
      <c r="O635" t="s">
        <v>301</v>
      </c>
      <c r="P635">
        <v>1.2707399020568702E-2</v>
      </c>
      <c r="Q635" t="s">
        <v>154</v>
      </c>
      <c r="S635" t="s">
        <v>246</v>
      </c>
      <c r="T635" t="s">
        <v>301</v>
      </c>
      <c r="U635">
        <v>1.7072476508559604E-2</v>
      </c>
      <c r="V635" t="s">
        <v>154</v>
      </c>
    </row>
    <row r="636" spans="9:22" x14ac:dyDescent="0.25">
      <c r="I636" t="s">
        <v>185</v>
      </c>
      <c r="J636" t="s">
        <v>302</v>
      </c>
      <c r="K636">
        <v>5.9001997689061897E-3</v>
      </c>
      <c r="L636" t="s">
        <v>154</v>
      </c>
      <c r="N636" t="s">
        <v>215</v>
      </c>
      <c r="O636" t="s">
        <v>302</v>
      </c>
      <c r="P636">
        <v>4.8605551522864339E-2</v>
      </c>
      <c r="Q636" t="s">
        <v>154</v>
      </c>
      <c r="S636" t="s">
        <v>246</v>
      </c>
      <c r="T636" t="s">
        <v>302</v>
      </c>
      <c r="U636">
        <v>5.2181159793679169E-2</v>
      </c>
      <c r="V636" t="s">
        <v>154</v>
      </c>
    </row>
    <row r="637" spans="9:22" x14ac:dyDescent="0.25">
      <c r="I637" t="s">
        <v>185</v>
      </c>
      <c r="J637" t="s">
        <v>303</v>
      </c>
      <c r="K637">
        <v>7.5923652848750842E-2</v>
      </c>
      <c r="L637" t="s">
        <v>154</v>
      </c>
      <c r="N637" t="s">
        <v>215</v>
      </c>
      <c r="O637" t="s">
        <v>303</v>
      </c>
      <c r="P637">
        <v>4.8579084815847072E-2</v>
      </c>
      <c r="Q637" t="s">
        <v>154</v>
      </c>
      <c r="S637" t="s">
        <v>246</v>
      </c>
      <c r="T637" t="s">
        <v>303</v>
      </c>
      <c r="U637">
        <v>4.7149483540811256E-2</v>
      </c>
      <c r="V637" t="s">
        <v>154</v>
      </c>
    </row>
    <row r="638" spans="9:22" x14ac:dyDescent="0.25">
      <c r="I638" t="s">
        <v>185</v>
      </c>
      <c r="J638" t="s">
        <v>304</v>
      </c>
      <c r="K638">
        <v>9.5064333019726795E-5</v>
      </c>
      <c r="L638" t="s">
        <v>154</v>
      </c>
      <c r="N638" t="s">
        <v>215</v>
      </c>
      <c r="O638" t="s">
        <v>304</v>
      </c>
      <c r="P638">
        <v>6.4769445566876657E-3</v>
      </c>
      <c r="Q638" t="s">
        <v>154</v>
      </c>
      <c r="S638" t="s">
        <v>246</v>
      </c>
      <c r="T638" t="s">
        <v>304</v>
      </c>
      <c r="U638">
        <v>5.8353282089641557E-3</v>
      </c>
      <c r="V638" t="s">
        <v>154</v>
      </c>
    </row>
    <row r="639" spans="9:22" x14ac:dyDescent="0.25">
      <c r="I639" t="s">
        <v>185</v>
      </c>
      <c r="J639" t="s">
        <v>305</v>
      </c>
      <c r="K639">
        <v>0</v>
      </c>
      <c r="L639" t="s">
        <v>154</v>
      </c>
      <c r="N639" t="s">
        <v>215</v>
      </c>
      <c r="O639" t="s">
        <v>305</v>
      </c>
      <c r="P639">
        <v>6.5307045752370924E-3</v>
      </c>
      <c r="Q639" t="s">
        <v>154</v>
      </c>
      <c r="S639" t="s">
        <v>246</v>
      </c>
      <c r="T639" t="s">
        <v>305</v>
      </c>
      <c r="U639">
        <v>5.8057956207603284E-3</v>
      </c>
      <c r="V639" t="s">
        <v>154</v>
      </c>
    </row>
    <row r="640" spans="9:22" x14ac:dyDescent="0.25">
      <c r="I640" t="s">
        <v>185</v>
      </c>
      <c r="J640" t="s">
        <v>306</v>
      </c>
      <c r="K640">
        <v>0</v>
      </c>
      <c r="L640" t="s">
        <v>154</v>
      </c>
      <c r="N640" t="s">
        <v>215</v>
      </c>
      <c r="O640" t="s">
        <v>306</v>
      </c>
      <c r="P640">
        <v>3.1089070337294859E-2</v>
      </c>
      <c r="Q640" t="s">
        <v>154</v>
      </c>
      <c r="S640" t="s">
        <v>246</v>
      </c>
      <c r="T640" t="s">
        <v>306</v>
      </c>
      <c r="U640">
        <v>2.862380588434316E-2</v>
      </c>
      <c r="V640" t="s">
        <v>154</v>
      </c>
    </row>
    <row r="641" spans="9:22" x14ac:dyDescent="0.25">
      <c r="I641" t="s">
        <v>186</v>
      </c>
      <c r="J641" t="s">
        <v>153</v>
      </c>
      <c r="K641">
        <v>6.131416688066626E-3</v>
      </c>
      <c r="L641" t="s">
        <v>154</v>
      </c>
      <c r="N641" t="s">
        <v>216</v>
      </c>
      <c r="O641" t="s">
        <v>153</v>
      </c>
      <c r="P641">
        <v>5.1584307397419212E-2</v>
      </c>
      <c r="Q641" t="s">
        <v>154</v>
      </c>
      <c r="S641" t="s">
        <v>247</v>
      </c>
      <c r="T641" t="s">
        <v>153</v>
      </c>
      <c r="U641">
        <v>4.8414299950925818E-2</v>
      </c>
      <c r="V641" t="s">
        <v>154</v>
      </c>
    </row>
    <row r="642" spans="9:22" x14ac:dyDescent="0.25">
      <c r="I642" t="s">
        <v>186</v>
      </c>
      <c r="J642" t="s">
        <v>155</v>
      </c>
      <c r="K642">
        <v>8.277754265727176E-2</v>
      </c>
      <c r="L642" t="s">
        <v>154</v>
      </c>
      <c r="N642" t="s">
        <v>216</v>
      </c>
      <c r="O642" t="s">
        <v>155</v>
      </c>
      <c r="P642">
        <v>6.2826875667720189E-2</v>
      </c>
      <c r="Q642" t="s">
        <v>154</v>
      </c>
      <c r="S642" t="s">
        <v>247</v>
      </c>
      <c r="T642" t="s">
        <v>155</v>
      </c>
      <c r="U642">
        <v>4.0545683642015502E-2</v>
      </c>
      <c r="V642" t="s">
        <v>154</v>
      </c>
    </row>
    <row r="643" spans="9:22" x14ac:dyDescent="0.25">
      <c r="I643" t="s">
        <v>186</v>
      </c>
      <c r="J643" t="s">
        <v>156</v>
      </c>
      <c r="K643">
        <v>4.3736303412946834E-3</v>
      </c>
      <c r="L643" t="s">
        <v>154</v>
      </c>
      <c r="N643" t="s">
        <v>216</v>
      </c>
      <c r="O643" t="s">
        <v>156</v>
      </c>
      <c r="P643">
        <v>6.7072409222799769E-3</v>
      </c>
      <c r="Q643" t="s">
        <v>154</v>
      </c>
      <c r="S643" t="s">
        <v>247</v>
      </c>
      <c r="T643" t="s">
        <v>156</v>
      </c>
      <c r="U643">
        <v>5.0918119095417786E-3</v>
      </c>
      <c r="V643" t="s">
        <v>154</v>
      </c>
    </row>
    <row r="644" spans="9:22" x14ac:dyDescent="0.25">
      <c r="I644" t="s">
        <v>186</v>
      </c>
      <c r="J644" t="s">
        <v>283</v>
      </c>
      <c r="K644">
        <v>0</v>
      </c>
      <c r="L644" t="s">
        <v>154</v>
      </c>
      <c r="N644" t="s">
        <v>216</v>
      </c>
      <c r="O644" t="s">
        <v>283</v>
      </c>
      <c r="P644">
        <v>6.2660925408900723E-3</v>
      </c>
      <c r="Q644" t="s">
        <v>154</v>
      </c>
      <c r="S644" t="s">
        <v>247</v>
      </c>
      <c r="T644" t="s">
        <v>283</v>
      </c>
      <c r="U644">
        <v>5.1138182778561175E-3</v>
      </c>
      <c r="V644" t="s">
        <v>154</v>
      </c>
    </row>
    <row r="645" spans="9:22" x14ac:dyDescent="0.25">
      <c r="I645" t="s">
        <v>186</v>
      </c>
      <c r="J645" t="s">
        <v>284</v>
      </c>
      <c r="K645">
        <v>0</v>
      </c>
      <c r="L645" t="s">
        <v>154</v>
      </c>
      <c r="N645" t="s">
        <v>216</v>
      </c>
      <c r="O645" t="s">
        <v>284</v>
      </c>
      <c r="P645">
        <v>2.6491664008004213E-2</v>
      </c>
      <c r="Q645" t="s">
        <v>154</v>
      </c>
      <c r="S645" t="s">
        <v>247</v>
      </c>
      <c r="T645" t="s">
        <v>284</v>
      </c>
      <c r="U645">
        <v>2.58935037565362E-2</v>
      </c>
      <c r="V645" t="s">
        <v>154</v>
      </c>
    </row>
    <row r="646" spans="9:22" x14ac:dyDescent="0.25">
      <c r="I646" t="s">
        <v>186</v>
      </c>
      <c r="J646" t="s">
        <v>157</v>
      </c>
      <c r="K646">
        <v>1.3908608773736163E-3</v>
      </c>
      <c r="L646" t="s">
        <v>154</v>
      </c>
      <c r="N646" t="s">
        <v>216</v>
      </c>
      <c r="O646" t="s">
        <v>157</v>
      </c>
      <c r="P646">
        <v>1.1430739519561108E-2</v>
      </c>
      <c r="Q646" t="s">
        <v>154</v>
      </c>
      <c r="S646" t="s">
        <v>247</v>
      </c>
      <c r="T646" t="s">
        <v>157</v>
      </c>
      <c r="U646">
        <v>7.1796681342682182E-3</v>
      </c>
      <c r="V646" t="s">
        <v>154</v>
      </c>
    </row>
    <row r="647" spans="9:22" x14ac:dyDescent="0.25">
      <c r="I647" t="s">
        <v>186</v>
      </c>
      <c r="J647" t="s">
        <v>158</v>
      </c>
      <c r="K647">
        <v>2.0385586656828134E-2</v>
      </c>
      <c r="L647" t="s">
        <v>154</v>
      </c>
      <c r="N647" t="s">
        <v>216</v>
      </c>
      <c r="O647" t="s">
        <v>158</v>
      </c>
      <c r="P647">
        <v>2.0869824889559272E-2</v>
      </c>
      <c r="Q647" t="s">
        <v>154</v>
      </c>
      <c r="S647" t="s">
        <v>247</v>
      </c>
      <c r="T647" t="s">
        <v>158</v>
      </c>
      <c r="U647">
        <v>7.5037485446871992E-3</v>
      </c>
      <c r="V647" t="s">
        <v>154</v>
      </c>
    </row>
    <row r="648" spans="9:22" x14ac:dyDescent="0.25">
      <c r="I648" t="s">
        <v>186</v>
      </c>
      <c r="J648" t="s">
        <v>159</v>
      </c>
      <c r="K648">
        <v>1.4998857257899872E-3</v>
      </c>
      <c r="L648" t="s">
        <v>154</v>
      </c>
      <c r="N648" t="s">
        <v>216</v>
      </c>
      <c r="O648" t="s">
        <v>159</v>
      </c>
      <c r="P648">
        <v>2.49078442232393E-3</v>
      </c>
      <c r="Q648" t="s">
        <v>154</v>
      </c>
      <c r="S648" t="s">
        <v>247</v>
      </c>
      <c r="T648" t="s">
        <v>159</v>
      </c>
      <c r="U648">
        <v>8.3117164467846406E-4</v>
      </c>
      <c r="V648" t="s">
        <v>154</v>
      </c>
    </row>
    <row r="649" spans="9:22" x14ac:dyDescent="0.25">
      <c r="I649" t="s">
        <v>186</v>
      </c>
      <c r="J649" t="s">
        <v>285</v>
      </c>
      <c r="K649">
        <v>0</v>
      </c>
      <c r="L649" t="s">
        <v>154</v>
      </c>
      <c r="N649" t="s">
        <v>216</v>
      </c>
      <c r="O649" t="s">
        <v>285</v>
      </c>
      <c r="P649">
        <v>2.2300193329898269E-3</v>
      </c>
      <c r="Q649" t="s">
        <v>154</v>
      </c>
      <c r="S649" t="s">
        <v>247</v>
      </c>
      <c r="T649" t="s">
        <v>285</v>
      </c>
      <c r="U649">
        <v>8.1772112760143765E-4</v>
      </c>
      <c r="V649" t="s">
        <v>154</v>
      </c>
    </row>
    <row r="650" spans="9:22" x14ac:dyDescent="0.25">
      <c r="I650" t="s">
        <v>186</v>
      </c>
      <c r="J650" t="s">
        <v>286</v>
      </c>
      <c r="K650">
        <v>0</v>
      </c>
      <c r="L650" t="s">
        <v>154</v>
      </c>
      <c r="N650" t="s">
        <v>216</v>
      </c>
      <c r="O650" t="s">
        <v>286</v>
      </c>
      <c r="P650">
        <v>7.0415981819704748E-3</v>
      </c>
      <c r="Q650" t="s">
        <v>154</v>
      </c>
      <c r="S650" t="s">
        <v>247</v>
      </c>
      <c r="T650" t="s">
        <v>286</v>
      </c>
      <c r="U650">
        <v>4.1477274645841623E-3</v>
      </c>
      <c r="V650" t="s">
        <v>154</v>
      </c>
    </row>
    <row r="651" spans="9:22" x14ac:dyDescent="0.25">
      <c r="I651" t="s">
        <v>186</v>
      </c>
      <c r="J651" t="s">
        <v>160</v>
      </c>
      <c r="K651">
        <v>9.5513252670675244E-2</v>
      </c>
      <c r="L651" t="s">
        <v>154</v>
      </c>
      <c r="N651" t="s">
        <v>216</v>
      </c>
      <c r="O651" t="s">
        <v>160</v>
      </c>
      <c r="P651">
        <v>0.18176806284807162</v>
      </c>
      <c r="Q651" t="s">
        <v>154</v>
      </c>
      <c r="S651" t="s">
        <v>247</v>
      </c>
      <c r="T651" t="s">
        <v>160</v>
      </c>
      <c r="U651">
        <v>0.22733615408530009</v>
      </c>
      <c r="V651" t="s">
        <v>154</v>
      </c>
    </row>
    <row r="652" spans="9:22" x14ac:dyDescent="0.25">
      <c r="I652" t="s">
        <v>186</v>
      </c>
      <c r="J652" t="s">
        <v>161</v>
      </c>
      <c r="K652">
        <v>0.56460966927853462</v>
      </c>
      <c r="L652" t="s">
        <v>154</v>
      </c>
      <c r="N652" t="s">
        <v>216</v>
      </c>
      <c r="O652" t="s">
        <v>161</v>
      </c>
      <c r="P652">
        <v>0.25070094696305645</v>
      </c>
      <c r="Q652" t="s">
        <v>154</v>
      </c>
      <c r="S652" t="s">
        <v>247</v>
      </c>
      <c r="T652" t="s">
        <v>161</v>
      </c>
      <c r="U652">
        <v>0.19920250166416759</v>
      </c>
      <c r="V652" t="s">
        <v>154</v>
      </c>
    </row>
    <row r="653" spans="9:22" x14ac:dyDescent="0.25">
      <c r="I653" t="s">
        <v>186</v>
      </c>
      <c r="J653" t="s">
        <v>162</v>
      </c>
      <c r="K653">
        <v>4.178072105222267E-2</v>
      </c>
      <c r="L653" t="s">
        <v>154</v>
      </c>
      <c r="N653" t="s">
        <v>216</v>
      </c>
      <c r="O653" t="s">
        <v>162</v>
      </c>
      <c r="P653">
        <v>2.8633681296258359E-2</v>
      </c>
      <c r="Q653" t="s">
        <v>154</v>
      </c>
      <c r="S653" t="s">
        <v>247</v>
      </c>
      <c r="T653" t="s">
        <v>162</v>
      </c>
      <c r="U653">
        <v>2.607480554169829E-2</v>
      </c>
      <c r="V653" t="s">
        <v>154</v>
      </c>
    </row>
    <row r="654" spans="9:22" x14ac:dyDescent="0.25">
      <c r="I654" t="s">
        <v>186</v>
      </c>
      <c r="J654" t="s">
        <v>287</v>
      </c>
      <c r="K654">
        <v>2.0452913197518997E-2</v>
      </c>
      <c r="L654" t="s">
        <v>154</v>
      </c>
      <c r="N654" t="s">
        <v>216</v>
      </c>
      <c r="O654" t="s">
        <v>287</v>
      </c>
      <c r="P654">
        <v>2.7009473733636158E-2</v>
      </c>
      <c r="Q654" t="s">
        <v>154</v>
      </c>
      <c r="S654" t="s">
        <v>247</v>
      </c>
      <c r="T654" t="s">
        <v>287</v>
      </c>
      <c r="U654">
        <v>2.6526772811176942E-2</v>
      </c>
      <c r="V654" t="s">
        <v>154</v>
      </c>
    </row>
    <row r="655" spans="9:22" x14ac:dyDescent="0.25">
      <c r="I655" t="s">
        <v>186</v>
      </c>
      <c r="J655" t="s">
        <v>288</v>
      </c>
      <c r="K655">
        <v>2.6773710352398176E-3</v>
      </c>
      <c r="L655" t="s">
        <v>154</v>
      </c>
      <c r="N655" t="s">
        <v>216</v>
      </c>
      <c r="O655" t="s">
        <v>288</v>
      </c>
      <c r="P655">
        <v>0.10511676857674701</v>
      </c>
      <c r="Q655" t="s">
        <v>154</v>
      </c>
      <c r="S655" t="s">
        <v>247</v>
      </c>
      <c r="T655" t="s">
        <v>288</v>
      </c>
      <c r="U655">
        <v>0.13218014565580563</v>
      </c>
      <c r="V655" t="s">
        <v>154</v>
      </c>
    </row>
    <row r="656" spans="9:22" x14ac:dyDescent="0.25">
      <c r="I656" t="s">
        <v>186</v>
      </c>
      <c r="J656" t="s">
        <v>163</v>
      </c>
      <c r="K656">
        <v>1.8954918738777699E-3</v>
      </c>
      <c r="L656" t="s">
        <v>154</v>
      </c>
      <c r="N656" t="s">
        <v>216</v>
      </c>
      <c r="O656" t="s">
        <v>163</v>
      </c>
      <c r="P656">
        <v>1.0988999159543706E-2</v>
      </c>
      <c r="Q656" t="s">
        <v>154</v>
      </c>
      <c r="S656" t="s">
        <v>247</v>
      </c>
      <c r="T656" t="s">
        <v>163</v>
      </c>
      <c r="U656">
        <v>1.0576217743878607E-2</v>
      </c>
      <c r="V656" t="s">
        <v>154</v>
      </c>
    </row>
    <row r="657" spans="9:22" x14ac:dyDescent="0.25">
      <c r="I657" t="s">
        <v>186</v>
      </c>
      <c r="J657" t="s">
        <v>164</v>
      </c>
      <c r="K657">
        <v>1.3071172147263973E-2</v>
      </c>
      <c r="L657" t="s">
        <v>154</v>
      </c>
      <c r="N657" t="s">
        <v>216</v>
      </c>
      <c r="O657" t="s">
        <v>164</v>
      </c>
      <c r="P657">
        <v>1.2220141987816513E-2</v>
      </c>
      <c r="Q657" t="s">
        <v>154</v>
      </c>
      <c r="S657" t="s">
        <v>247</v>
      </c>
      <c r="T657" t="s">
        <v>164</v>
      </c>
      <c r="U657">
        <v>9.5742996348377983E-3</v>
      </c>
      <c r="V657" t="s">
        <v>154</v>
      </c>
    </row>
    <row r="658" spans="9:22" x14ac:dyDescent="0.25">
      <c r="I658" t="s">
        <v>186</v>
      </c>
      <c r="J658" t="s">
        <v>165</v>
      </c>
      <c r="K658">
        <v>5.0868424770072226E-4</v>
      </c>
      <c r="L658" t="s">
        <v>154</v>
      </c>
      <c r="N658" t="s">
        <v>216</v>
      </c>
      <c r="O658" t="s">
        <v>165</v>
      </c>
      <c r="P658">
        <v>1.3807560853653991E-3</v>
      </c>
      <c r="Q658" t="s">
        <v>154</v>
      </c>
      <c r="S658" t="s">
        <v>247</v>
      </c>
      <c r="T658" t="s">
        <v>165</v>
      </c>
      <c r="U658">
        <v>1.2461053596438745E-3</v>
      </c>
      <c r="V658" t="s">
        <v>154</v>
      </c>
    </row>
    <row r="659" spans="9:22" x14ac:dyDescent="0.25">
      <c r="I659" t="s">
        <v>186</v>
      </c>
      <c r="J659" t="s">
        <v>289</v>
      </c>
      <c r="K659">
        <v>0</v>
      </c>
      <c r="L659" t="s">
        <v>154</v>
      </c>
      <c r="N659" t="s">
        <v>216</v>
      </c>
      <c r="O659" t="s">
        <v>289</v>
      </c>
      <c r="P659">
        <v>1.2781243469506458E-3</v>
      </c>
      <c r="Q659" t="s">
        <v>154</v>
      </c>
      <c r="S659" t="s">
        <v>247</v>
      </c>
      <c r="T659" t="s">
        <v>289</v>
      </c>
      <c r="U659">
        <v>1.2534573127948141E-3</v>
      </c>
      <c r="V659" t="s">
        <v>154</v>
      </c>
    </row>
    <row r="660" spans="9:22" x14ac:dyDescent="0.25">
      <c r="I660" t="s">
        <v>186</v>
      </c>
      <c r="J660" t="s">
        <v>290</v>
      </c>
      <c r="K660">
        <v>0</v>
      </c>
      <c r="L660" t="s">
        <v>154</v>
      </c>
      <c r="N660" t="s">
        <v>216</v>
      </c>
      <c r="O660" t="s">
        <v>290</v>
      </c>
      <c r="P660">
        <v>4.1826972935411653E-3</v>
      </c>
      <c r="Q660" t="s">
        <v>154</v>
      </c>
      <c r="S660" t="s">
        <v>247</v>
      </c>
      <c r="T660" t="s">
        <v>290</v>
      </c>
      <c r="U660">
        <v>5.9218381773601218E-3</v>
      </c>
      <c r="V660" t="s">
        <v>154</v>
      </c>
    </row>
    <row r="661" spans="9:22" x14ac:dyDescent="0.25">
      <c r="I661" t="s">
        <v>186</v>
      </c>
      <c r="J661" t="s">
        <v>297</v>
      </c>
      <c r="K661">
        <v>7.7854917428128254E-3</v>
      </c>
      <c r="L661" t="s">
        <v>154</v>
      </c>
      <c r="N661" t="s">
        <v>216</v>
      </c>
      <c r="O661" t="s">
        <v>297</v>
      </c>
      <c r="P661">
        <v>1.5088557162241802E-2</v>
      </c>
      <c r="Q661" t="s">
        <v>154</v>
      </c>
      <c r="S661" t="s">
        <v>247</v>
      </c>
      <c r="T661" t="s">
        <v>297</v>
      </c>
      <c r="U661">
        <v>2.6604055726081807E-2</v>
      </c>
      <c r="V661" t="s">
        <v>154</v>
      </c>
    </row>
    <row r="662" spans="9:22" x14ac:dyDescent="0.25">
      <c r="I662" t="s">
        <v>186</v>
      </c>
      <c r="J662" t="s">
        <v>298</v>
      </c>
      <c r="K662">
        <v>5.6186785282395159E-2</v>
      </c>
      <c r="L662" t="s">
        <v>154</v>
      </c>
      <c r="N662" t="s">
        <v>216</v>
      </c>
      <c r="O662" t="s">
        <v>298</v>
      </c>
      <c r="P662">
        <v>1.5120368485546648E-2</v>
      </c>
      <c r="Q662" t="s">
        <v>154</v>
      </c>
      <c r="S662" t="s">
        <v>247</v>
      </c>
      <c r="T662" t="s">
        <v>298</v>
      </c>
      <c r="U662">
        <v>2.5957599469030288E-2</v>
      </c>
      <c r="V662" t="s">
        <v>154</v>
      </c>
    </row>
    <row r="663" spans="9:22" x14ac:dyDescent="0.25">
      <c r="I663" t="s">
        <v>186</v>
      </c>
      <c r="J663" t="s">
        <v>299</v>
      </c>
      <c r="K663">
        <v>7.6171133484926321E-4</v>
      </c>
      <c r="L663" t="s">
        <v>154</v>
      </c>
      <c r="N663" t="s">
        <v>216</v>
      </c>
      <c r="O663" t="s">
        <v>299</v>
      </c>
      <c r="P663">
        <v>2.1331360608561572E-3</v>
      </c>
      <c r="Q663" t="s">
        <v>154</v>
      </c>
      <c r="S663" t="s">
        <v>247</v>
      </c>
      <c r="T663" t="s">
        <v>299</v>
      </c>
      <c r="U663">
        <v>3.21509635354631E-3</v>
      </c>
      <c r="V663" t="s">
        <v>154</v>
      </c>
    </row>
    <row r="664" spans="9:22" x14ac:dyDescent="0.25">
      <c r="I664" t="s">
        <v>186</v>
      </c>
      <c r="J664" t="s">
        <v>300</v>
      </c>
      <c r="K664">
        <v>0</v>
      </c>
      <c r="L664" t="s">
        <v>154</v>
      </c>
      <c r="N664" t="s">
        <v>216</v>
      </c>
      <c r="O664" t="s">
        <v>300</v>
      </c>
      <c r="P664">
        <v>2.2893593838138469E-3</v>
      </c>
      <c r="Q664" t="s">
        <v>154</v>
      </c>
      <c r="S664" t="s">
        <v>247</v>
      </c>
      <c r="T664" t="s">
        <v>300</v>
      </c>
      <c r="U664">
        <v>3.1740927123709841E-3</v>
      </c>
      <c r="V664" t="s">
        <v>154</v>
      </c>
    </row>
    <row r="665" spans="9:22" x14ac:dyDescent="0.25">
      <c r="I665" t="s">
        <v>186</v>
      </c>
      <c r="J665" t="s">
        <v>301</v>
      </c>
      <c r="K665">
        <v>0</v>
      </c>
      <c r="L665" t="s">
        <v>154</v>
      </c>
      <c r="N665" t="s">
        <v>216</v>
      </c>
      <c r="O665" t="s">
        <v>301</v>
      </c>
      <c r="P665">
        <v>1.0591047530012065E-2</v>
      </c>
      <c r="Q665" t="s">
        <v>154</v>
      </c>
      <c r="S665" t="s">
        <v>247</v>
      </c>
      <c r="T665" t="s">
        <v>301</v>
      </c>
      <c r="U665">
        <v>1.4803170261618332E-2</v>
      </c>
      <c r="V665" t="s">
        <v>154</v>
      </c>
    </row>
    <row r="666" spans="9:22" x14ac:dyDescent="0.25">
      <c r="I666" t="s">
        <v>186</v>
      </c>
      <c r="J666" t="s">
        <v>302</v>
      </c>
      <c r="K666">
        <v>5.643381524674031E-3</v>
      </c>
      <c r="L666" t="s">
        <v>154</v>
      </c>
      <c r="N666" t="s">
        <v>216</v>
      </c>
      <c r="O666" t="s">
        <v>302</v>
      </c>
      <c r="P666">
        <v>4.1770296900275068E-2</v>
      </c>
      <c r="Q666" t="s">
        <v>154</v>
      </c>
      <c r="S666" t="s">
        <v>247</v>
      </c>
      <c r="T666" t="s">
        <v>302</v>
      </c>
      <c r="U666">
        <v>5.2189611446299508E-2</v>
      </c>
      <c r="V666" t="s">
        <v>154</v>
      </c>
    </row>
    <row r="667" spans="9:22" x14ac:dyDescent="0.25">
      <c r="I667" t="s">
        <v>186</v>
      </c>
      <c r="J667" t="s">
        <v>303</v>
      </c>
      <c r="K667">
        <v>7.255443166560803E-2</v>
      </c>
      <c r="L667" t="s">
        <v>154</v>
      </c>
      <c r="N667" t="s">
        <v>216</v>
      </c>
      <c r="O667" t="s">
        <v>303</v>
      </c>
      <c r="P667">
        <v>4.9117577632309992E-2</v>
      </c>
      <c r="Q667" t="s">
        <v>154</v>
      </c>
      <c r="S667" t="s">
        <v>247</v>
      </c>
      <c r="T667" t="s">
        <v>303</v>
      </c>
      <c r="U667">
        <v>4.6464331974224525E-2</v>
      </c>
      <c r="V667" t="s">
        <v>154</v>
      </c>
    </row>
    <row r="668" spans="9:22" x14ac:dyDescent="0.25">
      <c r="I668" t="s">
        <v>186</v>
      </c>
      <c r="J668" t="s">
        <v>304</v>
      </c>
      <c r="K668">
        <v>0</v>
      </c>
      <c r="L668" t="s">
        <v>154</v>
      </c>
      <c r="N668" t="s">
        <v>216</v>
      </c>
      <c r="O668" t="s">
        <v>304</v>
      </c>
      <c r="P668">
        <v>6.9304149110278133E-3</v>
      </c>
      <c r="Q668" t="s">
        <v>154</v>
      </c>
      <c r="S668" t="s">
        <v>247</v>
      </c>
      <c r="T668" t="s">
        <v>304</v>
      </c>
      <c r="U668">
        <v>5.954721802848984E-3</v>
      </c>
      <c r="V668" t="s">
        <v>154</v>
      </c>
    </row>
    <row r="669" spans="9:22" x14ac:dyDescent="0.25">
      <c r="I669" t="s">
        <v>186</v>
      </c>
      <c r="J669" t="s">
        <v>305</v>
      </c>
      <c r="K669">
        <v>0</v>
      </c>
      <c r="L669" t="s">
        <v>154</v>
      </c>
      <c r="N669" t="s">
        <v>216</v>
      </c>
      <c r="O669" t="s">
        <v>305</v>
      </c>
      <c r="P669">
        <v>6.8678573006091381E-3</v>
      </c>
      <c r="Q669" t="s">
        <v>154</v>
      </c>
      <c r="S669" t="s">
        <v>247</v>
      </c>
      <c r="T669" t="s">
        <v>305</v>
      </c>
      <c r="U669">
        <v>5.998773980556071E-3</v>
      </c>
      <c r="V669" t="s">
        <v>154</v>
      </c>
    </row>
    <row r="670" spans="9:22" x14ac:dyDescent="0.25">
      <c r="I670" t="s">
        <v>186</v>
      </c>
      <c r="J670" t="s">
        <v>306</v>
      </c>
      <c r="K670">
        <v>0</v>
      </c>
      <c r="L670" t="s">
        <v>154</v>
      </c>
      <c r="N670" t="s">
        <v>216</v>
      </c>
      <c r="O670" t="s">
        <v>306</v>
      </c>
      <c r="P670">
        <v>2.8872585459601099E-2</v>
      </c>
      <c r="Q670" t="s">
        <v>154</v>
      </c>
      <c r="S670" t="s">
        <v>247</v>
      </c>
      <c r="T670" t="s">
        <v>306</v>
      </c>
      <c r="U670">
        <v>3.0207093834061977E-2</v>
      </c>
      <c r="V670" t="s">
        <v>154</v>
      </c>
    </row>
    <row r="671" spans="9:22" x14ac:dyDescent="0.25">
      <c r="I671" t="s">
        <v>187</v>
      </c>
      <c r="J671" t="s">
        <v>153</v>
      </c>
      <c r="K671">
        <v>6.167906175636226E-3</v>
      </c>
      <c r="L671" t="s">
        <v>154</v>
      </c>
      <c r="N671" t="s">
        <v>217</v>
      </c>
      <c r="O671" t="s">
        <v>153</v>
      </c>
      <c r="P671">
        <v>5.6574785005028314E-2</v>
      </c>
      <c r="Q671" t="s">
        <v>154</v>
      </c>
      <c r="S671" t="s">
        <v>248</v>
      </c>
      <c r="T671" t="s">
        <v>153</v>
      </c>
      <c r="U671">
        <v>4.564671651886501E-2</v>
      </c>
      <c r="V671" t="s">
        <v>154</v>
      </c>
    </row>
    <row r="672" spans="9:22" x14ac:dyDescent="0.25">
      <c r="I672" t="s">
        <v>187</v>
      </c>
      <c r="J672" t="s">
        <v>155</v>
      </c>
      <c r="K672">
        <v>8.498595600799351E-2</v>
      </c>
      <c r="L672" t="s">
        <v>154</v>
      </c>
      <c r="N672" t="s">
        <v>217</v>
      </c>
      <c r="O672" t="s">
        <v>155</v>
      </c>
      <c r="P672">
        <v>6.661560505861637E-2</v>
      </c>
      <c r="Q672" t="s">
        <v>154</v>
      </c>
      <c r="S672" t="s">
        <v>248</v>
      </c>
      <c r="T672" t="s">
        <v>155</v>
      </c>
      <c r="U672">
        <v>3.9592636972847463E-2</v>
      </c>
      <c r="V672" t="s">
        <v>154</v>
      </c>
    </row>
    <row r="673" spans="9:22" x14ac:dyDescent="0.25">
      <c r="I673" t="s">
        <v>187</v>
      </c>
      <c r="J673" t="s">
        <v>156</v>
      </c>
      <c r="K673">
        <v>4.6625250941579634E-3</v>
      </c>
      <c r="L673" t="s">
        <v>154</v>
      </c>
      <c r="N673" t="s">
        <v>217</v>
      </c>
      <c r="O673" t="s">
        <v>156</v>
      </c>
      <c r="P673">
        <v>6.9252488292590791E-3</v>
      </c>
      <c r="Q673" t="s">
        <v>154</v>
      </c>
      <c r="S673" t="s">
        <v>248</v>
      </c>
      <c r="T673" t="s">
        <v>156</v>
      </c>
      <c r="U673">
        <v>4.7675285866711778E-3</v>
      </c>
      <c r="V673" t="s">
        <v>154</v>
      </c>
    </row>
    <row r="674" spans="9:22" x14ac:dyDescent="0.25">
      <c r="I674" t="s">
        <v>187</v>
      </c>
      <c r="J674" t="s">
        <v>283</v>
      </c>
      <c r="K674">
        <v>0</v>
      </c>
      <c r="L674" t="s">
        <v>154</v>
      </c>
      <c r="N674" t="s">
        <v>217</v>
      </c>
      <c r="O674" t="s">
        <v>283</v>
      </c>
      <c r="P674">
        <v>6.3428406171093295E-3</v>
      </c>
      <c r="Q674" t="s">
        <v>154</v>
      </c>
      <c r="S674" t="s">
        <v>248</v>
      </c>
      <c r="T674" t="s">
        <v>283</v>
      </c>
      <c r="U674">
        <v>4.7123764467299871E-3</v>
      </c>
      <c r="V674" t="s">
        <v>154</v>
      </c>
    </row>
    <row r="675" spans="9:22" x14ac:dyDescent="0.25">
      <c r="I675" t="s">
        <v>187</v>
      </c>
      <c r="J675" t="s">
        <v>284</v>
      </c>
      <c r="K675">
        <v>0</v>
      </c>
      <c r="L675" t="s">
        <v>154</v>
      </c>
      <c r="N675" t="s">
        <v>217</v>
      </c>
      <c r="O675" t="s">
        <v>284</v>
      </c>
      <c r="P675">
        <v>2.9058060609929437E-2</v>
      </c>
      <c r="Q675" t="s">
        <v>154</v>
      </c>
      <c r="S675" t="s">
        <v>248</v>
      </c>
      <c r="T675" t="s">
        <v>284</v>
      </c>
      <c r="U675">
        <v>2.4247844367327485E-2</v>
      </c>
      <c r="V675" t="s">
        <v>154</v>
      </c>
    </row>
    <row r="676" spans="9:22" x14ac:dyDescent="0.25">
      <c r="I676" t="s">
        <v>187</v>
      </c>
      <c r="J676" t="s">
        <v>157</v>
      </c>
      <c r="K676">
        <v>1.6325456495453587E-3</v>
      </c>
      <c r="L676" t="s">
        <v>154</v>
      </c>
      <c r="N676" t="s">
        <v>217</v>
      </c>
      <c r="O676" t="s">
        <v>157</v>
      </c>
      <c r="P676">
        <v>1.5008421159156548E-2</v>
      </c>
      <c r="Q676" t="s">
        <v>154</v>
      </c>
      <c r="S676" t="s">
        <v>248</v>
      </c>
      <c r="T676" t="s">
        <v>157</v>
      </c>
      <c r="U676">
        <v>8.1499765258479465E-3</v>
      </c>
      <c r="V676" t="s">
        <v>154</v>
      </c>
    </row>
    <row r="677" spans="9:22" x14ac:dyDescent="0.25">
      <c r="I677" t="s">
        <v>187</v>
      </c>
      <c r="J677" t="s">
        <v>158</v>
      </c>
      <c r="K677">
        <v>2.2199520784573799E-2</v>
      </c>
      <c r="L677" t="s">
        <v>154</v>
      </c>
      <c r="N677" t="s">
        <v>217</v>
      </c>
      <c r="O677" t="s">
        <v>158</v>
      </c>
      <c r="P677">
        <v>1.8750211228407618E-2</v>
      </c>
      <c r="Q677" t="s">
        <v>154</v>
      </c>
      <c r="S677" t="s">
        <v>248</v>
      </c>
      <c r="T677" t="s">
        <v>158</v>
      </c>
      <c r="U677">
        <v>7.8859504491113012E-3</v>
      </c>
      <c r="V677" t="s">
        <v>154</v>
      </c>
    </row>
    <row r="678" spans="9:22" x14ac:dyDescent="0.25">
      <c r="I678" t="s">
        <v>187</v>
      </c>
      <c r="J678" t="s">
        <v>159</v>
      </c>
      <c r="K678">
        <v>1.5917655070512616E-3</v>
      </c>
      <c r="L678" t="s">
        <v>154</v>
      </c>
      <c r="N678" t="s">
        <v>217</v>
      </c>
      <c r="O678" t="s">
        <v>159</v>
      </c>
      <c r="P678">
        <v>2.4987881998507263E-3</v>
      </c>
      <c r="Q678" t="s">
        <v>154</v>
      </c>
      <c r="S678" t="s">
        <v>248</v>
      </c>
      <c r="T678" t="s">
        <v>159</v>
      </c>
      <c r="U678">
        <v>8.5280249859676235E-4</v>
      </c>
      <c r="V678" t="s">
        <v>154</v>
      </c>
    </row>
    <row r="679" spans="9:22" x14ac:dyDescent="0.25">
      <c r="I679" t="s">
        <v>187</v>
      </c>
      <c r="J679" t="s">
        <v>285</v>
      </c>
      <c r="K679">
        <v>0</v>
      </c>
      <c r="L679" t="s">
        <v>154</v>
      </c>
      <c r="N679" t="s">
        <v>217</v>
      </c>
      <c r="O679" t="s">
        <v>285</v>
      </c>
      <c r="P679">
        <v>2.2184809051734571E-3</v>
      </c>
      <c r="Q679" t="s">
        <v>154</v>
      </c>
      <c r="S679" t="s">
        <v>248</v>
      </c>
      <c r="T679" t="s">
        <v>285</v>
      </c>
      <c r="U679">
        <v>8.3737076680253785E-4</v>
      </c>
      <c r="V679" t="s">
        <v>154</v>
      </c>
    </row>
    <row r="680" spans="9:22" x14ac:dyDescent="0.25">
      <c r="I680" t="s">
        <v>187</v>
      </c>
      <c r="J680" t="s">
        <v>286</v>
      </c>
      <c r="K680">
        <v>0</v>
      </c>
      <c r="L680" t="s">
        <v>154</v>
      </c>
      <c r="N680" t="s">
        <v>217</v>
      </c>
      <c r="O680" t="s">
        <v>286</v>
      </c>
      <c r="P680">
        <v>8.2428887054329988E-3</v>
      </c>
      <c r="Q680" t="s">
        <v>154</v>
      </c>
      <c r="S680" t="s">
        <v>248</v>
      </c>
      <c r="T680" t="s">
        <v>286</v>
      </c>
      <c r="U680">
        <v>4.0940674733216239E-3</v>
      </c>
      <c r="V680" t="s">
        <v>154</v>
      </c>
    </row>
    <row r="681" spans="9:22" x14ac:dyDescent="0.25">
      <c r="I681" t="s">
        <v>187</v>
      </c>
      <c r="J681" t="s">
        <v>160</v>
      </c>
      <c r="K681">
        <v>9.3197767214691474E-2</v>
      </c>
      <c r="L681" t="s">
        <v>154</v>
      </c>
      <c r="N681" t="s">
        <v>217</v>
      </c>
      <c r="O681" t="s">
        <v>160</v>
      </c>
      <c r="P681">
        <v>0.16715048195679386</v>
      </c>
      <c r="Q681" t="s">
        <v>154</v>
      </c>
      <c r="S681" t="s">
        <v>248</v>
      </c>
      <c r="T681" t="s">
        <v>160</v>
      </c>
      <c r="U681">
        <v>0.22943100233016742</v>
      </c>
      <c r="V681" t="s">
        <v>154</v>
      </c>
    </row>
    <row r="682" spans="9:22" x14ac:dyDescent="0.25">
      <c r="I682" t="s">
        <v>187</v>
      </c>
      <c r="J682" t="s">
        <v>161</v>
      </c>
      <c r="K682">
        <v>0.55876150619936116</v>
      </c>
      <c r="L682" t="s">
        <v>154</v>
      </c>
      <c r="N682" t="s">
        <v>217</v>
      </c>
      <c r="O682" t="s">
        <v>161</v>
      </c>
      <c r="P682">
        <v>0.25441162562573821</v>
      </c>
      <c r="Q682" t="s">
        <v>154</v>
      </c>
      <c r="S682" t="s">
        <v>248</v>
      </c>
      <c r="T682" t="s">
        <v>161</v>
      </c>
      <c r="U682">
        <v>0.20512731618925265</v>
      </c>
      <c r="V682" t="s">
        <v>154</v>
      </c>
    </row>
    <row r="683" spans="9:22" x14ac:dyDescent="0.25">
      <c r="I683" t="s">
        <v>187</v>
      </c>
      <c r="J683" t="s">
        <v>162</v>
      </c>
      <c r="K683">
        <v>4.1918217302668391E-2</v>
      </c>
      <c r="L683" t="s">
        <v>154</v>
      </c>
      <c r="N683" t="s">
        <v>217</v>
      </c>
      <c r="O683" t="s">
        <v>162</v>
      </c>
      <c r="P683">
        <v>2.7415342346127598E-2</v>
      </c>
      <c r="Q683" t="s">
        <v>154</v>
      </c>
      <c r="S683" t="s">
        <v>248</v>
      </c>
      <c r="T683" t="s">
        <v>162</v>
      </c>
      <c r="U683">
        <v>2.6873478967731755E-2</v>
      </c>
      <c r="V683" t="s">
        <v>154</v>
      </c>
    </row>
    <row r="684" spans="9:22" x14ac:dyDescent="0.25">
      <c r="I684" t="s">
        <v>187</v>
      </c>
      <c r="J684" t="s">
        <v>287</v>
      </c>
      <c r="K684">
        <v>2.1117010536585736E-2</v>
      </c>
      <c r="L684" t="s">
        <v>154</v>
      </c>
      <c r="N684" t="s">
        <v>217</v>
      </c>
      <c r="O684" t="s">
        <v>287</v>
      </c>
      <c r="P684">
        <v>2.3804313020741631E-2</v>
      </c>
      <c r="Q684" t="s">
        <v>154</v>
      </c>
      <c r="S684" t="s">
        <v>248</v>
      </c>
      <c r="T684" t="s">
        <v>287</v>
      </c>
      <c r="U684">
        <v>2.7089171268115879E-2</v>
      </c>
      <c r="V684" t="s">
        <v>154</v>
      </c>
    </row>
    <row r="685" spans="9:22" x14ac:dyDescent="0.25">
      <c r="I685" t="s">
        <v>187</v>
      </c>
      <c r="J685" t="s">
        <v>288</v>
      </c>
      <c r="K685">
        <v>3.3624540113824284E-3</v>
      </c>
      <c r="L685" t="s">
        <v>154</v>
      </c>
      <c r="N685" t="s">
        <v>217</v>
      </c>
      <c r="O685" t="s">
        <v>288</v>
      </c>
      <c r="P685">
        <v>8.9987031667686679E-2</v>
      </c>
      <c r="Q685" t="s">
        <v>154</v>
      </c>
      <c r="S685" t="s">
        <v>248</v>
      </c>
      <c r="T685" t="s">
        <v>288</v>
      </c>
      <c r="U685">
        <v>0.13204328157621945</v>
      </c>
      <c r="V685" t="s">
        <v>154</v>
      </c>
    </row>
    <row r="686" spans="9:22" x14ac:dyDescent="0.25">
      <c r="I686" t="s">
        <v>187</v>
      </c>
      <c r="J686" t="s">
        <v>163</v>
      </c>
      <c r="K686">
        <v>1.7953939581738401E-3</v>
      </c>
      <c r="L686" t="s">
        <v>154</v>
      </c>
      <c r="N686" t="s">
        <v>217</v>
      </c>
      <c r="O686" t="s">
        <v>163</v>
      </c>
      <c r="P686">
        <v>7.7949574708351746E-3</v>
      </c>
      <c r="Q686" t="s">
        <v>154</v>
      </c>
      <c r="S686" t="s">
        <v>248</v>
      </c>
      <c r="T686" t="s">
        <v>163</v>
      </c>
      <c r="U686">
        <v>1.1110814077703028E-2</v>
      </c>
      <c r="V686" t="s">
        <v>154</v>
      </c>
    </row>
    <row r="687" spans="9:22" x14ac:dyDescent="0.25">
      <c r="I687" t="s">
        <v>187</v>
      </c>
      <c r="J687" t="s">
        <v>164</v>
      </c>
      <c r="K687">
        <v>1.2398916500375589E-2</v>
      </c>
      <c r="L687" t="s">
        <v>154</v>
      </c>
      <c r="N687" t="s">
        <v>217</v>
      </c>
      <c r="O687" t="s">
        <v>164</v>
      </c>
      <c r="P687">
        <v>9.5940114038377058E-3</v>
      </c>
      <c r="Q687" t="s">
        <v>154</v>
      </c>
      <c r="S687" t="s">
        <v>248</v>
      </c>
      <c r="T687" t="s">
        <v>164</v>
      </c>
      <c r="U687">
        <v>9.7213039740406421E-3</v>
      </c>
      <c r="V687" t="s">
        <v>154</v>
      </c>
    </row>
    <row r="688" spans="9:22" x14ac:dyDescent="0.25">
      <c r="I688" t="s">
        <v>187</v>
      </c>
      <c r="J688" t="s">
        <v>165</v>
      </c>
      <c r="K688">
        <v>5.4145773035668297E-4</v>
      </c>
      <c r="L688" t="s">
        <v>154</v>
      </c>
      <c r="N688" t="s">
        <v>217</v>
      </c>
      <c r="O688" t="s">
        <v>165</v>
      </c>
      <c r="P688">
        <v>1.2739382059611497E-3</v>
      </c>
      <c r="Q688" t="s">
        <v>154</v>
      </c>
      <c r="S688" t="s">
        <v>248</v>
      </c>
      <c r="T688" t="s">
        <v>165</v>
      </c>
      <c r="U688">
        <v>1.2980291975209777E-3</v>
      </c>
      <c r="V688" t="s">
        <v>154</v>
      </c>
    </row>
    <row r="689" spans="9:22" x14ac:dyDescent="0.25">
      <c r="I689" t="s">
        <v>187</v>
      </c>
      <c r="J689" t="s">
        <v>289</v>
      </c>
      <c r="K689">
        <v>0</v>
      </c>
      <c r="L689" t="s">
        <v>154</v>
      </c>
      <c r="N689" t="s">
        <v>217</v>
      </c>
      <c r="O689" t="s">
        <v>289</v>
      </c>
      <c r="P689">
        <v>1.2421457546367008E-3</v>
      </c>
      <c r="Q689" t="s">
        <v>154</v>
      </c>
      <c r="S689" t="s">
        <v>248</v>
      </c>
      <c r="T689" t="s">
        <v>289</v>
      </c>
      <c r="U689">
        <v>1.3131404330899844E-3</v>
      </c>
      <c r="V689" t="s">
        <v>154</v>
      </c>
    </row>
    <row r="690" spans="9:22" x14ac:dyDescent="0.25">
      <c r="I690" t="s">
        <v>187</v>
      </c>
      <c r="J690" t="s">
        <v>290</v>
      </c>
      <c r="K690">
        <v>0</v>
      </c>
      <c r="L690" t="s">
        <v>154</v>
      </c>
      <c r="N690" t="s">
        <v>217</v>
      </c>
      <c r="O690" t="s">
        <v>290</v>
      </c>
      <c r="P690">
        <v>4.2681139703215744E-3</v>
      </c>
      <c r="Q690" t="s">
        <v>154</v>
      </c>
      <c r="S690" t="s">
        <v>248</v>
      </c>
      <c r="T690" t="s">
        <v>290</v>
      </c>
      <c r="U690">
        <v>6.4502127650360392E-3</v>
      </c>
      <c r="V690" t="s">
        <v>154</v>
      </c>
    </row>
    <row r="691" spans="9:22" x14ac:dyDescent="0.25">
      <c r="I691" t="s">
        <v>187</v>
      </c>
      <c r="J691" t="s">
        <v>297</v>
      </c>
      <c r="K691">
        <v>7.6755200747645469E-3</v>
      </c>
      <c r="L691" t="s">
        <v>154</v>
      </c>
      <c r="N691" t="s">
        <v>217</v>
      </c>
      <c r="O691" t="s">
        <v>297</v>
      </c>
      <c r="P691">
        <v>1.615210081738909E-2</v>
      </c>
      <c r="Q691" t="s">
        <v>154</v>
      </c>
      <c r="S691" t="s">
        <v>248</v>
      </c>
      <c r="T691" t="s">
        <v>297</v>
      </c>
      <c r="U691">
        <v>2.7019470516938249E-2</v>
      </c>
      <c r="V691" t="s">
        <v>154</v>
      </c>
    </row>
    <row r="692" spans="9:22" x14ac:dyDescent="0.25">
      <c r="I692" t="s">
        <v>187</v>
      </c>
      <c r="J692" t="s">
        <v>298</v>
      </c>
      <c r="K692">
        <v>5.7697975041005774E-2</v>
      </c>
      <c r="L692" t="s">
        <v>154</v>
      </c>
      <c r="N692" t="s">
        <v>217</v>
      </c>
      <c r="O692" t="s">
        <v>298</v>
      </c>
      <c r="P692">
        <v>1.7366907608570896E-2</v>
      </c>
      <c r="Q692" t="s">
        <v>154</v>
      </c>
      <c r="S692" t="s">
        <v>248</v>
      </c>
      <c r="T692" t="s">
        <v>298</v>
      </c>
      <c r="U692">
        <v>2.4532016042349468E-2</v>
      </c>
      <c r="V692" t="s">
        <v>154</v>
      </c>
    </row>
    <row r="693" spans="9:22" x14ac:dyDescent="0.25">
      <c r="I693" t="s">
        <v>187</v>
      </c>
      <c r="J693" t="s">
        <v>299</v>
      </c>
      <c r="K693">
        <v>1.1846655952476152E-3</v>
      </c>
      <c r="L693" t="s">
        <v>154</v>
      </c>
      <c r="N693" t="s">
        <v>217</v>
      </c>
      <c r="O693" t="s">
        <v>299</v>
      </c>
      <c r="P693">
        <v>2.0975904317452258E-3</v>
      </c>
      <c r="Q693" t="s">
        <v>154</v>
      </c>
      <c r="S693" t="s">
        <v>248</v>
      </c>
      <c r="T693" t="s">
        <v>299</v>
      </c>
      <c r="U693">
        <v>2.9763554279253496E-3</v>
      </c>
      <c r="V693" t="s">
        <v>154</v>
      </c>
    </row>
    <row r="694" spans="9:22" x14ac:dyDescent="0.25">
      <c r="I694" t="s">
        <v>187</v>
      </c>
      <c r="J694" t="s">
        <v>300</v>
      </c>
      <c r="K694">
        <v>0</v>
      </c>
      <c r="L694" t="s">
        <v>154</v>
      </c>
      <c r="N694" t="s">
        <v>217</v>
      </c>
      <c r="O694" t="s">
        <v>300</v>
      </c>
      <c r="P694">
        <v>2.2268816434371269E-3</v>
      </c>
      <c r="Q694" t="s">
        <v>154</v>
      </c>
      <c r="S694" t="s">
        <v>248</v>
      </c>
      <c r="T694" t="s">
        <v>300</v>
      </c>
      <c r="U694">
        <v>2.9083240444513548E-3</v>
      </c>
      <c r="V694" t="s">
        <v>154</v>
      </c>
    </row>
    <row r="695" spans="9:22" x14ac:dyDescent="0.25">
      <c r="I695" t="s">
        <v>187</v>
      </c>
      <c r="J695" t="s">
        <v>301</v>
      </c>
      <c r="K695">
        <v>0</v>
      </c>
      <c r="L695" t="s">
        <v>154</v>
      </c>
      <c r="N695" t="s">
        <v>217</v>
      </c>
      <c r="O695" t="s">
        <v>301</v>
      </c>
      <c r="P695">
        <v>1.0144289862805789E-2</v>
      </c>
      <c r="Q695" t="s">
        <v>154</v>
      </c>
      <c r="S695" t="s">
        <v>248</v>
      </c>
      <c r="T695" t="s">
        <v>301</v>
      </c>
      <c r="U695">
        <v>1.4593102040560343E-2</v>
      </c>
      <c r="V695" t="s">
        <v>154</v>
      </c>
    </row>
    <row r="696" spans="9:22" x14ac:dyDescent="0.25">
      <c r="I696" t="s">
        <v>187</v>
      </c>
      <c r="J696" t="s">
        <v>302</v>
      </c>
      <c r="K696">
        <v>5.5621520132459676E-3</v>
      </c>
      <c r="L696" t="s">
        <v>154</v>
      </c>
      <c r="N696" t="s">
        <v>217</v>
      </c>
      <c r="O696" t="s">
        <v>302</v>
      </c>
      <c r="P696">
        <v>5.1581740934799877E-2</v>
      </c>
      <c r="Q696" t="s">
        <v>154</v>
      </c>
      <c r="S696" t="s">
        <v>248</v>
      </c>
      <c r="T696" t="s">
        <v>302</v>
      </c>
      <c r="U696">
        <v>4.989586549299093E-2</v>
      </c>
      <c r="V696" t="s">
        <v>154</v>
      </c>
    </row>
    <row r="697" spans="9:22" x14ac:dyDescent="0.25">
      <c r="I697" t="s">
        <v>187</v>
      </c>
      <c r="J697" t="s">
        <v>303</v>
      </c>
      <c r="K697">
        <v>7.352222363595462E-2</v>
      </c>
      <c r="L697" t="s">
        <v>154</v>
      </c>
      <c r="N697" t="s">
        <v>217</v>
      </c>
      <c r="O697" t="s">
        <v>303</v>
      </c>
      <c r="P697">
        <v>5.6028488110893157E-2</v>
      </c>
      <c r="Q697" t="s">
        <v>154</v>
      </c>
      <c r="S697" t="s">
        <v>248</v>
      </c>
      <c r="T697" t="s">
        <v>303</v>
      </c>
      <c r="U697">
        <v>4.6639417510285587E-2</v>
      </c>
      <c r="V697" t="s">
        <v>154</v>
      </c>
    </row>
    <row r="698" spans="9:22" x14ac:dyDescent="0.25">
      <c r="I698" t="s">
        <v>187</v>
      </c>
      <c r="J698" t="s">
        <v>304</v>
      </c>
      <c r="K698">
        <v>2.4520967230344482E-5</v>
      </c>
      <c r="L698" t="s">
        <v>154</v>
      </c>
      <c r="N698" t="s">
        <v>217</v>
      </c>
      <c r="O698" t="s">
        <v>304</v>
      </c>
      <c r="P698">
        <v>7.4057899482774707E-3</v>
      </c>
      <c r="Q698" t="s">
        <v>154</v>
      </c>
      <c r="S698" t="s">
        <v>248</v>
      </c>
      <c r="T698" t="s">
        <v>304</v>
      </c>
      <c r="U698">
        <v>5.784380441697619E-3</v>
      </c>
      <c r="V698" t="s">
        <v>154</v>
      </c>
    </row>
    <row r="699" spans="9:22" x14ac:dyDescent="0.25">
      <c r="I699" t="s">
        <v>187</v>
      </c>
      <c r="J699" t="s">
        <v>305</v>
      </c>
      <c r="K699">
        <v>0</v>
      </c>
      <c r="L699" t="s">
        <v>154</v>
      </c>
      <c r="N699" t="s">
        <v>217</v>
      </c>
      <c r="O699" t="s">
        <v>305</v>
      </c>
      <c r="P699">
        <v>7.2131588039079904E-3</v>
      </c>
      <c r="Q699" t="s">
        <v>154</v>
      </c>
      <c r="S699" t="s">
        <v>248</v>
      </c>
      <c r="T699" t="s">
        <v>305</v>
      </c>
      <c r="U699">
        <v>5.7514380469642495E-3</v>
      </c>
      <c r="V699" t="s">
        <v>154</v>
      </c>
    </row>
    <row r="700" spans="9:22" x14ac:dyDescent="0.25">
      <c r="I700" t="s">
        <v>187</v>
      </c>
      <c r="J700" t="s">
        <v>306</v>
      </c>
      <c r="K700">
        <v>0</v>
      </c>
      <c r="L700" t="s">
        <v>154</v>
      </c>
      <c r="N700" t="s">
        <v>217</v>
      </c>
      <c r="O700" t="s">
        <v>306</v>
      </c>
      <c r="P700">
        <v>3.0605760097530538E-2</v>
      </c>
      <c r="Q700" t="s">
        <v>154</v>
      </c>
      <c r="S700" t="s">
        <v>248</v>
      </c>
      <c r="T700" t="s">
        <v>306</v>
      </c>
      <c r="U700">
        <v>2.8654609050838435E-2</v>
      </c>
      <c r="V700" t="s">
        <v>154</v>
      </c>
    </row>
    <row r="701" spans="9:22" x14ac:dyDescent="0.25">
      <c r="I701" t="s">
        <v>188</v>
      </c>
      <c r="J701" t="s">
        <v>153</v>
      </c>
      <c r="K701">
        <v>3.1866466019223115E-3</v>
      </c>
      <c r="L701" t="s">
        <v>154</v>
      </c>
      <c r="N701" t="s">
        <v>218</v>
      </c>
      <c r="O701" t="s">
        <v>153</v>
      </c>
      <c r="P701">
        <v>4.9808440669585882E-2</v>
      </c>
      <c r="Q701" t="s">
        <v>154</v>
      </c>
      <c r="S701" t="s">
        <v>249</v>
      </c>
      <c r="T701" t="s">
        <v>153</v>
      </c>
      <c r="U701">
        <v>4.7469108397728485E-2</v>
      </c>
      <c r="V701" t="s">
        <v>154</v>
      </c>
    </row>
    <row r="702" spans="9:22" x14ac:dyDescent="0.25">
      <c r="I702" t="s">
        <v>188</v>
      </c>
      <c r="J702" t="s">
        <v>155</v>
      </c>
      <c r="K702">
        <v>6.1138704893434974E-2</v>
      </c>
      <c r="L702" t="s">
        <v>154</v>
      </c>
      <c r="N702" t="s">
        <v>218</v>
      </c>
      <c r="O702" t="s">
        <v>155</v>
      </c>
      <c r="P702">
        <v>6.6961709963171745E-2</v>
      </c>
      <c r="Q702" t="s">
        <v>154</v>
      </c>
      <c r="S702" t="s">
        <v>249</v>
      </c>
      <c r="T702" t="s">
        <v>155</v>
      </c>
      <c r="U702">
        <v>4.2814963771629536E-2</v>
      </c>
      <c r="V702" t="s">
        <v>154</v>
      </c>
    </row>
    <row r="703" spans="9:22" x14ac:dyDescent="0.25">
      <c r="I703" t="s">
        <v>188</v>
      </c>
      <c r="J703" t="s">
        <v>156</v>
      </c>
      <c r="K703">
        <v>2.3044235788469715E-3</v>
      </c>
      <c r="L703" t="s">
        <v>154</v>
      </c>
      <c r="N703" t="s">
        <v>218</v>
      </c>
      <c r="O703" t="s">
        <v>156</v>
      </c>
      <c r="P703">
        <v>7.0769716819319402E-3</v>
      </c>
      <c r="Q703" t="s">
        <v>154</v>
      </c>
      <c r="S703" t="s">
        <v>249</v>
      </c>
      <c r="T703" t="s">
        <v>156</v>
      </c>
      <c r="U703">
        <v>5.0550896901251597E-3</v>
      </c>
      <c r="V703" t="s">
        <v>154</v>
      </c>
    </row>
    <row r="704" spans="9:22" x14ac:dyDescent="0.25">
      <c r="I704" t="s">
        <v>188</v>
      </c>
      <c r="J704" t="s">
        <v>283</v>
      </c>
      <c r="K704">
        <v>0</v>
      </c>
      <c r="L704" t="s">
        <v>154</v>
      </c>
      <c r="N704" t="s">
        <v>218</v>
      </c>
      <c r="O704" t="s">
        <v>283</v>
      </c>
      <c r="P704">
        <v>6.5507277575343166E-3</v>
      </c>
      <c r="Q704" t="s">
        <v>154</v>
      </c>
      <c r="S704" t="s">
        <v>249</v>
      </c>
      <c r="T704" t="s">
        <v>283</v>
      </c>
      <c r="U704">
        <v>5.0548934960096626E-3</v>
      </c>
      <c r="V704" t="s">
        <v>154</v>
      </c>
    </row>
    <row r="705" spans="9:22" x14ac:dyDescent="0.25">
      <c r="I705" t="s">
        <v>188</v>
      </c>
      <c r="J705" t="s">
        <v>284</v>
      </c>
      <c r="K705">
        <v>0</v>
      </c>
      <c r="L705" t="s">
        <v>154</v>
      </c>
      <c r="N705" t="s">
        <v>218</v>
      </c>
      <c r="O705" t="s">
        <v>284</v>
      </c>
      <c r="P705">
        <v>2.6204048866378032E-2</v>
      </c>
      <c r="Q705" t="s">
        <v>154</v>
      </c>
      <c r="S705" t="s">
        <v>249</v>
      </c>
      <c r="T705" t="s">
        <v>284</v>
      </c>
      <c r="U705">
        <v>2.5325969260534764E-2</v>
      </c>
      <c r="V705" t="s">
        <v>154</v>
      </c>
    </row>
    <row r="706" spans="9:22" x14ac:dyDescent="0.25">
      <c r="I706" t="s">
        <v>188</v>
      </c>
      <c r="J706" t="s">
        <v>157</v>
      </c>
      <c r="K706">
        <v>6.3341041794001891E-4</v>
      </c>
      <c r="L706" t="s">
        <v>154</v>
      </c>
      <c r="N706" t="s">
        <v>218</v>
      </c>
      <c r="O706" t="s">
        <v>157</v>
      </c>
      <c r="P706">
        <v>1.3758826696460056E-2</v>
      </c>
      <c r="Q706" t="s">
        <v>154</v>
      </c>
      <c r="S706" t="s">
        <v>249</v>
      </c>
      <c r="T706" t="s">
        <v>157</v>
      </c>
      <c r="U706">
        <v>7.5052503100856227E-3</v>
      </c>
      <c r="V706" t="s">
        <v>154</v>
      </c>
    </row>
    <row r="707" spans="9:22" x14ac:dyDescent="0.25">
      <c r="I707" t="s">
        <v>188</v>
      </c>
      <c r="J707" t="s">
        <v>158</v>
      </c>
      <c r="K707">
        <v>1.7877584739253754E-2</v>
      </c>
      <c r="L707" t="s">
        <v>154</v>
      </c>
      <c r="N707" t="s">
        <v>218</v>
      </c>
      <c r="O707" t="s">
        <v>158</v>
      </c>
      <c r="P707">
        <v>1.7068936543928204E-2</v>
      </c>
      <c r="Q707" t="s">
        <v>154</v>
      </c>
      <c r="S707" t="s">
        <v>249</v>
      </c>
      <c r="T707" t="s">
        <v>158</v>
      </c>
      <c r="U707">
        <v>6.9086020313462431E-3</v>
      </c>
      <c r="V707" t="s">
        <v>154</v>
      </c>
    </row>
    <row r="708" spans="9:22" x14ac:dyDescent="0.25">
      <c r="I708" t="s">
        <v>188</v>
      </c>
      <c r="J708" t="s">
        <v>159</v>
      </c>
      <c r="K708">
        <v>1.2353462263652814E-3</v>
      </c>
      <c r="L708" t="s">
        <v>154</v>
      </c>
      <c r="N708" t="s">
        <v>218</v>
      </c>
      <c r="O708" t="s">
        <v>159</v>
      </c>
      <c r="P708">
        <v>1.7372004249806181E-3</v>
      </c>
      <c r="Q708" t="s">
        <v>154</v>
      </c>
      <c r="S708" t="s">
        <v>249</v>
      </c>
      <c r="T708" t="s">
        <v>159</v>
      </c>
      <c r="U708">
        <v>7.7474059549538542E-4</v>
      </c>
      <c r="V708" t="s">
        <v>154</v>
      </c>
    </row>
    <row r="709" spans="9:22" x14ac:dyDescent="0.25">
      <c r="I709" t="s">
        <v>188</v>
      </c>
      <c r="J709" t="s">
        <v>285</v>
      </c>
      <c r="K709">
        <v>0</v>
      </c>
      <c r="L709" t="s">
        <v>154</v>
      </c>
      <c r="N709" t="s">
        <v>218</v>
      </c>
      <c r="O709" t="s">
        <v>285</v>
      </c>
      <c r="P709">
        <v>1.6591367146251016E-3</v>
      </c>
      <c r="Q709" t="s">
        <v>154</v>
      </c>
      <c r="S709" t="s">
        <v>249</v>
      </c>
      <c r="T709" t="s">
        <v>285</v>
      </c>
      <c r="U709">
        <v>7.3516192867107474E-4</v>
      </c>
      <c r="V709" t="s">
        <v>154</v>
      </c>
    </row>
    <row r="710" spans="9:22" x14ac:dyDescent="0.25">
      <c r="I710" t="s">
        <v>188</v>
      </c>
      <c r="J710" t="s">
        <v>286</v>
      </c>
      <c r="K710">
        <v>0</v>
      </c>
      <c r="L710" t="s">
        <v>154</v>
      </c>
      <c r="N710" t="s">
        <v>218</v>
      </c>
      <c r="O710" t="s">
        <v>286</v>
      </c>
      <c r="P710">
        <v>6.9983524729974947E-3</v>
      </c>
      <c r="Q710" t="s">
        <v>154</v>
      </c>
      <c r="S710" t="s">
        <v>249</v>
      </c>
      <c r="T710" t="s">
        <v>286</v>
      </c>
      <c r="U710">
        <v>3.4740936699919479E-3</v>
      </c>
      <c r="V710" t="s">
        <v>154</v>
      </c>
    </row>
    <row r="711" spans="9:22" x14ac:dyDescent="0.25">
      <c r="I711" t="s">
        <v>188</v>
      </c>
      <c r="J711" t="s">
        <v>160</v>
      </c>
      <c r="K711">
        <v>9.4410416110970549E-2</v>
      </c>
      <c r="L711" t="s">
        <v>154</v>
      </c>
      <c r="N711" t="s">
        <v>218</v>
      </c>
      <c r="O711" t="s">
        <v>160</v>
      </c>
      <c r="P711">
        <v>0.17922859103645941</v>
      </c>
      <c r="Q711" t="s">
        <v>154</v>
      </c>
      <c r="S711" t="s">
        <v>249</v>
      </c>
      <c r="T711" t="s">
        <v>160</v>
      </c>
      <c r="U711">
        <v>0.22074859593985932</v>
      </c>
      <c r="V711" t="s">
        <v>154</v>
      </c>
    </row>
    <row r="712" spans="9:22" x14ac:dyDescent="0.25">
      <c r="I712" t="s">
        <v>188</v>
      </c>
      <c r="J712" t="s">
        <v>161</v>
      </c>
      <c r="K712">
        <v>0.61840623445253973</v>
      </c>
      <c r="L712" t="s">
        <v>154</v>
      </c>
      <c r="N712" t="s">
        <v>218</v>
      </c>
      <c r="O712" t="s">
        <v>161</v>
      </c>
      <c r="P712">
        <v>0.25258473113198565</v>
      </c>
      <c r="Q712" t="s">
        <v>154</v>
      </c>
      <c r="S712" t="s">
        <v>249</v>
      </c>
      <c r="T712" t="s">
        <v>161</v>
      </c>
      <c r="U712">
        <v>0.20026038007830457</v>
      </c>
      <c r="V712" t="s">
        <v>154</v>
      </c>
    </row>
    <row r="713" spans="9:22" x14ac:dyDescent="0.25">
      <c r="I713" t="s">
        <v>188</v>
      </c>
      <c r="J713" t="s">
        <v>162</v>
      </c>
      <c r="K713">
        <v>4.5562208741117063E-2</v>
      </c>
      <c r="L713" t="s">
        <v>154</v>
      </c>
      <c r="N713" t="s">
        <v>218</v>
      </c>
      <c r="O713" t="s">
        <v>162</v>
      </c>
      <c r="P713">
        <v>2.7552191738486609E-2</v>
      </c>
      <c r="Q713" t="s">
        <v>154</v>
      </c>
      <c r="S713" t="s">
        <v>249</v>
      </c>
      <c r="T713" t="s">
        <v>162</v>
      </c>
      <c r="U713">
        <v>2.7033821212534722E-2</v>
      </c>
      <c r="V713" t="s">
        <v>154</v>
      </c>
    </row>
    <row r="714" spans="9:22" x14ac:dyDescent="0.25">
      <c r="I714" t="s">
        <v>188</v>
      </c>
      <c r="J714" t="s">
        <v>287</v>
      </c>
      <c r="K714">
        <v>2.3884463470643932E-2</v>
      </c>
      <c r="L714" t="s">
        <v>154</v>
      </c>
      <c r="N714" t="s">
        <v>218</v>
      </c>
      <c r="O714" t="s">
        <v>287</v>
      </c>
      <c r="P714">
        <v>2.4933369073113214E-2</v>
      </c>
      <c r="Q714" t="s">
        <v>154</v>
      </c>
      <c r="S714" t="s">
        <v>249</v>
      </c>
      <c r="T714" t="s">
        <v>287</v>
      </c>
      <c r="U714">
        <v>2.6968454158165147E-2</v>
      </c>
      <c r="V714" t="s">
        <v>154</v>
      </c>
    </row>
    <row r="715" spans="9:22" x14ac:dyDescent="0.25">
      <c r="I715" t="s">
        <v>188</v>
      </c>
      <c r="J715" t="s">
        <v>288</v>
      </c>
      <c r="K715">
        <v>5.0150212590054635E-3</v>
      </c>
      <c r="L715" t="s">
        <v>154</v>
      </c>
      <c r="N715" t="s">
        <v>218</v>
      </c>
      <c r="O715" t="s">
        <v>288</v>
      </c>
      <c r="P715">
        <v>9.9613142908445682E-2</v>
      </c>
      <c r="Q715" t="s">
        <v>154</v>
      </c>
      <c r="S715" t="s">
        <v>249</v>
      </c>
      <c r="T715" t="s">
        <v>288</v>
      </c>
      <c r="U715">
        <v>0.12415985297888042</v>
      </c>
      <c r="V715" t="s">
        <v>154</v>
      </c>
    </row>
    <row r="716" spans="9:22" x14ac:dyDescent="0.25">
      <c r="I716" t="s">
        <v>188</v>
      </c>
      <c r="J716" t="s">
        <v>163</v>
      </c>
      <c r="K716">
        <v>1.6723453863366946E-3</v>
      </c>
      <c r="L716" t="s">
        <v>154</v>
      </c>
      <c r="N716" t="s">
        <v>218</v>
      </c>
      <c r="O716" t="s">
        <v>163</v>
      </c>
      <c r="P716">
        <v>9.4810416249772496E-3</v>
      </c>
      <c r="Q716" t="s">
        <v>154</v>
      </c>
      <c r="S716" t="s">
        <v>249</v>
      </c>
      <c r="T716" t="s">
        <v>163</v>
      </c>
      <c r="U716">
        <v>1.1183313056644046E-2</v>
      </c>
      <c r="V716" t="s">
        <v>154</v>
      </c>
    </row>
    <row r="717" spans="9:22" x14ac:dyDescent="0.25">
      <c r="I717" t="s">
        <v>188</v>
      </c>
      <c r="J717" t="s">
        <v>164</v>
      </c>
      <c r="K717">
        <v>1.6684656117271549E-2</v>
      </c>
      <c r="L717" t="s">
        <v>154</v>
      </c>
      <c r="N717" t="s">
        <v>218</v>
      </c>
      <c r="O717" t="s">
        <v>164</v>
      </c>
      <c r="P717">
        <v>1.1002464244470152E-2</v>
      </c>
      <c r="Q717" t="s">
        <v>154</v>
      </c>
      <c r="S717" t="s">
        <v>249</v>
      </c>
      <c r="T717" t="s">
        <v>164</v>
      </c>
      <c r="U717">
        <v>8.5959824843408212E-3</v>
      </c>
      <c r="V717" t="s">
        <v>154</v>
      </c>
    </row>
    <row r="718" spans="9:22" x14ac:dyDescent="0.25">
      <c r="I718" t="s">
        <v>188</v>
      </c>
      <c r="J718" t="s">
        <v>165</v>
      </c>
      <c r="K718">
        <v>8.0018343658191016E-4</v>
      </c>
      <c r="L718" t="s">
        <v>154</v>
      </c>
      <c r="N718" t="s">
        <v>218</v>
      </c>
      <c r="O718" t="s">
        <v>165</v>
      </c>
      <c r="P718">
        <v>1.477514374278073E-3</v>
      </c>
      <c r="Q718" t="s">
        <v>154</v>
      </c>
      <c r="S718" t="s">
        <v>249</v>
      </c>
      <c r="T718" t="s">
        <v>165</v>
      </c>
      <c r="U718">
        <v>1.1266621348506721E-3</v>
      </c>
      <c r="V718" t="s">
        <v>154</v>
      </c>
    </row>
    <row r="719" spans="9:22" x14ac:dyDescent="0.25">
      <c r="I719" t="s">
        <v>188</v>
      </c>
      <c r="J719" t="s">
        <v>289</v>
      </c>
      <c r="K719">
        <v>0</v>
      </c>
      <c r="L719" t="s">
        <v>154</v>
      </c>
      <c r="N719" t="s">
        <v>218</v>
      </c>
      <c r="O719" t="s">
        <v>289</v>
      </c>
      <c r="P719">
        <v>1.5056832369393968E-3</v>
      </c>
      <c r="Q719" t="s">
        <v>154</v>
      </c>
      <c r="S719" t="s">
        <v>249</v>
      </c>
      <c r="T719" t="s">
        <v>289</v>
      </c>
      <c r="U719">
        <v>1.2008773230367689E-3</v>
      </c>
      <c r="V719" t="s">
        <v>154</v>
      </c>
    </row>
    <row r="720" spans="9:22" x14ac:dyDescent="0.25">
      <c r="I720" t="s">
        <v>188</v>
      </c>
      <c r="J720" t="s">
        <v>290</v>
      </c>
      <c r="K720">
        <v>0</v>
      </c>
      <c r="L720" t="s">
        <v>154</v>
      </c>
      <c r="N720" t="s">
        <v>218</v>
      </c>
      <c r="O720" t="s">
        <v>290</v>
      </c>
      <c r="P720">
        <v>5.7894524660222066E-3</v>
      </c>
      <c r="Q720" t="s">
        <v>154</v>
      </c>
      <c r="S720" t="s">
        <v>249</v>
      </c>
      <c r="T720" t="s">
        <v>290</v>
      </c>
      <c r="U720">
        <v>6.7087544742954613E-3</v>
      </c>
      <c r="V720" t="s">
        <v>154</v>
      </c>
    </row>
    <row r="721" spans="9:22" x14ac:dyDescent="0.25">
      <c r="I721" t="s">
        <v>188</v>
      </c>
      <c r="J721" t="s">
        <v>297</v>
      </c>
      <c r="K721">
        <v>4.6735162867352995E-3</v>
      </c>
      <c r="L721" t="s">
        <v>154</v>
      </c>
      <c r="N721" t="s">
        <v>218</v>
      </c>
      <c r="O721" t="s">
        <v>297</v>
      </c>
      <c r="P721">
        <v>1.9057772070704176E-2</v>
      </c>
      <c r="Q721" t="s">
        <v>154</v>
      </c>
      <c r="S721" t="s">
        <v>249</v>
      </c>
      <c r="T721" t="s">
        <v>297</v>
      </c>
      <c r="U721">
        <v>2.9093227215131894E-2</v>
      </c>
      <c r="V721" t="s">
        <v>154</v>
      </c>
    </row>
    <row r="722" spans="9:22" x14ac:dyDescent="0.25">
      <c r="I722" t="s">
        <v>188</v>
      </c>
      <c r="J722" t="s">
        <v>298</v>
      </c>
      <c r="K722">
        <v>4.9173497169782879E-2</v>
      </c>
      <c r="L722" t="s">
        <v>154</v>
      </c>
      <c r="N722" t="s">
        <v>218</v>
      </c>
      <c r="O722" t="s">
        <v>298</v>
      </c>
      <c r="P722">
        <v>2.2904900610194807E-2</v>
      </c>
      <c r="Q722" t="s">
        <v>154</v>
      </c>
      <c r="S722" t="s">
        <v>249</v>
      </c>
      <c r="T722" t="s">
        <v>298</v>
      </c>
      <c r="U722">
        <v>2.6106886514989023E-2</v>
      </c>
      <c r="V722" t="s">
        <v>154</v>
      </c>
    </row>
    <row r="723" spans="9:22" x14ac:dyDescent="0.25">
      <c r="I723" t="s">
        <v>188</v>
      </c>
      <c r="J723" t="s">
        <v>299</v>
      </c>
      <c r="K723">
        <v>1.0262606466014718E-3</v>
      </c>
      <c r="L723" t="s">
        <v>154</v>
      </c>
      <c r="N723" t="s">
        <v>218</v>
      </c>
      <c r="O723" t="s">
        <v>299</v>
      </c>
      <c r="P723">
        <v>2.5860119097335303E-3</v>
      </c>
      <c r="Q723" t="s">
        <v>154</v>
      </c>
      <c r="S723" t="s">
        <v>249</v>
      </c>
      <c r="T723" t="s">
        <v>299</v>
      </c>
      <c r="U723">
        <v>3.1532571270157217E-3</v>
      </c>
      <c r="V723" t="s">
        <v>154</v>
      </c>
    </row>
    <row r="724" spans="9:22" x14ac:dyDescent="0.25">
      <c r="I724" t="s">
        <v>188</v>
      </c>
      <c r="J724" t="s">
        <v>300</v>
      </c>
      <c r="K724">
        <v>0</v>
      </c>
      <c r="L724" t="s">
        <v>154</v>
      </c>
      <c r="N724" t="s">
        <v>218</v>
      </c>
      <c r="O724" t="s">
        <v>300</v>
      </c>
      <c r="P724">
        <v>2.5113273234926977E-3</v>
      </c>
      <c r="Q724" t="s">
        <v>154</v>
      </c>
      <c r="S724" t="s">
        <v>249</v>
      </c>
      <c r="T724" t="s">
        <v>300</v>
      </c>
      <c r="U724">
        <v>3.1535320954081628E-3</v>
      </c>
      <c r="V724" t="s">
        <v>154</v>
      </c>
    </row>
    <row r="725" spans="9:22" x14ac:dyDescent="0.25">
      <c r="I725" t="s">
        <v>188</v>
      </c>
      <c r="J725" t="s">
        <v>301</v>
      </c>
      <c r="K725">
        <v>0</v>
      </c>
      <c r="L725" t="s">
        <v>154</v>
      </c>
      <c r="N725" t="s">
        <v>218</v>
      </c>
      <c r="O725" t="s">
        <v>301</v>
      </c>
      <c r="P725">
        <v>1.1671965937693334E-2</v>
      </c>
      <c r="Q725" t="s">
        <v>154</v>
      </c>
      <c r="S725" t="s">
        <v>249</v>
      </c>
      <c r="T725" t="s">
        <v>301</v>
      </c>
      <c r="U725">
        <v>1.6637016948790277E-2</v>
      </c>
      <c r="V725" t="s">
        <v>154</v>
      </c>
    </row>
    <row r="726" spans="9:22" x14ac:dyDescent="0.25">
      <c r="I726" t="s">
        <v>188</v>
      </c>
      <c r="J726" t="s">
        <v>302</v>
      </c>
      <c r="K726">
        <v>2.6718965937982545E-3</v>
      </c>
      <c r="L726" t="s">
        <v>154</v>
      </c>
      <c r="N726" t="s">
        <v>218</v>
      </c>
      <c r="O726" t="s">
        <v>302</v>
      </c>
      <c r="P726">
        <v>4.4158758933911579E-2</v>
      </c>
      <c r="Q726" t="s">
        <v>154</v>
      </c>
      <c r="S726" t="s">
        <v>249</v>
      </c>
      <c r="T726" t="s">
        <v>302</v>
      </c>
      <c r="U726">
        <v>5.4990735266151114E-2</v>
      </c>
      <c r="V726" t="s">
        <v>154</v>
      </c>
    </row>
    <row r="727" spans="9:22" x14ac:dyDescent="0.25">
      <c r="I727" t="s">
        <v>188</v>
      </c>
      <c r="J727" t="s">
        <v>303</v>
      </c>
      <c r="K727">
        <v>4.9643183870850635E-2</v>
      </c>
      <c r="L727" t="s">
        <v>154</v>
      </c>
      <c r="N727" t="s">
        <v>218</v>
      </c>
      <c r="O727" t="s">
        <v>303</v>
      </c>
      <c r="P727">
        <v>4.9782834376951385E-2</v>
      </c>
      <c r="Q727" t="s">
        <v>154</v>
      </c>
      <c r="S727" t="s">
        <v>249</v>
      </c>
      <c r="T727" t="s">
        <v>303</v>
      </c>
      <c r="U727">
        <v>5.0886569858363734E-2</v>
      </c>
      <c r="V727" t="s">
        <v>154</v>
      </c>
    </row>
    <row r="728" spans="9:22" x14ac:dyDescent="0.25">
      <c r="I728" t="s">
        <v>188</v>
      </c>
      <c r="J728" t="s">
        <v>304</v>
      </c>
      <c r="K728">
        <v>0</v>
      </c>
      <c r="L728" t="s">
        <v>154</v>
      </c>
      <c r="N728" t="s">
        <v>218</v>
      </c>
      <c r="O728" t="s">
        <v>304</v>
      </c>
      <c r="P728">
        <v>5.7347309117361089E-3</v>
      </c>
      <c r="Q728" t="s">
        <v>154</v>
      </c>
      <c r="S728" t="s">
        <v>249</v>
      </c>
      <c r="T728" t="s">
        <v>304</v>
      </c>
      <c r="U728">
        <v>6.0093657384304782E-3</v>
      </c>
      <c r="V728" t="s">
        <v>154</v>
      </c>
    </row>
    <row r="729" spans="9:22" x14ac:dyDescent="0.25">
      <c r="I729" t="s">
        <v>188</v>
      </c>
      <c r="J729" t="s">
        <v>305</v>
      </c>
      <c r="K729">
        <v>0</v>
      </c>
      <c r="L729" t="s">
        <v>154</v>
      </c>
      <c r="N729" t="s">
        <v>218</v>
      </c>
      <c r="O729" t="s">
        <v>305</v>
      </c>
      <c r="P729">
        <v>5.6840359698995145E-3</v>
      </c>
      <c r="Q729" t="s">
        <v>154</v>
      </c>
      <c r="S729" t="s">
        <v>249</v>
      </c>
      <c r="T729" t="s">
        <v>305</v>
      </c>
      <c r="U729">
        <v>5.9747460496261864E-3</v>
      </c>
      <c r="V729" t="s">
        <v>154</v>
      </c>
    </row>
    <row r="730" spans="9:22" x14ac:dyDescent="0.25">
      <c r="I730" t="s">
        <v>188</v>
      </c>
      <c r="J730" t="s">
        <v>306</v>
      </c>
      <c r="K730">
        <v>0</v>
      </c>
      <c r="L730" t="s">
        <v>154</v>
      </c>
      <c r="N730" t="s">
        <v>218</v>
      </c>
      <c r="O730" t="s">
        <v>306</v>
      </c>
      <c r="P730">
        <v>2.4915128328909505E-2</v>
      </c>
      <c r="Q730" t="s">
        <v>154</v>
      </c>
      <c r="S730" t="s">
        <v>249</v>
      </c>
      <c r="T730" t="s">
        <v>306</v>
      </c>
      <c r="U730">
        <v>3.0890096193562557E-2</v>
      </c>
      <c r="V730" t="s">
        <v>154</v>
      </c>
    </row>
    <row r="731" spans="9:22" x14ac:dyDescent="0.25">
      <c r="I731" t="s">
        <v>189</v>
      </c>
      <c r="J731" t="s">
        <v>153</v>
      </c>
      <c r="K731">
        <v>2.830157977855879E-3</v>
      </c>
      <c r="L731" t="s">
        <v>154</v>
      </c>
      <c r="N731" t="s">
        <v>219</v>
      </c>
      <c r="O731" t="s">
        <v>153</v>
      </c>
      <c r="P731">
        <v>5.1637272711267619E-2</v>
      </c>
      <c r="Q731" t="s">
        <v>154</v>
      </c>
      <c r="S731" t="s">
        <v>250</v>
      </c>
      <c r="T731" t="s">
        <v>153</v>
      </c>
      <c r="U731">
        <v>5.978423676489332E-2</v>
      </c>
      <c r="V731" t="s">
        <v>154</v>
      </c>
    </row>
    <row r="732" spans="9:22" x14ac:dyDescent="0.25">
      <c r="I732" t="s">
        <v>189</v>
      </c>
      <c r="J732" t="s">
        <v>155</v>
      </c>
      <c r="K732">
        <v>5.5321518587395514E-2</v>
      </c>
      <c r="L732" t="s">
        <v>154</v>
      </c>
      <c r="N732" t="s">
        <v>219</v>
      </c>
      <c r="O732" t="s">
        <v>155</v>
      </c>
      <c r="P732">
        <v>4.9580519663225034E-2</v>
      </c>
      <c r="Q732" t="s">
        <v>154</v>
      </c>
      <c r="S732" t="s">
        <v>250</v>
      </c>
      <c r="T732" t="s">
        <v>155</v>
      </c>
      <c r="U732">
        <v>5.0462480321372641E-2</v>
      </c>
      <c r="V732" t="s">
        <v>154</v>
      </c>
    </row>
    <row r="733" spans="9:22" x14ac:dyDescent="0.25">
      <c r="I733" t="s">
        <v>189</v>
      </c>
      <c r="J733" t="s">
        <v>156</v>
      </c>
      <c r="K733">
        <v>2.7718266300626338E-3</v>
      </c>
      <c r="L733" t="s">
        <v>154</v>
      </c>
      <c r="N733" t="s">
        <v>219</v>
      </c>
      <c r="O733" t="s">
        <v>156</v>
      </c>
      <c r="P733">
        <v>5.6234097736771608E-3</v>
      </c>
      <c r="Q733" t="s">
        <v>154</v>
      </c>
      <c r="S733" t="s">
        <v>250</v>
      </c>
      <c r="T733" t="s">
        <v>156</v>
      </c>
      <c r="U733">
        <v>6.0824151787899332E-3</v>
      </c>
      <c r="V733" t="s">
        <v>154</v>
      </c>
    </row>
    <row r="734" spans="9:22" x14ac:dyDescent="0.25">
      <c r="I734" t="s">
        <v>189</v>
      </c>
      <c r="J734" t="s">
        <v>283</v>
      </c>
      <c r="K734">
        <v>0</v>
      </c>
      <c r="L734" t="s">
        <v>154</v>
      </c>
      <c r="N734" t="s">
        <v>219</v>
      </c>
      <c r="O734" t="s">
        <v>283</v>
      </c>
      <c r="P734">
        <v>5.6012057296471011E-3</v>
      </c>
      <c r="Q734" t="s">
        <v>154</v>
      </c>
      <c r="S734" t="s">
        <v>250</v>
      </c>
      <c r="T734" t="s">
        <v>283</v>
      </c>
      <c r="U734">
        <v>5.9841457432799295E-3</v>
      </c>
      <c r="V734" t="s">
        <v>154</v>
      </c>
    </row>
    <row r="735" spans="9:22" x14ac:dyDescent="0.25">
      <c r="I735" t="s">
        <v>189</v>
      </c>
      <c r="J735" t="s">
        <v>284</v>
      </c>
      <c r="K735">
        <v>0</v>
      </c>
      <c r="L735" t="s">
        <v>154</v>
      </c>
      <c r="N735" t="s">
        <v>219</v>
      </c>
      <c r="O735" t="s">
        <v>284</v>
      </c>
      <c r="P735">
        <v>2.5193155010474207E-2</v>
      </c>
      <c r="Q735" t="s">
        <v>154</v>
      </c>
      <c r="S735" t="s">
        <v>250</v>
      </c>
      <c r="T735" t="s">
        <v>284</v>
      </c>
      <c r="U735">
        <v>3.1482706923066768E-2</v>
      </c>
      <c r="V735" t="s">
        <v>154</v>
      </c>
    </row>
    <row r="736" spans="9:22" x14ac:dyDescent="0.25">
      <c r="I736" t="s">
        <v>189</v>
      </c>
      <c r="J736" t="s">
        <v>157</v>
      </c>
      <c r="K736">
        <v>7.3767115714698278E-4</v>
      </c>
      <c r="L736" t="s">
        <v>154</v>
      </c>
      <c r="N736" t="s">
        <v>219</v>
      </c>
      <c r="O736" t="s">
        <v>157</v>
      </c>
      <c r="P736">
        <v>8.0965830276653224E-3</v>
      </c>
      <c r="Q736" t="s">
        <v>154</v>
      </c>
      <c r="S736" t="s">
        <v>250</v>
      </c>
      <c r="T736" t="s">
        <v>157</v>
      </c>
      <c r="U736">
        <v>1.4494369358110435E-2</v>
      </c>
      <c r="V736" t="s">
        <v>154</v>
      </c>
    </row>
    <row r="737" spans="9:22" x14ac:dyDescent="0.25">
      <c r="I737" t="s">
        <v>189</v>
      </c>
      <c r="J737" t="s">
        <v>158</v>
      </c>
      <c r="K737">
        <v>2.0100833648470897E-2</v>
      </c>
      <c r="L737" t="s">
        <v>154</v>
      </c>
      <c r="N737" t="s">
        <v>219</v>
      </c>
      <c r="O737" t="s">
        <v>158</v>
      </c>
      <c r="P737">
        <v>8.9288084073814809E-3</v>
      </c>
      <c r="Q737" t="s">
        <v>154</v>
      </c>
      <c r="S737" t="s">
        <v>250</v>
      </c>
      <c r="T737" t="s">
        <v>158</v>
      </c>
      <c r="U737">
        <v>1.2913308381615668E-2</v>
      </c>
      <c r="V737" t="s">
        <v>154</v>
      </c>
    </row>
    <row r="738" spans="9:22" x14ac:dyDescent="0.25">
      <c r="I738" t="s">
        <v>189</v>
      </c>
      <c r="J738" t="s">
        <v>159</v>
      </c>
      <c r="K738">
        <v>1.3898701642759384E-3</v>
      </c>
      <c r="L738" t="s">
        <v>154</v>
      </c>
      <c r="N738" t="s">
        <v>219</v>
      </c>
      <c r="O738" t="s">
        <v>159</v>
      </c>
      <c r="P738">
        <v>1.2170481798845663E-3</v>
      </c>
      <c r="Q738" t="s">
        <v>154</v>
      </c>
      <c r="S738" t="s">
        <v>250</v>
      </c>
      <c r="T738" t="s">
        <v>159</v>
      </c>
      <c r="U738">
        <v>1.6652640193138193E-3</v>
      </c>
      <c r="V738" t="s">
        <v>154</v>
      </c>
    </row>
    <row r="739" spans="9:22" x14ac:dyDescent="0.25">
      <c r="I739" t="s">
        <v>189</v>
      </c>
      <c r="J739" t="s">
        <v>285</v>
      </c>
      <c r="K739">
        <v>0</v>
      </c>
      <c r="L739" t="s">
        <v>154</v>
      </c>
      <c r="N739" t="s">
        <v>219</v>
      </c>
      <c r="O739" t="s">
        <v>285</v>
      </c>
      <c r="P739">
        <v>1.1741136563178226E-3</v>
      </c>
      <c r="Q739" t="s">
        <v>154</v>
      </c>
      <c r="S739" t="s">
        <v>250</v>
      </c>
      <c r="T739" t="s">
        <v>285</v>
      </c>
      <c r="U739">
        <v>1.6929570216172719E-3</v>
      </c>
      <c r="V739" t="s">
        <v>154</v>
      </c>
    </row>
    <row r="740" spans="9:22" x14ac:dyDescent="0.25">
      <c r="I740" t="s">
        <v>189</v>
      </c>
      <c r="J740" t="s">
        <v>286</v>
      </c>
      <c r="K740">
        <v>0</v>
      </c>
      <c r="L740" t="s">
        <v>154</v>
      </c>
      <c r="N740" t="s">
        <v>219</v>
      </c>
      <c r="O740" t="s">
        <v>286</v>
      </c>
      <c r="P740">
        <v>4.6334613709494129E-3</v>
      </c>
      <c r="Q740" t="s">
        <v>154</v>
      </c>
      <c r="S740" t="s">
        <v>250</v>
      </c>
      <c r="T740" t="s">
        <v>286</v>
      </c>
      <c r="U740">
        <v>9.0347396021214308E-3</v>
      </c>
      <c r="V740" t="s">
        <v>154</v>
      </c>
    </row>
    <row r="741" spans="9:22" x14ac:dyDescent="0.25">
      <c r="I741" t="s">
        <v>189</v>
      </c>
      <c r="J741" t="s">
        <v>160</v>
      </c>
      <c r="K741">
        <v>9.0730784578202911E-2</v>
      </c>
      <c r="L741" t="s">
        <v>154</v>
      </c>
      <c r="N741" t="s">
        <v>219</v>
      </c>
      <c r="O741" t="s">
        <v>160</v>
      </c>
      <c r="P741">
        <v>0.19851346117963053</v>
      </c>
      <c r="Q741" t="s">
        <v>154</v>
      </c>
      <c r="S741" t="s">
        <v>250</v>
      </c>
      <c r="T741" t="s">
        <v>160</v>
      </c>
      <c r="U741">
        <v>0.20568882367070426</v>
      </c>
      <c r="V741" t="s">
        <v>154</v>
      </c>
    </row>
    <row r="742" spans="9:22" x14ac:dyDescent="0.25">
      <c r="I742" t="s">
        <v>189</v>
      </c>
      <c r="J742" t="s">
        <v>161</v>
      </c>
      <c r="K742">
        <v>0.60866122989109284</v>
      </c>
      <c r="L742" t="s">
        <v>154</v>
      </c>
      <c r="N742" t="s">
        <v>219</v>
      </c>
      <c r="O742" t="s">
        <v>161</v>
      </c>
      <c r="P742">
        <v>0.21944833944120098</v>
      </c>
      <c r="Q742" t="s">
        <v>154</v>
      </c>
      <c r="S742" t="s">
        <v>250</v>
      </c>
      <c r="T742" t="s">
        <v>161</v>
      </c>
      <c r="U742">
        <v>0.17997946992343927</v>
      </c>
      <c r="V742" t="s">
        <v>154</v>
      </c>
    </row>
    <row r="743" spans="9:22" x14ac:dyDescent="0.25">
      <c r="I743" t="s">
        <v>189</v>
      </c>
      <c r="J743" t="s">
        <v>162</v>
      </c>
      <c r="K743">
        <v>4.9716286542260152E-2</v>
      </c>
      <c r="L743" t="s">
        <v>154</v>
      </c>
      <c r="N743" t="s">
        <v>219</v>
      </c>
      <c r="O743" t="s">
        <v>162</v>
      </c>
      <c r="P743">
        <v>2.6867208365858257E-2</v>
      </c>
      <c r="Q743" t="s">
        <v>154</v>
      </c>
      <c r="S743" t="s">
        <v>250</v>
      </c>
      <c r="T743" t="s">
        <v>162</v>
      </c>
      <c r="U743">
        <v>2.2504592323884021E-2</v>
      </c>
      <c r="V743" t="s">
        <v>154</v>
      </c>
    </row>
    <row r="744" spans="9:22" x14ac:dyDescent="0.25">
      <c r="I744" t="s">
        <v>189</v>
      </c>
      <c r="J744" t="s">
        <v>287</v>
      </c>
      <c r="K744">
        <v>2.8576673703689551E-2</v>
      </c>
      <c r="L744" t="s">
        <v>154</v>
      </c>
      <c r="N744" t="s">
        <v>219</v>
      </c>
      <c r="O744" t="s">
        <v>287</v>
      </c>
      <c r="P744">
        <v>2.5663646876925142E-2</v>
      </c>
      <c r="Q744" t="s">
        <v>154</v>
      </c>
      <c r="S744" t="s">
        <v>250</v>
      </c>
      <c r="T744" t="s">
        <v>287</v>
      </c>
      <c r="U744">
        <v>2.2371041027051203E-2</v>
      </c>
      <c r="V744" t="s">
        <v>154</v>
      </c>
    </row>
    <row r="745" spans="9:22" x14ac:dyDescent="0.25">
      <c r="I745" t="s">
        <v>189</v>
      </c>
      <c r="J745" t="s">
        <v>288</v>
      </c>
      <c r="K745">
        <v>7.2988391745350267E-3</v>
      </c>
      <c r="L745" t="s">
        <v>154</v>
      </c>
      <c r="N745" t="s">
        <v>219</v>
      </c>
      <c r="O745" t="s">
        <v>288</v>
      </c>
      <c r="P745">
        <v>0.11104518864176846</v>
      </c>
      <c r="Q745" t="s">
        <v>154</v>
      </c>
      <c r="S745" t="s">
        <v>250</v>
      </c>
      <c r="T745" t="s">
        <v>288</v>
      </c>
      <c r="U745">
        <v>0.10834543508273688</v>
      </c>
      <c r="V745" t="s">
        <v>154</v>
      </c>
    </row>
    <row r="746" spans="9:22" x14ac:dyDescent="0.25">
      <c r="I746" t="s">
        <v>189</v>
      </c>
      <c r="J746" t="s">
        <v>163</v>
      </c>
      <c r="K746">
        <v>1.9760450407263464E-3</v>
      </c>
      <c r="L746" t="s">
        <v>154</v>
      </c>
      <c r="N746" t="s">
        <v>219</v>
      </c>
      <c r="O746" t="s">
        <v>163</v>
      </c>
      <c r="P746">
        <v>1.1163828298540786E-2</v>
      </c>
      <c r="Q746" t="s">
        <v>154</v>
      </c>
      <c r="S746" t="s">
        <v>250</v>
      </c>
      <c r="T746" t="s">
        <v>163</v>
      </c>
      <c r="U746">
        <v>1.1662236272589648E-2</v>
      </c>
      <c r="V746" t="s">
        <v>154</v>
      </c>
    </row>
    <row r="747" spans="9:22" x14ac:dyDescent="0.25">
      <c r="I747" t="s">
        <v>189</v>
      </c>
      <c r="J747" t="s">
        <v>164</v>
      </c>
      <c r="K747">
        <v>1.8078841494456783E-2</v>
      </c>
      <c r="L747" t="s">
        <v>154</v>
      </c>
      <c r="N747" t="s">
        <v>219</v>
      </c>
      <c r="O747" t="s">
        <v>164</v>
      </c>
      <c r="P747">
        <v>1.1557876060412108E-2</v>
      </c>
      <c r="Q747" t="s">
        <v>154</v>
      </c>
      <c r="S747" t="s">
        <v>250</v>
      </c>
      <c r="T747" t="s">
        <v>164</v>
      </c>
      <c r="U747">
        <v>8.4089079826365504E-3</v>
      </c>
      <c r="V747" t="s">
        <v>154</v>
      </c>
    </row>
    <row r="748" spans="9:22" x14ac:dyDescent="0.25">
      <c r="I748" t="s">
        <v>189</v>
      </c>
      <c r="J748" t="s">
        <v>165</v>
      </c>
      <c r="K748">
        <v>8.6333566033700774E-4</v>
      </c>
      <c r="L748" t="s">
        <v>154</v>
      </c>
      <c r="N748" t="s">
        <v>219</v>
      </c>
      <c r="O748" t="s">
        <v>165</v>
      </c>
      <c r="P748">
        <v>1.5876972246381613E-3</v>
      </c>
      <c r="Q748" t="s">
        <v>154</v>
      </c>
      <c r="S748" t="s">
        <v>250</v>
      </c>
      <c r="T748" t="s">
        <v>165</v>
      </c>
      <c r="U748">
        <v>1.3318391514119509E-3</v>
      </c>
      <c r="V748" t="s">
        <v>154</v>
      </c>
    </row>
    <row r="749" spans="9:22" x14ac:dyDescent="0.25">
      <c r="I749" t="s">
        <v>189</v>
      </c>
      <c r="J749" t="s">
        <v>289</v>
      </c>
      <c r="K749">
        <v>0</v>
      </c>
      <c r="L749" t="s">
        <v>154</v>
      </c>
      <c r="N749" t="s">
        <v>219</v>
      </c>
      <c r="O749" t="s">
        <v>289</v>
      </c>
      <c r="P749">
        <v>1.6037673223163081E-3</v>
      </c>
      <c r="Q749" t="s">
        <v>154</v>
      </c>
      <c r="S749" t="s">
        <v>250</v>
      </c>
      <c r="T749" t="s">
        <v>289</v>
      </c>
      <c r="U749">
        <v>1.3846797006506193E-3</v>
      </c>
      <c r="V749" t="s">
        <v>154</v>
      </c>
    </row>
    <row r="750" spans="9:22" x14ac:dyDescent="0.25">
      <c r="I750" t="s">
        <v>189</v>
      </c>
      <c r="J750" t="s">
        <v>290</v>
      </c>
      <c r="K750">
        <v>0</v>
      </c>
      <c r="L750" t="s">
        <v>154</v>
      </c>
      <c r="N750" t="s">
        <v>219</v>
      </c>
      <c r="O750" t="s">
        <v>290</v>
      </c>
      <c r="P750">
        <v>7.0719596634647381E-3</v>
      </c>
      <c r="Q750" t="s">
        <v>154</v>
      </c>
      <c r="S750" t="s">
        <v>250</v>
      </c>
      <c r="T750" t="s">
        <v>290</v>
      </c>
      <c r="U750">
        <v>6.5478026872502777E-3</v>
      </c>
      <c r="V750" t="s">
        <v>154</v>
      </c>
    </row>
    <row r="751" spans="9:22" x14ac:dyDescent="0.25">
      <c r="I751" t="s">
        <v>189</v>
      </c>
      <c r="J751" t="s">
        <v>297</v>
      </c>
      <c r="K751">
        <v>4.146354064264092E-3</v>
      </c>
      <c r="L751" t="s">
        <v>154</v>
      </c>
      <c r="N751" t="s">
        <v>219</v>
      </c>
      <c r="O751" t="s">
        <v>297</v>
      </c>
      <c r="P751">
        <v>2.6575432775816647E-2</v>
      </c>
      <c r="Q751" t="s">
        <v>154</v>
      </c>
      <c r="S751" t="s">
        <v>250</v>
      </c>
      <c r="T751" t="s">
        <v>297</v>
      </c>
      <c r="U751">
        <v>3.076465315816862E-2</v>
      </c>
      <c r="V751" t="s">
        <v>154</v>
      </c>
    </row>
    <row r="752" spans="9:22" x14ac:dyDescent="0.25">
      <c r="I752" t="s">
        <v>189</v>
      </c>
      <c r="J752" t="s">
        <v>298</v>
      </c>
      <c r="K752">
        <v>5.1084292981642077E-2</v>
      </c>
      <c r="L752" t="s">
        <v>154</v>
      </c>
      <c r="N752" t="s">
        <v>219</v>
      </c>
      <c r="O752" t="s">
        <v>298</v>
      </c>
      <c r="P752">
        <v>2.6194573055169333E-2</v>
      </c>
      <c r="Q752" t="s">
        <v>154</v>
      </c>
      <c r="S752" t="s">
        <v>250</v>
      </c>
      <c r="T752" t="s">
        <v>298</v>
      </c>
      <c r="U752">
        <v>2.5510583621755366E-2</v>
      </c>
      <c r="V752" t="s">
        <v>154</v>
      </c>
    </row>
    <row r="753" spans="9:22" x14ac:dyDescent="0.25">
      <c r="I753" t="s">
        <v>189</v>
      </c>
      <c r="J753" t="s">
        <v>299</v>
      </c>
      <c r="K753">
        <v>1.973511288836295E-3</v>
      </c>
      <c r="L753" t="s">
        <v>154</v>
      </c>
      <c r="N753" t="s">
        <v>219</v>
      </c>
      <c r="O753" t="s">
        <v>299</v>
      </c>
      <c r="P753">
        <v>3.2358424910986913E-3</v>
      </c>
      <c r="Q753" t="s">
        <v>154</v>
      </c>
      <c r="S753" t="s">
        <v>250</v>
      </c>
      <c r="T753" t="s">
        <v>299</v>
      </c>
      <c r="U753">
        <v>2.9893460774898946E-3</v>
      </c>
      <c r="V753" t="s">
        <v>154</v>
      </c>
    </row>
    <row r="754" spans="9:22" x14ac:dyDescent="0.25">
      <c r="I754" t="s">
        <v>189</v>
      </c>
      <c r="J754" t="s">
        <v>300</v>
      </c>
      <c r="K754">
        <v>0</v>
      </c>
      <c r="L754" t="s">
        <v>154</v>
      </c>
      <c r="N754" t="s">
        <v>219</v>
      </c>
      <c r="O754" t="s">
        <v>300</v>
      </c>
      <c r="P754">
        <v>3.2143158573008099E-3</v>
      </c>
      <c r="Q754" t="s">
        <v>154</v>
      </c>
      <c r="S754" t="s">
        <v>250</v>
      </c>
      <c r="T754" t="s">
        <v>300</v>
      </c>
      <c r="U754">
        <v>2.9793512616239567E-3</v>
      </c>
      <c r="V754" t="s">
        <v>154</v>
      </c>
    </row>
    <row r="755" spans="9:22" x14ac:dyDescent="0.25">
      <c r="I755" t="s">
        <v>189</v>
      </c>
      <c r="J755" t="s">
        <v>301</v>
      </c>
      <c r="K755">
        <v>0</v>
      </c>
      <c r="L755" t="s">
        <v>154</v>
      </c>
      <c r="N755" t="s">
        <v>219</v>
      </c>
      <c r="O755" t="s">
        <v>301</v>
      </c>
      <c r="P755">
        <v>1.4308065580682724E-2</v>
      </c>
      <c r="Q755" t="s">
        <v>154</v>
      </c>
      <c r="S755" t="s">
        <v>250</v>
      </c>
      <c r="T755" t="s">
        <v>301</v>
      </c>
      <c r="U755">
        <v>1.7414571965408191E-2</v>
      </c>
      <c r="V755" t="s">
        <v>154</v>
      </c>
    </row>
    <row r="756" spans="9:22" x14ac:dyDescent="0.25">
      <c r="I756" t="s">
        <v>189</v>
      </c>
      <c r="J756" t="s">
        <v>302</v>
      </c>
      <c r="K756">
        <v>2.3073514686906675E-3</v>
      </c>
      <c r="L756" t="s">
        <v>154</v>
      </c>
      <c r="N756" t="s">
        <v>219</v>
      </c>
      <c r="O756" t="s">
        <v>302</v>
      </c>
      <c r="P756">
        <v>5.679128599617294E-2</v>
      </c>
      <c r="Q756" t="s">
        <v>154</v>
      </c>
      <c r="S756" t="s">
        <v>250</v>
      </c>
      <c r="T756" t="s">
        <v>302</v>
      </c>
      <c r="U756">
        <v>5.7843666436718844E-2</v>
      </c>
      <c r="V756" t="s">
        <v>154</v>
      </c>
    </row>
    <row r="757" spans="9:22" x14ac:dyDescent="0.25">
      <c r="I757" t="s">
        <v>189</v>
      </c>
      <c r="J757" t="s">
        <v>303</v>
      </c>
      <c r="K757">
        <v>5.1055269834361872E-2</v>
      </c>
      <c r="L757" t="s">
        <v>154</v>
      </c>
      <c r="N757" t="s">
        <v>219</v>
      </c>
      <c r="O757" t="s">
        <v>303</v>
      </c>
      <c r="P757">
        <v>5.11470437681655E-2</v>
      </c>
      <c r="Q757" t="s">
        <v>154</v>
      </c>
      <c r="S757" t="s">
        <v>250</v>
      </c>
      <c r="T757" t="s">
        <v>303</v>
      </c>
      <c r="U757">
        <v>5.0296899711187185E-2</v>
      </c>
      <c r="V757" t="s">
        <v>154</v>
      </c>
    </row>
    <row r="758" spans="9:22" x14ac:dyDescent="0.25">
      <c r="I758" t="s">
        <v>189</v>
      </c>
      <c r="J758" t="s">
        <v>304</v>
      </c>
      <c r="K758">
        <v>3.7930611169903971E-4</v>
      </c>
      <c r="L758" t="s">
        <v>154</v>
      </c>
      <c r="N758" t="s">
        <v>219</v>
      </c>
      <c r="O758" t="s">
        <v>304</v>
      </c>
      <c r="P758">
        <v>6.1897779833622688E-3</v>
      </c>
      <c r="Q758" t="s">
        <v>154</v>
      </c>
      <c r="S758" t="s">
        <v>250</v>
      </c>
      <c r="T758" t="s">
        <v>304</v>
      </c>
      <c r="U758">
        <v>6.9196665018783467E-3</v>
      </c>
      <c r="V758" t="s">
        <v>154</v>
      </c>
    </row>
    <row r="759" spans="9:22" x14ac:dyDescent="0.25">
      <c r="I759" t="s">
        <v>189</v>
      </c>
      <c r="J759" t="s">
        <v>305</v>
      </c>
      <c r="K759">
        <v>0</v>
      </c>
      <c r="L759" t="s">
        <v>154</v>
      </c>
      <c r="N759" t="s">
        <v>219</v>
      </c>
      <c r="O759" t="s">
        <v>305</v>
      </c>
      <c r="P759">
        <v>6.1255336464527028E-3</v>
      </c>
      <c r="Q759" t="s">
        <v>154</v>
      </c>
      <c r="S759" t="s">
        <v>250</v>
      </c>
      <c r="T759" t="s">
        <v>305</v>
      </c>
      <c r="U759">
        <v>7.1274705418375023E-3</v>
      </c>
      <c r="V759" t="s">
        <v>154</v>
      </c>
    </row>
    <row r="760" spans="9:22" x14ac:dyDescent="0.25">
      <c r="I760" t="s">
        <v>189</v>
      </c>
      <c r="J760" t="s">
        <v>306</v>
      </c>
      <c r="K760">
        <v>0</v>
      </c>
      <c r="L760" t="s">
        <v>154</v>
      </c>
      <c r="N760" t="s">
        <v>219</v>
      </c>
      <c r="O760" t="s">
        <v>306</v>
      </c>
      <c r="P760">
        <v>3.0009578240536731E-2</v>
      </c>
      <c r="Q760" t="s">
        <v>154</v>
      </c>
      <c r="S760" t="s">
        <v>250</v>
      </c>
      <c r="T760" t="s">
        <v>306</v>
      </c>
      <c r="U760">
        <v>3.6332339587391613E-2</v>
      </c>
      <c r="V760" t="s">
        <v>154</v>
      </c>
    </row>
    <row r="761" spans="9:22" x14ac:dyDescent="0.25">
      <c r="I761" t="s">
        <v>190</v>
      </c>
      <c r="J761" t="s">
        <v>153</v>
      </c>
      <c r="K761">
        <v>3.2029805803991717E-3</v>
      </c>
      <c r="L761" t="s">
        <v>154</v>
      </c>
      <c r="N761" t="s">
        <v>220</v>
      </c>
      <c r="O761" t="s">
        <v>153</v>
      </c>
      <c r="P761">
        <v>4.8882323950946424E-2</v>
      </c>
      <c r="Q761" t="s">
        <v>154</v>
      </c>
      <c r="S761" t="s">
        <v>251</v>
      </c>
      <c r="T761" t="s">
        <v>153</v>
      </c>
      <c r="U761">
        <v>6.6210858156849642E-2</v>
      </c>
      <c r="V761" t="s">
        <v>154</v>
      </c>
    </row>
    <row r="762" spans="9:22" x14ac:dyDescent="0.25">
      <c r="I762" t="s">
        <v>190</v>
      </c>
      <c r="J762" t="s">
        <v>155</v>
      </c>
      <c r="K762">
        <v>6.4447342644342764E-2</v>
      </c>
      <c r="L762" t="s">
        <v>154</v>
      </c>
      <c r="N762" t="s">
        <v>220</v>
      </c>
      <c r="O762" t="s">
        <v>155</v>
      </c>
      <c r="P762">
        <v>4.2879222330871547E-2</v>
      </c>
      <c r="Q762" t="s">
        <v>154</v>
      </c>
      <c r="S762" t="s">
        <v>251</v>
      </c>
      <c r="T762" t="s">
        <v>155</v>
      </c>
      <c r="U762">
        <v>5.0468807151136705E-2</v>
      </c>
      <c r="V762" t="s">
        <v>154</v>
      </c>
    </row>
    <row r="763" spans="9:22" x14ac:dyDescent="0.25">
      <c r="I763" t="s">
        <v>190</v>
      </c>
      <c r="J763" t="s">
        <v>156</v>
      </c>
      <c r="K763">
        <v>3.2851022301089278E-3</v>
      </c>
      <c r="L763" t="s">
        <v>154</v>
      </c>
      <c r="N763" t="s">
        <v>220</v>
      </c>
      <c r="O763" t="s">
        <v>156</v>
      </c>
      <c r="P763">
        <v>5.7127801214029959E-3</v>
      </c>
      <c r="Q763" t="s">
        <v>154</v>
      </c>
      <c r="S763" t="s">
        <v>251</v>
      </c>
      <c r="T763" t="s">
        <v>156</v>
      </c>
      <c r="U763">
        <v>6.2439717833464694E-3</v>
      </c>
      <c r="V763" t="s">
        <v>154</v>
      </c>
    </row>
    <row r="764" spans="9:22" x14ac:dyDescent="0.25">
      <c r="I764" t="s">
        <v>190</v>
      </c>
      <c r="J764" t="s">
        <v>283</v>
      </c>
      <c r="K764">
        <v>0</v>
      </c>
      <c r="L764" t="s">
        <v>154</v>
      </c>
      <c r="N764" t="s">
        <v>220</v>
      </c>
      <c r="O764" t="s">
        <v>283</v>
      </c>
      <c r="P764">
        <v>5.7536658636143101E-3</v>
      </c>
      <c r="Q764" t="s">
        <v>154</v>
      </c>
      <c r="S764" t="s">
        <v>251</v>
      </c>
      <c r="T764" t="s">
        <v>283</v>
      </c>
      <c r="U764">
        <v>6.1984662280579455E-3</v>
      </c>
      <c r="V764" t="s">
        <v>154</v>
      </c>
    </row>
    <row r="765" spans="9:22" x14ac:dyDescent="0.25">
      <c r="I765" t="s">
        <v>190</v>
      </c>
      <c r="J765" t="s">
        <v>284</v>
      </c>
      <c r="K765">
        <v>0</v>
      </c>
      <c r="L765" t="s">
        <v>154</v>
      </c>
      <c r="N765" t="s">
        <v>220</v>
      </c>
      <c r="O765" t="s">
        <v>284</v>
      </c>
      <c r="P765">
        <v>2.7793873826500195E-2</v>
      </c>
      <c r="Q765" t="s">
        <v>154</v>
      </c>
      <c r="S765" t="s">
        <v>251</v>
      </c>
      <c r="T765" t="s">
        <v>284</v>
      </c>
      <c r="U765">
        <v>3.3070098195297069E-2</v>
      </c>
      <c r="V765" t="s">
        <v>154</v>
      </c>
    </row>
    <row r="766" spans="9:22" x14ac:dyDescent="0.25">
      <c r="I766" t="s">
        <v>190</v>
      </c>
      <c r="J766" t="s">
        <v>157</v>
      </c>
      <c r="K766">
        <v>7.319394757969701E-4</v>
      </c>
      <c r="L766" t="s">
        <v>154</v>
      </c>
      <c r="N766" t="s">
        <v>220</v>
      </c>
      <c r="O766" t="s">
        <v>157</v>
      </c>
      <c r="P766">
        <v>1.0590782426868128E-2</v>
      </c>
      <c r="Q766" t="s">
        <v>154</v>
      </c>
      <c r="S766" t="s">
        <v>251</v>
      </c>
      <c r="T766" t="s">
        <v>157</v>
      </c>
      <c r="U766">
        <v>1.477704770741939E-2</v>
      </c>
      <c r="V766" t="s">
        <v>154</v>
      </c>
    </row>
    <row r="767" spans="9:22" x14ac:dyDescent="0.25">
      <c r="I767" t="s">
        <v>190</v>
      </c>
      <c r="J767" t="s">
        <v>158</v>
      </c>
      <c r="K767">
        <v>1.9386130144087434E-2</v>
      </c>
      <c r="L767" t="s">
        <v>154</v>
      </c>
      <c r="N767" t="s">
        <v>220</v>
      </c>
      <c r="O767" t="s">
        <v>158</v>
      </c>
      <c r="P767">
        <v>9.3440078049994053E-3</v>
      </c>
      <c r="Q767" t="s">
        <v>154</v>
      </c>
      <c r="S767" t="s">
        <v>251</v>
      </c>
      <c r="T767" t="s">
        <v>158</v>
      </c>
      <c r="U767">
        <v>1.5613295748469386E-2</v>
      </c>
      <c r="V767" t="s">
        <v>154</v>
      </c>
    </row>
    <row r="768" spans="9:22" x14ac:dyDescent="0.25">
      <c r="I768" t="s">
        <v>190</v>
      </c>
      <c r="J768" t="s">
        <v>159</v>
      </c>
      <c r="K768">
        <v>1.5611565139484348E-3</v>
      </c>
      <c r="L768" t="s">
        <v>154</v>
      </c>
      <c r="N768" t="s">
        <v>220</v>
      </c>
      <c r="O768" t="s">
        <v>159</v>
      </c>
      <c r="P768">
        <v>1.2273104905214567E-3</v>
      </c>
      <c r="Q768" t="s">
        <v>154</v>
      </c>
      <c r="S768" t="s">
        <v>251</v>
      </c>
      <c r="T768" t="s">
        <v>159</v>
      </c>
      <c r="U768">
        <v>1.9252181334809553E-3</v>
      </c>
      <c r="V768" t="s">
        <v>154</v>
      </c>
    </row>
    <row r="769" spans="9:22" x14ac:dyDescent="0.25">
      <c r="I769" t="s">
        <v>190</v>
      </c>
      <c r="J769" t="s">
        <v>285</v>
      </c>
      <c r="K769">
        <v>2.2753732200518814E-7</v>
      </c>
      <c r="L769" t="s">
        <v>154</v>
      </c>
      <c r="N769" t="s">
        <v>220</v>
      </c>
      <c r="O769" t="s">
        <v>285</v>
      </c>
      <c r="P769">
        <v>1.2239806708414995E-3</v>
      </c>
      <c r="Q769" t="s">
        <v>154</v>
      </c>
      <c r="S769" t="s">
        <v>251</v>
      </c>
      <c r="T769" t="s">
        <v>285</v>
      </c>
      <c r="U769">
        <v>1.9011449146310046E-3</v>
      </c>
      <c r="V769" t="s">
        <v>154</v>
      </c>
    </row>
    <row r="770" spans="9:22" x14ac:dyDescent="0.25">
      <c r="I770" t="s">
        <v>190</v>
      </c>
      <c r="J770" t="s">
        <v>286</v>
      </c>
      <c r="K770">
        <v>0</v>
      </c>
      <c r="L770" t="s">
        <v>154</v>
      </c>
      <c r="N770" t="s">
        <v>220</v>
      </c>
      <c r="O770" t="s">
        <v>286</v>
      </c>
      <c r="P770">
        <v>5.5298700863951646E-3</v>
      </c>
      <c r="Q770" t="s">
        <v>154</v>
      </c>
      <c r="S770" t="s">
        <v>251</v>
      </c>
      <c r="T770" t="s">
        <v>286</v>
      </c>
      <c r="U770">
        <v>8.9980292084253007E-3</v>
      </c>
      <c r="V770" t="s">
        <v>154</v>
      </c>
    </row>
    <row r="771" spans="9:22" x14ac:dyDescent="0.25">
      <c r="I771" t="s">
        <v>190</v>
      </c>
      <c r="J771" t="s">
        <v>160</v>
      </c>
      <c r="K771">
        <v>9.1554892058776205E-2</v>
      </c>
      <c r="L771" t="s">
        <v>154</v>
      </c>
      <c r="N771" t="s">
        <v>220</v>
      </c>
      <c r="O771" t="s">
        <v>160</v>
      </c>
      <c r="P771">
        <v>0.215893634918019</v>
      </c>
      <c r="Q771" t="s">
        <v>154</v>
      </c>
      <c r="S771" t="s">
        <v>251</v>
      </c>
      <c r="T771" t="s">
        <v>160</v>
      </c>
      <c r="U771">
        <v>0.18482755698638345</v>
      </c>
      <c r="V771" t="s">
        <v>154</v>
      </c>
    </row>
    <row r="772" spans="9:22" x14ac:dyDescent="0.25">
      <c r="I772" t="s">
        <v>190</v>
      </c>
      <c r="J772" t="s">
        <v>161</v>
      </c>
      <c r="K772">
        <v>0.59759250466173552</v>
      </c>
      <c r="L772" t="s">
        <v>154</v>
      </c>
      <c r="N772" t="s">
        <v>220</v>
      </c>
      <c r="O772" t="s">
        <v>161</v>
      </c>
      <c r="P772">
        <v>0.19772555322742802</v>
      </c>
      <c r="Q772" t="s">
        <v>154</v>
      </c>
      <c r="S772" t="s">
        <v>251</v>
      </c>
      <c r="T772" t="s">
        <v>161</v>
      </c>
      <c r="U772">
        <v>0.18113791789786535</v>
      </c>
      <c r="V772" t="s">
        <v>154</v>
      </c>
    </row>
    <row r="773" spans="9:22" x14ac:dyDescent="0.25">
      <c r="I773" t="s">
        <v>190</v>
      </c>
      <c r="J773" t="s">
        <v>162</v>
      </c>
      <c r="K773">
        <v>4.7132998990573251E-2</v>
      </c>
      <c r="L773" t="s">
        <v>154</v>
      </c>
      <c r="N773" t="s">
        <v>220</v>
      </c>
      <c r="O773" t="s">
        <v>162</v>
      </c>
      <c r="P773">
        <v>2.6198720709178558E-2</v>
      </c>
      <c r="Q773" t="s">
        <v>154</v>
      </c>
      <c r="S773" t="s">
        <v>251</v>
      </c>
      <c r="T773" t="s">
        <v>162</v>
      </c>
      <c r="U773">
        <v>2.3942999738231475E-2</v>
      </c>
      <c r="V773" t="s">
        <v>154</v>
      </c>
    </row>
    <row r="774" spans="9:22" x14ac:dyDescent="0.25">
      <c r="I774" t="s">
        <v>190</v>
      </c>
      <c r="J774" t="s">
        <v>287</v>
      </c>
      <c r="K774">
        <v>2.6679942565600235E-2</v>
      </c>
      <c r="L774" t="s">
        <v>154</v>
      </c>
      <c r="N774" t="s">
        <v>220</v>
      </c>
      <c r="O774" t="s">
        <v>287</v>
      </c>
      <c r="P774">
        <v>2.5959688746722297E-2</v>
      </c>
      <c r="Q774" t="s">
        <v>154</v>
      </c>
      <c r="S774" t="s">
        <v>251</v>
      </c>
      <c r="T774" t="s">
        <v>287</v>
      </c>
      <c r="U774">
        <v>2.2941084644976201E-2</v>
      </c>
      <c r="V774" t="s">
        <v>154</v>
      </c>
    </row>
    <row r="775" spans="9:22" x14ac:dyDescent="0.25">
      <c r="I775" t="s">
        <v>190</v>
      </c>
      <c r="J775" t="s">
        <v>288</v>
      </c>
      <c r="K775">
        <v>6.7565966960137815E-3</v>
      </c>
      <c r="L775" t="s">
        <v>154</v>
      </c>
      <c r="N775" t="s">
        <v>220</v>
      </c>
      <c r="O775" t="s">
        <v>288</v>
      </c>
      <c r="P775">
        <v>0.12115826001221201</v>
      </c>
      <c r="Q775" t="s">
        <v>154</v>
      </c>
      <c r="S775" t="s">
        <v>251</v>
      </c>
      <c r="T775" t="s">
        <v>288</v>
      </c>
      <c r="U775">
        <v>9.9638811253186577E-2</v>
      </c>
      <c r="V775" t="s">
        <v>154</v>
      </c>
    </row>
    <row r="776" spans="9:22" x14ac:dyDescent="0.25">
      <c r="I776" t="s">
        <v>190</v>
      </c>
      <c r="J776" t="s">
        <v>163</v>
      </c>
      <c r="K776">
        <v>1.8662748507461621E-3</v>
      </c>
      <c r="L776" t="s">
        <v>154</v>
      </c>
      <c r="N776" t="s">
        <v>220</v>
      </c>
      <c r="O776" t="s">
        <v>163</v>
      </c>
      <c r="P776">
        <v>1.3085787504601603E-2</v>
      </c>
      <c r="Q776" t="s">
        <v>154</v>
      </c>
      <c r="S776" t="s">
        <v>251</v>
      </c>
      <c r="T776" t="s">
        <v>163</v>
      </c>
      <c r="U776">
        <v>8.8902058571500454E-3</v>
      </c>
      <c r="V776" t="s">
        <v>154</v>
      </c>
    </row>
    <row r="777" spans="9:22" x14ac:dyDescent="0.25">
      <c r="I777" t="s">
        <v>190</v>
      </c>
      <c r="J777" t="s">
        <v>164</v>
      </c>
      <c r="K777">
        <v>1.6280460929236778E-2</v>
      </c>
      <c r="L777" t="s">
        <v>154</v>
      </c>
      <c r="N777" t="s">
        <v>220</v>
      </c>
      <c r="O777" t="s">
        <v>164</v>
      </c>
      <c r="P777">
        <v>1.1619718549771955E-2</v>
      </c>
      <c r="Q777" t="s">
        <v>154</v>
      </c>
      <c r="S777" t="s">
        <v>251</v>
      </c>
      <c r="T777" t="s">
        <v>164</v>
      </c>
      <c r="U777">
        <v>7.1119283173206056E-3</v>
      </c>
      <c r="V777" t="s">
        <v>154</v>
      </c>
    </row>
    <row r="778" spans="9:22" x14ac:dyDescent="0.25">
      <c r="I778" t="s">
        <v>190</v>
      </c>
      <c r="J778" t="s">
        <v>165</v>
      </c>
      <c r="K778">
        <v>7.5328170155537712E-4</v>
      </c>
      <c r="L778" t="s">
        <v>154</v>
      </c>
      <c r="N778" t="s">
        <v>220</v>
      </c>
      <c r="O778" t="s">
        <v>165</v>
      </c>
      <c r="P778">
        <v>1.5613930348757233E-3</v>
      </c>
      <c r="Q778" t="s">
        <v>154</v>
      </c>
      <c r="S778" t="s">
        <v>251</v>
      </c>
      <c r="T778" t="s">
        <v>165</v>
      </c>
      <c r="U778">
        <v>1.0255562767425279E-3</v>
      </c>
      <c r="V778" t="s">
        <v>154</v>
      </c>
    </row>
    <row r="779" spans="9:22" x14ac:dyDescent="0.25">
      <c r="I779" t="s">
        <v>190</v>
      </c>
      <c r="J779" t="s">
        <v>289</v>
      </c>
      <c r="K779">
        <v>0</v>
      </c>
      <c r="L779" t="s">
        <v>154</v>
      </c>
      <c r="N779" t="s">
        <v>220</v>
      </c>
      <c r="O779" t="s">
        <v>289</v>
      </c>
      <c r="P779">
        <v>1.5838031747790269E-3</v>
      </c>
      <c r="Q779" t="s">
        <v>154</v>
      </c>
      <c r="S779" t="s">
        <v>251</v>
      </c>
      <c r="T779" t="s">
        <v>289</v>
      </c>
      <c r="U779">
        <v>1.0428316692123721E-3</v>
      </c>
      <c r="V779" t="s">
        <v>154</v>
      </c>
    </row>
    <row r="780" spans="9:22" x14ac:dyDescent="0.25">
      <c r="I780" t="s">
        <v>190</v>
      </c>
      <c r="J780" t="s">
        <v>290</v>
      </c>
      <c r="K780">
        <v>0</v>
      </c>
      <c r="L780" t="s">
        <v>154</v>
      </c>
      <c r="N780" t="s">
        <v>220</v>
      </c>
      <c r="O780" t="s">
        <v>290</v>
      </c>
      <c r="P780">
        <v>7.7546758912886817E-3</v>
      </c>
      <c r="Q780" t="s">
        <v>154</v>
      </c>
      <c r="S780" t="s">
        <v>251</v>
      </c>
      <c r="T780" t="s">
        <v>290</v>
      </c>
      <c r="U780">
        <v>4.5814606250629501E-3</v>
      </c>
      <c r="V780" t="s">
        <v>154</v>
      </c>
    </row>
    <row r="781" spans="9:22" x14ac:dyDescent="0.25">
      <c r="I781" t="s">
        <v>190</v>
      </c>
      <c r="J781" t="s">
        <v>297</v>
      </c>
      <c r="K781">
        <v>5.0396603897785034E-3</v>
      </c>
      <c r="L781" t="s">
        <v>154</v>
      </c>
      <c r="N781" t="s">
        <v>220</v>
      </c>
      <c r="O781" t="s">
        <v>297</v>
      </c>
      <c r="P781">
        <v>2.8872732934270753E-2</v>
      </c>
      <c r="Q781" t="s">
        <v>154</v>
      </c>
      <c r="S781" t="s">
        <v>251</v>
      </c>
      <c r="T781" t="s">
        <v>297</v>
      </c>
      <c r="U781">
        <v>3.0254634263648279E-2</v>
      </c>
      <c r="V781" t="s">
        <v>154</v>
      </c>
    </row>
    <row r="782" spans="9:22" x14ac:dyDescent="0.25">
      <c r="I782" t="s">
        <v>190</v>
      </c>
      <c r="J782" t="s">
        <v>298</v>
      </c>
      <c r="K782">
        <v>5.3403731326012532E-2</v>
      </c>
      <c r="L782" t="s">
        <v>154</v>
      </c>
      <c r="N782" t="s">
        <v>220</v>
      </c>
      <c r="O782" t="s">
        <v>298</v>
      </c>
      <c r="P782">
        <v>2.5800799903731624E-2</v>
      </c>
      <c r="Q782" t="s">
        <v>154</v>
      </c>
      <c r="S782" t="s">
        <v>251</v>
      </c>
      <c r="T782" t="s">
        <v>298</v>
      </c>
      <c r="U782">
        <v>2.7474051115475462E-2</v>
      </c>
      <c r="V782" t="s">
        <v>154</v>
      </c>
    </row>
    <row r="783" spans="9:22" x14ac:dyDescent="0.25">
      <c r="I783" t="s">
        <v>190</v>
      </c>
      <c r="J783" t="s">
        <v>299</v>
      </c>
      <c r="K783">
        <v>2.1081237815883183E-3</v>
      </c>
      <c r="L783" t="s">
        <v>154</v>
      </c>
      <c r="N783" t="s">
        <v>220</v>
      </c>
      <c r="O783" t="s">
        <v>299</v>
      </c>
      <c r="P783">
        <v>3.5700538792453646E-3</v>
      </c>
      <c r="Q783" t="s">
        <v>154</v>
      </c>
      <c r="S783" t="s">
        <v>251</v>
      </c>
      <c r="T783" t="s">
        <v>299</v>
      </c>
      <c r="U783">
        <v>3.3228960527419433E-3</v>
      </c>
      <c r="V783" t="s">
        <v>154</v>
      </c>
    </row>
    <row r="784" spans="9:22" x14ac:dyDescent="0.25">
      <c r="I784" t="s">
        <v>190</v>
      </c>
      <c r="J784" t="s">
        <v>300</v>
      </c>
      <c r="K784">
        <v>0</v>
      </c>
      <c r="L784" t="s">
        <v>154</v>
      </c>
      <c r="N784" t="s">
        <v>220</v>
      </c>
      <c r="O784" t="s">
        <v>300</v>
      </c>
      <c r="P784">
        <v>3.5103704966634878E-3</v>
      </c>
      <c r="Q784" t="s">
        <v>154</v>
      </c>
      <c r="S784" t="s">
        <v>251</v>
      </c>
      <c r="T784" t="s">
        <v>300</v>
      </c>
      <c r="U784">
        <v>3.2116888050095606E-3</v>
      </c>
      <c r="V784" t="s">
        <v>154</v>
      </c>
    </row>
    <row r="785" spans="9:22" x14ac:dyDescent="0.25">
      <c r="I785" t="s">
        <v>190</v>
      </c>
      <c r="J785" t="s">
        <v>301</v>
      </c>
      <c r="K785">
        <v>0</v>
      </c>
      <c r="L785" t="s">
        <v>154</v>
      </c>
      <c r="N785" t="s">
        <v>220</v>
      </c>
      <c r="O785" t="s">
        <v>301</v>
      </c>
      <c r="P785">
        <v>1.5870169615140053E-2</v>
      </c>
      <c r="Q785" t="s">
        <v>154</v>
      </c>
      <c r="S785" t="s">
        <v>251</v>
      </c>
      <c r="T785" t="s">
        <v>301</v>
      </c>
      <c r="U785">
        <v>1.8351049910274714E-2</v>
      </c>
      <c r="V785" t="s">
        <v>154</v>
      </c>
    </row>
    <row r="786" spans="9:22" x14ac:dyDescent="0.25">
      <c r="I786" t="s">
        <v>190</v>
      </c>
      <c r="J786" t="s">
        <v>302</v>
      </c>
      <c r="K786">
        <v>2.9324555945805528E-3</v>
      </c>
      <c r="L786" t="s">
        <v>154</v>
      </c>
      <c r="N786" t="s">
        <v>220</v>
      </c>
      <c r="O786" t="s">
        <v>302</v>
      </c>
      <c r="P786">
        <v>5.3104365840039303E-2</v>
      </c>
      <c r="Q786" t="s">
        <v>154</v>
      </c>
      <c r="S786" t="s">
        <v>251</v>
      </c>
      <c r="T786" t="s">
        <v>302</v>
      </c>
      <c r="U786">
        <v>6.3006127910302537E-2</v>
      </c>
      <c r="V786" t="s">
        <v>154</v>
      </c>
    </row>
    <row r="787" spans="9:22" x14ac:dyDescent="0.25">
      <c r="I787" t="s">
        <v>190</v>
      </c>
      <c r="J787" t="s">
        <v>303</v>
      </c>
      <c r="K787">
        <v>5.439915072288784E-2</v>
      </c>
      <c r="L787" t="s">
        <v>154</v>
      </c>
      <c r="N787" t="s">
        <v>220</v>
      </c>
      <c r="O787" t="s">
        <v>303</v>
      </c>
      <c r="P787">
        <v>4.6589322234367479E-2</v>
      </c>
      <c r="Q787" t="s">
        <v>154</v>
      </c>
      <c r="S787" t="s">
        <v>251</v>
      </c>
      <c r="T787" t="s">
        <v>303</v>
      </c>
      <c r="U787">
        <v>5.7701137136835827E-2</v>
      </c>
      <c r="V787" t="s">
        <v>154</v>
      </c>
    </row>
    <row r="788" spans="9:22" x14ac:dyDescent="0.25">
      <c r="I788" t="s">
        <v>190</v>
      </c>
      <c r="J788" t="s">
        <v>304</v>
      </c>
      <c r="K788">
        <v>8.8504660490705946E-4</v>
      </c>
      <c r="L788" t="s">
        <v>154</v>
      </c>
      <c r="N788" t="s">
        <v>220</v>
      </c>
      <c r="O788" t="s">
        <v>304</v>
      </c>
      <c r="P788">
        <v>5.9677866032347184E-3</v>
      </c>
      <c r="Q788" t="s">
        <v>154</v>
      </c>
      <c r="S788" t="s">
        <v>251</v>
      </c>
      <c r="T788" t="s">
        <v>304</v>
      </c>
      <c r="U788">
        <v>7.6908817155609205E-3</v>
      </c>
      <c r="V788" t="s">
        <v>154</v>
      </c>
    </row>
    <row r="789" spans="9:22" x14ac:dyDescent="0.25">
      <c r="I789" t="s">
        <v>190</v>
      </c>
      <c r="J789" t="s">
        <v>305</v>
      </c>
      <c r="K789">
        <v>0</v>
      </c>
      <c r="L789" t="s">
        <v>154</v>
      </c>
      <c r="N789" t="s">
        <v>220</v>
      </c>
      <c r="O789" t="s">
        <v>305</v>
      </c>
      <c r="P789">
        <v>5.9924105099247197E-3</v>
      </c>
      <c r="Q789" t="s">
        <v>154</v>
      </c>
      <c r="S789" t="s">
        <v>251</v>
      </c>
      <c r="T789" t="s">
        <v>305</v>
      </c>
      <c r="U789">
        <v>7.7304576855876314E-3</v>
      </c>
      <c r="V789" t="s">
        <v>154</v>
      </c>
    </row>
    <row r="790" spans="9:22" x14ac:dyDescent="0.25">
      <c r="I790" t="s">
        <v>190</v>
      </c>
      <c r="J790" t="s">
        <v>306</v>
      </c>
      <c r="K790">
        <v>0</v>
      </c>
      <c r="L790" t="s">
        <v>154</v>
      </c>
      <c r="N790" t="s">
        <v>220</v>
      </c>
      <c r="O790" t="s">
        <v>306</v>
      </c>
      <c r="P790">
        <v>2.9242934641543077E-2</v>
      </c>
      <c r="Q790" t="s">
        <v>154</v>
      </c>
      <c r="S790" t="s">
        <v>251</v>
      </c>
      <c r="T790" t="s">
        <v>306</v>
      </c>
      <c r="U790">
        <v>4.0709784911319234E-2</v>
      </c>
      <c r="V790" t="s">
        <v>154</v>
      </c>
    </row>
    <row r="791" spans="9:22" x14ac:dyDescent="0.25">
      <c r="I791" t="s">
        <v>191</v>
      </c>
      <c r="J791" t="s">
        <v>153</v>
      </c>
      <c r="K791">
        <v>3.556490653810457E-3</v>
      </c>
      <c r="L791" t="s">
        <v>154</v>
      </c>
      <c r="N791" t="s">
        <v>221</v>
      </c>
      <c r="O791" t="s">
        <v>153</v>
      </c>
      <c r="P791">
        <v>5.3218048636431189E-2</v>
      </c>
      <c r="Q791" t="s">
        <v>154</v>
      </c>
      <c r="S791" t="s">
        <v>252</v>
      </c>
      <c r="T791" t="s">
        <v>153</v>
      </c>
      <c r="U791">
        <v>5.7431214661496741E-2</v>
      </c>
      <c r="V791" t="s">
        <v>154</v>
      </c>
    </row>
    <row r="792" spans="9:22" x14ac:dyDescent="0.25">
      <c r="I792" t="s">
        <v>191</v>
      </c>
      <c r="J792" t="s">
        <v>155</v>
      </c>
      <c r="K792">
        <v>6.2928989991263548E-2</v>
      </c>
      <c r="L792" t="s">
        <v>154</v>
      </c>
      <c r="N792" t="s">
        <v>221</v>
      </c>
      <c r="O792" t="s">
        <v>155</v>
      </c>
      <c r="P792">
        <v>5.6001995081475145E-2</v>
      </c>
      <c r="Q792" t="s">
        <v>154</v>
      </c>
      <c r="S792" t="s">
        <v>252</v>
      </c>
      <c r="T792" t="s">
        <v>155</v>
      </c>
      <c r="U792">
        <v>4.2173237804209202E-2</v>
      </c>
      <c r="V792" t="s">
        <v>154</v>
      </c>
    </row>
    <row r="793" spans="9:22" x14ac:dyDescent="0.25">
      <c r="I793" t="s">
        <v>191</v>
      </c>
      <c r="J793" t="s">
        <v>156</v>
      </c>
      <c r="K793">
        <v>1.2785847280341526E-3</v>
      </c>
      <c r="L793" t="s">
        <v>154</v>
      </c>
      <c r="N793" t="s">
        <v>221</v>
      </c>
      <c r="O793" t="s">
        <v>156</v>
      </c>
      <c r="P793">
        <v>6.6273130008616911E-3</v>
      </c>
      <c r="Q793" t="s">
        <v>154</v>
      </c>
      <c r="S793" t="s">
        <v>252</v>
      </c>
      <c r="T793" t="s">
        <v>156</v>
      </c>
      <c r="U793">
        <v>5.4835996089433858E-3</v>
      </c>
      <c r="V793" t="s">
        <v>154</v>
      </c>
    </row>
    <row r="794" spans="9:22" x14ac:dyDescent="0.25">
      <c r="I794" t="s">
        <v>191</v>
      </c>
      <c r="J794" t="s">
        <v>283</v>
      </c>
      <c r="K794">
        <v>0</v>
      </c>
      <c r="L794" t="s">
        <v>154</v>
      </c>
      <c r="N794" t="s">
        <v>221</v>
      </c>
      <c r="O794" t="s">
        <v>283</v>
      </c>
      <c r="P794">
        <v>6.4846979652022152E-3</v>
      </c>
      <c r="Q794" t="s">
        <v>154</v>
      </c>
      <c r="S794" t="s">
        <v>252</v>
      </c>
      <c r="T794" t="s">
        <v>283</v>
      </c>
      <c r="U794">
        <v>5.5787665116104257E-3</v>
      </c>
      <c r="V794" t="s">
        <v>154</v>
      </c>
    </row>
    <row r="795" spans="9:22" x14ac:dyDescent="0.25">
      <c r="I795" t="s">
        <v>191</v>
      </c>
      <c r="J795" t="s">
        <v>284</v>
      </c>
      <c r="K795">
        <v>0</v>
      </c>
      <c r="L795" t="s">
        <v>154</v>
      </c>
      <c r="N795" t="s">
        <v>221</v>
      </c>
      <c r="O795" t="s">
        <v>284</v>
      </c>
      <c r="P795">
        <v>2.8670902396887014E-2</v>
      </c>
      <c r="Q795" t="s">
        <v>154</v>
      </c>
      <c r="S795" t="s">
        <v>252</v>
      </c>
      <c r="T795" t="s">
        <v>284</v>
      </c>
      <c r="U795">
        <v>2.984696243546453E-2</v>
      </c>
      <c r="V795" t="s">
        <v>154</v>
      </c>
    </row>
    <row r="796" spans="9:22" x14ac:dyDescent="0.25">
      <c r="I796" t="s">
        <v>191</v>
      </c>
      <c r="J796" t="s">
        <v>157</v>
      </c>
      <c r="K796">
        <v>1.2613377591096865E-3</v>
      </c>
      <c r="L796" t="s">
        <v>154</v>
      </c>
      <c r="N796" t="s">
        <v>221</v>
      </c>
      <c r="O796" t="s">
        <v>157</v>
      </c>
      <c r="P796">
        <v>1.2695457501916266E-2</v>
      </c>
      <c r="Q796" t="s">
        <v>154</v>
      </c>
      <c r="S796" t="s">
        <v>252</v>
      </c>
      <c r="T796" t="s">
        <v>157</v>
      </c>
      <c r="U796">
        <v>1.3904421600864145E-2</v>
      </c>
      <c r="V796" t="s">
        <v>154</v>
      </c>
    </row>
    <row r="797" spans="9:22" x14ac:dyDescent="0.25">
      <c r="I797" t="s">
        <v>191</v>
      </c>
      <c r="J797" t="s">
        <v>158</v>
      </c>
      <c r="K797">
        <v>1.7579841308065614E-2</v>
      </c>
      <c r="L797" t="s">
        <v>154</v>
      </c>
      <c r="N797" t="s">
        <v>221</v>
      </c>
      <c r="O797" t="s">
        <v>158</v>
      </c>
      <c r="P797">
        <v>1.3455950152145599E-2</v>
      </c>
      <c r="Q797" t="s">
        <v>154</v>
      </c>
      <c r="S797" t="s">
        <v>252</v>
      </c>
      <c r="T797" t="s">
        <v>158</v>
      </c>
      <c r="U797">
        <v>1.3051896121983894E-2</v>
      </c>
      <c r="V797" t="s">
        <v>154</v>
      </c>
    </row>
    <row r="798" spans="9:22" x14ac:dyDescent="0.25">
      <c r="I798" t="s">
        <v>191</v>
      </c>
      <c r="J798" t="s">
        <v>159</v>
      </c>
      <c r="K798">
        <v>8.0435807229550164E-4</v>
      </c>
      <c r="L798" t="s">
        <v>154</v>
      </c>
      <c r="N798" t="s">
        <v>221</v>
      </c>
      <c r="O798" t="s">
        <v>159</v>
      </c>
      <c r="P798">
        <v>1.4886123150082528E-3</v>
      </c>
      <c r="Q798" t="s">
        <v>154</v>
      </c>
      <c r="S798" t="s">
        <v>252</v>
      </c>
      <c r="T798" t="s">
        <v>159</v>
      </c>
      <c r="U798">
        <v>1.5631001130373902E-3</v>
      </c>
      <c r="V798" t="s">
        <v>154</v>
      </c>
    </row>
    <row r="799" spans="9:22" x14ac:dyDescent="0.25">
      <c r="I799" t="s">
        <v>191</v>
      </c>
      <c r="J799" t="s">
        <v>285</v>
      </c>
      <c r="K799">
        <v>0</v>
      </c>
      <c r="L799" t="s">
        <v>154</v>
      </c>
      <c r="N799" t="s">
        <v>221</v>
      </c>
      <c r="O799" t="s">
        <v>285</v>
      </c>
      <c r="P799">
        <v>1.451129661126733E-3</v>
      </c>
      <c r="Q799" t="s">
        <v>154</v>
      </c>
      <c r="S799" t="s">
        <v>252</v>
      </c>
      <c r="T799" t="s">
        <v>285</v>
      </c>
      <c r="U799">
        <v>1.5159719760687597E-3</v>
      </c>
      <c r="V799" t="s">
        <v>154</v>
      </c>
    </row>
    <row r="800" spans="9:22" x14ac:dyDescent="0.25">
      <c r="I800" t="s">
        <v>191</v>
      </c>
      <c r="J800" t="s">
        <v>286</v>
      </c>
      <c r="K800">
        <v>0</v>
      </c>
      <c r="L800" t="s">
        <v>154</v>
      </c>
      <c r="N800" t="s">
        <v>221</v>
      </c>
      <c r="O800" t="s">
        <v>286</v>
      </c>
      <c r="P800">
        <v>6.6819114559955413E-3</v>
      </c>
      <c r="Q800" t="s">
        <v>154</v>
      </c>
      <c r="S800" t="s">
        <v>252</v>
      </c>
      <c r="T800" t="s">
        <v>286</v>
      </c>
      <c r="U800">
        <v>6.8077169982402944E-3</v>
      </c>
      <c r="V800" t="s">
        <v>154</v>
      </c>
    </row>
    <row r="801" spans="9:22" x14ac:dyDescent="0.25">
      <c r="I801" t="s">
        <v>191</v>
      </c>
      <c r="J801" t="s">
        <v>160</v>
      </c>
      <c r="K801">
        <v>0.10179223422814862</v>
      </c>
      <c r="L801" t="s">
        <v>154</v>
      </c>
      <c r="N801" t="s">
        <v>221</v>
      </c>
      <c r="O801" t="s">
        <v>160</v>
      </c>
      <c r="P801">
        <v>0.19677714645758779</v>
      </c>
      <c r="Q801" t="s">
        <v>154</v>
      </c>
      <c r="S801" t="s">
        <v>252</v>
      </c>
      <c r="T801" t="s">
        <v>160</v>
      </c>
      <c r="U801">
        <v>0.20665649804573064</v>
      </c>
      <c r="V801" t="s">
        <v>154</v>
      </c>
    </row>
    <row r="802" spans="9:22" x14ac:dyDescent="0.25">
      <c r="I802" t="s">
        <v>191</v>
      </c>
      <c r="J802" t="s">
        <v>161</v>
      </c>
      <c r="K802">
        <v>0.60397704340053793</v>
      </c>
      <c r="L802" t="s">
        <v>154</v>
      </c>
      <c r="N802" t="s">
        <v>221</v>
      </c>
      <c r="O802" t="s">
        <v>161</v>
      </c>
      <c r="P802">
        <v>0.21413040611341885</v>
      </c>
      <c r="Q802" t="s">
        <v>154</v>
      </c>
      <c r="S802" t="s">
        <v>252</v>
      </c>
      <c r="T802" t="s">
        <v>161</v>
      </c>
      <c r="U802">
        <v>0.1981310023422424</v>
      </c>
      <c r="V802" t="s">
        <v>154</v>
      </c>
    </row>
    <row r="803" spans="9:22" x14ac:dyDescent="0.25">
      <c r="I803" t="s">
        <v>191</v>
      </c>
      <c r="J803" t="s">
        <v>162</v>
      </c>
      <c r="K803">
        <v>4.410653739389863E-2</v>
      </c>
      <c r="L803" t="s">
        <v>154</v>
      </c>
      <c r="N803" t="s">
        <v>221</v>
      </c>
      <c r="O803" t="s">
        <v>162</v>
      </c>
      <c r="P803">
        <v>2.5414698862967669E-2</v>
      </c>
      <c r="Q803" t="s">
        <v>154</v>
      </c>
      <c r="S803" t="s">
        <v>252</v>
      </c>
      <c r="T803" t="s">
        <v>162</v>
      </c>
      <c r="U803">
        <v>2.5142650015369861E-2</v>
      </c>
      <c r="V803" t="s">
        <v>154</v>
      </c>
    </row>
    <row r="804" spans="9:22" x14ac:dyDescent="0.25">
      <c r="I804" t="s">
        <v>191</v>
      </c>
      <c r="J804" t="s">
        <v>287</v>
      </c>
      <c r="K804">
        <v>2.1863809593455977E-2</v>
      </c>
      <c r="L804" t="s">
        <v>154</v>
      </c>
      <c r="N804" t="s">
        <v>221</v>
      </c>
      <c r="O804" t="s">
        <v>287</v>
      </c>
      <c r="P804">
        <v>2.4293074401815159E-2</v>
      </c>
      <c r="Q804" t="s">
        <v>154</v>
      </c>
      <c r="S804" t="s">
        <v>252</v>
      </c>
      <c r="T804" t="s">
        <v>287</v>
      </c>
      <c r="U804">
        <v>2.462805112122169E-2</v>
      </c>
      <c r="V804" t="s">
        <v>154</v>
      </c>
    </row>
    <row r="805" spans="9:22" x14ac:dyDescent="0.25">
      <c r="I805" t="s">
        <v>191</v>
      </c>
      <c r="J805" t="s">
        <v>288</v>
      </c>
      <c r="K805">
        <v>5.2297289692216364E-3</v>
      </c>
      <c r="L805" t="s">
        <v>154</v>
      </c>
      <c r="N805" t="s">
        <v>221</v>
      </c>
      <c r="O805" t="s">
        <v>288</v>
      </c>
      <c r="P805">
        <v>0.10722007415208946</v>
      </c>
      <c r="Q805" t="s">
        <v>154</v>
      </c>
      <c r="S805" t="s">
        <v>252</v>
      </c>
      <c r="T805" t="s">
        <v>288</v>
      </c>
      <c r="U805">
        <v>0.10339056252239033</v>
      </c>
      <c r="V805" t="s">
        <v>154</v>
      </c>
    </row>
    <row r="806" spans="9:22" x14ac:dyDescent="0.25">
      <c r="I806" t="s">
        <v>191</v>
      </c>
      <c r="J806" t="s">
        <v>163</v>
      </c>
      <c r="K806">
        <v>2.2100746206724625E-3</v>
      </c>
      <c r="L806" t="s">
        <v>154</v>
      </c>
      <c r="N806" t="s">
        <v>221</v>
      </c>
      <c r="O806" t="s">
        <v>163</v>
      </c>
      <c r="P806">
        <v>1.1323398957474131E-2</v>
      </c>
      <c r="Q806" t="s">
        <v>154</v>
      </c>
      <c r="S806" t="s">
        <v>252</v>
      </c>
      <c r="T806" t="s">
        <v>163</v>
      </c>
      <c r="U806">
        <v>9.0013888078136744E-3</v>
      </c>
      <c r="V806" t="s">
        <v>154</v>
      </c>
    </row>
    <row r="807" spans="9:22" x14ac:dyDescent="0.25">
      <c r="I807" t="s">
        <v>191</v>
      </c>
      <c r="J807" t="s">
        <v>164</v>
      </c>
      <c r="K807">
        <v>1.6702556695368583E-2</v>
      </c>
      <c r="L807" t="s">
        <v>154</v>
      </c>
      <c r="N807" t="s">
        <v>221</v>
      </c>
      <c r="O807" t="s">
        <v>164</v>
      </c>
      <c r="P807">
        <v>1.0690430762233905E-2</v>
      </c>
      <c r="Q807" t="s">
        <v>154</v>
      </c>
      <c r="S807" t="s">
        <v>252</v>
      </c>
      <c r="T807" t="s">
        <v>164</v>
      </c>
      <c r="U807">
        <v>7.1263441352950752E-3</v>
      </c>
      <c r="V807" t="s">
        <v>154</v>
      </c>
    </row>
    <row r="808" spans="9:22" x14ac:dyDescent="0.25">
      <c r="I808" t="s">
        <v>191</v>
      </c>
      <c r="J808" t="s">
        <v>165</v>
      </c>
      <c r="K808">
        <v>8.5237898915556116E-4</v>
      </c>
      <c r="L808" t="s">
        <v>154</v>
      </c>
      <c r="N808" t="s">
        <v>221</v>
      </c>
      <c r="O808" t="s">
        <v>165</v>
      </c>
      <c r="P808">
        <v>1.4582832871339059E-3</v>
      </c>
      <c r="Q808" t="s">
        <v>154</v>
      </c>
      <c r="S808" t="s">
        <v>252</v>
      </c>
      <c r="T808" t="s">
        <v>165</v>
      </c>
      <c r="U808">
        <v>9.6438519849409952E-4</v>
      </c>
      <c r="V808" t="s">
        <v>154</v>
      </c>
    </row>
    <row r="809" spans="9:22" x14ac:dyDescent="0.25">
      <c r="I809" t="s">
        <v>191</v>
      </c>
      <c r="J809" t="s">
        <v>289</v>
      </c>
      <c r="K809">
        <v>0</v>
      </c>
      <c r="L809" t="s">
        <v>154</v>
      </c>
      <c r="N809" t="s">
        <v>221</v>
      </c>
      <c r="O809" t="s">
        <v>289</v>
      </c>
      <c r="P809">
        <v>1.5172457160046136E-3</v>
      </c>
      <c r="Q809" t="s">
        <v>154</v>
      </c>
      <c r="S809" t="s">
        <v>252</v>
      </c>
      <c r="T809" t="s">
        <v>289</v>
      </c>
      <c r="U809">
        <v>9.7783794421287028E-4</v>
      </c>
      <c r="V809" t="s">
        <v>154</v>
      </c>
    </row>
    <row r="810" spans="9:22" x14ac:dyDescent="0.25">
      <c r="I810" t="s">
        <v>191</v>
      </c>
      <c r="J810" t="s">
        <v>290</v>
      </c>
      <c r="K810">
        <v>0</v>
      </c>
      <c r="L810" t="s">
        <v>154</v>
      </c>
      <c r="N810" t="s">
        <v>221</v>
      </c>
      <c r="O810" t="s">
        <v>290</v>
      </c>
      <c r="P810">
        <v>6.5099114704611112E-3</v>
      </c>
      <c r="Q810" t="s">
        <v>154</v>
      </c>
      <c r="S810" t="s">
        <v>252</v>
      </c>
      <c r="T810" t="s">
        <v>290</v>
      </c>
      <c r="U810">
        <v>4.734390715394764E-3</v>
      </c>
      <c r="V810" t="s">
        <v>154</v>
      </c>
    </row>
    <row r="811" spans="9:22" x14ac:dyDescent="0.25">
      <c r="I811" t="s">
        <v>191</v>
      </c>
      <c r="J811" t="s">
        <v>297</v>
      </c>
      <c r="K811">
        <v>5.2842796295649473E-3</v>
      </c>
      <c r="L811" t="s">
        <v>154</v>
      </c>
      <c r="N811" t="s">
        <v>221</v>
      </c>
      <c r="O811" t="s">
        <v>297</v>
      </c>
      <c r="P811">
        <v>2.5773297116797381E-2</v>
      </c>
      <c r="Q811" t="s">
        <v>154</v>
      </c>
      <c r="S811" t="s">
        <v>252</v>
      </c>
      <c r="T811" t="s">
        <v>297</v>
      </c>
      <c r="U811">
        <v>2.8752667577533839E-2</v>
      </c>
      <c r="V811" t="s">
        <v>154</v>
      </c>
    </row>
    <row r="812" spans="9:22" x14ac:dyDescent="0.25">
      <c r="I812" t="s">
        <v>191</v>
      </c>
      <c r="J812" t="s">
        <v>298</v>
      </c>
      <c r="K812">
        <v>4.8252998872609552E-2</v>
      </c>
      <c r="L812" t="s">
        <v>154</v>
      </c>
      <c r="N812" t="s">
        <v>221</v>
      </c>
      <c r="O812" t="s">
        <v>298</v>
      </c>
      <c r="P812">
        <v>2.4820291372698772E-2</v>
      </c>
      <c r="Q812" t="s">
        <v>154</v>
      </c>
      <c r="S812" t="s">
        <v>252</v>
      </c>
      <c r="T812" t="s">
        <v>298</v>
      </c>
      <c r="U812">
        <v>2.683963545888746E-2</v>
      </c>
      <c r="V812" t="s">
        <v>154</v>
      </c>
    </row>
    <row r="813" spans="9:22" x14ac:dyDescent="0.25">
      <c r="I813" t="s">
        <v>191</v>
      </c>
      <c r="J813" t="s">
        <v>299</v>
      </c>
      <c r="K813">
        <v>3.7085776530597428E-5</v>
      </c>
      <c r="L813" t="s">
        <v>154</v>
      </c>
      <c r="N813" t="s">
        <v>221</v>
      </c>
      <c r="O813" t="s">
        <v>299</v>
      </c>
      <c r="P813">
        <v>3.1132959425974249E-3</v>
      </c>
      <c r="Q813" t="s">
        <v>154</v>
      </c>
      <c r="S813" t="s">
        <v>252</v>
      </c>
      <c r="T813" t="s">
        <v>299</v>
      </c>
      <c r="U813">
        <v>3.3254955960679879E-3</v>
      </c>
      <c r="V813" t="s">
        <v>154</v>
      </c>
    </row>
    <row r="814" spans="9:22" x14ac:dyDescent="0.25">
      <c r="I814" t="s">
        <v>191</v>
      </c>
      <c r="J814" t="s">
        <v>300</v>
      </c>
      <c r="K814">
        <v>0</v>
      </c>
      <c r="L814" t="s">
        <v>154</v>
      </c>
      <c r="N814" t="s">
        <v>221</v>
      </c>
      <c r="O814" t="s">
        <v>300</v>
      </c>
      <c r="P814">
        <v>3.0972256401858014E-3</v>
      </c>
      <c r="Q814" t="s">
        <v>154</v>
      </c>
      <c r="S814" t="s">
        <v>252</v>
      </c>
      <c r="T814" t="s">
        <v>300</v>
      </c>
      <c r="U814">
        <v>3.2268486363355451E-3</v>
      </c>
      <c r="V814" t="s">
        <v>154</v>
      </c>
    </row>
    <row r="815" spans="9:22" x14ac:dyDescent="0.25">
      <c r="I815" t="s">
        <v>191</v>
      </c>
      <c r="J815" t="s">
        <v>301</v>
      </c>
      <c r="K815">
        <v>0</v>
      </c>
      <c r="L815" t="s">
        <v>154</v>
      </c>
      <c r="N815" t="s">
        <v>221</v>
      </c>
      <c r="O815" t="s">
        <v>301</v>
      </c>
      <c r="P815">
        <v>1.4125231595384813E-2</v>
      </c>
      <c r="Q815" t="s">
        <v>154</v>
      </c>
      <c r="S815" t="s">
        <v>252</v>
      </c>
      <c r="T815" t="s">
        <v>301</v>
      </c>
      <c r="U815">
        <v>1.7228791125313021E-2</v>
      </c>
      <c r="V815" t="s">
        <v>154</v>
      </c>
    </row>
    <row r="816" spans="9:22" x14ac:dyDescent="0.25">
      <c r="I816" t="s">
        <v>191</v>
      </c>
      <c r="J816" t="s">
        <v>302</v>
      </c>
      <c r="K816">
        <v>3.7971385710884376E-3</v>
      </c>
      <c r="L816" t="s">
        <v>154</v>
      </c>
      <c r="N816" t="s">
        <v>221</v>
      </c>
      <c r="O816" t="s">
        <v>302</v>
      </c>
      <c r="P816">
        <v>5.0605435411957264E-2</v>
      </c>
      <c r="Q816" t="s">
        <v>154</v>
      </c>
      <c r="S816" t="s">
        <v>252</v>
      </c>
      <c r="T816" t="s">
        <v>302</v>
      </c>
      <c r="U816">
        <v>5.5085081156450028E-2</v>
      </c>
      <c r="V816" t="s">
        <v>154</v>
      </c>
    </row>
    <row r="817" spans="9:22" x14ac:dyDescent="0.25">
      <c r="I817" t="s">
        <v>191</v>
      </c>
      <c r="J817" t="s">
        <v>303</v>
      </c>
      <c r="K817">
        <v>5.8484530747169111E-2</v>
      </c>
      <c r="L817" t="s">
        <v>154</v>
      </c>
      <c r="N817" t="s">
        <v>221</v>
      </c>
      <c r="O817" t="s">
        <v>303</v>
      </c>
      <c r="P817">
        <v>5.0424559468913895E-2</v>
      </c>
      <c r="Q817" t="s">
        <v>154</v>
      </c>
      <c r="S817" t="s">
        <v>252</v>
      </c>
      <c r="T817" t="s">
        <v>303</v>
      </c>
      <c r="U817">
        <v>5.6599892777992246E-2</v>
      </c>
      <c r="V817" t="s">
        <v>154</v>
      </c>
    </row>
    <row r="818" spans="9:22" x14ac:dyDescent="0.25">
      <c r="I818" t="s">
        <v>191</v>
      </c>
      <c r="J818" t="s">
        <v>304</v>
      </c>
      <c r="K818">
        <v>0</v>
      </c>
      <c r="L818" t="s">
        <v>154</v>
      </c>
      <c r="N818" t="s">
        <v>221</v>
      </c>
      <c r="O818" t="s">
        <v>304</v>
      </c>
      <c r="P818">
        <v>6.1026775598648289E-3</v>
      </c>
      <c r="Q818" t="s">
        <v>154</v>
      </c>
      <c r="S818" t="s">
        <v>252</v>
      </c>
      <c r="T818" t="s">
        <v>304</v>
      </c>
      <c r="U818">
        <v>7.7780131256819122E-3</v>
      </c>
      <c r="V818" t="s">
        <v>154</v>
      </c>
    </row>
    <row r="819" spans="9:22" x14ac:dyDescent="0.25">
      <c r="I819" t="s">
        <v>191</v>
      </c>
      <c r="J819" t="s">
        <v>305</v>
      </c>
      <c r="K819">
        <v>0</v>
      </c>
      <c r="L819" t="s">
        <v>154</v>
      </c>
      <c r="N819" t="s">
        <v>221</v>
      </c>
      <c r="O819" t="s">
        <v>305</v>
      </c>
      <c r="P819">
        <v>6.2047619452499951E-3</v>
      </c>
      <c r="Q819" t="s">
        <v>154</v>
      </c>
      <c r="S819" t="s">
        <v>252</v>
      </c>
      <c r="T819" t="s">
        <v>305</v>
      </c>
      <c r="U819">
        <v>7.6391536840860553E-3</v>
      </c>
      <c r="V819" t="s">
        <v>154</v>
      </c>
    </row>
    <row r="820" spans="9:22" x14ac:dyDescent="0.25">
      <c r="I820" t="s">
        <v>191</v>
      </c>
      <c r="J820" t="s">
        <v>306</v>
      </c>
      <c r="K820">
        <v>0</v>
      </c>
      <c r="L820" t="s">
        <v>154</v>
      </c>
      <c r="N820" t="s">
        <v>221</v>
      </c>
      <c r="O820" t="s">
        <v>306</v>
      </c>
      <c r="P820">
        <v>2.962253559811015E-2</v>
      </c>
      <c r="Q820" t="s">
        <v>154</v>
      </c>
      <c r="S820" t="s">
        <v>252</v>
      </c>
      <c r="T820" t="s">
        <v>306</v>
      </c>
      <c r="U820">
        <v>3.5414422181568872E-2</v>
      </c>
      <c r="V820" t="s">
        <v>154</v>
      </c>
    </row>
    <row r="821" spans="9:22" x14ac:dyDescent="0.25">
      <c r="I821" t="s">
        <v>192</v>
      </c>
      <c r="J821" t="s">
        <v>153</v>
      </c>
      <c r="K821">
        <v>3.9779283142517656E-3</v>
      </c>
      <c r="L821" t="s">
        <v>154</v>
      </c>
      <c r="N821" t="s">
        <v>222</v>
      </c>
      <c r="O821" t="s">
        <v>153</v>
      </c>
      <c r="P821">
        <v>4.7421378154603504E-2</v>
      </c>
      <c r="Q821" t="s">
        <v>154</v>
      </c>
      <c r="S821" t="s">
        <v>253</v>
      </c>
      <c r="T821" t="s">
        <v>153</v>
      </c>
      <c r="U821">
        <v>5.7698806908830232E-2</v>
      </c>
      <c r="V821" t="s">
        <v>154</v>
      </c>
    </row>
    <row r="822" spans="9:22" x14ac:dyDescent="0.25">
      <c r="I822" t="s">
        <v>192</v>
      </c>
      <c r="J822" t="s">
        <v>155</v>
      </c>
      <c r="K822">
        <v>6.5219520753449459E-2</v>
      </c>
      <c r="L822" t="s">
        <v>154</v>
      </c>
      <c r="N822" t="s">
        <v>222</v>
      </c>
      <c r="O822" t="s">
        <v>155</v>
      </c>
      <c r="P822">
        <v>4.3830422700531342E-2</v>
      </c>
      <c r="Q822" t="s">
        <v>154</v>
      </c>
      <c r="S822" t="s">
        <v>253</v>
      </c>
      <c r="T822" t="s">
        <v>155</v>
      </c>
      <c r="U822">
        <v>4.3585396599308969E-2</v>
      </c>
      <c r="V822" t="s">
        <v>154</v>
      </c>
    </row>
    <row r="823" spans="9:22" x14ac:dyDescent="0.25">
      <c r="I823" t="s">
        <v>192</v>
      </c>
      <c r="J823" t="s">
        <v>156</v>
      </c>
      <c r="K823">
        <v>1.8455665807137066E-3</v>
      </c>
      <c r="L823" t="s">
        <v>154</v>
      </c>
      <c r="N823" t="s">
        <v>222</v>
      </c>
      <c r="O823" t="s">
        <v>156</v>
      </c>
      <c r="P823">
        <v>4.2658351499252883E-3</v>
      </c>
      <c r="Q823" t="s">
        <v>154</v>
      </c>
      <c r="S823" t="s">
        <v>253</v>
      </c>
      <c r="T823" t="s">
        <v>156</v>
      </c>
      <c r="U823">
        <v>5.4076481804271655E-3</v>
      </c>
      <c r="V823" t="s">
        <v>154</v>
      </c>
    </row>
    <row r="824" spans="9:22" x14ac:dyDescent="0.25">
      <c r="I824" t="s">
        <v>192</v>
      </c>
      <c r="J824" t="s">
        <v>283</v>
      </c>
      <c r="K824">
        <v>0</v>
      </c>
      <c r="L824" t="s">
        <v>154</v>
      </c>
      <c r="N824" t="s">
        <v>222</v>
      </c>
      <c r="O824" t="s">
        <v>283</v>
      </c>
      <c r="P824">
        <v>4.160528917907063E-3</v>
      </c>
      <c r="Q824" t="s">
        <v>154</v>
      </c>
      <c r="S824" t="s">
        <v>253</v>
      </c>
      <c r="T824" t="s">
        <v>283</v>
      </c>
      <c r="U824">
        <v>5.3837137945838033E-3</v>
      </c>
      <c r="V824" t="s">
        <v>154</v>
      </c>
    </row>
    <row r="825" spans="9:22" x14ac:dyDescent="0.25">
      <c r="I825" t="s">
        <v>192</v>
      </c>
      <c r="J825" t="s">
        <v>284</v>
      </c>
      <c r="K825">
        <v>0</v>
      </c>
      <c r="L825" t="s">
        <v>154</v>
      </c>
      <c r="N825" t="s">
        <v>222</v>
      </c>
      <c r="O825" t="s">
        <v>284</v>
      </c>
      <c r="P825">
        <v>2.0507641055471829E-2</v>
      </c>
      <c r="Q825" t="s">
        <v>154</v>
      </c>
      <c r="S825" t="s">
        <v>253</v>
      </c>
      <c r="T825" t="s">
        <v>284</v>
      </c>
      <c r="U825">
        <v>2.9077030166718049E-2</v>
      </c>
      <c r="V825" t="s">
        <v>154</v>
      </c>
    </row>
    <row r="826" spans="9:22" x14ac:dyDescent="0.25">
      <c r="I826" t="s">
        <v>192</v>
      </c>
      <c r="J826" t="s">
        <v>157</v>
      </c>
      <c r="K826">
        <v>1.0218782419639119E-3</v>
      </c>
      <c r="L826" t="s">
        <v>154</v>
      </c>
      <c r="N826" t="s">
        <v>222</v>
      </c>
      <c r="O826" t="s">
        <v>157</v>
      </c>
      <c r="P826">
        <v>5.6331491736690796E-3</v>
      </c>
      <c r="Q826" t="s">
        <v>154</v>
      </c>
      <c r="S826" t="s">
        <v>253</v>
      </c>
      <c r="T826" t="s">
        <v>157</v>
      </c>
      <c r="U826">
        <v>1.4056086203011397E-2</v>
      </c>
      <c r="V826" t="s">
        <v>154</v>
      </c>
    </row>
    <row r="827" spans="9:22" x14ac:dyDescent="0.25">
      <c r="I827" t="s">
        <v>192</v>
      </c>
      <c r="J827" t="s">
        <v>158</v>
      </c>
      <c r="K827">
        <v>1.8402595708694888E-2</v>
      </c>
      <c r="L827" t="s">
        <v>154</v>
      </c>
      <c r="N827" t="s">
        <v>222</v>
      </c>
      <c r="O827" t="s">
        <v>158</v>
      </c>
      <c r="P827">
        <v>6.5450061281700726E-3</v>
      </c>
      <c r="Q827" t="s">
        <v>154</v>
      </c>
      <c r="S827" t="s">
        <v>253</v>
      </c>
      <c r="T827" t="s">
        <v>158</v>
      </c>
      <c r="U827">
        <v>1.2652068427391871E-2</v>
      </c>
      <c r="V827" t="s">
        <v>154</v>
      </c>
    </row>
    <row r="828" spans="9:22" x14ac:dyDescent="0.25">
      <c r="I828" t="s">
        <v>192</v>
      </c>
      <c r="J828" t="s">
        <v>159</v>
      </c>
      <c r="K828">
        <v>9.0480002443215539E-4</v>
      </c>
      <c r="L828" t="s">
        <v>154</v>
      </c>
      <c r="N828" t="s">
        <v>222</v>
      </c>
      <c r="O828" t="s">
        <v>159</v>
      </c>
      <c r="P828">
        <v>1.1079241831154808E-3</v>
      </c>
      <c r="Q828" t="s">
        <v>154</v>
      </c>
      <c r="S828" t="s">
        <v>253</v>
      </c>
      <c r="T828" t="s">
        <v>159</v>
      </c>
      <c r="U828">
        <v>1.6782468719222148E-3</v>
      </c>
      <c r="V828" t="s">
        <v>154</v>
      </c>
    </row>
    <row r="829" spans="9:22" x14ac:dyDescent="0.25">
      <c r="I829" t="s">
        <v>192</v>
      </c>
      <c r="J829" t="s">
        <v>285</v>
      </c>
      <c r="K829">
        <v>0</v>
      </c>
      <c r="L829" t="s">
        <v>154</v>
      </c>
      <c r="N829" t="s">
        <v>222</v>
      </c>
      <c r="O829" t="s">
        <v>285</v>
      </c>
      <c r="P829">
        <v>1.046679097543006E-3</v>
      </c>
      <c r="Q829" t="s">
        <v>154</v>
      </c>
      <c r="S829" t="s">
        <v>253</v>
      </c>
      <c r="T829" t="s">
        <v>285</v>
      </c>
      <c r="U829">
        <v>1.577859873620467E-3</v>
      </c>
      <c r="V829" t="s">
        <v>154</v>
      </c>
    </row>
    <row r="830" spans="9:22" x14ac:dyDescent="0.25">
      <c r="I830" t="s">
        <v>192</v>
      </c>
      <c r="J830" t="s">
        <v>286</v>
      </c>
      <c r="K830">
        <v>0</v>
      </c>
      <c r="L830" t="s">
        <v>154</v>
      </c>
      <c r="N830" t="s">
        <v>222</v>
      </c>
      <c r="O830" t="s">
        <v>286</v>
      </c>
      <c r="P830">
        <v>4.4232201053745592E-3</v>
      </c>
      <c r="Q830" t="s">
        <v>154</v>
      </c>
      <c r="S830" t="s">
        <v>253</v>
      </c>
      <c r="T830" t="s">
        <v>286</v>
      </c>
      <c r="U830">
        <v>7.4977131525434159E-3</v>
      </c>
      <c r="V830" t="s">
        <v>154</v>
      </c>
    </row>
    <row r="831" spans="9:22" x14ac:dyDescent="0.25">
      <c r="I831" t="s">
        <v>192</v>
      </c>
      <c r="J831" t="s">
        <v>160</v>
      </c>
      <c r="K831">
        <v>9.6283016437727978E-2</v>
      </c>
      <c r="L831" t="s">
        <v>154</v>
      </c>
      <c r="N831" t="s">
        <v>222</v>
      </c>
      <c r="O831" t="s">
        <v>160</v>
      </c>
      <c r="P831">
        <v>0.19890220191006452</v>
      </c>
      <c r="Q831" t="s">
        <v>154</v>
      </c>
      <c r="S831" t="s">
        <v>253</v>
      </c>
      <c r="T831" t="s">
        <v>160</v>
      </c>
      <c r="U831">
        <v>0.20866265796866251</v>
      </c>
      <c r="V831" t="s">
        <v>154</v>
      </c>
    </row>
    <row r="832" spans="9:22" x14ac:dyDescent="0.25">
      <c r="I832" t="s">
        <v>192</v>
      </c>
      <c r="J832" t="s">
        <v>161</v>
      </c>
      <c r="K832">
        <v>0.60767848317325313</v>
      </c>
      <c r="L832" t="s">
        <v>154</v>
      </c>
      <c r="N832" t="s">
        <v>222</v>
      </c>
      <c r="O832" t="s">
        <v>161</v>
      </c>
      <c r="P832">
        <v>0.25183483477395779</v>
      </c>
      <c r="Q832" t="s">
        <v>154</v>
      </c>
      <c r="S832" t="s">
        <v>253</v>
      </c>
      <c r="T832" t="s">
        <v>161</v>
      </c>
      <c r="U832">
        <v>0.19474303959472486</v>
      </c>
      <c r="V832" t="s">
        <v>154</v>
      </c>
    </row>
    <row r="833" spans="9:22" x14ac:dyDescent="0.25">
      <c r="I833" t="s">
        <v>192</v>
      </c>
      <c r="J833" t="s">
        <v>162</v>
      </c>
      <c r="K833">
        <v>4.4804000481489206E-2</v>
      </c>
      <c r="L833" t="s">
        <v>154</v>
      </c>
      <c r="N833" t="s">
        <v>222</v>
      </c>
      <c r="O833" t="s">
        <v>162</v>
      </c>
      <c r="P833">
        <v>2.7884415132321656E-2</v>
      </c>
      <c r="Q833" t="s">
        <v>154</v>
      </c>
      <c r="S833" t="s">
        <v>253</v>
      </c>
      <c r="T833" t="s">
        <v>162</v>
      </c>
      <c r="U833">
        <v>2.4882520671141883E-2</v>
      </c>
      <c r="V833" t="s">
        <v>154</v>
      </c>
    </row>
    <row r="834" spans="9:22" x14ac:dyDescent="0.25">
      <c r="I834" t="s">
        <v>192</v>
      </c>
      <c r="J834" t="s">
        <v>287</v>
      </c>
      <c r="K834">
        <v>2.2164687716077516E-2</v>
      </c>
      <c r="L834" t="s">
        <v>154</v>
      </c>
      <c r="N834" t="s">
        <v>222</v>
      </c>
      <c r="O834" t="s">
        <v>287</v>
      </c>
      <c r="P834">
        <v>2.6060711964569688E-2</v>
      </c>
      <c r="Q834" t="s">
        <v>154</v>
      </c>
      <c r="S834" t="s">
        <v>253</v>
      </c>
      <c r="T834" t="s">
        <v>287</v>
      </c>
      <c r="U834">
        <v>2.4366195235771472E-2</v>
      </c>
      <c r="V834" t="s">
        <v>154</v>
      </c>
    </row>
    <row r="835" spans="9:22" x14ac:dyDescent="0.25">
      <c r="I835" t="s">
        <v>192</v>
      </c>
      <c r="J835" t="s">
        <v>288</v>
      </c>
      <c r="K835">
        <v>5.3930712554154346E-3</v>
      </c>
      <c r="L835" t="s">
        <v>154</v>
      </c>
      <c r="N835" t="s">
        <v>222</v>
      </c>
      <c r="O835" t="s">
        <v>288</v>
      </c>
      <c r="P835">
        <v>0.1078607728509805</v>
      </c>
      <c r="Q835" t="s">
        <v>154</v>
      </c>
      <c r="S835" t="s">
        <v>253</v>
      </c>
      <c r="T835" t="s">
        <v>288</v>
      </c>
      <c r="U835">
        <v>0.10607986694443683</v>
      </c>
      <c r="V835" t="s">
        <v>154</v>
      </c>
    </row>
    <row r="836" spans="9:22" x14ac:dyDescent="0.25">
      <c r="I836" t="s">
        <v>192</v>
      </c>
      <c r="J836" t="s">
        <v>163</v>
      </c>
      <c r="K836">
        <v>2.1721873637487923E-3</v>
      </c>
      <c r="L836" t="s">
        <v>154</v>
      </c>
      <c r="N836" t="s">
        <v>222</v>
      </c>
      <c r="O836" t="s">
        <v>163</v>
      </c>
      <c r="P836">
        <v>6.6438022329068508E-3</v>
      </c>
      <c r="Q836" t="s">
        <v>154</v>
      </c>
      <c r="S836" t="s">
        <v>253</v>
      </c>
      <c r="T836" t="s">
        <v>163</v>
      </c>
      <c r="U836">
        <v>8.3097868176682122E-3</v>
      </c>
      <c r="V836" t="s">
        <v>154</v>
      </c>
    </row>
    <row r="837" spans="9:22" x14ac:dyDescent="0.25">
      <c r="I837" t="s">
        <v>192</v>
      </c>
      <c r="J837" t="s">
        <v>164</v>
      </c>
      <c r="K837">
        <v>1.6540430505185989E-2</v>
      </c>
      <c r="L837" t="s">
        <v>154</v>
      </c>
      <c r="N837" t="s">
        <v>222</v>
      </c>
      <c r="O837" t="s">
        <v>164</v>
      </c>
      <c r="P837">
        <v>9.7693396435192068E-3</v>
      </c>
      <c r="Q837" t="s">
        <v>154</v>
      </c>
      <c r="S837" t="s">
        <v>253</v>
      </c>
      <c r="T837" t="s">
        <v>164</v>
      </c>
      <c r="U837">
        <v>8.0700884791985329E-3</v>
      </c>
      <c r="V837" t="s">
        <v>154</v>
      </c>
    </row>
    <row r="838" spans="9:22" x14ac:dyDescent="0.25">
      <c r="I838" t="s">
        <v>192</v>
      </c>
      <c r="J838" t="s">
        <v>165</v>
      </c>
      <c r="K838">
        <v>7.8204554817847287E-4</v>
      </c>
      <c r="L838" t="s">
        <v>154</v>
      </c>
      <c r="N838" t="s">
        <v>222</v>
      </c>
      <c r="O838" t="s">
        <v>165</v>
      </c>
      <c r="P838">
        <v>1.3297442889093982E-3</v>
      </c>
      <c r="Q838" t="s">
        <v>154</v>
      </c>
      <c r="S838" t="s">
        <v>253</v>
      </c>
      <c r="T838" t="s">
        <v>165</v>
      </c>
      <c r="U838">
        <v>9.1786104178300432E-4</v>
      </c>
      <c r="V838" t="s">
        <v>154</v>
      </c>
    </row>
    <row r="839" spans="9:22" x14ac:dyDescent="0.25">
      <c r="I839" t="s">
        <v>192</v>
      </c>
      <c r="J839" t="s">
        <v>289</v>
      </c>
      <c r="K839">
        <v>0</v>
      </c>
      <c r="L839" t="s">
        <v>154</v>
      </c>
      <c r="N839" t="s">
        <v>222</v>
      </c>
      <c r="O839" t="s">
        <v>289</v>
      </c>
      <c r="P839">
        <v>1.2681970340581504E-3</v>
      </c>
      <c r="Q839" t="s">
        <v>154</v>
      </c>
      <c r="S839" t="s">
        <v>253</v>
      </c>
      <c r="T839" t="s">
        <v>289</v>
      </c>
      <c r="U839">
        <v>9.1854155438056927E-4</v>
      </c>
      <c r="V839" t="s">
        <v>154</v>
      </c>
    </row>
    <row r="840" spans="9:22" x14ac:dyDescent="0.25">
      <c r="I840" t="s">
        <v>192</v>
      </c>
      <c r="J840" t="s">
        <v>290</v>
      </c>
      <c r="K840">
        <v>0</v>
      </c>
      <c r="L840" t="s">
        <v>154</v>
      </c>
      <c r="N840" t="s">
        <v>222</v>
      </c>
      <c r="O840" t="s">
        <v>290</v>
      </c>
      <c r="P840">
        <v>3.9982950492673426E-3</v>
      </c>
      <c r="Q840" t="s">
        <v>154</v>
      </c>
      <c r="S840" t="s">
        <v>253</v>
      </c>
      <c r="T840" t="s">
        <v>290</v>
      </c>
      <c r="U840">
        <v>4.6753254806221785E-3</v>
      </c>
      <c r="V840" t="s">
        <v>154</v>
      </c>
    </row>
    <row r="841" spans="9:22" x14ac:dyDescent="0.25">
      <c r="I841" t="s">
        <v>192</v>
      </c>
      <c r="J841" t="s">
        <v>297</v>
      </c>
      <c r="K841">
        <v>4.6200003602440186E-3</v>
      </c>
      <c r="L841" t="s">
        <v>154</v>
      </c>
      <c r="N841" t="s">
        <v>222</v>
      </c>
      <c r="O841" t="s">
        <v>297</v>
      </c>
      <c r="P841">
        <v>2.6734216714421288E-2</v>
      </c>
      <c r="Q841" t="s">
        <v>154</v>
      </c>
      <c r="S841" t="s">
        <v>253</v>
      </c>
      <c r="T841" t="s">
        <v>297</v>
      </c>
      <c r="U841">
        <v>3.1554845347121337E-2</v>
      </c>
      <c r="V841" t="s">
        <v>154</v>
      </c>
    </row>
    <row r="842" spans="9:22" x14ac:dyDescent="0.25">
      <c r="I842" t="s">
        <v>192</v>
      </c>
      <c r="J842" t="s">
        <v>298</v>
      </c>
      <c r="K842">
        <v>4.8304738914196864E-2</v>
      </c>
      <c r="L842" t="s">
        <v>154</v>
      </c>
      <c r="N842" t="s">
        <v>222</v>
      </c>
      <c r="O842" t="s">
        <v>298</v>
      </c>
      <c r="P842">
        <v>2.845037826794607E-2</v>
      </c>
      <c r="Q842" t="s">
        <v>154</v>
      </c>
      <c r="S842" t="s">
        <v>253</v>
      </c>
      <c r="T842" t="s">
        <v>298</v>
      </c>
      <c r="U842">
        <v>2.7822523014355869E-2</v>
      </c>
      <c r="V842" t="s">
        <v>154</v>
      </c>
    </row>
    <row r="843" spans="9:22" x14ac:dyDescent="0.25">
      <c r="I843" t="s">
        <v>192</v>
      </c>
      <c r="J843" t="s">
        <v>299</v>
      </c>
      <c r="K843">
        <v>2.9614532656741503E-4</v>
      </c>
      <c r="L843" t="s">
        <v>154</v>
      </c>
      <c r="N843" t="s">
        <v>222</v>
      </c>
      <c r="O843" t="s">
        <v>299</v>
      </c>
      <c r="P843">
        <v>3.2218887222462502E-3</v>
      </c>
      <c r="Q843" t="s">
        <v>154</v>
      </c>
      <c r="S843" t="s">
        <v>253</v>
      </c>
      <c r="T843" t="s">
        <v>299</v>
      </c>
      <c r="U843">
        <v>3.4157960630457973E-3</v>
      </c>
      <c r="V843" t="s">
        <v>154</v>
      </c>
    </row>
    <row r="844" spans="9:22" x14ac:dyDescent="0.25">
      <c r="I844" t="s">
        <v>192</v>
      </c>
      <c r="J844" t="s">
        <v>300</v>
      </c>
      <c r="K844">
        <v>0</v>
      </c>
      <c r="L844" t="s">
        <v>154</v>
      </c>
      <c r="N844" t="s">
        <v>222</v>
      </c>
      <c r="O844" t="s">
        <v>300</v>
      </c>
      <c r="P844">
        <v>3.2633672398543856E-3</v>
      </c>
      <c r="Q844" t="s">
        <v>154</v>
      </c>
      <c r="S844" t="s">
        <v>253</v>
      </c>
      <c r="T844" t="s">
        <v>300</v>
      </c>
      <c r="U844">
        <v>3.3517379424967452E-3</v>
      </c>
      <c r="V844" t="s">
        <v>154</v>
      </c>
    </row>
    <row r="845" spans="9:22" x14ac:dyDescent="0.25">
      <c r="I845" t="s">
        <v>192</v>
      </c>
      <c r="J845" t="s">
        <v>301</v>
      </c>
      <c r="K845">
        <v>0</v>
      </c>
      <c r="L845" t="s">
        <v>154</v>
      </c>
      <c r="N845" t="s">
        <v>222</v>
      </c>
      <c r="O845" t="s">
        <v>301</v>
      </c>
      <c r="P845">
        <v>1.6655027679455071E-2</v>
      </c>
      <c r="Q845" t="s">
        <v>154</v>
      </c>
      <c r="S845" t="s">
        <v>253</v>
      </c>
      <c r="T845" t="s">
        <v>301</v>
      </c>
      <c r="U845">
        <v>1.9392317060181991E-2</v>
      </c>
      <c r="V845" t="s">
        <v>154</v>
      </c>
    </row>
    <row r="846" spans="9:22" x14ac:dyDescent="0.25">
      <c r="I846" t="s">
        <v>192</v>
      </c>
      <c r="J846" t="s">
        <v>302</v>
      </c>
      <c r="K846">
        <v>3.1762182161164799E-3</v>
      </c>
      <c r="L846" t="s">
        <v>154</v>
      </c>
      <c r="N846" t="s">
        <v>222</v>
      </c>
      <c r="O846" t="s">
        <v>302</v>
      </c>
      <c r="P846">
        <v>5.3030614729739613E-2</v>
      </c>
      <c r="Q846" t="s">
        <v>154</v>
      </c>
      <c r="S846" t="s">
        <v>253</v>
      </c>
      <c r="T846" t="s">
        <v>302</v>
      </c>
      <c r="U846">
        <v>5.6256791509782487E-2</v>
      </c>
      <c r="V846" t="s">
        <v>154</v>
      </c>
    </row>
    <row r="847" spans="9:22" x14ac:dyDescent="0.25">
      <c r="I847" t="s">
        <v>192</v>
      </c>
      <c r="J847" t="s">
        <v>303</v>
      </c>
      <c r="K847">
        <v>5.6412685078294104E-2</v>
      </c>
      <c r="L847" t="s">
        <v>154</v>
      </c>
      <c r="N847" t="s">
        <v>222</v>
      </c>
      <c r="O847" t="s">
        <v>303</v>
      </c>
      <c r="P847">
        <v>5.1648076302246326E-2</v>
      </c>
      <c r="Q847" t="s">
        <v>154</v>
      </c>
      <c r="S847" t="s">
        <v>253</v>
      </c>
      <c r="T847" t="s">
        <v>303</v>
      </c>
      <c r="U847">
        <v>5.1031679095047078E-2</v>
      </c>
      <c r="V847" t="s">
        <v>154</v>
      </c>
    </row>
    <row r="848" spans="9:22" x14ac:dyDescent="0.25">
      <c r="I848" t="s">
        <v>192</v>
      </c>
      <c r="J848" t="s">
        <v>304</v>
      </c>
      <c r="K848">
        <v>0</v>
      </c>
      <c r="L848" t="s">
        <v>154</v>
      </c>
      <c r="N848" t="s">
        <v>222</v>
      </c>
      <c r="O848" t="s">
        <v>304</v>
      </c>
      <c r="P848">
        <v>6.0148608234954553E-3</v>
      </c>
      <c r="Q848" t="s">
        <v>154</v>
      </c>
      <c r="S848" t="s">
        <v>253</v>
      </c>
      <c r="T848" t="s">
        <v>304</v>
      </c>
      <c r="U848">
        <v>6.8552036284612724E-3</v>
      </c>
      <c r="V848" t="s">
        <v>154</v>
      </c>
    </row>
    <row r="849" spans="9:22" x14ac:dyDescent="0.25">
      <c r="I849" t="s">
        <v>192</v>
      </c>
      <c r="J849" t="s">
        <v>305</v>
      </c>
      <c r="K849">
        <v>0</v>
      </c>
      <c r="L849" t="s">
        <v>154</v>
      </c>
      <c r="N849" t="s">
        <v>222</v>
      </c>
      <c r="O849" t="s">
        <v>305</v>
      </c>
      <c r="P849">
        <v>6.0620157573386055E-3</v>
      </c>
      <c r="Q849" t="s">
        <v>154</v>
      </c>
      <c r="S849" t="s">
        <v>253</v>
      </c>
      <c r="T849" t="s">
        <v>305</v>
      </c>
      <c r="U849">
        <v>6.7428264139620725E-3</v>
      </c>
      <c r="V849" t="s">
        <v>154</v>
      </c>
    </row>
    <row r="850" spans="9:22" x14ac:dyDescent="0.25">
      <c r="I850" t="s">
        <v>192</v>
      </c>
      <c r="J850" t="s">
        <v>306</v>
      </c>
      <c r="K850">
        <v>0</v>
      </c>
      <c r="L850" t="s">
        <v>154</v>
      </c>
      <c r="N850" t="s">
        <v>222</v>
      </c>
      <c r="O850" t="s">
        <v>306</v>
      </c>
      <c r="P850">
        <v>3.0425454216387374E-2</v>
      </c>
      <c r="Q850" t="s">
        <v>154</v>
      </c>
      <c r="S850" t="s">
        <v>253</v>
      </c>
      <c r="T850" t="s">
        <v>306</v>
      </c>
      <c r="U850">
        <v>3.3335825958801128E-2</v>
      </c>
      <c r="V850" t="s">
        <v>154</v>
      </c>
    </row>
    <row r="851" spans="9:22" x14ac:dyDescent="0.25">
      <c r="I851" t="s">
        <v>193</v>
      </c>
      <c r="J851" t="s">
        <v>153</v>
      </c>
      <c r="K851">
        <v>5.2210998729723974E-3</v>
      </c>
      <c r="L851" t="s">
        <v>154</v>
      </c>
      <c r="N851" t="s">
        <v>223</v>
      </c>
      <c r="O851" t="s">
        <v>153</v>
      </c>
      <c r="P851">
        <v>4.9356857027294157E-2</v>
      </c>
      <c r="Q851" t="s">
        <v>154</v>
      </c>
      <c r="S851" t="s">
        <v>254</v>
      </c>
      <c r="T851" t="s">
        <v>153</v>
      </c>
      <c r="U851">
        <v>3.6533324063604343E-2</v>
      </c>
      <c r="V851" t="s">
        <v>154</v>
      </c>
    </row>
    <row r="852" spans="9:22" x14ac:dyDescent="0.25">
      <c r="I852" t="s">
        <v>193</v>
      </c>
      <c r="J852" t="s">
        <v>155</v>
      </c>
      <c r="K852">
        <v>7.5590645621646954E-2</v>
      </c>
      <c r="L852" t="s">
        <v>154</v>
      </c>
      <c r="N852" t="s">
        <v>223</v>
      </c>
      <c r="O852" t="s">
        <v>155</v>
      </c>
      <c r="P852">
        <v>5.1780703835719789E-2</v>
      </c>
      <c r="Q852" t="s">
        <v>154</v>
      </c>
      <c r="S852" t="s">
        <v>254</v>
      </c>
      <c r="T852" t="s">
        <v>155</v>
      </c>
      <c r="U852">
        <v>3.096903163436367E-2</v>
      </c>
      <c r="V852" t="s">
        <v>154</v>
      </c>
    </row>
    <row r="853" spans="9:22" x14ac:dyDescent="0.25">
      <c r="I853" t="s">
        <v>193</v>
      </c>
      <c r="J853" t="s">
        <v>156</v>
      </c>
      <c r="K853">
        <v>2.1494964144144978E-3</v>
      </c>
      <c r="L853" t="s">
        <v>154</v>
      </c>
      <c r="N853" t="s">
        <v>223</v>
      </c>
      <c r="O853" t="s">
        <v>156</v>
      </c>
      <c r="P853">
        <v>4.9428096042011113E-3</v>
      </c>
      <c r="Q853" t="s">
        <v>154</v>
      </c>
      <c r="S853" t="s">
        <v>254</v>
      </c>
      <c r="T853" t="s">
        <v>156</v>
      </c>
      <c r="U853">
        <v>4.1112769777357826E-3</v>
      </c>
      <c r="V853" t="s">
        <v>154</v>
      </c>
    </row>
    <row r="854" spans="9:22" x14ac:dyDescent="0.25">
      <c r="I854" t="s">
        <v>193</v>
      </c>
      <c r="J854" t="s">
        <v>283</v>
      </c>
      <c r="K854">
        <v>0</v>
      </c>
      <c r="L854" t="s">
        <v>154</v>
      </c>
      <c r="N854" t="s">
        <v>223</v>
      </c>
      <c r="O854" t="s">
        <v>283</v>
      </c>
      <c r="P854">
        <v>4.7218995304155334E-3</v>
      </c>
      <c r="Q854" t="s">
        <v>154</v>
      </c>
      <c r="S854" t="s">
        <v>254</v>
      </c>
      <c r="T854" t="s">
        <v>283</v>
      </c>
      <c r="U854">
        <v>3.7686366992045672E-3</v>
      </c>
      <c r="V854" t="s">
        <v>154</v>
      </c>
    </row>
    <row r="855" spans="9:22" x14ac:dyDescent="0.25">
      <c r="I855" t="s">
        <v>193</v>
      </c>
      <c r="J855" t="s">
        <v>284</v>
      </c>
      <c r="K855">
        <v>0</v>
      </c>
      <c r="L855" t="s">
        <v>154</v>
      </c>
      <c r="N855" t="s">
        <v>223</v>
      </c>
      <c r="O855" t="s">
        <v>284</v>
      </c>
      <c r="P855">
        <v>2.1881614356789529E-2</v>
      </c>
      <c r="Q855" t="s">
        <v>154</v>
      </c>
      <c r="S855" t="s">
        <v>254</v>
      </c>
      <c r="T855" t="s">
        <v>284</v>
      </c>
      <c r="U855">
        <v>2.0285368984625785E-2</v>
      </c>
      <c r="V855" t="s">
        <v>154</v>
      </c>
    </row>
    <row r="856" spans="9:22" x14ac:dyDescent="0.25">
      <c r="I856" t="s">
        <v>193</v>
      </c>
      <c r="J856" t="s">
        <v>157</v>
      </c>
      <c r="K856">
        <v>1.6433812051012788E-3</v>
      </c>
      <c r="L856" t="s">
        <v>154</v>
      </c>
      <c r="N856" t="s">
        <v>223</v>
      </c>
      <c r="O856" t="s">
        <v>157</v>
      </c>
      <c r="P856">
        <v>7.2378573141529765E-3</v>
      </c>
      <c r="Q856" t="s">
        <v>154</v>
      </c>
      <c r="S856" t="s">
        <v>254</v>
      </c>
      <c r="T856" t="s">
        <v>157</v>
      </c>
      <c r="U856">
        <v>9.2468427118333474E-3</v>
      </c>
      <c r="V856" t="s">
        <v>154</v>
      </c>
    </row>
    <row r="857" spans="9:22" x14ac:dyDescent="0.25">
      <c r="I857" t="s">
        <v>193</v>
      </c>
      <c r="J857" t="s">
        <v>158</v>
      </c>
      <c r="K857">
        <v>1.962896751082813E-2</v>
      </c>
      <c r="L857" t="s">
        <v>154</v>
      </c>
      <c r="N857" t="s">
        <v>223</v>
      </c>
      <c r="O857" t="s">
        <v>158</v>
      </c>
      <c r="P857">
        <v>7.3139353724019189E-3</v>
      </c>
      <c r="Q857" t="s">
        <v>154</v>
      </c>
      <c r="S857" t="s">
        <v>254</v>
      </c>
      <c r="T857" t="s">
        <v>158</v>
      </c>
      <c r="U857">
        <v>6.5565594382222354E-3</v>
      </c>
      <c r="V857" t="s">
        <v>154</v>
      </c>
    </row>
    <row r="858" spans="9:22" x14ac:dyDescent="0.25">
      <c r="I858" t="s">
        <v>193</v>
      </c>
      <c r="J858" t="s">
        <v>159</v>
      </c>
      <c r="K858">
        <v>1.0912942018430161E-3</v>
      </c>
      <c r="L858" t="s">
        <v>154</v>
      </c>
      <c r="N858" t="s">
        <v>223</v>
      </c>
      <c r="O858" t="s">
        <v>159</v>
      </c>
      <c r="P858">
        <v>1.1813208619266124E-3</v>
      </c>
      <c r="Q858" t="s">
        <v>154</v>
      </c>
      <c r="S858" t="s">
        <v>254</v>
      </c>
      <c r="T858" t="s">
        <v>159</v>
      </c>
      <c r="U858">
        <v>8.8675210086160334E-4</v>
      </c>
      <c r="V858" t="s">
        <v>154</v>
      </c>
    </row>
    <row r="859" spans="9:22" x14ac:dyDescent="0.25">
      <c r="I859" t="s">
        <v>193</v>
      </c>
      <c r="J859" t="s">
        <v>285</v>
      </c>
      <c r="K859">
        <v>0</v>
      </c>
      <c r="L859" t="s">
        <v>154</v>
      </c>
      <c r="N859" t="s">
        <v>223</v>
      </c>
      <c r="O859" t="s">
        <v>285</v>
      </c>
      <c r="P859">
        <v>1.1540580282129844E-3</v>
      </c>
      <c r="Q859" t="s">
        <v>154</v>
      </c>
      <c r="S859" t="s">
        <v>254</v>
      </c>
      <c r="T859" t="s">
        <v>285</v>
      </c>
      <c r="U859">
        <v>7.5233899331149758E-4</v>
      </c>
      <c r="V859" t="s">
        <v>154</v>
      </c>
    </row>
    <row r="860" spans="9:22" x14ac:dyDescent="0.25">
      <c r="I860" t="s">
        <v>193</v>
      </c>
      <c r="J860" t="s">
        <v>286</v>
      </c>
      <c r="K860">
        <v>0</v>
      </c>
      <c r="L860" t="s">
        <v>154</v>
      </c>
      <c r="N860" t="s">
        <v>223</v>
      </c>
      <c r="O860" t="s">
        <v>286</v>
      </c>
      <c r="P860">
        <v>4.8473185010492435E-3</v>
      </c>
      <c r="Q860" t="s">
        <v>154</v>
      </c>
      <c r="S860" t="s">
        <v>254</v>
      </c>
      <c r="T860" t="s">
        <v>286</v>
      </c>
      <c r="U860">
        <v>5.3100758759846451E-3</v>
      </c>
      <c r="V860" t="s">
        <v>154</v>
      </c>
    </row>
    <row r="861" spans="9:22" x14ac:dyDescent="0.25">
      <c r="I861" t="s">
        <v>193</v>
      </c>
      <c r="J861" t="s">
        <v>160</v>
      </c>
      <c r="K861">
        <v>9.9367290823080795E-2</v>
      </c>
      <c r="L861" t="s">
        <v>154</v>
      </c>
      <c r="N861" t="s">
        <v>223</v>
      </c>
      <c r="O861" t="s">
        <v>160</v>
      </c>
      <c r="P861">
        <v>0.18305080616584263</v>
      </c>
      <c r="Q861" t="s">
        <v>154</v>
      </c>
      <c r="S861" t="s">
        <v>254</v>
      </c>
      <c r="T861" t="s">
        <v>160</v>
      </c>
      <c r="U861">
        <v>0.23903232353653142</v>
      </c>
      <c r="V861" t="s">
        <v>154</v>
      </c>
    </row>
    <row r="862" spans="9:22" x14ac:dyDescent="0.25">
      <c r="I862" t="s">
        <v>193</v>
      </c>
      <c r="J862" t="s">
        <v>161</v>
      </c>
      <c r="K862">
        <v>0.58623566106480718</v>
      </c>
      <c r="L862" t="s">
        <v>154</v>
      </c>
      <c r="N862" t="s">
        <v>223</v>
      </c>
      <c r="O862" t="s">
        <v>161</v>
      </c>
      <c r="P862">
        <v>0.24080438231338125</v>
      </c>
      <c r="Q862" t="s">
        <v>154</v>
      </c>
      <c r="S862" t="s">
        <v>254</v>
      </c>
      <c r="T862" t="s">
        <v>161</v>
      </c>
      <c r="U862">
        <v>0.20371663624629513</v>
      </c>
      <c r="V862" t="s">
        <v>154</v>
      </c>
    </row>
    <row r="863" spans="9:22" x14ac:dyDescent="0.25">
      <c r="I863" t="s">
        <v>193</v>
      </c>
      <c r="J863" t="s">
        <v>162</v>
      </c>
      <c r="K863">
        <v>4.1577998611653157E-2</v>
      </c>
      <c r="L863" t="s">
        <v>154</v>
      </c>
      <c r="N863" t="s">
        <v>223</v>
      </c>
      <c r="O863" t="s">
        <v>162</v>
      </c>
      <c r="P863">
        <v>2.8254902892942232E-2</v>
      </c>
      <c r="Q863" t="s">
        <v>154</v>
      </c>
      <c r="S863" t="s">
        <v>254</v>
      </c>
      <c r="T863" t="s">
        <v>162</v>
      </c>
      <c r="U863">
        <v>2.9387890970470659E-2</v>
      </c>
      <c r="V863" t="s">
        <v>154</v>
      </c>
    </row>
    <row r="864" spans="9:22" x14ac:dyDescent="0.25">
      <c r="I864" t="s">
        <v>193</v>
      </c>
      <c r="J864" t="s">
        <v>287</v>
      </c>
      <c r="K864">
        <v>1.9480992738794514E-2</v>
      </c>
      <c r="L864" t="s">
        <v>154</v>
      </c>
      <c r="N864" t="s">
        <v>223</v>
      </c>
      <c r="O864" t="s">
        <v>287</v>
      </c>
      <c r="P864">
        <v>2.6820471373901797E-2</v>
      </c>
      <c r="Q864" t="s">
        <v>154</v>
      </c>
      <c r="S864" t="s">
        <v>254</v>
      </c>
      <c r="T864" t="s">
        <v>287</v>
      </c>
      <c r="U864">
        <v>2.6153185611446972E-2</v>
      </c>
      <c r="V864" t="s">
        <v>154</v>
      </c>
    </row>
    <row r="865" spans="9:22" x14ac:dyDescent="0.25">
      <c r="I865" t="s">
        <v>193</v>
      </c>
      <c r="J865" t="s">
        <v>288</v>
      </c>
      <c r="K865">
        <v>3.8467705447482736E-3</v>
      </c>
      <c r="L865" t="s">
        <v>154</v>
      </c>
      <c r="N865" t="s">
        <v>223</v>
      </c>
      <c r="O865" t="s">
        <v>288</v>
      </c>
      <c r="P865">
        <v>0.10868380900403926</v>
      </c>
      <c r="Q865" t="s">
        <v>154</v>
      </c>
      <c r="S865" t="s">
        <v>254</v>
      </c>
      <c r="T865" t="s">
        <v>288</v>
      </c>
      <c r="U865">
        <v>0.14212827493679284</v>
      </c>
      <c r="V865" t="s">
        <v>154</v>
      </c>
    </row>
    <row r="866" spans="9:22" x14ac:dyDescent="0.25">
      <c r="I866" t="s">
        <v>193</v>
      </c>
      <c r="J866" t="s">
        <v>163</v>
      </c>
      <c r="K866">
        <v>2.1062498473221241E-3</v>
      </c>
      <c r="L866" t="s">
        <v>154</v>
      </c>
      <c r="N866" t="s">
        <v>223</v>
      </c>
      <c r="O866" t="s">
        <v>163</v>
      </c>
      <c r="P866">
        <v>8.5851509025391213E-3</v>
      </c>
      <c r="Q866" t="s">
        <v>154</v>
      </c>
      <c r="S866" t="s">
        <v>254</v>
      </c>
      <c r="T866" t="s">
        <v>163</v>
      </c>
      <c r="U866">
        <v>1.5881599930398067E-2</v>
      </c>
      <c r="V866" t="s">
        <v>154</v>
      </c>
    </row>
    <row r="867" spans="9:22" x14ac:dyDescent="0.25">
      <c r="I867" t="s">
        <v>193</v>
      </c>
      <c r="J867" t="s">
        <v>164</v>
      </c>
      <c r="K867">
        <v>1.451455354506207E-2</v>
      </c>
      <c r="L867" t="s">
        <v>154</v>
      </c>
      <c r="N867" t="s">
        <v>223</v>
      </c>
      <c r="O867" t="s">
        <v>164</v>
      </c>
      <c r="P867">
        <v>1.017123338300251E-2</v>
      </c>
      <c r="Q867" t="s">
        <v>154</v>
      </c>
      <c r="S867" t="s">
        <v>254</v>
      </c>
      <c r="T867" t="s">
        <v>164</v>
      </c>
      <c r="U867">
        <v>1.423830445268978E-2</v>
      </c>
      <c r="V867" t="s">
        <v>154</v>
      </c>
    </row>
    <row r="868" spans="9:22" x14ac:dyDescent="0.25">
      <c r="I868" t="s">
        <v>193</v>
      </c>
      <c r="J868" t="s">
        <v>165</v>
      </c>
      <c r="K868">
        <v>6.8223227861146729E-4</v>
      </c>
      <c r="L868" t="s">
        <v>154</v>
      </c>
      <c r="N868" t="s">
        <v>223</v>
      </c>
      <c r="O868" t="s">
        <v>165</v>
      </c>
      <c r="P868">
        <v>1.2456572384963443E-3</v>
      </c>
      <c r="Q868" t="s">
        <v>154</v>
      </c>
      <c r="S868" t="s">
        <v>254</v>
      </c>
      <c r="T868" t="s">
        <v>165</v>
      </c>
      <c r="U868">
        <v>1.9215213692093172E-3</v>
      </c>
      <c r="V868" t="s">
        <v>154</v>
      </c>
    </row>
    <row r="869" spans="9:22" x14ac:dyDescent="0.25">
      <c r="I869" t="s">
        <v>193</v>
      </c>
      <c r="J869" t="s">
        <v>289</v>
      </c>
      <c r="K869">
        <v>0</v>
      </c>
      <c r="L869" t="s">
        <v>154</v>
      </c>
      <c r="N869" t="s">
        <v>223</v>
      </c>
      <c r="O869" t="s">
        <v>289</v>
      </c>
      <c r="P869">
        <v>1.2427820775641617E-3</v>
      </c>
      <c r="Q869" t="s">
        <v>154</v>
      </c>
      <c r="S869" t="s">
        <v>254</v>
      </c>
      <c r="T869" t="s">
        <v>289</v>
      </c>
      <c r="U869">
        <v>1.8204598334863567E-3</v>
      </c>
      <c r="V869" t="s">
        <v>154</v>
      </c>
    </row>
    <row r="870" spans="9:22" x14ac:dyDescent="0.25">
      <c r="I870" t="s">
        <v>193</v>
      </c>
      <c r="J870" t="s">
        <v>290</v>
      </c>
      <c r="K870">
        <v>0</v>
      </c>
      <c r="L870" t="s">
        <v>154</v>
      </c>
      <c r="N870" t="s">
        <v>223</v>
      </c>
      <c r="O870" t="s">
        <v>290</v>
      </c>
      <c r="P870">
        <v>5.0217264095298855E-3</v>
      </c>
      <c r="Q870" t="s">
        <v>154</v>
      </c>
      <c r="S870" t="s">
        <v>254</v>
      </c>
      <c r="T870" t="s">
        <v>290</v>
      </c>
      <c r="U870">
        <v>9.2972606317067875E-3</v>
      </c>
      <c r="V870" t="s">
        <v>154</v>
      </c>
    </row>
    <row r="871" spans="9:22" x14ac:dyDescent="0.25">
      <c r="I871" t="s">
        <v>193</v>
      </c>
      <c r="J871" t="s">
        <v>297</v>
      </c>
      <c r="K871">
        <v>6.8714530848616711E-3</v>
      </c>
      <c r="L871" t="s">
        <v>154</v>
      </c>
      <c r="N871" t="s">
        <v>223</v>
      </c>
      <c r="O871" t="s">
        <v>297</v>
      </c>
      <c r="P871">
        <v>2.6827292745801007E-2</v>
      </c>
      <c r="Q871" t="s">
        <v>154</v>
      </c>
      <c r="S871" t="s">
        <v>254</v>
      </c>
      <c r="T871" t="s">
        <v>297</v>
      </c>
      <c r="U871">
        <v>2.3931520267263525E-2</v>
      </c>
      <c r="V871" t="s">
        <v>154</v>
      </c>
    </row>
    <row r="872" spans="9:22" x14ac:dyDescent="0.25">
      <c r="I872" t="s">
        <v>193</v>
      </c>
      <c r="J872" t="s">
        <v>298</v>
      </c>
      <c r="K872">
        <v>5.5695872737548044E-2</v>
      </c>
      <c r="L872" t="s">
        <v>154</v>
      </c>
      <c r="N872" t="s">
        <v>223</v>
      </c>
      <c r="O872" t="s">
        <v>298</v>
      </c>
      <c r="P872">
        <v>2.7355231457107897E-2</v>
      </c>
      <c r="Q872" t="s">
        <v>154</v>
      </c>
      <c r="S872" t="s">
        <v>254</v>
      </c>
      <c r="T872" t="s">
        <v>298</v>
      </c>
      <c r="U872">
        <v>2.0396496282727612E-2</v>
      </c>
      <c r="V872" t="s">
        <v>154</v>
      </c>
    </row>
    <row r="873" spans="9:22" x14ac:dyDescent="0.25">
      <c r="I873" t="s">
        <v>193</v>
      </c>
      <c r="J873" t="s">
        <v>299</v>
      </c>
      <c r="K873">
        <v>6.3402528739414448E-5</v>
      </c>
      <c r="L873" t="s">
        <v>154</v>
      </c>
      <c r="N873" t="s">
        <v>223</v>
      </c>
      <c r="O873" t="s">
        <v>299</v>
      </c>
      <c r="P873">
        <v>2.6856148112440093E-3</v>
      </c>
      <c r="Q873" t="s">
        <v>154</v>
      </c>
      <c r="S873" t="s">
        <v>254</v>
      </c>
      <c r="T873" t="s">
        <v>299</v>
      </c>
      <c r="U873">
        <v>2.7633617245737393E-3</v>
      </c>
      <c r="V873" t="s">
        <v>154</v>
      </c>
    </row>
    <row r="874" spans="9:22" x14ac:dyDescent="0.25">
      <c r="I874" t="s">
        <v>193</v>
      </c>
      <c r="J874" t="s">
        <v>300</v>
      </c>
      <c r="K874">
        <v>0</v>
      </c>
      <c r="L874" t="s">
        <v>154</v>
      </c>
      <c r="N874" t="s">
        <v>223</v>
      </c>
      <c r="O874" t="s">
        <v>300</v>
      </c>
      <c r="P874">
        <v>2.6119269519616658E-3</v>
      </c>
      <c r="Q874" t="s">
        <v>154</v>
      </c>
      <c r="S874" t="s">
        <v>254</v>
      </c>
      <c r="T874" t="s">
        <v>300</v>
      </c>
      <c r="U874">
        <v>2.5335223993323973E-3</v>
      </c>
      <c r="V874" t="s">
        <v>154</v>
      </c>
    </row>
    <row r="875" spans="9:22" x14ac:dyDescent="0.25">
      <c r="I875" t="s">
        <v>193</v>
      </c>
      <c r="J875" t="s">
        <v>301</v>
      </c>
      <c r="K875">
        <v>0</v>
      </c>
      <c r="L875" t="s">
        <v>154</v>
      </c>
      <c r="N875" t="s">
        <v>223</v>
      </c>
      <c r="O875" t="s">
        <v>301</v>
      </c>
      <c r="P875">
        <v>1.4063296037306182E-2</v>
      </c>
      <c r="Q875" t="s">
        <v>154</v>
      </c>
      <c r="S875" t="s">
        <v>254</v>
      </c>
      <c r="T875" t="s">
        <v>301</v>
      </c>
      <c r="U875">
        <v>1.4203724218587465E-2</v>
      </c>
      <c r="V875" t="s">
        <v>154</v>
      </c>
    </row>
    <row r="876" spans="9:22" x14ac:dyDescent="0.25">
      <c r="I876" t="s">
        <v>193</v>
      </c>
      <c r="J876" t="s">
        <v>302</v>
      </c>
      <c r="K876">
        <v>4.2265213857812607E-3</v>
      </c>
      <c r="L876" t="s">
        <v>154</v>
      </c>
      <c r="N876" t="s">
        <v>223</v>
      </c>
      <c r="O876" t="s">
        <v>302</v>
      </c>
      <c r="P876">
        <v>5.7625953649978211E-2</v>
      </c>
      <c r="Q876" t="s">
        <v>154</v>
      </c>
      <c r="S876" t="s">
        <v>254</v>
      </c>
      <c r="T876" t="s">
        <v>302</v>
      </c>
      <c r="U876">
        <v>5.2174403386889397E-2</v>
      </c>
      <c r="V876" t="s">
        <v>154</v>
      </c>
    </row>
    <row r="877" spans="9:22" x14ac:dyDescent="0.25">
      <c r="I877" t="s">
        <v>193</v>
      </c>
      <c r="J877" t="s">
        <v>303</v>
      </c>
      <c r="K877">
        <v>6.0006115982182889E-2</v>
      </c>
      <c r="L877" t="s">
        <v>154</v>
      </c>
      <c r="N877" t="s">
        <v>223</v>
      </c>
      <c r="O877" t="s">
        <v>303</v>
      </c>
      <c r="P877">
        <v>5.8732571840535361E-2</v>
      </c>
      <c r="Q877" t="s">
        <v>154</v>
      </c>
      <c r="S877" t="s">
        <v>254</v>
      </c>
      <c r="T877" t="s">
        <v>303</v>
      </c>
      <c r="U877">
        <v>4.3682956147779117E-2</v>
      </c>
      <c r="V877" t="s">
        <v>154</v>
      </c>
    </row>
    <row r="878" spans="9:22" x14ac:dyDescent="0.25">
      <c r="I878" t="s">
        <v>193</v>
      </c>
      <c r="J878" t="s">
        <v>304</v>
      </c>
      <c r="K878">
        <v>0</v>
      </c>
      <c r="L878" t="s">
        <v>154</v>
      </c>
      <c r="N878" t="s">
        <v>223</v>
      </c>
      <c r="O878" t="s">
        <v>304</v>
      </c>
      <c r="P878">
        <v>6.1635931242649796E-3</v>
      </c>
      <c r="Q878" t="s">
        <v>154</v>
      </c>
      <c r="S878" t="s">
        <v>254</v>
      </c>
      <c r="T878" t="s">
        <v>304</v>
      </c>
      <c r="U878">
        <v>5.6059492616659145E-3</v>
      </c>
      <c r="V878" t="s">
        <v>154</v>
      </c>
    </row>
    <row r="879" spans="9:22" x14ac:dyDescent="0.25">
      <c r="I879" t="s">
        <v>193</v>
      </c>
      <c r="J879" t="s">
        <v>305</v>
      </c>
      <c r="K879">
        <v>0</v>
      </c>
      <c r="L879" t="s">
        <v>154</v>
      </c>
      <c r="N879" t="s">
        <v>223</v>
      </c>
      <c r="O879" t="s">
        <v>305</v>
      </c>
      <c r="P879">
        <v>6.1709750367807256E-3</v>
      </c>
      <c r="Q879" t="s">
        <v>154</v>
      </c>
      <c r="S879" t="s">
        <v>254</v>
      </c>
      <c r="T879" t="s">
        <v>305</v>
      </c>
      <c r="U879">
        <v>5.2104537058579904E-3</v>
      </c>
      <c r="V879" t="s">
        <v>154</v>
      </c>
    </row>
    <row r="880" spans="9:22" x14ac:dyDescent="0.25">
      <c r="I880" t="s">
        <v>193</v>
      </c>
      <c r="J880" t="s">
        <v>306</v>
      </c>
      <c r="K880">
        <v>0</v>
      </c>
      <c r="L880" t="s">
        <v>154</v>
      </c>
      <c r="N880" t="s">
        <v>223</v>
      </c>
      <c r="O880" t="s">
        <v>306</v>
      </c>
      <c r="P880">
        <v>2.9464248151616326E-2</v>
      </c>
      <c r="Q880" t="s">
        <v>154</v>
      </c>
      <c r="S880" t="s">
        <v>254</v>
      </c>
      <c r="T880" t="s">
        <v>306</v>
      </c>
      <c r="U880">
        <v>2.7499947606543867E-2</v>
      </c>
      <c r="V880" t="s">
        <v>154</v>
      </c>
    </row>
    <row r="881" spans="9:22" x14ac:dyDescent="0.25">
      <c r="I881" t="s">
        <v>194</v>
      </c>
      <c r="J881" t="s">
        <v>153</v>
      </c>
      <c r="K881">
        <v>5.2122583009870764E-3</v>
      </c>
      <c r="L881" t="s">
        <v>154</v>
      </c>
      <c r="N881" t="s">
        <v>224</v>
      </c>
      <c r="O881" t="s">
        <v>153</v>
      </c>
      <c r="P881">
        <v>4.4938805199234856E-2</v>
      </c>
      <c r="Q881" t="s">
        <v>154</v>
      </c>
      <c r="S881" t="s">
        <v>255</v>
      </c>
      <c r="T881" t="s">
        <v>153</v>
      </c>
      <c r="U881">
        <v>3.8657415626498867E-2</v>
      </c>
      <c r="V881" t="s">
        <v>154</v>
      </c>
    </row>
    <row r="882" spans="9:22" x14ac:dyDescent="0.25">
      <c r="I882" t="s">
        <v>194</v>
      </c>
      <c r="J882" t="s">
        <v>155</v>
      </c>
      <c r="K882">
        <v>7.7897254004414287E-2</v>
      </c>
      <c r="L882" t="s">
        <v>154</v>
      </c>
      <c r="N882" t="s">
        <v>224</v>
      </c>
      <c r="O882" t="s">
        <v>155</v>
      </c>
      <c r="P882">
        <v>4.1756209463608016E-2</v>
      </c>
      <c r="Q882" t="s">
        <v>154</v>
      </c>
      <c r="S882" t="s">
        <v>255</v>
      </c>
      <c r="T882" t="s">
        <v>155</v>
      </c>
      <c r="U882">
        <v>3.380184536909818E-2</v>
      </c>
      <c r="V882" t="s">
        <v>154</v>
      </c>
    </row>
    <row r="883" spans="9:22" x14ac:dyDescent="0.25">
      <c r="I883" t="s">
        <v>194</v>
      </c>
      <c r="J883" t="s">
        <v>156</v>
      </c>
      <c r="K883">
        <v>2.9023642480176118E-3</v>
      </c>
      <c r="L883" t="s">
        <v>154</v>
      </c>
      <c r="N883" t="s">
        <v>224</v>
      </c>
      <c r="O883" t="s">
        <v>156</v>
      </c>
      <c r="P883">
        <v>4.7364909096921284E-3</v>
      </c>
      <c r="Q883" t="s">
        <v>154</v>
      </c>
      <c r="S883" t="s">
        <v>255</v>
      </c>
      <c r="T883" t="s">
        <v>156</v>
      </c>
      <c r="U883">
        <v>5.04169101834073E-3</v>
      </c>
      <c r="V883" t="s">
        <v>154</v>
      </c>
    </row>
    <row r="884" spans="9:22" x14ac:dyDescent="0.25">
      <c r="I884" t="s">
        <v>194</v>
      </c>
      <c r="J884" t="s">
        <v>283</v>
      </c>
      <c r="K884">
        <v>0</v>
      </c>
      <c r="L884" t="s">
        <v>154</v>
      </c>
      <c r="N884" t="s">
        <v>224</v>
      </c>
      <c r="O884" t="s">
        <v>283</v>
      </c>
      <c r="P884">
        <v>4.6278015615996435E-3</v>
      </c>
      <c r="Q884" t="s">
        <v>154</v>
      </c>
      <c r="S884" t="s">
        <v>255</v>
      </c>
      <c r="T884" t="s">
        <v>283</v>
      </c>
      <c r="U884">
        <v>5.066454218276323E-3</v>
      </c>
      <c r="V884" t="s">
        <v>154</v>
      </c>
    </row>
    <row r="885" spans="9:22" x14ac:dyDescent="0.25">
      <c r="I885" t="s">
        <v>194</v>
      </c>
      <c r="J885" t="s">
        <v>284</v>
      </c>
      <c r="K885">
        <v>0</v>
      </c>
      <c r="L885" t="s">
        <v>154</v>
      </c>
      <c r="N885" t="s">
        <v>224</v>
      </c>
      <c r="O885" t="s">
        <v>284</v>
      </c>
      <c r="P885">
        <v>2.2609275688441437E-2</v>
      </c>
      <c r="Q885" t="s">
        <v>154</v>
      </c>
      <c r="S885" t="s">
        <v>255</v>
      </c>
      <c r="T885" t="s">
        <v>284</v>
      </c>
      <c r="U885">
        <v>2.3342699584273065E-2</v>
      </c>
      <c r="V885" t="s">
        <v>154</v>
      </c>
    </row>
    <row r="886" spans="9:22" x14ac:dyDescent="0.25">
      <c r="I886" t="s">
        <v>194</v>
      </c>
      <c r="J886" t="s">
        <v>157</v>
      </c>
      <c r="K886">
        <v>1.4702395932539815E-3</v>
      </c>
      <c r="L886" t="s">
        <v>154</v>
      </c>
      <c r="N886" t="s">
        <v>224</v>
      </c>
      <c r="O886" t="s">
        <v>157</v>
      </c>
      <c r="P886">
        <v>6.5366599265361501E-3</v>
      </c>
      <c r="Q886" t="s">
        <v>154</v>
      </c>
      <c r="S886" t="s">
        <v>255</v>
      </c>
      <c r="T886" t="s">
        <v>157</v>
      </c>
      <c r="U886">
        <v>1.1570892728649992E-2</v>
      </c>
      <c r="V886" t="s">
        <v>154</v>
      </c>
    </row>
    <row r="887" spans="9:22" x14ac:dyDescent="0.25">
      <c r="I887" t="s">
        <v>194</v>
      </c>
      <c r="J887" t="s">
        <v>158</v>
      </c>
      <c r="K887">
        <v>2.0124897153845928E-2</v>
      </c>
      <c r="L887" t="s">
        <v>154</v>
      </c>
      <c r="N887" t="s">
        <v>224</v>
      </c>
      <c r="O887" t="s">
        <v>158</v>
      </c>
      <c r="P887">
        <v>7.1329261475816513E-3</v>
      </c>
      <c r="Q887" t="s">
        <v>154</v>
      </c>
      <c r="S887" t="s">
        <v>255</v>
      </c>
      <c r="T887" t="s">
        <v>158</v>
      </c>
      <c r="U887">
        <v>8.7247358658806336E-3</v>
      </c>
      <c r="V887" t="s">
        <v>154</v>
      </c>
    </row>
    <row r="888" spans="9:22" x14ac:dyDescent="0.25">
      <c r="I888" t="s">
        <v>194</v>
      </c>
      <c r="J888" t="s">
        <v>159</v>
      </c>
      <c r="K888">
        <v>1.5602200406552261E-3</v>
      </c>
      <c r="L888" t="s">
        <v>154</v>
      </c>
      <c r="N888" t="s">
        <v>224</v>
      </c>
      <c r="O888" t="s">
        <v>159</v>
      </c>
      <c r="P888">
        <v>8.9314151674713702E-4</v>
      </c>
      <c r="Q888" t="s">
        <v>154</v>
      </c>
      <c r="S888" t="s">
        <v>255</v>
      </c>
      <c r="T888" t="s">
        <v>159</v>
      </c>
      <c r="U888">
        <v>1.1716566000977019E-3</v>
      </c>
      <c r="V888" t="s">
        <v>154</v>
      </c>
    </row>
    <row r="889" spans="9:22" x14ac:dyDescent="0.25">
      <c r="I889" t="s">
        <v>194</v>
      </c>
      <c r="J889" t="s">
        <v>285</v>
      </c>
      <c r="K889">
        <v>0</v>
      </c>
      <c r="L889" t="s">
        <v>154</v>
      </c>
      <c r="N889" t="s">
        <v>224</v>
      </c>
      <c r="O889" t="s">
        <v>285</v>
      </c>
      <c r="P889">
        <v>8.532283728682115E-4</v>
      </c>
      <c r="Q889" t="s">
        <v>154</v>
      </c>
      <c r="S889" t="s">
        <v>255</v>
      </c>
      <c r="T889" t="s">
        <v>285</v>
      </c>
      <c r="U889">
        <v>1.1785564831305055E-3</v>
      </c>
      <c r="V889" t="s">
        <v>154</v>
      </c>
    </row>
    <row r="890" spans="9:22" x14ac:dyDescent="0.25">
      <c r="I890" t="s">
        <v>194</v>
      </c>
      <c r="J890" t="s">
        <v>286</v>
      </c>
      <c r="K890">
        <v>0</v>
      </c>
      <c r="L890" t="s">
        <v>154</v>
      </c>
      <c r="N890" t="s">
        <v>224</v>
      </c>
      <c r="O890" t="s">
        <v>286</v>
      </c>
      <c r="P890">
        <v>3.9375440618001694E-3</v>
      </c>
      <c r="Q890" t="s">
        <v>154</v>
      </c>
      <c r="S890" t="s">
        <v>255</v>
      </c>
      <c r="T890" t="s">
        <v>286</v>
      </c>
      <c r="U890">
        <v>5.7599414334548243E-3</v>
      </c>
      <c r="V890" t="s">
        <v>154</v>
      </c>
    </row>
    <row r="891" spans="9:22" x14ac:dyDescent="0.25">
      <c r="I891" t="s">
        <v>194</v>
      </c>
      <c r="J891" t="s">
        <v>160</v>
      </c>
      <c r="K891">
        <v>9.8549567234382296E-2</v>
      </c>
      <c r="L891" t="s">
        <v>154</v>
      </c>
      <c r="N891" t="s">
        <v>224</v>
      </c>
      <c r="O891" t="s">
        <v>160</v>
      </c>
      <c r="P891">
        <v>0.21616745641599419</v>
      </c>
      <c r="Q891" t="s">
        <v>154</v>
      </c>
      <c r="S891" t="s">
        <v>255</v>
      </c>
      <c r="T891" t="s">
        <v>160</v>
      </c>
      <c r="U891">
        <v>0.23528882779122817</v>
      </c>
      <c r="V891" t="s">
        <v>154</v>
      </c>
    </row>
    <row r="892" spans="9:22" x14ac:dyDescent="0.25">
      <c r="I892" t="s">
        <v>194</v>
      </c>
      <c r="J892" t="s">
        <v>161</v>
      </c>
      <c r="K892">
        <v>0.583534754411145</v>
      </c>
      <c r="L892" t="s">
        <v>154</v>
      </c>
      <c r="N892" t="s">
        <v>224</v>
      </c>
      <c r="O892" t="s">
        <v>161</v>
      </c>
      <c r="P892">
        <v>0.22048792989307989</v>
      </c>
      <c r="Q892" t="s">
        <v>154</v>
      </c>
      <c r="S892" t="s">
        <v>255</v>
      </c>
      <c r="T892" t="s">
        <v>161</v>
      </c>
      <c r="U892">
        <v>0.19795887103206444</v>
      </c>
      <c r="V892" t="s">
        <v>154</v>
      </c>
    </row>
    <row r="893" spans="9:22" x14ac:dyDescent="0.25">
      <c r="I893" t="s">
        <v>194</v>
      </c>
      <c r="J893" t="s">
        <v>162</v>
      </c>
      <c r="K893">
        <v>4.0796612459476599E-2</v>
      </c>
      <c r="L893" t="s">
        <v>154</v>
      </c>
      <c r="N893" t="s">
        <v>224</v>
      </c>
      <c r="O893" t="s">
        <v>162</v>
      </c>
      <c r="P893">
        <v>2.5884111253877833E-2</v>
      </c>
      <c r="Q893" t="s">
        <v>154</v>
      </c>
      <c r="S893" t="s">
        <v>255</v>
      </c>
      <c r="T893" t="s">
        <v>162</v>
      </c>
      <c r="U893">
        <v>2.6155404321114725E-2</v>
      </c>
      <c r="V893" t="s">
        <v>154</v>
      </c>
    </row>
    <row r="894" spans="9:22" x14ac:dyDescent="0.25">
      <c r="I894" t="s">
        <v>194</v>
      </c>
      <c r="J894" t="s">
        <v>287</v>
      </c>
      <c r="K894">
        <v>1.9222789936270253E-2</v>
      </c>
      <c r="L894" t="s">
        <v>154</v>
      </c>
      <c r="N894" t="s">
        <v>224</v>
      </c>
      <c r="O894" t="s">
        <v>287</v>
      </c>
      <c r="P894">
        <v>2.5178350830495948E-2</v>
      </c>
      <c r="Q894" t="s">
        <v>154</v>
      </c>
      <c r="S894" t="s">
        <v>255</v>
      </c>
      <c r="T894" t="s">
        <v>287</v>
      </c>
      <c r="U894">
        <v>2.6296859819533357E-2</v>
      </c>
      <c r="V894" t="s">
        <v>154</v>
      </c>
    </row>
    <row r="895" spans="9:22" x14ac:dyDescent="0.25">
      <c r="I895" t="s">
        <v>194</v>
      </c>
      <c r="J895" t="s">
        <v>288</v>
      </c>
      <c r="K895">
        <v>3.0018441088996853E-3</v>
      </c>
      <c r="L895" t="s">
        <v>154</v>
      </c>
      <c r="N895" t="s">
        <v>224</v>
      </c>
      <c r="O895" t="s">
        <v>288</v>
      </c>
      <c r="P895">
        <v>0.11888844409816059</v>
      </c>
      <c r="Q895" t="s">
        <v>154</v>
      </c>
      <c r="S895" t="s">
        <v>255</v>
      </c>
      <c r="T895" t="s">
        <v>288</v>
      </c>
      <c r="U895">
        <v>0.12413666099335992</v>
      </c>
      <c r="V895" t="s">
        <v>154</v>
      </c>
    </row>
    <row r="896" spans="9:22" x14ac:dyDescent="0.25">
      <c r="I896" t="s">
        <v>194</v>
      </c>
      <c r="J896" t="s">
        <v>163</v>
      </c>
      <c r="K896">
        <v>1.7952974178848237E-3</v>
      </c>
      <c r="L896" t="s">
        <v>154</v>
      </c>
      <c r="N896" t="s">
        <v>224</v>
      </c>
      <c r="O896" t="s">
        <v>163</v>
      </c>
      <c r="P896">
        <v>9.3951070080466707E-3</v>
      </c>
      <c r="Q896" t="s">
        <v>154</v>
      </c>
      <c r="S896" t="s">
        <v>255</v>
      </c>
      <c r="T896" t="s">
        <v>163</v>
      </c>
      <c r="U896">
        <v>1.2482556647635623E-2</v>
      </c>
      <c r="V896" t="s">
        <v>154</v>
      </c>
    </row>
    <row r="897" spans="9:22" x14ac:dyDescent="0.25">
      <c r="I897" t="s">
        <v>194</v>
      </c>
      <c r="J897" t="s">
        <v>164</v>
      </c>
      <c r="K897">
        <v>1.3487521120339289E-2</v>
      </c>
      <c r="L897" t="s">
        <v>154</v>
      </c>
      <c r="N897" t="s">
        <v>224</v>
      </c>
      <c r="O897" t="s">
        <v>164</v>
      </c>
      <c r="P897">
        <v>1.0863668706753878E-2</v>
      </c>
      <c r="Q897" t="s">
        <v>154</v>
      </c>
      <c r="S897" t="s">
        <v>255</v>
      </c>
      <c r="T897" t="s">
        <v>164</v>
      </c>
      <c r="U897">
        <v>1.0825447304801523E-2</v>
      </c>
      <c r="V897" t="s">
        <v>154</v>
      </c>
    </row>
    <row r="898" spans="9:22" x14ac:dyDescent="0.25">
      <c r="I898" t="s">
        <v>194</v>
      </c>
      <c r="J898" t="s">
        <v>165</v>
      </c>
      <c r="K898">
        <v>6.0051056298487211E-4</v>
      </c>
      <c r="L898" t="s">
        <v>154</v>
      </c>
      <c r="N898" t="s">
        <v>224</v>
      </c>
      <c r="O898" t="s">
        <v>165</v>
      </c>
      <c r="P898">
        <v>1.4051047930527354E-3</v>
      </c>
      <c r="Q898" t="s">
        <v>154</v>
      </c>
      <c r="S898" t="s">
        <v>255</v>
      </c>
      <c r="T898" t="s">
        <v>165</v>
      </c>
      <c r="U898">
        <v>1.5340068540745609E-3</v>
      </c>
      <c r="V898" t="s">
        <v>154</v>
      </c>
    </row>
    <row r="899" spans="9:22" x14ac:dyDescent="0.25">
      <c r="I899" t="s">
        <v>194</v>
      </c>
      <c r="J899" t="s">
        <v>289</v>
      </c>
      <c r="K899">
        <v>0</v>
      </c>
      <c r="L899" t="s">
        <v>154</v>
      </c>
      <c r="N899" t="s">
        <v>224</v>
      </c>
      <c r="O899" t="s">
        <v>289</v>
      </c>
      <c r="P899">
        <v>1.3776600153040234E-3</v>
      </c>
      <c r="Q899" t="s">
        <v>154</v>
      </c>
      <c r="S899" t="s">
        <v>255</v>
      </c>
      <c r="T899" t="s">
        <v>289</v>
      </c>
      <c r="U899">
        <v>1.5450051647909672E-3</v>
      </c>
      <c r="V899" t="s">
        <v>154</v>
      </c>
    </row>
    <row r="900" spans="9:22" x14ac:dyDescent="0.25">
      <c r="I900" t="s">
        <v>194</v>
      </c>
      <c r="J900" t="s">
        <v>290</v>
      </c>
      <c r="K900">
        <v>0</v>
      </c>
      <c r="L900" t="s">
        <v>154</v>
      </c>
      <c r="N900" t="s">
        <v>224</v>
      </c>
      <c r="O900" t="s">
        <v>290</v>
      </c>
      <c r="P900">
        <v>5.6232465649837934E-3</v>
      </c>
      <c r="Q900" t="s">
        <v>154</v>
      </c>
      <c r="S900" t="s">
        <v>255</v>
      </c>
      <c r="T900" t="s">
        <v>290</v>
      </c>
      <c r="U900">
        <v>7.0425987602962294E-3</v>
      </c>
      <c r="V900" t="s">
        <v>154</v>
      </c>
    </row>
    <row r="901" spans="9:22" x14ac:dyDescent="0.25">
      <c r="I901" t="s">
        <v>194</v>
      </c>
      <c r="J901" t="s">
        <v>297</v>
      </c>
      <c r="K901">
        <v>7.20379423380672E-3</v>
      </c>
      <c r="L901" t="s">
        <v>154</v>
      </c>
      <c r="N901" t="s">
        <v>224</v>
      </c>
      <c r="O901" t="s">
        <v>297</v>
      </c>
      <c r="P901">
        <v>2.6972451304163769E-2</v>
      </c>
      <c r="Q901" t="s">
        <v>154</v>
      </c>
      <c r="S901" t="s">
        <v>255</v>
      </c>
      <c r="T901" t="s">
        <v>297</v>
      </c>
      <c r="U901">
        <v>2.7229356091667559E-2</v>
      </c>
      <c r="V901" t="s">
        <v>154</v>
      </c>
    </row>
    <row r="902" spans="9:22" x14ac:dyDescent="0.25">
      <c r="I902" t="s">
        <v>194</v>
      </c>
      <c r="J902" t="s">
        <v>298</v>
      </c>
      <c r="K902">
        <v>5.6062723645457335E-2</v>
      </c>
      <c r="L902" t="s">
        <v>154</v>
      </c>
      <c r="N902" t="s">
        <v>224</v>
      </c>
      <c r="O902" t="s">
        <v>298</v>
      </c>
      <c r="P902">
        <v>2.7584069118967401E-2</v>
      </c>
      <c r="Q902" t="s">
        <v>154</v>
      </c>
      <c r="S902" t="s">
        <v>255</v>
      </c>
      <c r="T902" t="s">
        <v>298</v>
      </c>
      <c r="U902">
        <v>2.3599731021584382E-2</v>
      </c>
      <c r="V902" t="s">
        <v>154</v>
      </c>
    </row>
    <row r="903" spans="9:22" x14ac:dyDescent="0.25">
      <c r="I903" t="s">
        <v>194</v>
      </c>
      <c r="J903" t="s">
        <v>299</v>
      </c>
      <c r="K903">
        <v>4.7218989746558896E-4</v>
      </c>
      <c r="L903" t="s">
        <v>154</v>
      </c>
      <c r="N903" t="s">
        <v>224</v>
      </c>
      <c r="O903" t="s">
        <v>299</v>
      </c>
      <c r="P903">
        <v>3.4410297476940824E-3</v>
      </c>
      <c r="Q903" t="s">
        <v>154</v>
      </c>
      <c r="S903" t="s">
        <v>255</v>
      </c>
      <c r="T903" t="s">
        <v>299</v>
      </c>
      <c r="U903">
        <v>3.1810106063449536E-3</v>
      </c>
      <c r="V903" t="s">
        <v>154</v>
      </c>
    </row>
    <row r="904" spans="9:22" x14ac:dyDescent="0.25">
      <c r="I904" t="s">
        <v>194</v>
      </c>
      <c r="J904" t="s">
        <v>300</v>
      </c>
      <c r="K904">
        <v>0</v>
      </c>
      <c r="L904" t="s">
        <v>154</v>
      </c>
      <c r="N904" t="s">
        <v>224</v>
      </c>
      <c r="O904" t="s">
        <v>300</v>
      </c>
      <c r="P904">
        <v>3.3980291041613439E-3</v>
      </c>
      <c r="Q904" t="s">
        <v>154</v>
      </c>
      <c r="S904" t="s">
        <v>255</v>
      </c>
      <c r="T904" t="s">
        <v>300</v>
      </c>
      <c r="U904">
        <v>3.2039841432827875E-3</v>
      </c>
      <c r="V904" t="s">
        <v>154</v>
      </c>
    </row>
    <row r="905" spans="9:22" x14ac:dyDescent="0.25">
      <c r="I905" t="s">
        <v>194</v>
      </c>
      <c r="J905" t="s">
        <v>301</v>
      </c>
      <c r="K905">
        <v>0</v>
      </c>
      <c r="L905" t="s">
        <v>154</v>
      </c>
      <c r="N905" t="s">
        <v>224</v>
      </c>
      <c r="O905" t="s">
        <v>301</v>
      </c>
      <c r="P905">
        <v>1.6632275997848764E-2</v>
      </c>
      <c r="Q905" t="s">
        <v>154</v>
      </c>
      <c r="S905" t="s">
        <v>255</v>
      </c>
      <c r="T905" t="s">
        <v>301</v>
      </c>
      <c r="U905">
        <v>1.5380084414609438E-2</v>
      </c>
      <c r="V905" t="s">
        <v>154</v>
      </c>
    </row>
    <row r="906" spans="9:22" x14ac:dyDescent="0.25">
      <c r="I906" t="s">
        <v>194</v>
      </c>
      <c r="J906" t="s">
        <v>302</v>
      </c>
      <c r="K906">
        <v>4.3425640474921623E-3</v>
      </c>
      <c r="L906" t="s">
        <v>154</v>
      </c>
      <c r="N906" t="s">
        <v>224</v>
      </c>
      <c r="O906" t="s">
        <v>302</v>
      </c>
      <c r="P906">
        <v>5.3721228203536524E-2</v>
      </c>
      <c r="Q906" t="s">
        <v>154</v>
      </c>
      <c r="S906" t="s">
        <v>255</v>
      </c>
      <c r="T906" t="s">
        <v>302</v>
      </c>
      <c r="U906">
        <v>5.5659310278953253E-2</v>
      </c>
      <c r="V906" t="s">
        <v>154</v>
      </c>
    </row>
    <row r="907" spans="9:22" x14ac:dyDescent="0.25">
      <c r="I907" t="s">
        <v>194</v>
      </c>
      <c r="J907" t="s">
        <v>303</v>
      </c>
      <c r="K907">
        <v>6.1762597583223292E-2</v>
      </c>
      <c r="L907" t="s">
        <v>154</v>
      </c>
      <c r="N907" t="s">
        <v>224</v>
      </c>
      <c r="O907" t="s">
        <v>303</v>
      </c>
      <c r="P907">
        <v>5.1714182418428713E-2</v>
      </c>
      <c r="Q907" t="s">
        <v>154</v>
      </c>
      <c r="S907" t="s">
        <v>255</v>
      </c>
      <c r="T907" t="s">
        <v>303</v>
      </c>
      <c r="U907">
        <v>5.267178975345635E-2</v>
      </c>
      <c r="V907" t="s">
        <v>154</v>
      </c>
    </row>
    <row r="908" spans="9:22" x14ac:dyDescent="0.25">
      <c r="I908" t="s">
        <v>194</v>
      </c>
      <c r="J908" t="s">
        <v>304</v>
      </c>
      <c r="K908">
        <v>0</v>
      </c>
      <c r="L908" t="s">
        <v>154</v>
      </c>
      <c r="N908" t="s">
        <v>224</v>
      </c>
      <c r="O908" t="s">
        <v>304</v>
      </c>
      <c r="P908">
        <v>6.1920346206457751E-3</v>
      </c>
      <c r="Q908" t="s">
        <v>154</v>
      </c>
      <c r="S908" t="s">
        <v>255</v>
      </c>
      <c r="T908" t="s">
        <v>304</v>
      </c>
      <c r="U908">
        <v>6.4473890288395935E-3</v>
      </c>
      <c r="V908" t="s">
        <v>154</v>
      </c>
    </row>
    <row r="909" spans="9:22" x14ac:dyDescent="0.25">
      <c r="I909" t="s">
        <v>194</v>
      </c>
      <c r="J909" t="s">
        <v>305</v>
      </c>
      <c r="K909">
        <v>0</v>
      </c>
      <c r="L909" t="s">
        <v>154</v>
      </c>
      <c r="N909" t="s">
        <v>224</v>
      </c>
      <c r="O909" t="s">
        <v>305</v>
      </c>
      <c r="P909">
        <v>6.164807460849007E-3</v>
      </c>
      <c r="Q909" t="s">
        <v>154</v>
      </c>
      <c r="S909" t="s">
        <v>255</v>
      </c>
      <c r="T909" t="s">
        <v>305</v>
      </c>
      <c r="U909">
        <v>6.347921708875064E-3</v>
      </c>
      <c r="V909" t="s">
        <v>154</v>
      </c>
    </row>
    <row r="910" spans="9:22" x14ac:dyDescent="0.25">
      <c r="I910" t="s">
        <v>194</v>
      </c>
      <c r="J910" t="s">
        <v>306</v>
      </c>
      <c r="K910">
        <v>0</v>
      </c>
      <c r="L910" t="s">
        <v>154</v>
      </c>
      <c r="N910" t="s">
        <v>224</v>
      </c>
      <c r="O910" t="s">
        <v>306</v>
      </c>
      <c r="P910">
        <v>3.088672959584678E-2</v>
      </c>
      <c r="Q910" t="s">
        <v>154</v>
      </c>
      <c r="S910" t="s">
        <v>255</v>
      </c>
      <c r="T910" t="s">
        <v>306</v>
      </c>
      <c r="U910">
        <v>2.8697295335788835E-2</v>
      </c>
      <c r="V910" t="s">
        <v>154</v>
      </c>
    </row>
    <row r="911" spans="9:22" x14ac:dyDescent="0.25">
      <c r="N911" t="s">
        <v>225</v>
      </c>
      <c r="O911" t="s">
        <v>153</v>
      </c>
      <c r="P911">
        <v>4.9344277439202978E-2</v>
      </c>
      <c r="Q911" t="s">
        <v>154</v>
      </c>
      <c r="S911" t="s">
        <v>256</v>
      </c>
      <c r="T911" t="s">
        <v>153</v>
      </c>
      <c r="U911">
        <v>4.6200671344486112E-2</v>
      </c>
      <c r="V911" t="s">
        <v>154</v>
      </c>
    </row>
    <row r="912" spans="9:22" x14ac:dyDescent="0.25">
      <c r="N912" t="s">
        <v>225</v>
      </c>
      <c r="O912" t="s">
        <v>155</v>
      </c>
      <c r="P912">
        <v>4.6132163925392516E-2</v>
      </c>
      <c r="Q912" t="s">
        <v>154</v>
      </c>
      <c r="S912" t="s">
        <v>256</v>
      </c>
      <c r="T912" t="s">
        <v>155</v>
      </c>
      <c r="U912">
        <v>3.7184340334552535E-2</v>
      </c>
      <c r="V912" t="s">
        <v>154</v>
      </c>
    </row>
    <row r="913" spans="14:22" x14ac:dyDescent="0.25">
      <c r="N913" t="s">
        <v>225</v>
      </c>
      <c r="O913" t="s">
        <v>156</v>
      </c>
      <c r="P913">
        <v>5.1294311235314865E-3</v>
      </c>
      <c r="Q913" t="s">
        <v>154</v>
      </c>
      <c r="S913" t="s">
        <v>256</v>
      </c>
      <c r="T913" t="s">
        <v>156</v>
      </c>
      <c r="U913">
        <v>5.1488787637752774E-3</v>
      </c>
      <c r="V913" t="s">
        <v>154</v>
      </c>
    </row>
    <row r="914" spans="14:22" x14ac:dyDescent="0.25">
      <c r="N914" t="s">
        <v>225</v>
      </c>
      <c r="O914" t="s">
        <v>283</v>
      </c>
      <c r="P914">
        <v>4.9273605710977268E-3</v>
      </c>
      <c r="Q914" t="s">
        <v>154</v>
      </c>
      <c r="S914" t="s">
        <v>256</v>
      </c>
      <c r="T914" t="s">
        <v>283</v>
      </c>
      <c r="U914">
        <v>5.2300622706780691E-3</v>
      </c>
      <c r="V914" t="s">
        <v>154</v>
      </c>
    </row>
    <row r="915" spans="14:22" x14ac:dyDescent="0.25">
      <c r="N915" t="s">
        <v>225</v>
      </c>
      <c r="O915" t="s">
        <v>284</v>
      </c>
      <c r="P915">
        <v>2.3779368574518112E-2</v>
      </c>
      <c r="Q915" t="s">
        <v>154</v>
      </c>
      <c r="S915" t="s">
        <v>256</v>
      </c>
      <c r="T915" t="s">
        <v>284</v>
      </c>
      <c r="U915">
        <v>2.5742002527043936E-2</v>
      </c>
      <c r="V915" t="s">
        <v>154</v>
      </c>
    </row>
    <row r="916" spans="14:22" x14ac:dyDescent="0.25">
      <c r="N916" t="s">
        <v>225</v>
      </c>
      <c r="O916" t="s">
        <v>157</v>
      </c>
      <c r="P916">
        <v>6.9062188647121357E-3</v>
      </c>
      <c r="Q916" t="s">
        <v>154</v>
      </c>
      <c r="S916" t="s">
        <v>256</v>
      </c>
      <c r="T916" t="s">
        <v>157</v>
      </c>
      <c r="U916">
        <v>1.2761810964755359E-2</v>
      </c>
      <c r="V916" t="s">
        <v>154</v>
      </c>
    </row>
    <row r="917" spans="14:22" x14ac:dyDescent="0.25">
      <c r="N917" t="s">
        <v>225</v>
      </c>
      <c r="O917" t="s">
        <v>158</v>
      </c>
      <c r="P917">
        <v>6.6551890474953503E-3</v>
      </c>
      <c r="Q917" t="s">
        <v>154</v>
      </c>
      <c r="S917" t="s">
        <v>256</v>
      </c>
      <c r="T917" t="s">
        <v>158</v>
      </c>
      <c r="U917">
        <v>1.2141717048319903E-2</v>
      </c>
      <c r="V917" t="s">
        <v>154</v>
      </c>
    </row>
    <row r="918" spans="14:22" x14ac:dyDescent="0.25">
      <c r="N918" t="s">
        <v>225</v>
      </c>
      <c r="O918" t="s">
        <v>159</v>
      </c>
      <c r="P918">
        <v>1.0067577468550382E-3</v>
      </c>
      <c r="Q918" t="s">
        <v>154</v>
      </c>
      <c r="S918" t="s">
        <v>256</v>
      </c>
      <c r="T918" t="s">
        <v>159</v>
      </c>
      <c r="U918">
        <v>1.4195288908302314E-3</v>
      </c>
      <c r="V918" t="s">
        <v>154</v>
      </c>
    </row>
    <row r="919" spans="14:22" x14ac:dyDescent="0.25">
      <c r="N919" t="s">
        <v>225</v>
      </c>
      <c r="O919" t="s">
        <v>285</v>
      </c>
      <c r="P919">
        <v>9.563291941219838E-4</v>
      </c>
      <c r="Q919" t="s">
        <v>154</v>
      </c>
      <c r="S919" t="s">
        <v>256</v>
      </c>
      <c r="T919" t="s">
        <v>285</v>
      </c>
      <c r="U919">
        <v>1.4350166767681382E-3</v>
      </c>
      <c r="V919" t="s">
        <v>154</v>
      </c>
    </row>
    <row r="920" spans="14:22" x14ac:dyDescent="0.25">
      <c r="N920" t="s">
        <v>225</v>
      </c>
      <c r="O920" t="s">
        <v>286</v>
      </c>
      <c r="P920">
        <v>4.3125983406916745E-3</v>
      </c>
      <c r="Q920" t="s">
        <v>154</v>
      </c>
      <c r="S920" t="s">
        <v>256</v>
      </c>
      <c r="T920" t="s">
        <v>286</v>
      </c>
      <c r="U920">
        <v>7.0182402045491721E-3</v>
      </c>
      <c r="V920" t="s">
        <v>154</v>
      </c>
    </row>
    <row r="921" spans="14:22" x14ac:dyDescent="0.25">
      <c r="N921" t="s">
        <v>225</v>
      </c>
      <c r="O921" t="s">
        <v>160</v>
      </c>
      <c r="P921">
        <v>0.21273448078194912</v>
      </c>
      <c r="Q921" t="s">
        <v>154</v>
      </c>
      <c r="S921" t="s">
        <v>256</v>
      </c>
      <c r="T921" t="s">
        <v>160</v>
      </c>
      <c r="U921">
        <v>0.21912650631168792</v>
      </c>
      <c r="V921" t="s">
        <v>154</v>
      </c>
    </row>
    <row r="922" spans="14:22" x14ac:dyDescent="0.25">
      <c r="N922" t="s">
        <v>225</v>
      </c>
      <c r="O922" t="s">
        <v>161</v>
      </c>
      <c r="P922">
        <v>0.20900801702836588</v>
      </c>
      <c r="Q922" t="s">
        <v>154</v>
      </c>
      <c r="S922" t="s">
        <v>256</v>
      </c>
      <c r="T922" t="s">
        <v>161</v>
      </c>
      <c r="U922">
        <v>0.19463249372305372</v>
      </c>
      <c r="V922" t="s">
        <v>154</v>
      </c>
    </row>
    <row r="923" spans="14:22" x14ac:dyDescent="0.25">
      <c r="N923" t="s">
        <v>225</v>
      </c>
      <c r="O923" t="s">
        <v>162</v>
      </c>
      <c r="P923">
        <v>2.7315880082569088E-2</v>
      </c>
      <c r="Q923" t="s">
        <v>154</v>
      </c>
      <c r="S923" t="s">
        <v>256</v>
      </c>
      <c r="T923" t="s">
        <v>162</v>
      </c>
      <c r="U923">
        <v>2.4474295811765606E-2</v>
      </c>
      <c r="V923" t="s">
        <v>154</v>
      </c>
    </row>
    <row r="924" spans="14:22" x14ac:dyDescent="0.25">
      <c r="N924" t="s">
        <v>225</v>
      </c>
      <c r="O924" t="s">
        <v>287</v>
      </c>
      <c r="P924">
        <v>2.7213315291518863E-2</v>
      </c>
      <c r="Q924" t="s">
        <v>154</v>
      </c>
      <c r="S924" t="s">
        <v>256</v>
      </c>
      <c r="T924" t="s">
        <v>287</v>
      </c>
      <c r="U924">
        <v>2.4124130936645751E-2</v>
      </c>
      <c r="V924" t="s">
        <v>154</v>
      </c>
    </row>
    <row r="925" spans="14:22" x14ac:dyDescent="0.25">
      <c r="N925" t="s">
        <v>225</v>
      </c>
      <c r="O925" t="s">
        <v>288</v>
      </c>
      <c r="P925">
        <v>0.1233002910102256</v>
      </c>
      <c r="Q925" t="s">
        <v>154</v>
      </c>
      <c r="S925" t="s">
        <v>256</v>
      </c>
      <c r="T925" t="s">
        <v>288</v>
      </c>
      <c r="U925">
        <v>0.11527152099312514</v>
      </c>
      <c r="V925" t="s">
        <v>154</v>
      </c>
    </row>
    <row r="926" spans="14:22" x14ac:dyDescent="0.25">
      <c r="N926" t="s">
        <v>225</v>
      </c>
      <c r="O926" t="s">
        <v>163</v>
      </c>
      <c r="P926">
        <v>9.9898325869168386E-3</v>
      </c>
      <c r="Q926" t="s">
        <v>154</v>
      </c>
      <c r="S926" t="s">
        <v>256</v>
      </c>
      <c r="T926" t="s">
        <v>163</v>
      </c>
      <c r="U926">
        <v>1.2294188680968399E-2</v>
      </c>
      <c r="V926" t="s">
        <v>154</v>
      </c>
    </row>
    <row r="927" spans="14:22" x14ac:dyDescent="0.25">
      <c r="N927" t="s">
        <v>225</v>
      </c>
      <c r="O927" t="s">
        <v>164</v>
      </c>
      <c r="P927">
        <v>1.0279221260840115E-2</v>
      </c>
      <c r="Q927" t="s">
        <v>154</v>
      </c>
      <c r="S927" t="s">
        <v>256</v>
      </c>
      <c r="T927" t="s">
        <v>164</v>
      </c>
      <c r="U927">
        <v>1.1283458910326966E-2</v>
      </c>
      <c r="V927" t="s">
        <v>154</v>
      </c>
    </row>
    <row r="928" spans="14:22" x14ac:dyDescent="0.25">
      <c r="N928" t="s">
        <v>225</v>
      </c>
      <c r="O928" t="s">
        <v>165</v>
      </c>
      <c r="P928">
        <v>1.3164518296577324E-3</v>
      </c>
      <c r="Q928" t="s">
        <v>154</v>
      </c>
      <c r="S928" t="s">
        <v>256</v>
      </c>
      <c r="T928" t="s">
        <v>165</v>
      </c>
      <c r="U928">
        <v>1.2591861854413511E-3</v>
      </c>
      <c r="V928" t="s">
        <v>154</v>
      </c>
    </row>
    <row r="929" spans="14:22" x14ac:dyDescent="0.25">
      <c r="N929" t="s">
        <v>225</v>
      </c>
      <c r="O929" t="s">
        <v>289</v>
      </c>
      <c r="P929">
        <v>1.3133819632092064E-3</v>
      </c>
      <c r="Q929" t="s">
        <v>154</v>
      </c>
      <c r="S929" t="s">
        <v>256</v>
      </c>
      <c r="T929" t="s">
        <v>289</v>
      </c>
      <c r="U929">
        <v>1.2421313751147184E-3</v>
      </c>
      <c r="V929" t="s">
        <v>154</v>
      </c>
    </row>
    <row r="930" spans="14:22" x14ac:dyDescent="0.25">
      <c r="N930" t="s">
        <v>225</v>
      </c>
      <c r="O930" t="s">
        <v>290</v>
      </c>
      <c r="P930">
        <v>6.1313455573603409E-3</v>
      </c>
      <c r="Q930" t="s">
        <v>154</v>
      </c>
      <c r="S930" t="s">
        <v>256</v>
      </c>
      <c r="T930" t="s">
        <v>290</v>
      </c>
      <c r="U930">
        <v>6.0124617611017105E-3</v>
      </c>
      <c r="V930" t="s">
        <v>154</v>
      </c>
    </row>
    <row r="931" spans="14:22" x14ac:dyDescent="0.25">
      <c r="N931" t="s">
        <v>225</v>
      </c>
      <c r="O931" t="s">
        <v>297</v>
      </c>
      <c r="P931">
        <v>3.1815983037211809E-2</v>
      </c>
      <c r="Q931" t="s">
        <v>154</v>
      </c>
      <c r="S931" t="s">
        <v>256</v>
      </c>
      <c r="T931" t="s">
        <v>297</v>
      </c>
      <c r="U931">
        <v>2.7688020914054361E-2</v>
      </c>
      <c r="V931" t="s">
        <v>154</v>
      </c>
    </row>
    <row r="932" spans="14:22" x14ac:dyDescent="0.25">
      <c r="N932" t="s">
        <v>225</v>
      </c>
      <c r="O932" t="s">
        <v>298</v>
      </c>
      <c r="P932">
        <v>2.4838074768013096E-2</v>
      </c>
      <c r="Q932" t="s">
        <v>154</v>
      </c>
      <c r="S932" t="s">
        <v>256</v>
      </c>
      <c r="T932" t="s">
        <v>298</v>
      </c>
      <c r="U932">
        <v>2.7432645650338084E-2</v>
      </c>
      <c r="V932" t="s">
        <v>154</v>
      </c>
    </row>
    <row r="933" spans="14:22" x14ac:dyDescent="0.25">
      <c r="N933" t="s">
        <v>225</v>
      </c>
      <c r="O933" t="s">
        <v>299</v>
      </c>
      <c r="P933">
        <v>3.009537215817335E-3</v>
      </c>
      <c r="Q933" t="s">
        <v>154</v>
      </c>
      <c r="S933" t="s">
        <v>256</v>
      </c>
      <c r="T933" t="s">
        <v>299</v>
      </c>
      <c r="U933">
        <v>3.6072863900965899E-3</v>
      </c>
      <c r="V933" t="s">
        <v>154</v>
      </c>
    </row>
    <row r="934" spans="14:22" x14ac:dyDescent="0.25">
      <c r="N934" t="s">
        <v>225</v>
      </c>
      <c r="O934" t="s">
        <v>300</v>
      </c>
      <c r="P934">
        <v>3.0091299983112598E-3</v>
      </c>
      <c r="Q934" t="s">
        <v>154</v>
      </c>
      <c r="S934" t="s">
        <v>256</v>
      </c>
      <c r="T934" t="s">
        <v>300</v>
      </c>
      <c r="U934">
        <v>3.6555108890133636E-3</v>
      </c>
      <c r="V934" t="s">
        <v>154</v>
      </c>
    </row>
    <row r="935" spans="14:22" x14ac:dyDescent="0.25">
      <c r="N935" t="s">
        <v>225</v>
      </c>
      <c r="O935" t="s">
        <v>301</v>
      </c>
      <c r="P935">
        <v>1.557594493474092E-2</v>
      </c>
      <c r="Q935" t="s">
        <v>154</v>
      </c>
      <c r="S935" t="s">
        <v>256</v>
      </c>
      <c r="T935" t="s">
        <v>301</v>
      </c>
      <c r="U935">
        <v>1.7449657961411548E-2</v>
      </c>
      <c r="V935" t="s">
        <v>154</v>
      </c>
    </row>
    <row r="936" spans="14:22" x14ac:dyDescent="0.25">
      <c r="N936" t="s">
        <v>225</v>
      </c>
      <c r="O936" t="s">
        <v>302</v>
      </c>
      <c r="P936">
        <v>5.3410405546682291E-2</v>
      </c>
      <c r="Q936" t="s">
        <v>154</v>
      </c>
      <c r="S936" t="s">
        <v>256</v>
      </c>
      <c r="T936" t="s">
        <v>302</v>
      </c>
      <c r="U936">
        <v>5.7193174636036327E-2</v>
      </c>
      <c r="V936" t="s">
        <v>154</v>
      </c>
    </row>
    <row r="937" spans="14:22" x14ac:dyDescent="0.25">
      <c r="N937" t="s">
        <v>225</v>
      </c>
      <c r="O937" t="s">
        <v>303</v>
      </c>
      <c r="P937">
        <v>4.9300403086151925E-2</v>
      </c>
      <c r="Q937" t="s">
        <v>154</v>
      </c>
      <c r="S937" t="s">
        <v>256</v>
      </c>
      <c r="T937" t="s">
        <v>303</v>
      </c>
      <c r="U937">
        <v>5.4517037546128341E-2</v>
      </c>
      <c r="V937" t="s">
        <v>154</v>
      </c>
    </row>
    <row r="938" spans="14:22" x14ac:dyDescent="0.25">
      <c r="N938" t="s">
        <v>225</v>
      </c>
      <c r="O938" t="s">
        <v>304</v>
      </c>
      <c r="P938">
        <v>5.967050837032222E-3</v>
      </c>
      <c r="Q938" t="s">
        <v>154</v>
      </c>
      <c r="S938" t="s">
        <v>256</v>
      </c>
      <c r="T938" t="s">
        <v>304</v>
      </c>
      <c r="U938">
        <v>6.6797493607863769E-3</v>
      </c>
      <c r="V938" t="s">
        <v>154</v>
      </c>
    </row>
    <row r="939" spans="14:22" x14ac:dyDescent="0.25">
      <c r="N939" t="s">
        <v>225</v>
      </c>
      <c r="O939" t="s">
        <v>305</v>
      </c>
      <c r="P939">
        <v>6.1063065434923836E-3</v>
      </c>
      <c r="Q939" t="s">
        <v>154</v>
      </c>
      <c r="S939" t="s">
        <v>256</v>
      </c>
      <c r="T939" t="s">
        <v>305</v>
      </c>
      <c r="U939">
        <v>6.6184872797986367E-3</v>
      </c>
      <c r="V939" t="s">
        <v>154</v>
      </c>
    </row>
    <row r="940" spans="14:22" x14ac:dyDescent="0.25">
      <c r="N940" t="s">
        <v>225</v>
      </c>
      <c r="O940" t="s">
        <v>306</v>
      </c>
      <c r="P940">
        <v>2.9215251812317218E-2</v>
      </c>
      <c r="Q940" t="s">
        <v>154</v>
      </c>
      <c r="S940" t="s">
        <v>256</v>
      </c>
      <c r="T940" t="s">
        <v>306</v>
      </c>
      <c r="U940">
        <v>3.1155785657350055E-2</v>
      </c>
      <c r="V940" t="s">
        <v>154</v>
      </c>
    </row>
    <row r="941" spans="14:22" x14ac:dyDescent="0.25">
      <c r="S941" t="s">
        <v>257</v>
      </c>
      <c r="T941" t="s">
        <v>153</v>
      </c>
      <c r="U941">
        <v>5.5744867940890279E-2</v>
      </c>
      <c r="V941" t="s">
        <v>154</v>
      </c>
    </row>
    <row r="942" spans="14:22" x14ac:dyDescent="0.25">
      <c r="S942" t="s">
        <v>257</v>
      </c>
      <c r="T942" t="s">
        <v>155</v>
      </c>
      <c r="U942">
        <v>4.1954372551293841E-2</v>
      </c>
      <c r="V942" t="s">
        <v>154</v>
      </c>
    </row>
    <row r="943" spans="14:22" x14ac:dyDescent="0.25">
      <c r="S943" t="s">
        <v>257</v>
      </c>
      <c r="T943" t="s">
        <v>156</v>
      </c>
      <c r="U943">
        <v>5.4517087734589614E-3</v>
      </c>
      <c r="V943" t="s">
        <v>154</v>
      </c>
    </row>
    <row r="944" spans="14:22" x14ac:dyDescent="0.25">
      <c r="S944" t="s">
        <v>257</v>
      </c>
      <c r="T944" t="s">
        <v>283</v>
      </c>
      <c r="U944">
        <v>5.584246464873082E-3</v>
      </c>
      <c r="V944" t="s">
        <v>154</v>
      </c>
    </row>
    <row r="945" spans="19:22" x14ac:dyDescent="0.25">
      <c r="S945" t="s">
        <v>257</v>
      </c>
      <c r="T945" t="s">
        <v>284</v>
      </c>
      <c r="U945">
        <v>2.9644753168751762E-2</v>
      </c>
      <c r="V945" t="s">
        <v>154</v>
      </c>
    </row>
    <row r="946" spans="19:22" x14ac:dyDescent="0.25">
      <c r="S946" t="s">
        <v>257</v>
      </c>
      <c r="T946" t="s">
        <v>157</v>
      </c>
      <c r="U946">
        <v>1.2662547734438217E-2</v>
      </c>
      <c r="V946" t="s">
        <v>154</v>
      </c>
    </row>
    <row r="947" spans="19:22" x14ac:dyDescent="0.25">
      <c r="S947" t="s">
        <v>257</v>
      </c>
      <c r="T947" t="s">
        <v>158</v>
      </c>
      <c r="U947">
        <v>1.1359880826431806E-2</v>
      </c>
      <c r="V947" t="s">
        <v>154</v>
      </c>
    </row>
    <row r="948" spans="19:22" x14ac:dyDescent="0.25">
      <c r="S948" t="s">
        <v>257</v>
      </c>
      <c r="T948" t="s">
        <v>159</v>
      </c>
      <c r="U948">
        <v>1.4003646378612435E-3</v>
      </c>
      <c r="V948" t="s">
        <v>154</v>
      </c>
    </row>
    <row r="949" spans="19:22" x14ac:dyDescent="0.25">
      <c r="S949" t="s">
        <v>257</v>
      </c>
      <c r="T949" t="s">
        <v>285</v>
      </c>
      <c r="U949">
        <v>1.4187870534619115E-3</v>
      </c>
      <c r="V949" t="s">
        <v>154</v>
      </c>
    </row>
    <row r="950" spans="19:22" x14ac:dyDescent="0.25">
      <c r="S950" t="s">
        <v>257</v>
      </c>
      <c r="T950" t="s">
        <v>286</v>
      </c>
      <c r="U950">
        <v>7.0978134053930912E-3</v>
      </c>
      <c r="V950" t="s">
        <v>154</v>
      </c>
    </row>
    <row r="951" spans="19:22" x14ac:dyDescent="0.25">
      <c r="S951" t="s">
        <v>257</v>
      </c>
      <c r="T951" t="s">
        <v>160</v>
      </c>
      <c r="U951">
        <v>0.21836325034902232</v>
      </c>
      <c r="V951" t="s">
        <v>154</v>
      </c>
    </row>
    <row r="952" spans="19:22" x14ac:dyDescent="0.25">
      <c r="S952" t="s">
        <v>257</v>
      </c>
      <c r="T952" t="s">
        <v>161</v>
      </c>
      <c r="U952">
        <v>0.18647376757329417</v>
      </c>
      <c r="V952" t="s">
        <v>154</v>
      </c>
    </row>
    <row r="953" spans="19:22" x14ac:dyDescent="0.25">
      <c r="S953" t="s">
        <v>257</v>
      </c>
      <c r="T953" t="s">
        <v>162</v>
      </c>
      <c r="U953">
        <v>2.372366358727681E-2</v>
      </c>
      <c r="V953" t="s">
        <v>154</v>
      </c>
    </row>
    <row r="954" spans="19:22" x14ac:dyDescent="0.25">
      <c r="S954" t="s">
        <v>257</v>
      </c>
      <c r="T954" t="s">
        <v>287</v>
      </c>
      <c r="U954">
        <v>2.3954955969739476E-2</v>
      </c>
      <c r="V954" t="s">
        <v>154</v>
      </c>
    </row>
    <row r="955" spans="19:22" x14ac:dyDescent="0.25">
      <c r="S955" t="s">
        <v>257</v>
      </c>
      <c r="T955" t="s">
        <v>288</v>
      </c>
      <c r="U955">
        <v>0.11122480957860552</v>
      </c>
      <c r="V955" t="s">
        <v>154</v>
      </c>
    </row>
    <row r="956" spans="19:22" x14ac:dyDescent="0.25">
      <c r="S956" t="s">
        <v>257</v>
      </c>
      <c r="T956" t="s">
        <v>163</v>
      </c>
      <c r="U956">
        <v>1.0960487253664736E-2</v>
      </c>
      <c r="V956" t="s">
        <v>154</v>
      </c>
    </row>
    <row r="957" spans="19:22" x14ac:dyDescent="0.25">
      <c r="S957" t="s">
        <v>257</v>
      </c>
      <c r="T957" t="s">
        <v>164</v>
      </c>
      <c r="U957">
        <v>7.6253455167115333E-3</v>
      </c>
      <c r="V957" t="s">
        <v>154</v>
      </c>
    </row>
    <row r="958" spans="19:22" x14ac:dyDescent="0.25">
      <c r="S958" t="s">
        <v>257</v>
      </c>
      <c r="T958" t="s">
        <v>165</v>
      </c>
      <c r="U958">
        <v>1.1637979322374754E-3</v>
      </c>
      <c r="V958" t="s">
        <v>154</v>
      </c>
    </row>
    <row r="959" spans="19:22" x14ac:dyDescent="0.25">
      <c r="S959" t="s">
        <v>257</v>
      </c>
      <c r="T959" t="s">
        <v>289</v>
      </c>
      <c r="U959">
        <v>1.2417340078902191E-3</v>
      </c>
      <c r="V959" t="s">
        <v>154</v>
      </c>
    </row>
    <row r="960" spans="19:22" x14ac:dyDescent="0.25">
      <c r="S960" t="s">
        <v>257</v>
      </c>
      <c r="T960" t="s">
        <v>290</v>
      </c>
      <c r="U960">
        <v>5.4835181044482284E-3</v>
      </c>
      <c r="V960" t="s">
        <v>154</v>
      </c>
    </row>
    <row r="961" spans="19:22" x14ac:dyDescent="0.25">
      <c r="S961" t="s">
        <v>257</v>
      </c>
      <c r="T961" t="s">
        <v>297</v>
      </c>
      <c r="U961">
        <v>2.6923559065582539E-2</v>
      </c>
      <c r="V961" t="s">
        <v>154</v>
      </c>
    </row>
    <row r="962" spans="19:22" x14ac:dyDescent="0.25">
      <c r="S962" t="s">
        <v>257</v>
      </c>
      <c r="T962" t="s">
        <v>298</v>
      </c>
      <c r="U962">
        <v>2.4058836827821988E-2</v>
      </c>
      <c r="V962" t="s">
        <v>154</v>
      </c>
    </row>
    <row r="963" spans="19:22" x14ac:dyDescent="0.25">
      <c r="S963" t="s">
        <v>257</v>
      </c>
      <c r="T963" t="s">
        <v>299</v>
      </c>
      <c r="U963">
        <v>3.5286314047332248E-3</v>
      </c>
      <c r="V963" t="s">
        <v>154</v>
      </c>
    </row>
    <row r="964" spans="19:22" x14ac:dyDescent="0.25">
      <c r="S964" t="s">
        <v>257</v>
      </c>
      <c r="T964" t="s">
        <v>300</v>
      </c>
      <c r="U964">
        <v>3.5746880785742525E-3</v>
      </c>
      <c r="V964" t="s">
        <v>154</v>
      </c>
    </row>
    <row r="965" spans="19:22" x14ac:dyDescent="0.25">
      <c r="S965" t="s">
        <v>257</v>
      </c>
      <c r="T965" t="s">
        <v>301</v>
      </c>
      <c r="U965">
        <v>1.7773642518707774E-2</v>
      </c>
      <c r="V965" t="s">
        <v>154</v>
      </c>
    </row>
    <row r="966" spans="19:22" x14ac:dyDescent="0.25">
      <c r="S966" t="s">
        <v>257</v>
      </c>
      <c r="T966" t="s">
        <v>302</v>
      </c>
      <c r="U966">
        <v>5.6506785378847145E-2</v>
      </c>
      <c r="V966" t="s">
        <v>154</v>
      </c>
    </row>
    <row r="967" spans="19:22" x14ac:dyDescent="0.25">
      <c r="S967" t="s">
        <v>257</v>
      </c>
      <c r="T967" t="s">
        <v>303</v>
      </c>
      <c r="U967">
        <v>5.6306849891113002E-2</v>
      </c>
      <c r="V967" t="s">
        <v>154</v>
      </c>
    </row>
    <row r="968" spans="19:22" x14ac:dyDescent="0.25">
      <c r="S968" t="s">
        <v>257</v>
      </c>
      <c r="T968" t="s">
        <v>304</v>
      </c>
      <c r="U968">
        <v>7.5206501302826296E-3</v>
      </c>
      <c r="V968" t="s">
        <v>154</v>
      </c>
    </row>
    <row r="969" spans="19:22" x14ac:dyDescent="0.25">
      <c r="S969" t="s">
        <v>257</v>
      </c>
      <c r="T969" t="s">
        <v>305</v>
      </c>
      <c r="U969">
        <v>7.4000052081857719E-3</v>
      </c>
      <c r="V969" t="s">
        <v>154</v>
      </c>
    </row>
    <row r="970" spans="19:22" x14ac:dyDescent="0.25">
      <c r="S970" t="s">
        <v>257</v>
      </c>
      <c r="T970" t="s">
        <v>306</v>
      </c>
      <c r="U970">
        <v>3.3871679066408568E-2</v>
      </c>
      <c r="V970" t="s">
        <v>154</v>
      </c>
    </row>
    <row r="971" spans="19:22" x14ac:dyDescent="0.25">
      <c r="S971" t="s">
        <v>258</v>
      </c>
      <c r="T971" t="s">
        <v>153</v>
      </c>
      <c r="U971">
        <v>4.9951724790886172E-2</v>
      </c>
      <c r="V971" t="s">
        <v>154</v>
      </c>
    </row>
    <row r="972" spans="19:22" x14ac:dyDescent="0.25">
      <c r="S972" t="s">
        <v>258</v>
      </c>
      <c r="T972" t="s">
        <v>155</v>
      </c>
      <c r="U972">
        <v>3.9317853625548405E-2</v>
      </c>
      <c r="V972" t="s">
        <v>154</v>
      </c>
    </row>
    <row r="973" spans="19:22" x14ac:dyDescent="0.25">
      <c r="S973" t="s">
        <v>258</v>
      </c>
      <c r="T973" t="s">
        <v>156</v>
      </c>
      <c r="U973">
        <v>5.7231097977137281E-3</v>
      </c>
      <c r="V973" t="s">
        <v>154</v>
      </c>
    </row>
    <row r="974" spans="19:22" x14ac:dyDescent="0.25">
      <c r="S974" t="s">
        <v>258</v>
      </c>
      <c r="T974" t="s">
        <v>283</v>
      </c>
      <c r="U974">
        <v>5.8745882357382935E-3</v>
      </c>
      <c r="V974" t="s">
        <v>154</v>
      </c>
    </row>
    <row r="975" spans="19:22" x14ac:dyDescent="0.25">
      <c r="S975" t="s">
        <v>258</v>
      </c>
      <c r="T975" t="s">
        <v>284</v>
      </c>
      <c r="U975">
        <v>2.9552251694521962E-2</v>
      </c>
      <c r="V975" t="s">
        <v>154</v>
      </c>
    </row>
    <row r="976" spans="19:22" x14ac:dyDescent="0.25">
      <c r="S976" t="s">
        <v>258</v>
      </c>
      <c r="T976" t="s">
        <v>157</v>
      </c>
      <c r="U976">
        <v>1.3341111122872945E-2</v>
      </c>
      <c r="V976" t="s">
        <v>154</v>
      </c>
    </row>
    <row r="977" spans="19:22" x14ac:dyDescent="0.25">
      <c r="S977" t="s">
        <v>258</v>
      </c>
      <c r="T977" t="s">
        <v>158</v>
      </c>
      <c r="U977">
        <v>1.1277991729434993E-2</v>
      </c>
      <c r="V977" t="s">
        <v>154</v>
      </c>
    </row>
    <row r="978" spans="19:22" x14ac:dyDescent="0.25">
      <c r="S978" t="s">
        <v>258</v>
      </c>
      <c r="T978" t="s">
        <v>159</v>
      </c>
      <c r="U978">
        <v>1.4495436797448682E-3</v>
      </c>
      <c r="V978" t="s">
        <v>154</v>
      </c>
    </row>
    <row r="979" spans="19:22" x14ac:dyDescent="0.25">
      <c r="S979" t="s">
        <v>258</v>
      </c>
      <c r="T979" t="s">
        <v>285</v>
      </c>
      <c r="U979">
        <v>1.4702956796888054E-3</v>
      </c>
      <c r="V979" t="s">
        <v>154</v>
      </c>
    </row>
    <row r="980" spans="19:22" x14ac:dyDescent="0.25">
      <c r="S980" t="s">
        <v>258</v>
      </c>
      <c r="T980" t="s">
        <v>286</v>
      </c>
      <c r="U980">
        <v>7.2172241378231604E-3</v>
      </c>
      <c r="V980" t="s">
        <v>154</v>
      </c>
    </row>
    <row r="981" spans="19:22" x14ac:dyDescent="0.25">
      <c r="S981" t="s">
        <v>258</v>
      </c>
      <c r="T981" t="s">
        <v>160</v>
      </c>
      <c r="U981">
        <v>0.2128222292198248</v>
      </c>
      <c r="V981" t="s">
        <v>154</v>
      </c>
    </row>
    <row r="982" spans="19:22" x14ac:dyDescent="0.25">
      <c r="S982" t="s">
        <v>258</v>
      </c>
      <c r="T982" t="s">
        <v>161</v>
      </c>
      <c r="U982">
        <v>0.18689760720787146</v>
      </c>
      <c r="V982" t="s">
        <v>154</v>
      </c>
    </row>
    <row r="983" spans="19:22" x14ac:dyDescent="0.25">
      <c r="S983" t="s">
        <v>258</v>
      </c>
      <c r="T983" t="s">
        <v>162</v>
      </c>
      <c r="U983">
        <v>2.425899117317816E-2</v>
      </c>
      <c r="V983" t="s">
        <v>154</v>
      </c>
    </row>
    <row r="984" spans="19:22" x14ac:dyDescent="0.25">
      <c r="S984" t="s">
        <v>258</v>
      </c>
      <c r="T984" t="s">
        <v>287</v>
      </c>
      <c r="U984">
        <v>2.4268086868495176E-2</v>
      </c>
      <c r="V984" t="s">
        <v>154</v>
      </c>
    </row>
    <row r="985" spans="19:22" x14ac:dyDescent="0.25">
      <c r="S985" t="s">
        <v>258</v>
      </c>
      <c r="T985" t="s">
        <v>288</v>
      </c>
      <c r="U985">
        <v>0.11226999458548659</v>
      </c>
      <c r="V985" t="s">
        <v>154</v>
      </c>
    </row>
    <row r="986" spans="19:22" x14ac:dyDescent="0.25">
      <c r="S986" t="s">
        <v>258</v>
      </c>
      <c r="T986" t="s">
        <v>163</v>
      </c>
      <c r="U986">
        <v>1.1181390743940216E-2</v>
      </c>
      <c r="V986" t="s">
        <v>154</v>
      </c>
    </row>
    <row r="987" spans="19:22" x14ac:dyDescent="0.25">
      <c r="S987" t="s">
        <v>258</v>
      </c>
      <c r="T987" t="s">
        <v>164</v>
      </c>
      <c r="U987">
        <v>1.0038866678874894E-2</v>
      </c>
      <c r="V987" t="s">
        <v>154</v>
      </c>
    </row>
    <row r="988" spans="19:22" x14ac:dyDescent="0.25">
      <c r="S988" t="s">
        <v>258</v>
      </c>
      <c r="T988" t="s">
        <v>165</v>
      </c>
      <c r="U988">
        <v>1.2935886098943807E-3</v>
      </c>
      <c r="V988" t="s">
        <v>154</v>
      </c>
    </row>
    <row r="989" spans="19:22" x14ac:dyDescent="0.25">
      <c r="S989" t="s">
        <v>258</v>
      </c>
      <c r="T989" t="s">
        <v>289</v>
      </c>
      <c r="U989">
        <v>1.3213582724130749E-3</v>
      </c>
      <c r="V989" t="s">
        <v>154</v>
      </c>
    </row>
    <row r="990" spans="19:22" x14ac:dyDescent="0.25">
      <c r="S990" t="s">
        <v>258</v>
      </c>
      <c r="T990" t="s">
        <v>290</v>
      </c>
      <c r="U990">
        <v>5.9894466466794572E-3</v>
      </c>
      <c r="V990" t="s">
        <v>154</v>
      </c>
    </row>
    <row r="991" spans="19:22" x14ac:dyDescent="0.25">
      <c r="S991" t="s">
        <v>258</v>
      </c>
      <c r="T991" t="s">
        <v>297</v>
      </c>
      <c r="U991">
        <v>2.7593369997028275E-2</v>
      </c>
      <c r="V991" t="s">
        <v>154</v>
      </c>
    </row>
    <row r="992" spans="19:22" x14ac:dyDescent="0.25">
      <c r="S992" t="s">
        <v>258</v>
      </c>
      <c r="T992" t="s">
        <v>298</v>
      </c>
      <c r="U992">
        <v>2.5342423732075976E-2</v>
      </c>
      <c r="V992" t="s">
        <v>154</v>
      </c>
    </row>
    <row r="993" spans="19:22" x14ac:dyDescent="0.25">
      <c r="S993" t="s">
        <v>258</v>
      </c>
      <c r="T993" t="s">
        <v>299</v>
      </c>
      <c r="U993">
        <v>3.4396126344657615E-3</v>
      </c>
      <c r="V993" t="s">
        <v>154</v>
      </c>
    </row>
    <row r="994" spans="19:22" x14ac:dyDescent="0.25">
      <c r="S994" t="s">
        <v>258</v>
      </c>
      <c r="T994" t="s">
        <v>300</v>
      </c>
      <c r="U994">
        <v>3.6262986447973835E-3</v>
      </c>
      <c r="V994" t="s">
        <v>154</v>
      </c>
    </row>
    <row r="995" spans="19:22" x14ac:dyDescent="0.25">
      <c r="S995" t="s">
        <v>258</v>
      </c>
      <c r="T995" t="s">
        <v>301</v>
      </c>
      <c r="U995">
        <v>1.7849646147535567E-2</v>
      </c>
      <c r="V995" t="s">
        <v>154</v>
      </c>
    </row>
    <row r="996" spans="19:22" x14ac:dyDescent="0.25">
      <c r="S996" t="s">
        <v>258</v>
      </c>
      <c r="T996" t="s">
        <v>302</v>
      </c>
      <c r="U996">
        <v>5.8855701128084491E-2</v>
      </c>
      <c r="V996" t="s">
        <v>154</v>
      </c>
    </row>
    <row r="997" spans="19:22" x14ac:dyDescent="0.25">
      <c r="S997" t="s">
        <v>258</v>
      </c>
      <c r="T997" t="s">
        <v>303</v>
      </c>
      <c r="U997">
        <v>5.8991141514598701E-2</v>
      </c>
      <c r="V997" t="s">
        <v>154</v>
      </c>
    </row>
    <row r="998" spans="19:22" x14ac:dyDescent="0.25">
      <c r="S998" t="s">
        <v>258</v>
      </c>
      <c r="T998" t="s">
        <v>304</v>
      </c>
      <c r="U998">
        <v>7.6318006173231234E-3</v>
      </c>
      <c r="V998" t="s">
        <v>154</v>
      </c>
    </row>
    <row r="999" spans="19:22" x14ac:dyDescent="0.25">
      <c r="S999" t="s">
        <v>258</v>
      </c>
      <c r="T999" t="s">
        <v>305</v>
      </c>
      <c r="U999">
        <v>7.4045974641775789E-3</v>
      </c>
      <c r="V999" t="s">
        <v>154</v>
      </c>
    </row>
    <row r="1000" spans="19:22" x14ac:dyDescent="0.25">
      <c r="S1000" t="s">
        <v>258</v>
      </c>
      <c r="T1000" t="s">
        <v>306</v>
      </c>
      <c r="U1000">
        <v>3.3748153619282961E-2</v>
      </c>
      <c r="V1000" t="s">
        <v>154</v>
      </c>
    </row>
    <row r="1001" spans="19:22" x14ac:dyDescent="0.25">
      <c r="S1001" t="s">
        <v>259</v>
      </c>
      <c r="T1001" t="s">
        <v>153</v>
      </c>
      <c r="U1001">
        <v>4.184971386299214E-2</v>
      </c>
      <c r="V1001" t="s">
        <v>154</v>
      </c>
    </row>
    <row r="1002" spans="19:22" x14ac:dyDescent="0.25">
      <c r="S1002" t="s">
        <v>259</v>
      </c>
      <c r="T1002" t="s">
        <v>155</v>
      </c>
      <c r="U1002">
        <v>3.6606573707582954E-2</v>
      </c>
      <c r="V1002" t="s">
        <v>154</v>
      </c>
    </row>
    <row r="1003" spans="19:22" x14ac:dyDescent="0.25">
      <c r="S1003" t="s">
        <v>259</v>
      </c>
      <c r="T1003" t="s">
        <v>156</v>
      </c>
      <c r="U1003">
        <v>4.8977014285501892E-3</v>
      </c>
      <c r="V1003" t="s">
        <v>154</v>
      </c>
    </row>
    <row r="1004" spans="19:22" x14ac:dyDescent="0.25">
      <c r="S1004" t="s">
        <v>259</v>
      </c>
      <c r="T1004" t="s">
        <v>283</v>
      </c>
      <c r="U1004">
        <v>5.071715776373548E-3</v>
      </c>
      <c r="V1004" t="s">
        <v>154</v>
      </c>
    </row>
    <row r="1005" spans="19:22" x14ac:dyDescent="0.25">
      <c r="S1005" t="s">
        <v>259</v>
      </c>
      <c r="T1005" t="s">
        <v>284</v>
      </c>
      <c r="U1005">
        <v>2.3586232552253148E-2</v>
      </c>
      <c r="V1005" t="s">
        <v>154</v>
      </c>
    </row>
    <row r="1006" spans="19:22" x14ac:dyDescent="0.25">
      <c r="S1006" t="s">
        <v>259</v>
      </c>
      <c r="T1006" t="s">
        <v>157</v>
      </c>
      <c r="U1006">
        <v>8.1780519408300601E-3</v>
      </c>
      <c r="V1006" t="s">
        <v>154</v>
      </c>
    </row>
    <row r="1007" spans="19:22" x14ac:dyDescent="0.25">
      <c r="S1007" t="s">
        <v>259</v>
      </c>
      <c r="T1007" t="s">
        <v>158</v>
      </c>
      <c r="U1007">
        <v>8.4001335404971633E-3</v>
      </c>
      <c r="V1007" t="s">
        <v>154</v>
      </c>
    </row>
    <row r="1008" spans="19:22" x14ac:dyDescent="0.25">
      <c r="S1008" t="s">
        <v>259</v>
      </c>
      <c r="T1008" t="s">
        <v>159</v>
      </c>
      <c r="U1008">
        <v>1.1854947520423787E-3</v>
      </c>
      <c r="V1008" t="s">
        <v>154</v>
      </c>
    </row>
    <row r="1009" spans="19:22" x14ac:dyDescent="0.25">
      <c r="S1009" t="s">
        <v>259</v>
      </c>
      <c r="T1009" t="s">
        <v>285</v>
      </c>
      <c r="U1009">
        <v>1.1606794475673297E-3</v>
      </c>
      <c r="V1009" t="s">
        <v>154</v>
      </c>
    </row>
    <row r="1010" spans="19:22" x14ac:dyDescent="0.25">
      <c r="S1010" t="s">
        <v>259</v>
      </c>
      <c r="T1010" t="s">
        <v>286</v>
      </c>
      <c r="U1010">
        <v>5.6823183345716234E-3</v>
      </c>
      <c r="V1010" t="s">
        <v>154</v>
      </c>
    </row>
    <row r="1011" spans="19:22" x14ac:dyDescent="0.25">
      <c r="S1011" t="s">
        <v>259</v>
      </c>
      <c r="T1011" t="s">
        <v>160</v>
      </c>
      <c r="U1011">
        <v>0.23909617099086442</v>
      </c>
      <c r="V1011" t="s">
        <v>154</v>
      </c>
    </row>
    <row r="1012" spans="19:22" x14ac:dyDescent="0.25">
      <c r="S1012" t="s">
        <v>259</v>
      </c>
      <c r="T1012" t="s">
        <v>161</v>
      </c>
      <c r="U1012">
        <v>0.21951531152645856</v>
      </c>
      <c r="V1012" t="s">
        <v>154</v>
      </c>
    </row>
    <row r="1013" spans="19:22" x14ac:dyDescent="0.25">
      <c r="S1013" t="s">
        <v>259</v>
      </c>
      <c r="T1013" t="s">
        <v>162</v>
      </c>
      <c r="U1013">
        <v>2.7475113669400461E-2</v>
      </c>
      <c r="V1013" t="s">
        <v>154</v>
      </c>
    </row>
    <row r="1014" spans="19:22" x14ac:dyDescent="0.25">
      <c r="S1014" t="s">
        <v>259</v>
      </c>
      <c r="T1014" t="s">
        <v>287</v>
      </c>
      <c r="U1014">
        <v>2.729705373114661E-2</v>
      </c>
      <c r="V1014" t="s">
        <v>154</v>
      </c>
    </row>
    <row r="1015" spans="19:22" x14ac:dyDescent="0.25">
      <c r="S1015" t="s">
        <v>259</v>
      </c>
      <c r="T1015" t="s">
        <v>288</v>
      </c>
      <c r="U1015">
        <v>0.12302490329079493</v>
      </c>
      <c r="V1015" t="s">
        <v>154</v>
      </c>
    </row>
    <row r="1016" spans="19:22" x14ac:dyDescent="0.25">
      <c r="S1016" t="s">
        <v>259</v>
      </c>
      <c r="T1016" t="s">
        <v>163</v>
      </c>
      <c r="U1016">
        <v>1.8460067354404867E-2</v>
      </c>
      <c r="V1016" t="s">
        <v>154</v>
      </c>
    </row>
    <row r="1017" spans="19:22" x14ac:dyDescent="0.25">
      <c r="S1017" t="s">
        <v>259</v>
      </c>
      <c r="T1017" t="s">
        <v>164</v>
      </c>
      <c r="U1017">
        <v>1.7803454300071232E-2</v>
      </c>
      <c r="V1017" t="s">
        <v>154</v>
      </c>
    </row>
    <row r="1018" spans="19:22" x14ac:dyDescent="0.25">
      <c r="S1018" t="s">
        <v>259</v>
      </c>
      <c r="T1018" t="s">
        <v>165</v>
      </c>
      <c r="U1018">
        <v>2.3289666536737757E-3</v>
      </c>
      <c r="V1018" t="s">
        <v>154</v>
      </c>
    </row>
    <row r="1019" spans="19:22" x14ac:dyDescent="0.25">
      <c r="S1019" t="s">
        <v>259</v>
      </c>
      <c r="T1019" t="s">
        <v>289</v>
      </c>
      <c r="U1019">
        <v>2.3238312248715334E-3</v>
      </c>
      <c r="V1019" t="s">
        <v>154</v>
      </c>
    </row>
    <row r="1020" spans="19:22" x14ac:dyDescent="0.25">
      <c r="S1020" t="s">
        <v>259</v>
      </c>
      <c r="T1020" t="s">
        <v>290</v>
      </c>
      <c r="U1020">
        <v>1.0494063078613105E-2</v>
      </c>
      <c r="V1020" t="s">
        <v>154</v>
      </c>
    </row>
    <row r="1021" spans="19:22" x14ac:dyDescent="0.25">
      <c r="S1021" t="s">
        <v>259</v>
      </c>
      <c r="T1021" t="s">
        <v>297</v>
      </c>
      <c r="U1021">
        <v>2.4247713846855264E-2</v>
      </c>
      <c r="V1021" t="s">
        <v>154</v>
      </c>
    </row>
    <row r="1022" spans="19:22" x14ac:dyDescent="0.25">
      <c r="S1022" t="s">
        <v>259</v>
      </c>
      <c r="T1022" t="s">
        <v>298</v>
      </c>
      <c r="U1022">
        <v>2.1131570351292761E-2</v>
      </c>
      <c r="V1022" t="s">
        <v>154</v>
      </c>
    </row>
    <row r="1023" spans="19:22" x14ac:dyDescent="0.25">
      <c r="S1023" t="s">
        <v>259</v>
      </c>
      <c r="T1023" t="s">
        <v>299</v>
      </c>
      <c r="U1023">
        <v>2.9485139597912229E-3</v>
      </c>
      <c r="V1023" t="s">
        <v>154</v>
      </c>
    </row>
    <row r="1024" spans="19:22" x14ac:dyDescent="0.25">
      <c r="S1024" t="s">
        <v>259</v>
      </c>
      <c r="T1024" t="s">
        <v>300</v>
      </c>
      <c r="U1024">
        <v>2.9893866332079844E-3</v>
      </c>
      <c r="V1024" t="s">
        <v>154</v>
      </c>
    </row>
    <row r="1025" spans="19:22" x14ac:dyDescent="0.25">
      <c r="S1025" t="s">
        <v>259</v>
      </c>
      <c r="T1025" t="s">
        <v>301</v>
      </c>
      <c r="U1025">
        <v>1.208565077105026E-2</v>
      </c>
      <c r="V1025" t="s">
        <v>154</v>
      </c>
    </row>
    <row r="1026" spans="19:22" x14ac:dyDescent="0.25">
      <c r="S1026" t="s">
        <v>259</v>
      </c>
      <c r="T1026" t="s">
        <v>302</v>
      </c>
      <c r="U1026">
        <v>4.0602207051369792E-2</v>
      </c>
      <c r="V1026" t="s">
        <v>154</v>
      </c>
    </row>
    <row r="1027" spans="19:22" x14ac:dyDescent="0.25">
      <c r="S1027" t="s">
        <v>259</v>
      </c>
      <c r="T1027" t="s">
        <v>303</v>
      </c>
      <c r="U1027">
        <v>3.8260820338481549E-2</v>
      </c>
      <c r="V1027" t="s">
        <v>154</v>
      </c>
    </row>
    <row r="1028" spans="19:22" x14ac:dyDescent="0.25">
      <c r="S1028" t="s">
        <v>259</v>
      </c>
      <c r="T1028" t="s">
        <v>304</v>
      </c>
      <c r="U1028">
        <v>5.1089727974716519E-3</v>
      </c>
      <c r="V1028" t="s">
        <v>154</v>
      </c>
    </row>
    <row r="1029" spans="19:22" x14ac:dyDescent="0.25">
      <c r="S1029" t="s">
        <v>259</v>
      </c>
      <c r="T1029" t="s">
        <v>305</v>
      </c>
      <c r="U1029">
        <v>5.1395507168755334E-3</v>
      </c>
      <c r="V1029" t="s">
        <v>154</v>
      </c>
    </row>
    <row r="1030" spans="19:22" x14ac:dyDescent="0.25">
      <c r="S1030" t="s">
        <v>259</v>
      </c>
      <c r="T1030" t="s">
        <v>306</v>
      </c>
      <c r="U1030">
        <v>2.3048062370041731E-2</v>
      </c>
      <c r="V1030" t="s">
        <v>154</v>
      </c>
    </row>
    <row r="1031" spans="19:22" x14ac:dyDescent="0.25">
      <c r="S1031" t="s">
        <v>260</v>
      </c>
      <c r="T1031" t="s">
        <v>153</v>
      </c>
      <c r="U1031">
        <v>4.8641142878967321E-2</v>
      </c>
      <c r="V1031" t="s">
        <v>154</v>
      </c>
    </row>
    <row r="1032" spans="19:22" x14ac:dyDescent="0.25">
      <c r="S1032" t="s">
        <v>260</v>
      </c>
      <c r="T1032" t="s">
        <v>155</v>
      </c>
      <c r="U1032">
        <v>4.3654864244151277E-2</v>
      </c>
      <c r="V1032" t="s">
        <v>154</v>
      </c>
    </row>
    <row r="1033" spans="19:22" x14ac:dyDescent="0.25">
      <c r="S1033" t="s">
        <v>260</v>
      </c>
      <c r="T1033" t="s">
        <v>156</v>
      </c>
      <c r="U1033">
        <v>6.1423431142357795E-3</v>
      </c>
      <c r="V1033" t="s">
        <v>154</v>
      </c>
    </row>
    <row r="1034" spans="19:22" x14ac:dyDescent="0.25">
      <c r="S1034" t="s">
        <v>260</v>
      </c>
      <c r="T1034" t="s">
        <v>283</v>
      </c>
      <c r="U1034">
        <v>6.18775431685375E-3</v>
      </c>
      <c r="V1034" t="s">
        <v>154</v>
      </c>
    </row>
    <row r="1035" spans="19:22" x14ac:dyDescent="0.25">
      <c r="S1035" t="s">
        <v>260</v>
      </c>
      <c r="T1035" t="s">
        <v>284</v>
      </c>
      <c r="U1035">
        <v>2.8426954812259854E-2</v>
      </c>
      <c r="V1035" t="s">
        <v>154</v>
      </c>
    </row>
    <row r="1036" spans="19:22" x14ac:dyDescent="0.25">
      <c r="S1036" t="s">
        <v>260</v>
      </c>
      <c r="T1036" t="s">
        <v>157</v>
      </c>
      <c r="U1036">
        <v>1.1955289864912859E-2</v>
      </c>
      <c r="V1036" t="s">
        <v>154</v>
      </c>
    </row>
    <row r="1037" spans="19:22" x14ac:dyDescent="0.25">
      <c r="S1037" t="s">
        <v>260</v>
      </c>
      <c r="T1037" t="s">
        <v>158</v>
      </c>
      <c r="U1037">
        <v>8.4299204578083958E-3</v>
      </c>
      <c r="V1037" t="s">
        <v>154</v>
      </c>
    </row>
    <row r="1038" spans="19:22" x14ac:dyDescent="0.25">
      <c r="S1038" t="s">
        <v>260</v>
      </c>
      <c r="T1038" t="s">
        <v>159</v>
      </c>
      <c r="U1038">
        <v>1.0710170529219191E-3</v>
      </c>
      <c r="V1038" t="s">
        <v>154</v>
      </c>
    </row>
    <row r="1039" spans="19:22" x14ac:dyDescent="0.25">
      <c r="S1039" t="s">
        <v>260</v>
      </c>
      <c r="T1039" t="s">
        <v>285</v>
      </c>
      <c r="U1039">
        <v>1.1749061607558042E-3</v>
      </c>
      <c r="V1039" t="s">
        <v>154</v>
      </c>
    </row>
    <row r="1040" spans="19:22" x14ac:dyDescent="0.25">
      <c r="S1040" t="s">
        <v>260</v>
      </c>
      <c r="T1040" t="s">
        <v>286</v>
      </c>
      <c r="U1040">
        <v>6.4925994320543167E-3</v>
      </c>
      <c r="V1040" t="s">
        <v>154</v>
      </c>
    </row>
    <row r="1041" spans="19:22" x14ac:dyDescent="0.25">
      <c r="S1041" t="s">
        <v>260</v>
      </c>
      <c r="T1041" t="s">
        <v>160</v>
      </c>
      <c r="U1041">
        <v>0.21495350933529173</v>
      </c>
      <c r="V1041" t="s">
        <v>154</v>
      </c>
    </row>
    <row r="1042" spans="19:22" x14ac:dyDescent="0.25">
      <c r="S1042" t="s">
        <v>260</v>
      </c>
      <c r="T1042" t="s">
        <v>161</v>
      </c>
      <c r="U1042">
        <v>0.19193233131718293</v>
      </c>
      <c r="V1042" t="s">
        <v>154</v>
      </c>
    </row>
    <row r="1043" spans="19:22" x14ac:dyDescent="0.25">
      <c r="S1043" t="s">
        <v>260</v>
      </c>
      <c r="T1043" t="s">
        <v>162</v>
      </c>
      <c r="U1043">
        <v>2.4273792553851488E-2</v>
      </c>
      <c r="V1043" t="s">
        <v>154</v>
      </c>
    </row>
    <row r="1044" spans="19:22" x14ac:dyDescent="0.25">
      <c r="S1044" t="s">
        <v>260</v>
      </c>
      <c r="T1044" t="s">
        <v>287</v>
      </c>
      <c r="U1044">
        <v>2.4512630039838185E-2</v>
      </c>
      <c r="V1044" t="s">
        <v>154</v>
      </c>
    </row>
    <row r="1045" spans="19:22" x14ac:dyDescent="0.25">
      <c r="S1045" t="s">
        <v>260</v>
      </c>
      <c r="T1045" t="s">
        <v>288</v>
      </c>
      <c r="U1045">
        <v>0.12339392086291227</v>
      </c>
      <c r="V1045" t="s">
        <v>154</v>
      </c>
    </row>
    <row r="1046" spans="19:22" x14ac:dyDescent="0.25">
      <c r="S1046" t="s">
        <v>260</v>
      </c>
      <c r="T1046" t="s">
        <v>163</v>
      </c>
      <c r="U1046">
        <v>2.7479225721606597E-2</v>
      </c>
      <c r="V1046" t="s">
        <v>154</v>
      </c>
    </row>
    <row r="1047" spans="19:22" x14ac:dyDescent="0.25">
      <c r="S1047" t="s">
        <v>260</v>
      </c>
      <c r="T1047" t="s">
        <v>164</v>
      </c>
      <c r="U1047">
        <v>2.2414202871745077E-2</v>
      </c>
      <c r="V1047" t="s">
        <v>154</v>
      </c>
    </row>
    <row r="1048" spans="19:22" x14ac:dyDescent="0.25">
      <c r="S1048" t="s">
        <v>260</v>
      </c>
      <c r="T1048" t="s">
        <v>165</v>
      </c>
      <c r="U1048">
        <v>2.9057501746528281E-3</v>
      </c>
      <c r="V1048" t="s">
        <v>154</v>
      </c>
    </row>
    <row r="1049" spans="19:22" x14ac:dyDescent="0.25">
      <c r="S1049" t="s">
        <v>260</v>
      </c>
      <c r="T1049" t="s">
        <v>289</v>
      </c>
      <c r="U1049">
        <v>2.8947246913229897E-3</v>
      </c>
      <c r="V1049" t="s">
        <v>154</v>
      </c>
    </row>
    <row r="1050" spans="19:22" x14ac:dyDescent="0.25">
      <c r="S1050" t="s">
        <v>260</v>
      </c>
      <c r="T1050" t="s">
        <v>290</v>
      </c>
      <c r="U1050">
        <v>1.4022730940587714E-2</v>
      </c>
      <c r="V1050" t="s">
        <v>154</v>
      </c>
    </row>
    <row r="1051" spans="19:22" x14ac:dyDescent="0.25">
      <c r="S1051" t="s">
        <v>260</v>
      </c>
      <c r="T1051" t="s">
        <v>297</v>
      </c>
      <c r="U1051">
        <v>2.821798473155903E-2</v>
      </c>
      <c r="V1051" t="s">
        <v>154</v>
      </c>
    </row>
    <row r="1052" spans="19:22" x14ac:dyDescent="0.25">
      <c r="S1052" t="s">
        <v>260</v>
      </c>
      <c r="T1052" t="s">
        <v>298</v>
      </c>
      <c r="U1052">
        <v>2.2081885162845268E-2</v>
      </c>
      <c r="V1052" t="s">
        <v>154</v>
      </c>
    </row>
    <row r="1053" spans="19:22" x14ac:dyDescent="0.25">
      <c r="S1053" t="s">
        <v>260</v>
      </c>
      <c r="T1053" t="s">
        <v>299</v>
      </c>
      <c r="U1053">
        <v>3.4304616558828841E-3</v>
      </c>
      <c r="V1053" t="s">
        <v>154</v>
      </c>
    </row>
    <row r="1054" spans="19:22" x14ac:dyDescent="0.25">
      <c r="S1054" t="s">
        <v>260</v>
      </c>
      <c r="T1054" t="s">
        <v>300</v>
      </c>
      <c r="U1054">
        <v>3.6475444472902742E-3</v>
      </c>
      <c r="V1054" t="s">
        <v>154</v>
      </c>
    </row>
    <row r="1055" spans="19:22" x14ac:dyDescent="0.25">
      <c r="S1055" t="s">
        <v>260</v>
      </c>
      <c r="T1055" t="s">
        <v>301</v>
      </c>
      <c r="U1055">
        <v>1.850215374480137E-2</v>
      </c>
      <c r="V1055" t="s">
        <v>154</v>
      </c>
    </row>
    <row r="1056" spans="19:22" x14ac:dyDescent="0.25">
      <c r="S1056" t="s">
        <v>260</v>
      </c>
      <c r="T1056" t="s">
        <v>302</v>
      </c>
      <c r="U1056">
        <v>4.1926833538822747E-2</v>
      </c>
      <c r="V1056" t="s">
        <v>154</v>
      </c>
    </row>
    <row r="1057" spans="19:22" x14ac:dyDescent="0.25">
      <c r="S1057" t="s">
        <v>260</v>
      </c>
      <c r="T1057" t="s">
        <v>303</v>
      </c>
      <c r="U1057">
        <v>3.7575919730178139E-2</v>
      </c>
      <c r="V1057" t="s">
        <v>154</v>
      </c>
    </row>
    <row r="1058" spans="19:22" x14ac:dyDescent="0.25">
      <c r="S1058" t="s">
        <v>260</v>
      </c>
      <c r="T1058" t="s">
        <v>304</v>
      </c>
      <c r="U1058">
        <v>5.0466114039532705E-3</v>
      </c>
      <c r="V1058" t="s">
        <v>154</v>
      </c>
    </row>
    <row r="1059" spans="19:22" x14ac:dyDescent="0.25">
      <c r="S1059" t="s">
        <v>260</v>
      </c>
      <c r="T1059" t="s">
        <v>305</v>
      </c>
      <c r="U1059">
        <v>4.9514629471973885E-3</v>
      </c>
      <c r="V1059" t="s">
        <v>154</v>
      </c>
    </row>
    <row r="1060" spans="19:22" x14ac:dyDescent="0.25">
      <c r="S1060" t="s">
        <v>260</v>
      </c>
      <c r="T1060" t="s">
        <v>306</v>
      </c>
      <c r="U1060">
        <v>2.3659531793558869E-2</v>
      </c>
      <c r="V1060" t="s">
        <v>154</v>
      </c>
    </row>
    <row r="1061" spans="19:22" x14ac:dyDescent="0.25">
      <c r="S1061" t="s">
        <v>261</v>
      </c>
      <c r="T1061" t="s">
        <v>153</v>
      </c>
      <c r="U1061">
        <v>4.3406596638561633E-2</v>
      </c>
      <c r="V1061" t="s">
        <v>154</v>
      </c>
    </row>
    <row r="1062" spans="19:22" x14ac:dyDescent="0.25">
      <c r="S1062" t="s">
        <v>261</v>
      </c>
      <c r="T1062" t="s">
        <v>155</v>
      </c>
      <c r="U1062">
        <v>3.8456626304333864E-2</v>
      </c>
      <c r="V1062" t="s">
        <v>154</v>
      </c>
    </row>
    <row r="1063" spans="19:22" x14ac:dyDescent="0.25">
      <c r="S1063" t="s">
        <v>261</v>
      </c>
      <c r="T1063" t="s">
        <v>156</v>
      </c>
      <c r="U1063">
        <v>5.6485740185835687E-3</v>
      </c>
      <c r="V1063" t="s">
        <v>154</v>
      </c>
    </row>
    <row r="1064" spans="19:22" x14ac:dyDescent="0.25">
      <c r="S1064" t="s">
        <v>261</v>
      </c>
      <c r="T1064" t="s">
        <v>283</v>
      </c>
      <c r="U1064">
        <v>5.7199851985799506E-3</v>
      </c>
      <c r="V1064" t="s">
        <v>154</v>
      </c>
    </row>
    <row r="1065" spans="19:22" x14ac:dyDescent="0.25">
      <c r="S1065" t="s">
        <v>261</v>
      </c>
      <c r="T1065" t="s">
        <v>284</v>
      </c>
      <c r="U1065">
        <v>2.5964429665762991E-2</v>
      </c>
      <c r="V1065" t="s">
        <v>154</v>
      </c>
    </row>
    <row r="1066" spans="19:22" x14ac:dyDescent="0.25">
      <c r="S1066" t="s">
        <v>261</v>
      </c>
      <c r="T1066" t="s">
        <v>157</v>
      </c>
      <c r="U1066">
        <v>7.7409252308191789E-3</v>
      </c>
      <c r="V1066" t="s">
        <v>154</v>
      </c>
    </row>
    <row r="1067" spans="19:22" x14ac:dyDescent="0.25">
      <c r="S1067" t="s">
        <v>261</v>
      </c>
      <c r="T1067" t="s">
        <v>158</v>
      </c>
      <c r="U1067">
        <v>5.3630933388983905E-3</v>
      </c>
      <c r="V1067" t="s">
        <v>154</v>
      </c>
    </row>
    <row r="1068" spans="19:22" x14ac:dyDescent="0.25">
      <c r="S1068" t="s">
        <v>261</v>
      </c>
      <c r="T1068" t="s">
        <v>159</v>
      </c>
      <c r="U1068">
        <v>8.9480327111404702E-4</v>
      </c>
      <c r="V1068" t="s">
        <v>154</v>
      </c>
    </row>
    <row r="1069" spans="19:22" x14ac:dyDescent="0.25">
      <c r="S1069" t="s">
        <v>261</v>
      </c>
      <c r="T1069" t="s">
        <v>285</v>
      </c>
      <c r="U1069">
        <v>9.4332070721487237E-4</v>
      </c>
      <c r="V1069" t="s">
        <v>154</v>
      </c>
    </row>
    <row r="1070" spans="19:22" x14ac:dyDescent="0.25">
      <c r="S1070" t="s">
        <v>261</v>
      </c>
      <c r="T1070" t="s">
        <v>286</v>
      </c>
      <c r="U1070">
        <v>4.5159134549611554E-3</v>
      </c>
      <c r="V1070" t="s">
        <v>154</v>
      </c>
    </row>
    <row r="1071" spans="19:22" x14ac:dyDescent="0.25">
      <c r="S1071" t="s">
        <v>261</v>
      </c>
      <c r="T1071" t="s">
        <v>160</v>
      </c>
      <c r="U1071">
        <v>0.22489016941789119</v>
      </c>
      <c r="V1071" t="s">
        <v>154</v>
      </c>
    </row>
    <row r="1072" spans="19:22" x14ac:dyDescent="0.25">
      <c r="S1072" t="s">
        <v>261</v>
      </c>
      <c r="T1072" t="s">
        <v>161</v>
      </c>
      <c r="U1072">
        <v>0.20628480437307459</v>
      </c>
      <c r="V1072" t="s">
        <v>154</v>
      </c>
    </row>
    <row r="1073" spans="19:22" x14ac:dyDescent="0.25">
      <c r="S1073" t="s">
        <v>261</v>
      </c>
      <c r="T1073" t="s">
        <v>162</v>
      </c>
      <c r="U1073">
        <v>2.7477354272278983E-2</v>
      </c>
      <c r="V1073" t="s">
        <v>154</v>
      </c>
    </row>
    <row r="1074" spans="19:22" x14ac:dyDescent="0.25">
      <c r="S1074" t="s">
        <v>261</v>
      </c>
      <c r="T1074" t="s">
        <v>287</v>
      </c>
      <c r="U1074">
        <v>2.757877597084446E-2</v>
      </c>
      <c r="V1074" t="s">
        <v>154</v>
      </c>
    </row>
    <row r="1075" spans="19:22" x14ac:dyDescent="0.25">
      <c r="S1075" t="s">
        <v>261</v>
      </c>
      <c r="T1075" t="s">
        <v>288</v>
      </c>
      <c r="U1075">
        <v>0.12721104786437137</v>
      </c>
      <c r="V1075" t="s">
        <v>154</v>
      </c>
    </row>
    <row r="1076" spans="19:22" x14ac:dyDescent="0.25">
      <c r="S1076" t="s">
        <v>261</v>
      </c>
      <c r="T1076" t="s">
        <v>163</v>
      </c>
      <c r="U1076">
        <v>2.0879199753945997E-2</v>
      </c>
      <c r="V1076" t="s">
        <v>154</v>
      </c>
    </row>
    <row r="1077" spans="19:22" x14ac:dyDescent="0.25">
      <c r="S1077" t="s">
        <v>261</v>
      </c>
      <c r="T1077" t="s">
        <v>164</v>
      </c>
      <c r="U1077">
        <v>2.0431521093651529E-2</v>
      </c>
      <c r="V1077" t="s">
        <v>154</v>
      </c>
    </row>
    <row r="1078" spans="19:22" x14ac:dyDescent="0.25">
      <c r="S1078" t="s">
        <v>261</v>
      </c>
      <c r="T1078" t="s">
        <v>165</v>
      </c>
      <c r="U1078">
        <v>2.6635613837152883E-3</v>
      </c>
      <c r="V1078" t="s">
        <v>154</v>
      </c>
    </row>
    <row r="1079" spans="19:22" x14ac:dyDescent="0.25">
      <c r="S1079" t="s">
        <v>261</v>
      </c>
      <c r="T1079" t="s">
        <v>289</v>
      </c>
      <c r="U1079">
        <v>2.7351960127150652E-3</v>
      </c>
      <c r="V1079" t="s">
        <v>154</v>
      </c>
    </row>
    <row r="1080" spans="19:22" x14ac:dyDescent="0.25">
      <c r="S1080" t="s">
        <v>261</v>
      </c>
      <c r="T1080" t="s">
        <v>290</v>
      </c>
      <c r="U1080">
        <v>1.2717918050327555E-2</v>
      </c>
      <c r="V1080" t="s">
        <v>154</v>
      </c>
    </row>
    <row r="1081" spans="19:22" x14ac:dyDescent="0.25">
      <c r="S1081" t="s">
        <v>261</v>
      </c>
      <c r="T1081" t="s">
        <v>297</v>
      </c>
      <c r="U1081">
        <v>2.5235397514067733E-2</v>
      </c>
      <c r="V1081" t="s">
        <v>154</v>
      </c>
    </row>
    <row r="1082" spans="19:22" x14ac:dyDescent="0.25">
      <c r="S1082" t="s">
        <v>261</v>
      </c>
      <c r="T1082" t="s">
        <v>298</v>
      </c>
      <c r="U1082">
        <v>2.2547792578811995E-2</v>
      </c>
      <c r="V1082" t="s">
        <v>154</v>
      </c>
    </row>
    <row r="1083" spans="19:22" x14ac:dyDescent="0.25">
      <c r="S1083" t="s">
        <v>261</v>
      </c>
      <c r="T1083" t="s">
        <v>299</v>
      </c>
      <c r="U1083">
        <v>2.9290273136664243E-3</v>
      </c>
      <c r="V1083" t="s">
        <v>154</v>
      </c>
    </row>
    <row r="1084" spans="19:22" x14ac:dyDescent="0.25">
      <c r="S1084" t="s">
        <v>261</v>
      </c>
      <c r="T1084" t="s">
        <v>300</v>
      </c>
      <c r="U1084">
        <v>3.0185008376883721E-3</v>
      </c>
      <c r="V1084" t="s">
        <v>154</v>
      </c>
    </row>
    <row r="1085" spans="19:22" x14ac:dyDescent="0.25">
      <c r="S1085" t="s">
        <v>261</v>
      </c>
      <c r="T1085" t="s">
        <v>301</v>
      </c>
      <c r="U1085">
        <v>1.4426889420432297E-2</v>
      </c>
      <c r="V1085" t="s">
        <v>154</v>
      </c>
    </row>
    <row r="1086" spans="19:22" x14ac:dyDescent="0.25">
      <c r="S1086" t="s">
        <v>261</v>
      </c>
      <c r="T1086" t="s">
        <v>302</v>
      </c>
      <c r="U1086">
        <v>4.5088432785062242E-2</v>
      </c>
      <c r="V1086" t="s">
        <v>154</v>
      </c>
    </row>
    <row r="1087" spans="19:22" x14ac:dyDescent="0.25">
      <c r="S1087" t="s">
        <v>261</v>
      </c>
      <c r="T1087" t="s">
        <v>303</v>
      </c>
      <c r="U1087">
        <v>4.0378158895488049E-2</v>
      </c>
      <c r="V1087" t="s">
        <v>154</v>
      </c>
    </row>
    <row r="1088" spans="19:22" x14ac:dyDescent="0.25">
      <c r="S1088" t="s">
        <v>261</v>
      </c>
      <c r="T1088" t="s">
        <v>304</v>
      </c>
      <c r="U1088">
        <v>5.2466047131104511E-3</v>
      </c>
      <c r="V1088" t="s">
        <v>154</v>
      </c>
    </row>
    <row r="1089" spans="19:22" x14ac:dyDescent="0.25">
      <c r="S1089" t="s">
        <v>261</v>
      </c>
      <c r="T1089" t="s">
        <v>305</v>
      </c>
      <c r="U1089">
        <v>5.1716592897335621E-3</v>
      </c>
      <c r="V1089" t="s">
        <v>154</v>
      </c>
    </row>
    <row r="1090" spans="19:22" x14ac:dyDescent="0.25">
      <c r="S1090" t="s">
        <v>261</v>
      </c>
      <c r="T1090" t="s">
        <v>306</v>
      </c>
      <c r="U1090">
        <v>2.4433720630294118E-2</v>
      </c>
      <c r="V1090" t="s">
        <v>154</v>
      </c>
    </row>
    <row r="1091" spans="19:22" x14ac:dyDescent="0.25">
      <c r="S1091" t="s">
        <v>262</v>
      </c>
      <c r="T1091" t="s">
        <v>153</v>
      </c>
      <c r="U1091">
        <v>4.761737878239982E-2</v>
      </c>
      <c r="V1091" t="s">
        <v>154</v>
      </c>
    </row>
    <row r="1092" spans="19:22" x14ac:dyDescent="0.25">
      <c r="S1092" t="s">
        <v>262</v>
      </c>
      <c r="T1092" t="s">
        <v>155</v>
      </c>
      <c r="U1092">
        <v>3.937106554681459E-2</v>
      </c>
      <c r="V1092" t="s">
        <v>154</v>
      </c>
    </row>
    <row r="1093" spans="19:22" x14ac:dyDescent="0.25">
      <c r="S1093" t="s">
        <v>262</v>
      </c>
      <c r="T1093" t="s">
        <v>156</v>
      </c>
      <c r="U1093">
        <v>5.7449057128065618E-3</v>
      </c>
      <c r="V1093" t="s">
        <v>154</v>
      </c>
    </row>
    <row r="1094" spans="19:22" x14ac:dyDescent="0.25">
      <c r="S1094" t="s">
        <v>262</v>
      </c>
      <c r="T1094" t="s">
        <v>283</v>
      </c>
      <c r="U1094">
        <v>5.8877891163135795E-3</v>
      </c>
      <c r="V1094" t="s">
        <v>154</v>
      </c>
    </row>
    <row r="1095" spans="19:22" x14ac:dyDescent="0.25">
      <c r="S1095" t="s">
        <v>262</v>
      </c>
      <c r="T1095" t="s">
        <v>284</v>
      </c>
      <c r="U1095">
        <v>2.7983625423220831E-2</v>
      </c>
      <c r="V1095" t="s">
        <v>154</v>
      </c>
    </row>
    <row r="1096" spans="19:22" x14ac:dyDescent="0.25">
      <c r="S1096" t="s">
        <v>262</v>
      </c>
      <c r="T1096" t="s">
        <v>157</v>
      </c>
      <c r="U1096">
        <v>1.0394845877963599E-2</v>
      </c>
      <c r="V1096" t="s">
        <v>154</v>
      </c>
    </row>
    <row r="1097" spans="19:22" x14ac:dyDescent="0.25">
      <c r="S1097" t="s">
        <v>262</v>
      </c>
      <c r="T1097" t="s">
        <v>158</v>
      </c>
      <c r="U1097">
        <v>6.9388908186335937E-3</v>
      </c>
      <c r="V1097" t="s">
        <v>154</v>
      </c>
    </row>
    <row r="1098" spans="19:22" x14ac:dyDescent="0.25">
      <c r="S1098" t="s">
        <v>262</v>
      </c>
      <c r="T1098" t="s">
        <v>159</v>
      </c>
      <c r="U1098">
        <v>9.606652004861859E-4</v>
      </c>
      <c r="V1098" t="s">
        <v>154</v>
      </c>
    </row>
    <row r="1099" spans="19:22" x14ac:dyDescent="0.25">
      <c r="S1099" t="s">
        <v>262</v>
      </c>
      <c r="T1099" t="s">
        <v>285</v>
      </c>
      <c r="U1099">
        <v>1.0621480446956831E-3</v>
      </c>
      <c r="V1099" t="s">
        <v>154</v>
      </c>
    </row>
    <row r="1100" spans="19:22" x14ac:dyDescent="0.25">
      <c r="S1100" t="s">
        <v>262</v>
      </c>
      <c r="T1100" t="s">
        <v>286</v>
      </c>
      <c r="U1100">
        <v>5.2917438910443882E-3</v>
      </c>
      <c r="V1100" t="s">
        <v>154</v>
      </c>
    </row>
    <row r="1101" spans="19:22" x14ac:dyDescent="0.25">
      <c r="S1101" t="s">
        <v>262</v>
      </c>
      <c r="T1101" t="s">
        <v>160</v>
      </c>
      <c r="U1101">
        <v>0.2096294506038722</v>
      </c>
      <c r="V1101" t="s">
        <v>154</v>
      </c>
    </row>
    <row r="1102" spans="19:22" x14ac:dyDescent="0.25">
      <c r="S1102" t="s">
        <v>262</v>
      </c>
      <c r="T1102" t="s">
        <v>161</v>
      </c>
      <c r="U1102">
        <v>0.19005237186443638</v>
      </c>
      <c r="V1102" t="s">
        <v>154</v>
      </c>
    </row>
    <row r="1103" spans="19:22" x14ac:dyDescent="0.25">
      <c r="S1103" t="s">
        <v>262</v>
      </c>
      <c r="T1103" t="s">
        <v>162</v>
      </c>
      <c r="U1103">
        <v>2.4377016365474524E-2</v>
      </c>
      <c r="V1103" t="s">
        <v>154</v>
      </c>
    </row>
    <row r="1104" spans="19:22" x14ac:dyDescent="0.25">
      <c r="S1104" t="s">
        <v>262</v>
      </c>
      <c r="T1104" t="s">
        <v>287</v>
      </c>
      <c r="U1104">
        <v>2.4753959578367724E-2</v>
      </c>
      <c r="V1104" t="s">
        <v>154</v>
      </c>
    </row>
    <row r="1105" spans="19:22" x14ac:dyDescent="0.25">
      <c r="S1105" t="s">
        <v>262</v>
      </c>
      <c r="T1105" t="s">
        <v>288</v>
      </c>
      <c r="U1105">
        <v>0.11973586896542678</v>
      </c>
      <c r="V1105" t="s">
        <v>154</v>
      </c>
    </row>
    <row r="1106" spans="19:22" x14ac:dyDescent="0.25">
      <c r="S1106" t="s">
        <v>262</v>
      </c>
      <c r="T1106" t="s">
        <v>163</v>
      </c>
      <c r="U1106">
        <v>2.2326274957997907E-2</v>
      </c>
      <c r="V1106" t="s">
        <v>154</v>
      </c>
    </row>
    <row r="1107" spans="19:22" x14ac:dyDescent="0.25">
      <c r="S1107" t="s">
        <v>262</v>
      </c>
      <c r="T1107" t="s">
        <v>164</v>
      </c>
      <c r="U1107">
        <v>2.0136655403564695E-2</v>
      </c>
      <c r="V1107" t="s">
        <v>154</v>
      </c>
    </row>
    <row r="1108" spans="19:22" x14ac:dyDescent="0.25">
      <c r="S1108" t="s">
        <v>262</v>
      </c>
      <c r="T1108" t="s">
        <v>165</v>
      </c>
      <c r="U1108">
        <v>2.5878899652955608E-3</v>
      </c>
      <c r="V1108" t="s">
        <v>154</v>
      </c>
    </row>
    <row r="1109" spans="19:22" x14ac:dyDescent="0.25">
      <c r="S1109" t="s">
        <v>262</v>
      </c>
      <c r="T1109" t="s">
        <v>289</v>
      </c>
      <c r="U1109">
        <v>2.6176469220331334E-3</v>
      </c>
      <c r="V1109" t="s">
        <v>154</v>
      </c>
    </row>
    <row r="1110" spans="19:22" x14ac:dyDescent="0.25">
      <c r="S1110" t="s">
        <v>262</v>
      </c>
      <c r="T1110" t="s">
        <v>290</v>
      </c>
      <c r="U1110">
        <v>1.2208111581209631E-2</v>
      </c>
      <c r="V1110" t="s">
        <v>154</v>
      </c>
    </row>
    <row r="1111" spans="19:22" x14ac:dyDescent="0.25">
      <c r="S1111" t="s">
        <v>262</v>
      </c>
      <c r="T1111" t="s">
        <v>297</v>
      </c>
      <c r="U1111">
        <v>3.0580196638797207E-2</v>
      </c>
      <c r="V1111" t="s">
        <v>154</v>
      </c>
    </row>
    <row r="1112" spans="19:22" x14ac:dyDescent="0.25">
      <c r="S1112" t="s">
        <v>262</v>
      </c>
      <c r="T1112" t="s">
        <v>298</v>
      </c>
      <c r="U1112">
        <v>3.0426069806156419E-2</v>
      </c>
      <c r="V1112" t="s">
        <v>154</v>
      </c>
    </row>
    <row r="1113" spans="19:22" x14ac:dyDescent="0.25">
      <c r="S1113" t="s">
        <v>262</v>
      </c>
      <c r="T1113" t="s">
        <v>299</v>
      </c>
      <c r="U1113">
        <v>4.2598973423825567E-3</v>
      </c>
      <c r="V1113" t="s">
        <v>154</v>
      </c>
    </row>
    <row r="1114" spans="19:22" x14ac:dyDescent="0.25">
      <c r="S1114" t="s">
        <v>262</v>
      </c>
      <c r="T1114" t="s">
        <v>300</v>
      </c>
      <c r="U1114">
        <v>4.3998794698612764E-3</v>
      </c>
      <c r="V1114" t="s">
        <v>154</v>
      </c>
    </row>
    <row r="1115" spans="19:22" x14ac:dyDescent="0.25">
      <c r="S1115" t="s">
        <v>262</v>
      </c>
      <c r="T1115" t="s">
        <v>301</v>
      </c>
      <c r="U1115">
        <v>1.9866383528570685E-2</v>
      </c>
      <c r="V1115" t="s">
        <v>154</v>
      </c>
    </row>
    <row r="1116" spans="19:22" x14ac:dyDescent="0.25">
      <c r="S1116" t="s">
        <v>262</v>
      </c>
      <c r="T1116" t="s">
        <v>302</v>
      </c>
      <c r="U1116">
        <v>4.9789223424084234E-2</v>
      </c>
      <c r="V1116" t="s">
        <v>154</v>
      </c>
    </row>
    <row r="1117" spans="19:22" x14ac:dyDescent="0.25">
      <c r="S1117" t="s">
        <v>262</v>
      </c>
      <c r="T1117" t="s">
        <v>303</v>
      </c>
      <c r="U1117">
        <v>4.3151498885210075E-2</v>
      </c>
      <c r="V1117" t="s">
        <v>154</v>
      </c>
    </row>
    <row r="1118" spans="19:22" x14ac:dyDescent="0.25">
      <c r="S1118" t="s">
        <v>262</v>
      </c>
      <c r="T1118" t="s">
        <v>304</v>
      </c>
      <c r="U1118">
        <v>5.8049394876039766E-3</v>
      </c>
      <c r="V1118" t="s">
        <v>154</v>
      </c>
    </row>
    <row r="1119" spans="19:22" x14ac:dyDescent="0.25">
      <c r="S1119" t="s">
        <v>262</v>
      </c>
      <c r="T1119" t="s">
        <v>305</v>
      </c>
      <c r="U1119">
        <v>5.8799994375396559E-3</v>
      </c>
      <c r="V1119" t="s">
        <v>154</v>
      </c>
    </row>
    <row r="1120" spans="19:22" x14ac:dyDescent="0.25">
      <c r="S1120" t="s">
        <v>262</v>
      </c>
      <c r="T1120" t="s">
        <v>306</v>
      </c>
      <c r="U1120">
        <v>2.6163607357733265E-2</v>
      </c>
      <c r="V1120" t="s">
        <v>154</v>
      </c>
    </row>
    <row r="1121" spans="19:22" x14ac:dyDescent="0.25">
      <c r="S1121" t="s">
        <v>263</v>
      </c>
      <c r="T1121" t="s">
        <v>153</v>
      </c>
      <c r="U1121">
        <v>4.2779471649523983E-2</v>
      </c>
      <c r="V1121" t="s">
        <v>154</v>
      </c>
    </row>
    <row r="1122" spans="19:22" x14ac:dyDescent="0.25">
      <c r="S1122" t="s">
        <v>263</v>
      </c>
      <c r="T1122" t="s">
        <v>155</v>
      </c>
      <c r="U1122">
        <v>3.6147264766238363E-2</v>
      </c>
      <c r="V1122" t="s">
        <v>154</v>
      </c>
    </row>
    <row r="1123" spans="19:22" x14ac:dyDescent="0.25">
      <c r="S1123" t="s">
        <v>263</v>
      </c>
      <c r="T1123" t="s">
        <v>156</v>
      </c>
      <c r="U1123">
        <v>4.1449721336717709E-3</v>
      </c>
      <c r="V1123" t="s">
        <v>154</v>
      </c>
    </row>
    <row r="1124" spans="19:22" x14ac:dyDescent="0.25">
      <c r="S1124" t="s">
        <v>263</v>
      </c>
      <c r="T1124" t="s">
        <v>283</v>
      </c>
      <c r="U1124">
        <v>4.0377072610580248E-3</v>
      </c>
      <c r="V1124" t="s">
        <v>154</v>
      </c>
    </row>
    <row r="1125" spans="19:22" x14ac:dyDescent="0.25">
      <c r="S1125" t="s">
        <v>263</v>
      </c>
      <c r="T1125" t="s">
        <v>284</v>
      </c>
      <c r="U1125">
        <v>2.1005207740944064E-2</v>
      </c>
      <c r="V1125" t="s">
        <v>154</v>
      </c>
    </row>
    <row r="1126" spans="19:22" x14ac:dyDescent="0.25">
      <c r="S1126" t="s">
        <v>263</v>
      </c>
      <c r="T1126" t="s">
        <v>157</v>
      </c>
      <c r="U1126">
        <v>9.3194978171764076E-3</v>
      </c>
      <c r="V1126" t="s">
        <v>154</v>
      </c>
    </row>
    <row r="1127" spans="19:22" x14ac:dyDescent="0.25">
      <c r="S1127" t="s">
        <v>263</v>
      </c>
      <c r="T1127" t="s">
        <v>158</v>
      </c>
      <c r="U1127">
        <v>1.0774670612446075E-2</v>
      </c>
      <c r="V1127" t="s">
        <v>154</v>
      </c>
    </row>
    <row r="1128" spans="19:22" x14ac:dyDescent="0.25">
      <c r="S1128" t="s">
        <v>263</v>
      </c>
      <c r="T1128" t="s">
        <v>159</v>
      </c>
      <c r="U1128">
        <v>1.491153243488997E-3</v>
      </c>
      <c r="V1128" t="s">
        <v>154</v>
      </c>
    </row>
    <row r="1129" spans="19:22" x14ac:dyDescent="0.25">
      <c r="S1129" t="s">
        <v>263</v>
      </c>
      <c r="T1129" t="s">
        <v>285</v>
      </c>
      <c r="U1129">
        <v>1.4875176735858718E-3</v>
      </c>
      <c r="V1129" t="s">
        <v>154</v>
      </c>
    </row>
    <row r="1130" spans="19:22" x14ac:dyDescent="0.25">
      <c r="S1130" t="s">
        <v>263</v>
      </c>
      <c r="T1130" t="s">
        <v>286</v>
      </c>
      <c r="U1130">
        <v>7.0534661293787356E-3</v>
      </c>
      <c r="V1130" t="s">
        <v>154</v>
      </c>
    </row>
    <row r="1131" spans="19:22" x14ac:dyDescent="0.25">
      <c r="S1131" t="s">
        <v>263</v>
      </c>
      <c r="T1131" t="s">
        <v>160</v>
      </c>
      <c r="U1131">
        <v>0.24071914575574888</v>
      </c>
      <c r="V1131" t="s">
        <v>154</v>
      </c>
    </row>
    <row r="1132" spans="19:22" x14ac:dyDescent="0.25">
      <c r="S1132" t="s">
        <v>263</v>
      </c>
      <c r="T1132" t="s">
        <v>161</v>
      </c>
      <c r="U1132">
        <v>0.2039753148574624</v>
      </c>
      <c r="V1132" t="s">
        <v>154</v>
      </c>
    </row>
    <row r="1133" spans="19:22" x14ac:dyDescent="0.25">
      <c r="S1133" t="s">
        <v>263</v>
      </c>
      <c r="T1133" t="s">
        <v>162</v>
      </c>
      <c r="U1133">
        <v>2.4621899368302745E-2</v>
      </c>
      <c r="V1133" t="s">
        <v>154</v>
      </c>
    </row>
    <row r="1134" spans="19:22" x14ac:dyDescent="0.25">
      <c r="S1134" t="s">
        <v>263</v>
      </c>
      <c r="T1134" t="s">
        <v>287</v>
      </c>
      <c r="U1134">
        <v>2.465323397703394E-2</v>
      </c>
      <c r="V1134" t="s">
        <v>154</v>
      </c>
    </row>
    <row r="1135" spans="19:22" x14ac:dyDescent="0.25">
      <c r="S1135" t="s">
        <v>263</v>
      </c>
      <c r="T1135" t="s">
        <v>288</v>
      </c>
      <c r="U1135">
        <v>0.12451362641148113</v>
      </c>
      <c r="V1135" t="s">
        <v>154</v>
      </c>
    </row>
    <row r="1136" spans="19:22" x14ac:dyDescent="0.25">
      <c r="S1136" t="s">
        <v>263</v>
      </c>
      <c r="T1136" t="s">
        <v>163</v>
      </c>
      <c r="U1136">
        <v>1.6816571904634064E-2</v>
      </c>
      <c r="V1136" t="s">
        <v>154</v>
      </c>
    </row>
    <row r="1137" spans="19:22" x14ac:dyDescent="0.25">
      <c r="S1137" t="s">
        <v>263</v>
      </c>
      <c r="T1137" t="s">
        <v>164</v>
      </c>
      <c r="U1137">
        <v>1.6603688982363335E-2</v>
      </c>
      <c r="V1137" t="s">
        <v>154</v>
      </c>
    </row>
    <row r="1138" spans="19:22" x14ac:dyDescent="0.25">
      <c r="S1138" t="s">
        <v>263</v>
      </c>
      <c r="T1138" t="s">
        <v>165</v>
      </c>
      <c r="U1138">
        <v>1.9866311164563242E-3</v>
      </c>
      <c r="V1138" t="s">
        <v>154</v>
      </c>
    </row>
    <row r="1139" spans="19:22" x14ac:dyDescent="0.25">
      <c r="S1139" t="s">
        <v>263</v>
      </c>
      <c r="T1139" t="s">
        <v>289</v>
      </c>
      <c r="U1139">
        <v>1.9046026810350973E-3</v>
      </c>
      <c r="V1139" t="s">
        <v>154</v>
      </c>
    </row>
    <row r="1140" spans="19:22" x14ac:dyDescent="0.25">
      <c r="S1140" t="s">
        <v>263</v>
      </c>
      <c r="T1140" t="s">
        <v>290</v>
      </c>
      <c r="U1140">
        <v>9.1164033822434959E-3</v>
      </c>
      <c r="V1140" t="s">
        <v>154</v>
      </c>
    </row>
    <row r="1141" spans="19:22" x14ac:dyDescent="0.25">
      <c r="S1141" t="s">
        <v>263</v>
      </c>
      <c r="T1141" t="s">
        <v>297</v>
      </c>
      <c r="U1141">
        <v>2.664581708835155E-2</v>
      </c>
      <c r="V1141" t="s">
        <v>154</v>
      </c>
    </row>
    <row r="1142" spans="19:22" x14ac:dyDescent="0.25">
      <c r="S1142" t="s">
        <v>263</v>
      </c>
      <c r="T1142" t="s">
        <v>298</v>
      </c>
      <c r="U1142">
        <v>2.3053046497537175E-2</v>
      </c>
      <c r="V1142" t="s">
        <v>154</v>
      </c>
    </row>
    <row r="1143" spans="19:22" x14ac:dyDescent="0.25">
      <c r="S1143" t="s">
        <v>263</v>
      </c>
      <c r="T1143" t="s">
        <v>299</v>
      </c>
      <c r="U1143">
        <v>2.8800093172186847E-3</v>
      </c>
      <c r="V1143" t="s">
        <v>154</v>
      </c>
    </row>
    <row r="1144" spans="19:22" x14ac:dyDescent="0.25">
      <c r="S1144" t="s">
        <v>263</v>
      </c>
      <c r="T1144" t="s">
        <v>300</v>
      </c>
      <c r="U1144">
        <v>2.7909048185628185E-3</v>
      </c>
      <c r="V1144" t="s">
        <v>154</v>
      </c>
    </row>
    <row r="1145" spans="19:22" x14ac:dyDescent="0.25">
      <c r="S1145" t="s">
        <v>263</v>
      </c>
      <c r="T1145" t="s">
        <v>301</v>
      </c>
      <c r="U1145">
        <v>1.3945356924338598E-2</v>
      </c>
      <c r="V1145" t="s">
        <v>154</v>
      </c>
    </row>
    <row r="1146" spans="19:22" x14ac:dyDescent="0.25">
      <c r="S1146" t="s">
        <v>263</v>
      </c>
      <c r="T1146" t="s">
        <v>302</v>
      </c>
      <c r="U1146">
        <v>4.6638492229828403E-2</v>
      </c>
      <c r="V1146" t="s">
        <v>154</v>
      </c>
    </row>
    <row r="1147" spans="19:22" x14ac:dyDescent="0.25">
      <c r="S1147" t="s">
        <v>263</v>
      </c>
      <c r="T1147" t="s">
        <v>303</v>
      </c>
      <c r="U1147">
        <v>4.2918220489607917E-2</v>
      </c>
      <c r="V1147" t="s">
        <v>154</v>
      </c>
    </row>
    <row r="1148" spans="19:22" x14ac:dyDescent="0.25">
      <c r="S1148" t="s">
        <v>263</v>
      </c>
      <c r="T1148" t="s">
        <v>304</v>
      </c>
      <c r="U1148">
        <v>5.3523465405547694E-3</v>
      </c>
      <c r="V1148" t="s">
        <v>154</v>
      </c>
    </row>
    <row r="1149" spans="19:22" x14ac:dyDescent="0.25">
      <c r="S1149" t="s">
        <v>263</v>
      </c>
      <c r="T1149" t="s">
        <v>305</v>
      </c>
      <c r="U1149">
        <v>5.2842184180435679E-3</v>
      </c>
      <c r="V1149" t="s">
        <v>154</v>
      </c>
    </row>
    <row r="1150" spans="19:22" x14ac:dyDescent="0.25">
      <c r="S1150" t="s">
        <v>263</v>
      </c>
      <c r="T1150" t="s">
        <v>306</v>
      </c>
      <c r="U1150">
        <v>2.7339540211681952E-2</v>
      </c>
      <c r="V1150" t="s">
        <v>154</v>
      </c>
    </row>
    <row r="1151" spans="19:22" x14ac:dyDescent="0.25">
      <c r="S1151" t="s">
        <v>264</v>
      </c>
      <c r="T1151" t="s">
        <v>153</v>
      </c>
      <c r="U1151">
        <v>5.3990903288628232E-2</v>
      </c>
      <c r="V1151" t="s">
        <v>154</v>
      </c>
    </row>
    <row r="1152" spans="19:22" x14ac:dyDescent="0.25">
      <c r="S1152" t="s">
        <v>264</v>
      </c>
      <c r="T1152" t="s">
        <v>155</v>
      </c>
      <c r="U1152">
        <v>4.262566037962974E-2</v>
      </c>
      <c r="V1152" t="s">
        <v>154</v>
      </c>
    </row>
    <row r="1153" spans="19:22" x14ac:dyDescent="0.25">
      <c r="S1153" t="s">
        <v>264</v>
      </c>
      <c r="T1153" t="s">
        <v>156</v>
      </c>
      <c r="U1153">
        <v>5.5504150161330892E-3</v>
      </c>
      <c r="V1153" t="s">
        <v>154</v>
      </c>
    </row>
    <row r="1154" spans="19:22" x14ac:dyDescent="0.25">
      <c r="S1154" t="s">
        <v>264</v>
      </c>
      <c r="T1154" t="s">
        <v>283</v>
      </c>
      <c r="U1154">
        <v>5.7386861313586616E-3</v>
      </c>
      <c r="V1154" t="s">
        <v>154</v>
      </c>
    </row>
    <row r="1155" spans="19:22" x14ac:dyDescent="0.25">
      <c r="S1155" t="s">
        <v>264</v>
      </c>
      <c r="T1155" t="s">
        <v>284</v>
      </c>
      <c r="U1155">
        <v>2.774571435240801E-2</v>
      </c>
      <c r="V1155" t="s">
        <v>154</v>
      </c>
    </row>
    <row r="1156" spans="19:22" x14ac:dyDescent="0.25">
      <c r="S1156" t="s">
        <v>264</v>
      </c>
      <c r="T1156" t="s">
        <v>157</v>
      </c>
      <c r="U1156">
        <v>1.3983047852630583E-2</v>
      </c>
      <c r="V1156" t="s">
        <v>154</v>
      </c>
    </row>
    <row r="1157" spans="19:22" x14ac:dyDescent="0.25">
      <c r="S1157" t="s">
        <v>264</v>
      </c>
      <c r="T1157" t="s">
        <v>158</v>
      </c>
      <c r="U1157">
        <v>1.1836228851941764E-2</v>
      </c>
      <c r="V1157" t="s">
        <v>154</v>
      </c>
    </row>
    <row r="1158" spans="19:22" x14ac:dyDescent="0.25">
      <c r="S1158" t="s">
        <v>264</v>
      </c>
      <c r="T1158" t="s">
        <v>159</v>
      </c>
      <c r="U1158">
        <v>1.833963168180482E-3</v>
      </c>
      <c r="V1158" t="s">
        <v>154</v>
      </c>
    </row>
    <row r="1159" spans="19:22" x14ac:dyDescent="0.25">
      <c r="S1159" t="s">
        <v>264</v>
      </c>
      <c r="T1159" t="s">
        <v>285</v>
      </c>
      <c r="U1159">
        <v>1.8910993381722051E-3</v>
      </c>
      <c r="V1159" t="s">
        <v>154</v>
      </c>
    </row>
    <row r="1160" spans="19:22" x14ac:dyDescent="0.25">
      <c r="S1160" t="s">
        <v>264</v>
      </c>
      <c r="T1160" t="s">
        <v>286</v>
      </c>
      <c r="U1160">
        <v>8.2914165826002417E-3</v>
      </c>
      <c r="V1160" t="s">
        <v>154</v>
      </c>
    </row>
    <row r="1161" spans="19:22" x14ac:dyDescent="0.25">
      <c r="S1161" t="s">
        <v>264</v>
      </c>
      <c r="T1161" t="s">
        <v>160</v>
      </c>
      <c r="U1161">
        <v>0.20501891169416506</v>
      </c>
      <c r="V1161" t="s">
        <v>154</v>
      </c>
    </row>
    <row r="1162" spans="19:22" x14ac:dyDescent="0.25">
      <c r="S1162" t="s">
        <v>264</v>
      </c>
      <c r="T1162" t="s">
        <v>161</v>
      </c>
      <c r="U1162">
        <v>0.18729863902752283</v>
      </c>
      <c r="V1162" t="s">
        <v>154</v>
      </c>
    </row>
    <row r="1163" spans="19:22" x14ac:dyDescent="0.25">
      <c r="S1163" t="s">
        <v>264</v>
      </c>
      <c r="T1163" t="s">
        <v>162</v>
      </c>
      <c r="U1163">
        <v>2.6834095251034553E-2</v>
      </c>
      <c r="V1163" t="s">
        <v>154</v>
      </c>
    </row>
    <row r="1164" spans="19:22" x14ac:dyDescent="0.25">
      <c r="S1164" t="s">
        <v>264</v>
      </c>
      <c r="T1164" t="s">
        <v>287</v>
      </c>
      <c r="U1164">
        <v>2.6962929787164941E-2</v>
      </c>
      <c r="V1164" t="s">
        <v>154</v>
      </c>
    </row>
    <row r="1165" spans="19:22" x14ac:dyDescent="0.25">
      <c r="S1165" t="s">
        <v>264</v>
      </c>
      <c r="T1165" t="s">
        <v>288</v>
      </c>
      <c r="U1165">
        <v>0.12306544685525514</v>
      </c>
      <c r="V1165" t="s">
        <v>154</v>
      </c>
    </row>
    <row r="1166" spans="19:22" x14ac:dyDescent="0.25">
      <c r="S1166" t="s">
        <v>264</v>
      </c>
      <c r="T1166" t="s">
        <v>163</v>
      </c>
      <c r="U1166">
        <v>1.8226098361157437E-2</v>
      </c>
      <c r="V1166" t="s">
        <v>154</v>
      </c>
    </row>
    <row r="1167" spans="19:22" x14ac:dyDescent="0.25">
      <c r="S1167" t="s">
        <v>264</v>
      </c>
      <c r="T1167" t="s">
        <v>164</v>
      </c>
      <c r="U1167">
        <v>1.4638841393928839E-2</v>
      </c>
      <c r="V1167" t="s">
        <v>154</v>
      </c>
    </row>
    <row r="1168" spans="19:22" x14ac:dyDescent="0.25">
      <c r="S1168" t="s">
        <v>264</v>
      </c>
      <c r="T1168" t="s">
        <v>165</v>
      </c>
      <c r="U1168">
        <v>1.8245094462489681E-3</v>
      </c>
      <c r="V1168" t="s">
        <v>154</v>
      </c>
    </row>
    <row r="1169" spans="19:22" x14ac:dyDescent="0.25">
      <c r="S1169" t="s">
        <v>264</v>
      </c>
      <c r="T1169" t="s">
        <v>289</v>
      </c>
      <c r="U1169">
        <v>1.8819124289820007E-3</v>
      </c>
      <c r="V1169" t="s">
        <v>154</v>
      </c>
    </row>
    <row r="1170" spans="19:22" x14ac:dyDescent="0.25">
      <c r="S1170" t="s">
        <v>264</v>
      </c>
      <c r="T1170" t="s">
        <v>290</v>
      </c>
      <c r="U1170">
        <v>8.9698042090444168E-3</v>
      </c>
      <c r="V1170" t="s">
        <v>154</v>
      </c>
    </row>
    <row r="1171" spans="19:22" x14ac:dyDescent="0.25">
      <c r="S1171" t="s">
        <v>264</v>
      </c>
      <c r="T1171" t="s">
        <v>297</v>
      </c>
      <c r="U1171">
        <v>2.4328210523374381E-2</v>
      </c>
      <c r="V1171" t="s">
        <v>154</v>
      </c>
    </row>
    <row r="1172" spans="19:22" x14ac:dyDescent="0.25">
      <c r="S1172" t="s">
        <v>264</v>
      </c>
      <c r="T1172" t="s">
        <v>298</v>
      </c>
      <c r="U1172">
        <v>2.1691530869916681E-2</v>
      </c>
      <c r="V1172" t="s">
        <v>154</v>
      </c>
    </row>
    <row r="1173" spans="19:22" x14ac:dyDescent="0.25">
      <c r="S1173" t="s">
        <v>264</v>
      </c>
      <c r="T1173" t="s">
        <v>299</v>
      </c>
      <c r="U1173">
        <v>3.0765371876124285E-3</v>
      </c>
      <c r="V1173" t="s">
        <v>154</v>
      </c>
    </row>
    <row r="1174" spans="19:22" x14ac:dyDescent="0.25">
      <c r="S1174" t="s">
        <v>264</v>
      </c>
      <c r="T1174" t="s">
        <v>300</v>
      </c>
      <c r="U1174">
        <v>3.0829184793666267E-3</v>
      </c>
      <c r="V1174" t="s">
        <v>154</v>
      </c>
    </row>
    <row r="1175" spans="19:22" x14ac:dyDescent="0.25">
      <c r="S1175" t="s">
        <v>264</v>
      </c>
      <c r="T1175" t="s">
        <v>301</v>
      </c>
      <c r="U1175">
        <v>1.3388840449548536E-2</v>
      </c>
      <c r="V1175" t="s">
        <v>154</v>
      </c>
    </row>
    <row r="1176" spans="19:22" x14ac:dyDescent="0.25">
      <c r="S1176" t="s">
        <v>264</v>
      </c>
      <c r="T1176" t="s">
        <v>302</v>
      </c>
      <c r="U1176">
        <v>5.5497809439896441E-2</v>
      </c>
      <c r="V1176" t="s">
        <v>154</v>
      </c>
    </row>
    <row r="1177" spans="19:22" x14ac:dyDescent="0.25">
      <c r="S1177" t="s">
        <v>264</v>
      </c>
      <c r="T1177" t="s">
        <v>303</v>
      </c>
      <c r="U1177">
        <v>4.6453653125600451E-2</v>
      </c>
      <c r="V1177" t="s">
        <v>154</v>
      </c>
    </row>
    <row r="1178" spans="19:22" x14ac:dyDescent="0.25">
      <c r="S1178" t="s">
        <v>264</v>
      </c>
      <c r="T1178" t="s">
        <v>304</v>
      </c>
      <c r="U1178">
        <v>6.3391250515504906E-3</v>
      </c>
      <c r="V1178" t="s">
        <v>154</v>
      </c>
    </row>
    <row r="1179" spans="19:22" x14ac:dyDescent="0.25">
      <c r="S1179" t="s">
        <v>264</v>
      </c>
      <c r="T1179" t="s">
        <v>305</v>
      </c>
      <c r="U1179">
        <v>6.4320549845629871E-3</v>
      </c>
      <c r="V1179" t="s">
        <v>154</v>
      </c>
    </row>
    <row r="1180" spans="19:22" x14ac:dyDescent="0.25">
      <c r="S1180" t="s">
        <v>264</v>
      </c>
      <c r="T1180" t="s">
        <v>306</v>
      </c>
      <c r="U1180">
        <v>3.1500996472387167E-2</v>
      </c>
      <c r="V1180" t="s">
        <v>154</v>
      </c>
    </row>
    <row r="1181" spans="19:22" x14ac:dyDescent="0.25">
      <c r="S1181" t="s">
        <v>265</v>
      </c>
      <c r="T1181" t="s">
        <v>153</v>
      </c>
      <c r="U1181">
        <v>4.5419744593063374E-2</v>
      </c>
      <c r="V1181" t="s">
        <v>154</v>
      </c>
    </row>
    <row r="1182" spans="19:22" x14ac:dyDescent="0.25">
      <c r="S1182" t="s">
        <v>265</v>
      </c>
      <c r="T1182" t="s">
        <v>155</v>
      </c>
      <c r="U1182">
        <v>3.6042327582300783E-2</v>
      </c>
      <c r="V1182" t="s">
        <v>154</v>
      </c>
    </row>
    <row r="1183" spans="19:22" x14ac:dyDescent="0.25">
      <c r="S1183" t="s">
        <v>265</v>
      </c>
      <c r="T1183" t="s">
        <v>156</v>
      </c>
      <c r="U1183">
        <v>4.286930789242846E-3</v>
      </c>
      <c r="V1183" t="s">
        <v>154</v>
      </c>
    </row>
    <row r="1184" spans="19:22" x14ac:dyDescent="0.25">
      <c r="S1184" t="s">
        <v>265</v>
      </c>
      <c r="T1184" t="s">
        <v>283</v>
      </c>
      <c r="U1184">
        <v>4.3375724427307258E-3</v>
      </c>
      <c r="V1184" t="s">
        <v>154</v>
      </c>
    </row>
    <row r="1185" spans="19:22" x14ac:dyDescent="0.25">
      <c r="S1185" t="s">
        <v>265</v>
      </c>
      <c r="T1185" t="s">
        <v>284</v>
      </c>
      <c r="U1185">
        <v>2.2443711396977224E-2</v>
      </c>
      <c r="V1185" t="s">
        <v>154</v>
      </c>
    </row>
    <row r="1186" spans="19:22" x14ac:dyDescent="0.25">
      <c r="S1186" t="s">
        <v>265</v>
      </c>
      <c r="T1186" t="s">
        <v>157</v>
      </c>
      <c r="U1186">
        <v>9.486415667349507E-3</v>
      </c>
      <c r="V1186" t="s">
        <v>154</v>
      </c>
    </row>
    <row r="1187" spans="19:22" x14ac:dyDescent="0.25">
      <c r="S1187" t="s">
        <v>265</v>
      </c>
      <c r="T1187" t="s">
        <v>158</v>
      </c>
      <c r="U1187">
        <v>1.0714012981145299E-2</v>
      </c>
      <c r="V1187" t="s">
        <v>154</v>
      </c>
    </row>
    <row r="1188" spans="19:22" x14ac:dyDescent="0.25">
      <c r="S1188" t="s">
        <v>265</v>
      </c>
      <c r="T1188" t="s">
        <v>159</v>
      </c>
      <c r="U1188">
        <v>1.4799762104439253E-3</v>
      </c>
      <c r="V1188" t="s">
        <v>154</v>
      </c>
    </row>
    <row r="1189" spans="19:22" x14ac:dyDescent="0.25">
      <c r="S1189" t="s">
        <v>265</v>
      </c>
      <c r="T1189" t="s">
        <v>285</v>
      </c>
      <c r="U1189">
        <v>1.4695022220474804E-3</v>
      </c>
      <c r="V1189" t="s">
        <v>154</v>
      </c>
    </row>
    <row r="1190" spans="19:22" x14ac:dyDescent="0.25">
      <c r="S1190" t="s">
        <v>265</v>
      </c>
      <c r="T1190" t="s">
        <v>286</v>
      </c>
      <c r="U1190">
        <v>5.9507465767861647E-3</v>
      </c>
      <c r="V1190" t="s">
        <v>154</v>
      </c>
    </row>
    <row r="1191" spans="19:22" x14ac:dyDescent="0.25">
      <c r="S1191" t="s">
        <v>265</v>
      </c>
      <c r="T1191" t="s">
        <v>160</v>
      </c>
      <c r="U1191">
        <v>0.22463364104656225</v>
      </c>
      <c r="V1191" t="s">
        <v>154</v>
      </c>
    </row>
    <row r="1192" spans="19:22" x14ac:dyDescent="0.25">
      <c r="S1192" t="s">
        <v>265</v>
      </c>
      <c r="T1192" t="s">
        <v>161</v>
      </c>
      <c r="U1192">
        <v>0.20292653928997262</v>
      </c>
      <c r="V1192" t="s">
        <v>154</v>
      </c>
    </row>
    <row r="1193" spans="19:22" x14ac:dyDescent="0.25">
      <c r="S1193" t="s">
        <v>265</v>
      </c>
      <c r="T1193" t="s">
        <v>162</v>
      </c>
      <c r="U1193">
        <v>2.5615187139141717E-2</v>
      </c>
      <c r="V1193" t="s">
        <v>154</v>
      </c>
    </row>
    <row r="1194" spans="19:22" x14ac:dyDescent="0.25">
      <c r="S1194" t="s">
        <v>265</v>
      </c>
      <c r="T1194" t="s">
        <v>287</v>
      </c>
      <c r="U1194">
        <v>2.5797972294749266E-2</v>
      </c>
      <c r="V1194" t="s">
        <v>154</v>
      </c>
    </row>
    <row r="1195" spans="19:22" x14ac:dyDescent="0.25">
      <c r="S1195" t="s">
        <v>265</v>
      </c>
      <c r="T1195" t="s">
        <v>288</v>
      </c>
      <c r="U1195">
        <v>0.12657420051920595</v>
      </c>
      <c r="V1195" t="s">
        <v>154</v>
      </c>
    </row>
    <row r="1196" spans="19:22" x14ac:dyDescent="0.25">
      <c r="S1196" t="s">
        <v>265</v>
      </c>
      <c r="T1196" t="s">
        <v>163</v>
      </c>
      <c r="U1196">
        <v>1.7259709498379273E-2</v>
      </c>
      <c r="V1196" t="s">
        <v>154</v>
      </c>
    </row>
    <row r="1197" spans="19:22" x14ac:dyDescent="0.25">
      <c r="S1197" t="s">
        <v>265</v>
      </c>
      <c r="T1197" t="s">
        <v>164</v>
      </c>
      <c r="U1197">
        <v>1.5186371319093426E-2</v>
      </c>
      <c r="V1197" t="s">
        <v>154</v>
      </c>
    </row>
    <row r="1198" spans="19:22" x14ac:dyDescent="0.25">
      <c r="S1198" t="s">
        <v>265</v>
      </c>
      <c r="T1198" t="s">
        <v>165</v>
      </c>
      <c r="U1198">
        <v>1.8658352173488656E-3</v>
      </c>
      <c r="V1198" t="s">
        <v>154</v>
      </c>
    </row>
    <row r="1199" spans="19:22" x14ac:dyDescent="0.25">
      <c r="S1199" t="s">
        <v>265</v>
      </c>
      <c r="T1199" t="s">
        <v>289</v>
      </c>
      <c r="U1199">
        <v>1.862079634851128E-3</v>
      </c>
      <c r="V1199" t="s">
        <v>154</v>
      </c>
    </row>
    <row r="1200" spans="19:22" x14ac:dyDescent="0.25">
      <c r="S1200" t="s">
        <v>265</v>
      </c>
      <c r="T1200" t="s">
        <v>290</v>
      </c>
      <c r="U1200">
        <v>8.7794705327559498E-3</v>
      </c>
      <c r="V1200" t="s">
        <v>154</v>
      </c>
    </row>
    <row r="1201" spans="19:22" x14ac:dyDescent="0.25">
      <c r="S1201" t="s">
        <v>265</v>
      </c>
      <c r="T1201" t="s">
        <v>297</v>
      </c>
      <c r="U1201">
        <v>2.7563516295172726E-2</v>
      </c>
      <c r="V1201" t="s">
        <v>154</v>
      </c>
    </row>
    <row r="1202" spans="19:22" x14ac:dyDescent="0.25">
      <c r="S1202" t="s">
        <v>265</v>
      </c>
      <c r="T1202" t="s">
        <v>298</v>
      </c>
      <c r="U1202">
        <v>2.5427298073711562E-2</v>
      </c>
      <c r="V1202" t="s">
        <v>154</v>
      </c>
    </row>
    <row r="1203" spans="19:22" x14ac:dyDescent="0.25">
      <c r="S1203" t="s">
        <v>265</v>
      </c>
      <c r="T1203" t="s">
        <v>299</v>
      </c>
      <c r="U1203">
        <v>3.1035279384946379E-3</v>
      </c>
      <c r="V1203" t="s">
        <v>154</v>
      </c>
    </row>
    <row r="1204" spans="19:22" x14ac:dyDescent="0.25">
      <c r="S1204" t="s">
        <v>265</v>
      </c>
      <c r="T1204" t="s">
        <v>300</v>
      </c>
      <c r="U1204">
        <v>3.0878043790785251E-3</v>
      </c>
      <c r="V1204" t="s">
        <v>154</v>
      </c>
    </row>
    <row r="1205" spans="19:22" x14ac:dyDescent="0.25">
      <c r="S1205" t="s">
        <v>265</v>
      </c>
      <c r="T1205" t="s">
        <v>301</v>
      </c>
      <c r="U1205">
        <v>1.4807994545968249E-2</v>
      </c>
      <c r="V1205" t="s">
        <v>154</v>
      </c>
    </row>
    <row r="1206" spans="19:22" x14ac:dyDescent="0.25">
      <c r="S1206" t="s">
        <v>265</v>
      </c>
      <c r="T1206" t="s">
        <v>302</v>
      </c>
      <c r="U1206">
        <v>4.970606410623786E-2</v>
      </c>
      <c r="V1206" t="s">
        <v>154</v>
      </c>
    </row>
    <row r="1207" spans="19:22" x14ac:dyDescent="0.25">
      <c r="S1207" t="s">
        <v>265</v>
      </c>
      <c r="T1207" t="s">
        <v>303</v>
      </c>
      <c r="U1207">
        <v>4.5486140088462017E-2</v>
      </c>
      <c r="V1207" t="s">
        <v>154</v>
      </c>
    </row>
    <row r="1208" spans="19:22" x14ac:dyDescent="0.25">
      <c r="S1208" t="s">
        <v>265</v>
      </c>
      <c r="T1208" t="s">
        <v>304</v>
      </c>
      <c r="U1208">
        <v>5.6570501837365835E-3</v>
      </c>
      <c r="V1208" t="s">
        <v>154</v>
      </c>
    </row>
    <row r="1209" spans="19:22" x14ac:dyDescent="0.25">
      <c r="S1209" t="s">
        <v>265</v>
      </c>
      <c r="T1209" t="s">
        <v>305</v>
      </c>
      <c r="U1209">
        <v>5.5646699931878821E-3</v>
      </c>
      <c r="V1209" t="s">
        <v>154</v>
      </c>
    </row>
    <row r="1210" spans="19:22" x14ac:dyDescent="0.25">
      <c r="S1210" t="s">
        <v>265</v>
      </c>
      <c r="T1210" t="s">
        <v>306</v>
      </c>
      <c r="U1210">
        <v>2.7463987441802944E-2</v>
      </c>
      <c r="V1210" t="s">
        <v>154</v>
      </c>
    </row>
    <row r="1211" spans="19:22" x14ac:dyDescent="0.25">
      <c r="S1211" t="s">
        <v>266</v>
      </c>
      <c r="T1211" t="s">
        <v>153</v>
      </c>
      <c r="U1211">
        <v>5.2670384244625813E-2</v>
      </c>
      <c r="V1211" t="s">
        <v>154</v>
      </c>
    </row>
    <row r="1212" spans="19:22" x14ac:dyDescent="0.25">
      <c r="S1212" t="s">
        <v>266</v>
      </c>
      <c r="T1212" t="s">
        <v>155</v>
      </c>
      <c r="U1212">
        <v>4.6371892134945213E-2</v>
      </c>
      <c r="V1212" t="s">
        <v>154</v>
      </c>
    </row>
    <row r="1213" spans="19:22" x14ac:dyDescent="0.25">
      <c r="S1213" t="s">
        <v>266</v>
      </c>
      <c r="T1213" t="s">
        <v>156</v>
      </c>
      <c r="U1213">
        <v>6.1602186202303422E-3</v>
      </c>
      <c r="V1213" t="s">
        <v>154</v>
      </c>
    </row>
    <row r="1214" spans="19:22" x14ac:dyDescent="0.25">
      <c r="S1214" t="s">
        <v>266</v>
      </c>
      <c r="T1214" t="s">
        <v>283</v>
      </c>
      <c r="U1214">
        <v>6.0966740093635619E-3</v>
      </c>
      <c r="V1214" t="s">
        <v>154</v>
      </c>
    </row>
    <row r="1215" spans="19:22" x14ac:dyDescent="0.25">
      <c r="S1215" t="s">
        <v>266</v>
      </c>
      <c r="T1215" t="s">
        <v>284</v>
      </c>
      <c r="U1215">
        <v>2.7645015331912926E-2</v>
      </c>
      <c r="V1215" t="s">
        <v>154</v>
      </c>
    </row>
    <row r="1216" spans="19:22" x14ac:dyDescent="0.25">
      <c r="S1216" t="s">
        <v>266</v>
      </c>
      <c r="T1216" t="s">
        <v>157</v>
      </c>
      <c r="U1216">
        <v>1.1533823853392185E-2</v>
      </c>
      <c r="V1216" t="s">
        <v>154</v>
      </c>
    </row>
    <row r="1217" spans="19:22" x14ac:dyDescent="0.25">
      <c r="S1217" t="s">
        <v>266</v>
      </c>
      <c r="T1217" t="s">
        <v>158</v>
      </c>
      <c r="U1217">
        <v>1.1108268168230297E-2</v>
      </c>
      <c r="V1217" t="s">
        <v>154</v>
      </c>
    </row>
    <row r="1218" spans="19:22" x14ac:dyDescent="0.25">
      <c r="S1218" t="s">
        <v>266</v>
      </c>
      <c r="T1218" t="s">
        <v>159</v>
      </c>
      <c r="U1218">
        <v>1.4732402311653245E-3</v>
      </c>
      <c r="V1218" t="s">
        <v>154</v>
      </c>
    </row>
    <row r="1219" spans="19:22" x14ac:dyDescent="0.25">
      <c r="S1219" t="s">
        <v>266</v>
      </c>
      <c r="T1219" t="s">
        <v>285</v>
      </c>
      <c r="U1219">
        <v>1.4573987963926987E-3</v>
      </c>
      <c r="V1219" t="s">
        <v>154</v>
      </c>
    </row>
    <row r="1220" spans="19:22" x14ac:dyDescent="0.25">
      <c r="S1220" t="s">
        <v>266</v>
      </c>
      <c r="T1220" t="s">
        <v>286</v>
      </c>
      <c r="U1220">
        <v>6.2786557083488719E-3</v>
      </c>
      <c r="V1220" t="s">
        <v>154</v>
      </c>
    </row>
    <row r="1221" spans="19:22" x14ac:dyDescent="0.25">
      <c r="S1221" t="s">
        <v>266</v>
      </c>
      <c r="T1221" t="s">
        <v>160</v>
      </c>
      <c r="U1221">
        <v>0.22096448979140423</v>
      </c>
      <c r="V1221" t="s">
        <v>154</v>
      </c>
    </row>
    <row r="1222" spans="19:22" x14ac:dyDescent="0.25">
      <c r="S1222" t="s">
        <v>266</v>
      </c>
      <c r="T1222" t="s">
        <v>161</v>
      </c>
      <c r="U1222">
        <v>0.18649397513173421</v>
      </c>
      <c r="V1222" t="s">
        <v>154</v>
      </c>
    </row>
    <row r="1223" spans="19:22" x14ac:dyDescent="0.25">
      <c r="S1223" t="s">
        <v>266</v>
      </c>
      <c r="T1223" t="s">
        <v>162</v>
      </c>
      <c r="U1223">
        <v>2.7016770176774601E-2</v>
      </c>
      <c r="V1223" t="s">
        <v>154</v>
      </c>
    </row>
    <row r="1224" spans="19:22" x14ac:dyDescent="0.25">
      <c r="S1224" t="s">
        <v>266</v>
      </c>
      <c r="T1224" t="s">
        <v>287</v>
      </c>
      <c r="U1224">
        <v>2.7560943772698982E-2</v>
      </c>
      <c r="V1224" t="s">
        <v>154</v>
      </c>
    </row>
    <row r="1225" spans="19:22" x14ac:dyDescent="0.25">
      <c r="S1225" t="s">
        <v>266</v>
      </c>
      <c r="T1225" t="s">
        <v>288</v>
      </c>
      <c r="U1225">
        <v>0.12391872844523356</v>
      </c>
      <c r="V1225" t="s">
        <v>154</v>
      </c>
    </row>
    <row r="1226" spans="19:22" x14ac:dyDescent="0.25">
      <c r="S1226" t="s">
        <v>266</v>
      </c>
      <c r="T1226" t="s">
        <v>163</v>
      </c>
      <c r="U1226">
        <v>1.3604434653957992E-2</v>
      </c>
      <c r="V1226" t="s">
        <v>154</v>
      </c>
    </row>
    <row r="1227" spans="19:22" x14ac:dyDescent="0.25">
      <c r="S1227" t="s">
        <v>266</v>
      </c>
      <c r="T1227" t="s">
        <v>164</v>
      </c>
      <c r="U1227">
        <v>1.2272319018712221E-2</v>
      </c>
      <c r="V1227" t="s">
        <v>154</v>
      </c>
    </row>
    <row r="1228" spans="19:22" x14ac:dyDescent="0.25">
      <c r="S1228" t="s">
        <v>266</v>
      </c>
      <c r="T1228" t="s">
        <v>165</v>
      </c>
      <c r="U1228">
        <v>1.8590485649949337E-3</v>
      </c>
      <c r="V1228" t="s">
        <v>154</v>
      </c>
    </row>
    <row r="1229" spans="19:22" x14ac:dyDescent="0.25">
      <c r="S1229" t="s">
        <v>266</v>
      </c>
      <c r="T1229" t="s">
        <v>289</v>
      </c>
      <c r="U1229">
        <v>1.9308280416484411E-3</v>
      </c>
      <c r="V1229" t="s">
        <v>154</v>
      </c>
    </row>
    <row r="1230" spans="19:22" x14ac:dyDescent="0.25">
      <c r="S1230" t="s">
        <v>266</v>
      </c>
      <c r="T1230" t="s">
        <v>290</v>
      </c>
      <c r="U1230">
        <v>7.8903283029423815E-3</v>
      </c>
      <c r="V1230" t="s">
        <v>154</v>
      </c>
    </row>
    <row r="1231" spans="19:22" x14ac:dyDescent="0.25">
      <c r="S1231" t="s">
        <v>266</v>
      </c>
      <c r="T1231" t="s">
        <v>297</v>
      </c>
      <c r="U1231">
        <v>3.0422620172069099E-2</v>
      </c>
      <c r="V1231" t="s">
        <v>154</v>
      </c>
    </row>
    <row r="1232" spans="19:22" x14ac:dyDescent="0.25">
      <c r="S1232" t="s">
        <v>266</v>
      </c>
      <c r="T1232" t="s">
        <v>298</v>
      </c>
      <c r="U1232">
        <v>1.9262374649799428E-2</v>
      </c>
      <c r="V1232" t="s">
        <v>154</v>
      </c>
    </row>
    <row r="1233" spans="19:22" x14ac:dyDescent="0.25">
      <c r="S1233" t="s">
        <v>266</v>
      </c>
      <c r="T1233" t="s">
        <v>299</v>
      </c>
      <c r="U1233">
        <v>2.3710101201923342E-3</v>
      </c>
      <c r="V1233" t="s">
        <v>154</v>
      </c>
    </row>
    <row r="1234" spans="19:22" x14ac:dyDescent="0.25">
      <c r="S1234" t="s">
        <v>266</v>
      </c>
      <c r="T1234" t="s">
        <v>300</v>
      </c>
      <c r="U1234">
        <v>2.5334147002357929E-3</v>
      </c>
      <c r="V1234" t="s">
        <v>154</v>
      </c>
    </row>
    <row r="1235" spans="19:22" x14ac:dyDescent="0.25">
      <c r="S1235" t="s">
        <v>266</v>
      </c>
      <c r="T1235" t="s">
        <v>301</v>
      </c>
      <c r="U1235">
        <v>1.3586691404719999E-2</v>
      </c>
      <c r="V1235" t="s">
        <v>154</v>
      </c>
    </row>
    <row r="1236" spans="19:22" x14ac:dyDescent="0.25">
      <c r="S1236" t="s">
        <v>266</v>
      </c>
      <c r="T1236" t="s">
        <v>302</v>
      </c>
      <c r="U1236">
        <v>5.3490421645911147E-2</v>
      </c>
      <c r="V1236" t="s">
        <v>154</v>
      </c>
    </row>
    <row r="1237" spans="19:22" x14ac:dyDescent="0.25">
      <c r="S1237" t="s">
        <v>266</v>
      </c>
      <c r="T1237" t="s">
        <v>303</v>
      </c>
      <c r="U1237">
        <v>4.3611293438206855E-2</v>
      </c>
      <c r="V1237" t="s">
        <v>154</v>
      </c>
    </row>
    <row r="1238" spans="19:22" x14ac:dyDescent="0.25">
      <c r="S1238" t="s">
        <v>266</v>
      </c>
      <c r="T1238" t="s">
        <v>304</v>
      </c>
      <c r="U1238">
        <v>5.7093962475527286E-3</v>
      </c>
      <c r="V1238" t="s">
        <v>154</v>
      </c>
    </row>
    <row r="1239" spans="19:22" x14ac:dyDescent="0.25">
      <c r="S1239" t="s">
        <v>266</v>
      </c>
      <c r="T1239" t="s">
        <v>305</v>
      </c>
      <c r="U1239">
        <v>5.8316943244498612E-3</v>
      </c>
      <c r="V1239" t="s">
        <v>154</v>
      </c>
    </row>
    <row r="1240" spans="19:22" x14ac:dyDescent="0.25">
      <c r="S1240" t="s">
        <v>266</v>
      </c>
      <c r="T1240" t="s">
        <v>306</v>
      </c>
      <c r="U1240">
        <v>2.8873646298158195E-2</v>
      </c>
      <c r="V1240" t="s">
        <v>154</v>
      </c>
    </row>
    <row r="1241" spans="19:22" x14ac:dyDescent="0.25">
      <c r="S1241" t="s">
        <v>267</v>
      </c>
      <c r="T1241" t="s">
        <v>153</v>
      </c>
      <c r="U1241">
        <v>5.2431990065076255E-2</v>
      </c>
      <c r="V1241" t="s">
        <v>154</v>
      </c>
    </row>
    <row r="1242" spans="19:22" x14ac:dyDescent="0.25">
      <c r="S1242" t="s">
        <v>267</v>
      </c>
      <c r="T1242" t="s">
        <v>155</v>
      </c>
      <c r="U1242">
        <v>4.9255396454366315E-2</v>
      </c>
      <c r="V1242" t="s">
        <v>154</v>
      </c>
    </row>
    <row r="1243" spans="19:22" x14ac:dyDescent="0.25">
      <c r="S1243" t="s">
        <v>267</v>
      </c>
      <c r="T1243" t="s">
        <v>156</v>
      </c>
      <c r="U1243">
        <v>6.3563944076754286E-3</v>
      </c>
      <c r="V1243" t="s">
        <v>154</v>
      </c>
    </row>
    <row r="1244" spans="19:22" x14ac:dyDescent="0.25">
      <c r="S1244" t="s">
        <v>267</v>
      </c>
      <c r="T1244" t="s">
        <v>283</v>
      </c>
      <c r="U1244">
        <v>6.1596948316757806E-3</v>
      </c>
      <c r="V1244" t="s">
        <v>154</v>
      </c>
    </row>
    <row r="1245" spans="19:22" x14ac:dyDescent="0.25">
      <c r="S1245" t="s">
        <v>267</v>
      </c>
      <c r="T1245" t="s">
        <v>284</v>
      </c>
      <c r="U1245">
        <v>2.6317707224449104E-2</v>
      </c>
      <c r="V1245" t="s">
        <v>154</v>
      </c>
    </row>
    <row r="1246" spans="19:22" x14ac:dyDescent="0.25">
      <c r="S1246" t="s">
        <v>267</v>
      </c>
      <c r="T1246" t="s">
        <v>157</v>
      </c>
      <c r="U1246">
        <v>1.1041300505253209E-2</v>
      </c>
      <c r="V1246" t="s">
        <v>154</v>
      </c>
    </row>
    <row r="1247" spans="19:22" x14ac:dyDescent="0.25">
      <c r="S1247" t="s">
        <v>267</v>
      </c>
      <c r="T1247" t="s">
        <v>158</v>
      </c>
      <c r="U1247">
        <v>1.1709248887374972E-2</v>
      </c>
      <c r="V1247" t="s">
        <v>154</v>
      </c>
    </row>
    <row r="1248" spans="19:22" x14ac:dyDescent="0.25">
      <c r="S1248" t="s">
        <v>267</v>
      </c>
      <c r="T1248" t="s">
        <v>159</v>
      </c>
      <c r="U1248">
        <v>1.5306320221590596E-3</v>
      </c>
      <c r="V1248" t="s">
        <v>154</v>
      </c>
    </row>
    <row r="1249" spans="19:22" x14ac:dyDescent="0.25">
      <c r="S1249" t="s">
        <v>267</v>
      </c>
      <c r="T1249" t="s">
        <v>285</v>
      </c>
      <c r="U1249">
        <v>1.4824935478313045E-3</v>
      </c>
      <c r="V1249" t="s">
        <v>154</v>
      </c>
    </row>
    <row r="1250" spans="19:22" x14ac:dyDescent="0.25">
      <c r="S1250" t="s">
        <v>267</v>
      </c>
      <c r="T1250" t="s">
        <v>286</v>
      </c>
      <c r="U1250">
        <v>5.931664422451086E-3</v>
      </c>
      <c r="V1250" t="s">
        <v>154</v>
      </c>
    </row>
    <row r="1251" spans="19:22" x14ac:dyDescent="0.25">
      <c r="S1251" t="s">
        <v>267</v>
      </c>
      <c r="T1251" t="s">
        <v>160</v>
      </c>
      <c r="U1251">
        <v>0.20786922969884492</v>
      </c>
      <c r="V1251" t="s">
        <v>154</v>
      </c>
    </row>
    <row r="1252" spans="19:22" x14ac:dyDescent="0.25">
      <c r="S1252" t="s">
        <v>267</v>
      </c>
      <c r="T1252" t="s">
        <v>161</v>
      </c>
      <c r="U1252">
        <v>0.20414716252680254</v>
      </c>
      <c r="V1252" t="s">
        <v>154</v>
      </c>
    </row>
    <row r="1253" spans="19:22" x14ac:dyDescent="0.25">
      <c r="S1253" t="s">
        <v>267</v>
      </c>
      <c r="T1253" t="s">
        <v>162</v>
      </c>
      <c r="U1253">
        <v>2.8051721461067859E-2</v>
      </c>
      <c r="V1253" t="s">
        <v>154</v>
      </c>
    </row>
    <row r="1254" spans="19:22" x14ac:dyDescent="0.25">
      <c r="S1254" t="s">
        <v>267</v>
      </c>
      <c r="T1254" t="s">
        <v>287</v>
      </c>
      <c r="U1254">
        <v>2.7518623568676695E-2</v>
      </c>
      <c r="V1254" t="s">
        <v>154</v>
      </c>
    </row>
    <row r="1255" spans="19:22" x14ac:dyDescent="0.25">
      <c r="S1255" t="s">
        <v>267</v>
      </c>
      <c r="T1255" t="s">
        <v>288</v>
      </c>
      <c r="U1255">
        <v>0.11893279474998293</v>
      </c>
      <c r="V1255" t="s">
        <v>154</v>
      </c>
    </row>
    <row r="1256" spans="19:22" x14ac:dyDescent="0.25">
      <c r="S1256" t="s">
        <v>267</v>
      </c>
      <c r="T1256" t="s">
        <v>163</v>
      </c>
      <c r="U1256">
        <v>1.2990418000587305E-2</v>
      </c>
      <c r="V1256" t="s">
        <v>154</v>
      </c>
    </row>
    <row r="1257" spans="19:22" x14ac:dyDescent="0.25">
      <c r="S1257" t="s">
        <v>267</v>
      </c>
      <c r="T1257" t="s">
        <v>164</v>
      </c>
      <c r="U1257">
        <v>1.0733254715523468E-2</v>
      </c>
      <c r="V1257" t="s">
        <v>154</v>
      </c>
    </row>
    <row r="1258" spans="19:22" x14ac:dyDescent="0.25">
      <c r="S1258" t="s">
        <v>267</v>
      </c>
      <c r="T1258" t="s">
        <v>165</v>
      </c>
      <c r="U1258">
        <v>1.7616827555801606E-3</v>
      </c>
      <c r="V1258" t="s">
        <v>154</v>
      </c>
    </row>
    <row r="1259" spans="19:22" x14ac:dyDescent="0.25">
      <c r="S1259" t="s">
        <v>267</v>
      </c>
      <c r="T1259" t="s">
        <v>289</v>
      </c>
      <c r="U1259">
        <v>1.8391016436239184E-3</v>
      </c>
      <c r="V1259" t="s">
        <v>154</v>
      </c>
    </row>
    <row r="1260" spans="19:22" x14ac:dyDescent="0.25">
      <c r="S1260" t="s">
        <v>267</v>
      </c>
      <c r="T1260" t="s">
        <v>290</v>
      </c>
      <c r="U1260">
        <v>7.5433915412333914E-3</v>
      </c>
      <c r="V1260" t="s">
        <v>154</v>
      </c>
    </row>
    <row r="1261" spans="19:22" x14ac:dyDescent="0.25">
      <c r="S1261" t="s">
        <v>267</v>
      </c>
      <c r="T1261" t="s">
        <v>297</v>
      </c>
      <c r="U1261">
        <v>2.9481377442047162E-2</v>
      </c>
      <c r="V1261" t="s">
        <v>154</v>
      </c>
    </row>
    <row r="1262" spans="19:22" x14ac:dyDescent="0.25">
      <c r="S1262" t="s">
        <v>267</v>
      </c>
      <c r="T1262" t="s">
        <v>298</v>
      </c>
      <c r="U1262">
        <v>1.9361102100878803E-2</v>
      </c>
      <c r="V1262" t="s">
        <v>154</v>
      </c>
    </row>
    <row r="1263" spans="19:22" x14ac:dyDescent="0.25">
      <c r="S1263" t="s">
        <v>267</v>
      </c>
      <c r="T1263" t="s">
        <v>299</v>
      </c>
      <c r="U1263">
        <v>2.7447844542052647E-3</v>
      </c>
      <c r="V1263" t="s">
        <v>154</v>
      </c>
    </row>
    <row r="1264" spans="19:22" x14ac:dyDescent="0.25">
      <c r="S1264" t="s">
        <v>267</v>
      </c>
      <c r="T1264" t="s">
        <v>300</v>
      </c>
      <c r="U1264">
        <v>2.9721358434738158E-3</v>
      </c>
      <c r="V1264" t="s">
        <v>154</v>
      </c>
    </row>
    <row r="1265" spans="19:22" x14ac:dyDescent="0.25">
      <c r="S1265" t="s">
        <v>267</v>
      </c>
      <c r="T1265" t="s">
        <v>301</v>
      </c>
      <c r="U1265">
        <v>1.4652408040825675E-2</v>
      </c>
      <c r="V1265" t="s">
        <v>154</v>
      </c>
    </row>
    <row r="1266" spans="19:22" x14ac:dyDescent="0.25">
      <c r="S1266" t="s">
        <v>267</v>
      </c>
      <c r="T1266" t="s">
        <v>302</v>
      </c>
      <c r="U1266">
        <v>5.0318150646910649E-2</v>
      </c>
      <c r="V1266" t="s">
        <v>154</v>
      </c>
    </row>
    <row r="1267" spans="19:22" x14ac:dyDescent="0.25">
      <c r="S1267" t="s">
        <v>267</v>
      </c>
      <c r="T1267" t="s">
        <v>303</v>
      </c>
      <c r="U1267">
        <v>4.4899581168294601E-2</v>
      </c>
      <c r="V1267" t="s">
        <v>154</v>
      </c>
    </row>
    <row r="1268" spans="19:22" x14ac:dyDescent="0.25">
      <c r="S1268" t="s">
        <v>267</v>
      </c>
      <c r="T1268" t="s">
        <v>304</v>
      </c>
      <c r="U1268">
        <v>5.8835173670723044E-3</v>
      </c>
      <c r="V1268" t="s">
        <v>154</v>
      </c>
    </row>
    <row r="1269" spans="19:22" x14ac:dyDescent="0.25">
      <c r="S1269" t="s">
        <v>267</v>
      </c>
      <c r="T1269" t="s">
        <v>305</v>
      </c>
      <c r="U1269">
        <v>6.0968345151352571E-3</v>
      </c>
      <c r="V1269" t="s">
        <v>154</v>
      </c>
    </row>
    <row r="1270" spans="19:22" x14ac:dyDescent="0.25">
      <c r="S1270" t="s">
        <v>267</v>
      </c>
      <c r="T1270" t="s">
        <v>306</v>
      </c>
      <c r="U1270">
        <v>2.9986205390926991E-2</v>
      </c>
      <c r="V1270" t="s">
        <v>154</v>
      </c>
    </row>
    <row r="1271" spans="19:22" x14ac:dyDescent="0.25">
      <c r="S1271" t="s">
        <v>268</v>
      </c>
      <c r="T1271" t="s">
        <v>153</v>
      </c>
      <c r="U1271">
        <v>5.360824339185729E-2</v>
      </c>
      <c r="V1271" t="s">
        <v>154</v>
      </c>
    </row>
    <row r="1272" spans="19:22" x14ac:dyDescent="0.25">
      <c r="S1272" t="s">
        <v>268</v>
      </c>
      <c r="T1272" t="s">
        <v>155</v>
      </c>
      <c r="U1272">
        <v>4.0499668141479039E-2</v>
      </c>
      <c r="V1272" t="s">
        <v>154</v>
      </c>
    </row>
    <row r="1273" spans="19:22" x14ac:dyDescent="0.25">
      <c r="S1273" t="s">
        <v>268</v>
      </c>
      <c r="T1273" t="s">
        <v>156</v>
      </c>
      <c r="U1273">
        <v>5.4095290712831753E-3</v>
      </c>
      <c r="V1273" t="s">
        <v>154</v>
      </c>
    </row>
    <row r="1274" spans="19:22" x14ac:dyDescent="0.25">
      <c r="S1274" t="s">
        <v>268</v>
      </c>
      <c r="T1274" t="s">
        <v>283</v>
      </c>
      <c r="U1274">
        <v>5.577317716819314E-3</v>
      </c>
      <c r="V1274" t="s">
        <v>154</v>
      </c>
    </row>
    <row r="1275" spans="19:22" x14ac:dyDescent="0.25">
      <c r="S1275" t="s">
        <v>268</v>
      </c>
      <c r="T1275" t="s">
        <v>284</v>
      </c>
      <c r="U1275">
        <v>2.5785317765242271E-2</v>
      </c>
      <c r="V1275" t="s">
        <v>154</v>
      </c>
    </row>
    <row r="1276" spans="19:22" x14ac:dyDescent="0.25">
      <c r="S1276" t="s">
        <v>268</v>
      </c>
      <c r="T1276" t="s">
        <v>157</v>
      </c>
      <c r="U1276">
        <v>1.0530746430077917E-2</v>
      </c>
      <c r="V1276" t="s">
        <v>154</v>
      </c>
    </row>
    <row r="1277" spans="19:22" x14ac:dyDescent="0.25">
      <c r="S1277" t="s">
        <v>268</v>
      </c>
      <c r="T1277" t="s">
        <v>158</v>
      </c>
      <c r="U1277">
        <v>1.1431937890763341E-2</v>
      </c>
      <c r="V1277" t="s">
        <v>154</v>
      </c>
    </row>
    <row r="1278" spans="19:22" x14ac:dyDescent="0.25">
      <c r="S1278" t="s">
        <v>268</v>
      </c>
      <c r="T1278" t="s">
        <v>159</v>
      </c>
      <c r="U1278">
        <v>1.7116940793447315E-3</v>
      </c>
      <c r="V1278" t="s">
        <v>154</v>
      </c>
    </row>
    <row r="1279" spans="19:22" x14ac:dyDescent="0.25">
      <c r="S1279" t="s">
        <v>268</v>
      </c>
      <c r="T1279" t="s">
        <v>285</v>
      </c>
      <c r="U1279">
        <v>1.6993974894199356E-3</v>
      </c>
      <c r="V1279" t="s">
        <v>154</v>
      </c>
    </row>
    <row r="1280" spans="19:22" x14ac:dyDescent="0.25">
      <c r="S1280" t="s">
        <v>268</v>
      </c>
      <c r="T1280" t="s">
        <v>286</v>
      </c>
      <c r="U1280">
        <v>6.9949570540777904E-3</v>
      </c>
      <c r="V1280" t="s">
        <v>154</v>
      </c>
    </row>
    <row r="1281" spans="19:22" x14ac:dyDescent="0.25">
      <c r="S1281" t="s">
        <v>268</v>
      </c>
      <c r="T1281" t="s">
        <v>160</v>
      </c>
      <c r="U1281">
        <v>0.22670402990947372</v>
      </c>
      <c r="V1281" t="s">
        <v>154</v>
      </c>
    </row>
    <row r="1282" spans="19:22" x14ac:dyDescent="0.25">
      <c r="S1282" t="s">
        <v>268</v>
      </c>
      <c r="T1282" t="s">
        <v>161</v>
      </c>
      <c r="U1282">
        <v>0.19184005641773647</v>
      </c>
      <c r="V1282" t="s">
        <v>154</v>
      </c>
    </row>
    <row r="1283" spans="19:22" x14ac:dyDescent="0.25">
      <c r="S1283" t="s">
        <v>268</v>
      </c>
      <c r="T1283" t="s">
        <v>162</v>
      </c>
      <c r="U1283">
        <v>2.8889818996688493E-2</v>
      </c>
      <c r="V1283" t="s">
        <v>154</v>
      </c>
    </row>
    <row r="1284" spans="19:22" x14ac:dyDescent="0.25">
      <c r="S1284" t="s">
        <v>268</v>
      </c>
      <c r="T1284" t="s">
        <v>287</v>
      </c>
      <c r="U1284">
        <v>2.9676158850602447E-2</v>
      </c>
      <c r="V1284" t="s">
        <v>154</v>
      </c>
    </row>
    <row r="1285" spans="19:22" x14ac:dyDescent="0.25">
      <c r="S1285" t="s">
        <v>268</v>
      </c>
      <c r="T1285" t="s">
        <v>288</v>
      </c>
      <c r="U1285">
        <v>0.13074787324545786</v>
      </c>
      <c r="V1285" t="s">
        <v>154</v>
      </c>
    </row>
    <row r="1286" spans="19:22" x14ac:dyDescent="0.25">
      <c r="S1286" t="s">
        <v>268</v>
      </c>
      <c r="T1286" t="s">
        <v>163</v>
      </c>
      <c r="U1286">
        <v>1.5059977414825761E-2</v>
      </c>
      <c r="V1286" t="s">
        <v>154</v>
      </c>
    </row>
    <row r="1287" spans="19:22" x14ac:dyDescent="0.25">
      <c r="S1287" t="s">
        <v>268</v>
      </c>
      <c r="T1287" t="s">
        <v>164</v>
      </c>
      <c r="U1287">
        <v>1.2457385566193141E-2</v>
      </c>
      <c r="V1287" t="s">
        <v>154</v>
      </c>
    </row>
    <row r="1288" spans="19:22" x14ac:dyDescent="0.25">
      <c r="S1288" t="s">
        <v>268</v>
      </c>
      <c r="T1288" t="s">
        <v>165</v>
      </c>
      <c r="U1288">
        <v>1.6428617388525725E-3</v>
      </c>
      <c r="V1288" t="s">
        <v>154</v>
      </c>
    </row>
    <row r="1289" spans="19:22" x14ac:dyDescent="0.25">
      <c r="S1289" t="s">
        <v>268</v>
      </c>
      <c r="T1289" t="s">
        <v>289</v>
      </c>
      <c r="U1289">
        <v>1.6478898165062643E-3</v>
      </c>
      <c r="V1289" t="s">
        <v>154</v>
      </c>
    </row>
    <row r="1290" spans="19:22" x14ac:dyDescent="0.25">
      <c r="S1290" t="s">
        <v>268</v>
      </c>
      <c r="T1290" t="s">
        <v>290</v>
      </c>
      <c r="U1290">
        <v>6.7266893142246976E-3</v>
      </c>
      <c r="V1290" t="s">
        <v>154</v>
      </c>
    </row>
    <row r="1291" spans="19:22" x14ac:dyDescent="0.25">
      <c r="S1291" t="s">
        <v>268</v>
      </c>
      <c r="T1291" t="s">
        <v>297</v>
      </c>
      <c r="U1291">
        <v>2.8604478395992727E-2</v>
      </c>
      <c r="V1291" t="s">
        <v>154</v>
      </c>
    </row>
    <row r="1292" spans="19:22" x14ac:dyDescent="0.25">
      <c r="S1292" t="s">
        <v>268</v>
      </c>
      <c r="T1292" t="s">
        <v>298</v>
      </c>
      <c r="U1292">
        <v>1.8847583154340423E-2</v>
      </c>
      <c r="V1292" t="s">
        <v>154</v>
      </c>
    </row>
    <row r="1293" spans="19:22" x14ac:dyDescent="0.25">
      <c r="S1293" t="s">
        <v>268</v>
      </c>
      <c r="T1293" t="s">
        <v>299</v>
      </c>
      <c r="U1293">
        <v>2.3121276161371749E-3</v>
      </c>
      <c r="V1293" t="s">
        <v>154</v>
      </c>
    </row>
    <row r="1294" spans="19:22" x14ac:dyDescent="0.25">
      <c r="S1294" t="s">
        <v>268</v>
      </c>
      <c r="T1294" t="s">
        <v>300</v>
      </c>
      <c r="U1294">
        <v>2.4067648862530055E-3</v>
      </c>
      <c r="V1294" t="s">
        <v>154</v>
      </c>
    </row>
    <row r="1295" spans="19:22" x14ac:dyDescent="0.25">
      <c r="S1295" t="s">
        <v>268</v>
      </c>
      <c r="T1295" t="s">
        <v>301</v>
      </c>
      <c r="U1295">
        <v>1.2552140344577103E-2</v>
      </c>
      <c r="V1295" t="s">
        <v>154</v>
      </c>
    </row>
    <row r="1296" spans="19:22" x14ac:dyDescent="0.25">
      <c r="S1296" t="s">
        <v>268</v>
      </c>
      <c r="T1296" t="s">
        <v>302</v>
      </c>
      <c r="U1296">
        <v>5.0185155325842522E-2</v>
      </c>
      <c r="V1296" t="s">
        <v>154</v>
      </c>
    </row>
    <row r="1297" spans="19:22" x14ac:dyDescent="0.25">
      <c r="S1297" t="s">
        <v>268</v>
      </c>
      <c r="T1297" t="s">
        <v>303</v>
      </c>
      <c r="U1297">
        <v>3.8149565565059981E-2</v>
      </c>
      <c r="V1297" t="s">
        <v>154</v>
      </c>
    </row>
    <row r="1298" spans="19:22" x14ac:dyDescent="0.25">
      <c r="S1298" t="s">
        <v>268</v>
      </c>
      <c r="T1298" t="s">
        <v>304</v>
      </c>
      <c r="U1298">
        <v>5.1465791270765057E-3</v>
      </c>
      <c r="V1298" t="s">
        <v>154</v>
      </c>
    </row>
    <row r="1299" spans="19:22" x14ac:dyDescent="0.25">
      <c r="S1299" t="s">
        <v>268</v>
      </c>
      <c r="T1299" t="s">
        <v>305</v>
      </c>
      <c r="U1299">
        <v>5.4489804644763844E-3</v>
      </c>
      <c r="V1299" t="s">
        <v>154</v>
      </c>
    </row>
    <row r="1300" spans="19:22" x14ac:dyDescent="0.25">
      <c r="S1300" t="s">
        <v>268</v>
      </c>
      <c r="T1300" t="s">
        <v>306</v>
      </c>
      <c r="U1300">
        <v>2.7705074819318404E-2</v>
      </c>
      <c r="V1300" t="s">
        <v>154</v>
      </c>
    </row>
    <row r="1301" spans="19:22" x14ac:dyDescent="0.25">
      <c r="S1301" t="s">
        <v>269</v>
      </c>
      <c r="T1301" t="s">
        <v>153</v>
      </c>
      <c r="U1301">
        <v>4.6118147291603073E-2</v>
      </c>
      <c r="V1301" t="s">
        <v>154</v>
      </c>
    </row>
    <row r="1302" spans="19:22" x14ac:dyDescent="0.25">
      <c r="S1302" t="s">
        <v>269</v>
      </c>
      <c r="T1302" t="s">
        <v>155</v>
      </c>
      <c r="U1302">
        <v>3.0976252656589882E-2</v>
      </c>
      <c r="V1302" t="s">
        <v>154</v>
      </c>
    </row>
    <row r="1303" spans="19:22" x14ac:dyDescent="0.25">
      <c r="S1303" t="s">
        <v>269</v>
      </c>
      <c r="T1303" t="s">
        <v>156</v>
      </c>
      <c r="U1303">
        <v>3.5122992326171248E-3</v>
      </c>
      <c r="V1303" t="s">
        <v>154</v>
      </c>
    </row>
    <row r="1304" spans="19:22" x14ac:dyDescent="0.25">
      <c r="S1304" t="s">
        <v>269</v>
      </c>
      <c r="T1304" t="s">
        <v>283</v>
      </c>
      <c r="U1304">
        <v>3.7899724420993102E-3</v>
      </c>
      <c r="V1304" t="s">
        <v>154</v>
      </c>
    </row>
    <row r="1305" spans="19:22" x14ac:dyDescent="0.25">
      <c r="S1305" t="s">
        <v>269</v>
      </c>
      <c r="T1305" t="s">
        <v>284</v>
      </c>
      <c r="U1305">
        <v>1.9008184269067925E-2</v>
      </c>
      <c r="V1305" t="s">
        <v>154</v>
      </c>
    </row>
    <row r="1306" spans="19:22" x14ac:dyDescent="0.25">
      <c r="S1306" t="s">
        <v>269</v>
      </c>
      <c r="T1306" t="s">
        <v>157</v>
      </c>
      <c r="U1306">
        <v>9.9110465006366239E-3</v>
      </c>
      <c r="V1306" t="s">
        <v>154</v>
      </c>
    </row>
    <row r="1307" spans="19:22" x14ac:dyDescent="0.25">
      <c r="S1307" t="s">
        <v>269</v>
      </c>
      <c r="T1307" t="s">
        <v>158</v>
      </c>
      <c r="U1307">
        <v>8.8265061073630885E-3</v>
      </c>
      <c r="V1307" t="s">
        <v>154</v>
      </c>
    </row>
    <row r="1308" spans="19:22" x14ac:dyDescent="0.25">
      <c r="S1308" t="s">
        <v>269</v>
      </c>
      <c r="T1308" t="s">
        <v>159</v>
      </c>
      <c r="U1308">
        <v>1.4140659861514721E-3</v>
      </c>
      <c r="V1308" t="s">
        <v>154</v>
      </c>
    </row>
    <row r="1309" spans="19:22" x14ac:dyDescent="0.25">
      <c r="S1309" t="s">
        <v>269</v>
      </c>
      <c r="T1309" t="s">
        <v>285</v>
      </c>
      <c r="U1309">
        <v>1.5706451659633436E-3</v>
      </c>
      <c r="V1309" t="s">
        <v>154</v>
      </c>
    </row>
    <row r="1310" spans="19:22" x14ac:dyDescent="0.25">
      <c r="S1310" t="s">
        <v>269</v>
      </c>
      <c r="T1310" t="s">
        <v>286</v>
      </c>
      <c r="U1310">
        <v>6.6121581454485281E-3</v>
      </c>
      <c r="V1310" t="s">
        <v>154</v>
      </c>
    </row>
    <row r="1311" spans="19:22" x14ac:dyDescent="0.25">
      <c r="S1311" t="s">
        <v>269</v>
      </c>
      <c r="T1311" t="s">
        <v>160</v>
      </c>
      <c r="U1311">
        <v>0.24655082076955523</v>
      </c>
      <c r="V1311" t="s">
        <v>154</v>
      </c>
    </row>
    <row r="1312" spans="19:22" x14ac:dyDescent="0.25">
      <c r="S1312" t="s">
        <v>269</v>
      </c>
      <c r="T1312" t="s">
        <v>161</v>
      </c>
      <c r="U1312">
        <v>0.19846383767759376</v>
      </c>
      <c r="V1312" t="s">
        <v>154</v>
      </c>
    </row>
    <row r="1313" spans="19:22" x14ac:dyDescent="0.25">
      <c r="S1313" t="s">
        <v>269</v>
      </c>
      <c r="T1313" t="s">
        <v>162</v>
      </c>
      <c r="U1313">
        <v>2.7808890652249462E-2</v>
      </c>
      <c r="V1313" t="s">
        <v>154</v>
      </c>
    </row>
    <row r="1314" spans="19:22" x14ac:dyDescent="0.25">
      <c r="S1314" t="s">
        <v>269</v>
      </c>
      <c r="T1314" t="s">
        <v>287</v>
      </c>
      <c r="U1314">
        <v>2.8664671359921574E-2</v>
      </c>
      <c r="V1314" t="s">
        <v>154</v>
      </c>
    </row>
    <row r="1315" spans="19:22" x14ac:dyDescent="0.25">
      <c r="S1315" t="s">
        <v>269</v>
      </c>
      <c r="T1315" t="s">
        <v>288</v>
      </c>
      <c r="U1315">
        <v>0.13910694162517726</v>
      </c>
      <c r="V1315" t="s">
        <v>154</v>
      </c>
    </row>
    <row r="1316" spans="19:22" x14ac:dyDescent="0.25">
      <c r="S1316" t="s">
        <v>269</v>
      </c>
      <c r="T1316" t="s">
        <v>163</v>
      </c>
      <c r="U1316">
        <v>1.6841517316734039E-2</v>
      </c>
      <c r="V1316" t="s">
        <v>154</v>
      </c>
    </row>
    <row r="1317" spans="19:22" x14ac:dyDescent="0.25">
      <c r="S1317" t="s">
        <v>269</v>
      </c>
      <c r="T1317" t="s">
        <v>164</v>
      </c>
      <c r="U1317">
        <v>1.4014165797343802E-2</v>
      </c>
      <c r="V1317" t="s">
        <v>154</v>
      </c>
    </row>
    <row r="1318" spans="19:22" x14ac:dyDescent="0.25">
      <c r="S1318" t="s">
        <v>269</v>
      </c>
      <c r="T1318" t="s">
        <v>165</v>
      </c>
      <c r="U1318">
        <v>1.5320768590396537E-3</v>
      </c>
      <c r="V1318" t="s">
        <v>154</v>
      </c>
    </row>
    <row r="1319" spans="19:22" x14ac:dyDescent="0.25">
      <c r="S1319" t="s">
        <v>269</v>
      </c>
      <c r="T1319" t="s">
        <v>289</v>
      </c>
      <c r="U1319">
        <v>1.6174161309797602E-3</v>
      </c>
      <c r="V1319" t="s">
        <v>154</v>
      </c>
    </row>
    <row r="1320" spans="19:22" x14ac:dyDescent="0.25">
      <c r="S1320" t="s">
        <v>269</v>
      </c>
      <c r="T1320" t="s">
        <v>290</v>
      </c>
      <c r="U1320">
        <v>6.4606878009485155E-3</v>
      </c>
      <c r="V1320" t="s">
        <v>154</v>
      </c>
    </row>
    <row r="1321" spans="19:22" x14ac:dyDescent="0.25">
      <c r="S1321" t="s">
        <v>269</v>
      </c>
      <c r="T1321" t="s">
        <v>297</v>
      </c>
      <c r="U1321">
        <v>2.7068351475266185E-2</v>
      </c>
      <c r="V1321" t="s">
        <v>154</v>
      </c>
    </row>
    <row r="1322" spans="19:22" x14ac:dyDescent="0.25">
      <c r="S1322" t="s">
        <v>269</v>
      </c>
      <c r="T1322" t="s">
        <v>298</v>
      </c>
      <c r="U1322">
        <v>2.0758948842267495E-2</v>
      </c>
      <c r="V1322" t="s">
        <v>154</v>
      </c>
    </row>
    <row r="1323" spans="19:22" x14ac:dyDescent="0.25">
      <c r="S1323" t="s">
        <v>269</v>
      </c>
      <c r="T1323" t="s">
        <v>299</v>
      </c>
      <c r="U1323">
        <v>2.800692904689418E-3</v>
      </c>
      <c r="V1323" t="s">
        <v>154</v>
      </c>
    </row>
    <row r="1324" spans="19:22" x14ac:dyDescent="0.25">
      <c r="S1324" t="s">
        <v>269</v>
      </c>
      <c r="T1324" t="s">
        <v>300</v>
      </c>
      <c r="U1324">
        <v>2.8346466236123108E-3</v>
      </c>
      <c r="V1324" t="s">
        <v>154</v>
      </c>
    </row>
    <row r="1325" spans="19:22" x14ac:dyDescent="0.25">
      <c r="S1325" t="s">
        <v>269</v>
      </c>
      <c r="T1325" t="s">
        <v>301</v>
      </c>
      <c r="U1325">
        <v>1.3538839664603246E-2</v>
      </c>
      <c r="V1325" t="s">
        <v>154</v>
      </c>
    </row>
    <row r="1326" spans="19:22" x14ac:dyDescent="0.25">
      <c r="S1326" t="s">
        <v>269</v>
      </c>
      <c r="T1326" t="s">
        <v>302</v>
      </c>
      <c r="U1326">
        <v>4.6163657544997912E-2</v>
      </c>
      <c r="V1326" t="s">
        <v>154</v>
      </c>
    </row>
    <row r="1327" spans="19:22" x14ac:dyDescent="0.25">
      <c r="S1327" t="s">
        <v>269</v>
      </c>
      <c r="T1327" t="s">
        <v>303</v>
      </c>
      <c r="U1327">
        <v>3.8961656776731551E-2</v>
      </c>
      <c r="V1327" t="s">
        <v>154</v>
      </c>
    </row>
    <row r="1328" spans="19:22" x14ac:dyDescent="0.25">
      <c r="S1328" t="s">
        <v>269</v>
      </c>
      <c r="T1328" t="s">
        <v>304</v>
      </c>
      <c r="U1328">
        <v>4.9102429586246228E-3</v>
      </c>
      <c r="V1328" t="s">
        <v>154</v>
      </c>
    </row>
    <row r="1329" spans="19:22" x14ac:dyDescent="0.25">
      <c r="S1329" t="s">
        <v>269</v>
      </c>
      <c r="T1329" t="s">
        <v>305</v>
      </c>
      <c r="U1329">
        <v>4.9118311494380272E-3</v>
      </c>
      <c r="V1329" t="s">
        <v>154</v>
      </c>
    </row>
    <row r="1330" spans="19:22" x14ac:dyDescent="0.25">
      <c r="S1330" t="s">
        <v>269</v>
      </c>
      <c r="T1330" t="s">
        <v>306</v>
      </c>
      <c r="U1330">
        <v>2.5250828272682563E-2</v>
      </c>
      <c r="V1330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2A83-7A31-429D-93CF-535BED4D8443}">
  <dimension ref="A9:AN1858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151</v>
      </c>
      <c r="L10" t="s">
        <v>30</v>
      </c>
      <c r="N10" t="s">
        <v>13</v>
      </c>
      <c r="O10" t="s">
        <v>116</v>
      </c>
      <c r="P10" t="s">
        <v>151</v>
      </c>
      <c r="Q10" t="s">
        <v>30</v>
      </c>
      <c r="S10" t="s">
        <v>13</v>
      </c>
      <c r="T10" t="s">
        <v>116</v>
      </c>
      <c r="U10" t="s">
        <v>151</v>
      </c>
      <c r="V10" t="s">
        <v>30</v>
      </c>
      <c r="X10" t="s">
        <v>270</v>
      </c>
      <c r="Y10" t="s">
        <v>151</v>
      </c>
      <c r="Z10" t="s">
        <v>116</v>
      </c>
      <c r="AA10" t="s">
        <v>13</v>
      </c>
      <c r="AC10" t="s">
        <v>13</v>
      </c>
      <c r="AD10" t="s">
        <v>116</v>
      </c>
      <c r="AE10" t="s">
        <v>151</v>
      </c>
      <c r="AG10" t="s">
        <v>13</v>
      </c>
      <c r="AH10" t="s">
        <v>116</v>
      </c>
      <c r="AI10" t="s">
        <v>276</v>
      </c>
      <c r="AK10" t="s">
        <v>47</v>
      </c>
      <c r="AL10" t="s">
        <v>116</v>
      </c>
      <c r="AM10" t="s">
        <v>277</v>
      </c>
      <c r="AN10" t="s">
        <v>278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293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195</v>
      </c>
      <c r="O11" t="s">
        <v>153</v>
      </c>
      <c r="P11">
        <v>3.3304589459639329E-2</v>
      </c>
      <c r="Q11" t="s">
        <v>154</v>
      </c>
      <c r="S11" t="s">
        <v>226</v>
      </c>
      <c r="T11" t="s">
        <v>153</v>
      </c>
      <c r="U11">
        <v>3.6900540209346459E-2</v>
      </c>
      <c r="V11" t="s">
        <v>154</v>
      </c>
      <c r="X11">
        <v>2.8767123287671233E-2</v>
      </c>
      <c r="Y11">
        <v>1.1360664296546754E-2</v>
      </c>
      <c r="Z11" t="s">
        <v>153</v>
      </c>
      <c r="AA11" t="s">
        <v>25</v>
      </c>
      <c r="AC11" t="s">
        <v>22</v>
      </c>
      <c r="AD11" t="s">
        <v>153</v>
      </c>
      <c r="AE11">
        <v>2.6590314162427506E-2</v>
      </c>
      <c r="AG11" t="s">
        <v>97</v>
      </c>
      <c r="AH11" t="s">
        <v>153</v>
      </c>
      <c r="AI11">
        <v>9.1625877843246606E-2</v>
      </c>
      <c r="AK11">
        <v>2020</v>
      </c>
      <c r="AL11" t="s">
        <v>142</v>
      </c>
      <c r="AM11">
        <v>0.26720804315727364</v>
      </c>
      <c r="AN11" t="s">
        <v>279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5.3626147371590221E-3</v>
      </c>
      <c r="L12" t="s">
        <v>154</v>
      </c>
      <c r="N12" t="s">
        <v>195</v>
      </c>
      <c r="O12" t="s">
        <v>155</v>
      </c>
      <c r="P12">
        <v>8.686229738544618E-3</v>
      </c>
      <c r="Q12" t="s">
        <v>154</v>
      </c>
      <c r="S12" t="s">
        <v>226</v>
      </c>
      <c r="T12" t="s">
        <v>155</v>
      </c>
      <c r="U12">
        <v>1.0430551936766647E-2</v>
      </c>
      <c r="V12" t="s">
        <v>154</v>
      </c>
      <c r="X12">
        <v>8.21917808219178E-3</v>
      </c>
      <c r="Y12">
        <v>1.2112472963229997E-2</v>
      </c>
      <c r="Z12" t="s">
        <v>155</v>
      </c>
      <c r="AA12" t="s">
        <v>25</v>
      </c>
      <c r="AC12" t="s">
        <v>22</v>
      </c>
      <c r="AD12" t="s">
        <v>155</v>
      </c>
      <c r="AE12">
        <v>9.5212379900722396E-3</v>
      </c>
      <c r="AG12" t="s">
        <v>97</v>
      </c>
      <c r="AH12" t="s">
        <v>155</v>
      </c>
      <c r="AI12">
        <v>0.10016245856105033</v>
      </c>
      <c r="AK12">
        <v>2020</v>
      </c>
      <c r="AL12" t="s">
        <v>146</v>
      </c>
      <c r="AM12">
        <v>0.2803102713035806</v>
      </c>
      <c r="AN12" t="s">
        <v>279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5.3003961701072102E-3</v>
      </c>
      <c r="L13" t="s">
        <v>154</v>
      </c>
      <c r="N13" t="s">
        <v>195</v>
      </c>
      <c r="O13" t="s">
        <v>156</v>
      </c>
      <c r="P13">
        <v>4.4288103328568697E-3</v>
      </c>
      <c r="Q13" t="s">
        <v>154</v>
      </c>
      <c r="S13" t="s">
        <v>226</v>
      </c>
      <c r="T13" t="s">
        <v>156</v>
      </c>
      <c r="U13">
        <v>5.2872198381851473E-3</v>
      </c>
      <c r="V13" t="s">
        <v>154</v>
      </c>
      <c r="X13">
        <v>4.10958904109589E-3</v>
      </c>
      <c r="Y13">
        <v>5.2029933122840167E-3</v>
      </c>
      <c r="Z13" t="s">
        <v>156</v>
      </c>
      <c r="AA13" t="s">
        <v>25</v>
      </c>
      <c r="AC13" t="s">
        <v>22</v>
      </c>
      <c r="AD13" t="s">
        <v>156</v>
      </c>
      <c r="AE13">
        <v>5.1730921110434121E-3</v>
      </c>
      <c r="AG13" t="s">
        <v>97</v>
      </c>
      <c r="AH13" t="s">
        <v>156</v>
      </c>
      <c r="AI13">
        <v>5.5258849676254718E-2</v>
      </c>
      <c r="AK13">
        <v>2020</v>
      </c>
      <c r="AL13" t="s">
        <v>148</v>
      </c>
      <c r="AM13">
        <v>0.3363326135242416</v>
      </c>
      <c r="AN13" t="s">
        <v>279</v>
      </c>
    </row>
    <row r="14" spans="1:40" x14ac:dyDescent="0.25">
      <c r="C14" t="s">
        <v>150</v>
      </c>
      <c r="E14" t="s">
        <v>280</v>
      </c>
      <c r="G14" t="s">
        <v>143</v>
      </c>
      <c r="I14" t="s">
        <v>152</v>
      </c>
      <c r="J14" t="s">
        <v>283</v>
      </c>
      <c r="K14">
        <v>4.5507251531151809E-2</v>
      </c>
      <c r="L14" t="s">
        <v>154</v>
      </c>
      <c r="N14" t="s">
        <v>195</v>
      </c>
      <c r="O14" t="s">
        <v>283</v>
      </c>
      <c r="P14">
        <v>3.3003457961758513E-2</v>
      </c>
      <c r="Q14" t="s">
        <v>154</v>
      </c>
      <c r="S14" t="s">
        <v>226</v>
      </c>
      <c r="T14" t="s">
        <v>283</v>
      </c>
      <c r="U14">
        <v>3.2788101685692919E-2</v>
      </c>
      <c r="V14" t="s">
        <v>154</v>
      </c>
      <c r="X14">
        <v>2.8767123287671233E-2</v>
      </c>
      <c r="Y14">
        <v>4.0239663873902994E-2</v>
      </c>
      <c r="Z14" t="s">
        <v>283</v>
      </c>
      <c r="AA14" t="s">
        <v>25</v>
      </c>
      <c r="AC14" t="s">
        <v>22</v>
      </c>
      <c r="AD14" t="s">
        <v>283</v>
      </c>
      <c r="AE14">
        <v>3.7986616680308762E-2</v>
      </c>
      <c r="AG14" t="s">
        <v>97</v>
      </c>
      <c r="AH14" t="s">
        <v>283</v>
      </c>
      <c r="AI14">
        <v>6.9036350454976247E-2</v>
      </c>
      <c r="AK14">
        <v>2020</v>
      </c>
      <c r="AL14" t="s">
        <v>150</v>
      </c>
      <c r="AM14">
        <v>0.2335671871059449</v>
      </c>
      <c r="AN14" t="s">
        <v>279</v>
      </c>
    </row>
    <row r="15" spans="1:40" x14ac:dyDescent="0.25">
      <c r="C15" t="s">
        <v>294</v>
      </c>
      <c r="E15" t="s">
        <v>281</v>
      </c>
      <c r="G15" t="s">
        <v>143</v>
      </c>
      <c r="I15" t="s">
        <v>152</v>
      </c>
      <c r="J15" t="s">
        <v>284</v>
      </c>
      <c r="K15">
        <v>1.8116182377890177E-3</v>
      </c>
      <c r="L15" t="s">
        <v>154</v>
      </c>
      <c r="N15" t="s">
        <v>195</v>
      </c>
      <c r="O15" t="s">
        <v>284</v>
      </c>
      <c r="P15">
        <v>5.1623666680996327E-3</v>
      </c>
      <c r="Q15" t="s">
        <v>154</v>
      </c>
      <c r="S15" t="s">
        <v>226</v>
      </c>
      <c r="T15" t="s">
        <v>284</v>
      </c>
      <c r="U15">
        <v>4.7395196778244652E-3</v>
      </c>
      <c r="V15" t="s">
        <v>154</v>
      </c>
      <c r="X15">
        <v>4.10958904109589E-3</v>
      </c>
      <c r="Y15">
        <v>7.9954255028217708E-3</v>
      </c>
      <c r="Z15" t="s">
        <v>284</v>
      </c>
      <c r="AA15" t="s">
        <v>25</v>
      </c>
      <c r="AC15" t="s">
        <v>22</v>
      </c>
      <c r="AD15" t="s">
        <v>284</v>
      </c>
      <c r="AE15">
        <v>5.7094447673934632E-3</v>
      </c>
      <c r="AG15" t="s">
        <v>97</v>
      </c>
      <c r="AH15" t="s">
        <v>284</v>
      </c>
      <c r="AI15">
        <v>5.4946482841405686E-2</v>
      </c>
      <c r="AK15">
        <v>2020</v>
      </c>
      <c r="AL15" t="s">
        <v>294</v>
      </c>
      <c r="AM15">
        <v>0.21426246901692253</v>
      </c>
      <c r="AN15" t="s">
        <v>279</v>
      </c>
    </row>
    <row r="16" spans="1:40" x14ac:dyDescent="0.25">
      <c r="C16" t="s">
        <v>295</v>
      </c>
      <c r="E16" t="s">
        <v>309</v>
      </c>
      <c r="G16" t="s">
        <v>143</v>
      </c>
      <c r="I16" t="s">
        <v>152</v>
      </c>
      <c r="J16" t="s">
        <v>311</v>
      </c>
      <c r="K16">
        <v>0</v>
      </c>
      <c r="L16" t="s">
        <v>154</v>
      </c>
      <c r="N16" t="s">
        <v>195</v>
      </c>
      <c r="O16" t="s">
        <v>311</v>
      </c>
      <c r="P16">
        <v>4.7821200629141495E-3</v>
      </c>
      <c r="Q16" t="s">
        <v>154</v>
      </c>
      <c r="S16" t="s">
        <v>226</v>
      </c>
      <c r="T16" t="s">
        <v>311</v>
      </c>
      <c r="U16">
        <v>4.4234485655201827E-3</v>
      </c>
      <c r="V16" t="s">
        <v>154</v>
      </c>
      <c r="X16">
        <v>4.10958904109589E-3</v>
      </c>
      <c r="Y16">
        <v>6.2054048678616743E-3</v>
      </c>
      <c r="Z16" t="s">
        <v>311</v>
      </c>
      <c r="AA16" t="s">
        <v>25</v>
      </c>
      <c r="AC16" t="s">
        <v>22</v>
      </c>
      <c r="AD16" t="s">
        <v>311</v>
      </c>
      <c r="AE16">
        <v>5.7716348834399838E-3</v>
      </c>
      <c r="AG16" t="s">
        <v>97</v>
      </c>
      <c r="AH16" t="s">
        <v>311</v>
      </c>
      <c r="AI16">
        <v>4.8519371237761622E-2</v>
      </c>
      <c r="AK16">
        <v>2020</v>
      </c>
      <c r="AL16" t="s">
        <v>295</v>
      </c>
      <c r="AM16">
        <v>0.1915744498195148</v>
      </c>
      <c r="AN16" t="s">
        <v>279</v>
      </c>
    </row>
    <row r="17" spans="5:40" x14ac:dyDescent="0.25">
      <c r="E17" t="s">
        <v>310</v>
      </c>
      <c r="G17" t="s">
        <v>143</v>
      </c>
      <c r="I17" t="s">
        <v>152</v>
      </c>
      <c r="J17" t="s">
        <v>312</v>
      </c>
      <c r="K17">
        <v>0</v>
      </c>
      <c r="L17" t="s">
        <v>154</v>
      </c>
      <c r="N17" t="s">
        <v>195</v>
      </c>
      <c r="O17" t="s">
        <v>312</v>
      </c>
      <c r="P17">
        <v>2.4950987165546949E-2</v>
      </c>
      <c r="Q17" t="s">
        <v>154</v>
      </c>
      <c r="S17" t="s">
        <v>226</v>
      </c>
      <c r="T17" t="s">
        <v>312</v>
      </c>
      <c r="U17">
        <v>2.4912614999900572E-2</v>
      </c>
      <c r="V17" t="s">
        <v>154</v>
      </c>
      <c r="X17">
        <v>2.0547945205479451E-2</v>
      </c>
      <c r="Y17">
        <v>1.5513512169654178E-2</v>
      </c>
      <c r="Z17" t="s">
        <v>312</v>
      </c>
      <c r="AA17" t="s">
        <v>25</v>
      </c>
      <c r="AC17" t="s">
        <v>22</v>
      </c>
      <c r="AD17" t="s">
        <v>312</v>
      </c>
      <c r="AE17">
        <v>2.4709450704676408E-2</v>
      </c>
      <c r="AG17" t="s">
        <v>97</v>
      </c>
      <c r="AH17" t="s">
        <v>312</v>
      </c>
      <c r="AI17">
        <v>0.15933317374040845</v>
      </c>
      <c r="AK17">
        <v>2021</v>
      </c>
      <c r="AL17" t="s">
        <v>142</v>
      </c>
      <c r="AM17">
        <v>0.20762054491871684</v>
      </c>
      <c r="AN17" t="s">
        <v>279</v>
      </c>
    </row>
    <row r="18" spans="5:40" x14ac:dyDescent="0.25">
      <c r="I18" t="s">
        <v>152</v>
      </c>
      <c r="J18" t="s">
        <v>157</v>
      </c>
      <c r="K18">
        <v>0</v>
      </c>
      <c r="L18" t="s">
        <v>154</v>
      </c>
      <c r="N18" t="s">
        <v>195</v>
      </c>
      <c r="O18" t="s">
        <v>157</v>
      </c>
      <c r="P18">
        <v>1.0516398070803765E-2</v>
      </c>
      <c r="Q18" t="s">
        <v>154</v>
      </c>
      <c r="S18" t="s">
        <v>226</v>
      </c>
      <c r="T18" t="s">
        <v>157</v>
      </c>
      <c r="U18">
        <v>9.2583506223747024E-3</v>
      </c>
      <c r="V18" t="s">
        <v>154</v>
      </c>
      <c r="X18">
        <v>7.9908675799086754E-3</v>
      </c>
      <c r="Y18">
        <v>3.1557400823740982E-3</v>
      </c>
      <c r="Z18" t="s">
        <v>157</v>
      </c>
      <c r="AA18" t="s">
        <v>25</v>
      </c>
      <c r="AC18" t="s">
        <v>22</v>
      </c>
      <c r="AD18" t="s">
        <v>157</v>
      </c>
      <c r="AE18">
        <v>6.9744922741930932E-3</v>
      </c>
      <c r="AG18" t="s">
        <v>97</v>
      </c>
      <c r="AH18" t="s">
        <v>157</v>
      </c>
      <c r="AI18">
        <v>0.10812141880333193</v>
      </c>
      <c r="AK18">
        <v>2021</v>
      </c>
      <c r="AL18" t="s">
        <v>146</v>
      </c>
      <c r="AM18">
        <v>0.2244583354508648</v>
      </c>
      <c r="AN18" t="s">
        <v>279</v>
      </c>
    </row>
    <row r="19" spans="5:40" x14ac:dyDescent="0.25">
      <c r="I19" t="s">
        <v>152</v>
      </c>
      <c r="J19" t="s">
        <v>158</v>
      </c>
      <c r="K19">
        <v>7.0239303616092435E-4</v>
      </c>
      <c r="L19" t="s">
        <v>154</v>
      </c>
      <c r="N19" t="s">
        <v>195</v>
      </c>
      <c r="O19" t="s">
        <v>158</v>
      </c>
      <c r="P19">
        <v>2.8558389575899816E-3</v>
      </c>
      <c r="Q19" t="s">
        <v>154</v>
      </c>
      <c r="S19" t="s">
        <v>226</v>
      </c>
      <c r="T19" t="s">
        <v>158</v>
      </c>
      <c r="U19">
        <v>2.6017865988967256E-3</v>
      </c>
      <c r="V19" t="s">
        <v>154</v>
      </c>
      <c r="X19">
        <v>2.2831050228310501E-3</v>
      </c>
      <c r="Y19">
        <v>3.3645758231194427E-3</v>
      </c>
      <c r="Z19" t="s">
        <v>158</v>
      </c>
      <c r="AA19" t="s">
        <v>25</v>
      </c>
      <c r="AC19" t="s">
        <v>22</v>
      </c>
      <c r="AD19" t="s">
        <v>158</v>
      </c>
      <c r="AE19">
        <v>2.6623563701183E-3</v>
      </c>
      <c r="AG19" t="s">
        <v>97</v>
      </c>
      <c r="AH19" t="s">
        <v>158</v>
      </c>
      <c r="AI19">
        <v>9.4124280821151318E-2</v>
      </c>
      <c r="AK19">
        <v>2021</v>
      </c>
      <c r="AL19" t="s">
        <v>148</v>
      </c>
      <c r="AM19">
        <v>0.33988277467236855</v>
      </c>
      <c r="AN19" t="s">
        <v>279</v>
      </c>
    </row>
    <row r="20" spans="5:40" x14ac:dyDescent="0.25">
      <c r="I20" t="s">
        <v>152</v>
      </c>
      <c r="J20" t="s">
        <v>159</v>
      </c>
      <c r="K20">
        <v>7.6741032784579126E-4</v>
      </c>
      <c r="L20" t="s">
        <v>154</v>
      </c>
      <c r="N20" t="s">
        <v>195</v>
      </c>
      <c r="O20" t="s">
        <v>159</v>
      </c>
      <c r="P20">
        <v>1.4538142701404993E-3</v>
      </c>
      <c r="Q20" t="s">
        <v>154</v>
      </c>
      <c r="S20" t="s">
        <v>226</v>
      </c>
      <c r="T20" t="s">
        <v>159</v>
      </c>
      <c r="U20">
        <v>1.3533270239803235E-3</v>
      </c>
      <c r="V20" t="s">
        <v>154</v>
      </c>
      <c r="X20">
        <v>1.1415525114155251E-3</v>
      </c>
      <c r="Y20">
        <v>1.4452759200788939E-3</v>
      </c>
      <c r="Z20" t="s">
        <v>159</v>
      </c>
      <c r="AA20" t="s">
        <v>25</v>
      </c>
      <c r="AC20" t="s">
        <v>22</v>
      </c>
      <c r="AD20" t="s">
        <v>159</v>
      </c>
      <c r="AE20">
        <v>1.4492181283847507E-3</v>
      </c>
      <c r="AG20" t="s">
        <v>97</v>
      </c>
      <c r="AH20" t="s">
        <v>159</v>
      </c>
      <c r="AI20">
        <v>4.4240131511705361E-2</v>
      </c>
      <c r="AK20">
        <v>2021</v>
      </c>
      <c r="AL20" t="s">
        <v>150</v>
      </c>
      <c r="AM20">
        <v>0.2017802565191279</v>
      </c>
      <c r="AN20" t="s">
        <v>279</v>
      </c>
    </row>
    <row r="21" spans="5:40" x14ac:dyDescent="0.25">
      <c r="I21" t="s">
        <v>152</v>
      </c>
      <c r="J21" t="s">
        <v>285</v>
      </c>
      <c r="K21">
        <v>9.6002616151712409E-3</v>
      </c>
      <c r="L21" t="s">
        <v>154</v>
      </c>
      <c r="N21" t="s">
        <v>195</v>
      </c>
      <c r="O21" t="s">
        <v>285</v>
      </c>
      <c r="P21">
        <v>9.184529740472876E-3</v>
      </c>
      <c r="Q21" t="s">
        <v>154</v>
      </c>
      <c r="S21" t="s">
        <v>226</v>
      </c>
      <c r="T21" t="s">
        <v>285</v>
      </c>
      <c r="U21">
        <v>9.539222329593311E-3</v>
      </c>
      <c r="V21" t="s">
        <v>154</v>
      </c>
      <c r="X21">
        <v>7.9908675799086754E-3</v>
      </c>
      <c r="Y21">
        <v>1.1177684409417497E-2</v>
      </c>
      <c r="Z21" t="s">
        <v>285</v>
      </c>
      <c r="AA21" t="s">
        <v>25</v>
      </c>
      <c r="AC21" t="s">
        <v>22</v>
      </c>
      <c r="AD21" t="s">
        <v>285</v>
      </c>
      <c r="AE21">
        <v>1.0688943470079646E-2</v>
      </c>
      <c r="AG21" t="s">
        <v>97</v>
      </c>
      <c r="AH21" t="s">
        <v>285</v>
      </c>
      <c r="AI21">
        <v>5.8151554981070497E-2</v>
      </c>
      <c r="AK21">
        <v>2021</v>
      </c>
      <c r="AL21" t="s">
        <v>294</v>
      </c>
      <c r="AM21">
        <v>0.19081463120434433</v>
      </c>
      <c r="AN21" t="s">
        <v>279</v>
      </c>
    </row>
    <row r="22" spans="5:40" x14ac:dyDescent="0.25">
      <c r="I22" t="s">
        <v>152</v>
      </c>
      <c r="J22" t="s">
        <v>286</v>
      </c>
      <c r="K22">
        <v>2.6364482638738251E-4</v>
      </c>
      <c r="L22" t="s">
        <v>154</v>
      </c>
      <c r="N22" t="s">
        <v>195</v>
      </c>
      <c r="O22" t="s">
        <v>286</v>
      </c>
      <c r="P22">
        <v>1.3759301277018931E-3</v>
      </c>
      <c r="Q22" t="s">
        <v>154</v>
      </c>
      <c r="S22" t="s">
        <v>226</v>
      </c>
      <c r="T22" t="s">
        <v>286</v>
      </c>
      <c r="U22">
        <v>1.5047739270774992E-3</v>
      </c>
      <c r="V22" t="s">
        <v>154</v>
      </c>
      <c r="X22">
        <v>1.1415525114155251E-3</v>
      </c>
      <c r="Y22">
        <v>2.220951528561603E-3</v>
      </c>
      <c r="Z22" t="s">
        <v>286</v>
      </c>
      <c r="AA22" t="s">
        <v>25</v>
      </c>
      <c r="AC22" t="s">
        <v>22</v>
      </c>
      <c r="AD22" t="s">
        <v>286</v>
      </c>
      <c r="AE22">
        <v>1.6001478962376671E-3</v>
      </c>
      <c r="AG22" t="s">
        <v>97</v>
      </c>
      <c r="AH22" t="s">
        <v>286</v>
      </c>
      <c r="AI22">
        <v>4.6322198756436173E-2</v>
      </c>
      <c r="AK22">
        <v>2021</v>
      </c>
      <c r="AL22" t="s">
        <v>295</v>
      </c>
      <c r="AM22">
        <v>0.21711300586915966</v>
      </c>
      <c r="AN22" t="s">
        <v>279</v>
      </c>
    </row>
    <row r="23" spans="5:40" x14ac:dyDescent="0.25">
      <c r="I23" t="s">
        <v>152</v>
      </c>
      <c r="J23" t="s">
        <v>313</v>
      </c>
      <c r="K23">
        <v>0</v>
      </c>
      <c r="L23" t="s">
        <v>154</v>
      </c>
      <c r="N23" t="s">
        <v>195</v>
      </c>
      <c r="O23" t="s">
        <v>313</v>
      </c>
      <c r="P23">
        <v>1.2640414533538506E-3</v>
      </c>
      <c r="Q23" t="s">
        <v>154</v>
      </c>
      <c r="S23" t="s">
        <v>226</v>
      </c>
      <c r="T23" t="s">
        <v>313</v>
      </c>
      <c r="U23">
        <v>1.3051857908071894E-3</v>
      </c>
      <c r="V23" t="s">
        <v>154</v>
      </c>
      <c r="X23">
        <v>1.1415525114155251E-3</v>
      </c>
      <c r="Y23">
        <v>1.7237235744060198E-3</v>
      </c>
      <c r="Z23" t="s">
        <v>313</v>
      </c>
      <c r="AA23" t="s">
        <v>25</v>
      </c>
      <c r="AC23" t="s">
        <v>22</v>
      </c>
      <c r="AD23" t="s">
        <v>313</v>
      </c>
      <c r="AE23">
        <v>1.6161984883407508E-3</v>
      </c>
      <c r="AG23" t="s">
        <v>97</v>
      </c>
      <c r="AH23" t="s">
        <v>313</v>
      </c>
      <c r="AI23">
        <v>4.0575161899975898E-2</v>
      </c>
      <c r="AK23">
        <v>2022</v>
      </c>
      <c r="AL23" t="s">
        <v>142</v>
      </c>
      <c r="AM23">
        <v>0.18993556013116755</v>
      </c>
      <c r="AN23" t="s">
        <v>279</v>
      </c>
    </row>
    <row r="24" spans="5:40" x14ac:dyDescent="0.25">
      <c r="I24" t="s">
        <v>152</v>
      </c>
      <c r="J24" t="s">
        <v>314</v>
      </c>
      <c r="K24">
        <v>0</v>
      </c>
      <c r="L24" t="s">
        <v>154</v>
      </c>
      <c r="N24" t="s">
        <v>195</v>
      </c>
      <c r="O24" t="s">
        <v>314</v>
      </c>
      <c r="P24">
        <v>6.928198922949034E-3</v>
      </c>
      <c r="Q24" t="s">
        <v>154</v>
      </c>
      <c r="S24" t="s">
        <v>226</v>
      </c>
      <c r="T24" t="s">
        <v>314</v>
      </c>
      <c r="U24">
        <v>7.6422990680000804E-3</v>
      </c>
      <c r="V24" t="s">
        <v>154</v>
      </c>
      <c r="X24">
        <v>5.7077625570776253E-3</v>
      </c>
      <c r="Y24">
        <v>4.3093089360150506E-3</v>
      </c>
      <c r="Z24" t="s">
        <v>314</v>
      </c>
      <c r="AA24" t="s">
        <v>25</v>
      </c>
      <c r="AC24" t="s">
        <v>22</v>
      </c>
      <c r="AD24" t="s">
        <v>314</v>
      </c>
      <c r="AE24">
        <v>6.8910575068327692E-3</v>
      </c>
      <c r="AG24" t="s">
        <v>97</v>
      </c>
      <c r="AH24" t="s">
        <v>314</v>
      </c>
      <c r="AI24">
        <v>0.15650546103673624</v>
      </c>
      <c r="AK24">
        <v>2022</v>
      </c>
      <c r="AL24" t="s">
        <v>146</v>
      </c>
      <c r="AM24">
        <v>0.1773049645390071</v>
      </c>
      <c r="AN24" t="s">
        <v>279</v>
      </c>
    </row>
    <row r="25" spans="5:40" x14ac:dyDescent="0.25">
      <c r="I25" t="s">
        <v>152</v>
      </c>
      <c r="J25" t="s">
        <v>160</v>
      </c>
      <c r="K25">
        <v>1.8454360869734635E-2</v>
      </c>
      <c r="L25" t="s">
        <v>154</v>
      </c>
      <c r="N25" t="s">
        <v>195</v>
      </c>
      <c r="O25" t="s">
        <v>160</v>
      </c>
      <c r="P25">
        <v>0.1896589803794928</v>
      </c>
      <c r="Q25" t="s">
        <v>154</v>
      </c>
      <c r="S25" t="s">
        <v>226</v>
      </c>
      <c r="T25" t="s">
        <v>160</v>
      </c>
      <c r="U25">
        <v>0.16725944470016796</v>
      </c>
      <c r="V25" t="s">
        <v>154</v>
      </c>
      <c r="X25">
        <v>0.19417808219178082</v>
      </c>
      <c r="Y25">
        <v>7.6684484001690589E-2</v>
      </c>
      <c r="Z25" t="s">
        <v>160</v>
      </c>
      <c r="AA25" t="s">
        <v>25</v>
      </c>
      <c r="AC25" t="s">
        <v>22</v>
      </c>
      <c r="AD25" t="s">
        <v>160</v>
      </c>
      <c r="AE25">
        <v>0.14508863447644202</v>
      </c>
      <c r="AG25" t="s">
        <v>97</v>
      </c>
      <c r="AH25" t="s">
        <v>160</v>
      </c>
      <c r="AI25">
        <v>0.20871843470681606</v>
      </c>
      <c r="AK25">
        <v>2022</v>
      </c>
      <c r="AL25" t="s">
        <v>148</v>
      </c>
      <c r="AM25">
        <v>0.31558836156372949</v>
      </c>
      <c r="AN25" t="s">
        <v>279</v>
      </c>
    </row>
    <row r="26" spans="5:40" x14ac:dyDescent="0.25">
      <c r="I26" t="s">
        <v>152</v>
      </c>
      <c r="J26" t="s">
        <v>161</v>
      </c>
      <c r="K26">
        <v>9.8318712381609538E-2</v>
      </c>
      <c r="L26" t="s">
        <v>154</v>
      </c>
      <c r="N26" t="s">
        <v>195</v>
      </c>
      <c r="O26" t="s">
        <v>161</v>
      </c>
      <c r="P26">
        <v>4.7572377498119857E-2</v>
      </c>
      <c r="Q26" t="s">
        <v>154</v>
      </c>
      <c r="S26" t="s">
        <v>226</v>
      </c>
      <c r="T26" t="s">
        <v>161</v>
      </c>
      <c r="U26">
        <v>4.2622245376867159E-2</v>
      </c>
      <c r="V26" t="s">
        <v>154</v>
      </c>
      <c r="X26">
        <v>5.5479452054794522E-2</v>
      </c>
      <c r="Y26">
        <v>8.1759192501802455E-2</v>
      </c>
      <c r="Z26" t="s">
        <v>161</v>
      </c>
      <c r="AA26" t="s">
        <v>25</v>
      </c>
      <c r="AC26" t="s">
        <v>22</v>
      </c>
      <c r="AD26" t="s">
        <v>161</v>
      </c>
      <c r="AE26">
        <v>5.3289129268329509E-2</v>
      </c>
      <c r="AG26" t="s">
        <v>97</v>
      </c>
      <c r="AH26" t="s">
        <v>161</v>
      </c>
      <c r="AI26">
        <v>0.2773023178839833</v>
      </c>
      <c r="AK26">
        <v>2022</v>
      </c>
      <c r="AL26" t="s">
        <v>150</v>
      </c>
      <c r="AM26">
        <v>0.23688324563410351</v>
      </c>
      <c r="AN26" t="s">
        <v>279</v>
      </c>
    </row>
    <row r="27" spans="5:40" x14ac:dyDescent="0.25">
      <c r="I27" t="s">
        <v>152</v>
      </c>
      <c r="J27" t="s">
        <v>162</v>
      </c>
      <c r="K27">
        <v>7.2170323154276947E-2</v>
      </c>
      <c r="L27" t="s">
        <v>154</v>
      </c>
      <c r="N27" t="s">
        <v>195</v>
      </c>
      <c r="O27" t="s">
        <v>162</v>
      </c>
      <c r="P27">
        <v>2.4193261528315815E-2</v>
      </c>
      <c r="Q27" t="s">
        <v>154</v>
      </c>
      <c r="S27" t="s">
        <v>226</v>
      </c>
      <c r="T27" t="s">
        <v>162</v>
      </c>
      <c r="U27">
        <v>2.1965043028228038E-2</v>
      </c>
      <c r="V27" t="s">
        <v>154</v>
      </c>
      <c r="X27">
        <v>2.7739726027397261E-2</v>
      </c>
      <c r="Y27">
        <v>3.5120204857917135E-2</v>
      </c>
      <c r="Z27" t="s">
        <v>162</v>
      </c>
      <c r="AA27" t="s">
        <v>25</v>
      </c>
      <c r="AC27" t="s">
        <v>22</v>
      </c>
      <c r="AD27" t="s">
        <v>162</v>
      </c>
      <c r="AE27">
        <v>2.952417771771992E-2</v>
      </c>
      <c r="AG27" t="s">
        <v>97</v>
      </c>
      <c r="AH27" t="s">
        <v>162</v>
      </c>
      <c r="AI27">
        <v>0.30717002895461665</v>
      </c>
      <c r="AK27">
        <v>2022</v>
      </c>
      <c r="AL27" t="s">
        <v>294</v>
      </c>
      <c r="AM27">
        <v>0.1997063982307633</v>
      </c>
      <c r="AN27" t="s">
        <v>279</v>
      </c>
    </row>
    <row r="28" spans="5:40" x14ac:dyDescent="0.25">
      <c r="I28" t="s">
        <v>152</v>
      </c>
      <c r="J28" t="s">
        <v>287</v>
      </c>
      <c r="K28">
        <v>0.5466666384375598</v>
      </c>
      <c r="L28" t="s">
        <v>154</v>
      </c>
      <c r="N28" t="s">
        <v>195</v>
      </c>
      <c r="O28" t="s">
        <v>287</v>
      </c>
      <c r="P28">
        <v>0.17390797708862718</v>
      </c>
      <c r="Q28" t="s">
        <v>154</v>
      </c>
      <c r="S28" t="s">
        <v>226</v>
      </c>
      <c r="T28" t="s">
        <v>287</v>
      </c>
      <c r="U28">
        <v>0.15614100783497104</v>
      </c>
      <c r="V28" t="s">
        <v>154</v>
      </c>
      <c r="X28">
        <v>0.19417808219178082</v>
      </c>
      <c r="Y28">
        <v>0.27161773114884524</v>
      </c>
      <c r="Z28" t="s">
        <v>287</v>
      </c>
      <c r="AA28" t="s">
        <v>25</v>
      </c>
      <c r="AC28" t="s">
        <v>22</v>
      </c>
      <c r="AD28" t="s">
        <v>287</v>
      </c>
      <c r="AE28">
        <v>0.21838579277954692</v>
      </c>
      <c r="AG28" t="s">
        <v>97</v>
      </c>
      <c r="AH28" t="s">
        <v>287</v>
      </c>
      <c r="AI28">
        <v>0.35016031810985759</v>
      </c>
      <c r="AK28">
        <v>2022</v>
      </c>
      <c r="AL28" t="s">
        <v>295</v>
      </c>
      <c r="AM28">
        <v>0.18278616639975589</v>
      </c>
      <c r="AN28" t="s">
        <v>279</v>
      </c>
    </row>
    <row r="29" spans="5:40" x14ac:dyDescent="0.25">
      <c r="I29" t="s">
        <v>152</v>
      </c>
      <c r="J29" t="s">
        <v>288</v>
      </c>
      <c r="K29">
        <v>3.7091209888687089E-2</v>
      </c>
      <c r="L29" t="s">
        <v>154</v>
      </c>
      <c r="N29" t="s">
        <v>195</v>
      </c>
      <c r="O29" t="s">
        <v>288</v>
      </c>
      <c r="P29">
        <v>2.5708044641229163E-2</v>
      </c>
      <c r="Q29" t="s">
        <v>154</v>
      </c>
      <c r="S29" t="s">
        <v>226</v>
      </c>
      <c r="T29" t="s">
        <v>288</v>
      </c>
      <c r="U29">
        <v>2.3222891985731329E-2</v>
      </c>
      <c r="V29" t="s">
        <v>154</v>
      </c>
      <c r="X29">
        <v>2.7739726027397261E-2</v>
      </c>
      <c r="Y29">
        <v>5.3969122144046949E-2</v>
      </c>
      <c r="Z29" t="s">
        <v>288</v>
      </c>
      <c r="AA29" t="s">
        <v>25</v>
      </c>
      <c r="AC29" t="s">
        <v>22</v>
      </c>
      <c r="AD29" t="s">
        <v>288</v>
      </c>
      <c r="AE29">
        <v>3.1153106170737962E-2</v>
      </c>
      <c r="AG29" t="s">
        <v>97</v>
      </c>
      <c r="AH29" t="s">
        <v>288</v>
      </c>
      <c r="AI29">
        <v>0.33729550429656729</v>
      </c>
      <c r="AK29">
        <v>2025</v>
      </c>
      <c r="AL29" t="s">
        <v>142</v>
      </c>
      <c r="AM29">
        <v>0.19595000000000001</v>
      </c>
      <c r="AN29" t="s">
        <v>279</v>
      </c>
    </row>
    <row r="30" spans="5:40" x14ac:dyDescent="0.25">
      <c r="I30" t="s">
        <v>152</v>
      </c>
      <c r="J30" t="s">
        <v>315</v>
      </c>
      <c r="K30">
        <v>1.3521384567981978E-2</v>
      </c>
      <c r="L30" t="s">
        <v>154</v>
      </c>
      <c r="N30" t="s">
        <v>195</v>
      </c>
      <c r="O30" t="s">
        <v>315</v>
      </c>
      <c r="P30">
        <v>2.3114279179930933E-2</v>
      </c>
      <c r="Q30" t="s">
        <v>154</v>
      </c>
      <c r="S30" t="s">
        <v>226</v>
      </c>
      <c r="T30" t="s">
        <v>315</v>
      </c>
      <c r="U30">
        <v>2.0705605045725311E-2</v>
      </c>
      <c r="V30" t="s">
        <v>154</v>
      </c>
      <c r="X30">
        <v>2.7739726027397261E-2</v>
      </c>
      <c r="Y30">
        <v>4.1886482858066273E-2</v>
      </c>
      <c r="Z30" t="s">
        <v>315</v>
      </c>
      <c r="AA30" t="s">
        <v>25</v>
      </c>
      <c r="AC30" t="s">
        <v>22</v>
      </c>
      <c r="AD30" t="s">
        <v>315</v>
      </c>
      <c r="AE30">
        <v>3.1098061244405208E-2</v>
      </c>
      <c r="AG30" t="s">
        <v>97</v>
      </c>
      <c r="AH30" t="s">
        <v>315</v>
      </c>
      <c r="AI30">
        <v>0.32555136962152553</v>
      </c>
      <c r="AK30">
        <v>2025</v>
      </c>
      <c r="AL30" t="s">
        <v>146</v>
      </c>
      <c r="AM30">
        <v>0.19869999999999999</v>
      </c>
      <c r="AN30" t="s">
        <v>279</v>
      </c>
    </row>
    <row r="31" spans="5:40" x14ac:dyDescent="0.25">
      <c r="I31" t="s">
        <v>152</v>
      </c>
      <c r="J31" t="s">
        <v>316</v>
      </c>
      <c r="K31">
        <v>0</v>
      </c>
      <c r="L31" t="s">
        <v>154</v>
      </c>
      <c r="N31" t="s">
        <v>195</v>
      </c>
      <c r="O31" t="s">
        <v>316</v>
      </c>
      <c r="P31">
        <v>0.12904173027817117</v>
      </c>
      <c r="Q31" t="s">
        <v>154</v>
      </c>
      <c r="S31" t="s">
        <v>226</v>
      </c>
      <c r="T31" t="s">
        <v>316</v>
      </c>
      <c r="U31">
        <v>0.11720641585881265</v>
      </c>
      <c r="V31" t="s">
        <v>154</v>
      </c>
      <c r="X31">
        <v>0.1386986301369863</v>
      </c>
      <c r="Y31">
        <v>0.1047162071451657</v>
      </c>
      <c r="Z31" t="s">
        <v>316</v>
      </c>
      <c r="AA31" t="s">
        <v>25</v>
      </c>
      <c r="AC31" t="s">
        <v>22</v>
      </c>
      <c r="AD31" t="s">
        <v>316</v>
      </c>
      <c r="AE31">
        <v>0.14201854764331373</v>
      </c>
      <c r="AG31" t="s">
        <v>97</v>
      </c>
      <c r="AH31" t="s">
        <v>316</v>
      </c>
      <c r="AI31">
        <v>0.33795848942889384</v>
      </c>
      <c r="AK31">
        <v>2025</v>
      </c>
      <c r="AL31" t="s">
        <v>148</v>
      </c>
      <c r="AM31">
        <v>0.26554444444444442</v>
      </c>
      <c r="AN31" t="s">
        <v>279</v>
      </c>
    </row>
    <row r="32" spans="5:40" x14ac:dyDescent="0.25">
      <c r="I32" t="s">
        <v>152</v>
      </c>
      <c r="J32" t="s">
        <v>163</v>
      </c>
      <c r="K32">
        <v>0</v>
      </c>
      <c r="L32" t="s">
        <v>154</v>
      </c>
      <c r="N32" t="s">
        <v>195</v>
      </c>
      <c r="O32" t="s">
        <v>163</v>
      </c>
      <c r="P32">
        <v>1.4971967391878479E-2</v>
      </c>
      <c r="Q32" t="s">
        <v>154</v>
      </c>
      <c r="S32" t="s">
        <v>226</v>
      </c>
      <c r="T32" t="s">
        <v>163</v>
      </c>
      <c r="U32">
        <v>1.6014493685218026E-2</v>
      </c>
      <c r="V32" t="s">
        <v>154</v>
      </c>
      <c r="X32">
        <v>8.7899543378995425E-3</v>
      </c>
      <c r="Y32">
        <v>3.471314090611508E-3</v>
      </c>
      <c r="Z32" t="s">
        <v>163</v>
      </c>
      <c r="AA32" t="s">
        <v>25</v>
      </c>
      <c r="AC32" t="s">
        <v>22</v>
      </c>
      <c r="AD32" t="s">
        <v>163</v>
      </c>
      <c r="AE32">
        <v>5.6549846933829301E-3</v>
      </c>
      <c r="AG32" t="s">
        <v>97</v>
      </c>
      <c r="AH32" t="s">
        <v>163</v>
      </c>
      <c r="AI32">
        <v>0.12586122221986229</v>
      </c>
      <c r="AK32">
        <v>2025</v>
      </c>
      <c r="AL32" t="s">
        <v>150</v>
      </c>
      <c r="AM32">
        <v>0.18809999999999999</v>
      </c>
      <c r="AN32" t="s">
        <v>279</v>
      </c>
    </row>
    <row r="33" spans="9:40" x14ac:dyDescent="0.25">
      <c r="I33" t="s">
        <v>152</v>
      </c>
      <c r="J33" t="s">
        <v>164</v>
      </c>
      <c r="K33">
        <v>2.4426930809741208E-3</v>
      </c>
      <c r="L33" t="s">
        <v>154</v>
      </c>
      <c r="N33" t="s">
        <v>195</v>
      </c>
      <c r="O33" t="s">
        <v>164</v>
      </c>
      <c r="P33">
        <v>4.1519237704102591E-3</v>
      </c>
      <c r="Q33" t="s">
        <v>154</v>
      </c>
      <c r="S33" t="s">
        <v>226</v>
      </c>
      <c r="T33" t="s">
        <v>164</v>
      </c>
      <c r="U33">
        <v>4.5358746921727857E-3</v>
      </c>
      <c r="V33" t="s">
        <v>154</v>
      </c>
      <c r="X33">
        <v>2.5114155251141552E-3</v>
      </c>
      <c r="Y33">
        <v>3.7010334054313867E-3</v>
      </c>
      <c r="Z33" t="s">
        <v>164</v>
      </c>
      <c r="AA33" t="s">
        <v>25</v>
      </c>
      <c r="AC33" t="s">
        <v>22</v>
      </c>
      <c r="AD33" t="s">
        <v>164</v>
      </c>
      <c r="AE33">
        <v>2.0681544519843176E-3</v>
      </c>
      <c r="AG33" t="s">
        <v>97</v>
      </c>
      <c r="AH33" t="s">
        <v>164</v>
      </c>
      <c r="AI33">
        <v>0.11050810105660447</v>
      </c>
      <c r="AK33">
        <v>2025</v>
      </c>
      <c r="AL33" t="s">
        <v>294</v>
      </c>
      <c r="AM33">
        <v>0.1671</v>
      </c>
      <c r="AN33" t="s">
        <v>279</v>
      </c>
    </row>
    <row r="34" spans="9:40" x14ac:dyDescent="0.25">
      <c r="I34" t="s">
        <v>152</v>
      </c>
      <c r="J34" t="s">
        <v>165</v>
      </c>
      <c r="K34">
        <v>2.1958813277560157E-3</v>
      </c>
      <c r="L34" t="s">
        <v>154</v>
      </c>
      <c r="N34" t="s">
        <v>195</v>
      </c>
      <c r="O34" t="s">
        <v>165</v>
      </c>
      <c r="P34">
        <v>2.1471479140164891E-3</v>
      </c>
      <c r="Q34" t="s">
        <v>154</v>
      </c>
      <c r="S34" t="s">
        <v>226</v>
      </c>
      <c r="T34" t="s">
        <v>165</v>
      </c>
      <c r="U34">
        <v>2.2900217108331733E-3</v>
      </c>
      <c r="V34" t="s">
        <v>154</v>
      </c>
      <c r="X34">
        <v>1.2557077625570776E-3</v>
      </c>
      <c r="Y34">
        <v>1.5898035120867834E-3</v>
      </c>
      <c r="Z34" t="s">
        <v>165</v>
      </c>
      <c r="AA34" t="s">
        <v>25</v>
      </c>
      <c r="AC34" t="s">
        <v>22</v>
      </c>
      <c r="AD34" t="s">
        <v>165</v>
      </c>
      <c r="AE34">
        <v>1.1283197443693121E-3</v>
      </c>
      <c r="AG34" t="s">
        <v>97</v>
      </c>
      <c r="AH34" t="s">
        <v>165</v>
      </c>
      <c r="AI34">
        <v>6.6656863046679948E-2</v>
      </c>
      <c r="AK34">
        <v>2025</v>
      </c>
      <c r="AL34" t="s">
        <v>295</v>
      </c>
      <c r="AM34">
        <v>0.1709</v>
      </c>
      <c r="AN34" t="s">
        <v>279</v>
      </c>
    </row>
    <row r="35" spans="9:40" x14ac:dyDescent="0.25">
      <c r="I35" t="s">
        <v>152</v>
      </c>
      <c r="J35" t="s">
        <v>289</v>
      </c>
      <c r="K35">
        <v>1.6935592189193389E-2</v>
      </c>
      <c r="L35" t="s">
        <v>154</v>
      </c>
      <c r="N35" t="s">
        <v>195</v>
      </c>
      <c r="O35" t="s">
        <v>289</v>
      </c>
      <c r="P35">
        <v>1.4591953780931009E-2</v>
      </c>
      <c r="Q35" t="s">
        <v>154</v>
      </c>
      <c r="S35" t="s">
        <v>226</v>
      </c>
      <c r="T35" t="s">
        <v>289</v>
      </c>
      <c r="U35">
        <v>1.6034659344100102E-2</v>
      </c>
      <c r="V35" t="s">
        <v>154</v>
      </c>
      <c r="X35">
        <v>8.7899543378995425E-3</v>
      </c>
      <c r="Y35">
        <v>1.2295452850359248E-2</v>
      </c>
      <c r="Z35" t="s">
        <v>289</v>
      </c>
      <c r="AA35" t="s">
        <v>25</v>
      </c>
      <c r="AC35" t="s">
        <v>22</v>
      </c>
      <c r="AD35" t="s">
        <v>289</v>
      </c>
      <c r="AE35">
        <v>8.2000272835819118E-3</v>
      </c>
      <c r="AG35" t="s">
        <v>97</v>
      </c>
      <c r="AH35" t="s">
        <v>289</v>
      </c>
      <c r="AI35">
        <v>6.6099170267867491E-2</v>
      </c>
      <c r="AK35">
        <v>2026</v>
      </c>
      <c r="AL35" t="s">
        <v>142</v>
      </c>
      <c r="AM35">
        <v>0.1923</v>
      </c>
      <c r="AN35" t="s">
        <v>279</v>
      </c>
    </row>
    <row r="36" spans="9:40" x14ac:dyDescent="0.25">
      <c r="I36" t="s">
        <v>152</v>
      </c>
      <c r="J36" t="s">
        <v>290</v>
      </c>
      <c r="K36">
        <v>7.726030732435208E-4</v>
      </c>
      <c r="L36" t="s">
        <v>154</v>
      </c>
      <c r="N36" t="s">
        <v>195</v>
      </c>
      <c r="O36" t="s">
        <v>290</v>
      </c>
      <c r="P36">
        <v>2.080733210751915E-3</v>
      </c>
      <c r="Q36" t="s">
        <v>154</v>
      </c>
      <c r="S36" t="s">
        <v>226</v>
      </c>
      <c r="T36" t="s">
        <v>290</v>
      </c>
      <c r="U36">
        <v>2.3887923164541362E-3</v>
      </c>
      <c r="V36" t="s">
        <v>154</v>
      </c>
      <c r="X36">
        <v>1.2557077625570776E-3</v>
      </c>
      <c r="Y36">
        <v>2.4430466814177633E-3</v>
      </c>
      <c r="Z36" t="s">
        <v>290</v>
      </c>
      <c r="AA36" t="s">
        <v>25</v>
      </c>
      <c r="AC36" t="s">
        <v>22</v>
      </c>
      <c r="AD36" t="s">
        <v>290</v>
      </c>
      <c r="AE36">
        <v>1.1796369223799404E-3</v>
      </c>
      <c r="AG36" t="s">
        <v>97</v>
      </c>
      <c r="AH36" t="s">
        <v>290</v>
      </c>
      <c r="AI36">
        <v>5.0395706756780401E-2</v>
      </c>
      <c r="AK36">
        <v>2026</v>
      </c>
      <c r="AL36" t="s">
        <v>146</v>
      </c>
      <c r="AM36">
        <v>0.21010000000000001</v>
      </c>
      <c r="AN36" t="s">
        <v>279</v>
      </c>
    </row>
    <row r="37" spans="9:40" x14ac:dyDescent="0.25">
      <c r="I37" t="s">
        <v>152</v>
      </c>
      <c r="J37" t="s">
        <v>317</v>
      </c>
      <c r="K37">
        <v>0</v>
      </c>
      <c r="L37" t="s">
        <v>154</v>
      </c>
      <c r="N37" t="s">
        <v>195</v>
      </c>
      <c r="O37" t="s">
        <v>317</v>
      </c>
      <c r="P37">
        <v>2.0372152005659317E-3</v>
      </c>
      <c r="Q37" t="s">
        <v>154</v>
      </c>
      <c r="S37" t="s">
        <v>226</v>
      </c>
      <c r="T37" t="s">
        <v>317</v>
      </c>
      <c r="U37">
        <v>2.3465092178070416E-3</v>
      </c>
      <c r="V37" t="s">
        <v>154</v>
      </c>
      <c r="X37">
        <v>1.2557077625570776E-3</v>
      </c>
      <c r="Y37">
        <v>1.8960959318466218E-3</v>
      </c>
      <c r="Z37" t="s">
        <v>317</v>
      </c>
      <c r="AA37" t="s">
        <v>25</v>
      </c>
      <c r="AC37" t="s">
        <v>22</v>
      </c>
      <c r="AD37" t="s">
        <v>317</v>
      </c>
      <c r="AE37">
        <v>1.1858931979172927E-3</v>
      </c>
      <c r="AG37" t="s">
        <v>97</v>
      </c>
      <c r="AH37" t="s">
        <v>317</v>
      </c>
      <c r="AI37">
        <v>4.8301170120022219E-2</v>
      </c>
      <c r="AK37">
        <v>2026</v>
      </c>
      <c r="AL37" t="s">
        <v>148</v>
      </c>
      <c r="AM37">
        <v>0.26685555555555557</v>
      </c>
      <c r="AN37" t="s">
        <v>279</v>
      </c>
    </row>
    <row r="38" spans="9:40" x14ac:dyDescent="0.25">
      <c r="I38" t="s">
        <v>152</v>
      </c>
      <c r="J38" t="s">
        <v>318</v>
      </c>
      <c r="K38">
        <v>0</v>
      </c>
      <c r="L38" t="s">
        <v>154</v>
      </c>
      <c r="N38" t="s">
        <v>195</v>
      </c>
      <c r="O38" t="s">
        <v>318</v>
      </c>
      <c r="P38">
        <v>9.8806186524825219E-3</v>
      </c>
      <c r="Q38" t="s">
        <v>154</v>
      </c>
      <c r="S38" t="s">
        <v>226</v>
      </c>
      <c r="T38" t="s">
        <v>318</v>
      </c>
      <c r="U38">
        <v>1.1625014561043343E-2</v>
      </c>
      <c r="V38" t="s">
        <v>154</v>
      </c>
      <c r="X38">
        <v>6.2785388127853878E-3</v>
      </c>
      <c r="Y38">
        <v>4.7402398296165554E-3</v>
      </c>
      <c r="Z38" t="s">
        <v>318</v>
      </c>
      <c r="AA38" t="s">
        <v>25</v>
      </c>
      <c r="AC38" t="s">
        <v>22</v>
      </c>
      <c r="AD38" t="s">
        <v>318</v>
      </c>
      <c r="AE38">
        <v>5.5876527427654405E-3</v>
      </c>
      <c r="AG38" t="s">
        <v>97</v>
      </c>
      <c r="AH38" t="s">
        <v>318</v>
      </c>
      <c r="AI38">
        <v>8.4707521925779128E-2</v>
      </c>
      <c r="AK38">
        <v>2026</v>
      </c>
      <c r="AL38" t="s">
        <v>150</v>
      </c>
      <c r="AM38">
        <v>0.18990000000000001</v>
      </c>
      <c r="AN38" t="s">
        <v>279</v>
      </c>
    </row>
    <row r="39" spans="9:40" x14ac:dyDescent="0.25">
      <c r="I39" t="s">
        <v>152</v>
      </c>
      <c r="J39" t="s">
        <v>297</v>
      </c>
      <c r="K39">
        <v>0</v>
      </c>
      <c r="L39" t="s">
        <v>154</v>
      </c>
      <c r="N39" t="s">
        <v>195</v>
      </c>
      <c r="O39" t="s">
        <v>297</v>
      </c>
      <c r="P39">
        <v>2.2757660040792351E-2</v>
      </c>
      <c r="Q39" t="s">
        <v>154</v>
      </c>
      <c r="S39" t="s">
        <v>226</v>
      </c>
      <c r="T39" t="s">
        <v>297</v>
      </c>
      <c r="U39">
        <v>2.5360394839681562E-2</v>
      </c>
      <c r="V39" t="s">
        <v>154</v>
      </c>
      <c r="X39">
        <v>2.2374429223744292E-2</v>
      </c>
      <c r="Y39">
        <v>8.8360722306474754E-3</v>
      </c>
      <c r="Z39" t="s">
        <v>297</v>
      </c>
      <c r="AA39" t="s">
        <v>25</v>
      </c>
      <c r="AC39" t="s">
        <v>22</v>
      </c>
      <c r="AD39" t="s">
        <v>297</v>
      </c>
      <c r="AE39">
        <v>1.5586915396627873E-2</v>
      </c>
      <c r="AG39" t="s">
        <v>97</v>
      </c>
      <c r="AH39" t="s">
        <v>297</v>
      </c>
      <c r="AI39">
        <v>0.21951058687127678</v>
      </c>
      <c r="AK39">
        <v>2026</v>
      </c>
      <c r="AL39" t="s">
        <v>294</v>
      </c>
      <c r="AM39">
        <v>0.16844999999999999</v>
      </c>
      <c r="AN39" t="s">
        <v>279</v>
      </c>
    </row>
    <row r="40" spans="9:40" x14ac:dyDescent="0.25">
      <c r="I40" t="s">
        <v>152</v>
      </c>
      <c r="J40" t="s">
        <v>298</v>
      </c>
      <c r="K40">
        <v>8.3207916219241278E-3</v>
      </c>
      <c r="L40" t="s">
        <v>154</v>
      </c>
      <c r="N40" t="s">
        <v>195</v>
      </c>
      <c r="O40" t="s">
        <v>298</v>
      </c>
      <c r="P40">
        <v>6.2175435923914031E-3</v>
      </c>
      <c r="Q40" t="s">
        <v>154</v>
      </c>
      <c r="S40" t="s">
        <v>226</v>
      </c>
      <c r="T40" t="s">
        <v>298</v>
      </c>
      <c r="U40">
        <v>7.7482672076836729E-3</v>
      </c>
      <c r="V40" t="s">
        <v>154</v>
      </c>
      <c r="X40">
        <v>6.392694063926941E-3</v>
      </c>
      <c r="Y40">
        <v>9.4208123047344414E-3</v>
      </c>
      <c r="Z40" t="s">
        <v>298</v>
      </c>
      <c r="AA40" t="s">
        <v>25</v>
      </c>
      <c r="AC40" t="s">
        <v>22</v>
      </c>
      <c r="AD40" t="s">
        <v>298</v>
      </c>
      <c r="AE40">
        <v>6.2178326416653809E-3</v>
      </c>
      <c r="AG40" t="s">
        <v>97</v>
      </c>
      <c r="AH40" t="s">
        <v>298</v>
      </c>
      <c r="AI40">
        <v>0.14687108242387215</v>
      </c>
      <c r="AK40">
        <v>2026</v>
      </c>
      <c r="AL40" t="s">
        <v>295</v>
      </c>
      <c r="AM40">
        <v>0.16864999999999999</v>
      </c>
      <c r="AN40" t="s">
        <v>279</v>
      </c>
    </row>
    <row r="41" spans="9:40" x14ac:dyDescent="0.25">
      <c r="I41" t="s">
        <v>152</v>
      </c>
      <c r="J41" t="s">
        <v>299</v>
      </c>
      <c r="K41">
        <v>7.01496440492417E-3</v>
      </c>
      <c r="L41" t="s">
        <v>154</v>
      </c>
      <c r="N41" t="s">
        <v>195</v>
      </c>
      <c r="O41" t="s">
        <v>299</v>
      </c>
      <c r="P41">
        <v>3.1794011792891557E-3</v>
      </c>
      <c r="Q41" t="s">
        <v>154</v>
      </c>
      <c r="S41" t="s">
        <v>226</v>
      </c>
      <c r="T41" t="s">
        <v>299</v>
      </c>
      <c r="U41">
        <v>4.0778528969230001E-3</v>
      </c>
      <c r="V41" t="s">
        <v>154</v>
      </c>
      <c r="X41">
        <v>3.1963470319634705E-3</v>
      </c>
      <c r="Y41">
        <v>4.0467725762209023E-3</v>
      </c>
      <c r="Z41" t="s">
        <v>299</v>
      </c>
      <c r="AA41" t="s">
        <v>25</v>
      </c>
      <c r="AC41" t="s">
        <v>22</v>
      </c>
      <c r="AD41" t="s">
        <v>299</v>
      </c>
      <c r="AE41">
        <v>3.2561217279937255E-3</v>
      </c>
      <c r="AG41" t="s">
        <v>97</v>
      </c>
      <c r="AH41" t="s">
        <v>299</v>
      </c>
      <c r="AI41">
        <v>9.59301692167569E-2</v>
      </c>
      <c r="AK41">
        <v>2027</v>
      </c>
      <c r="AL41" t="s">
        <v>142</v>
      </c>
      <c r="AM41">
        <v>0.18759999999999999</v>
      </c>
      <c r="AN41" t="s">
        <v>279</v>
      </c>
    </row>
    <row r="42" spans="9:40" x14ac:dyDescent="0.25">
      <c r="I42" t="s">
        <v>152</v>
      </c>
      <c r="J42" t="s">
        <v>300</v>
      </c>
      <c r="K42">
        <v>4.692374696742764E-2</v>
      </c>
      <c r="L42" t="s">
        <v>154</v>
      </c>
      <c r="N42" t="s">
        <v>195</v>
      </c>
      <c r="O42" t="s">
        <v>300</v>
      </c>
      <c r="P42">
        <v>2.2187791605734392E-2</v>
      </c>
      <c r="Q42" t="s">
        <v>154</v>
      </c>
      <c r="S42" t="s">
        <v>226</v>
      </c>
      <c r="T42" t="s">
        <v>300</v>
      </c>
      <c r="U42">
        <v>2.8337106636456198E-2</v>
      </c>
      <c r="V42" t="s">
        <v>154</v>
      </c>
      <c r="X42">
        <v>2.2374429223744292E-2</v>
      </c>
      <c r="Y42">
        <v>3.1297516346368993E-2</v>
      </c>
      <c r="Z42" t="s">
        <v>300</v>
      </c>
      <c r="AA42" t="s">
        <v>25</v>
      </c>
      <c r="AC42" t="s">
        <v>22</v>
      </c>
      <c r="AD42" t="s">
        <v>300</v>
      </c>
      <c r="AE42">
        <v>2.254190186757932E-2</v>
      </c>
      <c r="AG42" t="s">
        <v>97</v>
      </c>
      <c r="AH42" t="s">
        <v>300</v>
      </c>
      <c r="AI42">
        <v>0.13338223465013099</v>
      </c>
      <c r="AK42">
        <v>2027</v>
      </c>
      <c r="AL42" t="s">
        <v>146</v>
      </c>
      <c r="AM42">
        <v>0.2049</v>
      </c>
      <c r="AN42" t="s">
        <v>279</v>
      </c>
    </row>
    <row r="43" spans="9:40" x14ac:dyDescent="0.25">
      <c r="I43" t="s">
        <v>152</v>
      </c>
      <c r="J43" t="s">
        <v>301</v>
      </c>
      <c r="K43">
        <v>3.3890492067975304E-4</v>
      </c>
      <c r="L43" t="s">
        <v>154</v>
      </c>
      <c r="N43" t="s">
        <v>195</v>
      </c>
      <c r="O43" t="s">
        <v>301</v>
      </c>
      <c r="P43">
        <v>3.4742249909754841E-3</v>
      </c>
      <c r="Q43" t="s">
        <v>154</v>
      </c>
      <c r="S43" t="s">
        <v>226</v>
      </c>
      <c r="T43" t="s">
        <v>301</v>
      </c>
      <c r="U43">
        <v>4.1478229441031167E-3</v>
      </c>
      <c r="V43" t="s">
        <v>154</v>
      </c>
      <c r="X43">
        <v>3.1963470319634705E-3</v>
      </c>
      <c r="Y43">
        <v>6.2186642799724884E-3</v>
      </c>
      <c r="Z43" t="s">
        <v>301</v>
      </c>
      <c r="AA43" t="s">
        <v>25</v>
      </c>
      <c r="AC43" t="s">
        <v>22</v>
      </c>
      <c r="AD43" t="s">
        <v>301</v>
      </c>
      <c r="AE43">
        <v>3.3260898430838679E-3</v>
      </c>
      <c r="AG43" t="s">
        <v>97</v>
      </c>
      <c r="AH43" t="s">
        <v>301</v>
      </c>
      <c r="AI43">
        <v>0.12682443497274742</v>
      </c>
      <c r="AK43">
        <v>2027</v>
      </c>
      <c r="AL43" t="s">
        <v>148</v>
      </c>
      <c r="AM43">
        <v>0.26823333333333327</v>
      </c>
      <c r="AN43" t="s">
        <v>279</v>
      </c>
    </row>
    <row r="44" spans="9:40" x14ac:dyDescent="0.25">
      <c r="I44" t="s">
        <v>152</v>
      </c>
      <c r="J44" t="s">
        <v>319</v>
      </c>
      <c r="K44">
        <v>0</v>
      </c>
      <c r="L44" t="s">
        <v>154</v>
      </c>
      <c r="N44" t="s">
        <v>195</v>
      </c>
      <c r="O44" t="s">
        <v>319</v>
      </c>
      <c r="P44">
        <v>3.1343906242915667E-3</v>
      </c>
      <c r="Q44" t="s">
        <v>154</v>
      </c>
      <c r="S44" t="s">
        <v>226</v>
      </c>
      <c r="T44" t="s">
        <v>319</v>
      </c>
      <c r="U44">
        <v>3.7860606858765174E-3</v>
      </c>
      <c r="V44" t="s">
        <v>154</v>
      </c>
      <c r="X44">
        <v>3.1963470319634705E-3</v>
      </c>
      <c r="Y44">
        <v>4.8264260083368555E-3</v>
      </c>
      <c r="Z44" t="s">
        <v>319</v>
      </c>
      <c r="AA44" t="s">
        <v>25</v>
      </c>
      <c r="AC44" t="s">
        <v>22</v>
      </c>
      <c r="AD44" t="s">
        <v>319</v>
      </c>
      <c r="AE44">
        <v>3.4026191204334561E-3</v>
      </c>
      <c r="AG44" t="s">
        <v>97</v>
      </c>
      <c r="AH44" t="s">
        <v>319</v>
      </c>
      <c r="AI44">
        <v>0.12156578869387791</v>
      </c>
      <c r="AK44">
        <v>2027</v>
      </c>
      <c r="AL44" t="s">
        <v>150</v>
      </c>
      <c r="AM44">
        <v>0.18659999999999999</v>
      </c>
      <c r="AN44" t="s">
        <v>279</v>
      </c>
    </row>
    <row r="45" spans="9:40" x14ac:dyDescent="0.25">
      <c r="I45" t="s">
        <v>152</v>
      </c>
      <c r="J45" t="s">
        <v>320</v>
      </c>
      <c r="K45">
        <v>0</v>
      </c>
      <c r="L45" t="s">
        <v>154</v>
      </c>
      <c r="N45" t="s">
        <v>195</v>
      </c>
      <c r="O45" t="s">
        <v>320</v>
      </c>
      <c r="P45">
        <v>1.7016870120499003E-2</v>
      </c>
      <c r="Q45" t="s">
        <v>154</v>
      </c>
      <c r="S45" t="s">
        <v>226</v>
      </c>
      <c r="T45" t="s">
        <v>320</v>
      </c>
      <c r="U45">
        <v>1.9688618395457817E-2</v>
      </c>
      <c r="V45" t="s">
        <v>154</v>
      </c>
      <c r="X45">
        <v>1.5981735159817351E-2</v>
      </c>
      <c r="Y45">
        <v>1.2066065020842141E-2</v>
      </c>
      <c r="Z45" t="s">
        <v>320</v>
      </c>
      <c r="AA45" t="s">
        <v>25</v>
      </c>
      <c r="AC45" t="s">
        <v>22</v>
      </c>
      <c r="AD45" t="s">
        <v>320</v>
      </c>
      <c r="AE45">
        <v>1.5836198978585098E-2</v>
      </c>
      <c r="AG45" t="s">
        <v>97</v>
      </c>
      <c r="AH45" t="s">
        <v>320</v>
      </c>
      <c r="AI45">
        <v>0.18897332740602857</v>
      </c>
      <c r="AK45">
        <v>2027</v>
      </c>
      <c r="AL45" t="s">
        <v>294</v>
      </c>
      <c r="AM45">
        <v>0.16614999999999999</v>
      </c>
      <c r="AN45" t="s">
        <v>279</v>
      </c>
    </row>
    <row r="46" spans="9:40" x14ac:dyDescent="0.25">
      <c r="I46" t="s">
        <v>152</v>
      </c>
      <c r="J46" t="s">
        <v>302</v>
      </c>
      <c r="K46">
        <v>0</v>
      </c>
      <c r="L46" t="s">
        <v>154</v>
      </c>
      <c r="N46" t="s">
        <v>195</v>
      </c>
      <c r="O46" t="s">
        <v>302</v>
      </c>
      <c r="P46">
        <v>3.2897338315264174E-2</v>
      </c>
      <c r="Q46" t="s">
        <v>154</v>
      </c>
      <c r="S46" t="s">
        <v>226</v>
      </c>
      <c r="T46" t="s">
        <v>302</v>
      </c>
      <c r="U46">
        <v>4.4091351982169846E-2</v>
      </c>
      <c r="V46" t="s">
        <v>154</v>
      </c>
      <c r="X46">
        <v>2.9566210045662102E-2</v>
      </c>
      <c r="Y46">
        <v>1.1676238304784163E-2</v>
      </c>
      <c r="Z46" t="s">
        <v>302</v>
      </c>
      <c r="AA46" t="s">
        <v>25</v>
      </c>
      <c r="AC46" t="s">
        <v>22</v>
      </c>
      <c r="AD46" t="s">
        <v>302</v>
      </c>
      <c r="AE46">
        <v>2.2902148622022354E-2</v>
      </c>
      <c r="AG46" t="s">
        <v>97</v>
      </c>
      <c r="AH46" t="s">
        <v>302</v>
      </c>
      <c r="AI46">
        <v>0.18101552005322841</v>
      </c>
      <c r="AK46">
        <v>2027</v>
      </c>
      <c r="AL46" t="s">
        <v>295</v>
      </c>
      <c r="AM46">
        <v>0.15720000000000001</v>
      </c>
      <c r="AN46" t="s">
        <v>279</v>
      </c>
    </row>
    <row r="47" spans="9:40" x14ac:dyDescent="0.25">
      <c r="I47" t="s">
        <v>152</v>
      </c>
      <c r="J47" t="s">
        <v>303</v>
      </c>
      <c r="K47">
        <v>6.2581337645029721E-3</v>
      </c>
      <c r="L47" t="s">
        <v>154</v>
      </c>
      <c r="N47" t="s">
        <v>195</v>
      </c>
      <c r="O47" t="s">
        <v>303</v>
      </c>
      <c r="P47">
        <v>8.982838881544216E-3</v>
      </c>
      <c r="Q47" t="s">
        <v>154</v>
      </c>
      <c r="S47" t="s">
        <v>226</v>
      </c>
      <c r="T47" t="s">
        <v>303</v>
      </c>
      <c r="U47">
        <v>1.2249072253063913E-2</v>
      </c>
      <c r="V47" t="s">
        <v>154</v>
      </c>
      <c r="X47">
        <v>8.4474885844748864E-3</v>
      </c>
      <c r="Y47">
        <v>1.244893054554194E-2</v>
      </c>
      <c r="Z47" t="s">
        <v>303</v>
      </c>
      <c r="AA47" t="s">
        <v>25</v>
      </c>
      <c r="AC47" t="s">
        <v>22</v>
      </c>
      <c r="AD47" t="s">
        <v>303</v>
      </c>
      <c r="AE47">
        <v>9.0327195484983282E-3</v>
      </c>
      <c r="AG47" t="s">
        <v>97</v>
      </c>
      <c r="AH47" t="s">
        <v>303</v>
      </c>
      <c r="AI47">
        <v>0.13509281153440167</v>
      </c>
      <c r="AK47">
        <v>2028</v>
      </c>
      <c r="AL47" t="s">
        <v>142</v>
      </c>
      <c r="AM47">
        <v>0.18814999999999998</v>
      </c>
      <c r="AN47" t="s">
        <v>279</v>
      </c>
    </row>
    <row r="48" spans="9:40" x14ac:dyDescent="0.25">
      <c r="I48" t="s">
        <v>152</v>
      </c>
      <c r="J48" t="s">
        <v>304</v>
      </c>
      <c r="K48">
        <v>6.1808583294657169E-3</v>
      </c>
      <c r="L48" t="s">
        <v>154</v>
      </c>
      <c r="N48" t="s">
        <v>195</v>
      </c>
      <c r="O48" t="s">
        <v>304</v>
      </c>
      <c r="P48">
        <v>4.5000951339807761E-3</v>
      </c>
      <c r="Q48" t="s">
        <v>154</v>
      </c>
      <c r="S48" t="s">
        <v>226</v>
      </c>
      <c r="T48" t="s">
        <v>304</v>
      </c>
      <c r="U48">
        <v>6.2005982451200413E-3</v>
      </c>
      <c r="V48" t="s">
        <v>154</v>
      </c>
      <c r="X48">
        <v>4.2237442922374432E-3</v>
      </c>
      <c r="Y48">
        <v>5.3475209042919067E-3</v>
      </c>
      <c r="Z48" t="s">
        <v>304</v>
      </c>
      <c r="AA48" t="s">
        <v>25</v>
      </c>
      <c r="AC48" t="s">
        <v>22</v>
      </c>
      <c r="AD48" t="s">
        <v>304</v>
      </c>
      <c r="AE48">
        <v>4.9640053000431757E-3</v>
      </c>
      <c r="AG48" t="s">
        <v>97</v>
      </c>
      <c r="AH48" t="s">
        <v>304</v>
      </c>
      <c r="AI48">
        <v>8.1470249259988581E-2</v>
      </c>
      <c r="AK48">
        <v>2028</v>
      </c>
      <c r="AL48" t="s">
        <v>146</v>
      </c>
      <c r="AM48">
        <v>0.1981</v>
      </c>
      <c r="AN48" t="s">
        <v>279</v>
      </c>
    </row>
    <row r="49" spans="9:40" x14ac:dyDescent="0.25">
      <c r="I49" t="s">
        <v>152</v>
      </c>
      <c r="J49" t="s">
        <v>305</v>
      </c>
      <c r="K49">
        <v>4.7064465708673377E-2</v>
      </c>
      <c r="L49" t="s">
        <v>154</v>
      </c>
      <c r="N49" t="s">
        <v>195</v>
      </c>
      <c r="O49" t="s">
        <v>305</v>
      </c>
      <c r="P49">
        <v>3.2034618642516215E-2</v>
      </c>
      <c r="Q49" t="s">
        <v>154</v>
      </c>
      <c r="S49" t="s">
        <v>226</v>
      </c>
      <c r="T49" t="s">
        <v>305</v>
      </c>
      <c r="U49">
        <v>4.1592657411627799E-2</v>
      </c>
      <c r="V49" t="s">
        <v>154</v>
      </c>
      <c r="X49">
        <v>2.9566210045662102E-2</v>
      </c>
      <c r="Y49">
        <v>4.1357432314844747E-2</v>
      </c>
      <c r="Z49" t="s">
        <v>305</v>
      </c>
      <c r="AA49" t="s">
        <v>25</v>
      </c>
      <c r="AC49" t="s">
        <v>22</v>
      </c>
      <c r="AD49" t="s">
        <v>305</v>
      </c>
      <c r="AE49">
        <v>3.5625127092107342E-2</v>
      </c>
      <c r="AG49" t="s">
        <v>97</v>
      </c>
      <c r="AH49" t="s">
        <v>305</v>
      </c>
      <c r="AI49">
        <v>0.1104148433563632</v>
      </c>
      <c r="AK49">
        <v>2028</v>
      </c>
      <c r="AL49" t="s">
        <v>148</v>
      </c>
      <c r="AM49">
        <v>0.27376666666666666</v>
      </c>
      <c r="AN49" t="s">
        <v>279</v>
      </c>
    </row>
    <row r="50" spans="9:40" x14ac:dyDescent="0.25">
      <c r="I50" t="s">
        <v>152</v>
      </c>
      <c r="J50" t="s">
        <v>306</v>
      </c>
      <c r="K50">
        <v>1.3144829611768827E-5</v>
      </c>
      <c r="L50" t="s">
        <v>154</v>
      </c>
      <c r="N50" t="s">
        <v>195</v>
      </c>
      <c r="O50" t="s">
        <v>306</v>
      </c>
      <c r="P50">
        <v>4.8324745858067996E-3</v>
      </c>
      <c r="Q50" t="s">
        <v>154</v>
      </c>
      <c r="S50" t="s">
        <v>226</v>
      </c>
      <c r="T50" t="s">
        <v>306</v>
      </c>
      <c r="U50">
        <v>6.3999354342756144E-3</v>
      </c>
      <c r="V50" t="s">
        <v>154</v>
      </c>
      <c r="X50">
        <v>4.2237442922374432E-3</v>
      </c>
      <c r="Y50">
        <v>8.2175206556779311E-3</v>
      </c>
      <c r="Z50" t="s">
        <v>306</v>
      </c>
      <c r="AA50" t="s">
        <v>25</v>
      </c>
      <c r="AC50" t="s">
        <v>22</v>
      </c>
      <c r="AD50" t="s">
        <v>306</v>
      </c>
      <c r="AE50">
        <v>5.3869414508266574E-3</v>
      </c>
      <c r="AG50" t="s">
        <v>97</v>
      </c>
      <c r="AH50" t="s">
        <v>306</v>
      </c>
      <c r="AI50">
        <v>8.9555174263685533E-2</v>
      </c>
      <c r="AK50">
        <v>2028</v>
      </c>
      <c r="AL50" t="s">
        <v>150</v>
      </c>
      <c r="AM50">
        <v>0.2084</v>
      </c>
      <c r="AN50" t="s">
        <v>279</v>
      </c>
    </row>
    <row r="51" spans="9:40" x14ac:dyDescent="0.25">
      <c r="I51" t="s">
        <v>152</v>
      </c>
      <c r="J51" t="s">
        <v>321</v>
      </c>
      <c r="K51">
        <v>0</v>
      </c>
      <c r="L51" t="s">
        <v>154</v>
      </c>
      <c r="N51" t="s">
        <v>195</v>
      </c>
      <c r="O51" t="s">
        <v>321</v>
      </c>
      <c r="P51">
        <v>4.7756323046366667E-3</v>
      </c>
      <c r="Q51" t="s">
        <v>154</v>
      </c>
      <c r="S51" t="s">
        <v>226</v>
      </c>
      <c r="T51" t="s">
        <v>321</v>
      </c>
      <c r="U51">
        <v>6.0199126773674777E-3</v>
      </c>
      <c r="V51" t="s">
        <v>154</v>
      </c>
      <c r="X51">
        <v>4.2237442922374432E-3</v>
      </c>
      <c r="Y51">
        <v>6.3777772253022771E-3</v>
      </c>
      <c r="Z51" t="s">
        <v>321</v>
      </c>
      <c r="AA51" t="s">
        <v>25</v>
      </c>
      <c r="AC51" t="s">
        <v>22</v>
      </c>
      <c r="AD51" t="s">
        <v>321</v>
      </c>
      <c r="AE51">
        <v>5.4834604567287736E-3</v>
      </c>
      <c r="AG51" t="s">
        <v>97</v>
      </c>
      <c r="AH51" t="s">
        <v>321</v>
      </c>
      <c r="AI51">
        <v>8.2644273491520259E-2</v>
      </c>
      <c r="AK51">
        <v>2028</v>
      </c>
      <c r="AL51" t="s">
        <v>294</v>
      </c>
      <c r="AM51">
        <v>0.1865</v>
      </c>
      <c r="AN51" t="s">
        <v>279</v>
      </c>
    </row>
    <row r="52" spans="9:40" x14ac:dyDescent="0.25">
      <c r="I52" t="s">
        <v>152</v>
      </c>
      <c r="J52" t="s">
        <v>322</v>
      </c>
      <c r="K52">
        <v>0</v>
      </c>
      <c r="L52" t="s">
        <v>154</v>
      </c>
      <c r="N52" t="s">
        <v>195</v>
      </c>
      <c r="O52" t="s">
        <v>322</v>
      </c>
      <c r="P52">
        <v>2.3053596534979952E-2</v>
      </c>
      <c r="Q52" t="s">
        <v>154</v>
      </c>
      <c r="S52" t="s">
        <v>226</v>
      </c>
      <c r="T52" t="s">
        <v>322</v>
      </c>
      <c r="U52">
        <v>3.3255386758093995E-2</v>
      </c>
      <c r="V52" t="s">
        <v>154</v>
      </c>
      <c r="X52">
        <v>2.1118721461187213E-2</v>
      </c>
      <c r="Y52">
        <v>1.5944443063255685E-2</v>
      </c>
      <c r="Z52" t="s">
        <v>322</v>
      </c>
      <c r="AA52" t="s">
        <v>25</v>
      </c>
      <c r="AC52" t="s">
        <v>22</v>
      </c>
      <c r="AD52" t="s">
        <v>322</v>
      </c>
      <c r="AE52">
        <v>2.3531594183379419E-2</v>
      </c>
      <c r="AG52" t="s">
        <v>97</v>
      </c>
      <c r="AH52" t="s">
        <v>322</v>
      </c>
      <c r="AI52">
        <v>0.19784446806910894</v>
      </c>
      <c r="AK52">
        <v>2028</v>
      </c>
      <c r="AL52" t="s">
        <v>295</v>
      </c>
      <c r="AM52">
        <v>0.17085</v>
      </c>
      <c r="AN52" t="s">
        <v>279</v>
      </c>
    </row>
    <row r="53" spans="9:40" x14ac:dyDescent="0.25">
      <c r="I53" t="s">
        <v>166</v>
      </c>
      <c r="J53" t="s">
        <v>153</v>
      </c>
      <c r="K53">
        <v>0</v>
      </c>
      <c r="L53" t="s">
        <v>154</v>
      </c>
      <c r="N53" t="s">
        <v>196</v>
      </c>
      <c r="O53" t="s">
        <v>153</v>
      </c>
      <c r="P53">
        <v>3.1503449027819208E-2</v>
      </c>
      <c r="Q53" t="s">
        <v>154</v>
      </c>
      <c r="S53" t="s">
        <v>227</v>
      </c>
      <c r="T53" t="s">
        <v>153</v>
      </c>
      <c r="U53">
        <v>3.5486449386505581E-2</v>
      </c>
      <c r="V53" t="s">
        <v>154</v>
      </c>
      <c r="AC53" t="s">
        <v>19</v>
      </c>
      <c r="AD53" t="s">
        <v>153</v>
      </c>
      <c r="AE53">
        <v>2.8320783577254829E-2</v>
      </c>
      <c r="AK53">
        <v>2029</v>
      </c>
      <c r="AL53" t="s">
        <v>142</v>
      </c>
      <c r="AM53">
        <v>0.21149999999999999</v>
      </c>
      <c r="AN53" t="s">
        <v>279</v>
      </c>
    </row>
    <row r="54" spans="9:40" x14ac:dyDescent="0.25">
      <c r="I54" t="s">
        <v>166</v>
      </c>
      <c r="J54" t="s">
        <v>155</v>
      </c>
      <c r="K54">
        <v>4.7945111227659246E-3</v>
      </c>
      <c r="L54" t="s">
        <v>154</v>
      </c>
      <c r="N54" t="s">
        <v>196</v>
      </c>
      <c r="O54" t="s">
        <v>155</v>
      </c>
      <c r="P54">
        <v>8.4949289176694531E-3</v>
      </c>
      <c r="Q54" t="s">
        <v>154</v>
      </c>
      <c r="S54" t="s">
        <v>227</v>
      </c>
      <c r="T54" t="s">
        <v>155</v>
      </c>
      <c r="U54">
        <v>1.010564237788599E-2</v>
      </c>
      <c r="V54" t="s">
        <v>154</v>
      </c>
      <c r="AC54" t="s">
        <v>19</v>
      </c>
      <c r="AD54" t="s">
        <v>155</v>
      </c>
      <c r="AE54">
        <v>8.2169808048578579E-3</v>
      </c>
      <c r="AK54">
        <v>2029</v>
      </c>
      <c r="AL54" t="s">
        <v>146</v>
      </c>
      <c r="AM54">
        <v>0.22109999999999999</v>
      </c>
      <c r="AN54" t="s">
        <v>279</v>
      </c>
    </row>
    <row r="55" spans="9:40" x14ac:dyDescent="0.25">
      <c r="I55" t="s">
        <v>166</v>
      </c>
      <c r="J55" t="s">
        <v>156</v>
      </c>
      <c r="K55">
        <v>5.3225866330942955E-3</v>
      </c>
      <c r="L55" t="s">
        <v>154</v>
      </c>
      <c r="N55" t="s">
        <v>196</v>
      </c>
      <c r="O55" t="s">
        <v>156</v>
      </c>
      <c r="P55">
        <v>4.1344160309120161E-3</v>
      </c>
      <c r="Q55" t="s">
        <v>154</v>
      </c>
      <c r="S55" t="s">
        <v>227</v>
      </c>
      <c r="T55" t="s">
        <v>156</v>
      </c>
      <c r="U55">
        <v>5.0628617479678865E-3</v>
      </c>
      <c r="V55" t="s">
        <v>154</v>
      </c>
      <c r="AC55" t="s">
        <v>19</v>
      </c>
      <c r="AD55" t="s">
        <v>156</v>
      </c>
      <c r="AE55">
        <v>4.1353586105600144E-3</v>
      </c>
      <c r="AK55">
        <v>2029</v>
      </c>
      <c r="AL55" t="s">
        <v>148</v>
      </c>
      <c r="AM55">
        <v>0.32675555555555558</v>
      </c>
      <c r="AN55" t="s">
        <v>279</v>
      </c>
    </row>
    <row r="56" spans="9:40" x14ac:dyDescent="0.25">
      <c r="I56" t="s">
        <v>166</v>
      </c>
      <c r="J56" t="s">
        <v>283</v>
      </c>
      <c r="K56">
        <v>5.0644398852946887E-2</v>
      </c>
      <c r="L56" t="s">
        <v>154</v>
      </c>
      <c r="N56" t="s">
        <v>196</v>
      </c>
      <c r="O56" t="s">
        <v>283</v>
      </c>
      <c r="P56">
        <v>3.0899043260399175E-2</v>
      </c>
      <c r="Q56" t="s">
        <v>154</v>
      </c>
      <c r="S56" t="s">
        <v>227</v>
      </c>
      <c r="T56" t="s">
        <v>283</v>
      </c>
      <c r="U56">
        <v>3.3586791042813709E-2</v>
      </c>
      <c r="V56" t="s">
        <v>154</v>
      </c>
      <c r="AC56" t="s">
        <v>19</v>
      </c>
      <c r="AD56" t="s">
        <v>283</v>
      </c>
      <c r="AE56">
        <v>2.9063130692963169E-2</v>
      </c>
      <c r="AK56">
        <v>2029</v>
      </c>
      <c r="AL56" t="s">
        <v>150</v>
      </c>
      <c r="AM56">
        <v>0.2419</v>
      </c>
      <c r="AN56" t="s">
        <v>279</v>
      </c>
    </row>
    <row r="57" spans="9:40" x14ac:dyDescent="0.25">
      <c r="I57" t="s">
        <v>166</v>
      </c>
      <c r="J57" t="s">
        <v>284</v>
      </c>
      <c r="K57">
        <v>2.5906157527301518E-3</v>
      </c>
      <c r="L57" t="s">
        <v>154</v>
      </c>
      <c r="N57" t="s">
        <v>196</v>
      </c>
      <c r="O57" t="s">
        <v>284</v>
      </c>
      <c r="P57">
        <v>4.8290394505782278E-3</v>
      </c>
      <c r="Q57" t="s">
        <v>154</v>
      </c>
      <c r="S57" t="s">
        <v>227</v>
      </c>
      <c r="T57" t="s">
        <v>284</v>
      </c>
      <c r="U57">
        <v>4.974177304579731E-3</v>
      </c>
      <c r="V57" t="s">
        <v>154</v>
      </c>
      <c r="AC57" t="s">
        <v>19</v>
      </c>
      <c r="AD57" t="s">
        <v>284</v>
      </c>
      <c r="AE57">
        <v>4.1702962446583747E-3</v>
      </c>
      <c r="AK57">
        <v>2029</v>
      </c>
      <c r="AL57" t="s">
        <v>294</v>
      </c>
      <c r="AM57">
        <v>0.22310000000000002</v>
      </c>
      <c r="AN57" t="s">
        <v>279</v>
      </c>
    </row>
    <row r="58" spans="9:40" x14ac:dyDescent="0.25">
      <c r="I58" t="s">
        <v>166</v>
      </c>
      <c r="J58" t="s">
        <v>311</v>
      </c>
      <c r="K58">
        <v>0</v>
      </c>
      <c r="L58" t="s">
        <v>154</v>
      </c>
      <c r="N58" t="s">
        <v>196</v>
      </c>
      <c r="O58" t="s">
        <v>311</v>
      </c>
      <c r="P58">
        <v>4.9335032843643078E-3</v>
      </c>
      <c r="Q58" t="s">
        <v>154</v>
      </c>
      <c r="S58" t="s">
        <v>227</v>
      </c>
      <c r="T58" t="s">
        <v>311</v>
      </c>
      <c r="U58">
        <v>4.779759195773399E-3</v>
      </c>
      <c r="V58" t="s">
        <v>154</v>
      </c>
      <c r="AC58" t="s">
        <v>19</v>
      </c>
      <c r="AD58" t="s">
        <v>311</v>
      </c>
      <c r="AE58">
        <v>4.174347264995916E-3</v>
      </c>
      <c r="AK58">
        <v>2029</v>
      </c>
      <c r="AL58" t="s">
        <v>295</v>
      </c>
      <c r="AM58">
        <v>0.22010000000000002</v>
      </c>
      <c r="AN58" t="s">
        <v>279</v>
      </c>
    </row>
    <row r="59" spans="9:40" x14ac:dyDescent="0.25">
      <c r="I59" t="s">
        <v>166</v>
      </c>
      <c r="J59" t="s">
        <v>312</v>
      </c>
      <c r="K59">
        <v>0</v>
      </c>
      <c r="L59" t="s">
        <v>154</v>
      </c>
      <c r="N59" t="s">
        <v>196</v>
      </c>
      <c r="O59" t="s">
        <v>312</v>
      </c>
      <c r="P59">
        <v>2.4544948788374502E-2</v>
      </c>
      <c r="Q59" t="s">
        <v>154</v>
      </c>
      <c r="S59" t="s">
        <v>227</v>
      </c>
      <c r="T59" t="s">
        <v>312</v>
      </c>
      <c r="U59">
        <v>2.5739526785048417E-2</v>
      </c>
      <c r="V59" t="s">
        <v>154</v>
      </c>
      <c r="AC59" t="s">
        <v>19</v>
      </c>
      <c r="AD59" t="s">
        <v>312</v>
      </c>
      <c r="AE59">
        <v>2.0601491385708243E-2</v>
      </c>
      <c r="AK59">
        <v>2030</v>
      </c>
      <c r="AL59" t="s">
        <v>142</v>
      </c>
      <c r="AM59">
        <v>0.22555</v>
      </c>
      <c r="AN59" t="s">
        <v>279</v>
      </c>
    </row>
    <row r="60" spans="9:40" x14ac:dyDescent="0.25">
      <c r="I60" t="s">
        <v>166</v>
      </c>
      <c r="J60" t="s">
        <v>157</v>
      </c>
      <c r="K60">
        <v>0</v>
      </c>
      <c r="L60" t="s">
        <v>154</v>
      </c>
      <c r="N60" t="s">
        <v>196</v>
      </c>
      <c r="O60" t="s">
        <v>157</v>
      </c>
      <c r="P60">
        <v>9.7209442480696816E-3</v>
      </c>
      <c r="Q60" t="s">
        <v>154</v>
      </c>
      <c r="S60" t="s">
        <v>227</v>
      </c>
      <c r="T60" t="s">
        <v>157</v>
      </c>
      <c r="U60">
        <v>9.6668494638781095E-3</v>
      </c>
      <c r="V60" t="s">
        <v>154</v>
      </c>
      <c r="AC60" t="s">
        <v>19</v>
      </c>
      <c r="AD60" t="s">
        <v>157</v>
      </c>
      <c r="AE60">
        <v>7.8612914429642342E-3</v>
      </c>
      <c r="AK60">
        <v>2030</v>
      </c>
      <c r="AL60" t="s">
        <v>146</v>
      </c>
      <c r="AM60">
        <v>0.22370000000000001</v>
      </c>
      <c r="AN60" t="s">
        <v>279</v>
      </c>
    </row>
    <row r="61" spans="9:40" x14ac:dyDescent="0.25">
      <c r="I61" t="s">
        <v>166</v>
      </c>
      <c r="J61" t="s">
        <v>158</v>
      </c>
      <c r="K61">
        <v>9.9126228568897738E-4</v>
      </c>
      <c r="L61" t="s">
        <v>154</v>
      </c>
      <c r="N61" t="s">
        <v>196</v>
      </c>
      <c r="O61" t="s">
        <v>158</v>
      </c>
      <c r="P61">
        <v>2.9100817226278852E-3</v>
      </c>
      <c r="Q61" t="s">
        <v>154</v>
      </c>
      <c r="S61" t="s">
        <v>227</v>
      </c>
      <c r="T61" t="s">
        <v>158</v>
      </c>
      <c r="U61">
        <v>2.8766450736595955E-3</v>
      </c>
      <c r="V61" t="s">
        <v>154</v>
      </c>
      <c r="AC61" t="s">
        <v>19</v>
      </c>
      <c r="AD61" t="s">
        <v>158</v>
      </c>
      <c r="AE61">
        <v>2.2897034267256489E-3</v>
      </c>
      <c r="AK61">
        <v>2030</v>
      </c>
      <c r="AL61" t="s">
        <v>148</v>
      </c>
      <c r="AM61">
        <v>0.33065555555555559</v>
      </c>
      <c r="AN61" t="s">
        <v>279</v>
      </c>
    </row>
    <row r="62" spans="9:40" x14ac:dyDescent="0.25">
      <c r="I62" t="s">
        <v>166</v>
      </c>
      <c r="J62" t="s">
        <v>159</v>
      </c>
      <c r="K62">
        <v>1.1989180265393174E-3</v>
      </c>
      <c r="L62" t="s">
        <v>154</v>
      </c>
      <c r="N62" t="s">
        <v>196</v>
      </c>
      <c r="O62" t="s">
        <v>159</v>
      </c>
      <c r="P62">
        <v>1.3598841547065E-3</v>
      </c>
      <c r="Q62" t="s">
        <v>154</v>
      </c>
      <c r="S62" t="s">
        <v>227</v>
      </c>
      <c r="T62" t="s">
        <v>159</v>
      </c>
      <c r="U62">
        <v>1.4023074338966799E-3</v>
      </c>
      <c r="V62" t="s">
        <v>154</v>
      </c>
      <c r="AC62" t="s">
        <v>19</v>
      </c>
      <c r="AD62" t="s">
        <v>159</v>
      </c>
      <c r="AE62">
        <v>1.1525407520952243E-3</v>
      </c>
      <c r="AK62">
        <v>2030</v>
      </c>
      <c r="AL62" t="s">
        <v>150</v>
      </c>
      <c r="AM62">
        <v>0.2596</v>
      </c>
      <c r="AN62" t="s">
        <v>279</v>
      </c>
    </row>
    <row r="63" spans="9:40" x14ac:dyDescent="0.25">
      <c r="I63" t="s">
        <v>166</v>
      </c>
      <c r="J63" t="s">
        <v>285</v>
      </c>
      <c r="K63">
        <v>9.3169773363724513E-3</v>
      </c>
      <c r="L63" t="s">
        <v>154</v>
      </c>
      <c r="N63" t="s">
        <v>196</v>
      </c>
      <c r="O63" t="s">
        <v>285</v>
      </c>
      <c r="P63">
        <v>8.5664758191214257E-3</v>
      </c>
      <c r="Q63" t="s">
        <v>154</v>
      </c>
      <c r="S63" t="s">
        <v>227</v>
      </c>
      <c r="T63" t="s">
        <v>285</v>
      </c>
      <c r="U63">
        <v>8.1744061038052668E-3</v>
      </c>
      <c r="V63" t="s">
        <v>154</v>
      </c>
      <c r="AC63" t="s">
        <v>19</v>
      </c>
      <c r="AD63" t="s">
        <v>285</v>
      </c>
      <c r="AE63">
        <v>8.1032481765082303E-3</v>
      </c>
      <c r="AK63">
        <v>2030</v>
      </c>
      <c r="AL63" t="s">
        <v>294</v>
      </c>
      <c r="AM63">
        <v>0.21934999999999999</v>
      </c>
      <c r="AN63" t="s">
        <v>279</v>
      </c>
    </row>
    <row r="64" spans="9:40" x14ac:dyDescent="0.25">
      <c r="I64" t="s">
        <v>166</v>
      </c>
      <c r="J64" t="s">
        <v>286</v>
      </c>
      <c r="K64">
        <v>2.719730559216697E-4</v>
      </c>
      <c r="L64" t="s">
        <v>154</v>
      </c>
      <c r="N64" t="s">
        <v>196</v>
      </c>
      <c r="O64" t="s">
        <v>286</v>
      </c>
      <c r="P64">
        <v>1.1132415619845215E-3</v>
      </c>
      <c r="Q64" t="s">
        <v>154</v>
      </c>
      <c r="S64" t="s">
        <v>227</v>
      </c>
      <c r="T64" t="s">
        <v>286</v>
      </c>
      <c r="U64">
        <v>1.2499455722234708E-3</v>
      </c>
      <c r="V64" t="s">
        <v>154</v>
      </c>
      <c r="AC64" t="s">
        <v>19</v>
      </c>
      <c r="AD64" t="s">
        <v>286</v>
      </c>
      <c r="AE64">
        <v>1.1623722108218021E-3</v>
      </c>
      <c r="AK64">
        <v>2030</v>
      </c>
      <c r="AL64" t="s">
        <v>295</v>
      </c>
      <c r="AM64">
        <v>0.1973</v>
      </c>
      <c r="AN64" t="s">
        <v>279</v>
      </c>
    </row>
    <row r="65" spans="9:40" x14ac:dyDescent="0.25">
      <c r="I65" t="s">
        <v>166</v>
      </c>
      <c r="J65" t="s">
        <v>313</v>
      </c>
      <c r="K65">
        <v>0</v>
      </c>
      <c r="L65" t="s">
        <v>154</v>
      </c>
      <c r="N65" t="s">
        <v>196</v>
      </c>
      <c r="O65" t="s">
        <v>313</v>
      </c>
      <c r="P65">
        <v>1.2103049624129657E-3</v>
      </c>
      <c r="Q65" t="s">
        <v>154</v>
      </c>
      <c r="S65" t="s">
        <v>227</v>
      </c>
      <c r="T65" t="s">
        <v>313</v>
      </c>
      <c r="U65">
        <v>1.1722939637244915E-3</v>
      </c>
      <c r="V65" t="s">
        <v>154</v>
      </c>
      <c r="AC65" t="s">
        <v>19</v>
      </c>
      <c r="AD65" t="s">
        <v>313</v>
      </c>
      <c r="AE65">
        <v>1.1634177350814854E-3</v>
      </c>
      <c r="AK65">
        <v>2031</v>
      </c>
      <c r="AL65" t="s">
        <v>142</v>
      </c>
      <c r="AM65">
        <v>0.21650000000000003</v>
      </c>
      <c r="AN65" t="s">
        <v>279</v>
      </c>
    </row>
    <row r="66" spans="9:40" x14ac:dyDescent="0.25">
      <c r="I66" t="s">
        <v>166</v>
      </c>
      <c r="J66" t="s">
        <v>314</v>
      </c>
      <c r="K66">
        <v>0</v>
      </c>
      <c r="L66" t="s">
        <v>154</v>
      </c>
      <c r="N66" t="s">
        <v>196</v>
      </c>
      <c r="O66" t="s">
        <v>314</v>
      </c>
      <c r="P66">
        <v>6.1652289733362493E-3</v>
      </c>
      <c r="Q66" t="s">
        <v>154</v>
      </c>
      <c r="S66" t="s">
        <v>227</v>
      </c>
      <c r="T66" t="s">
        <v>314</v>
      </c>
      <c r="U66">
        <v>7.3504181264413783E-3</v>
      </c>
      <c r="V66" t="s">
        <v>154</v>
      </c>
      <c r="AC66" t="s">
        <v>19</v>
      </c>
      <c r="AD66" t="s">
        <v>314</v>
      </c>
      <c r="AE66">
        <v>5.7395771522273367E-3</v>
      </c>
      <c r="AK66">
        <v>2031</v>
      </c>
      <c r="AL66" t="s">
        <v>146</v>
      </c>
      <c r="AM66">
        <v>0.23300000000000001</v>
      </c>
      <c r="AN66" t="s">
        <v>279</v>
      </c>
    </row>
    <row r="67" spans="9:40" x14ac:dyDescent="0.25">
      <c r="I67" t="s">
        <v>166</v>
      </c>
      <c r="J67" t="s">
        <v>160</v>
      </c>
      <c r="K67">
        <v>1.7159326989723417E-2</v>
      </c>
      <c r="L67" t="s">
        <v>154</v>
      </c>
      <c r="N67" t="s">
        <v>196</v>
      </c>
      <c r="O67" t="s">
        <v>160</v>
      </c>
      <c r="P67">
        <v>0.1888479795813382</v>
      </c>
      <c r="Q67" t="s">
        <v>154</v>
      </c>
      <c r="S67" t="s">
        <v>227</v>
      </c>
      <c r="T67" t="s">
        <v>160</v>
      </c>
      <c r="U67">
        <v>0.17287229204122823</v>
      </c>
      <c r="V67" t="s">
        <v>154</v>
      </c>
      <c r="AC67" t="s">
        <v>19</v>
      </c>
      <c r="AD67" t="s">
        <v>160</v>
      </c>
      <c r="AE67">
        <v>0.19125676169346359</v>
      </c>
      <c r="AK67">
        <v>2031</v>
      </c>
      <c r="AL67" t="s">
        <v>148</v>
      </c>
      <c r="AM67">
        <v>0.32822222222222219</v>
      </c>
      <c r="AN67" t="s">
        <v>279</v>
      </c>
    </row>
    <row r="68" spans="9:40" x14ac:dyDescent="0.25">
      <c r="I68" t="s">
        <v>166</v>
      </c>
      <c r="J68" t="s">
        <v>161</v>
      </c>
      <c r="K68">
        <v>9.3485750772966794E-2</v>
      </c>
      <c r="L68" t="s">
        <v>154</v>
      </c>
      <c r="N68" t="s">
        <v>196</v>
      </c>
      <c r="O68" t="s">
        <v>161</v>
      </c>
      <c r="P68">
        <v>4.9233431461901581E-2</v>
      </c>
      <c r="Q68" t="s">
        <v>154</v>
      </c>
      <c r="S68" t="s">
        <v>227</v>
      </c>
      <c r="T68" t="s">
        <v>161</v>
      </c>
      <c r="U68">
        <v>4.4813658706937869E-2</v>
      </c>
      <c r="V68" t="s">
        <v>154</v>
      </c>
      <c r="AC68" t="s">
        <v>19</v>
      </c>
      <c r="AD68" t="s">
        <v>161</v>
      </c>
      <c r="AE68">
        <v>5.5415727839134364E-2</v>
      </c>
      <c r="AK68">
        <v>2031</v>
      </c>
      <c r="AL68" t="s">
        <v>150</v>
      </c>
      <c r="AM68">
        <v>0.25119999999999998</v>
      </c>
      <c r="AN68" t="s">
        <v>279</v>
      </c>
    </row>
    <row r="69" spans="9:40" x14ac:dyDescent="0.25">
      <c r="I69" t="s">
        <v>166</v>
      </c>
      <c r="J69" t="s">
        <v>162</v>
      </c>
      <c r="K69">
        <v>6.9429409401161532E-2</v>
      </c>
      <c r="L69" t="s">
        <v>154</v>
      </c>
      <c r="N69" t="s">
        <v>196</v>
      </c>
      <c r="O69" t="s">
        <v>162</v>
      </c>
      <c r="P69">
        <v>2.4940951923395089E-2</v>
      </c>
      <c r="Q69" t="s">
        <v>154</v>
      </c>
      <c r="S69" t="s">
        <v>227</v>
      </c>
      <c r="T69" t="s">
        <v>162</v>
      </c>
      <c r="U69">
        <v>2.2884687908944015E-2</v>
      </c>
      <c r="V69" t="s">
        <v>154</v>
      </c>
      <c r="AC69" t="s">
        <v>19</v>
      </c>
      <c r="AD69" t="s">
        <v>162</v>
      </c>
      <c r="AE69">
        <v>2.7895439886735398E-2</v>
      </c>
      <c r="AK69">
        <v>2031</v>
      </c>
      <c r="AL69" t="s">
        <v>294</v>
      </c>
      <c r="AM69">
        <v>0.22349999999999998</v>
      </c>
      <c r="AN69" t="s">
        <v>279</v>
      </c>
    </row>
    <row r="70" spans="9:40" x14ac:dyDescent="0.25">
      <c r="I70" t="s">
        <v>166</v>
      </c>
      <c r="J70" t="s">
        <v>287</v>
      </c>
      <c r="K70">
        <v>0.54417565175694083</v>
      </c>
      <c r="L70" t="s">
        <v>154</v>
      </c>
      <c r="N70" t="s">
        <v>196</v>
      </c>
      <c r="O70" t="s">
        <v>287</v>
      </c>
      <c r="P70">
        <v>0.1857238416586644</v>
      </c>
      <c r="Q70" t="s">
        <v>154</v>
      </c>
      <c r="S70" t="s">
        <v>227</v>
      </c>
      <c r="T70" t="s">
        <v>287</v>
      </c>
      <c r="U70">
        <v>0.15826968473629821</v>
      </c>
      <c r="V70" t="s">
        <v>154</v>
      </c>
      <c r="AC70" t="s">
        <v>19</v>
      </c>
      <c r="AD70" t="s">
        <v>287</v>
      </c>
      <c r="AE70">
        <v>0.19603128693711633</v>
      </c>
      <c r="AK70">
        <v>2031</v>
      </c>
      <c r="AL70" t="s">
        <v>295</v>
      </c>
      <c r="AM70">
        <v>0.20650000000000002</v>
      </c>
      <c r="AN70" t="s">
        <v>279</v>
      </c>
    </row>
    <row r="71" spans="9:40" x14ac:dyDescent="0.25">
      <c r="I71" t="s">
        <v>166</v>
      </c>
      <c r="J71" t="s">
        <v>288</v>
      </c>
      <c r="K71">
        <v>4.0580504077785989E-2</v>
      </c>
      <c r="L71" t="s">
        <v>154</v>
      </c>
      <c r="N71" t="s">
        <v>196</v>
      </c>
      <c r="O71" t="s">
        <v>288</v>
      </c>
      <c r="P71">
        <v>2.7446307868619499E-2</v>
      </c>
      <c r="Q71" t="s">
        <v>154</v>
      </c>
      <c r="S71" t="s">
        <v>227</v>
      </c>
      <c r="T71" t="s">
        <v>288</v>
      </c>
      <c r="U71">
        <v>2.3183352796936701E-2</v>
      </c>
      <c r="V71" t="s">
        <v>154</v>
      </c>
      <c r="AC71" t="s">
        <v>19</v>
      </c>
      <c r="AD71" t="s">
        <v>288</v>
      </c>
      <c r="AE71">
        <v>2.8001547138354586E-2</v>
      </c>
      <c r="AK71">
        <v>2032</v>
      </c>
      <c r="AL71" t="s">
        <v>142</v>
      </c>
      <c r="AM71">
        <v>0.22210000000000002</v>
      </c>
      <c r="AN71" t="s">
        <v>279</v>
      </c>
    </row>
    <row r="72" spans="9:40" x14ac:dyDescent="0.25">
      <c r="I72" t="s">
        <v>166</v>
      </c>
      <c r="J72" t="s">
        <v>315</v>
      </c>
      <c r="K72">
        <v>1.6947985584766255E-2</v>
      </c>
      <c r="L72" t="s">
        <v>154</v>
      </c>
      <c r="N72" t="s">
        <v>196</v>
      </c>
      <c r="O72" t="s">
        <v>315</v>
      </c>
      <c r="P72">
        <v>2.5435664480691414E-2</v>
      </c>
      <c r="Q72" t="s">
        <v>154</v>
      </c>
      <c r="S72" t="s">
        <v>227</v>
      </c>
      <c r="T72" t="s">
        <v>315</v>
      </c>
      <c r="U72">
        <v>2.0472414804490875E-2</v>
      </c>
      <c r="V72" t="s">
        <v>154</v>
      </c>
      <c r="AC72" t="s">
        <v>19</v>
      </c>
      <c r="AD72" t="s">
        <v>315</v>
      </c>
      <c r="AE72">
        <v>2.7997961550640205E-2</v>
      </c>
      <c r="AK72">
        <v>2032</v>
      </c>
      <c r="AL72" t="s">
        <v>146</v>
      </c>
      <c r="AM72">
        <v>0.22320000000000001</v>
      </c>
      <c r="AN72" t="s">
        <v>279</v>
      </c>
    </row>
    <row r="73" spans="9:40" x14ac:dyDescent="0.25">
      <c r="I73" t="s">
        <v>166</v>
      </c>
      <c r="J73" t="s">
        <v>316</v>
      </c>
      <c r="K73">
        <v>0</v>
      </c>
      <c r="L73" t="s">
        <v>154</v>
      </c>
      <c r="N73" t="s">
        <v>196</v>
      </c>
      <c r="O73" t="s">
        <v>316</v>
      </c>
      <c r="P73">
        <v>0.13183030755898897</v>
      </c>
      <c r="Q73" t="s">
        <v>154</v>
      </c>
      <c r="S73" t="s">
        <v>227</v>
      </c>
      <c r="T73" t="s">
        <v>316</v>
      </c>
      <c r="U73">
        <v>0.11645038918239002</v>
      </c>
      <c r="V73" t="s">
        <v>154</v>
      </c>
      <c r="AC73" t="s">
        <v>19</v>
      </c>
      <c r="AD73" t="s">
        <v>316</v>
      </c>
      <c r="AE73">
        <v>0.13911226689214237</v>
      </c>
      <c r="AK73">
        <v>2032</v>
      </c>
      <c r="AL73" t="s">
        <v>148</v>
      </c>
      <c r="AM73">
        <v>0.31636666666666668</v>
      </c>
      <c r="AN73" t="s">
        <v>279</v>
      </c>
    </row>
    <row r="74" spans="9:40" x14ac:dyDescent="0.25">
      <c r="I74" t="s">
        <v>166</v>
      </c>
      <c r="J74" t="s">
        <v>163</v>
      </c>
      <c r="K74">
        <v>0</v>
      </c>
      <c r="L74" t="s">
        <v>154</v>
      </c>
      <c r="N74" t="s">
        <v>196</v>
      </c>
      <c r="O74" t="s">
        <v>163</v>
      </c>
      <c r="P74">
        <v>1.3770030687501118E-2</v>
      </c>
      <c r="Q74" t="s">
        <v>154</v>
      </c>
      <c r="S74" t="s">
        <v>227</v>
      </c>
      <c r="T74" t="s">
        <v>163</v>
      </c>
      <c r="U74">
        <v>1.6593759890796738E-2</v>
      </c>
      <c r="V74" t="s">
        <v>154</v>
      </c>
      <c r="AC74" t="s">
        <v>19</v>
      </c>
      <c r="AD74" t="s">
        <v>163</v>
      </c>
      <c r="AE74">
        <v>8.6558110363451884E-3</v>
      </c>
      <c r="AK74">
        <v>2032</v>
      </c>
      <c r="AL74" t="s">
        <v>150</v>
      </c>
      <c r="AM74">
        <v>0.22939999999999999</v>
      </c>
      <c r="AN74" t="s">
        <v>279</v>
      </c>
    </row>
    <row r="75" spans="9:40" x14ac:dyDescent="0.25">
      <c r="I75" t="s">
        <v>166</v>
      </c>
      <c r="J75" t="s">
        <v>164</v>
      </c>
      <c r="K75">
        <v>2.8184448633150057E-3</v>
      </c>
      <c r="L75" t="s">
        <v>154</v>
      </c>
      <c r="N75" t="s">
        <v>196</v>
      </c>
      <c r="O75" t="s">
        <v>164</v>
      </c>
      <c r="P75">
        <v>3.7604608073907079E-3</v>
      </c>
      <c r="Q75" t="s">
        <v>154</v>
      </c>
      <c r="S75" t="s">
        <v>227</v>
      </c>
      <c r="T75" t="s">
        <v>164</v>
      </c>
      <c r="U75">
        <v>4.7173268706854248E-3</v>
      </c>
      <c r="V75" t="s">
        <v>154</v>
      </c>
      <c r="AC75" t="s">
        <v>19</v>
      </c>
      <c r="AD75" t="s">
        <v>164</v>
      </c>
      <c r="AE75">
        <v>2.5025607860248876E-3</v>
      </c>
      <c r="AK75">
        <v>2032</v>
      </c>
      <c r="AL75" t="s">
        <v>294</v>
      </c>
      <c r="AM75">
        <v>0.20444999999999999</v>
      </c>
      <c r="AN75" t="s">
        <v>279</v>
      </c>
    </row>
    <row r="76" spans="9:40" x14ac:dyDescent="0.25">
      <c r="I76" t="s">
        <v>166</v>
      </c>
      <c r="J76" t="s">
        <v>165</v>
      </c>
      <c r="K76">
        <v>2.5463106968147933E-3</v>
      </c>
      <c r="L76" t="s">
        <v>154</v>
      </c>
      <c r="N76" t="s">
        <v>196</v>
      </c>
      <c r="O76" t="s">
        <v>165</v>
      </c>
      <c r="P76">
        <v>1.9432468638302589E-3</v>
      </c>
      <c r="Q76" t="s">
        <v>154</v>
      </c>
      <c r="S76" t="s">
        <v>227</v>
      </c>
      <c r="T76" t="s">
        <v>165</v>
      </c>
      <c r="U76">
        <v>2.3732341204978692E-3</v>
      </c>
      <c r="V76" t="s">
        <v>154</v>
      </c>
      <c r="AC76" t="s">
        <v>19</v>
      </c>
      <c r="AD76" t="s">
        <v>165</v>
      </c>
      <c r="AE76">
        <v>1.2574192842523524E-3</v>
      </c>
      <c r="AK76">
        <v>2032</v>
      </c>
      <c r="AL76" t="s">
        <v>295</v>
      </c>
      <c r="AM76">
        <v>0.20784999999999998</v>
      </c>
      <c r="AN76" t="s">
        <v>279</v>
      </c>
    </row>
    <row r="77" spans="9:40" x14ac:dyDescent="0.25">
      <c r="I77" t="s">
        <v>166</v>
      </c>
      <c r="J77" t="s">
        <v>289</v>
      </c>
      <c r="K77">
        <v>1.8533711635025971E-2</v>
      </c>
      <c r="L77" t="s">
        <v>154</v>
      </c>
      <c r="N77" t="s">
        <v>196</v>
      </c>
      <c r="O77" t="s">
        <v>289</v>
      </c>
      <c r="P77">
        <v>1.3814361497495816E-2</v>
      </c>
      <c r="Q77" t="s">
        <v>154</v>
      </c>
      <c r="S77" t="s">
        <v>227</v>
      </c>
      <c r="T77" t="s">
        <v>289</v>
      </c>
      <c r="U77">
        <v>1.6675837582150209E-2</v>
      </c>
      <c r="V77" t="s">
        <v>154</v>
      </c>
      <c r="AC77" t="s">
        <v>19</v>
      </c>
      <c r="AD77" t="s">
        <v>289</v>
      </c>
      <c r="AE77">
        <v>8.8215933173284022E-3</v>
      </c>
      <c r="AK77">
        <v>2033</v>
      </c>
      <c r="AL77" t="s">
        <v>142</v>
      </c>
      <c r="AM77">
        <v>0.2135</v>
      </c>
      <c r="AN77" t="s">
        <v>279</v>
      </c>
    </row>
    <row r="78" spans="9:40" x14ac:dyDescent="0.25">
      <c r="I78" t="s">
        <v>166</v>
      </c>
      <c r="J78" t="s">
        <v>290</v>
      </c>
      <c r="K78">
        <v>8.5945770469747973E-4</v>
      </c>
      <c r="L78" t="s">
        <v>154</v>
      </c>
      <c r="N78" t="s">
        <v>196</v>
      </c>
      <c r="O78" t="s">
        <v>290</v>
      </c>
      <c r="P78">
        <v>2.007684723589542E-3</v>
      </c>
      <c r="Q78" t="s">
        <v>154</v>
      </c>
      <c r="S78" t="s">
        <v>227</v>
      </c>
      <c r="T78" t="s">
        <v>290</v>
      </c>
      <c r="U78">
        <v>2.4451939838860915E-3</v>
      </c>
      <c r="V78" t="s">
        <v>154</v>
      </c>
      <c r="AC78" t="s">
        <v>19</v>
      </c>
      <c r="AD78" t="s">
        <v>290</v>
      </c>
      <c r="AE78">
        <v>1.2607620490677571E-3</v>
      </c>
      <c r="AK78">
        <v>2033</v>
      </c>
      <c r="AL78" t="s">
        <v>146</v>
      </c>
      <c r="AM78">
        <v>0.2046</v>
      </c>
      <c r="AN78" t="s">
        <v>279</v>
      </c>
    </row>
    <row r="79" spans="9:40" x14ac:dyDescent="0.25">
      <c r="I79" t="s">
        <v>166</v>
      </c>
      <c r="J79" t="s">
        <v>317</v>
      </c>
      <c r="K79">
        <v>0</v>
      </c>
      <c r="L79" t="s">
        <v>154</v>
      </c>
      <c r="N79" t="s">
        <v>196</v>
      </c>
      <c r="O79" t="s">
        <v>317</v>
      </c>
      <c r="P79">
        <v>1.8570419272569024E-3</v>
      </c>
      <c r="Q79" t="s">
        <v>154</v>
      </c>
      <c r="S79" t="s">
        <v>227</v>
      </c>
      <c r="T79" t="s">
        <v>317</v>
      </c>
      <c r="U79">
        <v>2.3834705400268817E-3</v>
      </c>
      <c r="V79" t="s">
        <v>154</v>
      </c>
      <c r="AC79" t="s">
        <v>19</v>
      </c>
      <c r="AD79" t="s">
        <v>317</v>
      </c>
      <c r="AE79">
        <v>1.2611695784478295E-3</v>
      </c>
      <c r="AK79">
        <v>2033</v>
      </c>
      <c r="AL79" t="s">
        <v>148</v>
      </c>
      <c r="AM79">
        <v>0.31353333333333333</v>
      </c>
      <c r="AN79" t="s">
        <v>279</v>
      </c>
    </row>
    <row r="80" spans="9:40" x14ac:dyDescent="0.25">
      <c r="I80" t="s">
        <v>166</v>
      </c>
      <c r="J80" t="s">
        <v>318</v>
      </c>
      <c r="K80">
        <v>0</v>
      </c>
      <c r="L80" t="s">
        <v>154</v>
      </c>
      <c r="N80" t="s">
        <v>196</v>
      </c>
      <c r="O80" t="s">
        <v>318</v>
      </c>
      <c r="P80">
        <v>9.4800791726457369E-3</v>
      </c>
      <c r="Q80" t="s">
        <v>154</v>
      </c>
      <c r="S80" t="s">
        <v>227</v>
      </c>
      <c r="T80" t="s">
        <v>318</v>
      </c>
      <c r="U80">
        <v>1.1682391191833468E-2</v>
      </c>
      <c r="V80" t="s">
        <v>154</v>
      </c>
      <c r="AC80" t="s">
        <v>19</v>
      </c>
      <c r="AD80" t="s">
        <v>318</v>
      </c>
      <c r="AE80">
        <v>6.2835824181969877E-3</v>
      </c>
      <c r="AK80">
        <v>2033</v>
      </c>
      <c r="AL80" t="s">
        <v>150</v>
      </c>
      <c r="AM80">
        <v>0.22570000000000001</v>
      </c>
      <c r="AN80" t="s">
        <v>279</v>
      </c>
    </row>
    <row r="81" spans="9:40" x14ac:dyDescent="0.25">
      <c r="I81" t="s">
        <v>166</v>
      </c>
      <c r="J81" t="s">
        <v>297</v>
      </c>
      <c r="K81">
        <v>0</v>
      </c>
      <c r="L81" t="s">
        <v>154</v>
      </c>
      <c r="N81" t="s">
        <v>196</v>
      </c>
      <c r="O81" t="s">
        <v>297</v>
      </c>
      <c r="P81">
        <v>1.8312896645902948E-2</v>
      </c>
      <c r="Q81" t="s">
        <v>154</v>
      </c>
      <c r="S81" t="s">
        <v>227</v>
      </c>
      <c r="T81" t="s">
        <v>297</v>
      </c>
      <c r="U81">
        <v>2.6905083530490578E-2</v>
      </c>
      <c r="V81" t="s">
        <v>154</v>
      </c>
      <c r="AC81" t="s">
        <v>19</v>
      </c>
      <c r="AD81" t="s">
        <v>297</v>
      </c>
      <c r="AE81">
        <v>2.2034558899215354E-2</v>
      </c>
      <c r="AK81">
        <v>2033</v>
      </c>
      <c r="AL81" t="s">
        <v>294</v>
      </c>
      <c r="AM81">
        <v>0.20295000000000002</v>
      </c>
      <c r="AN81" t="s">
        <v>279</v>
      </c>
    </row>
    <row r="82" spans="9:40" x14ac:dyDescent="0.25">
      <c r="I82" t="s">
        <v>166</v>
      </c>
      <c r="J82" t="s">
        <v>298</v>
      </c>
      <c r="K82">
        <v>7.2822309928321756E-3</v>
      </c>
      <c r="L82" t="s">
        <v>154</v>
      </c>
      <c r="N82" t="s">
        <v>196</v>
      </c>
      <c r="O82" t="s">
        <v>298</v>
      </c>
      <c r="P82">
        <v>5.4068976737375639E-3</v>
      </c>
      <c r="Q82" t="s">
        <v>154</v>
      </c>
      <c r="S82" t="s">
        <v>227</v>
      </c>
      <c r="T82" t="s">
        <v>298</v>
      </c>
      <c r="U82">
        <v>8.137013303023034E-3</v>
      </c>
      <c r="V82" t="s">
        <v>154</v>
      </c>
      <c r="AC82" t="s">
        <v>19</v>
      </c>
      <c r="AD82" t="s">
        <v>298</v>
      </c>
      <c r="AE82">
        <v>6.4105218693543469E-3</v>
      </c>
      <c r="AK82">
        <v>2033</v>
      </c>
      <c r="AL82" t="s">
        <v>295</v>
      </c>
      <c r="AM82">
        <v>0.19800000000000001</v>
      </c>
      <c r="AN82" t="s">
        <v>279</v>
      </c>
    </row>
    <row r="83" spans="9:40" x14ac:dyDescent="0.25">
      <c r="I83" t="s">
        <v>166</v>
      </c>
      <c r="J83" t="s">
        <v>299</v>
      </c>
      <c r="K83">
        <v>6.4650202532514365E-3</v>
      </c>
      <c r="L83" t="s">
        <v>154</v>
      </c>
      <c r="N83" t="s">
        <v>196</v>
      </c>
      <c r="O83" t="s">
        <v>299</v>
      </c>
      <c r="P83">
        <v>2.6578590805884329E-3</v>
      </c>
      <c r="Q83" t="s">
        <v>154</v>
      </c>
      <c r="S83" t="s">
        <v>227</v>
      </c>
      <c r="T83" t="s">
        <v>299</v>
      </c>
      <c r="U83">
        <v>4.1836151341627867E-3</v>
      </c>
      <c r="V83" t="s">
        <v>154</v>
      </c>
      <c r="AC83" t="s">
        <v>19</v>
      </c>
      <c r="AD83" t="s">
        <v>299</v>
      </c>
      <c r="AE83">
        <v>3.2148497911726206E-3</v>
      </c>
      <c r="AK83">
        <v>2034</v>
      </c>
      <c r="AL83" t="s">
        <v>142</v>
      </c>
      <c r="AM83">
        <v>0.22685</v>
      </c>
      <c r="AN83" t="s">
        <v>279</v>
      </c>
    </row>
    <row r="84" spans="9:40" x14ac:dyDescent="0.25">
      <c r="I84" t="s">
        <v>166</v>
      </c>
      <c r="J84" t="s">
        <v>300</v>
      </c>
      <c r="K84">
        <v>4.7225714736538929E-2</v>
      </c>
      <c r="L84" t="s">
        <v>154</v>
      </c>
      <c r="N84" t="s">
        <v>196</v>
      </c>
      <c r="O84" t="s">
        <v>300</v>
      </c>
      <c r="P84">
        <v>1.8932109814448064E-2</v>
      </c>
      <c r="Q84" t="s">
        <v>154</v>
      </c>
      <c r="S84" t="s">
        <v>227</v>
      </c>
      <c r="T84" t="s">
        <v>300</v>
      </c>
      <c r="U84">
        <v>2.7267685427389492E-2</v>
      </c>
      <c r="V84" t="s">
        <v>154</v>
      </c>
      <c r="AC84" t="s">
        <v>19</v>
      </c>
      <c r="AD84" t="s">
        <v>300</v>
      </c>
      <c r="AE84">
        <v>2.2487601817161796E-2</v>
      </c>
      <c r="AK84">
        <v>2034</v>
      </c>
      <c r="AL84" t="s">
        <v>146</v>
      </c>
      <c r="AM84">
        <v>0.24160000000000001</v>
      </c>
      <c r="AN84" t="s">
        <v>279</v>
      </c>
    </row>
    <row r="85" spans="9:40" x14ac:dyDescent="0.25">
      <c r="I85" t="s">
        <v>166</v>
      </c>
      <c r="J85" t="s">
        <v>301</v>
      </c>
      <c r="K85">
        <v>1.388209889109865E-3</v>
      </c>
      <c r="L85" t="s">
        <v>154</v>
      </c>
      <c r="N85" t="s">
        <v>196</v>
      </c>
      <c r="O85" t="s">
        <v>301</v>
      </c>
      <c r="P85">
        <v>2.8329242450341038E-3</v>
      </c>
      <c r="Q85" t="s">
        <v>154</v>
      </c>
      <c r="S85" t="s">
        <v>227</v>
      </c>
      <c r="T85" t="s">
        <v>301</v>
      </c>
      <c r="U85">
        <v>3.9501406216732819E-3</v>
      </c>
      <c r="V85" t="s">
        <v>154</v>
      </c>
      <c r="AC85" t="s">
        <v>19</v>
      </c>
      <c r="AD85" t="s">
        <v>301</v>
      </c>
      <c r="AE85">
        <v>3.2194074648871623E-3</v>
      </c>
      <c r="AK85">
        <v>2034</v>
      </c>
      <c r="AL85" t="s">
        <v>148</v>
      </c>
      <c r="AM85">
        <v>0.32966666666666661</v>
      </c>
      <c r="AN85" t="s">
        <v>279</v>
      </c>
    </row>
    <row r="86" spans="9:40" x14ac:dyDescent="0.25">
      <c r="I86" t="s">
        <v>166</v>
      </c>
      <c r="J86" t="s">
        <v>319</v>
      </c>
      <c r="K86">
        <v>0</v>
      </c>
      <c r="L86" t="s">
        <v>154</v>
      </c>
      <c r="N86" t="s">
        <v>196</v>
      </c>
      <c r="O86" t="s">
        <v>319</v>
      </c>
      <c r="P86">
        <v>2.725950579975784E-3</v>
      </c>
      <c r="Q86" t="s">
        <v>154</v>
      </c>
      <c r="S86" t="s">
        <v>227</v>
      </c>
      <c r="T86" t="s">
        <v>319</v>
      </c>
      <c r="U86">
        <v>3.5789614018915585E-3</v>
      </c>
      <c r="V86" t="s">
        <v>154</v>
      </c>
      <c r="AC86" t="s">
        <v>19</v>
      </c>
      <c r="AD86" t="s">
        <v>319</v>
      </c>
      <c r="AE86">
        <v>3.2243925280880186E-3</v>
      </c>
      <c r="AK86">
        <v>2034</v>
      </c>
      <c r="AL86" t="s">
        <v>150</v>
      </c>
      <c r="AM86">
        <v>0.22850000000000001</v>
      </c>
      <c r="AN86" t="s">
        <v>279</v>
      </c>
    </row>
    <row r="87" spans="9:40" x14ac:dyDescent="0.25">
      <c r="I87" t="s">
        <v>166</v>
      </c>
      <c r="J87" t="s">
        <v>320</v>
      </c>
      <c r="K87">
        <v>0</v>
      </c>
      <c r="L87" t="s">
        <v>154</v>
      </c>
      <c r="N87" t="s">
        <v>196</v>
      </c>
      <c r="O87" t="s">
        <v>320</v>
      </c>
      <c r="P87">
        <v>1.377978864760721E-2</v>
      </c>
      <c r="Q87" t="s">
        <v>154</v>
      </c>
      <c r="S87" t="s">
        <v>227</v>
      </c>
      <c r="T87" t="s">
        <v>320</v>
      </c>
      <c r="U87">
        <v>1.9401571525735749E-2</v>
      </c>
      <c r="V87" t="s">
        <v>154</v>
      </c>
      <c r="AC87" t="s">
        <v>19</v>
      </c>
      <c r="AD87" t="s">
        <v>320</v>
      </c>
      <c r="AE87">
        <v>1.6045300423670021E-2</v>
      </c>
      <c r="AK87">
        <v>2034</v>
      </c>
      <c r="AL87" t="s">
        <v>294</v>
      </c>
      <c r="AM87">
        <v>0.20700000000000002</v>
      </c>
      <c r="AN87" t="s">
        <v>279</v>
      </c>
    </row>
    <row r="88" spans="9:40" x14ac:dyDescent="0.25">
      <c r="I88" t="s">
        <v>166</v>
      </c>
      <c r="J88" t="s">
        <v>302</v>
      </c>
      <c r="K88">
        <v>0</v>
      </c>
      <c r="L88" t="s">
        <v>154</v>
      </c>
      <c r="N88" t="s">
        <v>196</v>
      </c>
      <c r="O88" t="s">
        <v>302</v>
      </c>
      <c r="P88">
        <v>3.2645329192679484E-2</v>
      </c>
      <c r="Q88" t="s">
        <v>154</v>
      </c>
      <c r="S88" t="s">
        <v>227</v>
      </c>
      <c r="T88" t="s">
        <v>302</v>
      </c>
      <c r="U88">
        <v>4.2868034019107402E-2</v>
      </c>
      <c r="V88" t="s">
        <v>154</v>
      </c>
      <c r="AC88" t="s">
        <v>19</v>
      </c>
      <c r="AD88" t="s">
        <v>302</v>
      </c>
      <c r="AE88">
        <v>2.9051370353008164E-2</v>
      </c>
      <c r="AK88">
        <v>2034</v>
      </c>
      <c r="AL88" t="s">
        <v>295</v>
      </c>
      <c r="AM88">
        <v>0.20605000000000001</v>
      </c>
      <c r="AN88" t="s">
        <v>279</v>
      </c>
    </row>
    <row r="89" spans="9:40" x14ac:dyDescent="0.25">
      <c r="I89" t="s">
        <v>166</v>
      </c>
      <c r="J89" t="s">
        <v>303</v>
      </c>
      <c r="K89">
        <v>4.8806362892947642E-3</v>
      </c>
      <c r="L89" t="s">
        <v>154</v>
      </c>
      <c r="N89" t="s">
        <v>196</v>
      </c>
      <c r="O89" t="s">
        <v>303</v>
      </c>
      <c r="P89">
        <v>9.2851418239352536E-3</v>
      </c>
      <c r="Q89" t="s">
        <v>154</v>
      </c>
      <c r="S89" t="s">
        <v>227</v>
      </c>
      <c r="T89" t="s">
        <v>303</v>
      </c>
      <c r="U89">
        <v>1.1544072839760481E-2</v>
      </c>
      <c r="V89" t="s">
        <v>154</v>
      </c>
      <c r="AC89" t="s">
        <v>19</v>
      </c>
      <c r="AD89" t="s">
        <v>303</v>
      </c>
      <c r="AE89">
        <v>8.4625394235815429E-3</v>
      </c>
      <c r="AK89">
        <v>2035</v>
      </c>
      <c r="AL89" t="s">
        <v>142</v>
      </c>
      <c r="AM89">
        <v>0.21684999999999999</v>
      </c>
      <c r="AN89" t="s">
        <v>279</v>
      </c>
    </row>
    <row r="90" spans="9:40" x14ac:dyDescent="0.25">
      <c r="I90" t="s">
        <v>166</v>
      </c>
      <c r="J90" t="s">
        <v>304</v>
      </c>
      <c r="K90">
        <v>5.2773243912383897E-3</v>
      </c>
      <c r="L90" t="s">
        <v>154</v>
      </c>
      <c r="N90" t="s">
        <v>196</v>
      </c>
      <c r="O90" t="s">
        <v>304</v>
      </c>
      <c r="P90">
        <v>4.5907462169566069E-3</v>
      </c>
      <c r="Q90" t="s">
        <v>154</v>
      </c>
      <c r="S90" t="s">
        <v>227</v>
      </c>
      <c r="T90" t="s">
        <v>304</v>
      </c>
      <c r="U90">
        <v>5.6905664225742891E-3</v>
      </c>
      <c r="V90" t="s">
        <v>154</v>
      </c>
      <c r="AC90" t="s">
        <v>19</v>
      </c>
      <c r="AD90" t="s">
        <v>304</v>
      </c>
      <c r="AE90">
        <v>4.260429025911428E-3</v>
      </c>
      <c r="AK90">
        <v>2035</v>
      </c>
      <c r="AL90" t="s">
        <v>146</v>
      </c>
      <c r="AM90">
        <v>0.22639999999999999</v>
      </c>
      <c r="AN90" t="s">
        <v>279</v>
      </c>
    </row>
    <row r="91" spans="9:40" x14ac:dyDescent="0.25">
      <c r="I91" t="s">
        <v>166</v>
      </c>
      <c r="J91" t="s">
        <v>305</v>
      </c>
      <c r="K91">
        <v>4.5221053869242585E-2</v>
      </c>
      <c r="L91" t="s">
        <v>154</v>
      </c>
      <c r="N91" t="s">
        <v>196</v>
      </c>
      <c r="O91" t="s">
        <v>305</v>
      </c>
      <c r="P91">
        <v>3.4609280976218959E-2</v>
      </c>
      <c r="Q91" t="s">
        <v>154</v>
      </c>
      <c r="S91" t="s">
        <v>227</v>
      </c>
      <c r="T91" t="s">
        <v>305</v>
      </c>
      <c r="U91">
        <v>3.7279298940373351E-2</v>
      </c>
      <c r="V91" t="s">
        <v>154</v>
      </c>
      <c r="AC91" t="s">
        <v>19</v>
      </c>
      <c r="AD91" t="s">
        <v>305</v>
      </c>
      <c r="AE91">
        <v>2.9880136205412269E-2</v>
      </c>
      <c r="AK91">
        <v>2035</v>
      </c>
      <c r="AL91" t="s">
        <v>148</v>
      </c>
      <c r="AM91">
        <v>0.31518888888888891</v>
      </c>
      <c r="AN91" t="s">
        <v>279</v>
      </c>
    </row>
    <row r="92" spans="9:40" x14ac:dyDescent="0.25">
      <c r="I92" t="s">
        <v>166</v>
      </c>
      <c r="J92" t="s">
        <v>306</v>
      </c>
      <c r="K92">
        <v>5.9201302923637142E-4</v>
      </c>
      <c r="L92" t="s">
        <v>154</v>
      </c>
      <c r="N92" t="s">
        <v>196</v>
      </c>
      <c r="O92" t="s">
        <v>306</v>
      </c>
      <c r="P92">
        <v>5.1995120245693941E-3</v>
      </c>
      <c r="Q92" t="s">
        <v>154</v>
      </c>
      <c r="S92" t="s">
        <v>227</v>
      </c>
      <c r="T92" t="s">
        <v>306</v>
      </c>
      <c r="U92">
        <v>5.6314919861258101E-3</v>
      </c>
      <c r="V92" t="s">
        <v>154</v>
      </c>
      <c r="AC92" t="s">
        <v>19</v>
      </c>
      <c r="AD92" t="s">
        <v>306</v>
      </c>
      <c r="AE92">
        <v>4.2879787887551467E-3</v>
      </c>
      <c r="AK92">
        <v>2035</v>
      </c>
      <c r="AL92" t="s">
        <v>150</v>
      </c>
      <c r="AM92">
        <v>0.25069999999999998</v>
      </c>
      <c r="AN92" t="s">
        <v>279</v>
      </c>
    </row>
    <row r="93" spans="9:40" x14ac:dyDescent="0.25">
      <c r="I93" t="s">
        <v>166</v>
      </c>
      <c r="J93" t="s">
        <v>321</v>
      </c>
      <c r="K93">
        <v>0</v>
      </c>
      <c r="L93" t="s">
        <v>154</v>
      </c>
      <c r="N93" t="s">
        <v>196</v>
      </c>
      <c r="O93" t="s">
        <v>321</v>
      </c>
      <c r="P93">
        <v>5.1605480199932675E-3</v>
      </c>
      <c r="Q93" t="s">
        <v>154</v>
      </c>
      <c r="S93" t="s">
        <v>227</v>
      </c>
      <c r="T93" t="s">
        <v>321</v>
      </c>
      <c r="U93">
        <v>5.626416319124505E-3</v>
      </c>
      <c r="V93" t="s">
        <v>154</v>
      </c>
      <c r="AC93" t="s">
        <v>19</v>
      </c>
      <c r="AD93" t="s">
        <v>321</v>
      </c>
      <c r="AE93">
        <v>4.2942659687883241E-3</v>
      </c>
      <c r="AK93">
        <v>2035</v>
      </c>
      <c r="AL93" t="s">
        <v>294</v>
      </c>
      <c r="AM93">
        <v>0.22299999999999998</v>
      </c>
      <c r="AN93" t="s">
        <v>279</v>
      </c>
    </row>
    <row r="94" spans="9:40" x14ac:dyDescent="0.25">
      <c r="I94" t="s">
        <v>166</v>
      </c>
      <c r="J94" t="s">
        <v>322</v>
      </c>
      <c r="K94">
        <v>0</v>
      </c>
      <c r="L94" t="s">
        <v>154</v>
      </c>
      <c r="N94" t="s">
        <v>196</v>
      </c>
      <c r="O94" t="s">
        <v>322</v>
      </c>
      <c r="P94">
        <v>2.3384134642667167E-2</v>
      </c>
      <c r="Q94" t="s">
        <v>154</v>
      </c>
      <c r="S94" t="s">
        <v>227</v>
      </c>
      <c r="T94" t="s">
        <v>322</v>
      </c>
      <c r="U94">
        <v>3.0490280593262746E-2</v>
      </c>
      <c r="V94" t="s">
        <v>154</v>
      </c>
      <c r="AC94" t="s">
        <v>19</v>
      </c>
      <c r="AD94" t="s">
        <v>322</v>
      </c>
      <c r="AE94">
        <v>2.121821755632115E-2</v>
      </c>
      <c r="AK94">
        <v>2035</v>
      </c>
      <c r="AL94" t="s">
        <v>295</v>
      </c>
      <c r="AM94">
        <v>0.21610000000000001</v>
      </c>
      <c r="AN94" t="s">
        <v>279</v>
      </c>
    </row>
    <row r="95" spans="9:40" x14ac:dyDescent="0.25">
      <c r="I95" t="s">
        <v>167</v>
      </c>
      <c r="J95" t="s">
        <v>153</v>
      </c>
      <c r="K95">
        <v>0</v>
      </c>
      <c r="L95" t="s">
        <v>154</v>
      </c>
      <c r="N95" t="s">
        <v>197</v>
      </c>
      <c r="O95" t="s">
        <v>153</v>
      </c>
      <c r="P95">
        <v>3.6670604387229772E-2</v>
      </c>
      <c r="Q95" t="s">
        <v>154</v>
      </c>
      <c r="S95" t="s">
        <v>228</v>
      </c>
      <c r="T95" t="s">
        <v>153</v>
      </c>
      <c r="U95">
        <v>2.9265867447638021E-2</v>
      </c>
      <c r="V95" t="s">
        <v>154</v>
      </c>
      <c r="AK95">
        <v>2036</v>
      </c>
      <c r="AL95" t="s">
        <v>142</v>
      </c>
      <c r="AM95">
        <v>0.22889999999999999</v>
      </c>
      <c r="AN95" t="s">
        <v>279</v>
      </c>
    </row>
    <row r="96" spans="9:40" x14ac:dyDescent="0.25">
      <c r="I96" t="s">
        <v>167</v>
      </c>
      <c r="J96" t="s">
        <v>155</v>
      </c>
      <c r="K96">
        <v>5.0453986654104112E-3</v>
      </c>
      <c r="L96" t="s">
        <v>154</v>
      </c>
      <c r="N96" t="s">
        <v>197</v>
      </c>
      <c r="O96" t="s">
        <v>155</v>
      </c>
      <c r="P96">
        <v>7.1141325383927414E-3</v>
      </c>
      <c r="Q96" t="s">
        <v>154</v>
      </c>
      <c r="S96" t="s">
        <v>228</v>
      </c>
      <c r="T96" t="s">
        <v>155</v>
      </c>
      <c r="U96">
        <v>8.5830582110779357E-3</v>
      </c>
      <c r="V96" t="s">
        <v>154</v>
      </c>
      <c r="AK96">
        <v>2036</v>
      </c>
      <c r="AL96" t="s">
        <v>146</v>
      </c>
      <c r="AM96">
        <v>0.23089999999999999</v>
      </c>
      <c r="AN96" t="s">
        <v>279</v>
      </c>
    </row>
    <row r="97" spans="9:40" x14ac:dyDescent="0.25">
      <c r="I97" t="s">
        <v>167</v>
      </c>
      <c r="J97" t="s">
        <v>156</v>
      </c>
      <c r="K97">
        <v>6.6737254687126556E-3</v>
      </c>
      <c r="L97" t="s">
        <v>154</v>
      </c>
      <c r="N97" t="s">
        <v>197</v>
      </c>
      <c r="O97" t="s">
        <v>156</v>
      </c>
      <c r="P97">
        <v>3.6833614554522619E-3</v>
      </c>
      <c r="Q97" t="s">
        <v>154</v>
      </c>
      <c r="S97" t="s">
        <v>228</v>
      </c>
      <c r="T97" t="s">
        <v>156</v>
      </c>
      <c r="U97">
        <v>4.3597087104084225E-3</v>
      </c>
      <c r="V97" t="s">
        <v>154</v>
      </c>
      <c r="AK97">
        <v>2036</v>
      </c>
      <c r="AL97" t="s">
        <v>148</v>
      </c>
      <c r="AM97">
        <v>0.32038888888888883</v>
      </c>
      <c r="AN97" t="s">
        <v>279</v>
      </c>
    </row>
    <row r="98" spans="9:40" x14ac:dyDescent="0.25">
      <c r="I98" t="s">
        <v>167</v>
      </c>
      <c r="J98" t="s">
        <v>283</v>
      </c>
      <c r="K98">
        <v>5.212175456267213E-2</v>
      </c>
      <c r="L98" t="s">
        <v>154</v>
      </c>
      <c r="N98" t="s">
        <v>197</v>
      </c>
      <c r="O98" t="s">
        <v>283</v>
      </c>
      <c r="P98">
        <v>4.0060645688797823E-2</v>
      </c>
      <c r="Q98" t="s">
        <v>154</v>
      </c>
      <c r="S98" t="s">
        <v>228</v>
      </c>
      <c r="T98" t="s">
        <v>283</v>
      </c>
      <c r="U98">
        <v>3.1173076072241002E-2</v>
      </c>
      <c r="V98" t="s">
        <v>154</v>
      </c>
      <c r="AK98">
        <v>2036</v>
      </c>
      <c r="AL98" t="s">
        <v>150</v>
      </c>
      <c r="AM98">
        <v>0.25900000000000001</v>
      </c>
      <c r="AN98" t="s">
        <v>279</v>
      </c>
    </row>
    <row r="99" spans="9:40" x14ac:dyDescent="0.25">
      <c r="I99" t="s">
        <v>167</v>
      </c>
      <c r="J99" t="s">
        <v>284</v>
      </c>
      <c r="K99">
        <v>1.292437581945685E-3</v>
      </c>
      <c r="L99" t="s">
        <v>154</v>
      </c>
      <c r="N99" t="s">
        <v>197</v>
      </c>
      <c r="O99" t="s">
        <v>284</v>
      </c>
      <c r="P99">
        <v>6.7747200236352237E-3</v>
      </c>
      <c r="Q99" t="s">
        <v>154</v>
      </c>
      <c r="S99" t="s">
        <v>228</v>
      </c>
      <c r="T99" t="s">
        <v>284</v>
      </c>
      <c r="U99">
        <v>4.6237452372560007E-3</v>
      </c>
      <c r="V99" t="s">
        <v>154</v>
      </c>
      <c r="AK99">
        <v>2036</v>
      </c>
      <c r="AL99" t="s">
        <v>294</v>
      </c>
      <c r="AM99">
        <v>0.2319</v>
      </c>
      <c r="AN99" t="s">
        <v>279</v>
      </c>
    </row>
    <row r="100" spans="9:40" x14ac:dyDescent="0.25">
      <c r="I100" t="s">
        <v>167</v>
      </c>
      <c r="J100" t="s">
        <v>311</v>
      </c>
      <c r="K100">
        <v>0</v>
      </c>
      <c r="L100" t="s">
        <v>154</v>
      </c>
      <c r="N100" t="s">
        <v>197</v>
      </c>
      <c r="O100" t="s">
        <v>311</v>
      </c>
      <c r="P100">
        <v>6.5842772516760293E-3</v>
      </c>
      <c r="Q100" t="s">
        <v>154</v>
      </c>
      <c r="S100" t="s">
        <v>228</v>
      </c>
      <c r="T100" t="s">
        <v>311</v>
      </c>
      <c r="U100">
        <v>4.7602455611624106E-3</v>
      </c>
      <c r="V100" t="s">
        <v>154</v>
      </c>
      <c r="AK100">
        <v>2036</v>
      </c>
      <c r="AL100" t="s">
        <v>295</v>
      </c>
      <c r="AM100">
        <v>0.20700000000000002</v>
      </c>
      <c r="AN100" t="s">
        <v>279</v>
      </c>
    </row>
    <row r="101" spans="9:40" x14ac:dyDescent="0.25">
      <c r="I101" t="s">
        <v>167</v>
      </c>
      <c r="J101" t="s">
        <v>312</v>
      </c>
      <c r="K101">
        <v>0</v>
      </c>
      <c r="L101" t="s">
        <v>154</v>
      </c>
      <c r="N101" t="s">
        <v>197</v>
      </c>
      <c r="O101" t="s">
        <v>312</v>
      </c>
      <c r="P101">
        <v>2.580131547216729E-2</v>
      </c>
      <c r="Q101" t="s">
        <v>154</v>
      </c>
      <c r="S101" t="s">
        <v>228</v>
      </c>
      <c r="T101" t="s">
        <v>312</v>
      </c>
      <c r="U101">
        <v>2.3693137746180162E-2</v>
      </c>
      <c r="V101" t="s">
        <v>154</v>
      </c>
      <c r="AK101">
        <v>2037</v>
      </c>
      <c r="AL101" t="s">
        <v>142</v>
      </c>
      <c r="AM101">
        <v>0.22744999999999999</v>
      </c>
      <c r="AN101" t="s">
        <v>279</v>
      </c>
    </row>
    <row r="102" spans="9:40" x14ac:dyDescent="0.25">
      <c r="I102" t="s">
        <v>167</v>
      </c>
      <c r="J102" t="s">
        <v>157</v>
      </c>
      <c r="K102">
        <v>0</v>
      </c>
      <c r="L102" t="s">
        <v>154</v>
      </c>
      <c r="N102" t="s">
        <v>197</v>
      </c>
      <c r="O102" t="s">
        <v>157</v>
      </c>
      <c r="P102">
        <v>1.1797354372383054E-2</v>
      </c>
      <c r="Q102" t="s">
        <v>154</v>
      </c>
      <c r="S102" t="s">
        <v>228</v>
      </c>
      <c r="T102" t="s">
        <v>157</v>
      </c>
      <c r="U102">
        <v>9.6359729741956699E-3</v>
      </c>
      <c r="V102" t="s">
        <v>154</v>
      </c>
      <c r="AK102">
        <v>2037</v>
      </c>
      <c r="AL102" t="s">
        <v>146</v>
      </c>
      <c r="AM102">
        <v>0.2379</v>
      </c>
      <c r="AN102" t="s">
        <v>279</v>
      </c>
    </row>
    <row r="103" spans="9:40" x14ac:dyDescent="0.25">
      <c r="I103" t="s">
        <v>167</v>
      </c>
      <c r="J103" t="s">
        <v>158</v>
      </c>
      <c r="K103">
        <v>2.3041373107857105E-3</v>
      </c>
      <c r="L103" t="s">
        <v>154</v>
      </c>
      <c r="N103" t="s">
        <v>197</v>
      </c>
      <c r="O103" t="s">
        <v>158</v>
      </c>
      <c r="P103">
        <v>2.1506041548188253E-3</v>
      </c>
      <c r="Q103" t="s">
        <v>154</v>
      </c>
      <c r="S103" t="s">
        <v>228</v>
      </c>
      <c r="T103" t="s">
        <v>158</v>
      </c>
      <c r="U103">
        <v>2.6577980029529992E-3</v>
      </c>
      <c r="V103" t="s">
        <v>154</v>
      </c>
      <c r="AK103">
        <v>2037</v>
      </c>
      <c r="AL103" t="s">
        <v>148</v>
      </c>
      <c r="AM103">
        <v>0.32725555555555563</v>
      </c>
      <c r="AN103" t="s">
        <v>279</v>
      </c>
    </row>
    <row r="104" spans="9:40" x14ac:dyDescent="0.25">
      <c r="I104" t="s">
        <v>167</v>
      </c>
      <c r="J104" t="s">
        <v>159</v>
      </c>
      <c r="K104">
        <v>2.244883554932707E-3</v>
      </c>
      <c r="L104" t="s">
        <v>154</v>
      </c>
      <c r="N104" t="s">
        <v>197</v>
      </c>
      <c r="O104" t="s">
        <v>159</v>
      </c>
      <c r="P104">
        <v>1.0868680788369773E-3</v>
      </c>
      <c r="Q104" t="s">
        <v>154</v>
      </c>
      <c r="S104" t="s">
        <v>228</v>
      </c>
      <c r="T104" t="s">
        <v>159</v>
      </c>
      <c r="U104">
        <v>1.3362879516478647E-3</v>
      </c>
      <c r="V104" t="s">
        <v>154</v>
      </c>
      <c r="AK104">
        <v>2037</v>
      </c>
      <c r="AL104" t="s">
        <v>150</v>
      </c>
      <c r="AM104">
        <v>0.25950000000000001</v>
      </c>
      <c r="AN104" t="s">
        <v>279</v>
      </c>
    </row>
    <row r="105" spans="9:40" x14ac:dyDescent="0.25">
      <c r="I105" t="s">
        <v>167</v>
      </c>
      <c r="J105" t="s">
        <v>285</v>
      </c>
      <c r="K105">
        <v>1.6512785221100546E-2</v>
      </c>
      <c r="L105" t="s">
        <v>154</v>
      </c>
      <c r="N105" t="s">
        <v>197</v>
      </c>
      <c r="O105" t="s">
        <v>285</v>
      </c>
      <c r="P105">
        <v>1.0798035428341124E-2</v>
      </c>
      <c r="Q105" t="s">
        <v>154</v>
      </c>
      <c r="S105" t="s">
        <v>228</v>
      </c>
      <c r="T105" t="s">
        <v>285</v>
      </c>
      <c r="U105">
        <v>8.8189542071683488E-3</v>
      </c>
      <c r="V105" t="s">
        <v>154</v>
      </c>
      <c r="AK105">
        <v>2037</v>
      </c>
      <c r="AL105" t="s">
        <v>294</v>
      </c>
      <c r="AM105">
        <v>0.22625000000000001</v>
      </c>
      <c r="AN105" t="s">
        <v>279</v>
      </c>
    </row>
    <row r="106" spans="9:40" x14ac:dyDescent="0.25">
      <c r="I106" t="s">
        <v>167</v>
      </c>
      <c r="J106" t="s">
        <v>286</v>
      </c>
      <c r="K106">
        <v>8.5948071716961756E-4</v>
      </c>
      <c r="L106" t="s">
        <v>154</v>
      </c>
      <c r="N106" t="s">
        <v>197</v>
      </c>
      <c r="O106" t="s">
        <v>286</v>
      </c>
      <c r="P106">
        <v>1.4927484360479368E-3</v>
      </c>
      <c r="Q106" t="s">
        <v>154</v>
      </c>
      <c r="S106" t="s">
        <v>228</v>
      </c>
      <c r="T106" t="s">
        <v>286</v>
      </c>
      <c r="U106">
        <v>1.3006266621453178E-3</v>
      </c>
      <c r="V106" t="s">
        <v>154</v>
      </c>
      <c r="AK106">
        <v>2037</v>
      </c>
      <c r="AL106" t="s">
        <v>295</v>
      </c>
      <c r="AM106">
        <v>0.2069</v>
      </c>
      <c r="AN106" t="s">
        <v>279</v>
      </c>
    </row>
    <row r="107" spans="9:40" x14ac:dyDescent="0.25">
      <c r="I107" t="s">
        <v>167</v>
      </c>
      <c r="J107" t="s">
        <v>313</v>
      </c>
      <c r="K107">
        <v>0</v>
      </c>
      <c r="L107" t="s">
        <v>154</v>
      </c>
      <c r="N107" t="s">
        <v>197</v>
      </c>
      <c r="O107" t="s">
        <v>313</v>
      </c>
      <c r="P107">
        <v>1.4617501218916291E-3</v>
      </c>
      <c r="Q107" t="s">
        <v>154</v>
      </c>
      <c r="S107" t="s">
        <v>228</v>
      </c>
      <c r="T107" t="s">
        <v>313</v>
      </c>
      <c r="U107">
        <v>1.3415434735802698E-3</v>
      </c>
      <c r="V107" t="s">
        <v>154</v>
      </c>
      <c r="AK107">
        <v>2038</v>
      </c>
      <c r="AL107" t="s">
        <v>142</v>
      </c>
      <c r="AM107">
        <v>0.19729999999999998</v>
      </c>
      <c r="AN107" t="s">
        <v>279</v>
      </c>
    </row>
    <row r="108" spans="9:40" x14ac:dyDescent="0.25">
      <c r="I108" t="s">
        <v>167</v>
      </c>
      <c r="J108" t="s">
        <v>314</v>
      </c>
      <c r="K108">
        <v>0</v>
      </c>
      <c r="L108" t="s">
        <v>154</v>
      </c>
      <c r="N108" t="s">
        <v>197</v>
      </c>
      <c r="O108" t="s">
        <v>314</v>
      </c>
      <c r="P108">
        <v>5.5169715817271689E-3</v>
      </c>
      <c r="Q108" t="s">
        <v>154</v>
      </c>
      <c r="S108" t="s">
        <v>228</v>
      </c>
      <c r="T108" t="s">
        <v>314</v>
      </c>
      <c r="U108">
        <v>6.8553369487908428E-3</v>
      </c>
      <c r="V108" t="s">
        <v>154</v>
      </c>
      <c r="AK108">
        <v>2038</v>
      </c>
      <c r="AL108" t="s">
        <v>146</v>
      </c>
      <c r="AM108">
        <v>0.20349999999999999</v>
      </c>
      <c r="AN108" t="s">
        <v>279</v>
      </c>
    </row>
    <row r="109" spans="9:40" x14ac:dyDescent="0.25">
      <c r="I109" t="s">
        <v>167</v>
      </c>
      <c r="J109" t="s">
        <v>160</v>
      </c>
      <c r="K109">
        <v>1.8998967005392654E-2</v>
      </c>
      <c r="L109" t="s">
        <v>154</v>
      </c>
      <c r="N109" t="s">
        <v>197</v>
      </c>
      <c r="O109" t="s">
        <v>160</v>
      </c>
      <c r="P109">
        <v>0.17752552814784173</v>
      </c>
      <c r="Q109" t="s">
        <v>154</v>
      </c>
      <c r="S109" t="s">
        <v>228</v>
      </c>
      <c r="T109" t="s">
        <v>160</v>
      </c>
      <c r="U109">
        <v>0.19245008927580379</v>
      </c>
      <c r="V109" t="s">
        <v>154</v>
      </c>
      <c r="AK109">
        <v>2038</v>
      </c>
      <c r="AL109" t="s">
        <v>148</v>
      </c>
      <c r="AM109">
        <v>0.32874444444444451</v>
      </c>
      <c r="AN109" t="s">
        <v>279</v>
      </c>
    </row>
    <row r="110" spans="9:40" x14ac:dyDescent="0.25">
      <c r="I110" t="s">
        <v>167</v>
      </c>
      <c r="J110" t="s">
        <v>161</v>
      </c>
      <c r="K110">
        <v>9.5232424134698651E-2</v>
      </c>
      <c r="L110" t="s">
        <v>154</v>
      </c>
      <c r="N110" t="s">
        <v>197</v>
      </c>
      <c r="O110" t="s">
        <v>161</v>
      </c>
      <c r="P110">
        <v>3.550853395814238E-2</v>
      </c>
      <c r="Q110" t="s">
        <v>154</v>
      </c>
      <c r="S110" t="s">
        <v>228</v>
      </c>
      <c r="T110" t="s">
        <v>161</v>
      </c>
      <c r="U110">
        <v>4.9572608685971443E-2</v>
      </c>
      <c r="V110" t="s">
        <v>154</v>
      </c>
      <c r="AK110">
        <v>2038</v>
      </c>
      <c r="AL110" t="s">
        <v>150</v>
      </c>
      <c r="AM110">
        <v>0.22339999999999999</v>
      </c>
      <c r="AN110" t="s">
        <v>279</v>
      </c>
    </row>
    <row r="111" spans="9:40" x14ac:dyDescent="0.25">
      <c r="I111" t="s">
        <v>167</v>
      </c>
      <c r="J111" t="s">
        <v>162</v>
      </c>
      <c r="K111">
        <v>6.9215182596001776E-2</v>
      </c>
      <c r="L111" t="s">
        <v>154</v>
      </c>
      <c r="N111" t="s">
        <v>197</v>
      </c>
      <c r="O111" t="s">
        <v>162</v>
      </c>
      <c r="P111">
        <v>2.05918286055842E-2</v>
      </c>
      <c r="Q111" t="s">
        <v>154</v>
      </c>
      <c r="S111" t="s">
        <v>228</v>
      </c>
      <c r="T111" t="s">
        <v>162</v>
      </c>
      <c r="U111">
        <v>2.5341197455749118E-2</v>
      </c>
      <c r="V111" t="s">
        <v>154</v>
      </c>
      <c r="AK111">
        <v>2038</v>
      </c>
      <c r="AL111" t="s">
        <v>294</v>
      </c>
      <c r="AM111">
        <v>0.19939999999999999</v>
      </c>
      <c r="AN111" t="s">
        <v>279</v>
      </c>
    </row>
    <row r="112" spans="9:40" x14ac:dyDescent="0.25">
      <c r="I112" t="s">
        <v>167</v>
      </c>
      <c r="J112" t="s">
        <v>287</v>
      </c>
      <c r="K112">
        <v>0.52282398948378017</v>
      </c>
      <c r="L112" t="s">
        <v>154</v>
      </c>
      <c r="N112" t="s">
        <v>197</v>
      </c>
      <c r="O112" t="s">
        <v>287</v>
      </c>
      <c r="P112">
        <v>0.1748543654709275</v>
      </c>
      <c r="Q112" t="s">
        <v>154</v>
      </c>
      <c r="S112" t="s">
        <v>228</v>
      </c>
      <c r="T112" t="s">
        <v>287</v>
      </c>
      <c r="U112">
        <v>0.18051421972700032</v>
      </c>
      <c r="V112" t="s">
        <v>154</v>
      </c>
      <c r="AK112">
        <v>2038</v>
      </c>
      <c r="AL112" t="s">
        <v>295</v>
      </c>
      <c r="AM112">
        <v>0.2051</v>
      </c>
      <c r="AN112" t="s">
        <v>279</v>
      </c>
    </row>
    <row r="113" spans="9:40" x14ac:dyDescent="0.25">
      <c r="I113" t="s">
        <v>167</v>
      </c>
      <c r="J113" t="s">
        <v>288</v>
      </c>
      <c r="K113">
        <v>3.7872995459769562E-2</v>
      </c>
      <c r="L113" t="s">
        <v>154</v>
      </c>
      <c r="N113" t="s">
        <v>197</v>
      </c>
      <c r="O113" t="s">
        <v>288</v>
      </c>
      <c r="P113">
        <v>2.5575880106932385E-2</v>
      </c>
      <c r="Q113" t="s">
        <v>154</v>
      </c>
      <c r="S113" t="s">
        <v>228</v>
      </c>
      <c r="T113" t="s">
        <v>288</v>
      </c>
      <c r="U113">
        <v>2.6385310023799666E-2</v>
      </c>
      <c r="V113" t="s">
        <v>154</v>
      </c>
      <c r="AK113">
        <v>2039</v>
      </c>
      <c r="AL113" t="s">
        <v>142</v>
      </c>
      <c r="AM113">
        <v>0.23630000000000001</v>
      </c>
      <c r="AN113" t="s">
        <v>279</v>
      </c>
    </row>
    <row r="114" spans="9:40" x14ac:dyDescent="0.25">
      <c r="I114" t="s">
        <v>167</v>
      </c>
      <c r="J114" t="s">
        <v>315</v>
      </c>
      <c r="K114">
        <v>1.2978324254672732E-2</v>
      </c>
      <c r="L114" t="s">
        <v>154</v>
      </c>
      <c r="N114" t="s">
        <v>197</v>
      </c>
      <c r="O114" t="s">
        <v>315</v>
      </c>
      <c r="P114">
        <v>2.5261789072329319E-2</v>
      </c>
      <c r="Q114" t="s">
        <v>154</v>
      </c>
      <c r="S114" t="s">
        <v>228</v>
      </c>
      <c r="T114" t="s">
        <v>315</v>
      </c>
      <c r="U114">
        <v>2.4529821947259674E-2</v>
      </c>
      <c r="V114" t="s">
        <v>154</v>
      </c>
      <c r="AK114">
        <v>2039</v>
      </c>
      <c r="AL114" t="s">
        <v>146</v>
      </c>
      <c r="AM114">
        <v>0.2465</v>
      </c>
      <c r="AN114" t="s">
        <v>279</v>
      </c>
    </row>
    <row r="115" spans="9:40" x14ac:dyDescent="0.25">
      <c r="I115" t="s">
        <v>167</v>
      </c>
      <c r="J115" t="s">
        <v>316</v>
      </c>
      <c r="K115">
        <v>7.6376068888646613E-6</v>
      </c>
      <c r="L115" t="s">
        <v>154</v>
      </c>
      <c r="N115" t="s">
        <v>197</v>
      </c>
      <c r="O115" t="s">
        <v>316</v>
      </c>
      <c r="P115">
        <v>0.10586043561616494</v>
      </c>
      <c r="Q115" t="s">
        <v>154</v>
      </c>
      <c r="S115" t="s">
        <v>228</v>
      </c>
      <c r="T115" t="s">
        <v>316</v>
      </c>
      <c r="U115">
        <v>0.13343164328582394</v>
      </c>
      <c r="V115" t="s">
        <v>154</v>
      </c>
      <c r="AK115">
        <v>2039</v>
      </c>
      <c r="AL115" t="s">
        <v>148</v>
      </c>
      <c r="AM115">
        <v>0.37084444444444448</v>
      </c>
      <c r="AN115" t="s">
        <v>279</v>
      </c>
    </row>
    <row r="116" spans="9:40" x14ac:dyDescent="0.25">
      <c r="I116" t="s">
        <v>167</v>
      </c>
      <c r="J116" t="s">
        <v>163</v>
      </c>
      <c r="K116">
        <v>0</v>
      </c>
      <c r="L116" t="s">
        <v>154</v>
      </c>
      <c r="N116" t="s">
        <v>197</v>
      </c>
      <c r="O116" t="s">
        <v>163</v>
      </c>
      <c r="P116">
        <v>1.0787261059167967E-2</v>
      </c>
      <c r="Q116" t="s">
        <v>154</v>
      </c>
      <c r="S116" t="s">
        <v>228</v>
      </c>
      <c r="T116" t="s">
        <v>163</v>
      </c>
      <c r="U116">
        <v>1.599981462019142E-2</v>
      </c>
      <c r="V116" t="s">
        <v>154</v>
      </c>
      <c r="AK116">
        <v>2039</v>
      </c>
      <c r="AL116" t="s">
        <v>150</v>
      </c>
      <c r="AM116">
        <v>0.2772</v>
      </c>
      <c r="AN116" t="s">
        <v>279</v>
      </c>
    </row>
    <row r="117" spans="9:40" x14ac:dyDescent="0.25">
      <c r="I117" t="s">
        <v>167</v>
      </c>
      <c r="J117" t="s">
        <v>164</v>
      </c>
      <c r="K117">
        <v>2.8761496126058412E-3</v>
      </c>
      <c r="L117" t="s">
        <v>154</v>
      </c>
      <c r="N117" t="s">
        <v>197</v>
      </c>
      <c r="O117" t="s">
        <v>164</v>
      </c>
      <c r="P117">
        <v>1.8254771683236008E-3</v>
      </c>
      <c r="Q117" t="s">
        <v>154</v>
      </c>
      <c r="S117" t="s">
        <v>228</v>
      </c>
      <c r="T117" t="s">
        <v>164</v>
      </c>
      <c r="U117">
        <v>4.2453544798120744E-3</v>
      </c>
      <c r="V117" t="s">
        <v>154</v>
      </c>
      <c r="AK117">
        <v>2039</v>
      </c>
      <c r="AL117" t="s">
        <v>294</v>
      </c>
      <c r="AM117">
        <v>0.24695</v>
      </c>
      <c r="AN117" t="s">
        <v>279</v>
      </c>
    </row>
    <row r="118" spans="9:40" x14ac:dyDescent="0.25">
      <c r="I118" t="s">
        <v>167</v>
      </c>
      <c r="J118" t="s">
        <v>165</v>
      </c>
      <c r="K118">
        <v>2.4370321243285856E-3</v>
      </c>
      <c r="L118" t="s">
        <v>154</v>
      </c>
      <c r="N118" t="s">
        <v>197</v>
      </c>
      <c r="O118" t="s">
        <v>165</v>
      </c>
      <c r="P118">
        <v>1.2179435491542412E-3</v>
      </c>
      <c r="Q118" t="s">
        <v>154</v>
      </c>
      <c r="S118" t="s">
        <v>228</v>
      </c>
      <c r="T118" t="s">
        <v>165</v>
      </c>
      <c r="U118">
        <v>2.1347135624287341E-3</v>
      </c>
      <c r="V118" t="s">
        <v>154</v>
      </c>
      <c r="AK118">
        <v>2039</v>
      </c>
      <c r="AL118" t="s">
        <v>295</v>
      </c>
      <c r="AM118">
        <v>0.24279999999999999</v>
      </c>
      <c r="AN118" t="s">
        <v>279</v>
      </c>
    </row>
    <row r="119" spans="9:40" x14ac:dyDescent="0.25">
      <c r="I119" t="s">
        <v>167</v>
      </c>
      <c r="J119" t="s">
        <v>289</v>
      </c>
      <c r="K119">
        <v>1.652590412281562E-2</v>
      </c>
      <c r="L119" t="s">
        <v>154</v>
      </c>
      <c r="N119" t="s">
        <v>197</v>
      </c>
      <c r="O119" t="s">
        <v>289</v>
      </c>
      <c r="P119">
        <v>8.9869118051436655E-3</v>
      </c>
      <c r="Q119" t="s">
        <v>154</v>
      </c>
      <c r="S119" t="s">
        <v>228</v>
      </c>
      <c r="T119" t="s">
        <v>289</v>
      </c>
      <c r="U119">
        <v>1.4855185902590903E-2</v>
      </c>
      <c r="V119" t="s">
        <v>154</v>
      </c>
      <c r="AK119">
        <v>2040</v>
      </c>
      <c r="AL119" t="s">
        <v>142</v>
      </c>
      <c r="AM119">
        <v>0.24209999999999998</v>
      </c>
      <c r="AN119" t="s">
        <v>279</v>
      </c>
    </row>
    <row r="120" spans="9:40" x14ac:dyDescent="0.25">
      <c r="I120" t="s">
        <v>167</v>
      </c>
      <c r="J120" t="s">
        <v>290</v>
      </c>
      <c r="K120">
        <v>4.284174703944299E-4</v>
      </c>
      <c r="L120" t="s">
        <v>154</v>
      </c>
      <c r="N120" t="s">
        <v>197</v>
      </c>
      <c r="O120" t="s">
        <v>290</v>
      </c>
      <c r="P120">
        <v>1.2626252457690189E-3</v>
      </c>
      <c r="Q120" t="s">
        <v>154</v>
      </c>
      <c r="S120" t="s">
        <v>228</v>
      </c>
      <c r="T120" t="s">
        <v>290</v>
      </c>
      <c r="U120">
        <v>2.2394851755393099E-3</v>
      </c>
      <c r="V120" t="s">
        <v>154</v>
      </c>
      <c r="AK120">
        <v>2040</v>
      </c>
      <c r="AL120" t="s">
        <v>146</v>
      </c>
      <c r="AM120">
        <v>0.2366</v>
      </c>
      <c r="AN120" t="s">
        <v>279</v>
      </c>
    </row>
    <row r="121" spans="9:40" x14ac:dyDescent="0.25">
      <c r="I121" t="s">
        <v>167</v>
      </c>
      <c r="J121" t="s">
        <v>317</v>
      </c>
      <c r="K121">
        <v>0</v>
      </c>
      <c r="L121" t="s">
        <v>154</v>
      </c>
      <c r="N121" t="s">
        <v>197</v>
      </c>
      <c r="O121" t="s">
        <v>317</v>
      </c>
      <c r="P121">
        <v>1.3486408203045757E-3</v>
      </c>
      <c r="Q121" t="s">
        <v>154</v>
      </c>
      <c r="S121" t="s">
        <v>228</v>
      </c>
      <c r="T121" t="s">
        <v>317</v>
      </c>
      <c r="U121">
        <v>2.061504800131776E-3</v>
      </c>
      <c r="V121" t="s">
        <v>154</v>
      </c>
      <c r="AK121">
        <v>2040</v>
      </c>
      <c r="AL121" t="s">
        <v>148</v>
      </c>
      <c r="AM121">
        <v>0.36735555555555555</v>
      </c>
      <c r="AN121" t="s">
        <v>279</v>
      </c>
    </row>
    <row r="122" spans="9:40" x14ac:dyDescent="0.25">
      <c r="I122" t="s">
        <v>167</v>
      </c>
      <c r="J122" t="s">
        <v>318</v>
      </c>
      <c r="K122">
        <v>0</v>
      </c>
      <c r="L122" t="s">
        <v>154</v>
      </c>
      <c r="N122" t="s">
        <v>197</v>
      </c>
      <c r="O122" t="s">
        <v>318</v>
      </c>
      <c r="P122">
        <v>6.0217308214839515E-3</v>
      </c>
      <c r="Q122" t="s">
        <v>154</v>
      </c>
      <c r="S122" t="s">
        <v>228</v>
      </c>
      <c r="T122" t="s">
        <v>318</v>
      </c>
      <c r="U122">
        <v>1.0916936115369017E-2</v>
      </c>
      <c r="V122" t="s">
        <v>154</v>
      </c>
      <c r="AK122">
        <v>2040</v>
      </c>
      <c r="AL122" t="s">
        <v>150</v>
      </c>
      <c r="AM122">
        <v>0.29380000000000001</v>
      </c>
      <c r="AN122" t="s">
        <v>279</v>
      </c>
    </row>
    <row r="123" spans="9:40" x14ac:dyDescent="0.25">
      <c r="I123" t="s">
        <v>167</v>
      </c>
      <c r="J123" t="s">
        <v>297</v>
      </c>
      <c r="K123">
        <v>0</v>
      </c>
      <c r="L123" t="s">
        <v>154</v>
      </c>
      <c r="N123" t="s">
        <v>197</v>
      </c>
      <c r="O123" t="s">
        <v>297</v>
      </c>
      <c r="P123">
        <v>2.0793602555765765E-2</v>
      </c>
      <c r="Q123" t="s">
        <v>154</v>
      </c>
      <c r="S123" t="s">
        <v>228</v>
      </c>
      <c r="T123" t="s">
        <v>297</v>
      </c>
      <c r="U123">
        <v>1.7691770218722692E-2</v>
      </c>
      <c r="V123" t="s">
        <v>154</v>
      </c>
      <c r="AK123">
        <v>2040</v>
      </c>
      <c r="AL123" t="s">
        <v>294</v>
      </c>
      <c r="AM123">
        <v>0.24709999999999999</v>
      </c>
      <c r="AN123" t="s">
        <v>279</v>
      </c>
    </row>
    <row r="124" spans="9:40" x14ac:dyDescent="0.25">
      <c r="I124" t="s">
        <v>167</v>
      </c>
      <c r="J124" t="s">
        <v>298</v>
      </c>
      <c r="K124">
        <v>9.3069420860553316E-3</v>
      </c>
      <c r="L124" t="s">
        <v>154</v>
      </c>
      <c r="N124" t="s">
        <v>197</v>
      </c>
      <c r="O124" t="s">
        <v>298</v>
      </c>
      <c r="P124">
        <v>4.6617604878573422E-3</v>
      </c>
      <c r="Q124" t="s">
        <v>154</v>
      </c>
      <c r="S124" t="s">
        <v>228</v>
      </c>
      <c r="T124" t="s">
        <v>298</v>
      </c>
      <c r="U124">
        <v>5.7278719896896053E-3</v>
      </c>
      <c r="V124" t="s">
        <v>154</v>
      </c>
      <c r="AK124">
        <v>2040</v>
      </c>
      <c r="AL124" t="s">
        <v>295</v>
      </c>
      <c r="AM124">
        <v>0.22644999999999998</v>
      </c>
      <c r="AN124" t="s">
        <v>279</v>
      </c>
    </row>
    <row r="125" spans="9:40" x14ac:dyDescent="0.25">
      <c r="I125" t="s">
        <v>167</v>
      </c>
      <c r="J125" t="s">
        <v>299</v>
      </c>
      <c r="K125">
        <v>7.6363775507544704E-3</v>
      </c>
      <c r="L125" t="s">
        <v>154</v>
      </c>
      <c r="N125" t="s">
        <v>197</v>
      </c>
      <c r="O125" t="s">
        <v>299</v>
      </c>
      <c r="P125">
        <v>2.4173103936184384E-3</v>
      </c>
      <c r="Q125" t="s">
        <v>154</v>
      </c>
      <c r="S125" t="s">
        <v>228</v>
      </c>
      <c r="T125" t="s">
        <v>299</v>
      </c>
      <c r="U125">
        <v>3.0150493865211234E-3</v>
      </c>
      <c r="V125" t="s">
        <v>154</v>
      </c>
      <c r="AK125">
        <v>2041</v>
      </c>
      <c r="AL125" t="s">
        <v>142</v>
      </c>
      <c r="AM125">
        <v>0.24115</v>
      </c>
      <c r="AN125" t="s">
        <v>279</v>
      </c>
    </row>
    <row r="126" spans="9:40" x14ac:dyDescent="0.25">
      <c r="I126" t="s">
        <v>167</v>
      </c>
      <c r="J126" t="s">
        <v>300</v>
      </c>
      <c r="K126">
        <v>4.7412265501889442E-2</v>
      </c>
      <c r="L126" t="s">
        <v>154</v>
      </c>
      <c r="N126" t="s">
        <v>197</v>
      </c>
      <c r="O126" t="s">
        <v>300</v>
      </c>
      <c r="P126">
        <v>2.6227753994659282E-2</v>
      </c>
      <c r="Q126" t="s">
        <v>154</v>
      </c>
      <c r="S126" t="s">
        <v>228</v>
      </c>
      <c r="T126" t="s">
        <v>300</v>
      </c>
      <c r="U126">
        <v>2.1257964702821031E-2</v>
      </c>
      <c r="V126" t="s">
        <v>154</v>
      </c>
      <c r="AK126">
        <v>2041</v>
      </c>
      <c r="AL126" t="s">
        <v>146</v>
      </c>
      <c r="AM126">
        <v>0.23530000000000001</v>
      </c>
      <c r="AN126" t="s">
        <v>279</v>
      </c>
    </row>
    <row r="127" spans="9:40" x14ac:dyDescent="0.25">
      <c r="I127" t="s">
        <v>167</v>
      </c>
      <c r="J127" t="s">
        <v>301</v>
      </c>
      <c r="K127">
        <v>1.2906791743458171E-6</v>
      </c>
      <c r="L127" t="s">
        <v>154</v>
      </c>
      <c r="N127" t="s">
        <v>197</v>
      </c>
      <c r="O127" t="s">
        <v>301</v>
      </c>
      <c r="P127">
        <v>3.2202289622842374E-3</v>
      </c>
      <c r="Q127" t="s">
        <v>154</v>
      </c>
      <c r="S127" t="s">
        <v>228</v>
      </c>
      <c r="T127" t="s">
        <v>301</v>
      </c>
      <c r="U127">
        <v>3.0772427507905886E-3</v>
      </c>
      <c r="V127" t="s">
        <v>154</v>
      </c>
      <c r="AK127">
        <v>2041</v>
      </c>
      <c r="AL127" t="s">
        <v>148</v>
      </c>
      <c r="AM127">
        <v>0.37382222222222222</v>
      </c>
      <c r="AN127" t="s">
        <v>279</v>
      </c>
    </row>
    <row r="128" spans="9:40" x14ac:dyDescent="0.25">
      <c r="I128" t="s">
        <v>167</v>
      </c>
      <c r="J128" t="s">
        <v>319</v>
      </c>
      <c r="K128">
        <v>0</v>
      </c>
      <c r="L128" t="s">
        <v>154</v>
      </c>
      <c r="N128" t="s">
        <v>197</v>
      </c>
      <c r="O128" t="s">
        <v>319</v>
      </c>
      <c r="P128">
        <v>3.1005474225389716E-3</v>
      </c>
      <c r="Q128" t="s">
        <v>154</v>
      </c>
      <c r="S128" t="s">
        <v>228</v>
      </c>
      <c r="T128" t="s">
        <v>319</v>
      </c>
      <c r="U128">
        <v>2.9582119225088962E-3</v>
      </c>
      <c r="V128" t="s">
        <v>154</v>
      </c>
      <c r="AK128">
        <v>2041</v>
      </c>
      <c r="AL128" t="s">
        <v>150</v>
      </c>
      <c r="AM128">
        <v>0.27610000000000001</v>
      </c>
      <c r="AN128" t="s">
        <v>279</v>
      </c>
    </row>
    <row r="129" spans="9:40" x14ac:dyDescent="0.25">
      <c r="I129" t="s">
        <v>167</v>
      </c>
      <c r="J129" t="s">
        <v>320</v>
      </c>
      <c r="K129">
        <v>0</v>
      </c>
      <c r="L129" t="s">
        <v>154</v>
      </c>
      <c r="N129" t="s">
        <v>197</v>
      </c>
      <c r="O129" t="s">
        <v>320</v>
      </c>
      <c r="P129">
        <v>1.4280703615762568E-2</v>
      </c>
      <c r="Q129" t="s">
        <v>154</v>
      </c>
      <c r="S129" t="s">
        <v>228</v>
      </c>
      <c r="T129" t="s">
        <v>320</v>
      </c>
      <c r="U129">
        <v>1.4262117796017486E-2</v>
      </c>
      <c r="V129" t="s">
        <v>154</v>
      </c>
      <c r="AK129">
        <v>2041</v>
      </c>
      <c r="AL129" t="s">
        <v>294</v>
      </c>
      <c r="AM129">
        <v>0.23705000000000001</v>
      </c>
      <c r="AN129" t="s">
        <v>279</v>
      </c>
    </row>
    <row r="130" spans="9:40" x14ac:dyDescent="0.25">
      <c r="I130" t="s">
        <v>167</v>
      </c>
      <c r="J130" t="s">
        <v>302</v>
      </c>
      <c r="K130">
        <v>0</v>
      </c>
      <c r="L130" t="s">
        <v>154</v>
      </c>
      <c r="N130" t="s">
        <v>197</v>
      </c>
      <c r="O130" t="s">
        <v>302</v>
      </c>
      <c r="P130">
        <v>4.8964679901699275E-2</v>
      </c>
      <c r="Q130" t="s">
        <v>154</v>
      </c>
      <c r="S130" t="s">
        <v>228</v>
      </c>
      <c r="T130" t="s">
        <v>302</v>
      </c>
      <c r="U130">
        <v>3.0985307996575045E-2</v>
      </c>
      <c r="V130" t="s">
        <v>154</v>
      </c>
      <c r="AK130">
        <v>2041</v>
      </c>
      <c r="AL130" t="s">
        <v>295</v>
      </c>
      <c r="AM130">
        <v>0.22440000000000002</v>
      </c>
      <c r="AN130" t="s">
        <v>279</v>
      </c>
    </row>
    <row r="131" spans="9:40" x14ac:dyDescent="0.25">
      <c r="I131" t="s">
        <v>167</v>
      </c>
      <c r="J131" t="s">
        <v>303</v>
      </c>
      <c r="K131">
        <v>7.6314626283934036E-3</v>
      </c>
      <c r="L131" t="s">
        <v>154</v>
      </c>
      <c r="N131" t="s">
        <v>197</v>
      </c>
      <c r="O131" t="s">
        <v>303</v>
      </c>
      <c r="P131">
        <v>1.0600115243277039E-2</v>
      </c>
      <c r="Q131" t="s">
        <v>154</v>
      </c>
      <c r="S131" t="s">
        <v>228</v>
      </c>
      <c r="T131" t="s">
        <v>303</v>
      </c>
      <c r="U131">
        <v>8.9298252407340011E-3</v>
      </c>
      <c r="V131" t="s">
        <v>154</v>
      </c>
      <c r="AK131">
        <v>2042</v>
      </c>
      <c r="AL131" t="s">
        <v>142</v>
      </c>
      <c r="AM131">
        <v>0.24835000000000002</v>
      </c>
      <c r="AN131" t="s">
        <v>279</v>
      </c>
    </row>
    <row r="132" spans="9:40" x14ac:dyDescent="0.25">
      <c r="I132" t="s">
        <v>167</v>
      </c>
      <c r="J132" t="s">
        <v>304</v>
      </c>
      <c r="K132">
        <v>7.8257283937478526E-3</v>
      </c>
      <c r="L132" t="s">
        <v>154</v>
      </c>
      <c r="N132" t="s">
        <v>197</v>
      </c>
      <c r="O132" t="s">
        <v>304</v>
      </c>
      <c r="P132">
        <v>5.8767194347074817E-3</v>
      </c>
      <c r="Q132" t="s">
        <v>154</v>
      </c>
      <c r="S132" t="s">
        <v>228</v>
      </c>
      <c r="T132" t="s">
        <v>304</v>
      </c>
      <c r="U132">
        <v>4.4127586397856022E-3</v>
      </c>
      <c r="V132" t="s">
        <v>154</v>
      </c>
      <c r="AK132">
        <v>2042</v>
      </c>
      <c r="AL132" t="s">
        <v>146</v>
      </c>
      <c r="AM132">
        <v>0.26950000000000002</v>
      </c>
      <c r="AN132" t="s">
        <v>279</v>
      </c>
    </row>
    <row r="133" spans="9:40" x14ac:dyDescent="0.25">
      <c r="I133" t="s">
        <v>167</v>
      </c>
      <c r="J133" t="s">
        <v>305</v>
      </c>
      <c r="K133">
        <v>5.3734306205908848E-2</v>
      </c>
      <c r="L133" t="s">
        <v>154</v>
      </c>
      <c r="N133" t="s">
        <v>197</v>
      </c>
      <c r="O133" t="s">
        <v>305</v>
      </c>
      <c r="P133">
        <v>5.8898480194696061E-2</v>
      </c>
      <c r="Q133" t="s">
        <v>154</v>
      </c>
      <c r="S133" t="s">
        <v>228</v>
      </c>
      <c r="T133" t="s">
        <v>305</v>
      </c>
      <c r="U133">
        <v>3.2432511812712034E-2</v>
      </c>
      <c r="V133" t="s">
        <v>154</v>
      </c>
      <c r="AK133">
        <v>2042</v>
      </c>
      <c r="AL133" t="s">
        <v>148</v>
      </c>
      <c r="AM133">
        <v>0.37966666666666665</v>
      </c>
      <c r="AN133" t="s">
        <v>279</v>
      </c>
    </row>
    <row r="134" spans="9:40" x14ac:dyDescent="0.25">
      <c r="I134" t="s">
        <v>167</v>
      </c>
      <c r="J134" t="s">
        <v>306</v>
      </c>
      <c r="K134">
        <v>0</v>
      </c>
      <c r="L134" t="s">
        <v>154</v>
      </c>
      <c r="N134" t="s">
        <v>197</v>
      </c>
      <c r="O134" t="s">
        <v>306</v>
      </c>
      <c r="P134">
        <v>7.5624390796875029E-3</v>
      </c>
      <c r="Q134" t="s">
        <v>154</v>
      </c>
      <c r="S134" t="s">
        <v>228</v>
      </c>
      <c r="T134" t="s">
        <v>306</v>
      </c>
      <c r="U134">
        <v>4.7148850754645108E-3</v>
      </c>
      <c r="V134" t="s">
        <v>154</v>
      </c>
      <c r="AK134">
        <v>2042</v>
      </c>
      <c r="AL134" t="s">
        <v>150</v>
      </c>
      <c r="AM134">
        <v>0.28189999999999998</v>
      </c>
      <c r="AN134" t="s">
        <v>279</v>
      </c>
    </row>
    <row r="135" spans="9:40" x14ac:dyDescent="0.25">
      <c r="I135" t="s">
        <v>167</v>
      </c>
      <c r="J135" t="s">
        <v>321</v>
      </c>
      <c r="K135">
        <v>0</v>
      </c>
      <c r="L135" t="s">
        <v>154</v>
      </c>
      <c r="N135" t="s">
        <v>197</v>
      </c>
      <c r="O135" t="s">
        <v>321</v>
      </c>
      <c r="P135">
        <v>7.1017338603145252E-3</v>
      </c>
      <c r="Q135" t="s">
        <v>154</v>
      </c>
      <c r="S135" t="s">
        <v>228</v>
      </c>
      <c r="T135" t="s">
        <v>321</v>
      </c>
      <c r="U135">
        <v>4.8534388725989877E-3</v>
      </c>
      <c r="V135" t="s">
        <v>154</v>
      </c>
      <c r="AK135">
        <v>2042</v>
      </c>
      <c r="AL135" t="s">
        <v>294</v>
      </c>
      <c r="AM135">
        <v>0.24014999999999997</v>
      </c>
      <c r="AN135" t="s">
        <v>279</v>
      </c>
    </row>
    <row r="136" spans="9:40" x14ac:dyDescent="0.25">
      <c r="I136" t="s">
        <v>167</v>
      </c>
      <c r="J136" t="s">
        <v>322</v>
      </c>
      <c r="K136">
        <v>0</v>
      </c>
      <c r="L136" t="s">
        <v>154</v>
      </c>
      <c r="N136" t="s">
        <v>197</v>
      </c>
      <c r="O136" t="s">
        <v>322</v>
      </c>
      <c r="P136">
        <v>2.8671584414465153E-2</v>
      </c>
      <c r="Q136" t="s">
        <v>154</v>
      </c>
      <c r="S136" t="s">
        <v>228</v>
      </c>
      <c r="T136" t="s">
        <v>322</v>
      </c>
      <c r="U136">
        <v>2.2597799331142344E-2</v>
      </c>
      <c r="V136" t="s">
        <v>154</v>
      </c>
      <c r="AK136">
        <v>2042</v>
      </c>
      <c r="AL136" t="s">
        <v>295</v>
      </c>
      <c r="AM136">
        <v>0.21779999999999999</v>
      </c>
      <c r="AN136" t="s">
        <v>279</v>
      </c>
    </row>
    <row r="137" spans="9:40" x14ac:dyDescent="0.25">
      <c r="I137" t="s">
        <v>168</v>
      </c>
      <c r="J137" t="s">
        <v>153</v>
      </c>
      <c r="K137">
        <v>0</v>
      </c>
      <c r="L137" t="s">
        <v>154</v>
      </c>
      <c r="N137" t="s">
        <v>198</v>
      </c>
      <c r="O137" t="s">
        <v>153</v>
      </c>
      <c r="P137">
        <v>4.1321230397534547E-2</v>
      </c>
      <c r="Q137" t="s">
        <v>154</v>
      </c>
      <c r="S137" t="s">
        <v>229</v>
      </c>
      <c r="T137" t="s">
        <v>153</v>
      </c>
      <c r="U137">
        <v>3.0434634689226026E-2</v>
      </c>
      <c r="V137" t="s">
        <v>154</v>
      </c>
      <c r="AK137">
        <v>2043</v>
      </c>
      <c r="AL137" t="s">
        <v>142</v>
      </c>
      <c r="AM137">
        <v>0.25209999999999999</v>
      </c>
      <c r="AN137" t="s">
        <v>279</v>
      </c>
    </row>
    <row r="138" spans="9:40" x14ac:dyDescent="0.25">
      <c r="I138" t="s">
        <v>168</v>
      </c>
      <c r="J138" t="s">
        <v>155</v>
      </c>
      <c r="K138">
        <v>7.735493254578737E-3</v>
      </c>
      <c r="L138" t="s">
        <v>154</v>
      </c>
      <c r="N138" t="s">
        <v>198</v>
      </c>
      <c r="O138" t="s">
        <v>155</v>
      </c>
      <c r="P138">
        <v>7.4326866164355762E-3</v>
      </c>
      <c r="Q138" t="s">
        <v>154</v>
      </c>
      <c r="S138" t="s">
        <v>229</v>
      </c>
      <c r="T138" t="s">
        <v>155</v>
      </c>
      <c r="U138">
        <v>8.3728939824494579E-3</v>
      </c>
      <c r="V138" t="s">
        <v>154</v>
      </c>
      <c r="AK138">
        <v>2043</v>
      </c>
      <c r="AL138" t="s">
        <v>146</v>
      </c>
      <c r="AM138">
        <v>0.24010000000000001</v>
      </c>
      <c r="AN138" t="s">
        <v>279</v>
      </c>
    </row>
    <row r="139" spans="9:40" x14ac:dyDescent="0.25">
      <c r="I139" t="s">
        <v>168</v>
      </c>
      <c r="J139" t="s">
        <v>156</v>
      </c>
      <c r="K139">
        <v>7.0176066185187475E-3</v>
      </c>
      <c r="L139" t="s">
        <v>154</v>
      </c>
      <c r="N139" t="s">
        <v>198</v>
      </c>
      <c r="O139" t="s">
        <v>156</v>
      </c>
      <c r="P139">
        <v>4.1146459592223995E-3</v>
      </c>
      <c r="Q139" t="s">
        <v>154</v>
      </c>
      <c r="S139" t="s">
        <v>229</v>
      </c>
      <c r="T139" t="s">
        <v>156</v>
      </c>
      <c r="U139">
        <v>4.2042771482793317E-3</v>
      </c>
      <c r="V139" t="s">
        <v>154</v>
      </c>
      <c r="AK139">
        <v>2043</v>
      </c>
      <c r="AL139" t="s">
        <v>148</v>
      </c>
      <c r="AM139">
        <v>0.37925555555555557</v>
      </c>
      <c r="AN139" t="s">
        <v>279</v>
      </c>
    </row>
    <row r="140" spans="9:40" x14ac:dyDescent="0.25">
      <c r="I140" t="s">
        <v>168</v>
      </c>
      <c r="J140" t="s">
        <v>283</v>
      </c>
      <c r="K140">
        <v>5.2658677942442417E-2</v>
      </c>
      <c r="L140" t="s">
        <v>154</v>
      </c>
      <c r="N140" t="s">
        <v>198</v>
      </c>
      <c r="O140" t="s">
        <v>283</v>
      </c>
      <c r="P140">
        <v>4.027973906351863E-2</v>
      </c>
      <c r="Q140" t="s">
        <v>154</v>
      </c>
      <c r="S140" t="s">
        <v>229</v>
      </c>
      <c r="T140" t="s">
        <v>283</v>
      </c>
      <c r="U140">
        <v>3.0669197265613009E-2</v>
      </c>
      <c r="V140" t="s">
        <v>154</v>
      </c>
      <c r="AK140">
        <v>2043</v>
      </c>
      <c r="AL140" t="s">
        <v>150</v>
      </c>
      <c r="AM140">
        <v>0.27439999999999998</v>
      </c>
      <c r="AN140" t="s">
        <v>279</v>
      </c>
    </row>
    <row r="141" spans="9:40" x14ac:dyDescent="0.25">
      <c r="I141" t="s">
        <v>168</v>
      </c>
      <c r="J141" t="s">
        <v>284</v>
      </c>
      <c r="K141">
        <v>1.5910297986401244E-3</v>
      </c>
      <c r="L141" t="s">
        <v>154</v>
      </c>
      <c r="N141" t="s">
        <v>198</v>
      </c>
      <c r="O141" t="s">
        <v>284</v>
      </c>
      <c r="P141">
        <v>6.7666655852410638E-3</v>
      </c>
      <c r="Q141" t="s">
        <v>154</v>
      </c>
      <c r="S141" t="s">
        <v>229</v>
      </c>
      <c r="T141" t="s">
        <v>284</v>
      </c>
      <c r="U141">
        <v>4.5049438319785624E-3</v>
      </c>
      <c r="V141" t="s">
        <v>154</v>
      </c>
      <c r="AK141">
        <v>2043</v>
      </c>
      <c r="AL141" t="s">
        <v>294</v>
      </c>
      <c r="AM141">
        <v>0.25269999999999998</v>
      </c>
      <c r="AN141" t="s">
        <v>279</v>
      </c>
    </row>
    <row r="142" spans="9:40" x14ac:dyDescent="0.25">
      <c r="I142" t="s">
        <v>168</v>
      </c>
      <c r="J142" t="s">
        <v>311</v>
      </c>
      <c r="K142">
        <v>0</v>
      </c>
      <c r="L142" t="s">
        <v>154</v>
      </c>
      <c r="N142" t="s">
        <v>198</v>
      </c>
      <c r="O142" t="s">
        <v>311</v>
      </c>
      <c r="P142">
        <v>6.907396644430866E-3</v>
      </c>
      <c r="Q142" t="s">
        <v>154</v>
      </c>
      <c r="S142" t="s">
        <v>229</v>
      </c>
      <c r="T142" t="s">
        <v>311</v>
      </c>
      <c r="U142">
        <v>4.7123701832059882E-3</v>
      </c>
      <c r="V142" t="s">
        <v>154</v>
      </c>
      <c r="AK142">
        <v>2043</v>
      </c>
      <c r="AL142" t="s">
        <v>295</v>
      </c>
      <c r="AM142">
        <v>0.24020000000000002</v>
      </c>
      <c r="AN142" t="s">
        <v>279</v>
      </c>
    </row>
    <row r="143" spans="9:40" x14ac:dyDescent="0.25">
      <c r="I143" t="s">
        <v>168</v>
      </c>
      <c r="J143" t="s">
        <v>312</v>
      </c>
      <c r="K143">
        <v>0</v>
      </c>
      <c r="L143" t="s">
        <v>154</v>
      </c>
      <c r="N143" t="s">
        <v>198</v>
      </c>
      <c r="O143" t="s">
        <v>312</v>
      </c>
      <c r="P143">
        <v>2.9705025969223166E-2</v>
      </c>
      <c r="Q143" t="s">
        <v>154</v>
      </c>
      <c r="S143" t="s">
        <v>229</v>
      </c>
      <c r="T143" t="s">
        <v>312</v>
      </c>
      <c r="U143">
        <v>2.3358921908288279E-2</v>
      </c>
      <c r="V143" t="s">
        <v>154</v>
      </c>
      <c r="AK143">
        <v>2044</v>
      </c>
      <c r="AL143" t="s">
        <v>142</v>
      </c>
      <c r="AM143">
        <v>0.20784999999999998</v>
      </c>
      <c r="AN143" t="s">
        <v>279</v>
      </c>
    </row>
    <row r="144" spans="9:40" x14ac:dyDescent="0.25">
      <c r="I144" t="s">
        <v>168</v>
      </c>
      <c r="J144" t="s">
        <v>157</v>
      </c>
      <c r="K144">
        <v>0</v>
      </c>
      <c r="L144" t="s">
        <v>154</v>
      </c>
      <c r="N144" t="s">
        <v>198</v>
      </c>
      <c r="O144" t="s">
        <v>157</v>
      </c>
      <c r="P144">
        <v>1.2550596652382798E-2</v>
      </c>
      <c r="Q144" t="s">
        <v>154</v>
      </c>
      <c r="S144" t="s">
        <v>229</v>
      </c>
      <c r="T144" t="s">
        <v>157</v>
      </c>
      <c r="U144">
        <v>9.5509048036085589E-3</v>
      </c>
      <c r="V144" t="s">
        <v>154</v>
      </c>
      <c r="AK144">
        <v>2044</v>
      </c>
      <c r="AL144" t="s">
        <v>146</v>
      </c>
      <c r="AM144">
        <v>0.22639999999999999</v>
      </c>
      <c r="AN144" t="s">
        <v>279</v>
      </c>
    </row>
    <row r="145" spans="9:40" x14ac:dyDescent="0.25">
      <c r="I145" t="s">
        <v>168</v>
      </c>
      <c r="J145" t="s">
        <v>158</v>
      </c>
      <c r="K145">
        <v>1.9716751891429968E-3</v>
      </c>
      <c r="L145" t="s">
        <v>154</v>
      </c>
      <c r="N145" t="s">
        <v>198</v>
      </c>
      <c r="O145" t="s">
        <v>158</v>
      </c>
      <c r="P145">
        <v>2.3424043477240381E-3</v>
      </c>
      <c r="Q145" t="s">
        <v>154</v>
      </c>
      <c r="S145" t="s">
        <v>229</v>
      </c>
      <c r="T145" t="s">
        <v>158</v>
      </c>
      <c r="U145">
        <v>2.8404936220988212E-3</v>
      </c>
      <c r="V145" t="s">
        <v>154</v>
      </c>
      <c r="AK145">
        <v>2044</v>
      </c>
      <c r="AL145" t="s">
        <v>148</v>
      </c>
      <c r="AM145">
        <v>0.32544444444444448</v>
      </c>
      <c r="AN145" t="s">
        <v>279</v>
      </c>
    </row>
    <row r="146" spans="9:40" x14ac:dyDescent="0.25">
      <c r="I146" t="s">
        <v>168</v>
      </c>
      <c r="J146" t="s">
        <v>159</v>
      </c>
      <c r="K146">
        <v>1.938831222884851E-3</v>
      </c>
      <c r="L146" t="s">
        <v>154</v>
      </c>
      <c r="N146" t="s">
        <v>198</v>
      </c>
      <c r="O146" t="s">
        <v>159</v>
      </c>
      <c r="P146">
        <v>1.3007291992116585E-3</v>
      </c>
      <c r="Q146" t="s">
        <v>154</v>
      </c>
      <c r="S146" t="s">
        <v>229</v>
      </c>
      <c r="T146" t="s">
        <v>159</v>
      </c>
      <c r="U146">
        <v>1.4268099747855156E-3</v>
      </c>
      <c r="V146" t="s">
        <v>154</v>
      </c>
      <c r="AK146">
        <v>2044</v>
      </c>
      <c r="AL146" t="s">
        <v>150</v>
      </c>
      <c r="AM146">
        <v>0.25559999999999999</v>
      </c>
      <c r="AN146" t="s">
        <v>279</v>
      </c>
    </row>
    <row r="147" spans="9:40" x14ac:dyDescent="0.25">
      <c r="I147" t="s">
        <v>168</v>
      </c>
      <c r="J147" t="s">
        <v>285</v>
      </c>
      <c r="K147">
        <v>1.692797374323228E-2</v>
      </c>
      <c r="L147" t="s">
        <v>154</v>
      </c>
      <c r="N147" t="s">
        <v>198</v>
      </c>
      <c r="O147" t="s">
        <v>285</v>
      </c>
      <c r="P147">
        <v>1.1534106308282572E-2</v>
      </c>
      <c r="Q147" t="s">
        <v>154</v>
      </c>
      <c r="S147" t="s">
        <v>229</v>
      </c>
      <c r="T147" t="s">
        <v>285</v>
      </c>
      <c r="U147">
        <v>8.710146859599829E-3</v>
      </c>
      <c r="V147" t="s">
        <v>154</v>
      </c>
      <c r="AK147">
        <v>2044</v>
      </c>
      <c r="AL147" t="s">
        <v>294</v>
      </c>
      <c r="AM147">
        <v>0.21495</v>
      </c>
      <c r="AN147" t="s">
        <v>279</v>
      </c>
    </row>
    <row r="148" spans="9:40" x14ac:dyDescent="0.25">
      <c r="I148" t="s">
        <v>168</v>
      </c>
      <c r="J148" t="s">
        <v>286</v>
      </c>
      <c r="K148">
        <v>8.5317777193024021E-4</v>
      </c>
      <c r="L148" t="s">
        <v>154</v>
      </c>
      <c r="N148" t="s">
        <v>198</v>
      </c>
      <c r="O148" t="s">
        <v>286</v>
      </c>
      <c r="P148">
        <v>1.5425668771700421E-3</v>
      </c>
      <c r="Q148" t="s">
        <v>154</v>
      </c>
      <c r="S148" t="s">
        <v>229</v>
      </c>
      <c r="T148" t="s">
        <v>286</v>
      </c>
      <c r="U148">
        <v>1.1808610208831685E-3</v>
      </c>
      <c r="V148" t="s">
        <v>154</v>
      </c>
      <c r="AK148">
        <v>2044</v>
      </c>
      <c r="AL148" t="s">
        <v>295</v>
      </c>
      <c r="AM148">
        <v>0.18980000000000002</v>
      </c>
      <c r="AN148" t="s">
        <v>279</v>
      </c>
    </row>
    <row r="149" spans="9:40" x14ac:dyDescent="0.25">
      <c r="I149" t="s">
        <v>168</v>
      </c>
      <c r="J149" t="s">
        <v>313</v>
      </c>
      <c r="K149">
        <v>0</v>
      </c>
      <c r="L149" t="s">
        <v>154</v>
      </c>
      <c r="N149" t="s">
        <v>198</v>
      </c>
      <c r="O149" t="s">
        <v>313</v>
      </c>
      <c r="P149">
        <v>1.6173596179732252E-3</v>
      </c>
      <c r="Q149" t="s">
        <v>154</v>
      </c>
      <c r="S149" t="s">
        <v>229</v>
      </c>
      <c r="T149" t="s">
        <v>313</v>
      </c>
      <c r="U149">
        <v>1.2292946347425677E-3</v>
      </c>
      <c r="V149" t="s">
        <v>154</v>
      </c>
      <c r="AK149">
        <v>2045</v>
      </c>
      <c r="AL149" t="s">
        <v>142</v>
      </c>
      <c r="AM149">
        <v>0.2051</v>
      </c>
      <c r="AN149" t="s">
        <v>279</v>
      </c>
    </row>
    <row r="150" spans="9:40" x14ac:dyDescent="0.25">
      <c r="I150" t="s">
        <v>168</v>
      </c>
      <c r="J150" t="s">
        <v>314</v>
      </c>
      <c r="K150">
        <v>0</v>
      </c>
      <c r="L150" t="s">
        <v>154</v>
      </c>
      <c r="N150" t="s">
        <v>198</v>
      </c>
      <c r="O150" t="s">
        <v>314</v>
      </c>
      <c r="P150">
        <v>6.0138526410806045E-3</v>
      </c>
      <c r="Q150" t="s">
        <v>154</v>
      </c>
      <c r="S150" t="s">
        <v>229</v>
      </c>
      <c r="T150" t="s">
        <v>314</v>
      </c>
      <c r="U150">
        <v>6.4069756501956851E-3</v>
      </c>
      <c r="V150" t="s">
        <v>154</v>
      </c>
      <c r="AK150">
        <v>2045</v>
      </c>
      <c r="AL150" t="s">
        <v>146</v>
      </c>
      <c r="AM150">
        <v>0.21690000000000001</v>
      </c>
      <c r="AN150" t="s">
        <v>279</v>
      </c>
    </row>
    <row r="151" spans="9:40" x14ac:dyDescent="0.25">
      <c r="I151" t="s">
        <v>168</v>
      </c>
      <c r="J151" t="s">
        <v>160</v>
      </c>
      <c r="K151">
        <v>1.8934665055530726E-2</v>
      </c>
      <c r="L151" t="s">
        <v>154</v>
      </c>
      <c r="N151" t="s">
        <v>198</v>
      </c>
      <c r="O151" t="s">
        <v>160</v>
      </c>
      <c r="P151">
        <v>0.15573229247566053</v>
      </c>
      <c r="Q151" t="s">
        <v>154</v>
      </c>
      <c r="S151" t="s">
        <v>229</v>
      </c>
      <c r="T151" t="s">
        <v>160</v>
      </c>
      <c r="U151">
        <v>0.18998804729219546</v>
      </c>
      <c r="V151" t="s">
        <v>154</v>
      </c>
      <c r="AK151">
        <v>2045</v>
      </c>
      <c r="AL151" t="s">
        <v>148</v>
      </c>
      <c r="AM151">
        <v>0.30957777777777779</v>
      </c>
      <c r="AN151" t="s">
        <v>279</v>
      </c>
    </row>
    <row r="152" spans="9:40" x14ac:dyDescent="0.25">
      <c r="I152" t="s">
        <v>168</v>
      </c>
      <c r="J152" t="s">
        <v>161</v>
      </c>
      <c r="K152">
        <v>9.6874075252702002E-2</v>
      </c>
      <c r="L152" t="s">
        <v>154</v>
      </c>
      <c r="N152" t="s">
        <v>198</v>
      </c>
      <c r="O152" t="s">
        <v>161</v>
      </c>
      <c r="P152">
        <v>3.1078917175285263E-2</v>
      </c>
      <c r="Q152" t="s">
        <v>154</v>
      </c>
      <c r="S152" t="s">
        <v>229</v>
      </c>
      <c r="T152" t="s">
        <v>161</v>
      </c>
      <c r="U152">
        <v>4.9832173042657905E-2</v>
      </c>
      <c r="V152" t="s">
        <v>154</v>
      </c>
      <c r="AK152">
        <v>2045</v>
      </c>
      <c r="AL152" t="s">
        <v>150</v>
      </c>
      <c r="AM152">
        <v>0.22650000000000001</v>
      </c>
      <c r="AN152" t="s">
        <v>279</v>
      </c>
    </row>
    <row r="153" spans="9:40" x14ac:dyDescent="0.25">
      <c r="I153" t="s">
        <v>168</v>
      </c>
      <c r="J153" t="s">
        <v>162</v>
      </c>
      <c r="K153">
        <v>7.0207760452640711E-2</v>
      </c>
      <c r="L153" t="s">
        <v>154</v>
      </c>
      <c r="N153" t="s">
        <v>198</v>
      </c>
      <c r="O153" t="s">
        <v>162</v>
      </c>
      <c r="P153">
        <v>1.8935778339119476E-2</v>
      </c>
      <c r="Q153" t="s">
        <v>154</v>
      </c>
      <c r="S153" t="s">
        <v>229</v>
      </c>
      <c r="T153" t="s">
        <v>162</v>
      </c>
      <c r="U153">
        <v>2.5360220867866518E-2</v>
      </c>
      <c r="V153" t="s">
        <v>154</v>
      </c>
      <c r="AK153">
        <v>2045</v>
      </c>
      <c r="AL153" t="s">
        <v>294</v>
      </c>
      <c r="AM153">
        <v>0.2112</v>
      </c>
      <c r="AN153" t="s">
        <v>279</v>
      </c>
    </row>
    <row r="154" spans="9:40" x14ac:dyDescent="0.25">
      <c r="I154" t="s">
        <v>168</v>
      </c>
      <c r="J154" t="s">
        <v>287</v>
      </c>
      <c r="K154">
        <v>0.51965786842220008</v>
      </c>
      <c r="L154" t="s">
        <v>154</v>
      </c>
      <c r="N154" t="s">
        <v>198</v>
      </c>
      <c r="O154" t="s">
        <v>287</v>
      </c>
      <c r="P154">
        <v>0.17978215398678643</v>
      </c>
      <c r="Q154" t="s">
        <v>154</v>
      </c>
      <c r="S154" t="s">
        <v>229</v>
      </c>
      <c r="T154" t="s">
        <v>287</v>
      </c>
      <c r="U154">
        <v>0.1828722655439371</v>
      </c>
      <c r="V154" t="s">
        <v>154</v>
      </c>
      <c r="AK154">
        <v>2045</v>
      </c>
      <c r="AL154" t="s">
        <v>295</v>
      </c>
      <c r="AM154">
        <v>0.20105000000000001</v>
      </c>
      <c r="AN154" t="s">
        <v>279</v>
      </c>
    </row>
    <row r="155" spans="9:40" x14ac:dyDescent="0.25">
      <c r="I155" t="s">
        <v>168</v>
      </c>
      <c r="J155" t="s">
        <v>288</v>
      </c>
      <c r="K155">
        <v>3.4553944355071302E-2</v>
      </c>
      <c r="L155" t="s">
        <v>154</v>
      </c>
      <c r="N155" t="s">
        <v>198</v>
      </c>
      <c r="O155" t="s">
        <v>288</v>
      </c>
      <c r="P155">
        <v>2.6124517608397242E-2</v>
      </c>
      <c r="Q155" t="s">
        <v>154</v>
      </c>
      <c r="S155" t="s">
        <v>229</v>
      </c>
      <c r="T155" t="s">
        <v>288</v>
      </c>
      <c r="U155">
        <v>2.6923807715151241E-2</v>
      </c>
      <c r="V155" t="s">
        <v>154</v>
      </c>
      <c r="AK155">
        <v>2046</v>
      </c>
      <c r="AL155" t="s">
        <v>142</v>
      </c>
      <c r="AM155">
        <v>0.19745000000000001</v>
      </c>
      <c r="AN155" t="s">
        <v>279</v>
      </c>
    </row>
    <row r="156" spans="9:40" x14ac:dyDescent="0.25">
      <c r="I156" t="s">
        <v>168</v>
      </c>
      <c r="J156" t="s">
        <v>315</v>
      </c>
      <c r="K156">
        <v>1.0939777366040557E-2</v>
      </c>
      <c r="L156" t="s">
        <v>154</v>
      </c>
      <c r="N156" t="s">
        <v>198</v>
      </c>
      <c r="O156" t="s">
        <v>315</v>
      </c>
      <c r="P156">
        <v>2.5861743106481316E-2</v>
      </c>
      <c r="Q156" t="s">
        <v>154</v>
      </c>
      <c r="S156" t="s">
        <v>229</v>
      </c>
      <c r="T156" t="s">
        <v>315</v>
      </c>
      <c r="U156">
        <v>2.4749421089025093E-2</v>
      </c>
      <c r="V156" t="s">
        <v>154</v>
      </c>
      <c r="AK156">
        <v>2046</v>
      </c>
      <c r="AL156" t="s">
        <v>146</v>
      </c>
      <c r="AM156">
        <v>0.2036</v>
      </c>
      <c r="AN156" t="s">
        <v>279</v>
      </c>
    </row>
    <row r="157" spans="9:40" x14ac:dyDescent="0.25">
      <c r="I157" t="s">
        <v>168</v>
      </c>
      <c r="J157" t="s">
        <v>316</v>
      </c>
      <c r="K157">
        <v>0</v>
      </c>
      <c r="L157" t="s">
        <v>154</v>
      </c>
      <c r="N157" t="s">
        <v>198</v>
      </c>
      <c r="O157" t="s">
        <v>316</v>
      </c>
      <c r="P157">
        <v>0.10323797827366338</v>
      </c>
      <c r="Q157" t="s">
        <v>154</v>
      </c>
      <c r="S157" t="s">
        <v>229</v>
      </c>
      <c r="T157" t="s">
        <v>316</v>
      </c>
      <c r="U157">
        <v>0.13209665741813875</v>
      </c>
      <c r="V157" t="s">
        <v>154</v>
      </c>
      <c r="AK157">
        <v>2046</v>
      </c>
      <c r="AL157" t="s">
        <v>148</v>
      </c>
      <c r="AM157">
        <v>0.32183333333333336</v>
      </c>
      <c r="AN157" t="s">
        <v>279</v>
      </c>
    </row>
    <row r="158" spans="9:40" x14ac:dyDescent="0.25">
      <c r="I158" t="s">
        <v>168</v>
      </c>
      <c r="J158" t="s">
        <v>163</v>
      </c>
      <c r="K158">
        <v>9.1229099986238951E-5</v>
      </c>
      <c r="L158" t="s">
        <v>154</v>
      </c>
      <c r="N158" t="s">
        <v>198</v>
      </c>
      <c r="O158" t="s">
        <v>163</v>
      </c>
      <c r="P158">
        <v>1.3932307298330096E-2</v>
      </c>
      <c r="Q158" t="s">
        <v>154</v>
      </c>
      <c r="S158" t="s">
        <v>229</v>
      </c>
      <c r="T158" t="s">
        <v>163</v>
      </c>
      <c r="U158">
        <v>1.5306826747130331E-2</v>
      </c>
      <c r="V158" t="s">
        <v>154</v>
      </c>
      <c r="AK158">
        <v>2046</v>
      </c>
      <c r="AL158" t="s">
        <v>150</v>
      </c>
      <c r="AM158">
        <v>0.2303</v>
      </c>
      <c r="AN158" t="s">
        <v>279</v>
      </c>
    </row>
    <row r="159" spans="9:40" x14ac:dyDescent="0.25">
      <c r="I159" t="s">
        <v>168</v>
      </c>
      <c r="J159" t="s">
        <v>164</v>
      </c>
      <c r="K159">
        <v>3.4479697389198545E-3</v>
      </c>
      <c r="L159" t="s">
        <v>154</v>
      </c>
      <c r="N159" t="s">
        <v>198</v>
      </c>
      <c r="O159" t="s">
        <v>164</v>
      </c>
      <c r="P159">
        <v>2.4181804393385293E-3</v>
      </c>
      <c r="Q159" t="s">
        <v>154</v>
      </c>
      <c r="S159" t="s">
        <v>229</v>
      </c>
      <c r="T159" t="s">
        <v>164</v>
      </c>
      <c r="U159">
        <v>4.3690125735202263E-3</v>
      </c>
      <c r="V159" t="s">
        <v>154</v>
      </c>
      <c r="AK159">
        <v>2046</v>
      </c>
      <c r="AL159" t="s">
        <v>294</v>
      </c>
      <c r="AM159">
        <v>0.2137</v>
      </c>
      <c r="AN159" t="s">
        <v>279</v>
      </c>
    </row>
    <row r="160" spans="9:40" x14ac:dyDescent="0.25">
      <c r="I160" t="s">
        <v>168</v>
      </c>
      <c r="J160" t="s">
        <v>165</v>
      </c>
      <c r="K160">
        <v>2.5636448704562916E-3</v>
      </c>
      <c r="L160" t="s">
        <v>154</v>
      </c>
      <c r="N160" t="s">
        <v>198</v>
      </c>
      <c r="O160" t="s">
        <v>165</v>
      </c>
      <c r="P160">
        <v>1.3729124933469701E-3</v>
      </c>
      <c r="Q160" t="s">
        <v>154</v>
      </c>
      <c r="S160" t="s">
        <v>229</v>
      </c>
      <c r="T160" t="s">
        <v>165</v>
      </c>
      <c r="U160">
        <v>2.2438227348547807E-3</v>
      </c>
      <c r="V160" t="s">
        <v>154</v>
      </c>
      <c r="AK160">
        <v>2046</v>
      </c>
      <c r="AL160" t="s">
        <v>295</v>
      </c>
      <c r="AM160">
        <v>0.21099999999999999</v>
      </c>
      <c r="AN160" t="s">
        <v>279</v>
      </c>
    </row>
    <row r="161" spans="9:40" x14ac:dyDescent="0.25">
      <c r="I161" t="s">
        <v>168</v>
      </c>
      <c r="J161" t="s">
        <v>289</v>
      </c>
      <c r="K161">
        <v>1.6545772279388138E-2</v>
      </c>
      <c r="L161" t="s">
        <v>154</v>
      </c>
      <c r="N161" t="s">
        <v>198</v>
      </c>
      <c r="O161" t="s">
        <v>289</v>
      </c>
      <c r="P161">
        <v>1.1703605412025111E-2</v>
      </c>
      <c r="Q161" t="s">
        <v>154</v>
      </c>
      <c r="S161" t="s">
        <v>229</v>
      </c>
      <c r="T161" t="s">
        <v>289</v>
      </c>
      <c r="U161">
        <v>1.5770772863565125E-2</v>
      </c>
      <c r="V161" t="s">
        <v>154</v>
      </c>
      <c r="AK161">
        <v>2047</v>
      </c>
      <c r="AL161" t="s">
        <v>142</v>
      </c>
      <c r="AM161">
        <v>0.21145</v>
      </c>
      <c r="AN161" t="s">
        <v>279</v>
      </c>
    </row>
    <row r="162" spans="9:40" x14ac:dyDescent="0.25">
      <c r="I162" t="s">
        <v>168</v>
      </c>
      <c r="J162" t="s">
        <v>290</v>
      </c>
      <c r="K162">
        <v>3.0879616598962863E-4</v>
      </c>
      <c r="L162" t="s">
        <v>154</v>
      </c>
      <c r="N162" t="s">
        <v>198</v>
      </c>
      <c r="O162" t="s">
        <v>290</v>
      </c>
      <c r="P162">
        <v>1.7428009163604024E-3</v>
      </c>
      <c r="Q162" t="s">
        <v>154</v>
      </c>
      <c r="S162" t="s">
        <v>229</v>
      </c>
      <c r="T162" t="s">
        <v>290</v>
      </c>
      <c r="U162">
        <v>2.3410411419310779E-3</v>
      </c>
      <c r="V162" t="s">
        <v>154</v>
      </c>
      <c r="AK162">
        <v>2047</v>
      </c>
      <c r="AL162" t="s">
        <v>146</v>
      </c>
      <c r="AM162">
        <v>0.20849999999999999</v>
      </c>
      <c r="AN162" t="s">
        <v>279</v>
      </c>
    </row>
    <row r="163" spans="9:40" x14ac:dyDescent="0.25">
      <c r="I163" t="s">
        <v>168</v>
      </c>
      <c r="J163" t="s">
        <v>317</v>
      </c>
      <c r="K163">
        <v>0</v>
      </c>
      <c r="L163" t="s">
        <v>154</v>
      </c>
      <c r="N163" t="s">
        <v>198</v>
      </c>
      <c r="O163" t="s">
        <v>317</v>
      </c>
      <c r="P163">
        <v>1.8245370915315319E-3</v>
      </c>
      <c r="Q163" t="s">
        <v>154</v>
      </c>
      <c r="S163" t="s">
        <v>229</v>
      </c>
      <c r="T163" t="s">
        <v>317</v>
      </c>
      <c r="U163">
        <v>2.126036147429186E-3</v>
      </c>
      <c r="V163" t="s">
        <v>154</v>
      </c>
      <c r="AK163">
        <v>2047</v>
      </c>
      <c r="AL163" t="s">
        <v>148</v>
      </c>
      <c r="AM163">
        <v>0.31851111111111113</v>
      </c>
      <c r="AN163" t="s">
        <v>279</v>
      </c>
    </row>
    <row r="164" spans="9:40" x14ac:dyDescent="0.25">
      <c r="I164" t="s">
        <v>168</v>
      </c>
      <c r="J164" t="s">
        <v>318</v>
      </c>
      <c r="K164">
        <v>0</v>
      </c>
      <c r="L164" t="s">
        <v>154</v>
      </c>
      <c r="N164" t="s">
        <v>198</v>
      </c>
      <c r="O164" t="s">
        <v>318</v>
      </c>
      <c r="P164">
        <v>7.3407835137870572E-3</v>
      </c>
      <c r="Q164" t="s">
        <v>154</v>
      </c>
      <c r="S164" t="s">
        <v>229</v>
      </c>
      <c r="T164" t="s">
        <v>318</v>
      </c>
      <c r="U164">
        <v>1.0937321161006092E-2</v>
      </c>
      <c r="V164" t="s">
        <v>154</v>
      </c>
      <c r="AK164">
        <v>2047</v>
      </c>
      <c r="AL164" t="s">
        <v>150</v>
      </c>
      <c r="AM164">
        <v>0.25919999999999999</v>
      </c>
      <c r="AN164" t="s">
        <v>279</v>
      </c>
    </row>
    <row r="165" spans="9:40" x14ac:dyDescent="0.25">
      <c r="I165" t="s">
        <v>168</v>
      </c>
      <c r="J165" t="s">
        <v>297</v>
      </c>
      <c r="K165">
        <v>0</v>
      </c>
      <c r="L165" t="s">
        <v>154</v>
      </c>
      <c r="N165" t="s">
        <v>198</v>
      </c>
      <c r="O165" t="s">
        <v>297</v>
      </c>
      <c r="P165">
        <v>1.8079840076017803E-2</v>
      </c>
      <c r="Q165" t="s">
        <v>154</v>
      </c>
      <c r="S165" t="s">
        <v>229</v>
      </c>
      <c r="T165" t="s">
        <v>297</v>
      </c>
      <c r="U165">
        <v>1.8204082952749098E-2</v>
      </c>
      <c r="V165" t="s">
        <v>154</v>
      </c>
      <c r="AK165">
        <v>2047</v>
      </c>
      <c r="AL165" t="s">
        <v>294</v>
      </c>
      <c r="AM165">
        <v>0.21675</v>
      </c>
      <c r="AN165" t="s">
        <v>279</v>
      </c>
    </row>
    <row r="166" spans="9:40" x14ac:dyDescent="0.25">
      <c r="I166" t="s">
        <v>168</v>
      </c>
      <c r="J166" t="s">
        <v>298</v>
      </c>
      <c r="K166">
        <v>8.9436540246923962E-3</v>
      </c>
      <c r="L166" t="s">
        <v>154</v>
      </c>
      <c r="N166" t="s">
        <v>198</v>
      </c>
      <c r="O166" t="s">
        <v>298</v>
      </c>
      <c r="P166">
        <v>3.6517068926983681E-3</v>
      </c>
      <c r="Q166" t="s">
        <v>154</v>
      </c>
      <c r="S166" t="s">
        <v>229</v>
      </c>
      <c r="T166" t="s">
        <v>298</v>
      </c>
      <c r="U166">
        <v>5.4952502042109512E-3</v>
      </c>
      <c r="V166" t="s">
        <v>154</v>
      </c>
      <c r="AK166">
        <v>2047</v>
      </c>
      <c r="AL166" t="s">
        <v>295</v>
      </c>
      <c r="AM166">
        <v>0.19464999999999999</v>
      </c>
      <c r="AN166" t="s">
        <v>279</v>
      </c>
    </row>
    <row r="167" spans="9:40" x14ac:dyDescent="0.25">
      <c r="I167" t="s">
        <v>168</v>
      </c>
      <c r="J167" t="s">
        <v>299</v>
      </c>
      <c r="K167">
        <v>7.6538191708153793E-3</v>
      </c>
      <c r="L167" t="s">
        <v>154</v>
      </c>
      <c r="N167" t="s">
        <v>198</v>
      </c>
      <c r="O167" t="s">
        <v>299</v>
      </c>
      <c r="P167">
        <v>2.0614624961721676E-3</v>
      </c>
      <c r="Q167" t="s">
        <v>154</v>
      </c>
      <c r="S167" t="s">
        <v>229</v>
      </c>
      <c r="T167" t="s">
        <v>299</v>
      </c>
      <c r="U167">
        <v>2.7372464766172119E-3</v>
      </c>
      <c r="V167" t="s">
        <v>154</v>
      </c>
      <c r="AK167">
        <v>2048</v>
      </c>
      <c r="AL167" t="s">
        <v>142</v>
      </c>
      <c r="AM167">
        <v>0.21710000000000002</v>
      </c>
      <c r="AN167" t="s">
        <v>279</v>
      </c>
    </row>
    <row r="168" spans="9:40" x14ac:dyDescent="0.25">
      <c r="I168" t="s">
        <v>168</v>
      </c>
      <c r="J168" t="s">
        <v>300</v>
      </c>
      <c r="K168">
        <v>4.822522216578029E-2</v>
      </c>
      <c r="L168" t="s">
        <v>154</v>
      </c>
      <c r="N168" t="s">
        <v>198</v>
      </c>
      <c r="O168" t="s">
        <v>300</v>
      </c>
      <c r="P168">
        <v>2.5353969596518099E-2</v>
      </c>
      <c r="Q168" t="s">
        <v>154</v>
      </c>
      <c r="S168" t="s">
        <v>229</v>
      </c>
      <c r="T168" t="s">
        <v>300</v>
      </c>
      <c r="U168">
        <v>1.942505590770981E-2</v>
      </c>
      <c r="V168" t="s">
        <v>154</v>
      </c>
      <c r="AK168">
        <v>2048</v>
      </c>
      <c r="AL168" t="s">
        <v>146</v>
      </c>
      <c r="AM168">
        <v>0.22939999999999999</v>
      </c>
      <c r="AN168" t="s">
        <v>279</v>
      </c>
    </row>
    <row r="169" spans="9:40" x14ac:dyDescent="0.25">
      <c r="I169" t="s">
        <v>168</v>
      </c>
      <c r="J169" t="s">
        <v>301</v>
      </c>
      <c r="K169">
        <v>0</v>
      </c>
      <c r="L169" t="s">
        <v>154</v>
      </c>
      <c r="N169" t="s">
        <v>198</v>
      </c>
      <c r="O169" t="s">
        <v>301</v>
      </c>
      <c r="P169">
        <v>3.1719617248454099E-3</v>
      </c>
      <c r="Q169" t="s">
        <v>154</v>
      </c>
      <c r="S169" t="s">
        <v>229</v>
      </c>
      <c r="T169" t="s">
        <v>301</v>
      </c>
      <c r="U169">
        <v>3.1019970829933947E-3</v>
      </c>
      <c r="V169" t="s">
        <v>154</v>
      </c>
      <c r="AK169">
        <v>2048</v>
      </c>
      <c r="AL169" t="s">
        <v>148</v>
      </c>
      <c r="AM169">
        <v>0.32371111111111112</v>
      </c>
      <c r="AN169" t="s">
        <v>279</v>
      </c>
    </row>
    <row r="170" spans="9:40" x14ac:dyDescent="0.25">
      <c r="I170" t="s">
        <v>168</v>
      </c>
      <c r="J170" t="s">
        <v>319</v>
      </c>
      <c r="K170">
        <v>0</v>
      </c>
      <c r="L170" t="s">
        <v>154</v>
      </c>
      <c r="N170" t="s">
        <v>198</v>
      </c>
      <c r="O170" t="s">
        <v>319</v>
      </c>
      <c r="P170">
        <v>2.9717732961796273E-3</v>
      </c>
      <c r="Q170" t="s">
        <v>154</v>
      </c>
      <c r="S170" t="s">
        <v>229</v>
      </c>
      <c r="T170" t="s">
        <v>319</v>
      </c>
      <c r="U170">
        <v>2.8845514918750211E-3</v>
      </c>
      <c r="V170" t="s">
        <v>154</v>
      </c>
      <c r="AK170">
        <v>2048</v>
      </c>
      <c r="AL170" t="s">
        <v>150</v>
      </c>
      <c r="AM170">
        <v>0.2437</v>
      </c>
      <c r="AN170" t="s">
        <v>279</v>
      </c>
    </row>
    <row r="171" spans="9:40" x14ac:dyDescent="0.25">
      <c r="I171" t="s">
        <v>168</v>
      </c>
      <c r="J171" t="s">
        <v>320</v>
      </c>
      <c r="K171">
        <v>0</v>
      </c>
      <c r="L171" t="s">
        <v>154</v>
      </c>
      <c r="N171" t="s">
        <v>198</v>
      </c>
      <c r="O171" t="s">
        <v>320</v>
      </c>
      <c r="P171">
        <v>1.38083353936862E-2</v>
      </c>
      <c r="Q171" t="s">
        <v>154</v>
      </c>
      <c r="S171" t="s">
        <v>229</v>
      </c>
      <c r="T171" t="s">
        <v>320</v>
      </c>
      <c r="U171">
        <v>1.4879356994405034E-2</v>
      </c>
      <c r="V171" t="s">
        <v>154</v>
      </c>
      <c r="AK171">
        <v>2048</v>
      </c>
      <c r="AL171" t="s">
        <v>294</v>
      </c>
      <c r="AM171">
        <v>0.20685000000000001</v>
      </c>
      <c r="AN171" t="s">
        <v>279</v>
      </c>
    </row>
    <row r="172" spans="9:40" x14ac:dyDescent="0.25">
      <c r="I172" t="s">
        <v>168</v>
      </c>
      <c r="J172" t="s">
        <v>302</v>
      </c>
      <c r="K172">
        <v>0</v>
      </c>
      <c r="L172" t="s">
        <v>154</v>
      </c>
      <c r="N172" t="s">
        <v>198</v>
      </c>
      <c r="O172" t="s">
        <v>302</v>
      </c>
      <c r="P172">
        <v>4.7820145128725358E-2</v>
      </c>
      <c r="Q172" t="s">
        <v>154</v>
      </c>
      <c r="S172" t="s">
        <v>229</v>
      </c>
      <c r="T172" t="s">
        <v>302</v>
      </c>
      <c r="U172">
        <v>3.1669867786987847E-2</v>
      </c>
      <c r="V172" t="s">
        <v>154</v>
      </c>
      <c r="AK172">
        <v>2048</v>
      </c>
      <c r="AL172" t="s">
        <v>295</v>
      </c>
      <c r="AM172">
        <v>0.1983</v>
      </c>
      <c r="AN172" t="s">
        <v>279</v>
      </c>
    </row>
    <row r="173" spans="9:40" x14ac:dyDescent="0.25">
      <c r="I173" t="s">
        <v>168</v>
      </c>
      <c r="J173" t="s">
        <v>303</v>
      </c>
      <c r="K173">
        <v>8.7913656136399451E-3</v>
      </c>
      <c r="L173" t="s">
        <v>154</v>
      </c>
      <c r="N173" t="s">
        <v>198</v>
      </c>
      <c r="O173" t="s">
        <v>303</v>
      </c>
      <c r="P173">
        <v>9.8888580316522749E-3</v>
      </c>
      <c r="Q173" t="s">
        <v>154</v>
      </c>
      <c r="S173" t="s">
        <v>229</v>
      </c>
      <c r="T173" t="s">
        <v>303</v>
      </c>
      <c r="U173">
        <v>9.0815997149300345E-3</v>
      </c>
      <c r="V173" t="s">
        <v>154</v>
      </c>
      <c r="AK173">
        <v>2049</v>
      </c>
      <c r="AL173" t="s">
        <v>142</v>
      </c>
      <c r="AM173">
        <v>0.22034999999999999</v>
      </c>
      <c r="AN173" t="s">
        <v>279</v>
      </c>
    </row>
    <row r="174" spans="9:40" x14ac:dyDescent="0.25">
      <c r="I174" t="s">
        <v>168</v>
      </c>
      <c r="J174" t="s">
        <v>304</v>
      </c>
      <c r="K174">
        <v>7.866377523416573E-3</v>
      </c>
      <c r="L174" t="s">
        <v>154</v>
      </c>
      <c r="N174" t="s">
        <v>198</v>
      </c>
      <c r="O174" t="s">
        <v>304</v>
      </c>
      <c r="P174">
        <v>5.9937051827396153E-3</v>
      </c>
      <c r="Q174" t="s">
        <v>154</v>
      </c>
      <c r="S174" t="s">
        <v>229</v>
      </c>
      <c r="T174" t="s">
        <v>304</v>
      </c>
      <c r="U174">
        <v>4.3848540047058413E-3</v>
      </c>
      <c r="V174" t="s">
        <v>154</v>
      </c>
      <c r="AK174">
        <v>2049</v>
      </c>
      <c r="AL174" t="s">
        <v>146</v>
      </c>
      <c r="AM174">
        <v>0.21279999999999999</v>
      </c>
      <c r="AN174" t="s">
        <v>279</v>
      </c>
    </row>
    <row r="175" spans="9:40" x14ac:dyDescent="0.25">
      <c r="I175" t="s">
        <v>168</v>
      </c>
      <c r="J175" t="s">
        <v>305</v>
      </c>
      <c r="K175">
        <v>5.3699592901360151E-2</v>
      </c>
      <c r="L175" t="s">
        <v>154</v>
      </c>
      <c r="N175" t="s">
        <v>198</v>
      </c>
      <c r="O175" t="s">
        <v>305</v>
      </c>
      <c r="P175">
        <v>6.4036233448827265E-2</v>
      </c>
      <c r="Q175" t="s">
        <v>154</v>
      </c>
      <c r="S175" t="s">
        <v>229</v>
      </c>
      <c r="T175" t="s">
        <v>305</v>
      </c>
      <c r="U175">
        <v>3.2296442366952248E-2</v>
      </c>
      <c r="V175" t="s">
        <v>154</v>
      </c>
      <c r="AK175">
        <v>2049</v>
      </c>
      <c r="AL175" t="s">
        <v>148</v>
      </c>
      <c r="AM175">
        <v>0.32477777777777778</v>
      </c>
      <c r="AN175" t="s">
        <v>279</v>
      </c>
    </row>
    <row r="176" spans="9:40" x14ac:dyDescent="0.25">
      <c r="I176" t="s">
        <v>168</v>
      </c>
      <c r="J176" t="s">
        <v>306</v>
      </c>
      <c r="K176">
        <v>0</v>
      </c>
      <c r="L176" t="s">
        <v>154</v>
      </c>
      <c r="N176" t="s">
        <v>198</v>
      </c>
      <c r="O176" t="s">
        <v>306</v>
      </c>
      <c r="P176">
        <v>8.5936770242639113E-3</v>
      </c>
      <c r="Q176" t="s">
        <v>154</v>
      </c>
      <c r="S176" t="s">
        <v>229</v>
      </c>
      <c r="T176" t="s">
        <v>306</v>
      </c>
      <c r="U176">
        <v>4.965975445552019E-3</v>
      </c>
      <c r="V176" t="s">
        <v>154</v>
      </c>
      <c r="AK176">
        <v>2049</v>
      </c>
      <c r="AL176" t="s">
        <v>150</v>
      </c>
      <c r="AM176">
        <v>0.22969999999999999</v>
      </c>
      <c r="AN176" t="s">
        <v>279</v>
      </c>
    </row>
    <row r="177" spans="9:40" x14ac:dyDescent="0.25">
      <c r="I177" t="s">
        <v>168</v>
      </c>
      <c r="J177" t="s">
        <v>321</v>
      </c>
      <c r="K177">
        <v>0</v>
      </c>
      <c r="L177" t="s">
        <v>154</v>
      </c>
      <c r="N177" t="s">
        <v>198</v>
      </c>
      <c r="O177" t="s">
        <v>321</v>
      </c>
      <c r="P177">
        <v>8.1956163384032613E-3</v>
      </c>
      <c r="Q177" t="s">
        <v>154</v>
      </c>
      <c r="S177" t="s">
        <v>229</v>
      </c>
      <c r="T177" t="s">
        <v>321</v>
      </c>
      <c r="U177">
        <v>5.0457425639649214E-3</v>
      </c>
      <c r="V177" t="s">
        <v>154</v>
      </c>
      <c r="AK177">
        <v>2049</v>
      </c>
      <c r="AL177" t="s">
        <v>294</v>
      </c>
      <c r="AM177">
        <v>0.21065</v>
      </c>
      <c r="AN177" t="s">
        <v>279</v>
      </c>
    </row>
    <row r="178" spans="9:40" x14ac:dyDescent="0.25">
      <c r="I178" t="s">
        <v>168</v>
      </c>
      <c r="J178" t="s">
        <v>322</v>
      </c>
      <c r="K178">
        <v>0</v>
      </c>
      <c r="L178" t="s">
        <v>154</v>
      </c>
      <c r="N178" t="s">
        <v>198</v>
      </c>
      <c r="O178" t="s">
        <v>322</v>
      </c>
      <c r="P178">
        <v>3.185520135972697E-2</v>
      </c>
      <c r="Q178" t="s">
        <v>154</v>
      </c>
      <c r="S178" t="s">
        <v>229</v>
      </c>
      <c r="T178" t="s">
        <v>322</v>
      </c>
      <c r="U178">
        <v>2.3307825092985398E-2</v>
      </c>
      <c r="V178" t="s">
        <v>154</v>
      </c>
      <c r="AK178">
        <v>2049</v>
      </c>
      <c r="AL178" t="s">
        <v>295</v>
      </c>
      <c r="AM178">
        <v>0.19400000000000001</v>
      </c>
      <c r="AN178" t="s">
        <v>279</v>
      </c>
    </row>
    <row r="179" spans="9:40" x14ac:dyDescent="0.25">
      <c r="I179" t="s">
        <v>169</v>
      </c>
      <c r="J179" t="s">
        <v>153</v>
      </c>
      <c r="K179">
        <v>0</v>
      </c>
      <c r="L179" t="s">
        <v>154</v>
      </c>
      <c r="N179" t="s">
        <v>199</v>
      </c>
      <c r="O179" t="s">
        <v>153</v>
      </c>
      <c r="P179">
        <v>3.2140513916451535E-2</v>
      </c>
      <c r="Q179" t="s">
        <v>154</v>
      </c>
      <c r="S179" t="s">
        <v>230</v>
      </c>
      <c r="T179" t="s">
        <v>153</v>
      </c>
      <c r="U179">
        <v>3.3870129780128752E-2</v>
      </c>
      <c r="V179" t="s">
        <v>154</v>
      </c>
      <c r="AK179">
        <v>2050</v>
      </c>
      <c r="AL179" t="s">
        <v>142</v>
      </c>
      <c r="AM179">
        <v>0.2087</v>
      </c>
      <c r="AN179" t="s">
        <v>279</v>
      </c>
    </row>
    <row r="180" spans="9:40" x14ac:dyDescent="0.25">
      <c r="I180" t="s">
        <v>169</v>
      </c>
      <c r="J180" t="s">
        <v>155</v>
      </c>
      <c r="K180">
        <v>7.5082674228086404E-3</v>
      </c>
      <c r="L180" t="s">
        <v>154</v>
      </c>
      <c r="N180" t="s">
        <v>199</v>
      </c>
      <c r="O180" t="s">
        <v>155</v>
      </c>
      <c r="P180">
        <v>6.445112306640092E-3</v>
      </c>
      <c r="Q180" t="s">
        <v>154</v>
      </c>
      <c r="S180" t="s">
        <v>230</v>
      </c>
      <c r="T180" t="s">
        <v>155</v>
      </c>
      <c r="U180">
        <v>8.7165474277488483E-3</v>
      </c>
      <c r="V180" t="s">
        <v>154</v>
      </c>
      <c r="AK180">
        <v>2050</v>
      </c>
      <c r="AL180" t="s">
        <v>146</v>
      </c>
      <c r="AM180">
        <v>0.20549999999999999</v>
      </c>
      <c r="AN180" t="s">
        <v>279</v>
      </c>
    </row>
    <row r="181" spans="9:40" x14ac:dyDescent="0.25">
      <c r="I181" t="s">
        <v>169</v>
      </c>
      <c r="J181" t="s">
        <v>156</v>
      </c>
      <c r="K181">
        <v>7.7240796901961199E-3</v>
      </c>
      <c r="L181" t="s">
        <v>154</v>
      </c>
      <c r="N181" t="s">
        <v>199</v>
      </c>
      <c r="O181" t="s">
        <v>156</v>
      </c>
      <c r="P181">
        <v>3.8484058522446239E-3</v>
      </c>
      <c r="Q181" t="s">
        <v>154</v>
      </c>
      <c r="S181" t="s">
        <v>230</v>
      </c>
      <c r="T181" t="s">
        <v>156</v>
      </c>
      <c r="U181">
        <v>4.5090724578825733E-3</v>
      </c>
      <c r="V181" t="s">
        <v>154</v>
      </c>
      <c r="AK181">
        <v>2050</v>
      </c>
      <c r="AL181" t="s">
        <v>148</v>
      </c>
      <c r="AM181">
        <v>0.32285555555555556</v>
      </c>
      <c r="AN181" t="s">
        <v>279</v>
      </c>
    </row>
    <row r="182" spans="9:40" x14ac:dyDescent="0.25">
      <c r="I182" t="s">
        <v>169</v>
      </c>
      <c r="J182" t="s">
        <v>283</v>
      </c>
      <c r="K182">
        <v>5.6811169628975956E-2</v>
      </c>
      <c r="L182" t="s">
        <v>154</v>
      </c>
      <c r="N182" t="s">
        <v>199</v>
      </c>
      <c r="O182" t="s">
        <v>283</v>
      </c>
      <c r="P182">
        <v>4.0527553377903598E-2</v>
      </c>
      <c r="Q182" t="s">
        <v>154</v>
      </c>
      <c r="S182" t="s">
        <v>230</v>
      </c>
      <c r="T182" t="s">
        <v>283</v>
      </c>
      <c r="U182">
        <v>3.2278436255296625E-2</v>
      </c>
      <c r="V182" t="s">
        <v>154</v>
      </c>
      <c r="AK182">
        <v>2050</v>
      </c>
      <c r="AL182" t="s">
        <v>150</v>
      </c>
      <c r="AM182">
        <v>0.252</v>
      </c>
      <c r="AN182" t="s">
        <v>279</v>
      </c>
    </row>
    <row r="183" spans="9:40" x14ac:dyDescent="0.25">
      <c r="I183" t="s">
        <v>169</v>
      </c>
      <c r="J183" t="s">
        <v>284</v>
      </c>
      <c r="K183">
        <v>1.3956001538171492E-3</v>
      </c>
      <c r="L183" t="s">
        <v>154</v>
      </c>
      <c r="N183" t="s">
        <v>199</v>
      </c>
      <c r="O183" t="s">
        <v>284</v>
      </c>
      <c r="P183">
        <v>5.7496367531296895E-3</v>
      </c>
      <c r="Q183" t="s">
        <v>154</v>
      </c>
      <c r="S183" t="s">
        <v>230</v>
      </c>
      <c r="T183" t="s">
        <v>284</v>
      </c>
      <c r="U183">
        <v>5.0219749142647162E-3</v>
      </c>
      <c r="V183" t="s">
        <v>154</v>
      </c>
      <c r="AK183">
        <v>2050</v>
      </c>
      <c r="AL183" t="s">
        <v>294</v>
      </c>
      <c r="AM183">
        <v>0.22375</v>
      </c>
      <c r="AN183" t="s">
        <v>279</v>
      </c>
    </row>
    <row r="184" spans="9:40" x14ac:dyDescent="0.25">
      <c r="I184" t="s">
        <v>169</v>
      </c>
      <c r="J184" t="s">
        <v>311</v>
      </c>
      <c r="K184">
        <v>0</v>
      </c>
      <c r="L184" t="s">
        <v>154</v>
      </c>
      <c r="N184" t="s">
        <v>199</v>
      </c>
      <c r="O184" t="s">
        <v>311</v>
      </c>
      <c r="P184">
        <v>4.1708867874443532E-3</v>
      </c>
      <c r="Q184" t="s">
        <v>154</v>
      </c>
      <c r="S184" t="s">
        <v>230</v>
      </c>
      <c r="T184" t="s">
        <v>311</v>
      </c>
      <c r="U184">
        <v>5.1698887471315529E-3</v>
      </c>
      <c r="V184" t="s">
        <v>154</v>
      </c>
      <c r="AK184">
        <v>2050</v>
      </c>
      <c r="AL184" t="s">
        <v>295</v>
      </c>
      <c r="AM184">
        <v>0.2064</v>
      </c>
      <c r="AN184" t="s">
        <v>279</v>
      </c>
    </row>
    <row r="185" spans="9:40" x14ac:dyDescent="0.25">
      <c r="I185" t="s">
        <v>169</v>
      </c>
      <c r="J185" t="s">
        <v>312</v>
      </c>
      <c r="K185">
        <v>0</v>
      </c>
      <c r="L185" t="s">
        <v>154</v>
      </c>
      <c r="N185" t="s">
        <v>199</v>
      </c>
      <c r="O185" t="s">
        <v>312</v>
      </c>
      <c r="P185">
        <v>1.9303870960015523E-2</v>
      </c>
      <c r="Q185" t="s">
        <v>154</v>
      </c>
      <c r="S185" t="s">
        <v>230</v>
      </c>
      <c r="T185" t="s">
        <v>312</v>
      </c>
      <c r="U185">
        <v>2.5320220956935015E-2</v>
      </c>
      <c r="V185" t="s">
        <v>154</v>
      </c>
    </row>
    <row r="186" spans="9:40" x14ac:dyDescent="0.25">
      <c r="I186" t="s">
        <v>169</v>
      </c>
      <c r="J186" t="s">
        <v>157</v>
      </c>
      <c r="K186">
        <v>0</v>
      </c>
      <c r="L186" t="s">
        <v>154</v>
      </c>
      <c r="N186" t="s">
        <v>199</v>
      </c>
      <c r="O186" t="s">
        <v>157</v>
      </c>
      <c r="P186">
        <v>1.0096680408114435E-2</v>
      </c>
      <c r="Q186" t="s">
        <v>154</v>
      </c>
      <c r="S186" t="s">
        <v>230</v>
      </c>
      <c r="T186" t="s">
        <v>157</v>
      </c>
      <c r="U186">
        <v>6.3995298484389269E-3</v>
      </c>
      <c r="V186" t="s">
        <v>154</v>
      </c>
    </row>
    <row r="187" spans="9:40" x14ac:dyDescent="0.25">
      <c r="I187" t="s">
        <v>169</v>
      </c>
      <c r="J187" t="s">
        <v>158</v>
      </c>
      <c r="K187">
        <v>2.6152102969157634E-3</v>
      </c>
      <c r="L187" t="s">
        <v>154</v>
      </c>
      <c r="N187" t="s">
        <v>199</v>
      </c>
      <c r="O187" t="s">
        <v>158</v>
      </c>
      <c r="P187">
        <v>1.6795368206875614E-3</v>
      </c>
      <c r="Q187" t="s">
        <v>154</v>
      </c>
      <c r="S187" t="s">
        <v>230</v>
      </c>
      <c r="T187" t="s">
        <v>158</v>
      </c>
      <c r="U187">
        <v>2.0384116337152257E-3</v>
      </c>
      <c r="V187" t="s">
        <v>154</v>
      </c>
    </row>
    <row r="188" spans="9:40" x14ac:dyDescent="0.25">
      <c r="I188" t="s">
        <v>169</v>
      </c>
      <c r="J188" t="s">
        <v>159</v>
      </c>
      <c r="K188">
        <v>2.4239530782107382E-3</v>
      </c>
      <c r="L188" t="s">
        <v>154</v>
      </c>
      <c r="N188" t="s">
        <v>199</v>
      </c>
      <c r="O188" t="s">
        <v>159</v>
      </c>
      <c r="P188">
        <v>1.0817016316471552E-3</v>
      </c>
      <c r="Q188" t="s">
        <v>154</v>
      </c>
      <c r="S188" t="s">
        <v>230</v>
      </c>
      <c r="T188" t="s">
        <v>159</v>
      </c>
      <c r="U188">
        <v>1.1881793956899527E-3</v>
      </c>
      <c r="V188" t="s">
        <v>154</v>
      </c>
    </row>
    <row r="189" spans="9:40" x14ac:dyDescent="0.25">
      <c r="I189" t="s">
        <v>169</v>
      </c>
      <c r="J189" t="s">
        <v>285</v>
      </c>
      <c r="K189">
        <v>1.7575052476981955E-2</v>
      </c>
      <c r="L189" t="s">
        <v>154</v>
      </c>
      <c r="N189" t="s">
        <v>199</v>
      </c>
      <c r="O189" t="s">
        <v>285</v>
      </c>
      <c r="P189">
        <v>9.0970857184520509E-3</v>
      </c>
      <c r="Q189" t="s">
        <v>154</v>
      </c>
      <c r="S189" t="s">
        <v>230</v>
      </c>
      <c r="T189" t="s">
        <v>285</v>
      </c>
      <c r="U189">
        <v>8.1752512716268735E-3</v>
      </c>
      <c r="V189" t="s">
        <v>154</v>
      </c>
    </row>
    <row r="190" spans="9:40" x14ac:dyDescent="0.25">
      <c r="I190" t="s">
        <v>169</v>
      </c>
      <c r="J190" t="s">
        <v>286</v>
      </c>
      <c r="K190">
        <v>9.0682775223050295E-4</v>
      </c>
      <c r="L190" t="s">
        <v>154</v>
      </c>
      <c r="N190" t="s">
        <v>199</v>
      </c>
      <c r="O190" t="s">
        <v>286</v>
      </c>
      <c r="P190">
        <v>1.2490537987751894E-3</v>
      </c>
      <c r="Q190" t="s">
        <v>154</v>
      </c>
      <c r="S190" t="s">
        <v>230</v>
      </c>
      <c r="T190" t="s">
        <v>286</v>
      </c>
      <c r="U190">
        <v>1.1439207306009258E-3</v>
      </c>
      <c r="V190" t="s">
        <v>154</v>
      </c>
    </row>
    <row r="191" spans="9:40" x14ac:dyDescent="0.25">
      <c r="I191" t="s">
        <v>169</v>
      </c>
      <c r="J191" t="s">
        <v>313</v>
      </c>
      <c r="K191">
        <v>0</v>
      </c>
      <c r="L191" t="s">
        <v>154</v>
      </c>
      <c r="N191" t="s">
        <v>199</v>
      </c>
      <c r="O191" t="s">
        <v>313</v>
      </c>
      <c r="P191">
        <v>8.7420204341835011E-4</v>
      </c>
      <c r="Q191" t="s">
        <v>154</v>
      </c>
      <c r="S191" t="s">
        <v>230</v>
      </c>
      <c r="T191" t="s">
        <v>313</v>
      </c>
      <c r="U191">
        <v>1.1961739211979643E-3</v>
      </c>
      <c r="V191" t="s">
        <v>154</v>
      </c>
    </row>
    <row r="192" spans="9:40" x14ac:dyDescent="0.25">
      <c r="I192" t="s">
        <v>169</v>
      </c>
      <c r="J192" t="s">
        <v>314</v>
      </c>
      <c r="K192">
        <v>0</v>
      </c>
      <c r="L192" t="s">
        <v>154</v>
      </c>
      <c r="N192" t="s">
        <v>199</v>
      </c>
      <c r="O192" t="s">
        <v>314</v>
      </c>
      <c r="P192">
        <v>5.6769357576862012E-3</v>
      </c>
      <c r="Q192" t="s">
        <v>154</v>
      </c>
      <c r="S192" t="s">
        <v>230</v>
      </c>
      <c r="T192" t="s">
        <v>314</v>
      </c>
      <c r="U192">
        <v>5.9023481859163647E-3</v>
      </c>
      <c r="V192" t="s">
        <v>154</v>
      </c>
    </row>
    <row r="193" spans="9:22" x14ac:dyDescent="0.25">
      <c r="I193" t="s">
        <v>169</v>
      </c>
      <c r="J193" t="s">
        <v>160</v>
      </c>
      <c r="K193">
        <v>1.8078991929375805E-2</v>
      </c>
      <c r="L193" t="s">
        <v>154</v>
      </c>
      <c r="N193" t="s">
        <v>199</v>
      </c>
      <c r="O193" t="s">
        <v>160</v>
      </c>
      <c r="P193">
        <v>0.18017049574788563</v>
      </c>
      <c r="Q193" t="s">
        <v>154</v>
      </c>
      <c r="S193" t="s">
        <v>230</v>
      </c>
      <c r="T193" t="s">
        <v>160</v>
      </c>
      <c r="U193">
        <v>0.17909063356678573</v>
      </c>
      <c r="V193" t="s">
        <v>154</v>
      </c>
    </row>
    <row r="194" spans="9:22" x14ac:dyDescent="0.25">
      <c r="I194" t="s">
        <v>169</v>
      </c>
      <c r="J194" t="s">
        <v>161</v>
      </c>
      <c r="K194">
        <v>9.5575303217768554E-2</v>
      </c>
      <c r="L194" t="s">
        <v>154</v>
      </c>
      <c r="N194" t="s">
        <v>199</v>
      </c>
      <c r="O194" t="s">
        <v>161</v>
      </c>
      <c r="P194">
        <v>3.9795613012033486E-2</v>
      </c>
      <c r="Q194" t="s">
        <v>154</v>
      </c>
      <c r="S194" t="s">
        <v>230</v>
      </c>
      <c r="T194" t="s">
        <v>161</v>
      </c>
      <c r="U194">
        <v>4.5058300982088587E-2</v>
      </c>
      <c r="V194" t="s">
        <v>154</v>
      </c>
    </row>
    <row r="195" spans="9:22" x14ac:dyDescent="0.25">
      <c r="I195" t="s">
        <v>169</v>
      </c>
      <c r="J195" t="s">
        <v>162</v>
      </c>
      <c r="K195">
        <v>6.9709974788176213E-2</v>
      </c>
      <c r="L195" t="s">
        <v>154</v>
      </c>
      <c r="N195" t="s">
        <v>199</v>
      </c>
      <c r="O195" t="s">
        <v>162</v>
      </c>
      <c r="P195">
        <v>2.3138739746363022E-2</v>
      </c>
      <c r="Q195" t="s">
        <v>154</v>
      </c>
      <c r="S195" t="s">
        <v>230</v>
      </c>
      <c r="T195" t="s">
        <v>162</v>
      </c>
      <c r="U195">
        <v>2.4022070597848683E-2</v>
      </c>
      <c r="V195" t="s">
        <v>154</v>
      </c>
    </row>
    <row r="196" spans="9:22" x14ac:dyDescent="0.25">
      <c r="I196" t="s">
        <v>169</v>
      </c>
      <c r="J196" t="s">
        <v>287</v>
      </c>
      <c r="K196">
        <v>0.50679495019312637</v>
      </c>
      <c r="L196" t="s">
        <v>154</v>
      </c>
      <c r="N196" t="s">
        <v>199</v>
      </c>
      <c r="O196" t="s">
        <v>287</v>
      </c>
      <c r="P196">
        <v>0.19725110968215653</v>
      </c>
      <c r="Q196" t="s">
        <v>154</v>
      </c>
      <c r="S196" t="s">
        <v>230</v>
      </c>
      <c r="T196" t="s">
        <v>287</v>
      </c>
      <c r="U196">
        <v>0.18165334295496846</v>
      </c>
      <c r="V196" t="s">
        <v>154</v>
      </c>
    </row>
    <row r="197" spans="9:22" x14ac:dyDescent="0.25">
      <c r="I197" t="s">
        <v>169</v>
      </c>
      <c r="J197" t="s">
        <v>288</v>
      </c>
      <c r="K197">
        <v>3.5833899928600893E-2</v>
      </c>
      <c r="L197" t="s">
        <v>154</v>
      </c>
      <c r="N197" t="s">
        <v>199</v>
      </c>
      <c r="O197" t="s">
        <v>288</v>
      </c>
      <c r="P197">
        <v>2.9558551871422152E-2</v>
      </c>
      <c r="Q197" t="s">
        <v>154</v>
      </c>
      <c r="S197" t="s">
        <v>230</v>
      </c>
      <c r="T197" t="s">
        <v>288</v>
      </c>
      <c r="U197">
        <v>2.6479031186901814E-2</v>
      </c>
      <c r="V197" t="s">
        <v>154</v>
      </c>
    </row>
    <row r="198" spans="9:22" x14ac:dyDescent="0.25">
      <c r="I198" t="s">
        <v>169</v>
      </c>
      <c r="J198" t="s">
        <v>315</v>
      </c>
      <c r="K198">
        <v>1.1518034953902433E-2</v>
      </c>
      <c r="L198" t="s">
        <v>154</v>
      </c>
      <c r="N198" t="s">
        <v>199</v>
      </c>
      <c r="O198" t="s">
        <v>315</v>
      </c>
      <c r="P198">
        <v>2.1231116095260332E-2</v>
      </c>
      <c r="Q198" t="s">
        <v>154</v>
      </c>
      <c r="S198" t="s">
        <v>230</v>
      </c>
      <c r="T198" t="s">
        <v>315</v>
      </c>
      <c r="U198">
        <v>2.6479835394346084E-2</v>
      </c>
      <c r="V198" t="s">
        <v>154</v>
      </c>
    </row>
    <row r="199" spans="9:22" x14ac:dyDescent="0.25">
      <c r="I199" t="s">
        <v>169</v>
      </c>
      <c r="J199" t="s">
        <v>316</v>
      </c>
      <c r="K199">
        <v>0</v>
      </c>
      <c r="L199" t="s">
        <v>154</v>
      </c>
      <c r="N199" t="s">
        <v>199</v>
      </c>
      <c r="O199" t="s">
        <v>316</v>
      </c>
      <c r="P199">
        <v>0.12042927334024524</v>
      </c>
      <c r="Q199" t="s">
        <v>154</v>
      </c>
      <c r="S199" t="s">
        <v>230</v>
      </c>
      <c r="T199" t="s">
        <v>316</v>
      </c>
      <c r="U199">
        <v>0.12261980912515258</v>
      </c>
      <c r="V199" t="s">
        <v>154</v>
      </c>
    </row>
    <row r="200" spans="9:22" x14ac:dyDescent="0.25">
      <c r="I200" t="s">
        <v>169</v>
      </c>
      <c r="J200" t="s">
        <v>163</v>
      </c>
      <c r="K200">
        <v>4.5333919746576617E-5</v>
      </c>
      <c r="L200" t="s">
        <v>154</v>
      </c>
      <c r="N200" t="s">
        <v>199</v>
      </c>
      <c r="O200" t="s">
        <v>163</v>
      </c>
      <c r="P200">
        <v>1.3417599585022595E-2</v>
      </c>
      <c r="Q200" t="s">
        <v>154</v>
      </c>
      <c r="S200" t="s">
        <v>230</v>
      </c>
      <c r="T200" t="s">
        <v>163</v>
      </c>
      <c r="U200">
        <v>1.3636577901784117E-2</v>
      </c>
      <c r="V200" t="s">
        <v>154</v>
      </c>
    </row>
    <row r="201" spans="9:22" x14ac:dyDescent="0.25">
      <c r="I201" t="s">
        <v>169</v>
      </c>
      <c r="J201" t="s">
        <v>164</v>
      </c>
      <c r="K201">
        <v>3.3743481724040235E-3</v>
      </c>
      <c r="L201" t="s">
        <v>154</v>
      </c>
      <c r="N201" t="s">
        <v>199</v>
      </c>
      <c r="O201" t="s">
        <v>164</v>
      </c>
      <c r="P201">
        <v>3.0575887861445826E-3</v>
      </c>
      <c r="Q201" t="s">
        <v>154</v>
      </c>
      <c r="S201" t="s">
        <v>230</v>
      </c>
      <c r="T201" t="s">
        <v>164</v>
      </c>
      <c r="U201">
        <v>3.9046731814181973E-3</v>
      </c>
      <c r="V201" t="s">
        <v>154</v>
      </c>
    </row>
    <row r="202" spans="9:22" x14ac:dyDescent="0.25">
      <c r="I202" t="s">
        <v>169</v>
      </c>
      <c r="J202" t="s">
        <v>165</v>
      </c>
      <c r="K202">
        <v>2.6098072389037089E-3</v>
      </c>
      <c r="L202" t="s">
        <v>154</v>
      </c>
      <c r="N202" t="s">
        <v>199</v>
      </c>
      <c r="O202" t="s">
        <v>165</v>
      </c>
      <c r="P202">
        <v>1.8895830117716288E-3</v>
      </c>
      <c r="Q202" t="s">
        <v>154</v>
      </c>
      <c r="S202" t="s">
        <v>230</v>
      </c>
      <c r="T202" t="s">
        <v>165</v>
      </c>
      <c r="U202">
        <v>2.0074149291268929E-3</v>
      </c>
      <c r="V202" t="s">
        <v>154</v>
      </c>
    </row>
    <row r="203" spans="9:22" x14ac:dyDescent="0.25">
      <c r="I203" t="s">
        <v>169</v>
      </c>
      <c r="J203" t="s">
        <v>289</v>
      </c>
      <c r="K203">
        <v>1.691487243984419E-2</v>
      </c>
      <c r="L203" t="s">
        <v>154</v>
      </c>
      <c r="N203" t="s">
        <v>199</v>
      </c>
      <c r="O203" t="s">
        <v>289</v>
      </c>
      <c r="P203">
        <v>1.4854853128674758E-2</v>
      </c>
      <c r="Q203" t="s">
        <v>154</v>
      </c>
      <c r="S203" t="s">
        <v>230</v>
      </c>
      <c r="T203" t="s">
        <v>289</v>
      </c>
      <c r="U203">
        <v>1.4701939223668605E-2</v>
      </c>
      <c r="V203" t="s">
        <v>154</v>
      </c>
    </row>
    <row r="204" spans="9:22" x14ac:dyDescent="0.25">
      <c r="I204" t="s">
        <v>169</v>
      </c>
      <c r="J204" t="s">
        <v>290</v>
      </c>
      <c r="K204">
        <v>3.1929125212124991E-4</v>
      </c>
      <c r="L204" t="s">
        <v>154</v>
      </c>
      <c r="N204" t="s">
        <v>199</v>
      </c>
      <c r="O204" t="s">
        <v>290</v>
      </c>
      <c r="P204">
        <v>2.4853940954643462E-3</v>
      </c>
      <c r="Q204" t="s">
        <v>154</v>
      </c>
      <c r="S204" t="s">
        <v>230</v>
      </c>
      <c r="T204" t="s">
        <v>290</v>
      </c>
      <c r="U204">
        <v>2.1531463895349745E-3</v>
      </c>
      <c r="V204" t="s">
        <v>154</v>
      </c>
    </row>
    <row r="205" spans="9:22" x14ac:dyDescent="0.25">
      <c r="I205" t="s">
        <v>169</v>
      </c>
      <c r="J205" t="s">
        <v>317</v>
      </c>
      <c r="K205">
        <v>0</v>
      </c>
      <c r="L205" t="s">
        <v>154</v>
      </c>
      <c r="N205" t="s">
        <v>199</v>
      </c>
      <c r="O205" t="s">
        <v>317</v>
      </c>
      <c r="P205">
        <v>1.6793413158406058E-3</v>
      </c>
      <c r="Q205" t="s">
        <v>154</v>
      </c>
      <c r="S205" t="s">
        <v>230</v>
      </c>
      <c r="T205" t="s">
        <v>317</v>
      </c>
      <c r="U205">
        <v>2.111600497428096E-3</v>
      </c>
      <c r="V205" t="s">
        <v>154</v>
      </c>
    </row>
    <row r="206" spans="9:22" x14ac:dyDescent="0.25">
      <c r="I206" t="s">
        <v>169</v>
      </c>
      <c r="J206" t="s">
        <v>318</v>
      </c>
      <c r="K206">
        <v>0</v>
      </c>
      <c r="L206" t="s">
        <v>154</v>
      </c>
      <c r="N206" t="s">
        <v>199</v>
      </c>
      <c r="O206" t="s">
        <v>318</v>
      </c>
      <c r="P206">
        <v>9.6274322208331382E-3</v>
      </c>
      <c r="Q206" t="s">
        <v>154</v>
      </c>
      <c r="S206" t="s">
        <v>230</v>
      </c>
      <c r="T206" t="s">
        <v>318</v>
      </c>
      <c r="U206">
        <v>1.0493405575182026E-2</v>
      </c>
      <c r="V206" t="s">
        <v>154</v>
      </c>
    </row>
    <row r="207" spans="9:22" x14ac:dyDescent="0.25">
      <c r="I207" t="s">
        <v>169</v>
      </c>
      <c r="J207" t="s">
        <v>297</v>
      </c>
      <c r="K207">
        <v>0</v>
      </c>
      <c r="L207" t="s">
        <v>154</v>
      </c>
      <c r="N207" t="s">
        <v>199</v>
      </c>
      <c r="O207" t="s">
        <v>297</v>
      </c>
      <c r="P207">
        <v>1.6502700054870763E-2</v>
      </c>
      <c r="Q207" t="s">
        <v>154</v>
      </c>
      <c r="S207" t="s">
        <v>230</v>
      </c>
      <c r="T207" t="s">
        <v>297</v>
      </c>
      <c r="U207">
        <v>2.263863231742291E-2</v>
      </c>
      <c r="V207" t="s">
        <v>154</v>
      </c>
    </row>
    <row r="208" spans="9:22" x14ac:dyDescent="0.25">
      <c r="I208" t="s">
        <v>169</v>
      </c>
      <c r="J208" t="s">
        <v>298</v>
      </c>
      <c r="K208">
        <v>9.9185909261415503E-3</v>
      </c>
      <c r="L208" t="s">
        <v>154</v>
      </c>
      <c r="N208" t="s">
        <v>199</v>
      </c>
      <c r="O208" t="s">
        <v>298</v>
      </c>
      <c r="P208">
        <v>3.4144789098240276E-3</v>
      </c>
      <c r="Q208" t="s">
        <v>154</v>
      </c>
      <c r="S208" t="s">
        <v>230</v>
      </c>
      <c r="T208" t="s">
        <v>298</v>
      </c>
      <c r="U208">
        <v>5.7644661324122298E-3</v>
      </c>
      <c r="V208" t="s">
        <v>154</v>
      </c>
    </row>
    <row r="209" spans="9:22" x14ac:dyDescent="0.25">
      <c r="I209" t="s">
        <v>169</v>
      </c>
      <c r="J209" t="s">
        <v>299</v>
      </c>
      <c r="K209">
        <v>8.2453995157547311E-3</v>
      </c>
      <c r="L209" t="s">
        <v>154</v>
      </c>
      <c r="N209" t="s">
        <v>199</v>
      </c>
      <c r="O209" t="s">
        <v>299</v>
      </c>
      <c r="P209">
        <v>2.2486793804994136E-3</v>
      </c>
      <c r="Q209" t="s">
        <v>154</v>
      </c>
      <c r="S209" t="s">
        <v>230</v>
      </c>
      <c r="T209" t="s">
        <v>299</v>
      </c>
      <c r="U209">
        <v>3.0051433786227369E-3</v>
      </c>
      <c r="V209" t="s">
        <v>154</v>
      </c>
    </row>
    <row r="210" spans="9:22" x14ac:dyDescent="0.25">
      <c r="I210" t="s">
        <v>169</v>
      </c>
      <c r="J210" t="s">
        <v>300</v>
      </c>
      <c r="K210">
        <v>5.021470568299409E-2</v>
      </c>
      <c r="L210" t="s">
        <v>154</v>
      </c>
      <c r="N210" t="s">
        <v>199</v>
      </c>
      <c r="O210" t="s">
        <v>300</v>
      </c>
      <c r="P210">
        <v>2.0329589285790491E-2</v>
      </c>
      <c r="Q210" t="s">
        <v>154</v>
      </c>
      <c r="S210" t="s">
        <v>230</v>
      </c>
      <c r="T210" t="s">
        <v>300</v>
      </c>
      <c r="U210">
        <v>2.1750307441461354E-2</v>
      </c>
      <c r="V210" t="s">
        <v>154</v>
      </c>
    </row>
    <row r="211" spans="9:22" x14ac:dyDescent="0.25">
      <c r="I211" t="s">
        <v>169</v>
      </c>
      <c r="J211" t="s">
        <v>301</v>
      </c>
      <c r="K211">
        <v>0</v>
      </c>
      <c r="L211" t="s">
        <v>154</v>
      </c>
      <c r="N211" t="s">
        <v>199</v>
      </c>
      <c r="O211" t="s">
        <v>301</v>
      </c>
      <c r="P211">
        <v>2.4483787529524723E-3</v>
      </c>
      <c r="Q211" t="s">
        <v>154</v>
      </c>
      <c r="S211" t="s">
        <v>230</v>
      </c>
      <c r="T211" t="s">
        <v>301</v>
      </c>
      <c r="U211">
        <v>3.6146832060256623E-3</v>
      </c>
      <c r="V211" t="s">
        <v>154</v>
      </c>
    </row>
    <row r="212" spans="9:22" x14ac:dyDescent="0.25">
      <c r="I212" t="s">
        <v>169</v>
      </c>
      <c r="J212" t="s">
        <v>319</v>
      </c>
      <c r="K212">
        <v>0</v>
      </c>
      <c r="L212" t="s">
        <v>154</v>
      </c>
      <c r="N212" t="s">
        <v>199</v>
      </c>
      <c r="O212" t="s">
        <v>319</v>
      </c>
      <c r="P212">
        <v>2.0608061973449244E-3</v>
      </c>
      <c r="Q212" t="s">
        <v>154</v>
      </c>
      <c r="S212" t="s">
        <v>230</v>
      </c>
      <c r="T212" t="s">
        <v>319</v>
      </c>
      <c r="U212">
        <v>3.690131479549602E-3</v>
      </c>
      <c r="V212" t="s">
        <v>154</v>
      </c>
    </row>
    <row r="213" spans="9:22" x14ac:dyDescent="0.25">
      <c r="I213" t="s">
        <v>169</v>
      </c>
      <c r="J213" t="s">
        <v>320</v>
      </c>
      <c r="K213">
        <v>0</v>
      </c>
      <c r="L213" t="s">
        <v>154</v>
      </c>
      <c r="N213" t="s">
        <v>199</v>
      </c>
      <c r="O213" t="s">
        <v>320</v>
      </c>
      <c r="P213">
        <v>1.140715543143059E-2</v>
      </c>
      <c r="Q213" t="s">
        <v>154</v>
      </c>
      <c r="S213" t="s">
        <v>230</v>
      </c>
      <c r="T213" t="s">
        <v>320</v>
      </c>
      <c r="U213">
        <v>1.74728681852971E-2</v>
      </c>
      <c r="V213" t="s">
        <v>154</v>
      </c>
    </row>
    <row r="214" spans="9:22" x14ac:dyDescent="0.25">
      <c r="I214" t="s">
        <v>169</v>
      </c>
      <c r="J214" t="s">
        <v>302</v>
      </c>
      <c r="K214">
        <v>0</v>
      </c>
      <c r="L214" t="s">
        <v>154</v>
      </c>
      <c r="N214" t="s">
        <v>199</v>
      </c>
      <c r="O214" t="s">
        <v>302</v>
      </c>
      <c r="P214">
        <v>4.0831296686734221E-2</v>
      </c>
      <c r="Q214" t="s">
        <v>154</v>
      </c>
      <c r="S214" t="s">
        <v>230</v>
      </c>
      <c r="T214" t="s">
        <v>302</v>
      </c>
      <c r="U214">
        <v>3.6610548664438559E-2</v>
      </c>
      <c r="V214" t="s">
        <v>154</v>
      </c>
    </row>
    <row r="215" spans="9:22" x14ac:dyDescent="0.25">
      <c r="I215" t="s">
        <v>169</v>
      </c>
      <c r="J215" t="s">
        <v>303</v>
      </c>
      <c r="K215">
        <v>9.1777485465692095E-3</v>
      </c>
      <c r="L215" t="s">
        <v>154</v>
      </c>
      <c r="N215" t="s">
        <v>199</v>
      </c>
      <c r="O215" t="s">
        <v>303</v>
      </c>
      <c r="P215">
        <v>9.7740058782500513E-3</v>
      </c>
      <c r="Q215" t="s">
        <v>154</v>
      </c>
      <c r="S215" t="s">
        <v>230</v>
      </c>
      <c r="T215" t="s">
        <v>303</v>
      </c>
      <c r="U215">
        <v>1.024167403495548E-2</v>
      </c>
      <c r="V215" t="s">
        <v>154</v>
      </c>
    </row>
    <row r="216" spans="9:22" x14ac:dyDescent="0.25">
      <c r="I216" t="s">
        <v>169</v>
      </c>
      <c r="J216" t="s">
        <v>304</v>
      </c>
      <c r="K216">
        <v>8.4854996828188142E-3</v>
      </c>
      <c r="L216" t="s">
        <v>154</v>
      </c>
      <c r="N216" t="s">
        <v>199</v>
      </c>
      <c r="O216" t="s">
        <v>304</v>
      </c>
      <c r="P216">
        <v>5.6301711153068862E-3</v>
      </c>
      <c r="Q216" t="s">
        <v>154</v>
      </c>
      <c r="S216" t="s">
        <v>230</v>
      </c>
      <c r="T216" t="s">
        <v>304</v>
      </c>
      <c r="U216">
        <v>5.2854214969321502E-3</v>
      </c>
      <c r="V216" t="s">
        <v>154</v>
      </c>
    </row>
    <row r="217" spans="9:22" x14ac:dyDescent="0.25">
      <c r="I217" t="s">
        <v>169</v>
      </c>
      <c r="J217" t="s">
        <v>305</v>
      </c>
      <c r="K217">
        <v>5.6223087111615278E-2</v>
      </c>
      <c r="L217" t="s">
        <v>154</v>
      </c>
      <c r="N217" t="s">
        <v>199</v>
      </c>
      <c r="O217" t="s">
        <v>305</v>
      </c>
      <c r="P217">
        <v>5.0782912460823136E-2</v>
      </c>
      <c r="Q217" t="s">
        <v>154</v>
      </c>
      <c r="S217" t="s">
        <v>230</v>
      </c>
      <c r="T217" t="s">
        <v>305</v>
      </c>
      <c r="U217">
        <v>3.7238137904463807E-2</v>
      </c>
      <c r="V217" t="s">
        <v>154</v>
      </c>
    </row>
    <row r="218" spans="9:22" x14ac:dyDescent="0.25">
      <c r="I218" t="s">
        <v>169</v>
      </c>
      <c r="J218" t="s">
        <v>306</v>
      </c>
      <c r="K218">
        <v>0</v>
      </c>
      <c r="L218" t="s">
        <v>154</v>
      </c>
      <c r="N218" t="s">
        <v>199</v>
      </c>
      <c r="O218" t="s">
        <v>306</v>
      </c>
      <c r="P218">
        <v>5.5648695111622688E-3</v>
      </c>
      <c r="Q218" t="s">
        <v>154</v>
      </c>
      <c r="S218" t="s">
        <v>230</v>
      </c>
      <c r="T218" t="s">
        <v>306</v>
      </c>
      <c r="U218">
        <v>5.4272833367014755E-3</v>
      </c>
      <c r="V218" t="s">
        <v>154</v>
      </c>
    </row>
    <row r="219" spans="9:22" x14ac:dyDescent="0.25">
      <c r="I219" t="s">
        <v>169</v>
      </c>
      <c r="J219" t="s">
        <v>321</v>
      </c>
      <c r="K219">
        <v>0</v>
      </c>
      <c r="L219" t="s">
        <v>154</v>
      </c>
      <c r="N219" t="s">
        <v>199</v>
      </c>
      <c r="O219" t="s">
        <v>321</v>
      </c>
      <c r="P219">
        <v>4.7835425358549125E-3</v>
      </c>
      <c r="Q219" t="s">
        <v>154</v>
      </c>
      <c r="S219" t="s">
        <v>230</v>
      </c>
      <c r="T219" t="s">
        <v>321</v>
      </c>
      <c r="U219">
        <v>5.3760310949905413E-3</v>
      </c>
      <c r="V219" t="s">
        <v>154</v>
      </c>
    </row>
    <row r="220" spans="9:22" x14ac:dyDescent="0.25">
      <c r="I220" t="s">
        <v>169</v>
      </c>
      <c r="J220" t="s">
        <v>322</v>
      </c>
      <c r="K220">
        <v>0</v>
      </c>
      <c r="L220" t="s">
        <v>154</v>
      </c>
      <c r="N220" t="s">
        <v>199</v>
      </c>
      <c r="O220" t="s">
        <v>322</v>
      </c>
      <c r="P220">
        <v>2.3693546027425929E-2</v>
      </c>
      <c r="Q220" t="s">
        <v>154</v>
      </c>
      <c r="S220" t="s">
        <v>230</v>
      </c>
      <c r="T220" t="s">
        <v>322</v>
      </c>
      <c r="U220">
        <v>2.6542804293917224E-2</v>
      </c>
      <c r="V220" t="s">
        <v>154</v>
      </c>
    </row>
    <row r="221" spans="9:22" x14ac:dyDescent="0.25">
      <c r="I221" t="s">
        <v>170</v>
      </c>
      <c r="J221" t="s">
        <v>153</v>
      </c>
      <c r="K221">
        <v>0</v>
      </c>
      <c r="L221" t="s">
        <v>154</v>
      </c>
      <c r="N221" t="s">
        <v>200</v>
      </c>
      <c r="O221" t="s">
        <v>153</v>
      </c>
      <c r="P221">
        <v>3.2979343088577792E-2</v>
      </c>
      <c r="Q221" t="s">
        <v>154</v>
      </c>
      <c r="S221" t="s">
        <v>231</v>
      </c>
      <c r="T221" t="s">
        <v>153</v>
      </c>
      <c r="U221">
        <v>3.3287313573130792E-2</v>
      </c>
      <c r="V221" t="s">
        <v>154</v>
      </c>
    </row>
    <row r="222" spans="9:22" x14ac:dyDescent="0.25">
      <c r="I222" t="s">
        <v>170</v>
      </c>
      <c r="J222" t="s">
        <v>155</v>
      </c>
      <c r="K222">
        <v>5.2290049828754613E-3</v>
      </c>
      <c r="L222" t="s">
        <v>154</v>
      </c>
      <c r="N222" t="s">
        <v>200</v>
      </c>
      <c r="O222" t="s">
        <v>155</v>
      </c>
      <c r="P222">
        <v>7.3617679446559454E-3</v>
      </c>
      <c r="Q222" t="s">
        <v>154</v>
      </c>
      <c r="S222" t="s">
        <v>231</v>
      </c>
      <c r="T222" t="s">
        <v>155</v>
      </c>
      <c r="U222">
        <v>9.6595178577419723E-3</v>
      </c>
      <c r="V222" t="s">
        <v>154</v>
      </c>
    </row>
    <row r="223" spans="9:22" x14ac:dyDescent="0.25">
      <c r="I223" t="s">
        <v>170</v>
      </c>
      <c r="J223" t="s">
        <v>156</v>
      </c>
      <c r="K223">
        <v>8.7699862997465006E-3</v>
      </c>
      <c r="L223" t="s">
        <v>154</v>
      </c>
      <c r="N223" t="s">
        <v>200</v>
      </c>
      <c r="O223" t="s">
        <v>156</v>
      </c>
      <c r="P223">
        <v>3.8884835877674049E-3</v>
      </c>
      <c r="Q223" t="s">
        <v>154</v>
      </c>
      <c r="S223" t="s">
        <v>231</v>
      </c>
      <c r="T223" t="s">
        <v>156</v>
      </c>
      <c r="U223">
        <v>4.9085632489445164E-3</v>
      </c>
      <c r="V223" t="s">
        <v>154</v>
      </c>
    </row>
    <row r="224" spans="9:22" x14ac:dyDescent="0.25">
      <c r="I224" t="s">
        <v>170</v>
      </c>
      <c r="J224" t="s">
        <v>283</v>
      </c>
      <c r="K224">
        <v>6.767616506058062E-2</v>
      </c>
      <c r="L224" t="s">
        <v>154</v>
      </c>
      <c r="N224" t="s">
        <v>200</v>
      </c>
      <c r="O224" t="s">
        <v>283</v>
      </c>
      <c r="P224">
        <v>4.4229783964119827E-2</v>
      </c>
      <c r="Q224" t="s">
        <v>154</v>
      </c>
      <c r="S224" t="s">
        <v>231</v>
      </c>
      <c r="T224" t="s">
        <v>283</v>
      </c>
      <c r="U224">
        <v>3.3719458483276461E-2</v>
      </c>
      <c r="V224" t="s">
        <v>154</v>
      </c>
    </row>
    <row r="225" spans="9:22" x14ac:dyDescent="0.25">
      <c r="I225" t="s">
        <v>170</v>
      </c>
      <c r="J225" t="s">
        <v>284</v>
      </c>
      <c r="K225">
        <v>4.6582972139472129E-3</v>
      </c>
      <c r="L225" t="s">
        <v>154</v>
      </c>
      <c r="N225" t="s">
        <v>200</v>
      </c>
      <c r="O225" t="s">
        <v>284</v>
      </c>
      <c r="P225">
        <v>6.1812625748590023E-3</v>
      </c>
      <c r="Q225" t="s">
        <v>154</v>
      </c>
      <c r="S225" t="s">
        <v>231</v>
      </c>
      <c r="T225" t="s">
        <v>284</v>
      </c>
      <c r="U225">
        <v>4.8830783566829981E-3</v>
      </c>
      <c r="V225" t="s">
        <v>154</v>
      </c>
    </row>
    <row r="226" spans="9:22" x14ac:dyDescent="0.25">
      <c r="I226" t="s">
        <v>170</v>
      </c>
      <c r="J226" t="s">
        <v>311</v>
      </c>
      <c r="K226">
        <v>0</v>
      </c>
      <c r="L226" t="s">
        <v>154</v>
      </c>
      <c r="N226" t="s">
        <v>200</v>
      </c>
      <c r="O226" t="s">
        <v>311</v>
      </c>
      <c r="P226">
        <v>5.5148628207992521E-3</v>
      </c>
      <c r="Q226" t="s">
        <v>154</v>
      </c>
      <c r="S226" t="s">
        <v>231</v>
      </c>
      <c r="T226" t="s">
        <v>311</v>
      </c>
      <c r="U226">
        <v>4.8340414575843123E-3</v>
      </c>
      <c r="V226" t="s">
        <v>154</v>
      </c>
    </row>
    <row r="227" spans="9:22" x14ac:dyDescent="0.25">
      <c r="I227" t="s">
        <v>170</v>
      </c>
      <c r="J227" t="s">
        <v>312</v>
      </c>
      <c r="K227">
        <v>0</v>
      </c>
      <c r="L227" t="s">
        <v>154</v>
      </c>
      <c r="N227" t="s">
        <v>200</v>
      </c>
      <c r="O227" t="s">
        <v>312</v>
      </c>
      <c r="P227">
        <v>2.2547078298084031E-2</v>
      </c>
      <c r="Q227" t="s">
        <v>154</v>
      </c>
      <c r="S227" t="s">
        <v>231</v>
      </c>
      <c r="T227" t="s">
        <v>312</v>
      </c>
      <c r="U227">
        <v>2.6118593381122233E-2</v>
      </c>
      <c r="V227" t="s">
        <v>154</v>
      </c>
    </row>
    <row r="228" spans="9:22" x14ac:dyDescent="0.25">
      <c r="I228" t="s">
        <v>170</v>
      </c>
      <c r="J228" t="s">
        <v>157</v>
      </c>
      <c r="K228">
        <v>0</v>
      </c>
      <c r="L228" t="s">
        <v>154</v>
      </c>
      <c r="N228" t="s">
        <v>200</v>
      </c>
      <c r="O228" t="s">
        <v>157</v>
      </c>
      <c r="P228">
        <v>1.0808241809233924E-2</v>
      </c>
      <c r="Q228" t="s">
        <v>154</v>
      </c>
      <c r="S228" t="s">
        <v>231</v>
      </c>
      <c r="T228" t="s">
        <v>157</v>
      </c>
      <c r="U228">
        <v>1.0582776835264646E-2</v>
      </c>
      <c r="V228" t="s">
        <v>154</v>
      </c>
    </row>
    <row r="229" spans="9:22" x14ac:dyDescent="0.25">
      <c r="I229" t="s">
        <v>170</v>
      </c>
      <c r="J229" t="s">
        <v>158</v>
      </c>
      <c r="K229">
        <v>1.1316259536161726E-3</v>
      </c>
      <c r="L229" t="s">
        <v>154</v>
      </c>
      <c r="N229" t="s">
        <v>200</v>
      </c>
      <c r="O229" t="s">
        <v>158</v>
      </c>
      <c r="P229">
        <v>1.9335691432626372E-3</v>
      </c>
      <c r="Q229" t="s">
        <v>154</v>
      </c>
      <c r="S229" t="s">
        <v>231</v>
      </c>
      <c r="T229" t="s">
        <v>158</v>
      </c>
      <c r="U229">
        <v>3.0892783144242787E-3</v>
      </c>
      <c r="V229" t="s">
        <v>154</v>
      </c>
    </row>
    <row r="230" spans="9:22" x14ac:dyDescent="0.25">
      <c r="I230" t="s">
        <v>170</v>
      </c>
      <c r="J230" t="s">
        <v>159</v>
      </c>
      <c r="K230">
        <v>1.979363095873671E-3</v>
      </c>
      <c r="L230" t="s">
        <v>154</v>
      </c>
      <c r="N230" t="s">
        <v>200</v>
      </c>
      <c r="O230" t="s">
        <v>159</v>
      </c>
      <c r="P230">
        <v>8.7780975226378882E-4</v>
      </c>
      <c r="Q230" t="s">
        <v>154</v>
      </c>
      <c r="S230" t="s">
        <v>231</v>
      </c>
      <c r="T230" t="s">
        <v>159</v>
      </c>
      <c r="U230">
        <v>1.5349280353626586E-3</v>
      </c>
      <c r="V230" t="s">
        <v>154</v>
      </c>
    </row>
    <row r="231" spans="9:22" x14ac:dyDescent="0.25">
      <c r="I231" t="s">
        <v>170</v>
      </c>
      <c r="J231" t="s">
        <v>285</v>
      </c>
      <c r="K231">
        <v>1.8446143436480374E-2</v>
      </c>
      <c r="L231" t="s">
        <v>154</v>
      </c>
      <c r="N231" t="s">
        <v>200</v>
      </c>
      <c r="O231" t="s">
        <v>285</v>
      </c>
      <c r="P231">
        <v>9.8359762161028506E-3</v>
      </c>
      <c r="Q231" t="s">
        <v>154</v>
      </c>
      <c r="S231" t="s">
        <v>231</v>
      </c>
      <c r="T231" t="s">
        <v>285</v>
      </c>
      <c r="U231">
        <v>1.033863576741924E-2</v>
      </c>
      <c r="V231" t="s">
        <v>154</v>
      </c>
    </row>
    <row r="232" spans="9:22" x14ac:dyDescent="0.25">
      <c r="I232" t="s">
        <v>170</v>
      </c>
      <c r="J232" t="s">
        <v>286</v>
      </c>
      <c r="K232">
        <v>1.6934873318591283E-3</v>
      </c>
      <c r="L232" t="s">
        <v>154</v>
      </c>
      <c r="N232" t="s">
        <v>200</v>
      </c>
      <c r="O232" t="s">
        <v>286</v>
      </c>
      <c r="P232">
        <v>1.2152761316657019E-3</v>
      </c>
      <c r="Q232" t="s">
        <v>154</v>
      </c>
      <c r="S232" t="s">
        <v>231</v>
      </c>
      <c r="T232" t="s">
        <v>286</v>
      </c>
      <c r="U232">
        <v>1.5351810964995423E-3</v>
      </c>
      <c r="V232" t="s">
        <v>154</v>
      </c>
    </row>
    <row r="233" spans="9:22" x14ac:dyDescent="0.25">
      <c r="I233" t="s">
        <v>170</v>
      </c>
      <c r="J233" t="s">
        <v>313</v>
      </c>
      <c r="K233">
        <v>0</v>
      </c>
      <c r="L233" t="s">
        <v>154</v>
      </c>
      <c r="N233" t="s">
        <v>200</v>
      </c>
      <c r="O233" t="s">
        <v>313</v>
      </c>
      <c r="P233">
        <v>1.1511953914645628E-3</v>
      </c>
      <c r="Q233" t="s">
        <v>154</v>
      </c>
      <c r="S233" t="s">
        <v>231</v>
      </c>
      <c r="T233" t="s">
        <v>313</v>
      </c>
      <c r="U233">
        <v>1.475806372076251E-3</v>
      </c>
      <c r="V233" t="s">
        <v>154</v>
      </c>
    </row>
    <row r="234" spans="9:22" x14ac:dyDescent="0.25">
      <c r="I234" t="s">
        <v>170</v>
      </c>
      <c r="J234" t="s">
        <v>314</v>
      </c>
      <c r="K234">
        <v>0</v>
      </c>
      <c r="L234" t="s">
        <v>154</v>
      </c>
      <c r="N234" t="s">
        <v>200</v>
      </c>
      <c r="O234" t="s">
        <v>314</v>
      </c>
      <c r="P234">
        <v>5.1029700454664666E-3</v>
      </c>
      <c r="Q234" t="s">
        <v>154</v>
      </c>
      <c r="S234" t="s">
        <v>231</v>
      </c>
      <c r="T234" t="s">
        <v>314</v>
      </c>
      <c r="U234">
        <v>7.89269106469981E-3</v>
      </c>
      <c r="V234" t="s">
        <v>154</v>
      </c>
    </row>
    <row r="235" spans="9:22" x14ac:dyDescent="0.25">
      <c r="I235" t="s">
        <v>170</v>
      </c>
      <c r="J235" t="s">
        <v>160</v>
      </c>
      <c r="K235">
        <v>8.8292599770118402E-3</v>
      </c>
      <c r="L235" t="s">
        <v>154</v>
      </c>
      <c r="N235" t="s">
        <v>200</v>
      </c>
      <c r="O235" t="s">
        <v>160</v>
      </c>
      <c r="P235">
        <v>0.16428570225082212</v>
      </c>
      <c r="Q235" t="s">
        <v>154</v>
      </c>
      <c r="S235" t="s">
        <v>231</v>
      </c>
      <c r="T235" t="s">
        <v>160</v>
      </c>
      <c r="U235">
        <v>0.18558988699938339</v>
      </c>
      <c r="V235" t="s">
        <v>154</v>
      </c>
    </row>
    <row r="236" spans="9:22" x14ac:dyDescent="0.25">
      <c r="I236" t="s">
        <v>170</v>
      </c>
      <c r="J236" t="s">
        <v>161</v>
      </c>
      <c r="K236">
        <v>7.8847991509731999E-2</v>
      </c>
      <c r="L236" t="s">
        <v>154</v>
      </c>
      <c r="N236" t="s">
        <v>200</v>
      </c>
      <c r="O236" t="s">
        <v>161</v>
      </c>
      <c r="P236">
        <v>3.5240521637300404E-2</v>
      </c>
      <c r="Q236" t="s">
        <v>154</v>
      </c>
      <c r="S236" t="s">
        <v>231</v>
      </c>
      <c r="T236" t="s">
        <v>161</v>
      </c>
      <c r="U236">
        <v>4.8218183893819357E-2</v>
      </c>
      <c r="V236" t="s">
        <v>154</v>
      </c>
    </row>
    <row r="237" spans="9:22" x14ac:dyDescent="0.25">
      <c r="I237" t="s">
        <v>170</v>
      </c>
      <c r="J237" t="s">
        <v>162</v>
      </c>
      <c r="K237">
        <v>6.4111186363581388E-2</v>
      </c>
      <c r="L237" t="s">
        <v>154</v>
      </c>
      <c r="N237" t="s">
        <v>200</v>
      </c>
      <c r="O237" t="s">
        <v>162</v>
      </c>
      <c r="P237">
        <v>2.3293335368715407E-2</v>
      </c>
      <c r="Q237" t="s">
        <v>154</v>
      </c>
      <c r="S237" t="s">
        <v>231</v>
      </c>
      <c r="T237" t="s">
        <v>162</v>
      </c>
      <c r="U237">
        <v>2.4691448526347144E-2</v>
      </c>
      <c r="V237" t="s">
        <v>154</v>
      </c>
    </row>
    <row r="238" spans="9:22" x14ac:dyDescent="0.25">
      <c r="I238" t="s">
        <v>170</v>
      </c>
      <c r="J238" t="s">
        <v>287</v>
      </c>
      <c r="K238">
        <v>0.50264124681628719</v>
      </c>
      <c r="L238" t="s">
        <v>154</v>
      </c>
      <c r="N238" t="s">
        <v>200</v>
      </c>
      <c r="O238" t="s">
        <v>287</v>
      </c>
      <c r="P238">
        <v>0.22616988536593505</v>
      </c>
      <c r="Q238" t="s">
        <v>154</v>
      </c>
      <c r="S238" t="s">
        <v>231</v>
      </c>
      <c r="T238" t="s">
        <v>287</v>
      </c>
      <c r="U238">
        <v>0.17448772702903426</v>
      </c>
      <c r="V238" t="s">
        <v>154</v>
      </c>
    </row>
    <row r="239" spans="9:22" x14ac:dyDescent="0.25">
      <c r="I239" t="s">
        <v>170</v>
      </c>
      <c r="J239" t="s">
        <v>288</v>
      </c>
      <c r="K239">
        <v>4.5274351147565825E-2</v>
      </c>
      <c r="L239" t="s">
        <v>154</v>
      </c>
      <c r="N239" t="s">
        <v>200</v>
      </c>
      <c r="O239" t="s">
        <v>288</v>
      </c>
      <c r="P239">
        <v>2.7899232884537641E-2</v>
      </c>
      <c r="Q239" t="s">
        <v>154</v>
      </c>
      <c r="S239" t="s">
        <v>231</v>
      </c>
      <c r="T239" t="s">
        <v>288</v>
      </c>
      <c r="U239">
        <v>2.5870095303767195E-2</v>
      </c>
      <c r="V239" t="s">
        <v>154</v>
      </c>
    </row>
    <row r="240" spans="9:22" x14ac:dyDescent="0.25">
      <c r="I240" t="s">
        <v>170</v>
      </c>
      <c r="J240" t="s">
        <v>315</v>
      </c>
      <c r="K240">
        <v>2.5947210765927691E-2</v>
      </c>
      <c r="L240" t="s">
        <v>154</v>
      </c>
      <c r="N240" t="s">
        <v>200</v>
      </c>
      <c r="O240" t="s">
        <v>315</v>
      </c>
      <c r="P240">
        <v>2.2815295567622448E-2</v>
      </c>
      <c r="Q240" t="s">
        <v>154</v>
      </c>
      <c r="S240" t="s">
        <v>231</v>
      </c>
      <c r="T240" t="s">
        <v>315</v>
      </c>
      <c r="U240">
        <v>2.3409502820677421E-2</v>
      </c>
      <c r="V240" t="s">
        <v>154</v>
      </c>
    </row>
    <row r="241" spans="9:22" x14ac:dyDescent="0.25">
      <c r="I241" t="s">
        <v>170</v>
      </c>
      <c r="J241" t="s">
        <v>316</v>
      </c>
      <c r="K241">
        <v>5.7369339410789982E-3</v>
      </c>
      <c r="L241" t="s">
        <v>154</v>
      </c>
      <c r="N241" t="s">
        <v>200</v>
      </c>
      <c r="O241" t="s">
        <v>316</v>
      </c>
      <c r="P241">
        <v>0.10142752507728638</v>
      </c>
      <c r="Q241" t="s">
        <v>154</v>
      </c>
      <c r="S241" t="s">
        <v>231</v>
      </c>
      <c r="T241" t="s">
        <v>316</v>
      </c>
      <c r="U241">
        <v>0.12835972646424942</v>
      </c>
      <c r="V241" t="s">
        <v>154</v>
      </c>
    </row>
    <row r="242" spans="9:22" x14ac:dyDescent="0.25">
      <c r="I242" t="s">
        <v>170</v>
      </c>
      <c r="J242" t="s">
        <v>163</v>
      </c>
      <c r="K242">
        <v>0</v>
      </c>
      <c r="L242" t="s">
        <v>154</v>
      </c>
      <c r="N242" t="s">
        <v>200</v>
      </c>
      <c r="O242" t="s">
        <v>163</v>
      </c>
      <c r="P242">
        <v>1.1638895129147718E-2</v>
      </c>
      <c r="Q242" t="s">
        <v>154</v>
      </c>
      <c r="S242" t="s">
        <v>231</v>
      </c>
      <c r="T242" t="s">
        <v>163</v>
      </c>
      <c r="U242">
        <v>1.4807357848697657E-2</v>
      </c>
      <c r="V242" t="s">
        <v>154</v>
      </c>
    </row>
    <row r="243" spans="9:22" x14ac:dyDescent="0.25">
      <c r="I243" t="s">
        <v>170</v>
      </c>
      <c r="J243" t="s">
        <v>164</v>
      </c>
      <c r="K243">
        <v>1.9227380648680801E-3</v>
      </c>
      <c r="L243" t="s">
        <v>154</v>
      </c>
      <c r="N243" t="s">
        <v>200</v>
      </c>
      <c r="O243" t="s">
        <v>164</v>
      </c>
      <c r="P243">
        <v>2.9321591332162199E-3</v>
      </c>
      <c r="Q243" t="s">
        <v>154</v>
      </c>
      <c r="S243" t="s">
        <v>231</v>
      </c>
      <c r="T243" t="s">
        <v>164</v>
      </c>
      <c r="U243">
        <v>4.3765380522858008E-3</v>
      </c>
      <c r="V243" t="s">
        <v>154</v>
      </c>
    </row>
    <row r="244" spans="9:22" x14ac:dyDescent="0.25">
      <c r="I244" t="s">
        <v>170</v>
      </c>
      <c r="J244" t="s">
        <v>165</v>
      </c>
      <c r="K244">
        <v>1.7028065474498052E-3</v>
      </c>
      <c r="L244" t="s">
        <v>154</v>
      </c>
      <c r="N244" t="s">
        <v>200</v>
      </c>
      <c r="O244" t="s">
        <v>165</v>
      </c>
      <c r="P244">
        <v>1.7407468337122588E-3</v>
      </c>
      <c r="Q244" t="s">
        <v>154</v>
      </c>
      <c r="S244" t="s">
        <v>231</v>
      </c>
      <c r="T244" t="s">
        <v>165</v>
      </c>
      <c r="U244">
        <v>2.1768451622192438E-3</v>
      </c>
      <c r="V244" t="s">
        <v>154</v>
      </c>
    </row>
    <row r="245" spans="9:22" x14ac:dyDescent="0.25">
      <c r="I245" t="s">
        <v>170</v>
      </c>
      <c r="J245" t="s">
        <v>289</v>
      </c>
      <c r="K245">
        <v>1.438935487553207E-2</v>
      </c>
      <c r="L245" t="s">
        <v>154</v>
      </c>
      <c r="N245" t="s">
        <v>200</v>
      </c>
      <c r="O245" t="s">
        <v>289</v>
      </c>
      <c r="P245">
        <v>1.3419609383177234E-2</v>
      </c>
      <c r="Q245" t="s">
        <v>154</v>
      </c>
      <c r="S245" t="s">
        <v>231</v>
      </c>
      <c r="T245" t="s">
        <v>289</v>
      </c>
      <c r="U245">
        <v>1.5112652670745992E-2</v>
      </c>
      <c r="V245" t="s">
        <v>154</v>
      </c>
    </row>
    <row r="246" spans="9:22" x14ac:dyDescent="0.25">
      <c r="I246" t="s">
        <v>170</v>
      </c>
      <c r="J246" t="s">
        <v>290</v>
      </c>
      <c r="K246">
        <v>7.5714276025857119E-4</v>
      </c>
      <c r="L246" t="s">
        <v>154</v>
      </c>
      <c r="N246" t="s">
        <v>200</v>
      </c>
      <c r="O246" t="s">
        <v>290</v>
      </c>
      <c r="P246">
        <v>1.7200512349619577E-3</v>
      </c>
      <c r="Q246" t="s">
        <v>154</v>
      </c>
      <c r="S246" t="s">
        <v>231</v>
      </c>
      <c r="T246" t="s">
        <v>290</v>
      </c>
      <c r="U246">
        <v>2.1801154422558277E-3</v>
      </c>
      <c r="V246" t="s">
        <v>154</v>
      </c>
    </row>
    <row r="247" spans="9:22" x14ac:dyDescent="0.25">
      <c r="I247" t="s">
        <v>170</v>
      </c>
      <c r="J247" t="s">
        <v>317</v>
      </c>
      <c r="K247">
        <v>0</v>
      </c>
      <c r="L247" t="s">
        <v>154</v>
      </c>
      <c r="N247" t="s">
        <v>200</v>
      </c>
      <c r="O247" t="s">
        <v>317</v>
      </c>
      <c r="P247">
        <v>1.4725055004151727E-3</v>
      </c>
      <c r="Q247" t="s">
        <v>154</v>
      </c>
      <c r="S247" t="s">
        <v>231</v>
      </c>
      <c r="T247" t="s">
        <v>317</v>
      </c>
      <c r="U247">
        <v>2.1187394425306108E-3</v>
      </c>
      <c r="V247" t="s">
        <v>154</v>
      </c>
    </row>
    <row r="248" spans="9:22" x14ac:dyDescent="0.25">
      <c r="I248" t="s">
        <v>170</v>
      </c>
      <c r="J248" t="s">
        <v>318</v>
      </c>
      <c r="K248">
        <v>0</v>
      </c>
      <c r="L248" t="s">
        <v>154</v>
      </c>
      <c r="N248" t="s">
        <v>200</v>
      </c>
      <c r="O248" t="s">
        <v>318</v>
      </c>
      <c r="P248">
        <v>6.5405403461614225E-3</v>
      </c>
      <c r="Q248" t="s">
        <v>154</v>
      </c>
      <c r="S248" t="s">
        <v>231</v>
      </c>
      <c r="T248" t="s">
        <v>318</v>
      </c>
      <c r="U248">
        <v>1.054673889119795E-2</v>
      </c>
      <c r="V248" t="s">
        <v>154</v>
      </c>
    </row>
    <row r="249" spans="9:22" x14ac:dyDescent="0.25">
      <c r="I249" t="s">
        <v>170</v>
      </c>
      <c r="J249" t="s">
        <v>297</v>
      </c>
      <c r="K249">
        <v>0</v>
      </c>
      <c r="L249" t="s">
        <v>154</v>
      </c>
      <c r="N249" t="s">
        <v>200</v>
      </c>
      <c r="O249" t="s">
        <v>297</v>
      </c>
      <c r="P249">
        <v>1.3427288924953819E-2</v>
      </c>
      <c r="Q249" t="s">
        <v>154</v>
      </c>
      <c r="S249" t="s">
        <v>231</v>
      </c>
      <c r="T249" t="s">
        <v>297</v>
      </c>
      <c r="U249">
        <v>2.0314579029942759E-2</v>
      </c>
      <c r="V249" t="s">
        <v>154</v>
      </c>
    </row>
    <row r="250" spans="9:22" x14ac:dyDescent="0.25">
      <c r="I250" t="s">
        <v>170</v>
      </c>
      <c r="J250" t="s">
        <v>298</v>
      </c>
      <c r="K250">
        <v>6.2061495812129027E-3</v>
      </c>
      <c r="L250" t="s">
        <v>154</v>
      </c>
      <c r="N250" t="s">
        <v>200</v>
      </c>
      <c r="O250" t="s">
        <v>298</v>
      </c>
      <c r="P250">
        <v>2.9859333601998084E-3</v>
      </c>
      <c r="Q250" t="s">
        <v>154</v>
      </c>
      <c r="S250" t="s">
        <v>231</v>
      </c>
      <c r="T250" t="s">
        <v>298</v>
      </c>
      <c r="U250">
        <v>6.4044788873556368E-3</v>
      </c>
      <c r="V250" t="s">
        <v>154</v>
      </c>
    </row>
    <row r="251" spans="9:22" x14ac:dyDescent="0.25">
      <c r="I251" t="s">
        <v>170</v>
      </c>
      <c r="J251" t="s">
        <v>299</v>
      </c>
      <c r="K251">
        <v>6.9292425655521151E-3</v>
      </c>
      <c r="L251" t="s">
        <v>154</v>
      </c>
      <c r="N251" t="s">
        <v>200</v>
      </c>
      <c r="O251" t="s">
        <v>299</v>
      </c>
      <c r="P251">
        <v>1.9824248468227335E-3</v>
      </c>
      <c r="Q251" t="s">
        <v>154</v>
      </c>
      <c r="S251" t="s">
        <v>231</v>
      </c>
      <c r="T251" t="s">
        <v>299</v>
      </c>
      <c r="U251">
        <v>3.2878728992415079E-3</v>
      </c>
      <c r="V251" t="s">
        <v>154</v>
      </c>
    </row>
    <row r="252" spans="9:22" x14ac:dyDescent="0.25">
      <c r="I252" t="s">
        <v>170</v>
      </c>
      <c r="J252" t="s">
        <v>300</v>
      </c>
      <c r="K252">
        <v>4.8355123407442205E-2</v>
      </c>
      <c r="L252" t="s">
        <v>154</v>
      </c>
      <c r="N252" t="s">
        <v>200</v>
      </c>
      <c r="O252" t="s">
        <v>300</v>
      </c>
      <c r="P252">
        <v>2.2994888373519453E-2</v>
      </c>
      <c r="Q252" t="s">
        <v>154</v>
      </c>
      <c r="S252" t="s">
        <v>231</v>
      </c>
      <c r="T252" t="s">
        <v>300</v>
      </c>
      <c r="U252">
        <v>2.1665393213839586E-2</v>
      </c>
      <c r="V252" t="s">
        <v>154</v>
      </c>
    </row>
    <row r="253" spans="9:22" x14ac:dyDescent="0.25">
      <c r="I253" t="s">
        <v>170</v>
      </c>
      <c r="J253" t="s">
        <v>301</v>
      </c>
      <c r="K253">
        <v>2.8753219520671535E-3</v>
      </c>
      <c r="L253" t="s">
        <v>154</v>
      </c>
      <c r="N253" t="s">
        <v>200</v>
      </c>
      <c r="O253" t="s">
        <v>301</v>
      </c>
      <c r="P253">
        <v>2.4781467752957799E-3</v>
      </c>
      <c r="Q253" t="s">
        <v>154</v>
      </c>
      <c r="S253" t="s">
        <v>231</v>
      </c>
      <c r="T253" t="s">
        <v>301</v>
      </c>
      <c r="U253">
        <v>3.1669670203069837E-3</v>
      </c>
      <c r="V253" t="s">
        <v>154</v>
      </c>
    </row>
    <row r="254" spans="9:22" x14ac:dyDescent="0.25">
      <c r="I254" t="s">
        <v>170</v>
      </c>
      <c r="J254" t="s">
        <v>319</v>
      </c>
      <c r="K254">
        <v>0</v>
      </c>
      <c r="L254" t="s">
        <v>154</v>
      </c>
      <c r="N254" t="s">
        <v>200</v>
      </c>
      <c r="O254" t="s">
        <v>319</v>
      </c>
      <c r="P254">
        <v>2.0560750038955242E-3</v>
      </c>
      <c r="Q254" t="s">
        <v>154</v>
      </c>
      <c r="S254" t="s">
        <v>231</v>
      </c>
      <c r="T254" t="s">
        <v>319</v>
      </c>
      <c r="U254">
        <v>3.0396962877640601E-3</v>
      </c>
      <c r="V254" t="s">
        <v>154</v>
      </c>
    </row>
    <row r="255" spans="9:22" x14ac:dyDescent="0.25">
      <c r="I255" t="s">
        <v>170</v>
      </c>
      <c r="J255" t="s">
        <v>320</v>
      </c>
      <c r="K255">
        <v>0</v>
      </c>
      <c r="L255" t="s">
        <v>154</v>
      </c>
      <c r="N255" t="s">
        <v>200</v>
      </c>
      <c r="O255" t="s">
        <v>320</v>
      </c>
      <c r="P255">
        <v>9.5316688756060808E-3</v>
      </c>
      <c r="Q255" t="s">
        <v>154</v>
      </c>
      <c r="S255" t="s">
        <v>231</v>
      </c>
      <c r="T255" t="s">
        <v>320</v>
      </c>
      <c r="U255">
        <v>1.5896928652644516E-2</v>
      </c>
      <c r="V255" t="s">
        <v>154</v>
      </c>
    </row>
    <row r="256" spans="9:22" x14ac:dyDescent="0.25">
      <c r="I256" t="s">
        <v>170</v>
      </c>
      <c r="J256" t="s">
        <v>302</v>
      </c>
      <c r="K256">
        <v>0</v>
      </c>
      <c r="L256" t="s">
        <v>154</v>
      </c>
      <c r="N256" t="s">
        <v>200</v>
      </c>
      <c r="O256" t="s">
        <v>302</v>
      </c>
      <c r="P256">
        <v>3.8775146862605886E-2</v>
      </c>
      <c r="Q256" t="s">
        <v>154</v>
      </c>
      <c r="S256" t="s">
        <v>231</v>
      </c>
      <c r="T256" t="s">
        <v>302</v>
      </c>
      <c r="U256">
        <v>3.1116099404188351E-2</v>
      </c>
      <c r="V256" t="s">
        <v>154</v>
      </c>
    </row>
    <row r="257" spans="9:22" x14ac:dyDescent="0.25">
      <c r="I257" t="s">
        <v>170</v>
      </c>
      <c r="J257" t="s">
        <v>303</v>
      </c>
      <c r="K257">
        <v>4.795859142909106E-3</v>
      </c>
      <c r="L257" t="s">
        <v>154</v>
      </c>
      <c r="N257" t="s">
        <v>200</v>
      </c>
      <c r="O257" t="s">
        <v>303</v>
      </c>
      <c r="P257">
        <v>9.190637744534302E-3</v>
      </c>
      <c r="Q257" t="s">
        <v>154</v>
      </c>
      <c r="S257" t="s">
        <v>231</v>
      </c>
      <c r="T257" t="s">
        <v>303</v>
      </c>
      <c r="U257">
        <v>9.5036504389891426E-3</v>
      </c>
      <c r="V257" t="s">
        <v>154</v>
      </c>
    </row>
    <row r="258" spans="9:22" x14ac:dyDescent="0.25">
      <c r="I258" t="s">
        <v>170</v>
      </c>
      <c r="J258" t="s">
        <v>304</v>
      </c>
      <c r="K258">
        <v>7.7609192610601082E-3</v>
      </c>
      <c r="L258" t="s">
        <v>154</v>
      </c>
      <c r="N258" t="s">
        <v>200</v>
      </c>
      <c r="O258" t="s">
        <v>304</v>
      </c>
      <c r="P258">
        <v>5.4344078428137056E-3</v>
      </c>
      <c r="Q258" t="s">
        <v>154</v>
      </c>
      <c r="S258" t="s">
        <v>231</v>
      </c>
      <c r="T258" t="s">
        <v>304</v>
      </c>
      <c r="U258">
        <v>4.5947052992284972E-3</v>
      </c>
      <c r="V258" t="s">
        <v>154</v>
      </c>
    </row>
    <row r="259" spans="9:22" x14ac:dyDescent="0.25">
      <c r="I259" t="s">
        <v>170</v>
      </c>
      <c r="J259" t="s">
        <v>305</v>
      </c>
      <c r="K259">
        <v>6.0775386130373678E-2</v>
      </c>
      <c r="L259" t="s">
        <v>154</v>
      </c>
      <c r="N259" t="s">
        <v>200</v>
      </c>
      <c r="O259" t="s">
        <v>305</v>
      </c>
      <c r="P259">
        <v>6.0645105285271166E-2</v>
      </c>
      <c r="Q259" t="s">
        <v>154</v>
      </c>
      <c r="S259" t="s">
        <v>231</v>
      </c>
      <c r="T259" t="s">
        <v>305</v>
      </c>
      <c r="U259">
        <v>3.1649675952080153E-2</v>
      </c>
      <c r="V259" t="s">
        <v>154</v>
      </c>
    </row>
    <row r="260" spans="9:22" x14ac:dyDescent="0.25">
      <c r="I260" t="s">
        <v>170</v>
      </c>
      <c r="J260" t="s">
        <v>306</v>
      </c>
      <c r="K260">
        <v>2.5577018151099664E-3</v>
      </c>
      <c r="L260" t="s">
        <v>154</v>
      </c>
      <c r="N260" t="s">
        <v>200</v>
      </c>
      <c r="O260" t="s">
        <v>306</v>
      </c>
      <c r="P260">
        <v>6.7681907308027632E-3</v>
      </c>
      <c r="Q260" t="s">
        <v>154</v>
      </c>
      <c r="S260" t="s">
        <v>231</v>
      </c>
      <c r="T260" t="s">
        <v>306</v>
      </c>
      <c r="U260">
        <v>4.8475054914856926E-3</v>
      </c>
      <c r="V260" t="s">
        <v>154</v>
      </c>
    </row>
    <row r="261" spans="9:22" x14ac:dyDescent="0.25">
      <c r="I261" t="s">
        <v>170</v>
      </c>
      <c r="J261" t="s">
        <v>321</v>
      </c>
      <c r="K261">
        <v>0</v>
      </c>
      <c r="L261" t="s">
        <v>154</v>
      </c>
      <c r="N261" t="s">
        <v>200</v>
      </c>
      <c r="O261" t="s">
        <v>321</v>
      </c>
      <c r="P261">
        <v>5.6097310057343858E-3</v>
      </c>
      <c r="Q261" t="s">
        <v>154</v>
      </c>
      <c r="S261" t="s">
        <v>231</v>
      </c>
      <c r="T261" t="s">
        <v>321</v>
      </c>
      <c r="U261">
        <v>5.0626003668584919E-3</v>
      </c>
      <c r="V261" t="s">
        <v>154</v>
      </c>
    </row>
    <row r="262" spans="9:22" x14ac:dyDescent="0.25">
      <c r="I262" t="s">
        <v>170</v>
      </c>
      <c r="J262" t="s">
        <v>322</v>
      </c>
      <c r="K262">
        <v>0</v>
      </c>
      <c r="L262" t="s">
        <v>154</v>
      </c>
      <c r="N262" t="s">
        <v>200</v>
      </c>
      <c r="O262" t="s">
        <v>322</v>
      </c>
      <c r="P262">
        <v>2.3896727886605896E-2</v>
      </c>
      <c r="Q262" t="s">
        <v>154</v>
      </c>
      <c r="S262" t="s">
        <v>231</v>
      </c>
      <c r="T262" t="s">
        <v>322</v>
      </c>
      <c r="U262">
        <v>2.3644424664632579E-2</v>
      </c>
      <c r="V262" t="s">
        <v>154</v>
      </c>
    </row>
    <row r="263" spans="9:22" x14ac:dyDescent="0.25">
      <c r="I263" t="s">
        <v>171</v>
      </c>
      <c r="J263" t="s">
        <v>153</v>
      </c>
      <c r="K263">
        <v>0</v>
      </c>
      <c r="L263" t="s">
        <v>154</v>
      </c>
      <c r="N263" t="s">
        <v>201</v>
      </c>
      <c r="O263" t="s">
        <v>153</v>
      </c>
      <c r="P263">
        <v>4.2116282837576582E-2</v>
      </c>
      <c r="Q263" t="s">
        <v>154</v>
      </c>
      <c r="S263" t="s">
        <v>232</v>
      </c>
      <c r="T263" t="s">
        <v>153</v>
      </c>
      <c r="U263">
        <v>3.3246904230513893E-2</v>
      </c>
      <c r="V263" t="s">
        <v>154</v>
      </c>
    </row>
    <row r="264" spans="9:22" x14ac:dyDescent="0.25">
      <c r="I264" t="s">
        <v>171</v>
      </c>
      <c r="J264" t="s">
        <v>155</v>
      </c>
      <c r="K264">
        <v>4.688089133017579E-3</v>
      </c>
      <c r="L264" t="s">
        <v>154</v>
      </c>
      <c r="N264" t="s">
        <v>201</v>
      </c>
      <c r="O264" t="s">
        <v>155</v>
      </c>
      <c r="P264">
        <v>1.0676708119238393E-2</v>
      </c>
      <c r="Q264" t="s">
        <v>154</v>
      </c>
      <c r="S264" t="s">
        <v>232</v>
      </c>
      <c r="T264" t="s">
        <v>155</v>
      </c>
      <c r="U264">
        <v>8.7406308052585552E-3</v>
      </c>
      <c r="V264" t="s">
        <v>154</v>
      </c>
    </row>
    <row r="265" spans="9:22" x14ac:dyDescent="0.25">
      <c r="I265" t="s">
        <v>171</v>
      </c>
      <c r="J265" t="s">
        <v>156</v>
      </c>
      <c r="K265">
        <v>7.9543286027195029E-3</v>
      </c>
      <c r="L265" t="s">
        <v>154</v>
      </c>
      <c r="N265" t="s">
        <v>201</v>
      </c>
      <c r="O265" t="s">
        <v>156</v>
      </c>
      <c r="P265">
        <v>4.8775948001386548E-3</v>
      </c>
      <c r="Q265" t="s">
        <v>154</v>
      </c>
      <c r="S265" t="s">
        <v>232</v>
      </c>
      <c r="T265" t="s">
        <v>156</v>
      </c>
      <c r="U265">
        <v>4.4770029623543532E-3</v>
      </c>
      <c r="V265" t="s">
        <v>154</v>
      </c>
    </row>
    <row r="266" spans="9:22" x14ac:dyDescent="0.25">
      <c r="I266" t="s">
        <v>171</v>
      </c>
      <c r="J266" t="s">
        <v>283</v>
      </c>
      <c r="K266">
        <v>6.2240850566472924E-2</v>
      </c>
      <c r="L266" t="s">
        <v>154</v>
      </c>
      <c r="N266" t="s">
        <v>201</v>
      </c>
      <c r="O266" t="s">
        <v>283</v>
      </c>
      <c r="P266">
        <v>4.148868609599983E-2</v>
      </c>
      <c r="Q266" t="s">
        <v>154</v>
      </c>
      <c r="S266" t="s">
        <v>232</v>
      </c>
      <c r="T266" t="s">
        <v>283</v>
      </c>
      <c r="U266">
        <v>3.3815254943016591E-2</v>
      </c>
      <c r="V266" t="s">
        <v>154</v>
      </c>
    </row>
    <row r="267" spans="9:22" x14ac:dyDescent="0.25">
      <c r="I267" t="s">
        <v>171</v>
      </c>
      <c r="J267" t="s">
        <v>284</v>
      </c>
      <c r="K267">
        <v>4.5814066281972482E-3</v>
      </c>
      <c r="L267" t="s">
        <v>154</v>
      </c>
      <c r="N267" t="s">
        <v>201</v>
      </c>
      <c r="O267" t="s">
        <v>284</v>
      </c>
      <c r="P267">
        <v>6.1501997835875311E-3</v>
      </c>
      <c r="Q267" t="s">
        <v>154</v>
      </c>
      <c r="S267" t="s">
        <v>232</v>
      </c>
      <c r="T267" t="s">
        <v>284</v>
      </c>
      <c r="U267">
        <v>5.3093745603130507E-3</v>
      </c>
      <c r="V267" t="s">
        <v>154</v>
      </c>
    </row>
    <row r="268" spans="9:22" x14ac:dyDescent="0.25">
      <c r="I268" t="s">
        <v>171</v>
      </c>
      <c r="J268" t="s">
        <v>311</v>
      </c>
      <c r="K268">
        <v>3.2536658122977887E-8</v>
      </c>
      <c r="L268" t="s">
        <v>154</v>
      </c>
      <c r="N268" t="s">
        <v>201</v>
      </c>
      <c r="O268" t="s">
        <v>311</v>
      </c>
      <c r="P268">
        <v>6.159474718966205E-3</v>
      </c>
      <c r="Q268" t="s">
        <v>154</v>
      </c>
      <c r="S268" t="s">
        <v>232</v>
      </c>
      <c r="T268" t="s">
        <v>311</v>
      </c>
      <c r="U268">
        <v>4.7008276305898931E-3</v>
      </c>
      <c r="V268" t="s">
        <v>154</v>
      </c>
    </row>
    <row r="269" spans="9:22" x14ac:dyDescent="0.25">
      <c r="I269" t="s">
        <v>171</v>
      </c>
      <c r="J269" t="s">
        <v>312</v>
      </c>
      <c r="K269">
        <v>0</v>
      </c>
      <c r="L269" t="s">
        <v>154</v>
      </c>
      <c r="N269" t="s">
        <v>201</v>
      </c>
      <c r="O269" t="s">
        <v>312</v>
      </c>
      <c r="P269">
        <v>2.7863591023748437E-2</v>
      </c>
      <c r="Q269" t="s">
        <v>154</v>
      </c>
      <c r="S269" t="s">
        <v>232</v>
      </c>
      <c r="T269" t="s">
        <v>312</v>
      </c>
      <c r="U269">
        <v>2.5170533063519039E-2</v>
      </c>
      <c r="V269" t="s">
        <v>154</v>
      </c>
    </row>
    <row r="270" spans="9:22" x14ac:dyDescent="0.25">
      <c r="I270" t="s">
        <v>171</v>
      </c>
      <c r="J270" t="s">
        <v>157</v>
      </c>
      <c r="K270">
        <v>0</v>
      </c>
      <c r="L270" t="s">
        <v>154</v>
      </c>
      <c r="N270" t="s">
        <v>201</v>
      </c>
      <c r="O270" t="s">
        <v>157</v>
      </c>
      <c r="P270">
        <v>1.1051985026219284E-2</v>
      </c>
      <c r="Q270" t="s">
        <v>154</v>
      </c>
      <c r="S270" t="s">
        <v>232</v>
      </c>
      <c r="T270" t="s">
        <v>157</v>
      </c>
      <c r="U270">
        <v>1.0672580147880592E-2</v>
      </c>
      <c r="V270" t="s">
        <v>154</v>
      </c>
    </row>
    <row r="271" spans="9:22" x14ac:dyDescent="0.25">
      <c r="I271" t="s">
        <v>171</v>
      </c>
      <c r="J271" t="s">
        <v>158</v>
      </c>
      <c r="K271">
        <v>1.0104524021923005E-3</v>
      </c>
      <c r="L271" t="s">
        <v>154</v>
      </c>
      <c r="N271" t="s">
        <v>201</v>
      </c>
      <c r="O271" t="s">
        <v>158</v>
      </c>
      <c r="P271">
        <v>3.4663825573012855E-3</v>
      </c>
      <c r="Q271" t="s">
        <v>154</v>
      </c>
      <c r="S271" t="s">
        <v>232</v>
      </c>
      <c r="T271" t="s">
        <v>158</v>
      </c>
      <c r="U271">
        <v>2.8252188099029073E-3</v>
      </c>
      <c r="V271" t="s">
        <v>154</v>
      </c>
    </row>
    <row r="272" spans="9:22" x14ac:dyDescent="0.25">
      <c r="I272" t="s">
        <v>171</v>
      </c>
      <c r="J272" t="s">
        <v>159</v>
      </c>
      <c r="K272">
        <v>1.9743557603307447E-3</v>
      </c>
      <c r="L272" t="s">
        <v>154</v>
      </c>
      <c r="N272" t="s">
        <v>201</v>
      </c>
      <c r="O272" t="s">
        <v>159</v>
      </c>
      <c r="P272">
        <v>1.5135598491368761E-3</v>
      </c>
      <c r="Q272" t="s">
        <v>154</v>
      </c>
      <c r="S272" t="s">
        <v>232</v>
      </c>
      <c r="T272" t="s">
        <v>159</v>
      </c>
      <c r="U272">
        <v>1.4468252323478561E-3</v>
      </c>
      <c r="V272" t="s">
        <v>154</v>
      </c>
    </row>
    <row r="273" spans="9:22" x14ac:dyDescent="0.25">
      <c r="I273" t="s">
        <v>171</v>
      </c>
      <c r="J273" t="s">
        <v>285</v>
      </c>
      <c r="K273">
        <v>1.7932354487822294E-2</v>
      </c>
      <c r="L273" t="s">
        <v>154</v>
      </c>
      <c r="N273" t="s">
        <v>201</v>
      </c>
      <c r="O273" t="s">
        <v>285</v>
      </c>
      <c r="P273">
        <v>1.2860242669074691E-2</v>
      </c>
      <c r="Q273" t="s">
        <v>154</v>
      </c>
      <c r="S273" t="s">
        <v>232</v>
      </c>
      <c r="T273" t="s">
        <v>285</v>
      </c>
      <c r="U273">
        <v>9.3986514242477941E-3</v>
      </c>
      <c r="V273" t="s">
        <v>154</v>
      </c>
    </row>
    <row r="274" spans="9:22" x14ac:dyDescent="0.25">
      <c r="I274" t="s">
        <v>171</v>
      </c>
      <c r="J274" t="s">
        <v>286</v>
      </c>
      <c r="K274">
        <v>1.604733546216069E-3</v>
      </c>
      <c r="L274" t="s">
        <v>154</v>
      </c>
      <c r="N274" t="s">
        <v>201</v>
      </c>
      <c r="O274" t="s">
        <v>286</v>
      </c>
      <c r="P274">
        <v>2.095491117779933E-3</v>
      </c>
      <c r="Q274" t="s">
        <v>154</v>
      </c>
      <c r="S274" t="s">
        <v>232</v>
      </c>
      <c r="T274" t="s">
        <v>286</v>
      </c>
      <c r="U274">
        <v>1.443769078840018E-3</v>
      </c>
      <c r="V274" t="s">
        <v>154</v>
      </c>
    </row>
    <row r="275" spans="9:22" x14ac:dyDescent="0.25">
      <c r="I275" t="s">
        <v>171</v>
      </c>
      <c r="J275" t="s">
        <v>313</v>
      </c>
      <c r="K275">
        <v>3.4495170795169805E-4</v>
      </c>
      <c r="L275" t="s">
        <v>154</v>
      </c>
      <c r="N275" t="s">
        <v>201</v>
      </c>
      <c r="O275" t="s">
        <v>313</v>
      </c>
      <c r="P275">
        <v>2.1099353951036866E-3</v>
      </c>
      <c r="Q275" t="s">
        <v>154</v>
      </c>
      <c r="S275" t="s">
        <v>232</v>
      </c>
      <c r="T275" t="s">
        <v>313</v>
      </c>
      <c r="U275">
        <v>1.3413718079764059E-3</v>
      </c>
      <c r="V275" t="s">
        <v>154</v>
      </c>
    </row>
    <row r="276" spans="9:22" x14ac:dyDescent="0.25">
      <c r="I276" t="s">
        <v>171</v>
      </c>
      <c r="J276" t="s">
        <v>314</v>
      </c>
      <c r="K276">
        <v>0</v>
      </c>
      <c r="L276" t="s">
        <v>154</v>
      </c>
      <c r="N276" t="s">
        <v>201</v>
      </c>
      <c r="O276" t="s">
        <v>314</v>
      </c>
      <c r="P276">
        <v>8.3139652746916943E-3</v>
      </c>
      <c r="Q276" t="s">
        <v>154</v>
      </c>
      <c r="S276" t="s">
        <v>232</v>
      </c>
      <c r="T276" t="s">
        <v>314</v>
      </c>
      <c r="U276">
        <v>7.3258071662962764E-3</v>
      </c>
      <c r="V276" t="s">
        <v>154</v>
      </c>
    </row>
    <row r="277" spans="9:22" x14ac:dyDescent="0.25">
      <c r="I277" t="s">
        <v>171</v>
      </c>
      <c r="J277" t="s">
        <v>160</v>
      </c>
      <c r="K277">
        <v>6.7041146457740919E-3</v>
      </c>
      <c r="L277" t="s">
        <v>154</v>
      </c>
      <c r="N277" t="s">
        <v>201</v>
      </c>
      <c r="O277" t="s">
        <v>160</v>
      </c>
      <c r="P277">
        <v>0.15396226826422432</v>
      </c>
      <c r="Q277" t="s">
        <v>154</v>
      </c>
      <c r="S277" t="s">
        <v>232</v>
      </c>
      <c r="T277" t="s">
        <v>160</v>
      </c>
      <c r="U277">
        <v>0.18865182679390552</v>
      </c>
      <c r="V277" t="s">
        <v>154</v>
      </c>
    </row>
    <row r="278" spans="9:22" x14ac:dyDescent="0.25">
      <c r="I278" t="s">
        <v>171</v>
      </c>
      <c r="J278" t="s">
        <v>161</v>
      </c>
      <c r="K278">
        <v>7.5099375819333833E-2</v>
      </c>
      <c r="L278" t="s">
        <v>154</v>
      </c>
      <c r="N278" t="s">
        <v>201</v>
      </c>
      <c r="O278" t="s">
        <v>161</v>
      </c>
      <c r="P278">
        <v>3.6962033170632458E-2</v>
      </c>
      <c r="Q278" t="s">
        <v>154</v>
      </c>
      <c r="S278" t="s">
        <v>232</v>
      </c>
      <c r="T278" t="s">
        <v>161</v>
      </c>
      <c r="U278">
        <v>4.6872297784037113E-2</v>
      </c>
      <c r="V278" t="s">
        <v>154</v>
      </c>
    </row>
    <row r="279" spans="9:22" x14ac:dyDescent="0.25">
      <c r="I279" t="s">
        <v>171</v>
      </c>
      <c r="J279" t="s">
        <v>162</v>
      </c>
      <c r="K279">
        <v>6.400236246501409E-2</v>
      </c>
      <c r="L279" t="s">
        <v>154</v>
      </c>
      <c r="N279" t="s">
        <v>201</v>
      </c>
      <c r="O279" t="s">
        <v>162</v>
      </c>
      <c r="P279">
        <v>1.9783002862459716E-2</v>
      </c>
      <c r="Q279" t="s">
        <v>154</v>
      </c>
      <c r="S279" t="s">
        <v>232</v>
      </c>
      <c r="T279" t="s">
        <v>162</v>
      </c>
      <c r="U279">
        <v>2.3737007914990949E-2</v>
      </c>
      <c r="V279" t="s">
        <v>154</v>
      </c>
    </row>
    <row r="280" spans="9:22" x14ac:dyDescent="0.25">
      <c r="I280" t="s">
        <v>171</v>
      </c>
      <c r="J280" t="s">
        <v>287</v>
      </c>
      <c r="K280">
        <v>0.51256524931016934</v>
      </c>
      <c r="L280" t="s">
        <v>154</v>
      </c>
      <c r="N280" t="s">
        <v>201</v>
      </c>
      <c r="O280" t="s">
        <v>287</v>
      </c>
      <c r="P280">
        <v>0.18060632815248132</v>
      </c>
      <c r="Q280" t="s">
        <v>154</v>
      </c>
      <c r="S280" t="s">
        <v>232</v>
      </c>
      <c r="T280" t="s">
        <v>287</v>
      </c>
      <c r="U280">
        <v>0.17148923637925939</v>
      </c>
      <c r="V280" t="s">
        <v>154</v>
      </c>
    </row>
    <row r="281" spans="9:22" x14ac:dyDescent="0.25">
      <c r="I281" t="s">
        <v>171</v>
      </c>
      <c r="J281" t="s">
        <v>288</v>
      </c>
      <c r="K281">
        <v>4.678315478242806E-2</v>
      </c>
      <c r="L281" t="s">
        <v>154</v>
      </c>
      <c r="N281" t="s">
        <v>201</v>
      </c>
      <c r="O281" t="s">
        <v>288</v>
      </c>
      <c r="P281">
        <v>2.8763820288917968E-2</v>
      </c>
      <c r="Q281" t="s">
        <v>154</v>
      </c>
      <c r="S281" t="s">
        <v>232</v>
      </c>
      <c r="T281" t="s">
        <v>288</v>
      </c>
      <c r="U281">
        <v>2.5406613826595363E-2</v>
      </c>
      <c r="V281" t="s">
        <v>154</v>
      </c>
    </row>
    <row r="282" spans="9:22" x14ac:dyDescent="0.25">
      <c r="I282" t="s">
        <v>171</v>
      </c>
      <c r="J282" t="s">
        <v>315</v>
      </c>
      <c r="K282">
        <v>2.8735322318550888E-2</v>
      </c>
      <c r="L282" t="s">
        <v>154</v>
      </c>
      <c r="N282" t="s">
        <v>201</v>
      </c>
      <c r="O282" t="s">
        <v>315</v>
      </c>
      <c r="P282">
        <v>2.8468390477680159E-2</v>
      </c>
      <c r="Q282" t="s">
        <v>154</v>
      </c>
      <c r="S282" t="s">
        <v>232</v>
      </c>
      <c r="T282" t="s">
        <v>315</v>
      </c>
      <c r="U282">
        <v>2.2478240946508302E-2</v>
      </c>
      <c r="V282" t="s">
        <v>154</v>
      </c>
    </row>
    <row r="283" spans="9:22" x14ac:dyDescent="0.25">
      <c r="I283" t="s">
        <v>171</v>
      </c>
      <c r="J283" t="s">
        <v>316</v>
      </c>
      <c r="K283">
        <v>7.4550530413166616E-3</v>
      </c>
      <c r="L283" t="s">
        <v>154</v>
      </c>
      <c r="N283" t="s">
        <v>201</v>
      </c>
      <c r="O283" t="s">
        <v>316</v>
      </c>
      <c r="P283">
        <v>0.11971535793966948</v>
      </c>
      <c r="Q283" t="s">
        <v>154</v>
      </c>
      <c r="S283" t="s">
        <v>232</v>
      </c>
      <c r="T283" t="s">
        <v>316</v>
      </c>
      <c r="U283">
        <v>0.12742803463120744</v>
      </c>
      <c r="V283" t="s">
        <v>154</v>
      </c>
    </row>
    <row r="284" spans="9:22" x14ac:dyDescent="0.25">
      <c r="I284" t="s">
        <v>171</v>
      </c>
      <c r="J284" t="s">
        <v>163</v>
      </c>
      <c r="K284">
        <v>0</v>
      </c>
      <c r="L284" t="s">
        <v>154</v>
      </c>
      <c r="N284" t="s">
        <v>201</v>
      </c>
      <c r="O284" t="s">
        <v>163</v>
      </c>
      <c r="P284">
        <v>1.3218732346559478E-2</v>
      </c>
      <c r="Q284" t="s">
        <v>154</v>
      </c>
      <c r="S284" t="s">
        <v>232</v>
      </c>
      <c r="T284" t="s">
        <v>163</v>
      </c>
      <c r="U284">
        <v>1.6752266482635454E-2</v>
      </c>
      <c r="V284" t="s">
        <v>154</v>
      </c>
    </row>
    <row r="285" spans="9:22" x14ac:dyDescent="0.25">
      <c r="I285" t="s">
        <v>171</v>
      </c>
      <c r="J285" t="s">
        <v>164</v>
      </c>
      <c r="K285">
        <v>1.6337907363856881E-3</v>
      </c>
      <c r="L285" t="s">
        <v>154</v>
      </c>
      <c r="N285" t="s">
        <v>201</v>
      </c>
      <c r="O285" t="s">
        <v>164</v>
      </c>
      <c r="P285">
        <v>3.1860904422631618E-3</v>
      </c>
      <c r="Q285" t="s">
        <v>154</v>
      </c>
      <c r="S285" t="s">
        <v>232</v>
      </c>
      <c r="T285" t="s">
        <v>164</v>
      </c>
      <c r="U285">
        <v>4.643622322391636E-3</v>
      </c>
      <c r="V285" t="s">
        <v>154</v>
      </c>
    </row>
    <row r="286" spans="9:22" x14ac:dyDescent="0.25">
      <c r="I286" t="s">
        <v>171</v>
      </c>
      <c r="J286" t="s">
        <v>165</v>
      </c>
      <c r="K286">
        <v>1.6429959636367268E-3</v>
      </c>
      <c r="L286" t="s">
        <v>154</v>
      </c>
      <c r="N286" t="s">
        <v>201</v>
      </c>
      <c r="O286" t="s">
        <v>165</v>
      </c>
      <c r="P286">
        <v>1.7216489985731173E-3</v>
      </c>
      <c r="Q286" t="s">
        <v>154</v>
      </c>
      <c r="S286" t="s">
        <v>232</v>
      </c>
      <c r="T286" t="s">
        <v>165</v>
      </c>
      <c r="U286">
        <v>2.3601184064914694E-3</v>
      </c>
      <c r="V286" t="s">
        <v>154</v>
      </c>
    </row>
    <row r="287" spans="9:22" x14ac:dyDescent="0.25">
      <c r="I287" t="s">
        <v>171</v>
      </c>
      <c r="J287" t="s">
        <v>289</v>
      </c>
      <c r="K287">
        <v>1.2858400852334743E-2</v>
      </c>
      <c r="L287" t="s">
        <v>154</v>
      </c>
      <c r="N287" t="s">
        <v>201</v>
      </c>
      <c r="O287" t="s">
        <v>289</v>
      </c>
      <c r="P287">
        <v>1.1307381771829836E-2</v>
      </c>
      <c r="Q287" t="s">
        <v>154</v>
      </c>
      <c r="S287" t="s">
        <v>232</v>
      </c>
      <c r="T287" t="s">
        <v>289</v>
      </c>
      <c r="U287">
        <v>1.6280261117928827E-2</v>
      </c>
      <c r="V287" t="s">
        <v>154</v>
      </c>
    </row>
    <row r="288" spans="9:22" x14ac:dyDescent="0.25">
      <c r="I288" t="s">
        <v>171</v>
      </c>
      <c r="J288" t="s">
        <v>290</v>
      </c>
      <c r="K288">
        <v>8.2081211695508795E-4</v>
      </c>
      <c r="L288" t="s">
        <v>154</v>
      </c>
      <c r="N288" t="s">
        <v>201</v>
      </c>
      <c r="O288" t="s">
        <v>290</v>
      </c>
      <c r="P288">
        <v>1.6902184634433959E-3</v>
      </c>
      <c r="Q288" t="s">
        <v>154</v>
      </c>
      <c r="S288" t="s">
        <v>232</v>
      </c>
      <c r="T288" t="s">
        <v>290</v>
      </c>
      <c r="U288">
        <v>2.3399201281815371E-3</v>
      </c>
      <c r="V288" t="s">
        <v>154</v>
      </c>
    </row>
    <row r="289" spans="9:22" x14ac:dyDescent="0.25">
      <c r="I289" t="s">
        <v>171</v>
      </c>
      <c r="J289" t="s">
        <v>317</v>
      </c>
      <c r="K289">
        <v>0</v>
      </c>
      <c r="L289" t="s">
        <v>154</v>
      </c>
      <c r="N289" t="s">
        <v>201</v>
      </c>
      <c r="O289" t="s">
        <v>317</v>
      </c>
      <c r="P289">
        <v>1.7069129856189416E-3</v>
      </c>
      <c r="Q289" t="s">
        <v>154</v>
      </c>
      <c r="S289" t="s">
        <v>232</v>
      </c>
      <c r="T289" t="s">
        <v>317</v>
      </c>
      <c r="U289">
        <v>2.2528361614997934E-3</v>
      </c>
      <c r="V289" t="s">
        <v>154</v>
      </c>
    </row>
    <row r="290" spans="9:22" x14ac:dyDescent="0.25">
      <c r="I290" t="s">
        <v>171</v>
      </c>
      <c r="J290" t="s">
        <v>318</v>
      </c>
      <c r="K290">
        <v>0</v>
      </c>
      <c r="L290" t="s">
        <v>154</v>
      </c>
      <c r="N290" t="s">
        <v>201</v>
      </c>
      <c r="O290" t="s">
        <v>318</v>
      </c>
      <c r="P290">
        <v>7.775485502632149E-3</v>
      </c>
      <c r="Q290" t="s">
        <v>154</v>
      </c>
      <c r="S290" t="s">
        <v>232</v>
      </c>
      <c r="T290" t="s">
        <v>318</v>
      </c>
      <c r="U290">
        <v>1.1223555347022745E-2</v>
      </c>
      <c r="V290" t="s">
        <v>154</v>
      </c>
    </row>
    <row r="291" spans="9:22" x14ac:dyDescent="0.25">
      <c r="I291" t="s">
        <v>171</v>
      </c>
      <c r="J291" t="s">
        <v>297</v>
      </c>
      <c r="K291">
        <v>0</v>
      </c>
      <c r="L291" t="s">
        <v>154</v>
      </c>
      <c r="N291" t="s">
        <v>201</v>
      </c>
      <c r="O291" t="s">
        <v>297</v>
      </c>
      <c r="P291">
        <v>1.876444710145854E-2</v>
      </c>
      <c r="Q291" t="s">
        <v>154</v>
      </c>
      <c r="S291" t="s">
        <v>232</v>
      </c>
      <c r="T291" t="s">
        <v>297</v>
      </c>
      <c r="U291">
        <v>2.1877235131701478E-2</v>
      </c>
      <c r="V291" t="s">
        <v>154</v>
      </c>
    </row>
    <row r="292" spans="9:22" x14ac:dyDescent="0.25">
      <c r="I292" t="s">
        <v>171</v>
      </c>
      <c r="J292" t="s">
        <v>298</v>
      </c>
      <c r="K292">
        <v>5.1554984599709065E-3</v>
      </c>
      <c r="L292" t="s">
        <v>154</v>
      </c>
      <c r="N292" t="s">
        <v>201</v>
      </c>
      <c r="O292" t="s">
        <v>298</v>
      </c>
      <c r="P292">
        <v>4.0185913666432264E-3</v>
      </c>
      <c r="Q292" t="s">
        <v>154</v>
      </c>
      <c r="S292" t="s">
        <v>232</v>
      </c>
      <c r="T292" t="s">
        <v>298</v>
      </c>
      <c r="U292">
        <v>6.0200849924157964E-3</v>
      </c>
      <c r="V292" t="s">
        <v>154</v>
      </c>
    </row>
    <row r="293" spans="9:22" x14ac:dyDescent="0.25">
      <c r="I293" t="s">
        <v>171</v>
      </c>
      <c r="J293" t="s">
        <v>299</v>
      </c>
      <c r="K293">
        <v>6.7988787130150467E-3</v>
      </c>
      <c r="L293" t="s">
        <v>154</v>
      </c>
      <c r="N293" t="s">
        <v>201</v>
      </c>
      <c r="O293" t="s">
        <v>299</v>
      </c>
      <c r="P293">
        <v>1.9820932854827914E-3</v>
      </c>
      <c r="Q293" t="s">
        <v>154</v>
      </c>
      <c r="S293" t="s">
        <v>232</v>
      </c>
      <c r="T293" t="s">
        <v>299</v>
      </c>
      <c r="U293">
        <v>3.0889661088857089E-3</v>
      </c>
      <c r="V293" t="s">
        <v>154</v>
      </c>
    </row>
    <row r="294" spans="9:22" x14ac:dyDescent="0.25">
      <c r="I294" t="s">
        <v>171</v>
      </c>
      <c r="J294" t="s">
        <v>300</v>
      </c>
      <c r="K294">
        <v>4.9071852739070464E-2</v>
      </c>
      <c r="L294" t="s">
        <v>154</v>
      </c>
      <c r="N294" t="s">
        <v>201</v>
      </c>
      <c r="O294" t="s">
        <v>300</v>
      </c>
      <c r="P294">
        <v>1.8513744778806556E-2</v>
      </c>
      <c r="Q294" t="s">
        <v>154</v>
      </c>
      <c r="S294" t="s">
        <v>232</v>
      </c>
      <c r="T294" t="s">
        <v>300</v>
      </c>
      <c r="U294">
        <v>2.1557472899955077E-2</v>
      </c>
      <c r="V294" t="s">
        <v>154</v>
      </c>
    </row>
    <row r="295" spans="9:22" x14ac:dyDescent="0.25">
      <c r="I295" t="s">
        <v>171</v>
      </c>
      <c r="J295" t="s">
        <v>301</v>
      </c>
      <c r="K295">
        <v>2.9569192981219513E-3</v>
      </c>
      <c r="L295" t="s">
        <v>154</v>
      </c>
      <c r="N295" t="s">
        <v>201</v>
      </c>
      <c r="O295" t="s">
        <v>301</v>
      </c>
      <c r="P295">
        <v>2.8301752527541859E-3</v>
      </c>
      <c r="Q295" t="s">
        <v>154</v>
      </c>
      <c r="S295" t="s">
        <v>232</v>
      </c>
      <c r="T295" t="s">
        <v>301</v>
      </c>
      <c r="U295">
        <v>3.3572667720833038E-3</v>
      </c>
      <c r="V295" t="s">
        <v>154</v>
      </c>
    </row>
    <row r="296" spans="9:22" x14ac:dyDescent="0.25">
      <c r="I296" t="s">
        <v>171</v>
      </c>
      <c r="J296" t="s">
        <v>319</v>
      </c>
      <c r="K296">
        <v>0</v>
      </c>
      <c r="L296" t="s">
        <v>154</v>
      </c>
      <c r="N296" t="s">
        <v>201</v>
      </c>
      <c r="O296" t="s">
        <v>319</v>
      </c>
      <c r="P296">
        <v>2.8315810373449571E-3</v>
      </c>
      <c r="Q296" t="s">
        <v>154</v>
      </c>
      <c r="S296" t="s">
        <v>232</v>
      </c>
      <c r="T296" t="s">
        <v>319</v>
      </c>
      <c r="U296">
        <v>2.8955514636731365E-3</v>
      </c>
      <c r="V296" t="s">
        <v>154</v>
      </c>
    </row>
    <row r="297" spans="9:22" x14ac:dyDescent="0.25">
      <c r="I297" t="s">
        <v>171</v>
      </c>
      <c r="J297" t="s">
        <v>320</v>
      </c>
      <c r="K297">
        <v>0</v>
      </c>
      <c r="L297" t="s">
        <v>154</v>
      </c>
      <c r="N297" t="s">
        <v>201</v>
      </c>
      <c r="O297" t="s">
        <v>320</v>
      </c>
      <c r="P297">
        <v>1.1819848215233953E-2</v>
      </c>
      <c r="Q297" t="s">
        <v>154</v>
      </c>
      <c r="S297" t="s">
        <v>232</v>
      </c>
      <c r="T297" t="s">
        <v>320</v>
      </c>
      <c r="U297">
        <v>1.6031977040159032E-2</v>
      </c>
      <c r="V297" t="s">
        <v>154</v>
      </c>
    </row>
    <row r="298" spans="9:22" x14ac:dyDescent="0.25">
      <c r="I298" t="s">
        <v>171</v>
      </c>
      <c r="J298" t="s">
        <v>302</v>
      </c>
      <c r="K298">
        <v>0</v>
      </c>
      <c r="L298" t="s">
        <v>154</v>
      </c>
      <c r="N298" t="s">
        <v>201</v>
      </c>
      <c r="O298" t="s">
        <v>302</v>
      </c>
      <c r="P298">
        <v>4.3729393053856036E-2</v>
      </c>
      <c r="Q298" t="s">
        <v>154</v>
      </c>
      <c r="S298" t="s">
        <v>232</v>
      </c>
      <c r="T298" t="s">
        <v>302</v>
      </c>
      <c r="U298">
        <v>3.3738256328080841E-2</v>
      </c>
      <c r="V298" t="s">
        <v>154</v>
      </c>
    </row>
    <row r="299" spans="9:22" x14ac:dyDescent="0.25">
      <c r="I299" t="s">
        <v>171</v>
      </c>
      <c r="J299" t="s">
        <v>303</v>
      </c>
      <c r="K299">
        <v>4.3125856729987052E-3</v>
      </c>
      <c r="L299" t="s">
        <v>154</v>
      </c>
      <c r="N299" t="s">
        <v>201</v>
      </c>
      <c r="O299" t="s">
        <v>303</v>
      </c>
      <c r="P299">
        <v>1.0704853485102327E-2</v>
      </c>
      <c r="Q299" t="s">
        <v>154</v>
      </c>
      <c r="S299" t="s">
        <v>232</v>
      </c>
      <c r="T299" t="s">
        <v>303</v>
      </c>
      <c r="U299">
        <v>9.2272122165925844E-3</v>
      </c>
      <c r="V299" t="s">
        <v>154</v>
      </c>
    </row>
    <row r="300" spans="9:22" x14ac:dyDescent="0.25">
      <c r="I300" t="s">
        <v>171</v>
      </c>
      <c r="J300" t="s">
        <v>304</v>
      </c>
      <c r="K300">
        <v>7.6132923461292943E-3</v>
      </c>
      <c r="L300" t="s">
        <v>154</v>
      </c>
      <c r="N300" t="s">
        <v>201</v>
      </c>
      <c r="O300" t="s">
        <v>304</v>
      </c>
      <c r="P300">
        <v>5.2200488546302907E-3</v>
      </c>
      <c r="Q300" t="s">
        <v>154</v>
      </c>
      <c r="S300" t="s">
        <v>232</v>
      </c>
      <c r="T300" t="s">
        <v>304</v>
      </c>
      <c r="U300">
        <v>4.5840527639961926E-3</v>
      </c>
      <c r="V300" t="s">
        <v>154</v>
      </c>
    </row>
    <row r="301" spans="9:22" x14ac:dyDescent="0.25">
      <c r="I301" t="s">
        <v>171</v>
      </c>
      <c r="J301" t="s">
        <v>305</v>
      </c>
      <c r="K301">
        <v>5.9687502457796845E-2</v>
      </c>
      <c r="L301" t="s">
        <v>154</v>
      </c>
      <c r="N301" t="s">
        <v>201</v>
      </c>
      <c r="O301" t="s">
        <v>305</v>
      </c>
      <c r="P301">
        <v>4.5841397116029192E-2</v>
      </c>
      <c r="Q301" t="s">
        <v>154</v>
      </c>
      <c r="S301" t="s">
        <v>232</v>
      </c>
      <c r="T301" t="s">
        <v>305</v>
      </c>
      <c r="U301">
        <v>3.2723335582820964E-2</v>
      </c>
      <c r="V301" t="s">
        <v>154</v>
      </c>
    </row>
    <row r="302" spans="9:22" x14ac:dyDescent="0.25">
      <c r="I302" t="s">
        <v>171</v>
      </c>
      <c r="J302" t="s">
        <v>306</v>
      </c>
      <c r="K302">
        <v>3.771282889416745E-3</v>
      </c>
      <c r="L302" t="s">
        <v>154</v>
      </c>
      <c r="N302" t="s">
        <v>201</v>
      </c>
      <c r="O302" t="s">
        <v>306</v>
      </c>
      <c r="P302">
        <v>6.8587455912381464E-3</v>
      </c>
      <c r="Q302" t="s">
        <v>154</v>
      </c>
      <c r="S302" t="s">
        <v>232</v>
      </c>
      <c r="T302" t="s">
        <v>306</v>
      </c>
      <c r="U302">
        <v>4.8816299550249838E-3</v>
      </c>
      <c r="V302" t="s">
        <v>154</v>
      </c>
    </row>
    <row r="303" spans="9:22" x14ac:dyDescent="0.25">
      <c r="I303" t="s">
        <v>171</v>
      </c>
      <c r="J303" t="s">
        <v>321</v>
      </c>
      <c r="K303">
        <v>0</v>
      </c>
      <c r="L303" t="s">
        <v>154</v>
      </c>
      <c r="N303" t="s">
        <v>201</v>
      </c>
      <c r="O303" t="s">
        <v>321</v>
      </c>
      <c r="P303">
        <v>6.8208976588310152E-3</v>
      </c>
      <c r="Q303" t="s">
        <v>154</v>
      </c>
      <c r="S303" t="s">
        <v>232</v>
      </c>
      <c r="T303" t="s">
        <v>321</v>
      </c>
      <c r="U303">
        <v>4.789765874346044E-3</v>
      </c>
      <c r="V303" t="s">
        <v>154</v>
      </c>
    </row>
    <row r="304" spans="9:22" x14ac:dyDescent="0.25">
      <c r="I304" t="s">
        <v>171</v>
      </c>
      <c r="J304" t="s">
        <v>322</v>
      </c>
      <c r="K304">
        <v>0</v>
      </c>
      <c r="L304" t="s">
        <v>154</v>
      </c>
      <c r="N304" t="s">
        <v>201</v>
      </c>
      <c r="O304" t="s">
        <v>322</v>
      </c>
      <c r="P304">
        <v>3.045241226704172E-2</v>
      </c>
      <c r="Q304" t="s">
        <v>154</v>
      </c>
      <c r="S304" t="s">
        <v>232</v>
      </c>
      <c r="T304" t="s">
        <v>322</v>
      </c>
      <c r="U304">
        <v>2.3396602764552684E-2</v>
      </c>
      <c r="V304" t="s">
        <v>154</v>
      </c>
    </row>
    <row r="305" spans="9:22" x14ac:dyDescent="0.25">
      <c r="I305" t="s">
        <v>172</v>
      </c>
      <c r="J305" t="s">
        <v>153</v>
      </c>
      <c r="K305">
        <v>0</v>
      </c>
      <c r="L305" t="s">
        <v>154</v>
      </c>
      <c r="N305" t="s">
        <v>202</v>
      </c>
      <c r="O305" t="s">
        <v>153</v>
      </c>
      <c r="P305">
        <v>4.0258328768287402E-2</v>
      </c>
      <c r="Q305" t="s">
        <v>154</v>
      </c>
      <c r="S305" t="s">
        <v>233</v>
      </c>
      <c r="T305" t="s">
        <v>153</v>
      </c>
      <c r="U305">
        <v>4.0232731041184924E-2</v>
      </c>
      <c r="V305" t="s">
        <v>154</v>
      </c>
    </row>
    <row r="306" spans="9:22" x14ac:dyDescent="0.25">
      <c r="I306" t="s">
        <v>172</v>
      </c>
      <c r="J306" t="s">
        <v>155</v>
      </c>
      <c r="K306">
        <v>3.882347484179162E-3</v>
      </c>
      <c r="L306" t="s">
        <v>154</v>
      </c>
      <c r="N306" t="s">
        <v>202</v>
      </c>
      <c r="O306" t="s">
        <v>155</v>
      </c>
      <c r="P306">
        <v>8.077463640269825E-3</v>
      </c>
      <c r="Q306" t="s">
        <v>154</v>
      </c>
      <c r="S306" t="s">
        <v>233</v>
      </c>
      <c r="T306" t="s">
        <v>155</v>
      </c>
      <c r="U306">
        <v>8.8359655627498444E-3</v>
      </c>
      <c r="V306" t="s">
        <v>154</v>
      </c>
    </row>
    <row r="307" spans="9:22" x14ac:dyDescent="0.25">
      <c r="I307" t="s">
        <v>172</v>
      </c>
      <c r="J307" t="s">
        <v>156</v>
      </c>
      <c r="K307">
        <v>6.482610321589549E-3</v>
      </c>
      <c r="L307" t="s">
        <v>154</v>
      </c>
      <c r="N307" t="s">
        <v>202</v>
      </c>
      <c r="O307" t="s">
        <v>156</v>
      </c>
      <c r="P307">
        <v>3.9931902352587454E-3</v>
      </c>
      <c r="Q307" t="s">
        <v>154</v>
      </c>
      <c r="S307" t="s">
        <v>233</v>
      </c>
      <c r="T307" t="s">
        <v>156</v>
      </c>
      <c r="U307">
        <v>4.1309979082534524E-3</v>
      </c>
      <c r="V307" t="s">
        <v>154</v>
      </c>
    </row>
    <row r="308" spans="9:22" x14ac:dyDescent="0.25">
      <c r="I308" t="s">
        <v>172</v>
      </c>
      <c r="J308" t="s">
        <v>283</v>
      </c>
      <c r="K308">
        <v>6.69193282547762E-2</v>
      </c>
      <c r="L308" t="s">
        <v>154</v>
      </c>
      <c r="N308" t="s">
        <v>202</v>
      </c>
      <c r="O308" t="s">
        <v>283</v>
      </c>
      <c r="P308">
        <v>4.7746581449038504E-2</v>
      </c>
      <c r="Q308" t="s">
        <v>154</v>
      </c>
      <c r="S308" t="s">
        <v>233</v>
      </c>
      <c r="T308" t="s">
        <v>283</v>
      </c>
      <c r="U308">
        <v>3.0613236483292772E-2</v>
      </c>
      <c r="V308" t="s">
        <v>154</v>
      </c>
    </row>
    <row r="309" spans="9:22" x14ac:dyDescent="0.25">
      <c r="I309" t="s">
        <v>172</v>
      </c>
      <c r="J309" t="s">
        <v>284</v>
      </c>
      <c r="K309">
        <v>6.4486157653367449E-3</v>
      </c>
      <c r="L309" t="s">
        <v>154</v>
      </c>
      <c r="N309" t="s">
        <v>202</v>
      </c>
      <c r="O309" t="s">
        <v>284</v>
      </c>
      <c r="P309">
        <v>6.4851806300939407E-3</v>
      </c>
      <c r="Q309" t="s">
        <v>154</v>
      </c>
      <c r="S309" t="s">
        <v>233</v>
      </c>
      <c r="T309" t="s">
        <v>284</v>
      </c>
      <c r="U309">
        <v>5.4360307381382394E-3</v>
      </c>
      <c r="V309" t="s">
        <v>154</v>
      </c>
    </row>
    <row r="310" spans="9:22" x14ac:dyDescent="0.25">
      <c r="I310" t="s">
        <v>172</v>
      </c>
      <c r="J310" t="s">
        <v>311</v>
      </c>
      <c r="K310">
        <v>1.5816150155290507E-3</v>
      </c>
      <c r="L310" t="s">
        <v>154</v>
      </c>
      <c r="N310" t="s">
        <v>202</v>
      </c>
      <c r="O310" t="s">
        <v>311</v>
      </c>
      <c r="P310">
        <v>6.0411002452035439E-3</v>
      </c>
      <c r="Q310" t="s">
        <v>154</v>
      </c>
      <c r="S310" t="s">
        <v>233</v>
      </c>
      <c r="T310" t="s">
        <v>311</v>
      </c>
      <c r="U310">
        <v>5.8574682266923448E-3</v>
      </c>
      <c r="V310" t="s">
        <v>154</v>
      </c>
    </row>
    <row r="311" spans="9:22" x14ac:dyDescent="0.25">
      <c r="I311" t="s">
        <v>172</v>
      </c>
      <c r="J311" t="s">
        <v>312</v>
      </c>
      <c r="K311">
        <v>0</v>
      </c>
      <c r="L311" t="s">
        <v>154</v>
      </c>
      <c r="N311" t="s">
        <v>202</v>
      </c>
      <c r="O311" t="s">
        <v>312</v>
      </c>
      <c r="P311">
        <v>2.4596900346751095E-2</v>
      </c>
      <c r="Q311" t="s">
        <v>154</v>
      </c>
      <c r="S311" t="s">
        <v>233</v>
      </c>
      <c r="T311" t="s">
        <v>312</v>
      </c>
      <c r="U311">
        <v>2.8746117765716898E-2</v>
      </c>
      <c r="V311" t="s">
        <v>154</v>
      </c>
    </row>
    <row r="312" spans="9:22" x14ac:dyDescent="0.25">
      <c r="I312" t="s">
        <v>172</v>
      </c>
      <c r="J312" t="s">
        <v>157</v>
      </c>
      <c r="K312">
        <v>0</v>
      </c>
      <c r="L312" t="s">
        <v>154</v>
      </c>
      <c r="N312" t="s">
        <v>202</v>
      </c>
      <c r="O312" t="s">
        <v>157</v>
      </c>
      <c r="P312">
        <v>9.1293947299456932E-3</v>
      </c>
      <c r="Q312" t="s">
        <v>154</v>
      </c>
      <c r="S312" t="s">
        <v>233</v>
      </c>
      <c r="T312" t="s">
        <v>157</v>
      </c>
      <c r="U312">
        <v>9.8314840850762548E-3</v>
      </c>
      <c r="V312" t="s">
        <v>154</v>
      </c>
    </row>
    <row r="313" spans="9:22" x14ac:dyDescent="0.25">
      <c r="I313" t="s">
        <v>172</v>
      </c>
      <c r="J313" t="s">
        <v>158</v>
      </c>
      <c r="K313">
        <v>1.0935562189939962E-3</v>
      </c>
      <c r="L313" t="s">
        <v>154</v>
      </c>
      <c r="N313" t="s">
        <v>202</v>
      </c>
      <c r="O313" t="s">
        <v>158</v>
      </c>
      <c r="P313">
        <v>2.7450696177011768E-3</v>
      </c>
      <c r="Q313" t="s">
        <v>154</v>
      </c>
      <c r="S313" t="s">
        <v>233</v>
      </c>
      <c r="T313" t="s">
        <v>158</v>
      </c>
      <c r="U313">
        <v>3.5523730113609705E-3</v>
      </c>
      <c r="V313" t="s">
        <v>154</v>
      </c>
    </row>
    <row r="314" spans="9:22" x14ac:dyDescent="0.25">
      <c r="I314" t="s">
        <v>172</v>
      </c>
      <c r="J314" t="s">
        <v>159</v>
      </c>
      <c r="K314">
        <v>2.1436991781844596E-3</v>
      </c>
      <c r="L314" t="s">
        <v>154</v>
      </c>
      <c r="N314" t="s">
        <v>202</v>
      </c>
      <c r="O314" t="s">
        <v>159</v>
      </c>
      <c r="P314">
        <v>1.5594598954252411E-3</v>
      </c>
      <c r="Q314" t="s">
        <v>154</v>
      </c>
      <c r="S314" t="s">
        <v>233</v>
      </c>
      <c r="T314" t="s">
        <v>159</v>
      </c>
      <c r="U314">
        <v>1.7290189395958169E-3</v>
      </c>
      <c r="V314" t="s">
        <v>154</v>
      </c>
    </row>
    <row r="315" spans="9:22" x14ac:dyDescent="0.25">
      <c r="I315" t="s">
        <v>172</v>
      </c>
      <c r="J315" t="s">
        <v>285</v>
      </c>
      <c r="K315">
        <v>1.9788128649571537E-2</v>
      </c>
      <c r="L315" t="s">
        <v>154</v>
      </c>
      <c r="N315" t="s">
        <v>202</v>
      </c>
      <c r="O315" t="s">
        <v>285</v>
      </c>
      <c r="P315">
        <v>1.6041390079080071E-2</v>
      </c>
      <c r="Q315" t="s">
        <v>154</v>
      </c>
      <c r="S315" t="s">
        <v>233</v>
      </c>
      <c r="T315" t="s">
        <v>285</v>
      </c>
      <c r="U315">
        <v>1.2303219224799995E-2</v>
      </c>
      <c r="V315" t="s">
        <v>154</v>
      </c>
    </row>
    <row r="316" spans="9:22" x14ac:dyDescent="0.25">
      <c r="I316" t="s">
        <v>172</v>
      </c>
      <c r="J316" t="s">
        <v>286</v>
      </c>
      <c r="K316">
        <v>2.0555660824266848E-3</v>
      </c>
      <c r="L316" t="s">
        <v>154</v>
      </c>
      <c r="N316" t="s">
        <v>202</v>
      </c>
      <c r="O316" t="s">
        <v>286</v>
      </c>
      <c r="P316">
        <v>2.0927732041003512E-3</v>
      </c>
      <c r="Q316" t="s">
        <v>154</v>
      </c>
      <c r="S316" t="s">
        <v>233</v>
      </c>
      <c r="T316" t="s">
        <v>286</v>
      </c>
      <c r="U316">
        <v>1.56593072459566E-3</v>
      </c>
      <c r="V316" t="s">
        <v>154</v>
      </c>
    </row>
    <row r="317" spans="9:22" x14ac:dyDescent="0.25">
      <c r="I317" t="s">
        <v>172</v>
      </c>
      <c r="J317" t="s">
        <v>313</v>
      </c>
      <c r="K317">
        <v>1.0129560623649315E-3</v>
      </c>
      <c r="L317" t="s">
        <v>154</v>
      </c>
      <c r="N317" t="s">
        <v>202</v>
      </c>
      <c r="O317" t="s">
        <v>313</v>
      </c>
      <c r="P317">
        <v>1.9805762627471395E-3</v>
      </c>
      <c r="Q317" t="s">
        <v>154</v>
      </c>
      <c r="S317" t="s">
        <v>233</v>
      </c>
      <c r="T317" t="s">
        <v>313</v>
      </c>
      <c r="U317">
        <v>1.5041030387955819E-3</v>
      </c>
      <c r="V317" t="s">
        <v>154</v>
      </c>
    </row>
    <row r="318" spans="9:22" x14ac:dyDescent="0.25">
      <c r="I318" t="s">
        <v>172</v>
      </c>
      <c r="J318" t="s">
        <v>314</v>
      </c>
      <c r="K318">
        <v>0</v>
      </c>
      <c r="L318" t="s">
        <v>154</v>
      </c>
      <c r="N318" t="s">
        <v>202</v>
      </c>
      <c r="O318" t="s">
        <v>314</v>
      </c>
      <c r="P318">
        <v>6.3306558188144764E-3</v>
      </c>
      <c r="Q318" t="s">
        <v>154</v>
      </c>
      <c r="S318" t="s">
        <v>233</v>
      </c>
      <c r="T318" t="s">
        <v>314</v>
      </c>
      <c r="U318">
        <v>6.8480174902742367E-3</v>
      </c>
      <c r="V318" t="s">
        <v>154</v>
      </c>
    </row>
    <row r="319" spans="9:22" x14ac:dyDescent="0.25">
      <c r="I319" t="s">
        <v>172</v>
      </c>
      <c r="J319" t="s">
        <v>160</v>
      </c>
      <c r="K319">
        <v>1.6951352981833903E-3</v>
      </c>
      <c r="L319" t="s">
        <v>154</v>
      </c>
      <c r="N319" t="s">
        <v>202</v>
      </c>
      <c r="O319" t="s">
        <v>160</v>
      </c>
      <c r="P319">
        <v>0.1470029175724599</v>
      </c>
      <c r="Q319" t="s">
        <v>154</v>
      </c>
      <c r="S319" t="s">
        <v>233</v>
      </c>
      <c r="T319" t="s">
        <v>160</v>
      </c>
      <c r="U319">
        <v>0.18350701784584261</v>
      </c>
      <c r="V319" t="s">
        <v>154</v>
      </c>
    </row>
    <row r="320" spans="9:22" x14ac:dyDescent="0.25">
      <c r="I320" t="s">
        <v>172</v>
      </c>
      <c r="J320" t="s">
        <v>161</v>
      </c>
      <c r="K320">
        <v>5.6221146965619286E-2</v>
      </c>
      <c r="L320" t="s">
        <v>154</v>
      </c>
      <c r="N320" t="s">
        <v>202</v>
      </c>
      <c r="O320" t="s">
        <v>161</v>
      </c>
      <c r="P320">
        <v>3.2333648046472221E-2</v>
      </c>
      <c r="Q320" t="s">
        <v>154</v>
      </c>
      <c r="S320" t="s">
        <v>233</v>
      </c>
      <c r="T320" t="s">
        <v>161</v>
      </c>
      <c r="U320">
        <v>4.2166124357189527E-2</v>
      </c>
      <c r="V320" t="s">
        <v>154</v>
      </c>
    </row>
    <row r="321" spans="9:22" x14ac:dyDescent="0.25">
      <c r="I321" t="s">
        <v>172</v>
      </c>
      <c r="J321" t="s">
        <v>162</v>
      </c>
      <c r="K321">
        <v>5.633947731287433E-2</v>
      </c>
      <c r="L321" t="s">
        <v>154</v>
      </c>
      <c r="N321" t="s">
        <v>202</v>
      </c>
      <c r="O321" t="s">
        <v>162</v>
      </c>
      <c r="P321">
        <v>2.0631111897869547E-2</v>
      </c>
      <c r="Q321" t="s">
        <v>154</v>
      </c>
      <c r="S321" t="s">
        <v>233</v>
      </c>
      <c r="T321" t="s">
        <v>162</v>
      </c>
      <c r="U321">
        <v>2.176835881859145E-2</v>
      </c>
      <c r="V321" t="s">
        <v>154</v>
      </c>
    </row>
    <row r="322" spans="9:22" x14ac:dyDescent="0.25">
      <c r="I322" t="s">
        <v>172</v>
      </c>
      <c r="J322" t="s">
        <v>287</v>
      </c>
      <c r="K322">
        <v>0.50275218883792971</v>
      </c>
      <c r="L322" t="s">
        <v>154</v>
      </c>
      <c r="N322" t="s">
        <v>202</v>
      </c>
      <c r="O322" t="s">
        <v>287</v>
      </c>
      <c r="P322">
        <v>0.21511018338431701</v>
      </c>
      <c r="Q322" t="s">
        <v>154</v>
      </c>
      <c r="S322" t="s">
        <v>233</v>
      </c>
      <c r="T322" t="s">
        <v>287</v>
      </c>
      <c r="U322">
        <v>0.17151277500292539</v>
      </c>
      <c r="V322" t="s">
        <v>154</v>
      </c>
    </row>
    <row r="323" spans="9:22" x14ac:dyDescent="0.25">
      <c r="I323" t="s">
        <v>172</v>
      </c>
      <c r="J323" t="s">
        <v>288</v>
      </c>
      <c r="K323">
        <v>5.0688542877425857E-2</v>
      </c>
      <c r="L323" t="s">
        <v>154</v>
      </c>
      <c r="N323" t="s">
        <v>202</v>
      </c>
      <c r="O323" t="s">
        <v>288</v>
      </c>
      <c r="P323">
        <v>2.9705619900769201E-2</v>
      </c>
      <c r="Q323" t="s">
        <v>154</v>
      </c>
      <c r="S323" t="s">
        <v>233</v>
      </c>
      <c r="T323" t="s">
        <v>288</v>
      </c>
      <c r="U323">
        <v>2.6339641114293367E-2</v>
      </c>
      <c r="V323" t="s">
        <v>154</v>
      </c>
    </row>
    <row r="324" spans="9:22" x14ac:dyDescent="0.25">
      <c r="I324" t="s">
        <v>172</v>
      </c>
      <c r="J324" t="s">
        <v>315</v>
      </c>
      <c r="K324">
        <v>3.3061880255120392E-2</v>
      </c>
      <c r="L324" t="s">
        <v>154</v>
      </c>
      <c r="N324" t="s">
        <v>202</v>
      </c>
      <c r="O324" t="s">
        <v>315</v>
      </c>
      <c r="P324">
        <v>2.8027293557238091E-2</v>
      </c>
      <c r="Q324" t="s">
        <v>154</v>
      </c>
      <c r="S324" t="s">
        <v>233</v>
      </c>
      <c r="T324" t="s">
        <v>315</v>
      </c>
      <c r="U324">
        <v>2.6744979954363937E-2</v>
      </c>
      <c r="V324" t="s">
        <v>154</v>
      </c>
    </row>
    <row r="325" spans="9:22" x14ac:dyDescent="0.25">
      <c r="I325" t="s">
        <v>172</v>
      </c>
      <c r="J325" t="s">
        <v>316</v>
      </c>
      <c r="K325">
        <v>1.0117164834489049E-2</v>
      </c>
      <c r="L325" t="s">
        <v>154</v>
      </c>
      <c r="N325" t="s">
        <v>202</v>
      </c>
      <c r="O325" t="s">
        <v>316</v>
      </c>
      <c r="P325">
        <v>0.10117606703060864</v>
      </c>
      <c r="Q325" t="s">
        <v>154</v>
      </c>
      <c r="S325" t="s">
        <v>233</v>
      </c>
      <c r="T325" t="s">
        <v>316</v>
      </c>
      <c r="U325">
        <v>0.12231698215075945</v>
      </c>
      <c r="V325" t="s">
        <v>154</v>
      </c>
    </row>
    <row r="326" spans="9:22" x14ac:dyDescent="0.25">
      <c r="I326" t="s">
        <v>172</v>
      </c>
      <c r="J326" t="s">
        <v>163</v>
      </c>
      <c r="K326">
        <v>0</v>
      </c>
      <c r="L326" t="s">
        <v>154</v>
      </c>
      <c r="N326" t="s">
        <v>202</v>
      </c>
      <c r="O326" t="s">
        <v>163</v>
      </c>
      <c r="P326">
        <v>1.3387302703770485E-2</v>
      </c>
      <c r="Q326" t="s">
        <v>154</v>
      </c>
      <c r="S326" t="s">
        <v>233</v>
      </c>
      <c r="T326" t="s">
        <v>163</v>
      </c>
      <c r="U326">
        <v>1.5147888884154742E-2</v>
      </c>
      <c r="V326" t="s">
        <v>154</v>
      </c>
    </row>
    <row r="327" spans="9:22" x14ac:dyDescent="0.25">
      <c r="I327" t="s">
        <v>172</v>
      </c>
      <c r="J327" t="s">
        <v>164</v>
      </c>
      <c r="K327">
        <v>1.6054571384334559E-3</v>
      </c>
      <c r="L327" t="s">
        <v>154</v>
      </c>
      <c r="N327" t="s">
        <v>202</v>
      </c>
      <c r="O327" t="s">
        <v>164</v>
      </c>
      <c r="P327">
        <v>2.5803991306306059E-3</v>
      </c>
      <c r="Q327" t="s">
        <v>154</v>
      </c>
      <c r="S327" t="s">
        <v>233</v>
      </c>
      <c r="T327" t="s">
        <v>164</v>
      </c>
      <c r="U327">
        <v>3.6566687464870628E-3</v>
      </c>
      <c r="V327" t="s">
        <v>154</v>
      </c>
    </row>
    <row r="328" spans="9:22" x14ac:dyDescent="0.25">
      <c r="I328" t="s">
        <v>172</v>
      </c>
      <c r="J328" t="s">
        <v>165</v>
      </c>
      <c r="K328">
        <v>1.9511007049982261E-3</v>
      </c>
      <c r="L328" t="s">
        <v>154</v>
      </c>
      <c r="N328" t="s">
        <v>202</v>
      </c>
      <c r="O328" t="s">
        <v>165</v>
      </c>
      <c r="P328">
        <v>1.5713541998790116E-3</v>
      </c>
      <c r="Q328" t="s">
        <v>154</v>
      </c>
      <c r="S328" t="s">
        <v>233</v>
      </c>
      <c r="T328" t="s">
        <v>165</v>
      </c>
      <c r="U328">
        <v>1.8654396611705937E-3</v>
      </c>
      <c r="V328" t="s">
        <v>154</v>
      </c>
    </row>
    <row r="329" spans="9:22" x14ac:dyDescent="0.25">
      <c r="I329" t="s">
        <v>172</v>
      </c>
      <c r="J329" t="s">
        <v>289</v>
      </c>
      <c r="K329">
        <v>1.5747304356693092E-2</v>
      </c>
      <c r="L329" t="s">
        <v>154</v>
      </c>
      <c r="N329" t="s">
        <v>202</v>
      </c>
      <c r="O329" t="s">
        <v>289</v>
      </c>
      <c r="P329">
        <v>1.3672968903592781E-2</v>
      </c>
      <c r="Q329" t="s">
        <v>154</v>
      </c>
      <c r="S329" t="s">
        <v>233</v>
      </c>
      <c r="T329" t="s">
        <v>289</v>
      </c>
      <c r="U329">
        <v>1.2545839642235528E-2</v>
      </c>
      <c r="V329" t="s">
        <v>154</v>
      </c>
    </row>
    <row r="330" spans="9:22" x14ac:dyDescent="0.25">
      <c r="I330" t="s">
        <v>172</v>
      </c>
      <c r="J330" t="s">
        <v>290</v>
      </c>
      <c r="K330">
        <v>1.1455886884835041E-3</v>
      </c>
      <c r="L330" t="s">
        <v>154</v>
      </c>
      <c r="N330" t="s">
        <v>202</v>
      </c>
      <c r="O330" t="s">
        <v>290</v>
      </c>
      <c r="P330">
        <v>2.1029353019849841E-3</v>
      </c>
      <c r="Q330" t="s">
        <v>154</v>
      </c>
      <c r="S330" t="s">
        <v>233</v>
      </c>
      <c r="T330" t="s">
        <v>290</v>
      </c>
      <c r="U330">
        <v>1.9125988938146501E-3</v>
      </c>
      <c r="V330" t="s">
        <v>154</v>
      </c>
    </row>
    <row r="331" spans="9:22" x14ac:dyDescent="0.25">
      <c r="I331" t="s">
        <v>172</v>
      </c>
      <c r="J331" t="s">
        <v>317</v>
      </c>
      <c r="K331">
        <v>4.9647057180199033E-5</v>
      </c>
      <c r="L331" t="s">
        <v>154</v>
      </c>
      <c r="N331" t="s">
        <v>202</v>
      </c>
      <c r="O331" t="s">
        <v>317</v>
      </c>
      <c r="P331">
        <v>2.0689772902134193E-3</v>
      </c>
      <c r="Q331" t="s">
        <v>154</v>
      </c>
      <c r="S331" t="s">
        <v>233</v>
      </c>
      <c r="T331" t="s">
        <v>317</v>
      </c>
      <c r="U331">
        <v>1.9228721868307394E-3</v>
      </c>
      <c r="V331" t="s">
        <v>154</v>
      </c>
    </row>
    <row r="332" spans="9:22" x14ac:dyDescent="0.25">
      <c r="I332" t="s">
        <v>172</v>
      </c>
      <c r="J332" t="s">
        <v>318</v>
      </c>
      <c r="K332">
        <v>0</v>
      </c>
      <c r="L332" t="s">
        <v>154</v>
      </c>
      <c r="N332" t="s">
        <v>202</v>
      </c>
      <c r="O332" t="s">
        <v>318</v>
      </c>
      <c r="P332">
        <v>7.462539176960009E-3</v>
      </c>
      <c r="Q332" t="s">
        <v>154</v>
      </c>
      <c r="S332" t="s">
        <v>233</v>
      </c>
      <c r="T332" t="s">
        <v>318</v>
      </c>
      <c r="U332">
        <v>8.7013299291973951E-3</v>
      </c>
      <c r="V332" t="s">
        <v>154</v>
      </c>
    </row>
    <row r="333" spans="9:22" x14ac:dyDescent="0.25">
      <c r="I333" t="s">
        <v>172</v>
      </c>
      <c r="J333" t="s">
        <v>297</v>
      </c>
      <c r="K333">
        <v>0</v>
      </c>
      <c r="L333" t="s">
        <v>154</v>
      </c>
      <c r="N333" t="s">
        <v>202</v>
      </c>
      <c r="O333" t="s">
        <v>297</v>
      </c>
      <c r="P333">
        <v>1.2705126910444595E-2</v>
      </c>
      <c r="Q333" t="s">
        <v>154</v>
      </c>
      <c r="S333" t="s">
        <v>233</v>
      </c>
      <c r="T333" t="s">
        <v>297</v>
      </c>
      <c r="U333">
        <v>1.9527771537664315E-2</v>
      </c>
      <c r="V333" t="s">
        <v>154</v>
      </c>
    </row>
    <row r="334" spans="9:22" x14ac:dyDescent="0.25">
      <c r="I334" t="s">
        <v>172</v>
      </c>
      <c r="J334" t="s">
        <v>298</v>
      </c>
      <c r="K334">
        <v>3.8892806658470465E-3</v>
      </c>
      <c r="L334" t="s">
        <v>154</v>
      </c>
      <c r="N334" t="s">
        <v>202</v>
      </c>
      <c r="O334" t="s">
        <v>298</v>
      </c>
      <c r="P334">
        <v>2.1813315135996644E-3</v>
      </c>
      <c r="Q334" t="s">
        <v>154</v>
      </c>
      <c r="S334" t="s">
        <v>233</v>
      </c>
      <c r="T334" t="s">
        <v>298</v>
      </c>
      <c r="U334">
        <v>5.0417685330270195E-3</v>
      </c>
      <c r="V334" t="s">
        <v>154</v>
      </c>
    </row>
    <row r="335" spans="9:22" x14ac:dyDescent="0.25">
      <c r="I335" t="s">
        <v>172</v>
      </c>
      <c r="J335" t="s">
        <v>299</v>
      </c>
      <c r="K335">
        <v>6.9367647112019244E-3</v>
      </c>
      <c r="L335" t="s">
        <v>154</v>
      </c>
      <c r="N335" t="s">
        <v>202</v>
      </c>
      <c r="O335" t="s">
        <v>299</v>
      </c>
      <c r="P335">
        <v>1.2103703352277233E-3</v>
      </c>
      <c r="Q335" t="s">
        <v>154</v>
      </c>
      <c r="S335" t="s">
        <v>233</v>
      </c>
      <c r="T335" t="s">
        <v>299</v>
      </c>
      <c r="U335">
        <v>2.4661041436235304E-3</v>
      </c>
      <c r="V335" t="s">
        <v>154</v>
      </c>
    </row>
    <row r="336" spans="9:22" x14ac:dyDescent="0.25">
      <c r="I336" t="s">
        <v>172</v>
      </c>
      <c r="J336" t="s">
        <v>300</v>
      </c>
      <c r="K336">
        <v>5.7688700010024976E-2</v>
      </c>
      <c r="L336" t="s">
        <v>154</v>
      </c>
      <c r="N336" t="s">
        <v>202</v>
      </c>
      <c r="O336" t="s">
        <v>300</v>
      </c>
      <c r="P336">
        <v>1.9831978721975178E-2</v>
      </c>
      <c r="Q336" t="s">
        <v>154</v>
      </c>
      <c r="S336" t="s">
        <v>233</v>
      </c>
      <c r="T336" t="s">
        <v>300</v>
      </c>
      <c r="U336">
        <v>1.7231310649696081E-2</v>
      </c>
      <c r="V336" t="s">
        <v>154</v>
      </c>
    </row>
    <row r="337" spans="9:22" x14ac:dyDescent="0.25">
      <c r="I337" t="s">
        <v>172</v>
      </c>
      <c r="J337" t="s">
        <v>301</v>
      </c>
      <c r="K337">
        <v>3.9469755862564905E-3</v>
      </c>
      <c r="L337" t="s">
        <v>154</v>
      </c>
      <c r="N337" t="s">
        <v>202</v>
      </c>
      <c r="O337" t="s">
        <v>301</v>
      </c>
      <c r="P337">
        <v>2.4819539424727707E-3</v>
      </c>
      <c r="Q337" t="s">
        <v>154</v>
      </c>
      <c r="S337" t="s">
        <v>233</v>
      </c>
      <c r="T337" t="s">
        <v>301</v>
      </c>
      <c r="U337">
        <v>2.8108580901172256E-3</v>
      </c>
      <c r="V337" t="s">
        <v>154</v>
      </c>
    </row>
    <row r="338" spans="9:22" x14ac:dyDescent="0.25">
      <c r="I338" t="s">
        <v>172</v>
      </c>
      <c r="J338" t="s">
        <v>319</v>
      </c>
      <c r="K338">
        <v>0</v>
      </c>
      <c r="L338" t="s">
        <v>154</v>
      </c>
      <c r="N338" t="s">
        <v>202</v>
      </c>
      <c r="O338" t="s">
        <v>319</v>
      </c>
      <c r="P338">
        <v>2.266339935374154E-3</v>
      </c>
      <c r="Q338" t="s">
        <v>154</v>
      </c>
      <c r="S338" t="s">
        <v>233</v>
      </c>
      <c r="T338" t="s">
        <v>319</v>
      </c>
      <c r="U338">
        <v>2.8187578741789786E-3</v>
      </c>
      <c r="V338" t="s">
        <v>154</v>
      </c>
    </row>
    <row r="339" spans="9:22" x14ac:dyDescent="0.25">
      <c r="I339" t="s">
        <v>172</v>
      </c>
      <c r="J339" t="s">
        <v>320</v>
      </c>
      <c r="K339">
        <v>0</v>
      </c>
      <c r="L339" t="s">
        <v>154</v>
      </c>
      <c r="N339" t="s">
        <v>202</v>
      </c>
      <c r="O339" t="s">
        <v>320</v>
      </c>
      <c r="P339">
        <v>8.1424775371824291E-3</v>
      </c>
      <c r="Q339" t="s">
        <v>154</v>
      </c>
      <c r="S339" t="s">
        <v>233</v>
      </c>
      <c r="T339" t="s">
        <v>320</v>
      </c>
      <c r="U339">
        <v>1.3671397383200118E-2</v>
      </c>
      <c r="V339" t="s">
        <v>154</v>
      </c>
    </row>
    <row r="340" spans="9:22" x14ac:dyDescent="0.25">
      <c r="I340" t="s">
        <v>172</v>
      </c>
      <c r="J340" t="s">
        <v>302</v>
      </c>
      <c r="K340">
        <v>0</v>
      </c>
      <c r="L340" t="s">
        <v>154</v>
      </c>
      <c r="N340" t="s">
        <v>202</v>
      </c>
      <c r="O340" t="s">
        <v>302</v>
      </c>
      <c r="P340">
        <v>4.2019043266198958E-2</v>
      </c>
      <c r="Q340" t="s">
        <v>154</v>
      </c>
      <c r="S340" t="s">
        <v>233</v>
      </c>
      <c r="T340" t="s">
        <v>302</v>
      </c>
      <c r="U340">
        <v>3.9598764612777039E-2</v>
      </c>
      <c r="V340" t="s">
        <v>154</v>
      </c>
    </row>
    <row r="341" spans="9:22" x14ac:dyDescent="0.25">
      <c r="I341" t="s">
        <v>172</v>
      </c>
      <c r="J341" t="s">
        <v>303</v>
      </c>
      <c r="K341">
        <v>4.2483890954961769E-3</v>
      </c>
      <c r="L341" t="s">
        <v>154</v>
      </c>
      <c r="N341" t="s">
        <v>202</v>
      </c>
      <c r="O341" t="s">
        <v>303</v>
      </c>
      <c r="P341">
        <v>8.7781595506645979E-3</v>
      </c>
      <c r="Q341" t="s">
        <v>154</v>
      </c>
      <c r="S341" t="s">
        <v>233</v>
      </c>
      <c r="T341" t="s">
        <v>303</v>
      </c>
      <c r="U341">
        <v>9.7015653499095845E-3</v>
      </c>
      <c r="V341" t="s">
        <v>154</v>
      </c>
    </row>
    <row r="342" spans="9:22" x14ac:dyDescent="0.25">
      <c r="I342" t="s">
        <v>172</v>
      </c>
      <c r="J342" t="s">
        <v>304</v>
      </c>
      <c r="K342">
        <v>7.6419056952373356E-3</v>
      </c>
      <c r="L342" t="s">
        <v>154</v>
      </c>
      <c r="N342" t="s">
        <v>202</v>
      </c>
      <c r="O342" t="s">
        <v>304</v>
      </c>
      <c r="P342">
        <v>4.745464590575948E-3</v>
      </c>
      <c r="Q342" t="s">
        <v>154</v>
      </c>
      <c r="S342" t="s">
        <v>233</v>
      </c>
      <c r="T342" t="s">
        <v>304</v>
      </c>
      <c r="U342">
        <v>5.1037762111250887E-3</v>
      </c>
      <c r="V342" t="s">
        <v>154</v>
      </c>
    </row>
    <row r="343" spans="9:22" x14ac:dyDescent="0.25">
      <c r="I343" t="s">
        <v>172</v>
      </c>
      <c r="J343" t="s">
        <v>305</v>
      </c>
      <c r="K343">
        <v>6.8049959386077025E-2</v>
      </c>
      <c r="L343" t="s">
        <v>154</v>
      </c>
      <c r="N343" t="s">
        <v>202</v>
      </c>
      <c r="O343" t="s">
        <v>305</v>
      </c>
      <c r="P343">
        <v>5.9521801025601444E-2</v>
      </c>
      <c r="Q343" t="s">
        <v>154</v>
      </c>
      <c r="S343" t="s">
        <v>233</v>
      </c>
      <c r="T343" t="s">
        <v>305</v>
      </c>
      <c r="U343">
        <v>4.0859800091928244E-2</v>
      </c>
      <c r="V343" t="s">
        <v>154</v>
      </c>
    </row>
    <row r="344" spans="9:22" x14ac:dyDescent="0.25">
      <c r="I344" t="s">
        <v>172</v>
      </c>
      <c r="J344" t="s">
        <v>306</v>
      </c>
      <c r="K344">
        <v>4.8149674894763326E-3</v>
      </c>
      <c r="L344" t="s">
        <v>154</v>
      </c>
      <c r="N344" t="s">
        <v>202</v>
      </c>
      <c r="O344" t="s">
        <v>306</v>
      </c>
      <c r="P344">
        <v>7.3670922965125086E-3</v>
      </c>
      <c r="Q344" t="s">
        <v>154</v>
      </c>
      <c r="S344" t="s">
        <v>233</v>
      </c>
      <c r="T344" t="s">
        <v>306</v>
      </c>
      <c r="U344">
        <v>6.0843383506363983E-3</v>
      </c>
      <c r="V344" t="s">
        <v>154</v>
      </c>
    </row>
    <row r="345" spans="9:22" x14ac:dyDescent="0.25">
      <c r="I345" t="s">
        <v>172</v>
      </c>
      <c r="J345" t="s">
        <v>321</v>
      </c>
      <c r="K345">
        <v>0</v>
      </c>
      <c r="L345" t="s">
        <v>154</v>
      </c>
      <c r="N345" t="s">
        <v>202</v>
      </c>
      <c r="O345" t="s">
        <v>321</v>
      </c>
      <c r="P345">
        <v>6.8640158667161305E-3</v>
      </c>
      <c r="Q345" t="s">
        <v>154</v>
      </c>
      <c r="S345" t="s">
        <v>233</v>
      </c>
      <c r="T345" t="s">
        <v>321</v>
      </c>
      <c r="U345">
        <v>6.1487525300655344E-3</v>
      </c>
      <c r="V345" t="s">
        <v>154</v>
      </c>
    </row>
    <row r="346" spans="9:22" x14ac:dyDescent="0.25">
      <c r="I346" t="s">
        <v>172</v>
      </c>
      <c r="J346" t="s">
        <v>322</v>
      </c>
      <c r="K346">
        <v>0</v>
      </c>
      <c r="L346" t="s">
        <v>154</v>
      </c>
      <c r="N346" t="s">
        <v>202</v>
      </c>
      <c r="O346" t="s">
        <v>322</v>
      </c>
      <c r="P346">
        <v>2.7973461487970017E-2</v>
      </c>
      <c r="Q346" t="s">
        <v>154</v>
      </c>
      <c r="S346" t="s">
        <v>233</v>
      </c>
      <c r="T346" t="s">
        <v>322</v>
      </c>
      <c r="U346">
        <v>2.7639823213669642E-2</v>
      </c>
      <c r="V346" t="s">
        <v>154</v>
      </c>
    </row>
    <row r="347" spans="9:22" x14ac:dyDescent="0.25">
      <c r="I347" t="s">
        <v>173</v>
      </c>
      <c r="J347" t="s">
        <v>153</v>
      </c>
      <c r="K347">
        <v>0</v>
      </c>
      <c r="L347" t="s">
        <v>154</v>
      </c>
      <c r="N347" t="s">
        <v>203</v>
      </c>
      <c r="O347" t="s">
        <v>153</v>
      </c>
      <c r="P347">
        <v>3.9383953931598596E-2</v>
      </c>
      <c r="Q347" t="s">
        <v>154</v>
      </c>
      <c r="S347" t="s">
        <v>234</v>
      </c>
      <c r="T347" t="s">
        <v>153</v>
      </c>
      <c r="U347">
        <v>4.2869197109850876E-2</v>
      </c>
      <c r="V347" t="s">
        <v>154</v>
      </c>
    </row>
    <row r="348" spans="9:22" x14ac:dyDescent="0.25">
      <c r="I348" t="s">
        <v>173</v>
      </c>
      <c r="J348" t="s">
        <v>155</v>
      </c>
      <c r="K348">
        <v>3.8531937851714738E-3</v>
      </c>
      <c r="L348" t="s">
        <v>154</v>
      </c>
      <c r="N348" t="s">
        <v>203</v>
      </c>
      <c r="O348" t="s">
        <v>155</v>
      </c>
      <c r="P348">
        <v>7.5840141483779922E-3</v>
      </c>
      <c r="Q348" t="s">
        <v>154</v>
      </c>
      <c r="S348" t="s">
        <v>234</v>
      </c>
      <c r="T348" t="s">
        <v>155</v>
      </c>
      <c r="U348">
        <v>9.2899835979802729E-3</v>
      </c>
      <c r="V348" t="s">
        <v>154</v>
      </c>
    </row>
    <row r="349" spans="9:22" x14ac:dyDescent="0.25">
      <c r="I349" t="s">
        <v>173</v>
      </c>
      <c r="J349" t="s">
        <v>156</v>
      </c>
      <c r="K349">
        <v>6.3843561189129983E-3</v>
      </c>
      <c r="L349" t="s">
        <v>154</v>
      </c>
      <c r="N349" t="s">
        <v>203</v>
      </c>
      <c r="O349" t="s">
        <v>156</v>
      </c>
      <c r="P349">
        <v>3.6686075400651891E-3</v>
      </c>
      <c r="Q349" t="s">
        <v>154</v>
      </c>
      <c r="S349" t="s">
        <v>234</v>
      </c>
      <c r="T349" t="s">
        <v>156</v>
      </c>
      <c r="U349">
        <v>4.384040177608458E-3</v>
      </c>
      <c r="V349" t="s">
        <v>154</v>
      </c>
    </row>
    <row r="350" spans="9:22" x14ac:dyDescent="0.25">
      <c r="I350" t="s">
        <v>173</v>
      </c>
      <c r="J350" t="s">
        <v>283</v>
      </c>
      <c r="K350">
        <v>6.3794668339983679E-2</v>
      </c>
      <c r="L350" t="s">
        <v>154</v>
      </c>
      <c r="N350" t="s">
        <v>203</v>
      </c>
      <c r="O350" t="s">
        <v>283</v>
      </c>
      <c r="P350">
        <v>4.1653892430259146E-2</v>
      </c>
      <c r="Q350" t="s">
        <v>154</v>
      </c>
      <c r="S350" t="s">
        <v>234</v>
      </c>
      <c r="T350" t="s">
        <v>283</v>
      </c>
      <c r="U350">
        <v>2.8794296306841473E-2</v>
      </c>
      <c r="V350" t="s">
        <v>154</v>
      </c>
    </row>
    <row r="351" spans="9:22" x14ac:dyDescent="0.25">
      <c r="I351" t="s">
        <v>173</v>
      </c>
      <c r="J351" t="s">
        <v>284</v>
      </c>
      <c r="K351">
        <v>5.5897479984953263E-3</v>
      </c>
      <c r="L351" t="s">
        <v>154</v>
      </c>
      <c r="N351" t="s">
        <v>203</v>
      </c>
      <c r="O351" t="s">
        <v>284</v>
      </c>
      <c r="P351">
        <v>5.3274073377723892E-3</v>
      </c>
      <c r="Q351" t="s">
        <v>154</v>
      </c>
      <c r="S351" t="s">
        <v>234</v>
      </c>
      <c r="T351" t="s">
        <v>284</v>
      </c>
      <c r="U351">
        <v>4.6519481304354909E-3</v>
      </c>
      <c r="V351" t="s">
        <v>154</v>
      </c>
    </row>
    <row r="352" spans="9:22" x14ac:dyDescent="0.25">
      <c r="I352" t="s">
        <v>173</v>
      </c>
      <c r="J352" t="s">
        <v>311</v>
      </c>
      <c r="K352">
        <v>8.2743568075456585E-4</v>
      </c>
      <c r="L352" t="s">
        <v>154</v>
      </c>
      <c r="N352" t="s">
        <v>203</v>
      </c>
      <c r="O352" t="s">
        <v>311</v>
      </c>
      <c r="P352">
        <v>5.0960318726833015E-3</v>
      </c>
      <c r="Q352" t="s">
        <v>154</v>
      </c>
      <c r="S352" t="s">
        <v>234</v>
      </c>
      <c r="T352" t="s">
        <v>311</v>
      </c>
      <c r="U352">
        <v>4.7962809948776013E-3</v>
      </c>
      <c r="V352" t="s">
        <v>154</v>
      </c>
    </row>
    <row r="353" spans="9:22" x14ac:dyDescent="0.25">
      <c r="I353" t="s">
        <v>173</v>
      </c>
      <c r="J353" t="s">
        <v>312</v>
      </c>
      <c r="K353">
        <v>0</v>
      </c>
      <c r="L353" t="s">
        <v>154</v>
      </c>
      <c r="N353" t="s">
        <v>203</v>
      </c>
      <c r="O353" t="s">
        <v>312</v>
      </c>
      <c r="P353">
        <v>2.5329611683840868E-2</v>
      </c>
      <c r="Q353" t="s">
        <v>154</v>
      </c>
      <c r="S353" t="s">
        <v>234</v>
      </c>
      <c r="T353" t="s">
        <v>312</v>
      </c>
      <c r="U353">
        <v>2.3723153992190941E-2</v>
      </c>
      <c r="V353" t="s">
        <v>154</v>
      </c>
    </row>
    <row r="354" spans="9:22" x14ac:dyDescent="0.25">
      <c r="I354" t="s">
        <v>173</v>
      </c>
      <c r="J354" t="s">
        <v>157</v>
      </c>
      <c r="K354">
        <v>0</v>
      </c>
      <c r="L354" t="s">
        <v>154</v>
      </c>
      <c r="N354" t="s">
        <v>203</v>
      </c>
      <c r="O354" t="s">
        <v>157</v>
      </c>
      <c r="P354">
        <v>7.8406104411901639E-3</v>
      </c>
      <c r="Q354" t="s">
        <v>154</v>
      </c>
      <c r="S354" t="s">
        <v>234</v>
      </c>
      <c r="T354" t="s">
        <v>157</v>
      </c>
      <c r="U354">
        <v>8.1195374550685224E-3</v>
      </c>
      <c r="V354" t="s">
        <v>154</v>
      </c>
    </row>
    <row r="355" spans="9:22" x14ac:dyDescent="0.25">
      <c r="I355" t="s">
        <v>173</v>
      </c>
      <c r="J355" t="s">
        <v>158</v>
      </c>
      <c r="K355">
        <v>1.0108675263377047E-3</v>
      </c>
      <c r="L355" t="s">
        <v>154</v>
      </c>
      <c r="N355" t="s">
        <v>203</v>
      </c>
      <c r="O355" t="s">
        <v>158</v>
      </c>
      <c r="P355">
        <v>2.5227203487434352E-3</v>
      </c>
      <c r="Q355" t="s">
        <v>154</v>
      </c>
      <c r="S355" t="s">
        <v>234</v>
      </c>
      <c r="T355" t="s">
        <v>158</v>
      </c>
      <c r="U355">
        <v>2.4367757927655745E-3</v>
      </c>
      <c r="V355" t="s">
        <v>154</v>
      </c>
    </row>
    <row r="356" spans="9:22" x14ac:dyDescent="0.25">
      <c r="I356" t="s">
        <v>173</v>
      </c>
      <c r="J356" t="s">
        <v>159</v>
      </c>
      <c r="K356">
        <v>1.8474288021977047E-3</v>
      </c>
      <c r="L356" t="s">
        <v>154</v>
      </c>
      <c r="N356" t="s">
        <v>203</v>
      </c>
      <c r="O356" t="s">
        <v>159</v>
      </c>
      <c r="P356">
        <v>1.410076676032924E-3</v>
      </c>
      <c r="Q356" t="s">
        <v>154</v>
      </c>
      <c r="S356" t="s">
        <v>234</v>
      </c>
      <c r="T356" t="s">
        <v>159</v>
      </c>
      <c r="U356">
        <v>1.2536780630696047E-3</v>
      </c>
      <c r="V356" t="s">
        <v>154</v>
      </c>
    </row>
    <row r="357" spans="9:22" x14ac:dyDescent="0.25">
      <c r="I357" t="s">
        <v>173</v>
      </c>
      <c r="J357" t="s">
        <v>285</v>
      </c>
      <c r="K357">
        <v>1.9805456178203572E-2</v>
      </c>
      <c r="L357" t="s">
        <v>154</v>
      </c>
      <c r="N357" t="s">
        <v>203</v>
      </c>
      <c r="O357" t="s">
        <v>285</v>
      </c>
      <c r="P357">
        <v>1.4229627768818245E-2</v>
      </c>
      <c r="Q357" t="s">
        <v>154</v>
      </c>
      <c r="S357" t="s">
        <v>234</v>
      </c>
      <c r="T357" t="s">
        <v>285</v>
      </c>
      <c r="U357">
        <v>8.9028474540430152E-3</v>
      </c>
      <c r="V357" t="s">
        <v>154</v>
      </c>
    </row>
    <row r="358" spans="9:22" x14ac:dyDescent="0.25">
      <c r="I358" t="s">
        <v>173</v>
      </c>
      <c r="J358" t="s">
        <v>286</v>
      </c>
      <c r="K358">
        <v>1.9316016671796197E-3</v>
      </c>
      <c r="L358" t="s">
        <v>154</v>
      </c>
      <c r="N358" t="s">
        <v>203</v>
      </c>
      <c r="O358" t="s">
        <v>286</v>
      </c>
      <c r="P358">
        <v>1.5345705484586087E-3</v>
      </c>
      <c r="Q358" t="s">
        <v>154</v>
      </c>
      <c r="S358" t="s">
        <v>234</v>
      </c>
      <c r="T358" t="s">
        <v>286</v>
      </c>
      <c r="U358">
        <v>1.5419328426623349E-3</v>
      </c>
      <c r="V358" t="s">
        <v>154</v>
      </c>
    </row>
    <row r="359" spans="9:22" x14ac:dyDescent="0.25">
      <c r="I359" t="s">
        <v>173</v>
      </c>
      <c r="J359" t="s">
        <v>313</v>
      </c>
      <c r="K359">
        <v>1.0377230934735132E-3</v>
      </c>
      <c r="L359" t="s">
        <v>154</v>
      </c>
      <c r="N359" t="s">
        <v>203</v>
      </c>
      <c r="O359" t="s">
        <v>313</v>
      </c>
      <c r="P359">
        <v>1.289325442790518E-3</v>
      </c>
      <c r="Q359" t="s">
        <v>154</v>
      </c>
      <c r="S359" t="s">
        <v>234</v>
      </c>
      <c r="T359" t="s">
        <v>313</v>
      </c>
      <c r="U359">
        <v>1.5998065935087474E-3</v>
      </c>
      <c r="V359" t="s">
        <v>154</v>
      </c>
    </row>
    <row r="360" spans="9:22" x14ac:dyDescent="0.25">
      <c r="I360" t="s">
        <v>173</v>
      </c>
      <c r="J360" t="s">
        <v>314</v>
      </c>
      <c r="K360">
        <v>0</v>
      </c>
      <c r="L360" t="s">
        <v>154</v>
      </c>
      <c r="N360" t="s">
        <v>203</v>
      </c>
      <c r="O360" t="s">
        <v>314</v>
      </c>
      <c r="P360">
        <v>5.8670915309815882E-3</v>
      </c>
      <c r="Q360" t="s">
        <v>154</v>
      </c>
      <c r="S360" t="s">
        <v>234</v>
      </c>
      <c r="T360" t="s">
        <v>314</v>
      </c>
      <c r="U360">
        <v>6.0497505957910662E-3</v>
      </c>
      <c r="V360" t="s">
        <v>154</v>
      </c>
    </row>
    <row r="361" spans="9:22" x14ac:dyDescent="0.25">
      <c r="I361" t="s">
        <v>173</v>
      </c>
      <c r="J361" t="s">
        <v>160</v>
      </c>
      <c r="K361">
        <v>3.2103300903848424E-3</v>
      </c>
      <c r="L361" t="s">
        <v>154</v>
      </c>
      <c r="N361" t="s">
        <v>203</v>
      </c>
      <c r="O361" t="s">
        <v>160</v>
      </c>
      <c r="P361">
        <v>0.17105912766857095</v>
      </c>
      <c r="Q361" t="s">
        <v>154</v>
      </c>
      <c r="S361" t="s">
        <v>234</v>
      </c>
      <c r="T361" t="s">
        <v>160</v>
      </c>
      <c r="U361">
        <v>0.19328959030310638</v>
      </c>
      <c r="V361" t="s">
        <v>154</v>
      </c>
    </row>
    <row r="362" spans="9:22" x14ac:dyDescent="0.25">
      <c r="I362" t="s">
        <v>173</v>
      </c>
      <c r="J362" t="s">
        <v>161</v>
      </c>
      <c r="K362">
        <v>6.2253224926102267E-2</v>
      </c>
      <c r="L362" t="s">
        <v>154</v>
      </c>
      <c r="N362" t="s">
        <v>203</v>
      </c>
      <c r="O362" t="s">
        <v>161</v>
      </c>
      <c r="P362">
        <v>4.1693836587321211E-2</v>
      </c>
      <c r="Q362" t="s">
        <v>154</v>
      </c>
      <c r="S362" t="s">
        <v>234</v>
      </c>
      <c r="T362" t="s">
        <v>161</v>
      </c>
      <c r="U362">
        <v>4.4161142505798751E-2</v>
      </c>
      <c r="V362" t="s">
        <v>154</v>
      </c>
    </row>
    <row r="363" spans="9:22" x14ac:dyDescent="0.25">
      <c r="I363" t="s">
        <v>173</v>
      </c>
      <c r="J363" t="s">
        <v>162</v>
      </c>
      <c r="K363">
        <v>5.9061510000850768E-2</v>
      </c>
      <c r="L363" t="s">
        <v>154</v>
      </c>
      <c r="N363" t="s">
        <v>203</v>
      </c>
      <c r="O363" t="s">
        <v>162</v>
      </c>
      <c r="P363">
        <v>2.4094501641233942E-2</v>
      </c>
      <c r="Q363" t="s">
        <v>154</v>
      </c>
      <c r="S363" t="s">
        <v>234</v>
      </c>
      <c r="T363" t="s">
        <v>162</v>
      </c>
      <c r="U363">
        <v>2.2343591338004398E-2</v>
      </c>
      <c r="V363" t="s">
        <v>154</v>
      </c>
    </row>
    <row r="364" spans="9:22" x14ac:dyDescent="0.25">
      <c r="I364" t="s">
        <v>173</v>
      </c>
      <c r="J364" t="s">
        <v>287</v>
      </c>
      <c r="K364">
        <v>0.51268354903034175</v>
      </c>
      <c r="L364" t="s">
        <v>154</v>
      </c>
      <c r="N364" t="s">
        <v>203</v>
      </c>
      <c r="O364" t="s">
        <v>287</v>
      </c>
      <c r="P364">
        <v>0.22891012993694368</v>
      </c>
      <c r="Q364" t="s">
        <v>154</v>
      </c>
      <c r="S364" t="s">
        <v>234</v>
      </c>
      <c r="T364" t="s">
        <v>287</v>
      </c>
      <c r="U364">
        <v>0.17160560921909704</v>
      </c>
      <c r="V364" t="s">
        <v>154</v>
      </c>
    </row>
    <row r="365" spans="9:22" x14ac:dyDescent="0.25">
      <c r="I365" t="s">
        <v>173</v>
      </c>
      <c r="J365" t="s">
        <v>288</v>
      </c>
      <c r="K365">
        <v>5.0895986279101142E-2</v>
      </c>
      <c r="L365" t="s">
        <v>154</v>
      </c>
      <c r="N365" t="s">
        <v>203</v>
      </c>
      <c r="O365" t="s">
        <v>288</v>
      </c>
      <c r="P365">
        <v>2.544231833733715E-2</v>
      </c>
      <c r="Q365" t="s">
        <v>154</v>
      </c>
      <c r="S365" t="s">
        <v>234</v>
      </c>
      <c r="T365" t="s">
        <v>288</v>
      </c>
      <c r="U365">
        <v>2.6901281085321204E-2</v>
      </c>
      <c r="V365" t="s">
        <v>154</v>
      </c>
    </row>
    <row r="366" spans="9:22" x14ac:dyDescent="0.25">
      <c r="I366" t="s">
        <v>173</v>
      </c>
      <c r="J366" t="s">
        <v>315</v>
      </c>
      <c r="K366">
        <v>3.3303009533865453E-2</v>
      </c>
      <c r="L366" t="s">
        <v>154</v>
      </c>
      <c r="N366" t="s">
        <v>203</v>
      </c>
      <c r="O366" t="s">
        <v>315</v>
      </c>
      <c r="P366">
        <v>2.2654522838289115E-2</v>
      </c>
      <c r="Q366" t="s">
        <v>154</v>
      </c>
      <c r="S366" t="s">
        <v>234</v>
      </c>
      <c r="T366" t="s">
        <v>315</v>
      </c>
      <c r="U366">
        <v>2.7149606092324145E-2</v>
      </c>
      <c r="V366" t="s">
        <v>154</v>
      </c>
    </row>
    <row r="367" spans="9:22" x14ac:dyDescent="0.25">
      <c r="I367" t="s">
        <v>173</v>
      </c>
      <c r="J367" t="s">
        <v>316</v>
      </c>
      <c r="K367">
        <v>1.0205199664800319E-2</v>
      </c>
      <c r="L367" t="s">
        <v>154</v>
      </c>
      <c r="N367" t="s">
        <v>203</v>
      </c>
      <c r="O367" t="s">
        <v>316</v>
      </c>
      <c r="P367">
        <v>9.4378597654499338E-2</v>
      </c>
      <c r="Q367" t="s">
        <v>154</v>
      </c>
      <c r="S367" t="s">
        <v>234</v>
      </c>
      <c r="T367" t="s">
        <v>316</v>
      </c>
      <c r="U367">
        <v>0.12144228840645226</v>
      </c>
      <c r="V367" t="s">
        <v>154</v>
      </c>
    </row>
    <row r="368" spans="9:22" x14ac:dyDescent="0.25">
      <c r="I368" t="s">
        <v>173</v>
      </c>
      <c r="J368" t="s">
        <v>163</v>
      </c>
      <c r="K368">
        <v>0</v>
      </c>
      <c r="L368" t="s">
        <v>154</v>
      </c>
      <c r="N368" t="s">
        <v>203</v>
      </c>
      <c r="O368" t="s">
        <v>163</v>
      </c>
      <c r="P368">
        <v>6.3045076397852205E-3</v>
      </c>
      <c r="Q368" t="s">
        <v>154</v>
      </c>
      <c r="S368" t="s">
        <v>234</v>
      </c>
      <c r="T368" t="s">
        <v>163</v>
      </c>
      <c r="U368">
        <v>1.7703901013759651E-2</v>
      </c>
      <c r="V368" t="s">
        <v>154</v>
      </c>
    </row>
    <row r="369" spans="9:22" x14ac:dyDescent="0.25">
      <c r="I369" t="s">
        <v>173</v>
      </c>
      <c r="J369" t="s">
        <v>164</v>
      </c>
      <c r="K369">
        <v>1.4483171535900697E-3</v>
      </c>
      <c r="L369" t="s">
        <v>154</v>
      </c>
      <c r="N369" t="s">
        <v>203</v>
      </c>
      <c r="O369" t="s">
        <v>164</v>
      </c>
      <c r="P369">
        <v>1.5953627471855319E-3</v>
      </c>
      <c r="Q369" t="s">
        <v>154</v>
      </c>
      <c r="S369" t="s">
        <v>234</v>
      </c>
      <c r="T369" t="s">
        <v>164</v>
      </c>
      <c r="U369">
        <v>4.3422412426497997E-3</v>
      </c>
      <c r="V369" t="s">
        <v>154</v>
      </c>
    </row>
    <row r="370" spans="9:22" x14ac:dyDescent="0.25">
      <c r="I370" t="s">
        <v>173</v>
      </c>
      <c r="J370" t="s">
        <v>165</v>
      </c>
      <c r="K370">
        <v>1.6953071244922443E-3</v>
      </c>
      <c r="L370" t="s">
        <v>154</v>
      </c>
      <c r="N370" t="s">
        <v>203</v>
      </c>
      <c r="O370" t="s">
        <v>165</v>
      </c>
      <c r="P370">
        <v>9.3126293975097254E-4</v>
      </c>
      <c r="Q370" t="s">
        <v>154</v>
      </c>
      <c r="S370" t="s">
        <v>234</v>
      </c>
      <c r="T370" t="s">
        <v>165</v>
      </c>
      <c r="U370">
        <v>2.2787870528431977E-3</v>
      </c>
      <c r="V370" t="s">
        <v>154</v>
      </c>
    </row>
    <row r="371" spans="9:22" x14ac:dyDescent="0.25">
      <c r="I371" t="s">
        <v>173</v>
      </c>
      <c r="J371" t="s">
        <v>289</v>
      </c>
      <c r="K371">
        <v>1.4803643415511799E-2</v>
      </c>
      <c r="L371" t="s">
        <v>154</v>
      </c>
      <c r="N371" t="s">
        <v>203</v>
      </c>
      <c r="O371" t="s">
        <v>289</v>
      </c>
      <c r="P371">
        <v>7.9805843606850866E-3</v>
      </c>
      <c r="Q371" t="s">
        <v>154</v>
      </c>
      <c r="S371" t="s">
        <v>234</v>
      </c>
      <c r="T371" t="s">
        <v>289</v>
      </c>
      <c r="U371">
        <v>1.651497575694778E-2</v>
      </c>
      <c r="V371" t="s">
        <v>154</v>
      </c>
    </row>
    <row r="372" spans="9:22" x14ac:dyDescent="0.25">
      <c r="I372" t="s">
        <v>173</v>
      </c>
      <c r="J372" t="s">
        <v>290</v>
      </c>
      <c r="K372">
        <v>1.0265761076694814E-3</v>
      </c>
      <c r="L372" t="s">
        <v>154</v>
      </c>
      <c r="N372" t="s">
        <v>203</v>
      </c>
      <c r="O372" t="s">
        <v>290</v>
      </c>
      <c r="P372">
        <v>8.9126919937978426E-4</v>
      </c>
      <c r="Q372" t="s">
        <v>154</v>
      </c>
      <c r="S372" t="s">
        <v>234</v>
      </c>
      <c r="T372" t="s">
        <v>290</v>
      </c>
      <c r="U372">
        <v>2.5628652912390928E-3</v>
      </c>
      <c r="V372" t="s">
        <v>154</v>
      </c>
    </row>
    <row r="373" spans="9:22" x14ac:dyDescent="0.25">
      <c r="I373" t="s">
        <v>173</v>
      </c>
      <c r="J373" t="s">
        <v>317</v>
      </c>
      <c r="K373">
        <v>1.7946652473994193E-5</v>
      </c>
      <c r="L373" t="s">
        <v>154</v>
      </c>
      <c r="N373" t="s">
        <v>203</v>
      </c>
      <c r="O373" t="s">
        <v>317</v>
      </c>
      <c r="P373">
        <v>8.9299190550857631E-4</v>
      </c>
      <c r="Q373" t="s">
        <v>154</v>
      </c>
      <c r="S373" t="s">
        <v>234</v>
      </c>
      <c r="T373" t="s">
        <v>317</v>
      </c>
      <c r="U373">
        <v>2.5674648871322446E-3</v>
      </c>
      <c r="V373" t="s">
        <v>154</v>
      </c>
    </row>
    <row r="374" spans="9:22" x14ac:dyDescent="0.25">
      <c r="I374" t="s">
        <v>173</v>
      </c>
      <c r="J374" t="s">
        <v>318</v>
      </c>
      <c r="K374">
        <v>0</v>
      </c>
      <c r="L374" t="s">
        <v>154</v>
      </c>
      <c r="N374" t="s">
        <v>203</v>
      </c>
      <c r="O374" t="s">
        <v>318</v>
      </c>
      <c r="P374">
        <v>3.7806541530402298E-3</v>
      </c>
      <c r="Q374" t="s">
        <v>154</v>
      </c>
      <c r="S374" t="s">
        <v>234</v>
      </c>
      <c r="T374" t="s">
        <v>318</v>
      </c>
      <c r="U374">
        <v>1.0077759331230764E-2</v>
      </c>
      <c r="V374" t="s">
        <v>154</v>
      </c>
    </row>
    <row r="375" spans="9:22" x14ac:dyDescent="0.25">
      <c r="I375" t="s">
        <v>173</v>
      </c>
      <c r="J375" t="s">
        <v>297</v>
      </c>
      <c r="K375">
        <v>0</v>
      </c>
      <c r="L375" t="s">
        <v>154</v>
      </c>
      <c r="N375" t="s">
        <v>203</v>
      </c>
      <c r="O375" t="s">
        <v>297</v>
      </c>
      <c r="P375">
        <v>1.9461007506501433E-2</v>
      </c>
      <c r="Q375" t="s">
        <v>154</v>
      </c>
      <c r="S375" t="s">
        <v>234</v>
      </c>
      <c r="T375" t="s">
        <v>297</v>
      </c>
      <c r="U375">
        <v>2.0070370703053023E-2</v>
      </c>
      <c r="V375" t="s">
        <v>154</v>
      </c>
    </row>
    <row r="376" spans="9:22" x14ac:dyDescent="0.25">
      <c r="I376" t="s">
        <v>173</v>
      </c>
      <c r="J376" t="s">
        <v>298</v>
      </c>
      <c r="K376">
        <v>3.9225173228208685E-3</v>
      </c>
      <c r="L376" t="s">
        <v>154</v>
      </c>
      <c r="N376" t="s">
        <v>203</v>
      </c>
      <c r="O376" t="s">
        <v>298</v>
      </c>
      <c r="P376">
        <v>4.1018090688375065E-3</v>
      </c>
      <c r="Q376" t="s">
        <v>154</v>
      </c>
      <c r="S376" t="s">
        <v>234</v>
      </c>
      <c r="T376" t="s">
        <v>298</v>
      </c>
      <c r="U376">
        <v>4.465627490388111E-3</v>
      </c>
      <c r="V376" t="s">
        <v>154</v>
      </c>
    </row>
    <row r="377" spans="9:22" x14ac:dyDescent="0.25">
      <c r="I377" t="s">
        <v>173</v>
      </c>
      <c r="J377" t="s">
        <v>299</v>
      </c>
      <c r="K377">
        <v>6.6586580984791879E-3</v>
      </c>
      <c r="L377" t="s">
        <v>154</v>
      </c>
      <c r="N377" t="s">
        <v>203</v>
      </c>
      <c r="O377" t="s">
        <v>299</v>
      </c>
      <c r="P377">
        <v>2.036680064802576E-3</v>
      </c>
      <c r="Q377" t="s">
        <v>154</v>
      </c>
      <c r="S377" t="s">
        <v>234</v>
      </c>
      <c r="T377" t="s">
        <v>299</v>
      </c>
      <c r="U377">
        <v>2.2314062137943043E-3</v>
      </c>
      <c r="V377" t="s">
        <v>154</v>
      </c>
    </row>
    <row r="378" spans="9:22" x14ac:dyDescent="0.25">
      <c r="I378" t="s">
        <v>173</v>
      </c>
      <c r="J378" t="s">
        <v>300</v>
      </c>
      <c r="K378">
        <v>5.2964817180477221E-2</v>
      </c>
      <c r="L378" t="s">
        <v>154</v>
      </c>
      <c r="N378" t="s">
        <v>203</v>
      </c>
      <c r="O378" t="s">
        <v>300</v>
      </c>
      <c r="P378">
        <v>2.0910503313381498E-2</v>
      </c>
      <c r="Q378" t="s">
        <v>154</v>
      </c>
      <c r="S378" t="s">
        <v>234</v>
      </c>
      <c r="T378" t="s">
        <v>300</v>
      </c>
      <c r="U378">
        <v>1.5347275806780112E-2</v>
      </c>
      <c r="V378" t="s">
        <v>154</v>
      </c>
    </row>
    <row r="379" spans="9:22" x14ac:dyDescent="0.25">
      <c r="I379" t="s">
        <v>173</v>
      </c>
      <c r="J379" t="s">
        <v>301</v>
      </c>
      <c r="K379">
        <v>3.5949613993489326E-3</v>
      </c>
      <c r="L379" t="s">
        <v>154</v>
      </c>
      <c r="N379" t="s">
        <v>203</v>
      </c>
      <c r="O379" t="s">
        <v>301</v>
      </c>
      <c r="P379">
        <v>2.4090225123867145E-3</v>
      </c>
      <c r="Q379" t="s">
        <v>154</v>
      </c>
      <c r="S379" t="s">
        <v>234</v>
      </c>
      <c r="T379" t="s">
        <v>301</v>
      </c>
      <c r="U379">
        <v>2.527362540577839E-3</v>
      </c>
      <c r="V379" t="s">
        <v>154</v>
      </c>
    </row>
    <row r="380" spans="9:22" x14ac:dyDescent="0.25">
      <c r="I380" t="s">
        <v>173</v>
      </c>
      <c r="J380" t="s">
        <v>319</v>
      </c>
      <c r="K380">
        <v>0</v>
      </c>
      <c r="L380" t="s">
        <v>154</v>
      </c>
      <c r="N380" t="s">
        <v>203</v>
      </c>
      <c r="O380" t="s">
        <v>319</v>
      </c>
      <c r="P380">
        <v>2.209991908291993E-3</v>
      </c>
      <c r="Q380" t="s">
        <v>154</v>
      </c>
      <c r="S380" t="s">
        <v>234</v>
      </c>
      <c r="T380" t="s">
        <v>319</v>
      </c>
      <c r="U380">
        <v>2.5738745543715633E-3</v>
      </c>
      <c r="V380" t="s">
        <v>154</v>
      </c>
    </row>
    <row r="381" spans="9:22" x14ac:dyDescent="0.25">
      <c r="I381" t="s">
        <v>173</v>
      </c>
      <c r="J381" t="s">
        <v>320</v>
      </c>
      <c r="K381">
        <v>0</v>
      </c>
      <c r="L381" t="s">
        <v>154</v>
      </c>
      <c r="N381" t="s">
        <v>203</v>
      </c>
      <c r="O381" t="s">
        <v>320</v>
      </c>
      <c r="P381">
        <v>1.2315167687637714E-2</v>
      </c>
      <c r="Q381" t="s">
        <v>154</v>
      </c>
      <c r="S381" t="s">
        <v>234</v>
      </c>
      <c r="T381" t="s">
        <v>320</v>
      </c>
      <c r="U381">
        <v>1.1926562057713395E-2</v>
      </c>
      <c r="V381" t="s">
        <v>154</v>
      </c>
    </row>
    <row r="382" spans="9:22" x14ac:dyDescent="0.25">
      <c r="I382" t="s">
        <v>173</v>
      </c>
      <c r="J382" t="s">
        <v>302</v>
      </c>
      <c r="K382">
        <v>0</v>
      </c>
      <c r="L382" t="s">
        <v>154</v>
      </c>
      <c r="N382" t="s">
        <v>203</v>
      </c>
      <c r="O382" t="s">
        <v>302</v>
      </c>
      <c r="P382">
        <v>3.9831779965445527E-2</v>
      </c>
      <c r="Q382" t="s">
        <v>154</v>
      </c>
      <c r="S382" t="s">
        <v>234</v>
      </c>
      <c r="T382" t="s">
        <v>302</v>
      </c>
      <c r="U382">
        <v>3.8948765934042937E-2</v>
      </c>
      <c r="V382" t="s">
        <v>154</v>
      </c>
    </row>
    <row r="383" spans="9:22" x14ac:dyDescent="0.25">
      <c r="I383" t="s">
        <v>173</v>
      </c>
      <c r="J383" t="s">
        <v>303</v>
      </c>
      <c r="K383">
        <v>3.8435760563625531E-3</v>
      </c>
      <c r="L383" t="s">
        <v>154</v>
      </c>
      <c r="N383" t="s">
        <v>203</v>
      </c>
      <c r="O383" t="s">
        <v>303</v>
      </c>
      <c r="P383">
        <v>8.6668956173295685E-3</v>
      </c>
      <c r="Q383" t="s">
        <v>154</v>
      </c>
      <c r="S383" t="s">
        <v>234</v>
      </c>
      <c r="T383" t="s">
        <v>303</v>
      </c>
      <c r="U383">
        <v>8.7221380206318339E-3</v>
      </c>
      <c r="V383" t="s">
        <v>154</v>
      </c>
    </row>
    <row r="384" spans="9:22" x14ac:dyDescent="0.25">
      <c r="I384" t="s">
        <v>173</v>
      </c>
      <c r="J384" t="s">
        <v>304</v>
      </c>
      <c r="K384">
        <v>6.8191157215554644E-3</v>
      </c>
      <c r="L384" t="s">
        <v>154</v>
      </c>
      <c r="N384" t="s">
        <v>203</v>
      </c>
      <c r="O384" t="s">
        <v>304</v>
      </c>
      <c r="P384">
        <v>4.5418486148528529E-3</v>
      </c>
      <c r="Q384" t="s">
        <v>154</v>
      </c>
      <c r="S384" t="s">
        <v>234</v>
      </c>
      <c r="T384" t="s">
        <v>304</v>
      </c>
      <c r="U384">
        <v>4.7625798932666987E-3</v>
      </c>
      <c r="V384" t="s">
        <v>154</v>
      </c>
    </row>
    <row r="385" spans="9:22" x14ac:dyDescent="0.25">
      <c r="I385" t="s">
        <v>173</v>
      </c>
      <c r="J385" t="s">
        <v>305</v>
      </c>
      <c r="K385">
        <v>6.1430074184058998E-2</v>
      </c>
      <c r="L385" t="s">
        <v>154</v>
      </c>
      <c r="N385" t="s">
        <v>203</v>
      </c>
      <c r="O385" t="s">
        <v>305</v>
      </c>
      <c r="P385">
        <v>5.1165043933982371E-2</v>
      </c>
      <c r="Q385" t="s">
        <v>154</v>
      </c>
      <c r="S385" t="s">
        <v>234</v>
      </c>
      <c r="T385" t="s">
        <v>305</v>
      </c>
      <c r="U385">
        <v>3.7063097691916215E-2</v>
      </c>
      <c r="V385" t="s">
        <v>154</v>
      </c>
    </row>
    <row r="386" spans="9:22" x14ac:dyDescent="0.25">
      <c r="I386" t="s">
        <v>173</v>
      </c>
      <c r="J386" t="s">
        <v>306</v>
      </c>
      <c r="K386">
        <v>4.079200866999649E-3</v>
      </c>
      <c r="L386" t="s">
        <v>154</v>
      </c>
      <c r="N386" t="s">
        <v>203</v>
      </c>
      <c r="O386" t="s">
        <v>306</v>
      </c>
      <c r="P386">
        <v>6.7298736301107205E-3</v>
      </c>
      <c r="Q386" t="s">
        <v>154</v>
      </c>
      <c r="S386" t="s">
        <v>234</v>
      </c>
      <c r="T386" t="s">
        <v>306</v>
      </c>
      <c r="U386">
        <v>5.8278882884725252E-3</v>
      </c>
      <c r="V386" t="s">
        <v>154</v>
      </c>
    </row>
    <row r="387" spans="9:22" x14ac:dyDescent="0.25">
      <c r="I387" t="s">
        <v>173</v>
      </c>
      <c r="J387" t="s">
        <v>321</v>
      </c>
      <c r="K387">
        <v>0</v>
      </c>
      <c r="L387" t="s">
        <v>154</v>
      </c>
      <c r="N387" t="s">
        <v>203</v>
      </c>
      <c r="O387" t="s">
        <v>321</v>
      </c>
      <c r="P387">
        <v>6.2025959314718554E-3</v>
      </c>
      <c r="Q387" t="s">
        <v>154</v>
      </c>
      <c r="S387" t="s">
        <v>234</v>
      </c>
      <c r="T387" t="s">
        <v>321</v>
      </c>
      <c r="U387">
        <v>5.9593411385169236E-3</v>
      </c>
      <c r="V387" t="s">
        <v>154</v>
      </c>
    </row>
    <row r="388" spans="9:22" x14ac:dyDescent="0.25">
      <c r="I388" t="s">
        <v>173</v>
      </c>
      <c r="J388" t="s">
        <v>322</v>
      </c>
      <c r="K388">
        <v>0</v>
      </c>
      <c r="L388" t="s">
        <v>154</v>
      </c>
      <c r="N388" t="s">
        <v>203</v>
      </c>
      <c r="O388" t="s">
        <v>322</v>
      </c>
      <c r="P388">
        <v>2.6070570933826122E-2</v>
      </c>
      <c r="Q388" t="s">
        <v>154</v>
      </c>
      <c r="S388" t="s">
        <v>234</v>
      </c>
      <c r="T388" t="s">
        <v>322</v>
      </c>
      <c r="U388">
        <v>2.821937703387116E-2</v>
      </c>
      <c r="V388" t="s">
        <v>154</v>
      </c>
    </row>
    <row r="389" spans="9:22" x14ac:dyDescent="0.25">
      <c r="I389" t="s">
        <v>174</v>
      </c>
      <c r="J389" t="s">
        <v>153</v>
      </c>
      <c r="K389">
        <v>0</v>
      </c>
      <c r="L389" t="s">
        <v>154</v>
      </c>
      <c r="N389" t="s">
        <v>204</v>
      </c>
      <c r="O389" t="s">
        <v>153</v>
      </c>
      <c r="P389">
        <v>4.2240140633370012E-2</v>
      </c>
      <c r="Q389" t="s">
        <v>154</v>
      </c>
      <c r="S389" t="s">
        <v>235</v>
      </c>
      <c r="T389" t="s">
        <v>153</v>
      </c>
      <c r="U389">
        <v>3.1410100916145316E-2</v>
      </c>
      <c r="V389" t="s">
        <v>154</v>
      </c>
    </row>
    <row r="390" spans="9:22" x14ac:dyDescent="0.25">
      <c r="I390" t="s">
        <v>174</v>
      </c>
      <c r="J390" t="s">
        <v>155</v>
      </c>
      <c r="K390">
        <v>3.5222664412896012E-3</v>
      </c>
      <c r="L390" t="s">
        <v>154</v>
      </c>
      <c r="N390" t="s">
        <v>204</v>
      </c>
      <c r="O390" t="s">
        <v>155</v>
      </c>
      <c r="P390">
        <v>8.2109664034278711E-3</v>
      </c>
      <c r="Q390" t="s">
        <v>154</v>
      </c>
      <c r="S390" t="s">
        <v>235</v>
      </c>
      <c r="T390" t="s">
        <v>155</v>
      </c>
      <c r="U390">
        <v>7.694400435245231E-3</v>
      </c>
      <c r="V390" t="s">
        <v>154</v>
      </c>
    </row>
    <row r="391" spans="9:22" x14ac:dyDescent="0.25">
      <c r="I391" t="s">
        <v>174</v>
      </c>
      <c r="J391" t="s">
        <v>156</v>
      </c>
      <c r="K391">
        <v>6.0288710514144151E-3</v>
      </c>
      <c r="L391" t="s">
        <v>154</v>
      </c>
      <c r="N391" t="s">
        <v>204</v>
      </c>
      <c r="O391" t="s">
        <v>156</v>
      </c>
      <c r="P391">
        <v>4.0835074293350711E-3</v>
      </c>
      <c r="Q391" t="s">
        <v>154</v>
      </c>
      <c r="S391" t="s">
        <v>235</v>
      </c>
      <c r="T391" t="s">
        <v>156</v>
      </c>
      <c r="U391">
        <v>3.5559992435434222E-3</v>
      </c>
      <c r="V391" t="s">
        <v>154</v>
      </c>
    </row>
    <row r="392" spans="9:22" x14ac:dyDescent="0.25">
      <c r="I392" t="s">
        <v>174</v>
      </c>
      <c r="J392" t="s">
        <v>283</v>
      </c>
      <c r="K392">
        <v>5.8862949554791946E-2</v>
      </c>
      <c r="L392" t="s">
        <v>154</v>
      </c>
      <c r="N392" t="s">
        <v>204</v>
      </c>
      <c r="O392" t="s">
        <v>283</v>
      </c>
      <c r="P392">
        <v>3.5899021882114565E-2</v>
      </c>
      <c r="Q392" t="s">
        <v>154</v>
      </c>
      <c r="S392" t="s">
        <v>235</v>
      </c>
      <c r="T392" t="s">
        <v>283</v>
      </c>
      <c r="U392">
        <v>2.4247348808473058E-2</v>
      </c>
      <c r="V392" t="s">
        <v>154</v>
      </c>
    </row>
    <row r="393" spans="9:22" x14ac:dyDescent="0.25">
      <c r="I393" t="s">
        <v>174</v>
      </c>
      <c r="J393" t="s">
        <v>284</v>
      </c>
      <c r="K393">
        <v>4.7050969240484001E-3</v>
      </c>
      <c r="L393" t="s">
        <v>154</v>
      </c>
      <c r="N393" t="s">
        <v>204</v>
      </c>
      <c r="O393" t="s">
        <v>284</v>
      </c>
      <c r="P393">
        <v>5.6036739752182317E-3</v>
      </c>
      <c r="Q393" t="s">
        <v>154</v>
      </c>
      <c r="S393" t="s">
        <v>235</v>
      </c>
      <c r="T393" t="s">
        <v>284</v>
      </c>
      <c r="U393">
        <v>3.9484805644410701E-3</v>
      </c>
      <c r="V393" t="s">
        <v>154</v>
      </c>
    </row>
    <row r="394" spans="9:22" x14ac:dyDescent="0.25">
      <c r="I394" t="s">
        <v>174</v>
      </c>
      <c r="J394" t="s">
        <v>311</v>
      </c>
      <c r="K394">
        <v>3.5100975520098378E-4</v>
      </c>
      <c r="L394" t="s">
        <v>154</v>
      </c>
      <c r="N394" t="s">
        <v>204</v>
      </c>
      <c r="O394" t="s">
        <v>311</v>
      </c>
      <c r="P394">
        <v>5.7048198749155366E-3</v>
      </c>
      <c r="Q394" t="s">
        <v>154</v>
      </c>
      <c r="S394" t="s">
        <v>235</v>
      </c>
      <c r="T394" t="s">
        <v>311</v>
      </c>
      <c r="U394">
        <v>4.0902712486531228E-3</v>
      </c>
      <c r="V394" t="s">
        <v>154</v>
      </c>
    </row>
    <row r="395" spans="9:22" x14ac:dyDescent="0.25">
      <c r="I395" t="s">
        <v>174</v>
      </c>
      <c r="J395" t="s">
        <v>312</v>
      </c>
      <c r="K395">
        <v>0</v>
      </c>
      <c r="L395" t="s">
        <v>154</v>
      </c>
      <c r="N395" t="s">
        <v>204</v>
      </c>
      <c r="O395" t="s">
        <v>312</v>
      </c>
      <c r="P395">
        <v>2.687857599749641E-2</v>
      </c>
      <c r="Q395" t="s">
        <v>154</v>
      </c>
      <c r="S395" t="s">
        <v>235</v>
      </c>
      <c r="T395" t="s">
        <v>312</v>
      </c>
      <c r="U395">
        <v>2.1128437754079306E-2</v>
      </c>
      <c r="V395" t="s">
        <v>154</v>
      </c>
    </row>
    <row r="396" spans="9:22" x14ac:dyDescent="0.25">
      <c r="I396" t="s">
        <v>174</v>
      </c>
      <c r="J396" t="s">
        <v>157</v>
      </c>
      <c r="K396">
        <v>0</v>
      </c>
      <c r="L396" t="s">
        <v>154</v>
      </c>
      <c r="N396" t="s">
        <v>204</v>
      </c>
      <c r="O396" t="s">
        <v>157</v>
      </c>
      <c r="P396">
        <v>9.9459245642057013E-3</v>
      </c>
      <c r="Q396" t="s">
        <v>154</v>
      </c>
      <c r="S396" t="s">
        <v>235</v>
      </c>
      <c r="T396" t="s">
        <v>157</v>
      </c>
      <c r="U396">
        <v>7.4239785171375371E-3</v>
      </c>
      <c r="V396" t="s">
        <v>154</v>
      </c>
    </row>
    <row r="397" spans="9:22" x14ac:dyDescent="0.25">
      <c r="I397" t="s">
        <v>174</v>
      </c>
      <c r="J397" t="s">
        <v>158</v>
      </c>
      <c r="K397">
        <v>1.0105886169522317E-3</v>
      </c>
      <c r="L397" t="s">
        <v>154</v>
      </c>
      <c r="N397" t="s">
        <v>204</v>
      </c>
      <c r="O397" t="s">
        <v>158</v>
      </c>
      <c r="P397">
        <v>2.805950114879142E-3</v>
      </c>
      <c r="Q397" t="s">
        <v>154</v>
      </c>
      <c r="S397" t="s">
        <v>235</v>
      </c>
      <c r="T397" t="s">
        <v>158</v>
      </c>
      <c r="U397">
        <v>2.1669296221843107E-3</v>
      </c>
      <c r="V397" t="s">
        <v>154</v>
      </c>
    </row>
    <row r="398" spans="9:22" x14ac:dyDescent="0.25">
      <c r="I398" t="s">
        <v>174</v>
      </c>
      <c r="J398" t="s">
        <v>159</v>
      </c>
      <c r="K398">
        <v>1.8814925122841045E-3</v>
      </c>
      <c r="L398" t="s">
        <v>154</v>
      </c>
      <c r="N398" t="s">
        <v>204</v>
      </c>
      <c r="O398" t="s">
        <v>159</v>
      </c>
      <c r="P398">
        <v>1.405820283796919E-3</v>
      </c>
      <c r="Q398" t="s">
        <v>154</v>
      </c>
      <c r="S398" t="s">
        <v>235</v>
      </c>
      <c r="T398" t="s">
        <v>159</v>
      </c>
      <c r="U398">
        <v>1.0867808038024422E-3</v>
      </c>
      <c r="V398" t="s">
        <v>154</v>
      </c>
    </row>
    <row r="399" spans="9:22" x14ac:dyDescent="0.25">
      <c r="I399" t="s">
        <v>174</v>
      </c>
      <c r="J399" t="s">
        <v>285</v>
      </c>
      <c r="K399">
        <v>1.8751461548299216E-2</v>
      </c>
      <c r="L399" t="s">
        <v>154</v>
      </c>
      <c r="N399" t="s">
        <v>204</v>
      </c>
      <c r="O399" t="s">
        <v>285</v>
      </c>
      <c r="P399">
        <v>1.1943913344089554E-2</v>
      </c>
      <c r="Q399" t="s">
        <v>154</v>
      </c>
      <c r="S399" t="s">
        <v>235</v>
      </c>
      <c r="T399" t="s">
        <v>285</v>
      </c>
      <c r="U399">
        <v>5.5709301236294608E-3</v>
      </c>
      <c r="V399" t="s">
        <v>154</v>
      </c>
    </row>
    <row r="400" spans="9:22" x14ac:dyDescent="0.25">
      <c r="I400" t="s">
        <v>174</v>
      </c>
      <c r="J400" t="s">
        <v>286</v>
      </c>
      <c r="K400">
        <v>1.6851542466228549E-3</v>
      </c>
      <c r="L400" t="s">
        <v>154</v>
      </c>
      <c r="N400" t="s">
        <v>204</v>
      </c>
      <c r="O400" t="s">
        <v>286</v>
      </c>
      <c r="P400">
        <v>1.6693340937749548E-3</v>
      </c>
      <c r="Q400" t="s">
        <v>154</v>
      </c>
      <c r="S400" t="s">
        <v>235</v>
      </c>
      <c r="T400" t="s">
        <v>286</v>
      </c>
      <c r="U400">
        <v>7.6037491397799211E-4</v>
      </c>
      <c r="V400" t="s">
        <v>154</v>
      </c>
    </row>
    <row r="401" spans="9:22" x14ac:dyDescent="0.25">
      <c r="I401" t="s">
        <v>174</v>
      </c>
      <c r="J401" t="s">
        <v>313</v>
      </c>
      <c r="K401">
        <v>9.5850258174506235E-4</v>
      </c>
      <c r="L401" t="s">
        <v>154</v>
      </c>
      <c r="N401" t="s">
        <v>204</v>
      </c>
      <c r="O401" t="s">
        <v>313</v>
      </c>
      <c r="P401">
        <v>1.6659691480503591E-3</v>
      </c>
      <c r="Q401" t="s">
        <v>154</v>
      </c>
      <c r="S401" t="s">
        <v>235</v>
      </c>
      <c r="T401" t="s">
        <v>313</v>
      </c>
      <c r="U401">
        <v>7.02097524503515E-4</v>
      </c>
      <c r="V401" t="s">
        <v>154</v>
      </c>
    </row>
    <row r="402" spans="9:22" x14ac:dyDescent="0.25">
      <c r="I402" t="s">
        <v>174</v>
      </c>
      <c r="J402" t="s">
        <v>314</v>
      </c>
      <c r="K402">
        <v>0</v>
      </c>
      <c r="L402" t="s">
        <v>154</v>
      </c>
      <c r="N402" t="s">
        <v>204</v>
      </c>
      <c r="O402" t="s">
        <v>314</v>
      </c>
      <c r="P402">
        <v>6.6949011763000046E-3</v>
      </c>
      <c r="Q402" t="s">
        <v>154</v>
      </c>
      <c r="S402" t="s">
        <v>235</v>
      </c>
      <c r="T402" t="s">
        <v>314</v>
      </c>
      <c r="U402">
        <v>4.2828348876592839E-3</v>
      </c>
      <c r="V402" t="s">
        <v>154</v>
      </c>
    </row>
    <row r="403" spans="9:22" x14ac:dyDescent="0.25">
      <c r="I403" t="s">
        <v>174</v>
      </c>
      <c r="J403" t="s">
        <v>160</v>
      </c>
      <c r="K403">
        <v>4.3069040178548923E-3</v>
      </c>
      <c r="L403" t="s">
        <v>154</v>
      </c>
      <c r="N403" t="s">
        <v>204</v>
      </c>
      <c r="O403" t="s">
        <v>160</v>
      </c>
      <c r="P403">
        <v>0.17304536674485121</v>
      </c>
      <c r="Q403" t="s">
        <v>154</v>
      </c>
      <c r="S403" t="s">
        <v>235</v>
      </c>
      <c r="T403" t="s">
        <v>160</v>
      </c>
      <c r="U403">
        <v>0.20080334713716397</v>
      </c>
      <c r="V403" t="s">
        <v>154</v>
      </c>
    </row>
    <row r="404" spans="9:22" x14ac:dyDescent="0.25">
      <c r="I404" t="s">
        <v>174</v>
      </c>
      <c r="J404" t="s">
        <v>161</v>
      </c>
      <c r="K404">
        <v>6.7581445677036514E-2</v>
      </c>
      <c r="L404" t="s">
        <v>154</v>
      </c>
      <c r="N404" t="s">
        <v>204</v>
      </c>
      <c r="O404" t="s">
        <v>161</v>
      </c>
      <c r="P404">
        <v>3.638710333020756E-2</v>
      </c>
      <c r="Q404" t="s">
        <v>154</v>
      </c>
      <c r="S404" t="s">
        <v>235</v>
      </c>
      <c r="T404" t="s">
        <v>161</v>
      </c>
      <c r="U404">
        <v>4.823772303598186E-2</v>
      </c>
      <c r="V404" t="s">
        <v>154</v>
      </c>
    </row>
    <row r="405" spans="9:22" x14ac:dyDescent="0.25">
      <c r="I405" t="s">
        <v>174</v>
      </c>
      <c r="J405" t="s">
        <v>162</v>
      </c>
      <c r="K405">
        <v>6.1222909344957409E-2</v>
      </c>
      <c r="L405" t="s">
        <v>154</v>
      </c>
      <c r="N405" t="s">
        <v>204</v>
      </c>
      <c r="O405" t="s">
        <v>162</v>
      </c>
      <c r="P405">
        <v>2.0020858519944132E-2</v>
      </c>
      <c r="Q405" t="s">
        <v>154</v>
      </c>
      <c r="S405" t="s">
        <v>235</v>
      </c>
      <c r="T405" t="s">
        <v>162</v>
      </c>
      <c r="U405">
        <v>2.4824272706480296E-2</v>
      </c>
      <c r="V405" t="s">
        <v>154</v>
      </c>
    </row>
    <row r="406" spans="9:22" x14ac:dyDescent="0.25">
      <c r="I406" t="s">
        <v>174</v>
      </c>
      <c r="J406" t="s">
        <v>287</v>
      </c>
      <c r="K406">
        <v>0.52017975183559728</v>
      </c>
      <c r="L406" t="s">
        <v>154</v>
      </c>
      <c r="N406" t="s">
        <v>204</v>
      </c>
      <c r="O406" t="s">
        <v>287</v>
      </c>
      <c r="P406">
        <v>0.17598151907073356</v>
      </c>
      <c r="Q406" t="s">
        <v>154</v>
      </c>
      <c r="S406" t="s">
        <v>235</v>
      </c>
      <c r="T406" t="s">
        <v>287</v>
      </c>
      <c r="U406">
        <v>0.1881648058470963</v>
      </c>
      <c r="V406" t="s">
        <v>154</v>
      </c>
    </row>
    <row r="407" spans="9:22" x14ac:dyDescent="0.25">
      <c r="I407" t="s">
        <v>174</v>
      </c>
      <c r="J407" t="s">
        <v>288</v>
      </c>
      <c r="K407">
        <v>5.1844236133163253E-2</v>
      </c>
      <c r="L407" t="s">
        <v>154</v>
      </c>
      <c r="N407" t="s">
        <v>204</v>
      </c>
      <c r="O407" t="s">
        <v>288</v>
      </c>
      <c r="P407">
        <v>2.73747746302259E-2</v>
      </c>
      <c r="Q407" t="s">
        <v>154</v>
      </c>
      <c r="S407" t="s">
        <v>235</v>
      </c>
      <c r="T407" t="s">
        <v>288</v>
      </c>
      <c r="U407">
        <v>2.9567972652899798E-2</v>
      </c>
      <c r="V407" t="s">
        <v>154</v>
      </c>
    </row>
    <row r="408" spans="9:22" x14ac:dyDescent="0.25">
      <c r="I408" t="s">
        <v>174</v>
      </c>
      <c r="J408" t="s">
        <v>315</v>
      </c>
      <c r="K408">
        <v>3.4103424959075535E-2</v>
      </c>
      <c r="L408" t="s">
        <v>154</v>
      </c>
      <c r="N408" t="s">
        <v>204</v>
      </c>
      <c r="O408" t="s">
        <v>315</v>
      </c>
      <c r="P408">
        <v>2.7787986280233965E-2</v>
      </c>
      <c r="Q408" t="s">
        <v>154</v>
      </c>
      <c r="S408" t="s">
        <v>235</v>
      </c>
      <c r="T408" t="s">
        <v>315</v>
      </c>
      <c r="U408">
        <v>2.9733616206167244E-2</v>
      </c>
      <c r="V408" t="s">
        <v>154</v>
      </c>
    </row>
    <row r="409" spans="9:22" x14ac:dyDescent="0.25">
      <c r="I409" t="s">
        <v>174</v>
      </c>
      <c r="J409" t="s">
        <v>316</v>
      </c>
      <c r="K409">
        <v>1.0745096877091987E-2</v>
      </c>
      <c r="L409" t="s">
        <v>154</v>
      </c>
      <c r="N409" t="s">
        <v>204</v>
      </c>
      <c r="O409" t="s">
        <v>316</v>
      </c>
      <c r="P409">
        <v>0.12032834489190977</v>
      </c>
      <c r="Q409" t="s">
        <v>154</v>
      </c>
      <c r="S409" t="s">
        <v>235</v>
      </c>
      <c r="T409" t="s">
        <v>316</v>
      </c>
      <c r="U409">
        <v>0.14092224362815126</v>
      </c>
      <c r="V409" t="s">
        <v>154</v>
      </c>
    </row>
    <row r="410" spans="9:22" x14ac:dyDescent="0.25">
      <c r="I410" t="s">
        <v>174</v>
      </c>
      <c r="J410" t="s">
        <v>163</v>
      </c>
      <c r="K410">
        <v>0</v>
      </c>
      <c r="L410" t="s">
        <v>154</v>
      </c>
      <c r="N410" t="s">
        <v>204</v>
      </c>
      <c r="O410" t="s">
        <v>163</v>
      </c>
      <c r="P410">
        <v>1.2487950734927214E-2</v>
      </c>
      <c r="Q410" t="s">
        <v>154</v>
      </c>
      <c r="S410" t="s">
        <v>235</v>
      </c>
      <c r="T410" t="s">
        <v>163</v>
      </c>
      <c r="U410">
        <v>1.9720629205110043E-2</v>
      </c>
      <c r="V410" t="s">
        <v>154</v>
      </c>
    </row>
    <row r="411" spans="9:22" x14ac:dyDescent="0.25">
      <c r="I411" t="s">
        <v>174</v>
      </c>
      <c r="J411" t="s">
        <v>164</v>
      </c>
      <c r="K411">
        <v>1.5318472368811965E-3</v>
      </c>
      <c r="L411" t="s">
        <v>154</v>
      </c>
      <c r="N411" t="s">
        <v>204</v>
      </c>
      <c r="O411" t="s">
        <v>164</v>
      </c>
      <c r="P411">
        <v>2.7893175181645915E-3</v>
      </c>
      <c r="Q411" t="s">
        <v>154</v>
      </c>
      <c r="S411" t="s">
        <v>235</v>
      </c>
      <c r="T411" t="s">
        <v>164</v>
      </c>
      <c r="U411">
        <v>5.2597647866094209E-3</v>
      </c>
      <c r="V411" t="s">
        <v>154</v>
      </c>
    </row>
    <row r="412" spans="9:22" x14ac:dyDescent="0.25">
      <c r="I412" t="s">
        <v>174</v>
      </c>
      <c r="J412" t="s">
        <v>165</v>
      </c>
      <c r="K412">
        <v>1.8417516406986621E-3</v>
      </c>
      <c r="L412" t="s">
        <v>154</v>
      </c>
      <c r="N412" t="s">
        <v>204</v>
      </c>
      <c r="O412" t="s">
        <v>165</v>
      </c>
      <c r="P412">
        <v>1.5122582501233249E-3</v>
      </c>
      <c r="Q412" t="s">
        <v>154</v>
      </c>
      <c r="S412" t="s">
        <v>235</v>
      </c>
      <c r="T412" t="s">
        <v>165</v>
      </c>
      <c r="U412">
        <v>2.755357048562319E-3</v>
      </c>
      <c r="V412" t="s">
        <v>154</v>
      </c>
    </row>
    <row r="413" spans="9:22" x14ac:dyDescent="0.25">
      <c r="I413" t="s">
        <v>174</v>
      </c>
      <c r="J413" t="s">
        <v>289</v>
      </c>
      <c r="K413">
        <v>1.4879610257713647E-2</v>
      </c>
      <c r="L413" t="s">
        <v>154</v>
      </c>
      <c r="N413" t="s">
        <v>204</v>
      </c>
      <c r="O413" t="s">
        <v>289</v>
      </c>
      <c r="P413">
        <v>1.1850691966790323E-2</v>
      </c>
      <c r="Q413" t="s">
        <v>154</v>
      </c>
      <c r="S413" t="s">
        <v>235</v>
      </c>
      <c r="T413" t="s">
        <v>289</v>
      </c>
      <c r="U413">
        <v>1.813983333653027E-2</v>
      </c>
      <c r="V413" t="s">
        <v>154</v>
      </c>
    </row>
    <row r="414" spans="9:22" x14ac:dyDescent="0.25">
      <c r="I414" t="s">
        <v>174</v>
      </c>
      <c r="J414" t="s">
        <v>290</v>
      </c>
      <c r="K414">
        <v>9.4347390515411942E-4</v>
      </c>
      <c r="L414" t="s">
        <v>154</v>
      </c>
      <c r="N414" t="s">
        <v>204</v>
      </c>
      <c r="O414" t="s">
        <v>290</v>
      </c>
      <c r="P414">
        <v>1.8792569991649077E-3</v>
      </c>
      <c r="Q414" t="s">
        <v>154</v>
      </c>
      <c r="S414" t="s">
        <v>235</v>
      </c>
      <c r="T414" t="s">
        <v>290</v>
      </c>
      <c r="U414">
        <v>2.4357816513269196E-3</v>
      </c>
      <c r="V414" t="s">
        <v>154</v>
      </c>
    </row>
    <row r="415" spans="9:22" x14ac:dyDescent="0.25">
      <c r="I415" t="s">
        <v>174</v>
      </c>
      <c r="J415" t="s">
        <v>317</v>
      </c>
      <c r="K415">
        <v>5.9707659847340302E-6</v>
      </c>
      <c r="L415" t="s">
        <v>154</v>
      </c>
      <c r="N415" t="s">
        <v>204</v>
      </c>
      <c r="O415" t="s">
        <v>317</v>
      </c>
      <c r="P415">
        <v>1.8784995952359467E-3</v>
      </c>
      <c r="Q415" t="s">
        <v>154</v>
      </c>
      <c r="S415" t="s">
        <v>235</v>
      </c>
      <c r="T415" t="s">
        <v>317</v>
      </c>
      <c r="U415">
        <v>2.5116007622562322E-3</v>
      </c>
      <c r="V415" t="s">
        <v>154</v>
      </c>
    </row>
    <row r="416" spans="9:22" x14ac:dyDescent="0.25">
      <c r="I416" t="s">
        <v>174</v>
      </c>
      <c r="J416" t="s">
        <v>318</v>
      </c>
      <c r="K416">
        <v>0</v>
      </c>
      <c r="L416" t="s">
        <v>154</v>
      </c>
      <c r="N416" t="s">
        <v>204</v>
      </c>
      <c r="O416" t="s">
        <v>318</v>
      </c>
      <c r="P416">
        <v>6.9281243738338397E-3</v>
      </c>
      <c r="Q416" t="s">
        <v>154</v>
      </c>
      <c r="S416" t="s">
        <v>235</v>
      </c>
      <c r="T416" t="s">
        <v>318</v>
      </c>
      <c r="U416">
        <v>1.173679786557175E-2</v>
      </c>
      <c r="V416" t="s">
        <v>154</v>
      </c>
    </row>
    <row r="417" spans="9:22" x14ac:dyDescent="0.25">
      <c r="I417" t="s">
        <v>174</v>
      </c>
      <c r="J417" t="s">
        <v>297</v>
      </c>
      <c r="K417">
        <v>0</v>
      </c>
      <c r="L417" t="s">
        <v>154</v>
      </c>
      <c r="N417" t="s">
        <v>204</v>
      </c>
      <c r="O417" t="s">
        <v>297</v>
      </c>
      <c r="P417">
        <v>1.9683721781995879E-2</v>
      </c>
      <c r="Q417" t="s">
        <v>154</v>
      </c>
      <c r="S417" t="s">
        <v>235</v>
      </c>
      <c r="T417" t="s">
        <v>297</v>
      </c>
      <c r="U417">
        <v>1.4550132167992551E-2</v>
      </c>
      <c r="V417" t="s">
        <v>154</v>
      </c>
    </row>
    <row r="418" spans="9:22" x14ac:dyDescent="0.25">
      <c r="I418" t="s">
        <v>174</v>
      </c>
      <c r="J418" t="s">
        <v>298</v>
      </c>
      <c r="K418">
        <v>4.0594542166270424E-3</v>
      </c>
      <c r="L418" t="s">
        <v>154</v>
      </c>
      <c r="N418" t="s">
        <v>204</v>
      </c>
      <c r="O418" t="s">
        <v>298</v>
      </c>
      <c r="P418">
        <v>4.1374861646225093E-3</v>
      </c>
      <c r="Q418" t="s">
        <v>154</v>
      </c>
      <c r="S418" t="s">
        <v>235</v>
      </c>
      <c r="T418" t="s">
        <v>298</v>
      </c>
      <c r="U418">
        <v>3.7797328053972823E-3</v>
      </c>
      <c r="V418" t="s">
        <v>154</v>
      </c>
    </row>
    <row r="419" spans="9:22" x14ac:dyDescent="0.25">
      <c r="I419" t="s">
        <v>174</v>
      </c>
      <c r="J419" t="s">
        <v>299</v>
      </c>
      <c r="K419">
        <v>6.7125234435384904E-3</v>
      </c>
      <c r="L419" t="s">
        <v>154</v>
      </c>
      <c r="N419" t="s">
        <v>204</v>
      </c>
      <c r="O419" t="s">
        <v>299</v>
      </c>
      <c r="P419">
        <v>2.0910134198759774E-3</v>
      </c>
      <c r="Q419" t="s">
        <v>154</v>
      </c>
      <c r="S419" t="s">
        <v>235</v>
      </c>
      <c r="T419" t="s">
        <v>299</v>
      </c>
      <c r="U419">
        <v>1.8056500520570137E-3</v>
      </c>
      <c r="V419" t="s">
        <v>154</v>
      </c>
    </row>
    <row r="420" spans="9:22" x14ac:dyDescent="0.25">
      <c r="I420" t="s">
        <v>174</v>
      </c>
      <c r="J420" t="s">
        <v>300</v>
      </c>
      <c r="K420">
        <v>5.0413039715345519E-2</v>
      </c>
      <c r="L420" t="s">
        <v>154</v>
      </c>
      <c r="N420" t="s">
        <v>204</v>
      </c>
      <c r="O420" t="s">
        <v>300</v>
      </c>
      <c r="P420">
        <v>1.9476538775156812E-2</v>
      </c>
      <c r="Q420" t="s">
        <v>154</v>
      </c>
      <c r="S420" t="s">
        <v>235</v>
      </c>
      <c r="T420" t="s">
        <v>300</v>
      </c>
      <c r="U420">
        <v>1.2886026914886658E-2</v>
      </c>
      <c r="V420" t="s">
        <v>154</v>
      </c>
    </row>
    <row r="421" spans="9:22" x14ac:dyDescent="0.25">
      <c r="I421" t="s">
        <v>174</v>
      </c>
      <c r="J421" t="s">
        <v>301</v>
      </c>
      <c r="K421">
        <v>3.3248744041090212E-3</v>
      </c>
      <c r="L421" t="s">
        <v>154</v>
      </c>
      <c r="N421" t="s">
        <v>204</v>
      </c>
      <c r="O421" t="s">
        <v>301</v>
      </c>
      <c r="P421">
        <v>3.1161435451235722E-3</v>
      </c>
      <c r="Q421" t="s">
        <v>154</v>
      </c>
      <c r="S421" t="s">
        <v>235</v>
      </c>
      <c r="T421" t="s">
        <v>301</v>
      </c>
      <c r="U421">
        <v>1.8187903584420315E-3</v>
      </c>
      <c r="V421" t="s">
        <v>154</v>
      </c>
    </row>
    <row r="422" spans="9:22" x14ac:dyDescent="0.25">
      <c r="I422" t="s">
        <v>174</v>
      </c>
      <c r="J422" t="s">
        <v>319</v>
      </c>
      <c r="K422">
        <v>0</v>
      </c>
      <c r="L422" t="s">
        <v>154</v>
      </c>
      <c r="N422" t="s">
        <v>204</v>
      </c>
      <c r="O422" t="s">
        <v>319</v>
      </c>
      <c r="P422">
        <v>3.1876298814559065E-3</v>
      </c>
      <c r="Q422" t="s">
        <v>154</v>
      </c>
      <c r="S422" t="s">
        <v>235</v>
      </c>
      <c r="T422" t="s">
        <v>319</v>
      </c>
      <c r="U422">
        <v>1.8114120089759722E-3</v>
      </c>
      <c r="V422" t="s">
        <v>154</v>
      </c>
    </row>
    <row r="423" spans="9:22" x14ac:dyDescent="0.25">
      <c r="I423" t="s">
        <v>174</v>
      </c>
      <c r="J423" t="s">
        <v>320</v>
      </c>
      <c r="K423">
        <v>0</v>
      </c>
      <c r="L423" t="s">
        <v>154</v>
      </c>
      <c r="N423" t="s">
        <v>204</v>
      </c>
      <c r="O423" t="s">
        <v>320</v>
      </c>
      <c r="P423">
        <v>1.4080671072973618E-2</v>
      </c>
      <c r="Q423" t="s">
        <v>154</v>
      </c>
      <c r="S423" t="s">
        <v>235</v>
      </c>
      <c r="T423" t="s">
        <v>320</v>
      </c>
      <c r="U423">
        <v>9.6227087446453426E-3</v>
      </c>
      <c r="V423" t="s">
        <v>154</v>
      </c>
    </row>
    <row r="424" spans="9:22" x14ac:dyDescent="0.25">
      <c r="I424" t="s">
        <v>174</v>
      </c>
      <c r="J424" t="s">
        <v>302</v>
      </c>
      <c r="K424">
        <v>0</v>
      </c>
      <c r="L424" t="s">
        <v>154</v>
      </c>
      <c r="N424" t="s">
        <v>204</v>
      </c>
      <c r="O424" t="s">
        <v>302</v>
      </c>
      <c r="P424">
        <v>4.2471651167188242E-2</v>
      </c>
      <c r="Q424" t="s">
        <v>154</v>
      </c>
      <c r="S424" t="s">
        <v>235</v>
      </c>
      <c r="T424" t="s">
        <v>302</v>
      </c>
      <c r="U424">
        <v>3.2676717593127041E-2</v>
      </c>
      <c r="V424" t="s">
        <v>154</v>
      </c>
    </row>
    <row r="425" spans="9:22" x14ac:dyDescent="0.25">
      <c r="I425" t="s">
        <v>174</v>
      </c>
      <c r="J425" t="s">
        <v>303</v>
      </c>
      <c r="K425">
        <v>3.38022856654876E-3</v>
      </c>
      <c r="L425" t="s">
        <v>154</v>
      </c>
      <c r="N425" t="s">
        <v>204</v>
      </c>
      <c r="O425" t="s">
        <v>303</v>
      </c>
      <c r="P425">
        <v>9.1436672507547098E-3</v>
      </c>
      <c r="Q425" t="s">
        <v>154</v>
      </c>
      <c r="S425" t="s">
        <v>235</v>
      </c>
      <c r="T425" t="s">
        <v>303</v>
      </c>
      <c r="U425">
        <v>8.7024653769523629E-3</v>
      </c>
      <c r="V425" t="s">
        <v>154</v>
      </c>
    </row>
    <row r="426" spans="9:22" x14ac:dyDescent="0.25">
      <c r="I426" t="s">
        <v>174</v>
      </c>
      <c r="J426" t="s">
        <v>304</v>
      </c>
      <c r="K426">
        <v>6.0853055112825051E-3</v>
      </c>
      <c r="L426" t="s">
        <v>154</v>
      </c>
      <c r="N426" t="s">
        <v>204</v>
      </c>
      <c r="O426" t="s">
        <v>304</v>
      </c>
      <c r="P426">
        <v>5.0527005381123492E-3</v>
      </c>
      <c r="Q426" t="s">
        <v>154</v>
      </c>
      <c r="S426" t="s">
        <v>235</v>
      </c>
      <c r="T426" t="s">
        <v>304</v>
      </c>
      <c r="U426">
        <v>4.5118453967501878E-3</v>
      </c>
      <c r="V426" t="s">
        <v>154</v>
      </c>
    </row>
    <row r="427" spans="9:22" x14ac:dyDescent="0.25">
      <c r="I427" t="s">
        <v>174</v>
      </c>
      <c r="J427" t="s">
        <v>305</v>
      </c>
      <c r="K427">
        <v>5.5554745962941646E-2</v>
      </c>
      <c r="L427" t="s">
        <v>154</v>
      </c>
      <c r="N427" t="s">
        <v>204</v>
      </c>
      <c r="O427" t="s">
        <v>305</v>
      </c>
      <c r="P427">
        <v>4.9816780744600969E-2</v>
      </c>
      <c r="Q427" t="s">
        <v>154</v>
      </c>
      <c r="S427" t="s">
        <v>235</v>
      </c>
      <c r="T427" t="s">
        <v>305</v>
      </c>
      <c r="U427">
        <v>3.2027095164536667E-2</v>
      </c>
      <c r="V427" t="s">
        <v>154</v>
      </c>
    </row>
    <row r="428" spans="9:22" x14ac:dyDescent="0.25">
      <c r="I428" t="s">
        <v>174</v>
      </c>
      <c r="J428" t="s">
        <v>306</v>
      </c>
      <c r="K428">
        <v>3.5260122957499278E-3</v>
      </c>
      <c r="L428" t="s">
        <v>154</v>
      </c>
      <c r="N428" t="s">
        <v>204</v>
      </c>
      <c r="O428" t="s">
        <v>306</v>
      </c>
      <c r="P428">
        <v>6.8697078462576161E-3</v>
      </c>
      <c r="Q428" t="s">
        <v>154</v>
      </c>
      <c r="S428" t="s">
        <v>235</v>
      </c>
      <c r="T428" t="s">
        <v>306</v>
      </c>
      <c r="U428">
        <v>4.867907647610947E-3</v>
      </c>
      <c r="V428" t="s">
        <v>154</v>
      </c>
    </row>
    <row r="429" spans="9:22" x14ac:dyDescent="0.25">
      <c r="I429" t="s">
        <v>174</v>
      </c>
      <c r="J429" t="s">
        <v>321</v>
      </c>
      <c r="K429">
        <v>0</v>
      </c>
      <c r="L429" t="s">
        <v>154</v>
      </c>
      <c r="N429" t="s">
        <v>204</v>
      </c>
      <c r="O429" t="s">
        <v>321</v>
      </c>
      <c r="P429">
        <v>6.6702702641955602E-3</v>
      </c>
      <c r="Q429" t="s">
        <v>154</v>
      </c>
      <c r="S429" t="s">
        <v>235</v>
      </c>
      <c r="T429" t="s">
        <v>321</v>
      </c>
      <c r="U429">
        <v>4.9360376991550887E-3</v>
      </c>
      <c r="V429" t="s">
        <v>154</v>
      </c>
    </row>
    <row r="430" spans="9:22" x14ac:dyDescent="0.25">
      <c r="I430" t="s">
        <v>174</v>
      </c>
      <c r="J430" t="s">
        <v>322</v>
      </c>
      <c r="K430">
        <v>0</v>
      </c>
      <c r="L430" t="s">
        <v>154</v>
      </c>
      <c r="N430" t="s">
        <v>204</v>
      </c>
      <c r="O430" t="s">
        <v>322</v>
      </c>
      <c r="P430">
        <v>2.9197445720366144E-2</v>
      </c>
      <c r="Q430" t="s">
        <v>154</v>
      </c>
      <c r="S430" t="s">
        <v>235</v>
      </c>
      <c r="T430" t="s">
        <v>322</v>
      </c>
      <c r="U430">
        <v>2.3120766836090781E-2</v>
      </c>
      <c r="V430" t="s">
        <v>154</v>
      </c>
    </row>
    <row r="431" spans="9:22" x14ac:dyDescent="0.25">
      <c r="I431" t="s">
        <v>175</v>
      </c>
      <c r="J431" t="s">
        <v>153</v>
      </c>
      <c r="K431">
        <v>0</v>
      </c>
      <c r="L431" t="s">
        <v>154</v>
      </c>
      <c r="N431" t="s">
        <v>205</v>
      </c>
      <c r="O431" t="s">
        <v>153</v>
      </c>
      <c r="P431">
        <v>4.1036520186765693E-2</v>
      </c>
      <c r="Q431" t="s">
        <v>154</v>
      </c>
      <c r="S431" t="s">
        <v>236</v>
      </c>
      <c r="T431" t="s">
        <v>153</v>
      </c>
      <c r="U431">
        <v>3.3894531171363269E-2</v>
      </c>
      <c r="V431" t="s">
        <v>154</v>
      </c>
    </row>
    <row r="432" spans="9:22" x14ac:dyDescent="0.25">
      <c r="I432" t="s">
        <v>175</v>
      </c>
      <c r="J432" t="s">
        <v>155</v>
      </c>
      <c r="K432">
        <v>3.6401915742811908E-3</v>
      </c>
      <c r="L432" t="s">
        <v>154</v>
      </c>
      <c r="N432" t="s">
        <v>205</v>
      </c>
      <c r="O432" t="s">
        <v>155</v>
      </c>
      <c r="P432">
        <v>7.603140234225386E-3</v>
      </c>
      <c r="Q432" t="s">
        <v>154</v>
      </c>
      <c r="S432" t="s">
        <v>236</v>
      </c>
      <c r="T432" t="s">
        <v>155</v>
      </c>
      <c r="U432">
        <v>7.2082012682947597E-3</v>
      </c>
      <c r="V432" t="s">
        <v>154</v>
      </c>
    </row>
    <row r="433" spans="9:22" x14ac:dyDescent="0.25">
      <c r="I433" t="s">
        <v>175</v>
      </c>
      <c r="J433" t="s">
        <v>156</v>
      </c>
      <c r="K433">
        <v>5.9728103900715439E-3</v>
      </c>
      <c r="L433" t="s">
        <v>154</v>
      </c>
      <c r="N433" t="s">
        <v>205</v>
      </c>
      <c r="O433" t="s">
        <v>156</v>
      </c>
      <c r="P433">
        <v>4.1101082875191746E-3</v>
      </c>
      <c r="Q433" t="s">
        <v>154</v>
      </c>
      <c r="S433" t="s">
        <v>236</v>
      </c>
      <c r="T433" t="s">
        <v>156</v>
      </c>
      <c r="U433">
        <v>3.3496362180168351E-3</v>
      </c>
      <c r="V433" t="s">
        <v>154</v>
      </c>
    </row>
    <row r="434" spans="9:22" x14ac:dyDescent="0.25">
      <c r="I434" t="s">
        <v>175</v>
      </c>
      <c r="J434" t="s">
        <v>283</v>
      </c>
      <c r="K434">
        <v>5.630096147855318E-2</v>
      </c>
      <c r="L434" t="s">
        <v>154</v>
      </c>
      <c r="N434" t="s">
        <v>205</v>
      </c>
      <c r="O434" t="s">
        <v>283</v>
      </c>
      <c r="P434">
        <v>4.1902004399552287E-2</v>
      </c>
      <c r="Q434" t="s">
        <v>154</v>
      </c>
      <c r="S434" t="s">
        <v>236</v>
      </c>
      <c r="T434" t="s">
        <v>283</v>
      </c>
      <c r="U434">
        <v>2.4601771438308714E-2</v>
      </c>
      <c r="V434" t="s">
        <v>154</v>
      </c>
    </row>
    <row r="435" spans="9:22" x14ac:dyDescent="0.25">
      <c r="I435" t="s">
        <v>175</v>
      </c>
      <c r="J435" t="s">
        <v>284</v>
      </c>
      <c r="K435">
        <v>3.9568830023642681E-3</v>
      </c>
      <c r="L435" t="s">
        <v>154</v>
      </c>
      <c r="N435" t="s">
        <v>205</v>
      </c>
      <c r="O435" t="s">
        <v>284</v>
      </c>
      <c r="P435">
        <v>6.0734714632274941E-3</v>
      </c>
      <c r="Q435" t="s">
        <v>154</v>
      </c>
      <c r="S435" t="s">
        <v>236</v>
      </c>
      <c r="T435" t="s">
        <v>284</v>
      </c>
      <c r="U435">
        <v>4.4559358960438748E-3</v>
      </c>
      <c r="V435" t="s">
        <v>154</v>
      </c>
    </row>
    <row r="436" spans="9:22" x14ac:dyDescent="0.25">
      <c r="I436" t="s">
        <v>175</v>
      </c>
      <c r="J436" t="s">
        <v>311</v>
      </c>
      <c r="K436">
        <v>1.1795517753401157E-5</v>
      </c>
      <c r="L436" t="s">
        <v>154</v>
      </c>
      <c r="N436" t="s">
        <v>205</v>
      </c>
      <c r="O436" t="s">
        <v>311</v>
      </c>
      <c r="P436">
        <v>6.0335275628359917E-3</v>
      </c>
      <c r="Q436" t="s">
        <v>154</v>
      </c>
      <c r="S436" t="s">
        <v>236</v>
      </c>
      <c r="T436" t="s">
        <v>311</v>
      </c>
      <c r="U436">
        <v>4.7912140171880134E-3</v>
      </c>
      <c r="V436" t="s">
        <v>154</v>
      </c>
    </row>
    <row r="437" spans="9:22" x14ac:dyDescent="0.25">
      <c r="I437" t="s">
        <v>175</v>
      </c>
      <c r="J437" t="s">
        <v>312</v>
      </c>
      <c r="K437">
        <v>0</v>
      </c>
      <c r="L437" t="s">
        <v>154</v>
      </c>
      <c r="N437" t="s">
        <v>205</v>
      </c>
      <c r="O437" t="s">
        <v>312</v>
      </c>
      <c r="P437">
        <v>2.8073933420642221E-2</v>
      </c>
      <c r="Q437" t="s">
        <v>154</v>
      </c>
      <c r="S437" t="s">
        <v>236</v>
      </c>
      <c r="T437" t="s">
        <v>312</v>
      </c>
      <c r="U437">
        <v>2.3705703279308734E-2</v>
      </c>
      <c r="V437" t="s">
        <v>154</v>
      </c>
    </row>
    <row r="438" spans="9:22" x14ac:dyDescent="0.25">
      <c r="I438" t="s">
        <v>175</v>
      </c>
      <c r="J438" t="s">
        <v>157</v>
      </c>
      <c r="K438">
        <v>0</v>
      </c>
      <c r="L438" t="s">
        <v>154</v>
      </c>
      <c r="N438" t="s">
        <v>205</v>
      </c>
      <c r="O438" t="s">
        <v>157</v>
      </c>
      <c r="P438">
        <v>9.2990292129047636E-3</v>
      </c>
      <c r="Q438" t="s">
        <v>154</v>
      </c>
      <c r="S438" t="s">
        <v>236</v>
      </c>
      <c r="T438" t="s">
        <v>157</v>
      </c>
      <c r="U438">
        <v>8.156737477874175E-3</v>
      </c>
      <c r="V438" t="s">
        <v>154</v>
      </c>
    </row>
    <row r="439" spans="9:22" x14ac:dyDescent="0.25">
      <c r="I439" t="s">
        <v>175</v>
      </c>
      <c r="J439" t="s">
        <v>158</v>
      </c>
      <c r="K439">
        <v>8.4546249396288075E-4</v>
      </c>
      <c r="L439" t="s">
        <v>154</v>
      </c>
      <c r="N439" t="s">
        <v>205</v>
      </c>
      <c r="O439" t="s">
        <v>158</v>
      </c>
      <c r="P439">
        <v>2.3922539652564182E-3</v>
      </c>
      <c r="Q439" t="s">
        <v>154</v>
      </c>
      <c r="S439" t="s">
        <v>236</v>
      </c>
      <c r="T439" t="s">
        <v>158</v>
      </c>
      <c r="U439">
        <v>2.0644061143948737E-3</v>
      </c>
      <c r="V439" t="s">
        <v>154</v>
      </c>
    </row>
    <row r="440" spans="9:22" x14ac:dyDescent="0.25">
      <c r="I440" t="s">
        <v>175</v>
      </c>
      <c r="J440" t="s">
        <v>159</v>
      </c>
      <c r="K440">
        <v>1.6178426534164101E-3</v>
      </c>
      <c r="L440" t="s">
        <v>154</v>
      </c>
      <c r="N440" t="s">
        <v>205</v>
      </c>
      <c r="O440" t="s">
        <v>159</v>
      </c>
      <c r="P440">
        <v>1.3479472313999142E-3</v>
      </c>
      <c r="Q440" t="s">
        <v>154</v>
      </c>
      <c r="S440" t="s">
        <v>236</v>
      </c>
      <c r="T440" t="s">
        <v>159</v>
      </c>
      <c r="U440">
        <v>1.1457758120371269E-3</v>
      </c>
      <c r="V440" t="s">
        <v>154</v>
      </c>
    </row>
    <row r="441" spans="9:22" x14ac:dyDescent="0.25">
      <c r="I441" t="s">
        <v>175</v>
      </c>
      <c r="J441" t="s">
        <v>285</v>
      </c>
      <c r="K441">
        <v>1.7991971152186814E-2</v>
      </c>
      <c r="L441" t="s">
        <v>154</v>
      </c>
      <c r="N441" t="s">
        <v>205</v>
      </c>
      <c r="O441" t="s">
        <v>285</v>
      </c>
      <c r="P441">
        <v>1.247936599120983E-2</v>
      </c>
      <c r="Q441" t="s">
        <v>154</v>
      </c>
      <c r="S441" t="s">
        <v>236</v>
      </c>
      <c r="T441" t="s">
        <v>285</v>
      </c>
      <c r="U441">
        <v>7.1895961791310402E-3</v>
      </c>
      <c r="V441" t="s">
        <v>154</v>
      </c>
    </row>
    <row r="442" spans="9:22" x14ac:dyDescent="0.25">
      <c r="I442" t="s">
        <v>175</v>
      </c>
      <c r="J442" t="s">
        <v>286</v>
      </c>
      <c r="K442">
        <v>1.4332753870862417E-3</v>
      </c>
      <c r="L442" t="s">
        <v>154</v>
      </c>
      <c r="N442" t="s">
        <v>205</v>
      </c>
      <c r="O442" t="s">
        <v>286</v>
      </c>
      <c r="P442">
        <v>1.57738404761008E-3</v>
      </c>
      <c r="Q442" t="s">
        <v>154</v>
      </c>
      <c r="S442" t="s">
        <v>236</v>
      </c>
      <c r="T442" t="s">
        <v>286</v>
      </c>
      <c r="U442">
        <v>1.0387978317923016E-3</v>
      </c>
      <c r="V442" t="s">
        <v>154</v>
      </c>
    </row>
    <row r="443" spans="9:22" x14ac:dyDescent="0.25">
      <c r="I443" t="s">
        <v>175</v>
      </c>
      <c r="J443" t="s">
        <v>313</v>
      </c>
      <c r="K443">
        <v>6.0250272215306715E-4</v>
      </c>
      <c r="L443" t="s">
        <v>154</v>
      </c>
      <c r="N443" t="s">
        <v>205</v>
      </c>
      <c r="O443" t="s">
        <v>313</v>
      </c>
      <c r="P443">
        <v>1.5301858690380909E-3</v>
      </c>
      <c r="Q443" t="s">
        <v>154</v>
      </c>
      <c r="S443" t="s">
        <v>236</v>
      </c>
      <c r="T443" t="s">
        <v>313</v>
      </c>
      <c r="U443">
        <v>1.0278792703933835E-3</v>
      </c>
      <c r="V443" t="s">
        <v>154</v>
      </c>
    </row>
    <row r="444" spans="9:22" x14ac:dyDescent="0.25">
      <c r="I444" t="s">
        <v>175</v>
      </c>
      <c r="J444" t="s">
        <v>314</v>
      </c>
      <c r="K444">
        <v>0</v>
      </c>
      <c r="L444" t="s">
        <v>154</v>
      </c>
      <c r="N444" t="s">
        <v>205</v>
      </c>
      <c r="O444" t="s">
        <v>314</v>
      </c>
      <c r="P444">
        <v>6.2201352620273155E-3</v>
      </c>
      <c r="Q444" t="s">
        <v>154</v>
      </c>
      <c r="S444" t="s">
        <v>236</v>
      </c>
      <c r="T444" t="s">
        <v>314</v>
      </c>
      <c r="U444">
        <v>4.4302211251660813E-3</v>
      </c>
      <c r="V444" t="s">
        <v>154</v>
      </c>
    </row>
    <row r="445" spans="9:22" x14ac:dyDescent="0.25">
      <c r="I445" t="s">
        <v>175</v>
      </c>
      <c r="J445" t="s">
        <v>160</v>
      </c>
      <c r="K445">
        <v>5.5616711943118477E-3</v>
      </c>
      <c r="L445" t="s">
        <v>154</v>
      </c>
      <c r="N445" t="s">
        <v>205</v>
      </c>
      <c r="O445" t="s">
        <v>160</v>
      </c>
      <c r="P445">
        <v>0.16998844015749731</v>
      </c>
      <c r="Q445" t="s">
        <v>154</v>
      </c>
      <c r="S445" t="s">
        <v>236</v>
      </c>
      <c r="T445" t="s">
        <v>160</v>
      </c>
      <c r="U445">
        <v>0.1942428583085361</v>
      </c>
      <c r="V445" t="s">
        <v>154</v>
      </c>
    </row>
    <row r="446" spans="9:22" x14ac:dyDescent="0.25">
      <c r="I446" t="s">
        <v>175</v>
      </c>
      <c r="J446" t="s">
        <v>161</v>
      </c>
      <c r="K446">
        <v>7.1524965493242762E-2</v>
      </c>
      <c r="L446" t="s">
        <v>154</v>
      </c>
      <c r="N446" t="s">
        <v>205</v>
      </c>
      <c r="O446" t="s">
        <v>161</v>
      </c>
      <c r="P446">
        <v>3.7966500083649886E-2</v>
      </c>
      <c r="Q446" t="s">
        <v>154</v>
      </c>
      <c r="S446" t="s">
        <v>236</v>
      </c>
      <c r="T446" t="s">
        <v>161</v>
      </c>
      <c r="U446">
        <v>4.5118312467992722E-2</v>
      </c>
      <c r="V446" t="s">
        <v>154</v>
      </c>
    </row>
    <row r="447" spans="9:22" x14ac:dyDescent="0.25">
      <c r="I447" t="s">
        <v>175</v>
      </c>
      <c r="J447" t="s">
        <v>162</v>
      </c>
      <c r="K447">
        <v>6.2786419501872831E-2</v>
      </c>
      <c r="L447" t="s">
        <v>154</v>
      </c>
      <c r="N447" t="s">
        <v>205</v>
      </c>
      <c r="O447" t="s">
        <v>162</v>
      </c>
      <c r="P447">
        <v>2.1703113886359728E-2</v>
      </c>
      <c r="Q447" t="s">
        <v>154</v>
      </c>
      <c r="S447" t="s">
        <v>236</v>
      </c>
      <c r="T447" t="s">
        <v>162</v>
      </c>
      <c r="U447">
        <v>2.3261390566513763E-2</v>
      </c>
      <c r="V447" t="s">
        <v>154</v>
      </c>
    </row>
    <row r="448" spans="9:22" x14ac:dyDescent="0.25">
      <c r="I448" t="s">
        <v>175</v>
      </c>
      <c r="J448" t="s">
        <v>287</v>
      </c>
      <c r="K448">
        <v>0.53046467228287619</v>
      </c>
      <c r="L448" t="s">
        <v>154</v>
      </c>
      <c r="N448" t="s">
        <v>205</v>
      </c>
      <c r="O448" t="s">
        <v>287</v>
      </c>
      <c r="P448">
        <v>0.18356180489304741</v>
      </c>
      <c r="Q448" t="s">
        <v>154</v>
      </c>
      <c r="S448" t="s">
        <v>236</v>
      </c>
      <c r="T448" t="s">
        <v>287</v>
      </c>
      <c r="U448">
        <v>0.17470295861873558</v>
      </c>
      <c r="V448" t="s">
        <v>154</v>
      </c>
    </row>
    <row r="449" spans="9:22" x14ac:dyDescent="0.25">
      <c r="I449" t="s">
        <v>175</v>
      </c>
      <c r="J449" t="s">
        <v>288</v>
      </c>
      <c r="K449">
        <v>4.9978428152716622E-2</v>
      </c>
      <c r="L449" t="s">
        <v>154</v>
      </c>
      <c r="N449" t="s">
        <v>205</v>
      </c>
      <c r="O449" t="s">
        <v>288</v>
      </c>
      <c r="P449">
        <v>2.6060672148842667E-2</v>
      </c>
      <c r="Q449" t="s">
        <v>154</v>
      </c>
      <c r="S449" t="s">
        <v>236</v>
      </c>
      <c r="T449" t="s">
        <v>288</v>
      </c>
      <c r="U449">
        <v>2.706030411682997E-2</v>
      </c>
      <c r="V449" t="s">
        <v>154</v>
      </c>
    </row>
    <row r="450" spans="9:22" x14ac:dyDescent="0.25">
      <c r="I450" t="s">
        <v>175</v>
      </c>
      <c r="J450" t="s">
        <v>315</v>
      </c>
      <c r="K450">
        <v>3.1423774061813993E-2</v>
      </c>
      <c r="L450" t="s">
        <v>154</v>
      </c>
      <c r="N450" t="s">
        <v>205</v>
      </c>
      <c r="O450" t="s">
        <v>315</v>
      </c>
      <c r="P450">
        <v>2.5431614723940042E-2</v>
      </c>
      <c r="Q450" t="s">
        <v>154</v>
      </c>
      <c r="S450" t="s">
        <v>236</v>
      </c>
      <c r="T450" t="s">
        <v>315</v>
      </c>
      <c r="U450">
        <v>2.7399651263298217E-2</v>
      </c>
      <c r="V450" t="s">
        <v>154</v>
      </c>
    </row>
    <row r="451" spans="9:22" x14ac:dyDescent="0.25">
      <c r="I451" t="s">
        <v>175</v>
      </c>
      <c r="J451" t="s">
        <v>316</v>
      </c>
      <c r="K451">
        <v>9.3055426604914705E-3</v>
      </c>
      <c r="L451" t="s">
        <v>154</v>
      </c>
      <c r="N451" t="s">
        <v>205</v>
      </c>
      <c r="O451" t="s">
        <v>316</v>
      </c>
      <c r="P451">
        <v>0.10713534841871579</v>
      </c>
      <c r="Q451" t="s">
        <v>154</v>
      </c>
      <c r="S451" t="s">
        <v>236</v>
      </c>
      <c r="T451" t="s">
        <v>316</v>
      </c>
      <c r="U451">
        <v>0.12731595296687095</v>
      </c>
      <c r="V451" t="s">
        <v>154</v>
      </c>
    </row>
    <row r="452" spans="9:22" x14ac:dyDescent="0.25">
      <c r="I452" t="s">
        <v>175</v>
      </c>
      <c r="J452" t="s">
        <v>163</v>
      </c>
      <c r="K452">
        <v>0</v>
      </c>
      <c r="L452" t="s">
        <v>154</v>
      </c>
      <c r="N452" t="s">
        <v>205</v>
      </c>
      <c r="O452" t="s">
        <v>163</v>
      </c>
      <c r="P452">
        <v>9.946341799037136E-3</v>
      </c>
      <c r="Q452" t="s">
        <v>154</v>
      </c>
      <c r="S452" t="s">
        <v>236</v>
      </c>
      <c r="T452" t="s">
        <v>163</v>
      </c>
      <c r="U452">
        <v>1.7626337332103014E-2</v>
      </c>
      <c r="V452" t="s">
        <v>154</v>
      </c>
    </row>
    <row r="453" spans="9:22" x14ac:dyDescent="0.25">
      <c r="I453" t="s">
        <v>175</v>
      </c>
      <c r="J453" t="s">
        <v>164</v>
      </c>
      <c r="K453">
        <v>1.5910676338023694E-3</v>
      </c>
      <c r="L453" t="s">
        <v>154</v>
      </c>
      <c r="N453" t="s">
        <v>205</v>
      </c>
      <c r="O453" t="s">
        <v>164</v>
      </c>
      <c r="P453">
        <v>2.2135663336255804E-3</v>
      </c>
      <c r="Q453" t="s">
        <v>154</v>
      </c>
      <c r="S453" t="s">
        <v>236</v>
      </c>
      <c r="T453" t="s">
        <v>164</v>
      </c>
      <c r="U453">
        <v>4.0841805045044536E-3</v>
      </c>
      <c r="V453" t="s">
        <v>154</v>
      </c>
    </row>
    <row r="454" spans="9:22" x14ac:dyDescent="0.25">
      <c r="I454" t="s">
        <v>175</v>
      </c>
      <c r="J454" t="s">
        <v>165</v>
      </c>
      <c r="K454">
        <v>1.7026018433863343E-3</v>
      </c>
      <c r="L454" t="s">
        <v>154</v>
      </c>
      <c r="N454" t="s">
        <v>205</v>
      </c>
      <c r="O454" t="s">
        <v>165</v>
      </c>
      <c r="P454">
        <v>1.2883575020379687E-3</v>
      </c>
      <c r="Q454" t="s">
        <v>154</v>
      </c>
      <c r="S454" t="s">
        <v>236</v>
      </c>
      <c r="T454" t="s">
        <v>165</v>
      </c>
      <c r="U454">
        <v>2.1812570027439884E-3</v>
      </c>
      <c r="V454" t="s">
        <v>154</v>
      </c>
    </row>
    <row r="455" spans="9:22" x14ac:dyDescent="0.25">
      <c r="I455" t="s">
        <v>175</v>
      </c>
      <c r="J455" t="s">
        <v>289</v>
      </c>
      <c r="K455">
        <v>1.3259717429050846E-2</v>
      </c>
      <c r="L455" t="s">
        <v>154</v>
      </c>
      <c r="N455" t="s">
        <v>205</v>
      </c>
      <c r="O455" t="s">
        <v>289</v>
      </c>
      <c r="P455">
        <v>1.024555422433281E-2</v>
      </c>
      <c r="Q455" t="s">
        <v>154</v>
      </c>
      <c r="S455" t="s">
        <v>236</v>
      </c>
      <c r="T455" t="s">
        <v>289</v>
      </c>
      <c r="U455">
        <v>1.5808455900178115E-2</v>
      </c>
      <c r="V455" t="s">
        <v>154</v>
      </c>
    </row>
    <row r="456" spans="9:22" x14ac:dyDescent="0.25">
      <c r="I456" t="s">
        <v>175</v>
      </c>
      <c r="J456" t="s">
        <v>290</v>
      </c>
      <c r="K456">
        <v>6.9602954304514198E-4</v>
      </c>
      <c r="L456" t="s">
        <v>154</v>
      </c>
      <c r="N456" t="s">
        <v>205</v>
      </c>
      <c r="O456" t="s">
        <v>290</v>
      </c>
      <c r="P456">
        <v>1.5052469466940491E-3</v>
      </c>
      <c r="Q456" t="s">
        <v>154</v>
      </c>
      <c r="S456" t="s">
        <v>236</v>
      </c>
      <c r="T456" t="s">
        <v>290</v>
      </c>
      <c r="U456">
        <v>2.3929474574585796E-3</v>
      </c>
      <c r="V456" t="s">
        <v>154</v>
      </c>
    </row>
    <row r="457" spans="9:22" x14ac:dyDescent="0.25">
      <c r="I457" t="s">
        <v>175</v>
      </c>
      <c r="J457" t="s">
        <v>317</v>
      </c>
      <c r="K457">
        <v>0</v>
      </c>
      <c r="L457" t="s">
        <v>154</v>
      </c>
      <c r="N457" t="s">
        <v>205</v>
      </c>
      <c r="O457" t="s">
        <v>317</v>
      </c>
      <c r="P457">
        <v>1.5553916581054162E-3</v>
      </c>
      <c r="Q457" t="s">
        <v>154</v>
      </c>
      <c r="S457" t="s">
        <v>236</v>
      </c>
      <c r="T457" t="s">
        <v>317</v>
      </c>
      <c r="U457">
        <v>2.4277056622703489E-3</v>
      </c>
      <c r="V457" t="s">
        <v>154</v>
      </c>
    </row>
    <row r="458" spans="9:22" x14ac:dyDescent="0.25">
      <c r="I458" t="s">
        <v>175</v>
      </c>
      <c r="J458" t="s">
        <v>318</v>
      </c>
      <c r="K458">
        <v>0</v>
      </c>
      <c r="L458" t="s">
        <v>154</v>
      </c>
      <c r="N458" t="s">
        <v>205</v>
      </c>
      <c r="O458" t="s">
        <v>318</v>
      </c>
      <c r="P458">
        <v>5.8930869873810385E-3</v>
      </c>
      <c r="Q458" t="s">
        <v>154</v>
      </c>
      <c r="S458" t="s">
        <v>236</v>
      </c>
      <c r="T458" t="s">
        <v>318</v>
      </c>
      <c r="U458">
        <v>1.1285330090952591E-2</v>
      </c>
      <c r="V458" t="s">
        <v>154</v>
      </c>
    </row>
    <row r="459" spans="9:22" x14ac:dyDescent="0.25">
      <c r="I459" t="s">
        <v>175</v>
      </c>
      <c r="J459" t="s">
        <v>297</v>
      </c>
      <c r="K459">
        <v>0</v>
      </c>
      <c r="L459" t="s">
        <v>154</v>
      </c>
      <c r="N459" t="s">
        <v>205</v>
      </c>
      <c r="O459" t="s">
        <v>297</v>
      </c>
      <c r="P459">
        <v>1.8426695024417846E-2</v>
      </c>
      <c r="Q459" t="s">
        <v>154</v>
      </c>
      <c r="S459" t="s">
        <v>236</v>
      </c>
      <c r="T459" t="s">
        <v>297</v>
      </c>
      <c r="U459">
        <v>1.7918812860341735E-2</v>
      </c>
      <c r="V459" t="s">
        <v>154</v>
      </c>
    </row>
    <row r="460" spans="9:22" x14ac:dyDescent="0.25">
      <c r="I460" t="s">
        <v>175</v>
      </c>
      <c r="J460" t="s">
        <v>298</v>
      </c>
      <c r="K460">
        <v>4.1293095439720491E-3</v>
      </c>
      <c r="L460" t="s">
        <v>154</v>
      </c>
      <c r="N460" t="s">
        <v>205</v>
      </c>
      <c r="O460" t="s">
        <v>298</v>
      </c>
      <c r="P460">
        <v>3.8694957354127612E-3</v>
      </c>
      <c r="Q460" t="s">
        <v>154</v>
      </c>
      <c r="S460" t="s">
        <v>236</v>
      </c>
      <c r="T460" t="s">
        <v>298</v>
      </c>
      <c r="U460">
        <v>4.8752595076437888E-3</v>
      </c>
      <c r="V460" t="s">
        <v>154</v>
      </c>
    </row>
    <row r="461" spans="9:22" x14ac:dyDescent="0.25">
      <c r="I461" t="s">
        <v>175</v>
      </c>
      <c r="J461" t="s">
        <v>299</v>
      </c>
      <c r="K461">
        <v>6.485116768734275E-3</v>
      </c>
      <c r="L461" t="s">
        <v>154</v>
      </c>
      <c r="N461" t="s">
        <v>205</v>
      </c>
      <c r="O461" t="s">
        <v>299</v>
      </c>
      <c r="P461">
        <v>2.0169064122686864E-3</v>
      </c>
      <c r="Q461" t="s">
        <v>154</v>
      </c>
      <c r="S461" t="s">
        <v>236</v>
      </c>
      <c r="T461" t="s">
        <v>299</v>
      </c>
      <c r="U461">
        <v>2.454277867585542E-3</v>
      </c>
      <c r="V461" t="s">
        <v>154</v>
      </c>
    </row>
    <row r="462" spans="9:22" x14ac:dyDescent="0.25">
      <c r="I462" t="s">
        <v>175</v>
      </c>
      <c r="J462" t="s">
        <v>300</v>
      </c>
      <c r="K462">
        <v>4.9295742557178376E-2</v>
      </c>
      <c r="L462" t="s">
        <v>154</v>
      </c>
      <c r="N462" t="s">
        <v>205</v>
      </c>
      <c r="O462" t="s">
        <v>300</v>
      </c>
      <c r="P462">
        <v>2.2487439229209309E-2</v>
      </c>
      <c r="Q462" t="s">
        <v>154</v>
      </c>
      <c r="S462" t="s">
        <v>236</v>
      </c>
      <c r="T462" t="s">
        <v>300</v>
      </c>
      <c r="U462">
        <v>1.6823064631198908E-2</v>
      </c>
      <c r="V462" t="s">
        <v>154</v>
      </c>
    </row>
    <row r="463" spans="9:22" x14ac:dyDescent="0.25">
      <c r="I463" t="s">
        <v>175</v>
      </c>
      <c r="J463" t="s">
        <v>301</v>
      </c>
      <c r="K463">
        <v>3.0239022395448629E-3</v>
      </c>
      <c r="L463" t="s">
        <v>154</v>
      </c>
      <c r="N463" t="s">
        <v>205</v>
      </c>
      <c r="O463" t="s">
        <v>301</v>
      </c>
      <c r="P463">
        <v>3.1605935621835564E-3</v>
      </c>
      <c r="Q463" t="s">
        <v>154</v>
      </c>
      <c r="S463" t="s">
        <v>236</v>
      </c>
      <c r="T463" t="s">
        <v>301</v>
      </c>
      <c r="U463">
        <v>2.5785372861136897E-3</v>
      </c>
      <c r="V463" t="s">
        <v>154</v>
      </c>
    </row>
    <row r="464" spans="9:22" x14ac:dyDescent="0.25">
      <c r="I464" t="s">
        <v>175</v>
      </c>
      <c r="J464" t="s">
        <v>319</v>
      </c>
      <c r="K464">
        <v>0</v>
      </c>
      <c r="L464" t="s">
        <v>154</v>
      </c>
      <c r="N464" t="s">
        <v>205</v>
      </c>
      <c r="O464" t="s">
        <v>319</v>
      </c>
      <c r="P464">
        <v>3.0697966708228158E-3</v>
      </c>
      <c r="Q464" t="s">
        <v>154</v>
      </c>
      <c r="S464" t="s">
        <v>236</v>
      </c>
      <c r="T464" t="s">
        <v>319</v>
      </c>
      <c r="U464">
        <v>2.5583066141045209E-3</v>
      </c>
      <c r="V464" t="s">
        <v>154</v>
      </c>
    </row>
    <row r="465" spans="9:22" x14ac:dyDescent="0.25">
      <c r="I465" t="s">
        <v>175</v>
      </c>
      <c r="J465" t="s">
        <v>320</v>
      </c>
      <c r="K465">
        <v>0</v>
      </c>
      <c r="L465" t="s">
        <v>154</v>
      </c>
      <c r="N465" t="s">
        <v>205</v>
      </c>
      <c r="O465" t="s">
        <v>320</v>
      </c>
      <c r="P465">
        <v>1.3506276234036354E-2</v>
      </c>
      <c r="Q465" t="s">
        <v>154</v>
      </c>
      <c r="S465" t="s">
        <v>236</v>
      </c>
      <c r="T465" t="s">
        <v>320</v>
      </c>
      <c r="U465">
        <v>1.2888631403861008E-2</v>
      </c>
      <c r="V465" t="s">
        <v>154</v>
      </c>
    </row>
    <row r="466" spans="9:22" x14ac:dyDescent="0.25">
      <c r="I466" t="s">
        <v>175</v>
      </c>
      <c r="J466" t="s">
        <v>302</v>
      </c>
      <c r="K466">
        <v>0</v>
      </c>
      <c r="L466" t="s">
        <v>154</v>
      </c>
      <c r="N466" t="s">
        <v>205</v>
      </c>
      <c r="O466" t="s">
        <v>302</v>
      </c>
      <c r="P466">
        <v>4.4314462101662962E-2</v>
      </c>
      <c r="Q466" t="s">
        <v>154</v>
      </c>
      <c r="S466" t="s">
        <v>236</v>
      </c>
      <c r="T466" t="s">
        <v>302</v>
      </c>
      <c r="U466">
        <v>4.0173108862336188E-2</v>
      </c>
      <c r="V466" t="s">
        <v>154</v>
      </c>
    </row>
    <row r="467" spans="9:22" x14ac:dyDescent="0.25">
      <c r="I467" t="s">
        <v>175</v>
      </c>
      <c r="J467" t="s">
        <v>303</v>
      </c>
      <c r="K467">
        <v>3.3114403391109716E-3</v>
      </c>
      <c r="L467" t="s">
        <v>154</v>
      </c>
      <c r="N467" t="s">
        <v>205</v>
      </c>
      <c r="O467" t="s">
        <v>303</v>
      </c>
      <c r="P467">
        <v>9.303436247619307E-3</v>
      </c>
      <c r="Q467" t="s">
        <v>154</v>
      </c>
      <c r="S467" t="s">
        <v>236</v>
      </c>
      <c r="T467" t="s">
        <v>303</v>
      </c>
      <c r="U467">
        <v>1.0172854346975381E-2</v>
      </c>
      <c r="V467" t="s">
        <v>154</v>
      </c>
    </row>
    <row r="468" spans="9:22" x14ac:dyDescent="0.25">
      <c r="I468" t="s">
        <v>175</v>
      </c>
      <c r="J468" t="s">
        <v>304</v>
      </c>
      <c r="K468">
        <v>5.9742588374976716E-3</v>
      </c>
      <c r="L468" t="s">
        <v>154</v>
      </c>
      <c r="N468" t="s">
        <v>205</v>
      </c>
      <c r="O468" t="s">
        <v>304</v>
      </c>
      <c r="P468">
        <v>5.1156782954659566E-3</v>
      </c>
      <c r="Q468" t="s">
        <v>154</v>
      </c>
      <c r="S468" t="s">
        <v>236</v>
      </c>
      <c r="T468" t="s">
        <v>304</v>
      </c>
      <c r="U468">
        <v>5.4002888737641856E-3</v>
      </c>
      <c r="V468" t="s">
        <v>154</v>
      </c>
    </row>
    <row r="469" spans="9:22" x14ac:dyDescent="0.25">
      <c r="I469" t="s">
        <v>175</v>
      </c>
      <c r="J469" t="s">
        <v>305</v>
      </c>
      <c r="K469">
        <v>5.39383287780189E-2</v>
      </c>
      <c r="L469" t="s">
        <v>154</v>
      </c>
      <c r="N469" t="s">
        <v>205</v>
      </c>
      <c r="O469" t="s">
        <v>305</v>
      </c>
      <c r="P469">
        <v>5.523637892801244E-2</v>
      </c>
      <c r="Q469" t="s">
        <v>154</v>
      </c>
      <c r="S469" t="s">
        <v>236</v>
      </c>
      <c r="T469" t="s">
        <v>305</v>
      </c>
      <c r="U469">
        <v>4.0893846140613747E-2</v>
      </c>
      <c r="V469" t="s">
        <v>154</v>
      </c>
    </row>
    <row r="470" spans="9:22" x14ac:dyDescent="0.25">
      <c r="I470" t="s">
        <v>175</v>
      </c>
      <c r="J470" t="s">
        <v>306</v>
      </c>
      <c r="K470">
        <v>3.1733147675026786E-3</v>
      </c>
      <c r="L470" t="s">
        <v>154</v>
      </c>
      <c r="N470" t="s">
        <v>205</v>
      </c>
      <c r="O470" t="s">
        <v>306</v>
      </c>
      <c r="P470">
        <v>7.6746535698698302E-3</v>
      </c>
      <c r="Q470" t="s">
        <v>154</v>
      </c>
      <c r="S470" t="s">
        <v>236</v>
      </c>
      <c r="T470" t="s">
        <v>306</v>
      </c>
      <c r="U470">
        <v>6.0121165113417203E-3</v>
      </c>
      <c r="V470" t="s">
        <v>154</v>
      </c>
    </row>
    <row r="471" spans="9:22" x14ac:dyDescent="0.25">
      <c r="I471" t="s">
        <v>175</v>
      </c>
      <c r="J471" t="s">
        <v>321</v>
      </c>
      <c r="K471">
        <v>0</v>
      </c>
      <c r="L471" t="s">
        <v>154</v>
      </c>
      <c r="N471" t="s">
        <v>205</v>
      </c>
      <c r="O471" t="s">
        <v>321</v>
      </c>
      <c r="P471">
        <v>7.2353537557359633E-3</v>
      </c>
      <c r="Q471" t="s">
        <v>154</v>
      </c>
      <c r="S471" t="s">
        <v>236</v>
      </c>
      <c r="T471" t="s">
        <v>321</v>
      </c>
      <c r="U471">
        <v>6.0519094192048907E-3</v>
      </c>
      <c r="V471" t="s">
        <v>154</v>
      </c>
    </row>
    <row r="472" spans="9:22" x14ac:dyDescent="0.25">
      <c r="I472" t="s">
        <v>175</v>
      </c>
      <c r="J472" t="s">
        <v>322</v>
      </c>
      <c r="K472">
        <v>0</v>
      </c>
      <c r="L472" t="s">
        <v>154</v>
      </c>
      <c r="N472" t="s">
        <v>205</v>
      </c>
      <c r="O472" t="s">
        <v>322</v>
      </c>
      <c r="P472">
        <v>3.0408787335797115E-2</v>
      </c>
      <c r="Q472" t="s">
        <v>154</v>
      </c>
      <c r="S472" t="s">
        <v>236</v>
      </c>
      <c r="T472" t="s">
        <v>322</v>
      </c>
      <c r="U472">
        <v>2.9230936316609633E-2</v>
      </c>
      <c r="V472" t="s">
        <v>154</v>
      </c>
    </row>
    <row r="473" spans="9:22" x14ac:dyDescent="0.25">
      <c r="I473" t="s">
        <v>176</v>
      </c>
      <c r="J473" t="s">
        <v>153</v>
      </c>
      <c r="K473">
        <v>0</v>
      </c>
      <c r="L473" t="s">
        <v>154</v>
      </c>
      <c r="N473" t="s">
        <v>206</v>
      </c>
      <c r="O473" t="s">
        <v>153</v>
      </c>
      <c r="P473">
        <v>3.4174166056221492E-2</v>
      </c>
      <c r="Q473" t="s">
        <v>154</v>
      </c>
      <c r="S473" t="s">
        <v>237</v>
      </c>
      <c r="T473" t="s">
        <v>153</v>
      </c>
      <c r="U473">
        <v>3.1656804185581235E-2</v>
      </c>
      <c r="V473" t="s">
        <v>154</v>
      </c>
    </row>
    <row r="474" spans="9:22" x14ac:dyDescent="0.25">
      <c r="I474" t="s">
        <v>176</v>
      </c>
      <c r="J474" t="s">
        <v>155</v>
      </c>
      <c r="K474">
        <v>4.8112544473401164E-3</v>
      </c>
      <c r="L474" t="s">
        <v>154</v>
      </c>
      <c r="N474" t="s">
        <v>206</v>
      </c>
      <c r="O474" t="s">
        <v>155</v>
      </c>
      <c r="P474">
        <v>1.0117919183153653E-2</v>
      </c>
      <c r="Q474" t="s">
        <v>154</v>
      </c>
      <c r="S474" t="s">
        <v>237</v>
      </c>
      <c r="T474" t="s">
        <v>155</v>
      </c>
      <c r="U474">
        <v>8.8468012747541895E-3</v>
      </c>
      <c r="V474" t="s">
        <v>154</v>
      </c>
    </row>
    <row r="475" spans="9:22" x14ac:dyDescent="0.25">
      <c r="I475" t="s">
        <v>176</v>
      </c>
      <c r="J475" t="s">
        <v>156</v>
      </c>
      <c r="K475">
        <v>8.3992742540650051E-3</v>
      </c>
      <c r="L475" t="s">
        <v>154</v>
      </c>
      <c r="N475" t="s">
        <v>206</v>
      </c>
      <c r="O475" t="s">
        <v>156</v>
      </c>
      <c r="P475">
        <v>3.6414336537741792E-3</v>
      </c>
      <c r="Q475" t="s">
        <v>154</v>
      </c>
      <c r="S475" t="s">
        <v>237</v>
      </c>
      <c r="T475" t="s">
        <v>156</v>
      </c>
      <c r="U475">
        <v>4.22733097366167E-3</v>
      </c>
      <c r="V475" t="s">
        <v>154</v>
      </c>
    </row>
    <row r="476" spans="9:22" x14ac:dyDescent="0.25">
      <c r="I476" t="s">
        <v>176</v>
      </c>
      <c r="J476" t="s">
        <v>283</v>
      </c>
      <c r="K476">
        <v>6.3976540288652919E-2</v>
      </c>
      <c r="L476" t="s">
        <v>154</v>
      </c>
      <c r="N476" t="s">
        <v>206</v>
      </c>
      <c r="O476" t="s">
        <v>283</v>
      </c>
      <c r="P476">
        <v>3.8390148620037146E-2</v>
      </c>
      <c r="Q476" t="s">
        <v>154</v>
      </c>
      <c r="S476" t="s">
        <v>237</v>
      </c>
      <c r="T476" t="s">
        <v>283</v>
      </c>
      <c r="U476">
        <v>3.0751458668708362E-2</v>
      </c>
      <c r="V476" t="s">
        <v>154</v>
      </c>
    </row>
    <row r="477" spans="9:22" x14ac:dyDescent="0.25">
      <c r="I477" t="s">
        <v>176</v>
      </c>
      <c r="J477" t="s">
        <v>284</v>
      </c>
      <c r="K477">
        <v>4.6472292336754655E-5</v>
      </c>
      <c r="L477" t="s">
        <v>154</v>
      </c>
      <c r="N477" t="s">
        <v>206</v>
      </c>
      <c r="O477" t="s">
        <v>284</v>
      </c>
      <c r="P477">
        <v>5.8645559575969215E-3</v>
      </c>
      <c r="Q477" t="s">
        <v>154</v>
      </c>
      <c r="S477" t="s">
        <v>237</v>
      </c>
      <c r="T477" t="s">
        <v>284</v>
      </c>
      <c r="U477">
        <v>4.6284722253756485E-3</v>
      </c>
      <c r="V477" t="s">
        <v>154</v>
      </c>
    </row>
    <row r="478" spans="9:22" x14ac:dyDescent="0.25">
      <c r="I478" t="s">
        <v>176</v>
      </c>
      <c r="J478" t="s">
        <v>311</v>
      </c>
      <c r="K478">
        <v>0</v>
      </c>
      <c r="L478" t="s">
        <v>154</v>
      </c>
      <c r="N478" t="s">
        <v>206</v>
      </c>
      <c r="O478" t="s">
        <v>311</v>
      </c>
      <c r="P478">
        <v>6.1117975115896426E-3</v>
      </c>
      <c r="Q478" t="s">
        <v>154</v>
      </c>
      <c r="S478" t="s">
        <v>237</v>
      </c>
      <c r="T478" t="s">
        <v>311</v>
      </c>
      <c r="U478">
        <v>4.8399980550342201E-3</v>
      </c>
      <c r="V478" t="s">
        <v>154</v>
      </c>
    </row>
    <row r="479" spans="9:22" x14ac:dyDescent="0.25">
      <c r="I479" t="s">
        <v>176</v>
      </c>
      <c r="J479" t="s">
        <v>312</v>
      </c>
      <c r="K479">
        <v>0</v>
      </c>
      <c r="L479" t="s">
        <v>154</v>
      </c>
      <c r="N479" t="s">
        <v>206</v>
      </c>
      <c r="O479" t="s">
        <v>312</v>
      </c>
      <c r="P479">
        <v>2.6145493196587342E-2</v>
      </c>
      <c r="Q479" t="s">
        <v>154</v>
      </c>
      <c r="S479" t="s">
        <v>237</v>
      </c>
      <c r="T479" t="s">
        <v>312</v>
      </c>
      <c r="U479">
        <v>2.4330247954888275E-2</v>
      </c>
      <c r="V479" t="s">
        <v>154</v>
      </c>
    </row>
    <row r="480" spans="9:22" x14ac:dyDescent="0.25">
      <c r="I480" t="s">
        <v>176</v>
      </c>
      <c r="J480" t="s">
        <v>157</v>
      </c>
      <c r="K480">
        <v>0</v>
      </c>
      <c r="L480" t="s">
        <v>154</v>
      </c>
      <c r="N480" t="s">
        <v>206</v>
      </c>
      <c r="O480" t="s">
        <v>157</v>
      </c>
      <c r="P480">
        <v>7.4232733133237465E-3</v>
      </c>
      <c r="Q480" t="s">
        <v>154</v>
      </c>
      <c r="S480" t="s">
        <v>237</v>
      </c>
      <c r="T480" t="s">
        <v>157</v>
      </c>
      <c r="U480">
        <v>9.6838590830068388E-3</v>
      </c>
      <c r="V480" t="s">
        <v>154</v>
      </c>
    </row>
    <row r="481" spans="9:22" x14ac:dyDescent="0.25">
      <c r="I481" t="s">
        <v>176</v>
      </c>
      <c r="J481" t="s">
        <v>158</v>
      </c>
      <c r="K481">
        <v>1.9207624590680962E-3</v>
      </c>
      <c r="L481" t="s">
        <v>154</v>
      </c>
      <c r="N481" t="s">
        <v>206</v>
      </c>
      <c r="O481" t="s">
        <v>158</v>
      </c>
      <c r="P481">
        <v>2.7958000353155875E-3</v>
      </c>
      <c r="Q481" t="s">
        <v>154</v>
      </c>
      <c r="S481" t="s">
        <v>237</v>
      </c>
      <c r="T481" t="s">
        <v>158</v>
      </c>
      <c r="U481">
        <v>2.8568800425775951E-3</v>
      </c>
      <c r="V481" t="s">
        <v>154</v>
      </c>
    </row>
    <row r="482" spans="9:22" x14ac:dyDescent="0.25">
      <c r="I482" t="s">
        <v>176</v>
      </c>
      <c r="J482" t="s">
        <v>159</v>
      </c>
      <c r="K482">
        <v>3.1080054060759481E-3</v>
      </c>
      <c r="L482" t="s">
        <v>154</v>
      </c>
      <c r="N482" t="s">
        <v>206</v>
      </c>
      <c r="O482" t="s">
        <v>159</v>
      </c>
      <c r="P482">
        <v>1.425438716392932E-3</v>
      </c>
      <c r="Q482" t="s">
        <v>154</v>
      </c>
      <c r="S482" t="s">
        <v>237</v>
      </c>
      <c r="T482" t="s">
        <v>159</v>
      </c>
      <c r="U482">
        <v>1.3624587526850185E-3</v>
      </c>
      <c r="V482" t="s">
        <v>154</v>
      </c>
    </row>
    <row r="483" spans="9:22" x14ac:dyDescent="0.25">
      <c r="I483" t="s">
        <v>176</v>
      </c>
      <c r="J483" t="s">
        <v>285</v>
      </c>
      <c r="K483">
        <v>2.0767929191835604E-2</v>
      </c>
      <c r="L483" t="s">
        <v>154</v>
      </c>
      <c r="N483" t="s">
        <v>206</v>
      </c>
      <c r="O483" t="s">
        <v>285</v>
      </c>
      <c r="P483">
        <v>1.7029657795061635E-2</v>
      </c>
      <c r="Q483" t="s">
        <v>154</v>
      </c>
      <c r="S483" t="s">
        <v>237</v>
      </c>
      <c r="T483" t="s">
        <v>285</v>
      </c>
      <c r="U483">
        <v>8.7538172294044456E-3</v>
      </c>
      <c r="V483" t="s">
        <v>154</v>
      </c>
    </row>
    <row r="484" spans="9:22" x14ac:dyDescent="0.25">
      <c r="I484" t="s">
        <v>176</v>
      </c>
      <c r="J484" t="s">
        <v>286</v>
      </c>
      <c r="K484">
        <v>1.0274198993160469E-3</v>
      </c>
      <c r="L484" t="s">
        <v>154</v>
      </c>
      <c r="N484" t="s">
        <v>206</v>
      </c>
      <c r="O484" t="s">
        <v>286</v>
      </c>
      <c r="P484">
        <v>2.1143047378450299E-3</v>
      </c>
      <c r="Q484" t="s">
        <v>154</v>
      </c>
      <c r="S484" t="s">
        <v>237</v>
      </c>
      <c r="T484" t="s">
        <v>286</v>
      </c>
      <c r="U484">
        <v>1.2387051758134709E-3</v>
      </c>
      <c r="V484" t="s">
        <v>154</v>
      </c>
    </row>
    <row r="485" spans="9:22" x14ac:dyDescent="0.25">
      <c r="I485" t="s">
        <v>176</v>
      </c>
      <c r="J485" t="s">
        <v>313</v>
      </c>
      <c r="K485">
        <v>0</v>
      </c>
      <c r="L485" t="s">
        <v>154</v>
      </c>
      <c r="N485" t="s">
        <v>206</v>
      </c>
      <c r="O485" t="s">
        <v>313</v>
      </c>
      <c r="P485">
        <v>1.7885310137023716E-3</v>
      </c>
      <c r="Q485" t="s">
        <v>154</v>
      </c>
      <c r="S485" t="s">
        <v>237</v>
      </c>
      <c r="T485" t="s">
        <v>313</v>
      </c>
      <c r="U485">
        <v>1.3359913905183791E-3</v>
      </c>
      <c r="V485" t="s">
        <v>154</v>
      </c>
    </row>
    <row r="486" spans="9:22" x14ac:dyDescent="0.25">
      <c r="I486" t="s">
        <v>176</v>
      </c>
      <c r="J486" t="s">
        <v>314</v>
      </c>
      <c r="K486">
        <v>0</v>
      </c>
      <c r="L486" t="s">
        <v>154</v>
      </c>
      <c r="N486" t="s">
        <v>206</v>
      </c>
      <c r="O486" t="s">
        <v>314</v>
      </c>
      <c r="P486">
        <v>6.9277634239146161E-3</v>
      </c>
      <c r="Q486" t="s">
        <v>154</v>
      </c>
      <c r="S486" t="s">
        <v>237</v>
      </c>
      <c r="T486" t="s">
        <v>314</v>
      </c>
      <c r="U486">
        <v>6.0832228616503918E-3</v>
      </c>
      <c r="V486" t="s">
        <v>154</v>
      </c>
    </row>
    <row r="487" spans="9:22" x14ac:dyDescent="0.25">
      <c r="I487" t="s">
        <v>176</v>
      </c>
      <c r="J487" t="s">
        <v>160</v>
      </c>
      <c r="K487">
        <v>2.1229760443426029E-2</v>
      </c>
      <c r="L487" t="s">
        <v>154</v>
      </c>
      <c r="N487" t="s">
        <v>206</v>
      </c>
      <c r="O487" t="s">
        <v>160</v>
      </c>
      <c r="P487">
        <v>0.14580310838931607</v>
      </c>
      <c r="Q487" t="s">
        <v>154</v>
      </c>
      <c r="S487" t="s">
        <v>237</v>
      </c>
      <c r="T487" t="s">
        <v>160</v>
      </c>
      <c r="U487">
        <v>0.18936130002269991</v>
      </c>
      <c r="V487" t="s">
        <v>154</v>
      </c>
    </row>
    <row r="488" spans="9:22" x14ac:dyDescent="0.25">
      <c r="I488" t="s">
        <v>176</v>
      </c>
      <c r="J488" t="s">
        <v>161</v>
      </c>
      <c r="K488">
        <v>9.7627990611872079E-2</v>
      </c>
      <c r="L488" t="s">
        <v>154</v>
      </c>
      <c r="N488" t="s">
        <v>206</v>
      </c>
      <c r="O488" t="s">
        <v>161</v>
      </c>
      <c r="P488">
        <v>3.4992377188497813E-2</v>
      </c>
      <c r="Q488" t="s">
        <v>154</v>
      </c>
      <c r="S488" t="s">
        <v>237</v>
      </c>
      <c r="T488" t="s">
        <v>161</v>
      </c>
      <c r="U488">
        <v>4.9244016089008018E-2</v>
      </c>
      <c r="V488" t="s">
        <v>154</v>
      </c>
    </row>
    <row r="489" spans="9:22" x14ac:dyDescent="0.25">
      <c r="I489" t="s">
        <v>176</v>
      </c>
      <c r="J489" t="s">
        <v>162</v>
      </c>
      <c r="K489">
        <v>7.0804354359153332E-2</v>
      </c>
      <c r="L489" t="s">
        <v>154</v>
      </c>
      <c r="N489" t="s">
        <v>206</v>
      </c>
      <c r="O489" t="s">
        <v>162</v>
      </c>
      <c r="P489">
        <v>2.0135263657879869E-2</v>
      </c>
      <c r="Q489" t="s">
        <v>154</v>
      </c>
      <c r="S489" t="s">
        <v>237</v>
      </c>
      <c r="T489" t="s">
        <v>162</v>
      </c>
      <c r="U489">
        <v>2.4782015527537296E-2</v>
      </c>
      <c r="V489" t="s">
        <v>154</v>
      </c>
    </row>
    <row r="490" spans="9:22" x14ac:dyDescent="0.25">
      <c r="I490" t="s">
        <v>176</v>
      </c>
      <c r="J490" t="s">
        <v>287</v>
      </c>
      <c r="K490">
        <v>0.50486480827897173</v>
      </c>
      <c r="L490" t="s">
        <v>154</v>
      </c>
      <c r="N490" t="s">
        <v>206</v>
      </c>
      <c r="O490" t="s">
        <v>287</v>
      </c>
      <c r="P490">
        <v>0.2216875753234839</v>
      </c>
      <c r="Q490" t="s">
        <v>154</v>
      </c>
      <c r="S490" t="s">
        <v>237</v>
      </c>
      <c r="T490" t="s">
        <v>287</v>
      </c>
      <c r="U490">
        <v>0.18074598986122287</v>
      </c>
      <c r="V490" t="s">
        <v>154</v>
      </c>
    </row>
    <row r="491" spans="9:22" x14ac:dyDescent="0.25">
      <c r="I491" t="s">
        <v>176</v>
      </c>
      <c r="J491" t="s">
        <v>288</v>
      </c>
      <c r="K491">
        <v>3.7774210438211442E-2</v>
      </c>
      <c r="L491" t="s">
        <v>154</v>
      </c>
      <c r="N491" t="s">
        <v>206</v>
      </c>
      <c r="O491" t="s">
        <v>288</v>
      </c>
      <c r="P491">
        <v>3.7750199478090669E-2</v>
      </c>
      <c r="Q491" t="s">
        <v>154</v>
      </c>
      <c r="S491" t="s">
        <v>237</v>
      </c>
      <c r="T491" t="s">
        <v>288</v>
      </c>
      <c r="U491">
        <v>2.6832496361151391E-2</v>
      </c>
      <c r="V491" t="s">
        <v>154</v>
      </c>
    </row>
    <row r="492" spans="9:22" x14ac:dyDescent="0.25">
      <c r="I492" t="s">
        <v>176</v>
      </c>
      <c r="J492" t="s">
        <v>315</v>
      </c>
      <c r="K492">
        <v>1.6170664304547246E-2</v>
      </c>
      <c r="L492" t="s">
        <v>154</v>
      </c>
      <c r="N492" t="s">
        <v>206</v>
      </c>
      <c r="O492" t="s">
        <v>315</v>
      </c>
      <c r="P492">
        <v>3.9452559337016281E-2</v>
      </c>
      <c r="Q492" t="s">
        <v>154</v>
      </c>
      <c r="S492" t="s">
        <v>237</v>
      </c>
      <c r="T492" t="s">
        <v>315</v>
      </c>
      <c r="U492">
        <v>2.5011399427718448E-2</v>
      </c>
      <c r="V492" t="s">
        <v>154</v>
      </c>
    </row>
    <row r="493" spans="9:22" x14ac:dyDescent="0.25">
      <c r="I493" t="s">
        <v>176</v>
      </c>
      <c r="J493" t="s">
        <v>316</v>
      </c>
      <c r="K493">
        <v>4.1224333886497348E-3</v>
      </c>
      <c r="L493" t="s">
        <v>154</v>
      </c>
      <c r="N493" t="s">
        <v>206</v>
      </c>
      <c r="O493" t="s">
        <v>316</v>
      </c>
      <c r="P493">
        <v>0.14076171743840316</v>
      </c>
      <c r="Q493" t="s">
        <v>154</v>
      </c>
      <c r="S493" t="s">
        <v>237</v>
      </c>
      <c r="T493" t="s">
        <v>316</v>
      </c>
      <c r="U493">
        <v>0.13134279673250027</v>
      </c>
      <c r="V493" t="s">
        <v>154</v>
      </c>
    </row>
    <row r="494" spans="9:22" x14ac:dyDescent="0.25">
      <c r="I494" t="s">
        <v>176</v>
      </c>
      <c r="J494" t="s">
        <v>163</v>
      </c>
      <c r="K494">
        <v>0</v>
      </c>
      <c r="L494" t="s">
        <v>154</v>
      </c>
      <c r="N494" t="s">
        <v>206</v>
      </c>
      <c r="O494" t="s">
        <v>163</v>
      </c>
      <c r="P494">
        <v>1.2247708985078865E-2</v>
      </c>
      <c r="Q494" t="s">
        <v>154</v>
      </c>
      <c r="S494" t="s">
        <v>237</v>
      </c>
      <c r="T494" t="s">
        <v>163</v>
      </c>
      <c r="U494">
        <v>1.4939796988047262E-2</v>
      </c>
      <c r="V494" t="s">
        <v>154</v>
      </c>
    </row>
    <row r="495" spans="9:22" x14ac:dyDescent="0.25">
      <c r="I495" t="s">
        <v>176</v>
      </c>
      <c r="J495" t="s">
        <v>164</v>
      </c>
      <c r="K495">
        <v>4.0589341714414896E-3</v>
      </c>
      <c r="L495" t="s">
        <v>154</v>
      </c>
      <c r="N495" t="s">
        <v>206</v>
      </c>
      <c r="O495" t="s">
        <v>164</v>
      </c>
      <c r="P495">
        <v>2.5393779885433537E-3</v>
      </c>
      <c r="Q495" t="s">
        <v>154</v>
      </c>
      <c r="S495" t="s">
        <v>237</v>
      </c>
      <c r="T495" t="s">
        <v>164</v>
      </c>
      <c r="U495">
        <v>3.8895617732994598E-3</v>
      </c>
      <c r="V495" t="s">
        <v>154</v>
      </c>
    </row>
    <row r="496" spans="9:22" x14ac:dyDescent="0.25">
      <c r="I496" t="s">
        <v>176</v>
      </c>
      <c r="J496" t="s">
        <v>165</v>
      </c>
      <c r="K496">
        <v>2.8578480520484286E-3</v>
      </c>
      <c r="L496" t="s">
        <v>154</v>
      </c>
      <c r="N496" t="s">
        <v>206</v>
      </c>
      <c r="O496" t="s">
        <v>165</v>
      </c>
      <c r="P496">
        <v>1.566964902230427E-3</v>
      </c>
      <c r="Q496" t="s">
        <v>154</v>
      </c>
      <c r="S496" t="s">
        <v>237</v>
      </c>
      <c r="T496" t="s">
        <v>165</v>
      </c>
      <c r="U496">
        <v>1.9785209767510525E-3</v>
      </c>
      <c r="V496" t="s">
        <v>154</v>
      </c>
    </row>
    <row r="497" spans="9:22" x14ac:dyDescent="0.25">
      <c r="I497" t="s">
        <v>176</v>
      </c>
      <c r="J497" t="s">
        <v>289</v>
      </c>
      <c r="K497">
        <v>1.6813499725316847E-2</v>
      </c>
      <c r="L497" t="s">
        <v>154</v>
      </c>
      <c r="N497" t="s">
        <v>206</v>
      </c>
      <c r="O497" t="s">
        <v>289</v>
      </c>
      <c r="P497">
        <v>1.0499432343140314E-2</v>
      </c>
      <c r="Q497" t="s">
        <v>154</v>
      </c>
      <c r="S497" t="s">
        <v>237</v>
      </c>
      <c r="T497" t="s">
        <v>289</v>
      </c>
      <c r="U497">
        <v>1.3825516552955261E-2</v>
      </c>
      <c r="V497" t="s">
        <v>154</v>
      </c>
    </row>
    <row r="498" spans="9:22" x14ac:dyDescent="0.25">
      <c r="I498" t="s">
        <v>176</v>
      </c>
      <c r="J498" t="s">
        <v>290</v>
      </c>
      <c r="K498">
        <v>0</v>
      </c>
      <c r="L498" t="s">
        <v>154</v>
      </c>
      <c r="N498" t="s">
        <v>206</v>
      </c>
      <c r="O498" t="s">
        <v>290</v>
      </c>
      <c r="P498">
        <v>1.2916023917809104E-3</v>
      </c>
      <c r="Q498" t="s">
        <v>154</v>
      </c>
      <c r="S498" t="s">
        <v>237</v>
      </c>
      <c r="T498" t="s">
        <v>290</v>
      </c>
      <c r="U498">
        <v>2.0754813808255565E-3</v>
      </c>
      <c r="V498" t="s">
        <v>154</v>
      </c>
    </row>
    <row r="499" spans="9:22" x14ac:dyDescent="0.25">
      <c r="I499" t="s">
        <v>176</v>
      </c>
      <c r="J499" t="s">
        <v>317</v>
      </c>
      <c r="K499">
        <v>0</v>
      </c>
      <c r="L499" t="s">
        <v>154</v>
      </c>
      <c r="N499" t="s">
        <v>206</v>
      </c>
      <c r="O499" t="s">
        <v>317</v>
      </c>
      <c r="P499">
        <v>1.2824470454086501E-3</v>
      </c>
      <c r="Q499" t="s">
        <v>154</v>
      </c>
      <c r="S499" t="s">
        <v>237</v>
      </c>
      <c r="T499" t="s">
        <v>317</v>
      </c>
      <c r="U499">
        <v>1.8868325677605263E-3</v>
      </c>
      <c r="V499" t="s">
        <v>154</v>
      </c>
    </row>
    <row r="500" spans="9:22" x14ac:dyDescent="0.25">
      <c r="I500" t="s">
        <v>176</v>
      </c>
      <c r="J500" t="s">
        <v>318</v>
      </c>
      <c r="K500">
        <v>0</v>
      </c>
      <c r="L500" t="s">
        <v>154</v>
      </c>
      <c r="N500" t="s">
        <v>206</v>
      </c>
      <c r="O500" t="s">
        <v>318</v>
      </c>
      <c r="P500">
        <v>6.8408553210055987E-3</v>
      </c>
      <c r="Q500" t="s">
        <v>154</v>
      </c>
      <c r="S500" t="s">
        <v>237</v>
      </c>
      <c r="T500" t="s">
        <v>318</v>
      </c>
      <c r="U500">
        <v>9.930756239506509E-3</v>
      </c>
      <c r="V500" t="s">
        <v>154</v>
      </c>
    </row>
    <row r="501" spans="9:22" x14ac:dyDescent="0.25">
      <c r="I501" t="s">
        <v>176</v>
      </c>
      <c r="J501" t="s">
        <v>297</v>
      </c>
      <c r="K501">
        <v>0</v>
      </c>
      <c r="L501" t="s">
        <v>154</v>
      </c>
      <c r="N501" t="s">
        <v>206</v>
      </c>
      <c r="O501" t="s">
        <v>297</v>
      </c>
      <c r="P501">
        <v>1.0965606757999397E-2</v>
      </c>
      <c r="Q501" t="s">
        <v>154</v>
      </c>
      <c r="S501" t="s">
        <v>237</v>
      </c>
      <c r="T501" t="s">
        <v>297</v>
      </c>
      <c r="U501">
        <v>1.8242252189986045E-2</v>
      </c>
      <c r="V501" t="s">
        <v>154</v>
      </c>
    </row>
    <row r="502" spans="9:22" x14ac:dyDescent="0.25">
      <c r="I502" t="s">
        <v>176</v>
      </c>
      <c r="J502" t="s">
        <v>298</v>
      </c>
      <c r="K502">
        <v>7.2945962390200533E-3</v>
      </c>
      <c r="L502" t="s">
        <v>154</v>
      </c>
      <c r="N502" t="s">
        <v>206</v>
      </c>
      <c r="O502" t="s">
        <v>298</v>
      </c>
      <c r="P502">
        <v>2.3599271814110346E-3</v>
      </c>
      <c r="Q502" t="s">
        <v>154</v>
      </c>
      <c r="S502" t="s">
        <v>237</v>
      </c>
      <c r="T502" t="s">
        <v>298</v>
      </c>
      <c r="U502">
        <v>5.5080300492839334E-3</v>
      </c>
      <c r="V502" t="s">
        <v>154</v>
      </c>
    </row>
    <row r="503" spans="9:22" x14ac:dyDescent="0.25">
      <c r="I503" t="s">
        <v>176</v>
      </c>
      <c r="J503" t="s">
        <v>299</v>
      </c>
      <c r="K503">
        <v>6.9084473088375604E-3</v>
      </c>
      <c r="L503" t="s">
        <v>154</v>
      </c>
      <c r="N503" t="s">
        <v>206</v>
      </c>
      <c r="O503" t="s">
        <v>299</v>
      </c>
      <c r="P503">
        <v>8.5902055242110121E-4</v>
      </c>
      <c r="Q503" t="s">
        <v>154</v>
      </c>
      <c r="S503" t="s">
        <v>237</v>
      </c>
      <c r="T503" t="s">
        <v>299</v>
      </c>
      <c r="U503">
        <v>2.7267060404734425E-3</v>
      </c>
      <c r="V503" t="s">
        <v>154</v>
      </c>
    </row>
    <row r="504" spans="9:22" x14ac:dyDescent="0.25">
      <c r="I504" t="s">
        <v>176</v>
      </c>
      <c r="J504" t="s">
        <v>300</v>
      </c>
      <c r="K504">
        <v>4.1546104232450969E-2</v>
      </c>
      <c r="L504" t="s">
        <v>154</v>
      </c>
      <c r="N504" t="s">
        <v>206</v>
      </c>
      <c r="O504" t="s">
        <v>300</v>
      </c>
      <c r="P504">
        <v>1.1329397904286768E-2</v>
      </c>
      <c r="Q504" t="s">
        <v>154</v>
      </c>
      <c r="S504" t="s">
        <v>237</v>
      </c>
      <c r="T504" t="s">
        <v>300</v>
      </c>
      <c r="U504">
        <v>1.9218061820435815E-2</v>
      </c>
      <c r="V504" t="s">
        <v>154</v>
      </c>
    </row>
    <row r="505" spans="9:22" x14ac:dyDescent="0.25">
      <c r="I505" t="s">
        <v>176</v>
      </c>
      <c r="J505" t="s">
        <v>301</v>
      </c>
      <c r="K505">
        <v>0</v>
      </c>
      <c r="L505" t="s">
        <v>154</v>
      </c>
      <c r="N505" t="s">
        <v>206</v>
      </c>
      <c r="O505" t="s">
        <v>301</v>
      </c>
      <c r="P505">
        <v>2.5311432552456558E-3</v>
      </c>
      <c r="Q505" t="s">
        <v>154</v>
      </c>
      <c r="S505" t="s">
        <v>237</v>
      </c>
      <c r="T505" t="s">
        <v>301</v>
      </c>
      <c r="U505">
        <v>2.7681525875790196E-3</v>
      </c>
      <c r="V505" t="s">
        <v>154</v>
      </c>
    </row>
    <row r="506" spans="9:22" x14ac:dyDescent="0.25">
      <c r="I506" t="s">
        <v>176</v>
      </c>
      <c r="J506" t="s">
        <v>319</v>
      </c>
      <c r="K506">
        <v>0</v>
      </c>
      <c r="L506" t="s">
        <v>154</v>
      </c>
      <c r="N506" t="s">
        <v>206</v>
      </c>
      <c r="O506" t="s">
        <v>319</v>
      </c>
      <c r="P506">
        <v>2.976229455113492E-3</v>
      </c>
      <c r="Q506" t="s">
        <v>154</v>
      </c>
      <c r="S506" t="s">
        <v>237</v>
      </c>
      <c r="T506" t="s">
        <v>319</v>
      </c>
      <c r="U506">
        <v>2.7389540274602806E-3</v>
      </c>
      <c r="V506" t="s">
        <v>154</v>
      </c>
    </row>
    <row r="507" spans="9:22" x14ac:dyDescent="0.25">
      <c r="I507" t="s">
        <v>176</v>
      </c>
      <c r="J507" t="s">
        <v>320</v>
      </c>
      <c r="K507">
        <v>0</v>
      </c>
      <c r="L507" t="s">
        <v>154</v>
      </c>
      <c r="N507" t="s">
        <v>206</v>
      </c>
      <c r="O507" t="s">
        <v>320</v>
      </c>
      <c r="P507">
        <v>9.9614817279691011E-3</v>
      </c>
      <c r="Q507" t="s">
        <v>154</v>
      </c>
      <c r="S507" t="s">
        <v>237</v>
      </c>
      <c r="T507" t="s">
        <v>320</v>
      </c>
      <c r="U507">
        <v>1.3516877453572843E-2</v>
      </c>
      <c r="V507" t="s">
        <v>154</v>
      </c>
    </row>
    <row r="508" spans="9:22" x14ac:dyDescent="0.25">
      <c r="I508" t="s">
        <v>176</v>
      </c>
      <c r="J508" t="s">
        <v>302</v>
      </c>
      <c r="K508">
        <v>0</v>
      </c>
      <c r="L508" t="s">
        <v>154</v>
      </c>
      <c r="N508" t="s">
        <v>206</v>
      </c>
      <c r="O508" t="s">
        <v>302</v>
      </c>
      <c r="P508">
        <v>3.1921987752549688E-2</v>
      </c>
      <c r="Q508" t="s">
        <v>154</v>
      </c>
      <c r="S508" t="s">
        <v>237</v>
      </c>
      <c r="T508" t="s">
        <v>302</v>
      </c>
      <c r="U508">
        <v>3.4097386358057188E-2</v>
      </c>
      <c r="V508" t="s">
        <v>154</v>
      </c>
    </row>
    <row r="509" spans="9:22" x14ac:dyDescent="0.25">
      <c r="I509" t="s">
        <v>176</v>
      </c>
      <c r="J509" t="s">
        <v>303</v>
      </c>
      <c r="K509">
        <v>4.7315517542085659E-3</v>
      </c>
      <c r="L509" t="s">
        <v>154</v>
      </c>
      <c r="N509" t="s">
        <v>206</v>
      </c>
      <c r="O509" t="s">
        <v>303</v>
      </c>
      <c r="P509">
        <v>7.1952429892127769E-3</v>
      </c>
      <c r="Q509" t="s">
        <v>154</v>
      </c>
      <c r="S509" t="s">
        <v>237</v>
      </c>
      <c r="T509" t="s">
        <v>303</v>
      </c>
      <c r="U509">
        <v>9.6099798251753875E-3</v>
      </c>
      <c r="V509" t="s">
        <v>154</v>
      </c>
    </row>
    <row r="510" spans="9:22" x14ac:dyDescent="0.25">
      <c r="I510" t="s">
        <v>176</v>
      </c>
      <c r="J510" t="s">
        <v>304</v>
      </c>
      <c r="K510">
        <v>7.6100381019831775E-3</v>
      </c>
      <c r="L510" t="s">
        <v>154</v>
      </c>
      <c r="N510" t="s">
        <v>206</v>
      </c>
      <c r="O510" t="s">
        <v>304</v>
      </c>
      <c r="P510">
        <v>2.7275651531717591E-3</v>
      </c>
      <c r="Q510" t="s">
        <v>154</v>
      </c>
      <c r="S510" t="s">
        <v>237</v>
      </c>
      <c r="T510" t="s">
        <v>304</v>
      </c>
      <c r="U510">
        <v>4.6569360894246799E-3</v>
      </c>
      <c r="V510" t="s">
        <v>154</v>
      </c>
    </row>
    <row r="511" spans="9:22" x14ac:dyDescent="0.25">
      <c r="I511" t="s">
        <v>176</v>
      </c>
      <c r="J511" t="s">
        <v>305</v>
      </c>
      <c r="K511">
        <v>5.1527100351172639E-2</v>
      </c>
      <c r="L511" t="s">
        <v>154</v>
      </c>
      <c r="N511" t="s">
        <v>206</v>
      </c>
      <c r="O511" t="s">
        <v>305</v>
      </c>
      <c r="P511">
        <v>3.1687214322065983E-2</v>
      </c>
      <c r="Q511" t="s">
        <v>154</v>
      </c>
      <c r="S511" t="s">
        <v>237</v>
      </c>
      <c r="T511" t="s">
        <v>305</v>
      </c>
      <c r="U511">
        <v>3.5280345442343888E-2</v>
      </c>
      <c r="V511" t="s">
        <v>154</v>
      </c>
    </row>
    <row r="512" spans="9:22" x14ac:dyDescent="0.25">
      <c r="I512" t="s">
        <v>176</v>
      </c>
      <c r="J512" t="s">
        <v>306</v>
      </c>
      <c r="K512">
        <v>0</v>
      </c>
      <c r="L512" t="s">
        <v>154</v>
      </c>
      <c r="N512" t="s">
        <v>206</v>
      </c>
      <c r="O512" t="s">
        <v>306</v>
      </c>
      <c r="P512">
        <v>6.2241363938599793E-3</v>
      </c>
      <c r="Q512" t="s">
        <v>154</v>
      </c>
      <c r="S512" t="s">
        <v>237</v>
      </c>
      <c r="T512" t="s">
        <v>306</v>
      </c>
      <c r="U512">
        <v>5.3304439372457661E-3</v>
      </c>
      <c r="V512" t="s">
        <v>154</v>
      </c>
    </row>
    <row r="513" spans="9:22" x14ac:dyDescent="0.25">
      <c r="I513" t="s">
        <v>176</v>
      </c>
      <c r="J513" t="s">
        <v>321</v>
      </c>
      <c r="K513">
        <v>0</v>
      </c>
      <c r="L513" t="s">
        <v>154</v>
      </c>
      <c r="N513" t="s">
        <v>206</v>
      </c>
      <c r="O513" t="s">
        <v>321</v>
      </c>
      <c r="P513">
        <v>6.413835465829497E-3</v>
      </c>
      <c r="Q513" t="s">
        <v>154</v>
      </c>
      <c r="S513" t="s">
        <v>237</v>
      </c>
      <c r="T513" t="s">
        <v>321</v>
      </c>
      <c r="U513">
        <v>5.304270886558435E-3</v>
      </c>
      <c r="V513" t="s">
        <v>154</v>
      </c>
    </row>
    <row r="514" spans="9:22" x14ac:dyDescent="0.25">
      <c r="I514" t="s">
        <v>176</v>
      </c>
      <c r="J514" t="s">
        <v>322</v>
      </c>
      <c r="K514">
        <v>0</v>
      </c>
      <c r="L514" t="s">
        <v>154</v>
      </c>
      <c r="N514" t="s">
        <v>206</v>
      </c>
      <c r="O514" t="s">
        <v>322</v>
      </c>
      <c r="P514">
        <v>3.2045738084469859E-2</v>
      </c>
      <c r="Q514" t="s">
        <v>154</v>
      </c>
      <c r="S514" t="s">
        <v>237</v>
      </c>
      <c r="T514" t="s">
        <v>322</v>
      </c>
      <c r="U514">
        <v>2.4559074917759171E-2</v>
      </c>
      <c r="V514" t="s">
        <v>154</v>
      </c>
    </row>
    <row r="515" spans="9:22" x14ac:dyDescent="0.25">
      <c r="I515" t="s">
        <v>177</v>
      </c>
      <c r="J515" t="s">
        <v>153</v>
      </c>
      <c r="K515">
        <v>0</v>
      </c>
      <c r="L515" t="s">
        <v>154</v>
      </c>
      <c r="N515" t="s">
        <v>207</v>
      </c>
      <c r="O515" t="s">
        <v>153</v>
      </c>
      <c r="P515">
        <v>3.5953709288797514E-2</v>
      </c>
      <c r="Q515" t="s">
        <v>154</v>
      </c>
      <c r="S515" t="s">
        <v>238</v>
      </c>
      <c r="T515" t="s">
        <v>153</v>
      </c>
      <c r="U515">
        <v>3.5905043367206874E-2</v>
      </c>
      <c r="V515" t="s">
        <v>154</v>
      </c>
    </row>
    <row r="516" spans="9:22" x14ac:dyDescent="0.25">
      <c r="I516" t="s">
        <v>177</v>
      </c>
      <c r="J516" t="s">
        <v>155</v>
      </c>
      <c r="K516">
        <v>6.5287455898866619E-3</v>
      </c>
      <c r="L516" t="s">
        <v>154</v>
      </c>
      <c r="N516" t="s">
        <v>207</v>
      </c>
      <c r="O516" t="s">
        <v>155</v>
      </c>
      <c r="P516">
        <v>1.0508856464130988E-2</v>
      </c>
      <c r="Q516" t="s">
        <v>154</v>
      </c>
      <c r="S516" t="s">
        <v>238</v>
      </c>
      <c r="T516" t="s">
        <v>155</v>
      </c>
      <c r="U516">
        <v>9.2798347983088503E-3</v>
      </c>
      <c r="V516" t="s">
        <v>154</v>
      </c>
    </row>
    <row r="517" spans="9:22" x14ac:dyDescent="0.25">
      <c r="I517" t="s">
        <v>177</v>
      </c>
      <c r="J517" t="s">
        <v>156</v>
      </c>
      <c r="K517">
        <v>1.0433227288559133E-2</v>
      </c>
      <c r="L517" t="s">
        <v>154</v>
      </c>
      <c r="N517" t="s">
        <v>207</v>
      </c>
      <c r="O517" t="s">
        <v>156</v>
      </c>
      <c r="P517">
        <v>4.5002729067636837E-3</v>
      </c>
      <c r="Q517" t="s">
        <v>154</v>
      </c>
      <c r="S517" t="s">
        <v>238</v>
      </c>
      <c r="T517" t="s">
        <v>156</v>
      </c>
      <c r="U517">
        <v>4.5831376963364253E-3</v>
      </c>
      <c r="V517" t="s">
        <v>154</v>
      </c>
    </row>
    <row r="518" spans="9:22" x14ac:dyDescent="0.25">
      <c r="I518" t="s">
        <v>177</v>
      </c>
      <c r="J518" t="s">
        <v>283</v>
      </c>
      <c r="K518">
        <v>7.2636093835564089E-2</v>
      </c>
      <c r="L518" t="s">
        <v>154</v>
      </c>
      <c r="N518" t="s">
        <v>207</v>
      </c>
      <c r="O518" t="s">
        <v>283</v>
      </c>
      <c r="P518">
        <v>2.6493286461604818E-2</v>
      </c>
      <c r="Q518" t="s">
        <v>154</v>
      </c>
      <c r="S518" t="s">
        <v>238</v>
      </c>
      <c r="T518" t="s">
        <v>283</v>
      </c>
      <c r="U518">
        <v>3.5345343659981564E-2</v>
      </c>
      <c r="V518" t="s">
        <v>154</v>
      </c>
    </row>
    <row r="519" spans="9:22" x14ac:dyDescent="0.25">
      <c r="I519" t="s">
        <v>177</v>
      </c>
      <c r="J519" t="s">
        <v>284</v>
      </c>
      <c r="K519">
        <v>0</v>
      </c>
      <c r="L519" t="s">
        <v>154</v>
      </c>
      <c r="N519" t="s">
        <v>207</v>
      </c>
      <c r="O519" t="s">
        <v>284</v>
      </c>
      <c r="P519">
        <v>3.7160516921583117E-3</v>
      </c>
      <c r="Q519" t="s">
        <v>154</v>
      </c>
      <c r="S519" t="s">
        <v>238</v>
      </c>
      <c r="T519" t="s">
        <v>284</v>
      </c>
      <c r="U519">
        <v>5.4724299137034905E-3</v>
      </c>
      <c r="V519" t="s">
        <v>154</v>
      </c>
    </row>
    <row r="520" spans="9:22" x14ac:dyDescent="0.25">
      <c r="I520" t="s">
        <v>177</v>
      </c>
      <c r="J520" t="s">
        <v>311</v>
      </c>
      <c r="K520">
        <v>0</v>
      </c>
      <c r="L520" t="s">
        <v>154</v>
      </c>
      <c r="N520" t="s">
        <v>207</v>
      </c>
      <c r="O520" t="s">
        <v>311</v>
      </c>
      <c r="P520">
        <v>4.1495302442420253E-3</v>
      </c>
      <c r="Q520" t="s">
        <v>154</v>
      </c>
      <c r="S520" t="s">
        <v>238</v>
      </c>
      <c r="T520" t="s">
        <v>311</v>
      </c>
      <c r="U520">
        <v>5.2422598969679955E-3</v>
      </c>
      <c r="V520" t="s">
        <v>154</v>
      </c>
    </row>
    <row r="521" spans="9:22" x14ac:dyDescent="0.25">
      <c r="I521" t="s">
        <v>177</v>
      </c>
      <c r="J521" t="s">
        <v>312</v>
      </c>
      <c r="K521">
        <v>0</v>
      </c>
      <c r="L521" t="s">
        <v>154</v>
      </c>
      <c r="N521" t="s">
        <v>207</v>
      </c>
      <c r="O521" t="s">
        <v>312</v>
      </c>
      <c r="P521">
        <v>2.0674933919433893E-2</v>
      </c>
      <c r="Q521" t="s">
        <v>154</v>
      </c>
      <c r="S521" t="s">
        <v>238</v>
      </c>
      <c r="T521" t="s">
        <v>312</v>
      </c>
      <c r="U521">
        <v>2.5209589237364907E-2</v>
      </c>
      <c r="V521" t="s">
        <v>154</v>
      </c>
    </row>
    <row r="522" spans="9:22" x14ac:dyDescent="0.25">
      <c r="I522" t="s">
        <v>177</v>
      </c>
      <c r="J522" t="s">
        <v>157</v>
      </c>
      <c r="K522">
        <v>0</v>
      </c>
      <c r="L522" t="s">
        <v>154</v>
      </c>
      <c r="N522" t="s">
        <v>207</v>
      </c>
      <c r="O522" t="s">
        <v>157</v>
      </c>
      <c r="P522">
        <v>6.9744283128905273E-3</v>
      </c>
      <c r="Q522" t="s">
        <v>154</v>
      </c>
      <c r="S522" t="s">
        <v>238</v>
      </c>
      <c r="T522" t="s">
        <v>157</v>
      </c>
      <c r="U522">
        <v>9.8409268267347517E-3</v>
      </c>
      <c r="V522" t="s">
        <v>154</v>
      </c>
    </row>
    <row r="523" spans="9:22" x14ac:dyDescent="0.25">
      <c r="I523" t="s">
        <v>177</v>
      </c>
      <c r="J523" t="s">
        <v>158</v>
      </c>
      <c r="K523">
        <v>2.8166713644151176E-3</v>
      </c>
      <c r="L523" t="s">
        <v>154</v>
      </c>
      <c r="N523" t="s">
        <v>207</v>
      </c>
      <c r="O523" t="s">
        <v>158</v>
      </c>
      <c r="P523">
        <v>2.2853023854882294E-3</v>
      </c>
      <c r="Q523" t="s">
        <v>154</v>
      </c>
      <c r="S523" t="s">
        <v>238</v>
      </c>
      <c r="T523" t="s">
        <v>158</v>
      </c>
      <c r="U523">
        <v>3.0758987333929775E-3</v>
      </c>
      <c r="V523" t="s">
        <v>154</v>
      </c>
    </row>
    <row r="524" spans="9:22" x14ac:dyDescent="0.25">
      <c r="I524" t="s">
        <v>177</v>
      </c>
      <c r="J524" t="s">
        <v>159</v>
      </c>
      <c r="K524">
        <v>3.6567183277774109E-3</v>
      </c>
      <c r="L524" t="s">
        <v>154</v>
      </c>
      <c r="N524" t="s">
        <v>207</v>
      </c>
      <c r="O524" t="s">
        <v>159</v>
      </c>
      <c r="P524">
        <v>1.1406816131725192E-3</v>
      </c>
      <c r="Q524" t="s">
        <v>154</v>
      </c>
      <c r="S524" t="s">
        <v>238</v>
      </c>
      <c r="T524" t="s">
        <v>159</v>
      </c>
      <c r="U524">
        <v>1.4676280428675666E-3</v>
      </c>
      <c r="V524" t="s">
        <v>154</v>
      </c>
    </row>
    <row r="525" spans="9:22" x14ac:dyDescent="0.25">
      <c r="I525" t="s">
        <v>177</v>
      </c>
      <c r="J525" t="s">
        <v>285</v>
      </c>
      <c r="K525">
        <v>2.1278226558655917E-2</v>
      </c>
      <c r="L525" t="s">
        <v>154</v>
      </c>
      <c r="N525" t="s">
        <v>207</v>
      </c>
      <c r="O525" t="s">
        <v>285</v>
      </c>
      <c r="P525">
        <v>9.7330141450629425E-3</v>
      </c>
      <c r="Q525" t="s">
        <v>154</v>
      </c>
      <c r="S525" t="s">
        <v>238</v>
      </c>
      <c r="T525" t="s">
        <v>285</v>
      </c>
      <c r="U525">
        <v>9.0261000869438796E-3</v>
      </c>
      <c r="V525" t="s">
        <v>154</v>
      </c>
    </row>
    <row r="526" spans="9:22" x14ac:dyDescent="0.25">
      <c r="I526" t="s">
        <v>177</v>
      </c>
      <c r="J526" t="s">
        <v>286</v>
      </c>
      <c r="K526">
        <v>1.1887224023030248E-3</v>
      </c>
      <c r="L526" t="s">
        <v>154</v>
      </c>
      <c r="N526" t="s">
        <v>207</v>
      </c>
      <c r="O526" t="s">
        <v>286</v>
      </c>
      <c r="P526">
        <v>1.6886094378448869E-3</v>
      </c>
      <c r="Q526" t="s">
        <v>154</v>
      </c>
      <c r="S526" t="s">
        <v>238</v>
      </c>
      <c r="T526" t="s">
        <v>286</v>
      </c>
      <c r="U526">
        <v>1.241642702515865E-3</v>
      </c>
      <c r="V526" t="s">
        <v>154</v>
      </c>
    </row>
    <row r="527" spans="9:22" x14ac:dyDescent="0.25">
      <c r="I527" t="s">
        <v>177</v>
      </c>
      <c r="J527" t="s">
        <v>313</v>
      </c>
      <c r="K527">
        <v>0</v>
      </c>
      <c r="L527" t="s">
        <v>154</v>
      </c>
      <c r="N527" t="s">
        <v>207</v>
      </c>
      <c r="O527" t="s">
        <v>313</v>
      </c>
      <c r="P527">
        <v>1.7027735334835998E-3</v>
      </c>
      <c r="Q527" t="s">
        <v>154</v>
      </c>
      <c r="S527" t="s">
        <v>238</v>
      </c>
      <c r="T527" t="s">
        <v>313</v>
      </c>
      <c r="U527">
        <v>1.2632654043836743E-3</v>
      </c>
      <c r="V527" t="s">
        <v>154</v>
      </c>
    </row>
    <row r="528" spans="9:22" x14ac:dyDescent="0.25">
      <c r="I528" t="s">
        <v>177</v>
      </c>
      <c r="J528" t="s">
        <v>314</v>
      </c>
      <c r="K528">
        <v>0</v>
      </c>
      <c r="L528" t="s">
        <v>154</v>
      </c>
      <c r="N528" t="s">
        <v>207</v>
      </c>
      <c r="O528" t="s">
        <v>314</v>
      </c>
      <c r="P528">
        <v>6.4682054049684402E-3</v>
      </c>
      <c r="Q528" t="s">
        <v>154</v>
      </c>
      <c r="S528" t="s">
        <v>238</v>
      </c>
      <c r="T528" t="s">
        <v>314</v>
      </c>
      <c r="U528">
        <v>6.4060531838490489E-3</v>
      </c>
      <c r="V528" t="s">
        <v>154</v>
      </c>
    </row>
    <row r="529" spans="9:22" x14ac:dyDescent="0.25">
      <c r="I529" t="s">
        <v>177</v>
      </c>
      <c r="J529" t="s">
        <v>160</v>
      </c>
      <c r="K529">
        <v>1.771100923051502E-2</v>
      </c>
      <c r="L529" t="s">
        <v>154</v>
      </c>
      <c r="N529" t="s">
        <v>207</v>
      </c>
      <c r="O529" t="s">
        <v>160</v>
      </c>
      <c r="P529">
        <v>0.1913545118050114</v>
      </c>
      <c r="Q529" t="s">
        <v>154</v>
      </c>
      <c r="S529" t="s">
        <v>238</v>
      </c>
      <c r="T529" t="s">
        <v>160</v>
      </c>
      <c r="U529">
        <v>0.18881374939549719</v>
      </c>
      <c r="V529" t="s">
        <v>154</v>
      </c>
    </row>
    <row r="530" spans="9:22" x14ac:dyDescent="0.25">
      <c r="I530" t="s">
        <v>177</v>
      </c>
      <c r="J530" t="s">
        <v>161</v>
      </c>
      <c r="K530">
        <v>9.1431961776321846E-2</v>
      </c>
      <c r="L530" t="s">
        <v>154</v>
      </c>
      <c r="N530" t="s">
        <v>207</v>
      </c>
      <c r="O530" t="s">
        <v>161</v>
      </c>
      <c r="P530">
        <v>4.3801976588869924E-2</v>
      </c>
      <c r="Q530" t="s">
        <v>154</v>
      </c>
      <c r="S530" t="s">
        <v>238</v>
      </c>
      <c r="T530" t="s">
        <v>161</v>
      </c>
      <c r="U530">
        <v>4.5871048400004777E-2</v>
      </c>
      <c r="V530" t="s">
        <v>154</v>
      </c>
    </row>
    <row r="531" spans="9:22" x14ac:dyDescent="0.25">
      <c r="I531" t="s">
        <v>177</v>
      </c>
      <c r="J531" t="s">
        <v>162</v>
      </c>
      <c r="K531">
        <v>6.8132280878241122E-2</v>
      </c>
      <c r="L531" t="s">
        <v>154</v>
      </c>
      <c r="N531" t="s">
        <v>207</v>
      </c>
      <c r="O531" t="s">
        <v>162</v>
      </c>
      <c r="P531">
        <v>2.2183312166914774E-2</v>
      </c>
      <c r="Q531" t="s">
        <v>154</v>
      </c>
      <c r="S531" t="s">
        <v>238</v>
      </c>
      <c r="T531" t="s">
        <v>162</v>
      </c>
      <c r="U531">
        <v>2.2684759217983561E-2</v>
      </c>
      <c r="V531" t="s">
        <v>154</v>
      </c>
    </row>
    <row r="532" spans="9:22" x14ac:dyDescent="0.25">
      <c r="I532" t="s">
        <v>177</v>
      </c>
      <c r="J532" t="s">
        <v>287</v>
      </c>
      <c r="K532">
        <v>0.49273890584506586</v>
      </c>
      <c r="L532" t="s">
        <v>154</v>
      </c>
      <c r="N532" t="s">
        <v>207</v>
      </c>
      <c r="O532" t="s">
        <v>287</v>
      </c>
      <c r="P532">
        <v>0.18317663770674511</v>
      </c>
      <c r="Q532" t="s">
        <v>154</v>
      </c>
      <c r="S532" t="s">
        <v>238</v>
      </c>
      <c r="T532" t="s">
        <v>287</v>
      </c>
      <c r="U532">
        <v>0.16176915680693829</v>
      </c>
      <c r="V532" t="s">
        <v>154</v>
      </c>
    </row>
    <row r="533" spans="9:22" x14ac:dyDescent="0.25">
      <c r="I533" t="s">
        <v>177</v>
      </c>
      <c r="J533" t="s">
        <v>288</v>
      </c>
      <c r="K533">
        <v>3.5610595574464401E-2</v>
      </c>
      <c r="L533" t="s">
        <v>154</v>
      </c>
      <c r="N533" t="s">
        <v>207</v>
      </c>
      <c r="O533" t="s">
        <v>288</v>
      </c>
      <c r="P533">
        <v>3.156971723275416E-2</v>
      </c>
      <c r="Q533" t="s">
        <v>154</v>
      </c>
      <c r="S533" t="s">
        <v>238</v>
      </c>
      <c r="T533" t="s">
        <v>288</v>
      </c>
      <c r="U533">
        <v>2.5231066595191715E-2</v>
      </c>
      <c r="V533" t="s">
        <v>154</v>
      </c>
    </row>
    <row r="534" spans="9:22" x14ac:dyDescent="0.25">
      <c r="I534" t="s">
        <v>177</v>
      </c>
      <c r="J534" t="s">
        <v>315</v>
      </c>
      <c r="K534">
        <v>1.3874948356667761E-2</v>
      </c>
      <c r="L534" t="s">
        <v>154</v>
      </c>
      <c r="N534" t="s">
        <v>207</v>
      </c>
      <c r="O534" t="s">
        <v>315</v>
      </c>
      <c r="P534">
        <v>3.3285433877431228E-2</v>
      </c>
      <c r="Q534" t="s">
        <v>154</v>
      </c>
      <c r="S534" t="s">
        <v>238</v>
      </c>
      <c r="T534" t="s">
        <v>315</v>
      </c>
      <c r="U534">
        <v>2.2987455957025945E-2</v>
      </c>
      <c r="V534" t="s">
        <v>154</v>
      </c>
    </row>
    <row r="535" spans="9:22" x14ac:dyDescent="0.25">
      <c r="I535" t="s">
        <v>177</v>
      </c>
      <c r="J535" t="s">
        <v>316</v>
      </c>
      <c r="K535">
        <v>2.9810880817956603E-3</v>
      </c>
      <c r="L535" t="s">
        <v>154</v>
      </c>
      <c r="N535" t="s">
        <v>207</v>
      </c>
      <c r="O535" t="s">
        <v>316</v>
      </c>
      <c r="P535">
        <v>0.15085396422701139</v>
      </c>
      <c r="Q535" t="s">
        <v>154</v>
      </c>
      <c r="S535" t="s">
        <v>238</v>
      </c>
      <c r="T535" t="s">
        <v>316</v>
      </c>
      <c r="U535">
        <v>0.12596340036394391</v>
      </c>
      <c r="V535" t="s">
        <v>154</v>
      </c>
    </row>
    <row r="536" spans="9:22" x14ac:dyDescent="0.25">
      <c r="I536" t="s">
        <v>177</v>
      </c>
      <c r="J536" t="s">
        <v>163</v>
      </c>
      <c r="K536">
        <v>0</v>
      </c>
      <c r="L536" t="s">
        <v>154</v>
      </c>
      <c r="N536" t="s">
        <v>207</v>
      </c>
      <c r="O536" t="s">
        <v>163</v>
      </c>
      <c r="P536">
        <v>1.337068274596862E-2</v>
      </c>
      <c r="Q536" t="s">
        <v>154</v>
      </c>
      <c r="S536" t="s">
        <v>238</v>
      </c>
      <c r="T536" t="s">
        <v>163</v>
      </c>
      <c r="U536">
        <v>1.394497556063308E-2</v>
      </c>
      <c r="V536" t="s">
        <v>154</v>
      </c>
    </row>
    <row r="537" spans="9:22" x14ac:dyDescent="0.25">
      <c r="I537" t="s">
        <v>177</v>
      </c>
      <c r="J537" t="s">
        <v>164</v>
      </c>
      <c r="K537">
        <v>3.9928224284837607E-3</v>
      </c>
      <c r="L537" t="s">
        <v>154</v>
      </c>
      <c r="N537" t="s">
        <v>207</v>
      </c>
      <c r="O537" t="s">
        <v>164</v>
      </c>
      <c r="P537">
        <v>3.1896199908237302E-3</v>
      </c>
      <c r="Q537" t="s">
        <v>154</v>
      </c>
      <c r="S537" t="s">
        <v>238</v>
      </c>
      <c r="T537" t="s">
        <v>164</v>
      </c>
      <c r="U537">
        <v>3.7496374415954496E-3</v>
      </c>
      <c r="V537" t="s">
        <v>154</v>
      </c>
    </row>
    <row r="538" spans="9:22" x14ac:dyDescent="0.25">
      <c r="I538" t="s">
        <v>177</v>
      </c>
      <c r="J538" t="s">
        <v>165</v>
      </c>
      <c r="K538">
        <v>2.9330562578972815E-3</v>
      </c>
      <c r="L538" t="s">
        <v>154</v>
      </c>
      <c r="N538" t="s">
        <v>207</v>
      </c>
      <c r="O538" t="s">
        <v>165</v>
      </c>
      <c r="P538">
        <v>1.734425480191299E-3</v>
      </c>
      <c r="Q538" t="s">
        <v>154</v>
      </c>
      <c r="S538" t="s">
        <v>238</v>
      </c>
      <c r="T538" t="s">
        <v>165</v>
      </c>
      <c r="U538">
        <v>1.8889846310162712E-3</v>
      </c>
      <c r="V538" t="s">
        <v>154</v>
      </c>
    </row>
    <row r="539" spans="9:22" x14ac:dyDescent="0.25">
      <c r="I539" t="s">
        <v>177</v>
      </c>
      <c r="J539" t="s">
        <v>289</v>
      </c>
      <c r="K539">
        <v>1.5921785714088622E-2</v>
      </c>
      <c r="L539" t="s">
        <v>154</v>
      </c>
      <c r="N539" t="s">
        <v>207</v>
      </c>
      <c r="O539" t="s">
        <v>289</v>
      </c>
      <c r="P539">
        <v>1.1700859616528147E-2</v>
      </c>
      <c r="Q539" t="s">
        <v>154</v>
      </c>
      <c r="S539" t="s">
        <v>238</v>
      </c>
      <c r="T539" t="s">
        <v>289</v>
      </c>
      <c r="U539">
        <v>1.2964554665895798E-2</v>
      </c>
      <c r="V539" t="s">
        <v>154</v>
      </c>
    </row>
    <row r="540" spans="9:22" x14ac:dyDescent="0.25">
      <c r="I540" t="s">
        <v>177</v>
      </c>
      <c r="J540" t="s">
        <v>290</v>
      </c>
      <c r="K540">
        <v>0</v>
      </c>
      <c r="L540" t="s">
        <v>154</v>
      </c>
      <c r="N540" t="s">
        <v>207</v>
      </c>
      <c r="O540" t="s">
        <v>290</v>
      </c>
      <c r="P540">
        <v>1.4669244612579818E-3</v>
      </c>
      <c r="Q540" t="s">
        <v>154</v>
      </c>
      <c r="S540" t="s">
        <v>238</v>
      </c>
      <c r="T540" t="s">
        <v>290</v>
      </c>
      <c r="U540">
        <v>2.0107574195438261E-3</v>
      </c>
      <c r="V540" t="s">
        <v>154</v>
      </c>
    </row>
    <row r="541" spans="9:22" x14ac:dyDescent="0.25">
      <c r="I541" t="s">
        <v>177</v>
      </c>
      <c r="J541" t="s">
        <v>317</v>
      </c>
      <c r="K541">
        <v>0</v>
      </c>
      <c r="L541" t="s">
        <v>154</v>
      </c>
      <c r="N541" t="s">
        <v>207</v>
      </c>
      <c r="O541" t="s">
        <v>317</v>
      </c>
      <c r="P541">
        <v>1.5224432776031682E-3</v>
      </c>
      <c r="Q541" t="s">
        <v>154</v>
      </c>
      <c r="S541" t="s">
        <v>238</v>
      </c>
      <c r="T541" t="s">
        <v>317</v>
      </c>
      <c r="U541">
        <v>1.9066454971845346E-3</v>
      </c>
      <c r="V541" t="s">
        <v>154</v>
      </c>
    </row>
    <row r="542" spans="9:22" x14ac:dyDescent="0.25">
      <c r="I542" t="s">
        <v>177</v>
      </c>
      <c r="J542" t="s">
        <v>318</v>
      </c>
      <c r="K542">
        <v>0</v>
      </c>
      <c r="L542" t="s">
        <v>154</v>
      </c>
      <c r="N542" t="s">
        <v>207</v>
      </c>
      <c r="O542" t="s">
        <v>318</v>
      </c>
      <c r="P542">
        <v>6.5910352150927668E-3</v>
      </c>
      <c r="Q542" t="s">
        <v>154</v>
      </c>
      <c r="S542" t="s">
        <v>238</v>
      </c>
      <c r="T542" t="s">
        <v>318</v>
      </c>
      <c r="U542">
        <v>9.360084983402208E-3</v>
      </c>
      <c r="V542" t="s">
        <v>154</v>
      </c>
    </row>
    <row r="543" spans="9:22" x14ac:dyDescent="0.25">
      <c r="I543" t="s">
        <v>177</v>
      </c>
      <c r="J543" t="s">
        <v>297</v>
      </c>
      <c r="K543">
        <v>0</v>
      </c>
      <c r="L543" t="s">
        <v>154</v>
      </c>
      <c r="N543" t="s">
        <v>207</v>
      </c>
      <c r="O543" t="s">
        <v>297</v>
      </c>
      <c r="P543">
        <v>1.7950611658824802E-2</v>
      </c>
      <c r="Q543" t="s">
        <v>154</v>
      </c>
      <c r="S543" t="s">
        <v>238</v>
      </c>
      <c r="T543" t="s">
        <v>297</v>
      </c>
      <c r="U543">
        <v>2.0645742138868196E-2</v>
      </c>
      <c r="V543" t="s">
        <v>154</v>
      </c>
    </row>
    <row r="544" spans="9:22" x14ac:dyDescent="0.25">
      <c r="I544" t="s">
        <v>177</v>
      </c>
      <c r="J544" t="s">
        <v>298</v>
      </c>
      <c r="K544">
        <v>8.934984532773119E-3</v>
      </c>
      <c r="L544" t="s">
        <v>154</v>
      </c>
      <c r="N544" t="s">
        <v>207</v>
      </c>
      <c r="O544" t="s">
        <v>298</v>
      </c>
      <c r="P544">
        <v>4.2067346448927826E-3</v>
      </c>
      <c r="Q544" t="s">
        <v>154</v>
      </c>
      <c r="S544" t="s">
        <v>238</v>
      </c>
      <c r="T544" t="s">
        <v>298</v>
      </c>
      <c r="U544">
        <v>6.3059566281081217E-3</v>
      </c>
      <c r="V544" t="s">
        <v>154</v>
      </c>
    </row>
    <row r="545" spans="9:22" x14ac:dyDescent="0.25">
      <c r="I545" t="s">
        <v>177</v>
      </c>
      <c r="J545" t="s">
        <v>299</v>
      </c>
      <c r="K545">
        <v>7.6324283260549254E-3</v>
      </c>
      <c r="L545" t="s">
        <v>154</v>
      </c>
      <c r="N545" t="s">
        <v>207</v>
      </c>
      <c r="O545" t="s">
        <v>299</v>
      </c>
      <c r="P545">
        <v>1.8931990155159001E-3</v>
      </c>
      <c r="Q545" t="s">
        <v>154</v>
      </c>
      <c r="S545" t="s">
        <v>238</v>
      </c>
      <c r="T545" t="s">
        <v>299</v>
      </c>
      <c r="U545">
        <v>3.0757248621607037E-3</v>
      </c>
      <c r="V545" t="s">
        <v>154</v>
      </c>
    </row>
    <row r="546" spans="9:22" x14ac:dyDescent="0.25">
      <c r="I546" t="s">
        <v>177</v>
      </c>
      <c r="J546" t="s">
        <v>300</v>
      </c>
      <c r="K546">
        <v>4.6268119305098679E-2</v>
      </c>
      <c r="L546" t="s">
        <v>154</v>
      </c>
      <c r="N546" t="s">
        <v>207</v>
      </c>
      <c r="O546" t="s">
        <v>300</v>
      </c>
      <c r="P546">
        <v>1.6190149747966322E-2</v>
      </c>
      <c r="Q546" t="s">
        <v>154</v>
      </c>
      <c r="S546" t="s">
        <v>238</v>
      </c>
      <c r="T546" t="s">
        <v>300</v>
      </c>
      <c r="U546">
        <v>2.1134985567184749E-2</v>
      </c>
      <c r="V546" t="s">
        <v>154</v>
      </c>
    </row>
    <row r="547" spans="9:22" x14ac:dyDescent="0.25">
      <c r="I547" t="s">
        <v>177</v>
      </c>
      <c r="J547" t="s">
        <v>301</v>
      </c>
      <c r="K547">
        <v>0</v>
      </c>
      <c r="L547" t="s">
        <v>154</v>
      </c>
      <c r="N547" t="s">
        <v>207</v>
      </c>
      <c r="O547" t="s">
        <v>301</v>
      </c>
      <c r="P547">
        <v>2.7013462849475836E-3</v>
      </c>
      <c r="Q547" t="s">
        <v>154</v>
      </c>
      <c r="S547" t="s">
        <v>238</v>
      </c>
      <c r="T547" t="s">
        <v>301</v>
      </c>
      <c r="U547">
        <v>3.1501222132448163E-3</v>
      </c>
      <c r="V547" t="s">
        <v>154</v>
      </c>
    </row>
    <row r="548" spans="9:22" x14ac:dyDescent="0.25">
      <c r="I548" t="s">
        <v>177</v>
      </c>
      <c r="J548" t="s">
        <v>319</v>
      </c>
      <c r="K548">
        <v>0</v>
      </c>
      <c r="L548" t="s">
        <v>154</v>
      </c>
      <c r="N548" t="s">
        <v>207</v>
      </c>
      <c r="O548" t="s">
        <v>319</v>
      </c>
      <c r="P548">
        <v>2.7663617431091143E-3</v>
      </c>
      <c r="Q548" t="s">
        <v>154</v>
      </c>
      <c r="S548" t="s">
        <v>238</v>
      </c>
      <c r="T548" t="s">
        <v>319</v>
      </c>
      <c r="U548">
        <v>2.958840674465146E-3</v>
      </c>
      <c r="V548" t="s">
        <v>154</v>
      </c>
    </row>
    <row r="549" spans="9:22" x14ac:dyDescent="0.25">
      <c r="I549" t="s">
        <v>177</v>
      </c>
      <c r="J549" t="s">
        <v>320</v>
      </c>
      <c r="K549">
        <v>0</v>
      </c>
      <c r="L549" t="s">
        <v>154</v>
      </c>
      <c r="N549" t="s">
        <v>207</v>
      </c>
      <c r="O549" t="s">
        <v>320</v>
      </c>
      <c r="P549">
        <v>1.2497022744080731E-2</v>
      </c>
      <c r="Q549" t="s">
        <v>154</v>
      </c>
      <c r="S549" t="s">
        <v>238</v>
      </c>
      <c r="T549" t="s">
        <v>320</v>
      </c>
      <c r="U549">
        <v>1.4520146545454752E-2</v>
      </c>
      <c r="V549" t="s">
        <v>154</v>
      </c>
    </row>
    <row r="550" spans="9:22" x14ac:dyDescent="0.25">
      <c r="I550" t="s">
        <v>177</v>
      </c>
      <c r="J550" t="s">
        <v>302</v>
      </c>
      <c r="K550">
        <v>0</v>
      </c>
      <c r="L550" t="s">
        <v>154</v>
      </c>
      <c r="N550" t="s">
        <v>207</v>
      </c>
      <c r="O550" t="s">
        <v>302</v>
      </c>
      <c r="P550">
        <v>3.3187005998657031E-2</v>
      </c>
      <c r="Q550" t="s">
        <v>154</v>
      </c>
      <c r="S550" t="s">
        <v>238</v>
      </c>
      <c r="T550" t="s">
        <v>302</v>
      </c>
      <c r="U550">
        <v>4.0275103343307708E-2</v>
      </c>
      <c r="V550" t="s">
        <v>154</v>
      </c>
    </row>
    <row r="551" spans="9:22" x14ac:dyDescent="0.25">
      <c r="I551" t="s">
        <v>177</v>
      </c>
      <c r="J551" t="s">
        <v>303</v>
      </c>
      <c r="K551">
        <v>6.0857567207258908E-3</v>
      </c>
      <c r="L551" t="s">
        <v>154</v>
      </c>
      <c r="N551" t="s">
        <v>207</v>
      </c>
      <c r="O551" t="s">
        <v>303</v>
      </c>
      <c r="P551">
        <v>8.2866232043124523E-3</v>
      </c>
      <c r="Q551" t="s">
        <v>154</v>
      </c>
      <c r="S551" t="s">
        <v>238</v>
      </c>
      <c r="T551" t="s">
        <v>303</v>
      </c>
      <c r="U551">
        <v>1.1258450223128621E-2</v>
      </c>
      <c r="V551" t="s">
        <v>154</v>
      </c>
    </row>
    <row r="552" spans="9:22" x14ac:dyDescent="0.25">
      <c r="I552" t="s">
        <v>177</v>
      </c>
      <c r="J552" t="s">
        <v>304</v>
      </c>
      <c r="K552">
        <v>9.1947528868398312E-3</v>
      </c>
      <c r="L552" t="s">
        <v>154</v>
      </c>
      <c r="N552" t="s">
        <v>207</v>
      </c>
      <c r="O552" t="s">
        <v>304</v>
      </c>
      <c r="P552">
        <v>3.7004314180184238E-3</v>
      </c>
      <c r="Q552" t="s">
        <v>154</v>
      </c>
      <c r="S552" t="s">
        <v>238</v>
      </c>
      <c r="T552" t="s">
        <v>304</v>
      </c>
      <c r="U552">
        <v>5.6452969875886274E-3</v>
      </c>
      <c r="V552" t="s">
        <v>154</v>
      </c>
    </row>
    <row r="553" spans="9:22" x14ac:dyDescent="0.25">
      <c r="I553" t="s">
        <v>177</v>
      </c>
      <c r="J553" t="s">
        <v>305</v>
      </c>
      <c r="K553">
        <v>5.801709871780579E-2</v>
      </c>
      <c r="L553" t="s">
        <v>154</v>
      </c>
      <c r="N553" t="s">
        <v>207</v>
      </c>
      <c r="O553" t="s">
        <v>305</v>
      </c>
      <c r="P553">
        <v>2.7839736408843858E-2</v>
      </c>
      <c r="Q553" t="s">
        <v>154</v>
      </c>
      <c r="S553" t="s">
        <v>238</v>
      </c>
      <c r="T553" t="s">
        <v>305</v>
      </c>
      <c r="U553">
        <v>3.9698379719644503E-2</v>
      </c>
      <c r="V553" t="s">
        <v>154</v>
      </c>
    </row>
    <row r="554" spans="9:22" x14ac:dyDescent="0.25">
      <c r="I554" t="s">
        <v>177</v>
      </c>
      <c r="J554" t="s">
        <v>306</v>
      </c>
      <c r="K554">
        <v>0</v>
      </c>
      <c r="L554" t="s">
        <v>154</v>
      </c>
      <c r="N554" t="s">
        <v>207</v>
      </c>
      <c r="O554" t="s">
        <v>306</v>
      </c>
      <c r="P554">
        <v>4.8980079140605922E-3</v>
      </c>
      <c r="Q554" t="s">
        <v>154</v>
      </c>
      <c r="S554" t="s">
        <v>238</v>
      </c>
      <c r="T554" t="s">
        <v>306</v>
      </c>
      <c r="U554">
        <v>5.7945631368208029E-3</v>
      </c>
      <c r="V554" t="s">
        <v>154</v>
      </c>
    </row>
    <row r="555" spans="9:22" x14ac:dyDescent="0.25">
      <c r="I555" t="s">
        <v>177</v>
      </c>
      <c r="J555" t="s">
        <v>321</v>
      </c>
      <c r="K555">
        <v>0</v>
      </c>
      <c r="L555" t="s">
        <v>154</v>
      </c>
      <c r="N555" t="s">
        <v>207</v>
      </c>
      <c r="O555" t="s">
        <v>321</v>
      </c>
      <c r="P555">
        <v>5.2958835974503985E-3</v>
      </c>
      <c r="Q555" t="s">
        <v>154</v>
      </c>
      <c r="S555" t="s">
        <v>238</v>
      </c>
      <c r="T555" t="s">
        <v>321</v>
      </c>
      <c r="U555">
        <v>5.6385656556440589E-3</v>
      </c>
      <c r="V555" t="s">
        <v>154</v>
      </c>
    </row>
    <row r="556" spans="9:22" x14ac:dyDescent="0.25">
      <c r="I556" t="s">
        <v>177</v>
      </c>
      <c r="J556" t="s">
        <v>322</v>
      </c>
      <c r="K556">
        <v>0</v>
      </c>
      <c r="L556" t="s">
        <v>154</v>
      </c>
      <c r="N556" t="s">
        <v>207</v>
      </c>
      <c r="O556" t="s">
        <v>322</v>
      </c>
      <c r="P556">
        <v>2.6795685417073521E-2</v>
      </c>
      <c r="Q556" t="s">
        <v>154</v>
      </c>
      <c r="S556" t="s">
        <v>238</v>
      </c>
      <c r="T556" t="s">
        <v>322</v>
      </c>
      <c r="U556">
        <v>2.7392691817968797E-2</v>
      </c>
      <c r="V556" t="s">
        <v>154</v>
      </c>
    </row>
    <row r="557" spans="9:22" x14ac:dyDescent="0.25">
      <c r="I557" t="s">
        <v>178</v>
      </c>
      <c r="J557" t="s">
        <v>153</v>
      </c>
      <c r="K557">
        <v>0</v>
      </c>
      <c r="L557" t="s">
        <v>154</v>
      </c>
      <c r="N557" t="s">
        <v>208</v>
      </c>
      <c r="O557" t="s">
        <v>153</v>
      </c>
      <c r="P557">
        <v>2.83860517018459E-2</v>
      </c>
      <c r="Q557" t="s">
        <v>154</v>
      </c>
      <c r="S557" t="s">
        <v>239</v>
      </c>
      <c r="T557" t="s">
        <v>153</v>
      </c>
      <c r="U557">
        <v>3.3837805954705015E-2</v>
      </c>
      <c r="V557" t="s">
        <v>154</v>
      </c>
    </row>
    <row r="558" spans="9:22" x14ac:dyDescent="0.25">
      <c r="I558" t="s">
        <v>178</v>
      </c>
      <c r="J558" t="s">
        <v>155</v>
      </c>
      <c r="K558">
        <v>6.9287759469839399E-3</v>
      </c>
      <c r="L558" t="s">
        <v>154</v>
      </c>
      <c r="N558" t="s">
        <v>208</v>
      </c>
      <c r="O558" t="s">
        <v>155</v>
      </c>
      <c r="P558">
        <v>9.5538519384037266E-3</v>
      </c>
      <c r="Q558" t="s">
        <v>154</v>
      </c>
      <c r="S558" t="s">
        <v>239</v>
      </c>
      <c r="T558" t="s">
        <v>155</v>
      </c>
      <c r="U558">
        <v>6.7770446093740212E-3</v>
      </c>
      <c r="V558" t="s">
        <v>154</v>
      </c>
    </row>
    <row r="559" spans="9:22" x14ac:dyDescent="0.25">
      <c r="I559" t="s">
        <v>178</v>
      </c>
      <c r="J559" t="s">
        <v>156</v>
      </c>
      <c r="K559">
        <v>1.1240022557158887E-2</v>
      </c>
      <c r="L559" t="s">
        <v>154</v>
      </c>
      <c r="N559" t="s">
        <v>208</v>
      </c>
      <c r="O559" t="s">
        <v>156</v>
      </c>
      <c r="P559">
        <v>4.1485742090861515E-3</v>
      </c>
      <c r="Q559" t="s">
        <v>154</v>
      </c>
      <c r="S559" t="s">
        <v>239</v>
      </c>
      <c r="T559" t="s">
        <v>156</v>
      </c>
      <c r="U559">
        <v>3.4644763544662426E-3</v>
      </c>
      <c r="V559" t="s">
        <v>154</v>
      </c>
    </row>
    <row r="560" spans="9:22" x14ac:dyDescent="0.25">
      <c r="I560" t="s">
        <v>178</v>
      </c>
      <c r="J560" t="s">
        <v>283</v>
      </c>
      <c r="K560">
        <v>7.9647752890507406E-2</v>
      </c>
      <c r="L560" t="s">
        <v>154</v>
      </c>
      <c r="N560" t="s">
        <v>208</v>
      </c>
      <c r="O560" t="s">
        <v>283</v>
      </c>
      <c r="P560">
        <v>4.2863488559406103E-2</v>
      </c>
      <c r="Q560" t="s">
        <v>154</v>
      </c>
      <c r="S560" t="s">
        <v>239</v>
      </c>
      <c r="T560" t="s">
        <v>283</v>
      </c>
      <c r="U560">
        <v>3.1512206161263136E-2</v>
      </c>
      <c r="V560" t="s">
        <v>154</v>
      </c>
    </row>
    <row r="561" spans="9:22" x14ac:dyDescent="0.25">
      <c r="I561" t="s">
        <v>178</v>
      </c>
      <c r="J561" t="s">
        <v>284</v>
      </c>
      <c r="K561">
        <v>4.6311632395283777E-4</v>
      </c>
      <c r="L561" t="s">
        <v>154</v>
      </c>
      <c r="N561" t="s">
        <v>208</v>
      </c>
      <c r="O561" t="s">
        <v>284</v>
      </c>
      <c r="P561">
        <v>6.5126269494850154E-3</v>
      </c>
      <c r="Q561" t="s">
        <v>154</v>
      </c>
      <c r="S561" t="s">
        <v>239</v>
      </c>
      <c r="T561" t="s">
        <v>284</v>
      </c>
      <c r="U561">
        <v>5.0133602523496183E-3</v>
      </c>
      <c r="V561" t="s">
        <v>154</v>
      </c>
    </row>
    <row r="562" spans="9:22" x14ac:dyDescent="0.25">
      <c r="I562" t="s">
        <v>178</v>
      </c>
      <c r="J562" t="s">
        <v>311</v>
      </c>
      <c r="K562">
        <v>0</v>
      </c>
      <c r="L562" t="s">
        <v>154</v>
      </c>
      <c r="N562" t="s">
        <v>208</v>
      </c>
      <c r="O562" t="s">
        <v>311</v>
      </c>
      <c r="P562">
        <v>5.987862817802489E-3</v>
      </c>
      <c r="Q562" t="s">
        <v>154</v>
      </c>
      <c r="S562" t="s">
        <v>239</v>
      </c>
      <c r="T562" t="s">
        <v>311</v>
      </c>
      <c r="U562">
        <v>4.3441213181078112E-3</v>
      </c>
      <c r="V562" t="s">
        <v>154</v>
      </c>
    </row>
    <row r="563" spans="9:22" x14ac:dyDescent="0.25">
      <c r="I563" t="s">
        <v>178</v>
      </c>
      <c r="J563" t="s">
        <v>312</v>
      </c>
      <c r="K563">
        <v>0</v>
      </c>
      <c r="L563" t="s">
        <v>154</v>
      </c>
      <c r="N563" t="s">
        <v>208</v>
      </c>
      <c r="O563" t="s">
        <v>312</v>
      </c>
      <c r="P563">
        <v>2.3099594720562836E-2</v>
      </c>
      <c r="Q563" t="s">
        <v>154</v>
      </c>
      <c r="S563" t="s">
        <v>239</v>
      </c>
      <c r="T563" t="s">
        <v>312</v>
      </c>
      <c r="U563">
        <v>2.1081509099883936E-2</v>
      </c>
      <c r="V563" t="s">
        <v>154</v>
      </c>
    </row>
    <row r="564" spans="9:22" x14ac:dyDescent="0.25">
      <c r="I564" t="s">
        <v>178</v>
      </c>
      <c r="J564" t="s">
        <v>157</v>
      </c>
      <c r="K564">
        <v>0</v>
      </c>
      <c r="L564" t="s">
        <v>154</v>
      </c>
      <c r="N564" t="s">
        <v>208</v>
      </c>
      <c r="O564" t="s">
        <v>157</v>
      </c>
      <c r="P564">
        <v>8.1233580771322787E-3</v>
      </c>
      <c r="Q564" t="s">
        <v>154</v>
      </c>
      <c r="S564" t="s">
        <v>239</v>
      </c>
      <c r="T564" t="s">
        <v>157</v>
      </c>
      <c r="U564">
        <v>8.2704877058662803E-3</v>
      </c>
      <c r="V564" t="s">
        <v>154</v>
      </c>
    </row>
    <row r="565" spans="9:22" x14ac:dyDescent="0.25">
      <c r="I565" t="s">
        <v>178</v>
      </c>
      <c r="J565" t="s">
        <v>158</v>
      </c>
      <c r="K565">
        <v>2.0856470610522409E-3</v>
      </c>
      <c r="L565" t="s">
        <v>154</v>
      </c>
      <c r="N565" t="s">
        <v>208</v>
      </c>
      <c r="O565" t="s">
        <v>158</v>
      </c>
      <c r="P565">
        <v>2.8801608370431922E-3</v>
      </c>
      <c r="Q565" t="s">
        <v>154</v>
      </c>
      <c r="S565" t="s">
        <v>239</v>
      </c>
      <c r="T565" t="s">
        <v>158</v>
      </c>
      <c r="U565">
        <v>1.6644574959473201E-3</v>
      </c>
      <c r="V565" t="s">
        <v>154</v>
      </c>
    </row>
    <row r="566" spans="9:22" x14ac:dyDescent="0.25">
      <c r="I566" t="s">
        <v>178</v>
      </c>
      <c r="J566" t="s">
        <v>159</v>
      </c>
      <c r="K566">
        <v>3.1632037759840659E-3</v>
      </c>
      <c r="L566" t="s">
        <v>154</v>
      </c>
      <c r="N566" t="s">
        <v>208</v>
      </c>
      <c r="O566" t="s">
        <v>159</v>
      </c>
      <c r="P566">
        <v>1.5631625148344712E-3</v>
      </c>
      <c r="Q566" t="s">
        <v>154</v>
      </c>
      <c r="S566" t="s">
        <v>239</v>
      </c>
      <c r="T566" t="s">
        <v>159</v>
      </c>
      <c r="U566">
        <v>8.4366782784895691E-4</v>
      </c>
      <c r="V566" t="s">
        <v>154</v>
      </c>
    </row>
    <row r="567" spans="9:22" x14ac:dyDescent="0.25">
      <c r="I567" t="s">
        <v>178</v>
      </c>
      <c r="J567" t="s">
        <v>285</v>
      </c>
      <c r="K567">
        <v>2.1045924347200831E-2</v>
      </c>
      <c r="L567" t="s">
        <v>154</v>
      </c>
      <c r="N567" t="s">
        <v>208</v>
      </c>
      <c r="O567" t="s">
        <v>285</v>
      </c>
      <c r="P567">
        <v>1.4899618730641292E-2</v>
      </c>
      <c r="Q567" t="s">
        <v>154</v>
      </c>
      <c r="S567" t="s">
        <v>239</v>
      </c>
      <c r="T567" t="s">
        <v>285</v>
      </c>
      <c r="U567">
        <v>7.0207633972372632E-3</v>
      </c>
      <c r="V567" t="s">
        <v>154</v>
      </c>
    </row>
    <row r="568" spans="9:22" x14ac:dyDescent="0.25">
      <c r="I568" t="s">
        <v>178</v>
      </c>
      <c r="J568" t="s">
        <v>286</v>
      </c>
      <c r="K568">
        <v>1.4637254731221982E-3</v>
      </c>
      <c r="L568" t="s">
        <v>154</v>
      </c>
      <c r="N568" t="s">
        <v>208</v>
      </c>
      <c r="O568" t="s">
        <v>286</v>
      </c>
      <c r="P568">
        <v>1.6609695240043794E-3</v>
      </c>
      <c r="Q568" t="s">
        <v>154</v>
      </c>
      <c r="S568" t="s">
        <v>239</v>
      </c>
      <c r="T568" t="s">
        <v>286</v>
      </c>
      <c r="U568">
        <v>1.051936591187332E-3</v>
      </c>
      <c r="V568" t="s">
        <v>154</v>
      </c>
    </row>
    <row r="569" spans="9:22" x14ac:dyDescent="0.25">
      <c r="I569" t="s">
        <v>178</v>
      </c>
      <c r="J569" t="s">
        <v>313</v>
      </c>
      <c r="K569">
        <v>0</v>
      </c>
      <c r="L569" t="s">
        <v>154</v>
      </c>
      <c r="N569" t="s">
        <v>208</v>
      </c>
      <c r="O569" t="s">
        <v>313</v>
      </c>
      <c r="P569">
        <v>1.560883395615471E-3</v>
      </c>
      <c r="Q569" t="s">
        <v>154</v>
      </c>
      <c r="S569" t="s">
        <v>239</v>
      </c>
      <c r="T569" t="s">
        <v>313</v>
      </c>
      <c r="U569">
        <v>8.9012536839661689E-4</v>
      </c>
      <c r="V569" t="s">
        <v>154</v>
      </c>
    </row>
    <row r="570" spans="9:22" x14ac:dyDescent="0.25">
      <c r="I570" t="s">
        <v>178</v>
      </c>
      <c r="J570" t="s">
        <v>314</v>
      </c>
      <c r="K570">
        <v>0</v>
      </c>
      <c r="L570" t="s">
        <v>154</v>
      </c>
      <c r="N570" t="s">
        <v>208</v>
      </c>
      <c r="O570" t="s">
        <v>314</v>
      </c>
      <c r="P570">
        <v>5.553980608906767E-3</v>
      </c>
      <c r="Q570" t="s">
        <v>154</v>
      </c>
      <c r="S570" t="s">
        <v>239</v>
      </c>
      <c r="T570" t="s">
        <v>314</v>
      </c>
      <c r="U570">
        <v>5.830214849427081E-3</v>
      </c>
      <c r="V570" t="s">
        <v>154</v>
      </c>
    </row>
    <row r="571" spans="9:22" x14ac:dyDescent="0.25">
      <c r="I571" t="s">
        <v>178</v>
      </c>
      <c r="J571" t="s">
        <v>160</v>
      </c>
      <c r="K571">
        <v>1.8273957743965785E-2</v>
      </c>
      <c r="L571" t="s">
        <v>154</v>
      </c>
      <c r="N571" t="s">
        <v>208</v>
      </c>
      <c r="O571" t="s">
        <v>160</v>
      </c>
      <c r="P571">
        <v>0.1168516918621192</v>
      </c>
      <c r="Q571" t="s">
        <v>154</v>
      </c>
      <c r="S571" t="s">
        <v>239</v>
      </c>
      <c r="T571" t="s">
        <v>160</v>
      </c>
      <c r="U571">
        <v>0.1895705660099265</v>
      </c>
      <c r="V571" t="s">
        <v>154</v>
      </c>
    </row>
    <row r="572" spans="9:22" x14ac:dyDescent="0.25">
      <c r="I572" t="s">
        <v>178</v>
      </c>
      <c r="J572" t="s">
        <v>161</v>
      </c>
      <c r="K572">
        <v>9.1680774576563109E-2</v>
      </c>
      <c r="L572" t="s">
        <v>154</v>
      </c>
      <c r="N572" t="s">
        <v>208</v>
      </c>
      <c r="O572" t="s">
        <v>161</v>
      </c>
      <c r="P572">
        <v>3.262142292342541E-2</v>
      </c>
      <c r="Q572" t="s">
        <v>154</v>
      </c>
      <c r="S572" t="s">
        <v>239</v>
      </c>
      <c r="T572" t="s">
        <v>161</v>
      </c>
      <c r="U572">
        <v>4.2032967077694959E-2</v>
      </c>
      <c r="V572" t="s">
        <v>154</v>
      </c>
    </row>
    <row r="573" spans="9:22" x14ac:dyDescent="0.25">
      <c r="I573" t="s">
        <v>178</v>
      </c>
      <c r="J573" t="s">
        <v>162</v>
      </c>
      <c r="K573">
        <v>6.7147758459791457E-2</v>
      </c>
      <c r="L573" t="s">
        <v>154</v>
      </c>
      <c r="N573" t="s">
        <v>208</v>
      </c>
      <c r="O573" t="s">
        <v>162</v>
      </c>
      <c r="P573">
        <v>1.7848124867582565E-2</v>
      </c>
      <c r="Q573" t="s">
        <v>154</v>
      </c>
      <c r="S573" t="s">
        <v>239</v>
      </c>
      <c r="T573" t="s">
        <v>162</v>
      </c>
      <c r="U573">
        <v>2.1804890542144694E-2</v>
      </c>
      <c r="V573" t="s">
        <v>154</v>
      </c>
    </row>
    <row r="574" spans="9:22" x14ac:dyDescent="0.25">
      <c r="I574" t="s">
        <v>178</v>
      </c>
      <c r="J574" t="s">
        <v>287</v>
      </c>
      <c r="K574">
        <v>0.479805378565065</v>
      </c>
      <c r="L574" t="s">
        <v>154</v>
      </c>
      <c r="N574" t="s">
        <v>208</v>
      </c>
      <c r="O574" t="s">
        <v>287</v>
      </c>
      <c r="P574">
        <v>0.2438126631418959</v>
      </c>
      <c r="Q574" t="s">
        <v>154</v>
      </c>
      <c r="S574" t="s">
        <v>239</v>
      </c>
      <c r="T574" t="s">
        <v>287</v>
      </c>
      <c r="U574">
        <v>0.17669532080913863</v>
      </c>
      <c r="V574" t="s">
        <v>154</v>
      </c>
    </row>
    <row r="575" spans="9:22" x14ac:dyDescent="0.25">
      <c r="I575" t="s">
        <v>178</v>
      </c>
      <c r="J575" t="s">
        <v>288</v>
      </c>
      <c r="K575">
        <v>3.680794186702422E-2</v>
      </c>
      <c r="L575" t="s">
        <v>154</v>
      </c>
      <c r="N575" t="s">
        <v>208</v>
      </c>
      <c r="O575" t="s">
        <v>288</v>
      </c>
      <c r="P575">
        <v>3.3276980553086137E-2</v>
      </c>
      <c r="Q575" t="s">
        <v>154</v>
      </c>
      <c r="S575" t="s">
        <v>239</v>
      </c>
      <c r="T575" t="s">
        <v>288</v>
      </c>
      <c r="U575">
        <v>2.913749904639782E-2</v>
      </c>
      <c r="V575" t="s">
        <v>154</v>
      </c>
    </row>
    <row r="576" spans="9:22" x14ac:dyDescent="0.25">
      <c r="I576" t="s">
        <v>178</v>
      </c>
      <c r="J576" t="s">
        <v>315</v>
      </c>
      <c r="K576">
        <v>1.5779250069505899E-2</v>
      </c>
      <c r="L576" t="s">
        <v>154</v>
      </c>
      <c r="N576" t="s">
        <v>208</v>
      </c>
      <c r="O576" t="s">
        <v>315</v>
      </c>
      <c r="P576">
        <v>2.979300028337627E-2</v>
      </c>
      <c r="Q576" t="s">
        <v>154</v>
      </c>
      <c r="S576" t="s">
        <v>239</v>
      </c>
      <c r="T576" t="s">
        <v>315</v>
      </c>
      <c r="U576">
        <v>2.414845128685698E-2</v>
      </c>
      <c r="V576" t="s">
        <v>154</v>
      </c>
    </row>
    <row r="577" spans="9:22" x14ac:dyDescent="0.25">
      <c r="I577" t="s">
        <v>178</v>
      </c>
      <c r="J577" t="s">
        <v>316</v>
      </c>
      <c r="K577">
        <v>3.4905046931326951E-3</v>
      </c>
      <c r="L577" t="s">
        <v>154</v>
      </c>
      <c r="N577" t="s">
        <v>208</v>
      </c>
      <c r="O577" t="s">
        <v>316</v>
      </c>
      <c r="P577">
        <v>0.10499037145649079</v>
      </c>
      <c r="Q577" t="s">
        <v>154</v>
      </c>
      <c r="S577" t="s">
        <v>239</v>
      </c>
      <c r="T577" t="s">
        <v>316</v>
      </c>
      <c r="U577">
        <v>0.12753396916435644</v>
      </c>
      <c r="V577" t="s">
        <v>154</v>
      </c>
    </row>
    <row r="578" spans="9:22" x14ac:dyDescent="0.25">
      <c r="I578" t="s">
        <v>178</v>
      </c>
      <c r="J578" t="s">
        <v>163</v>
      </c>
      <c r="K578">
        <v>0</v>
      </c>
      <c r="L578" t="s">
        <v>154</v>
      </c>
      <c r="N578" t="s">
        <v>208</v>
      </c>
      <c r="O578" t="s">
        <v>163</v>
      </c>
      <c r="P578">
        <v>1.3572202477595758E-2</v>
      </c>
      <c r="Q578" t="s">
        <v>154</v>
      </c>
      <c r="S578" t="s">
        <v>239</v>
      </c>
      <c r="T578" t="s">
        <v>163</v>
      </c>
      <c r="U578">
        <v>1.2577299494463736E-2</v>
      </c>
      <c r="V578" t="s">
        <v>154</v>
      </c>
    </row>
    <row r="579" spans="9:22" x14ac:dyDescent="0.25">
      <c r="I579" t="s">
        <v>178</v>
      </c>
      <c r="J579" t="s">
        <v>164</v>
      </c>
      <c r="K579">
        <v>3.5951971786168445E-3</v>
      </c>
      <c r="L579" t="s">
        <v>154</v>
      </c>
      <c r="N579" t="s">
        <v>208</v>
      </c>
      <c r="O579" t="s">
        <v>164</v>
      </c>
      <c r="P579">
        <v>3.1479955315431352E-3</v>
      </c>
      <c r="Q579" t="s">
        <v>154</v>
      </c>
      <c r="S579" t="s">
        <v>239</v>
      </c>
      <c r="T579" t="s">
        <v>164</v>
      </c>
      <c r="U579">
        <v>2.9366604929170095E-3</v>
      </c>
      <c r="V579" t="s">
        <v>154</v>
      </c>
    </row>
    <row r="580" spans="9:22" x14ac:dyDescent="0.25">
      <c r="I580" t="s">
        <v>178</v>
      </c>
      <c r="J580" t="s">
        <v>165</v>
      </c>
      <c r="K580">
        <v>2.7340205681794568E-3</v>
      </c>
      <c r="L580" t="s">
        <v>154</v>
      </c>
      <c r="N580" t="s">
        <v>208</v>
      </c>
      <c r="O580" t="s">
        <v>165</v>
      </c>
      <c r="P580">
        <v>1.3816801535367685E-3</v>
      </c>
      <c r="Q580" t="s">
        <v>154</v>
      </c>
      <c r="S580" t="s">
        <v>239</v>
      </c>
      <c r="T580" t="s">
        <v>165</v>
      </c>
      <c r="U580">
        <v>1.5079028379916123E-3</v>
      </c>
      <c r="V580" t="s">
        <v>154</v>
      </c>
    </row>
    <row r="581" spans="9:22" x14ac:dyDescent="0.25">
      <c r="I581" t="s">
        <v>178</v>
      </c>
      <c r="J581" t="s">
        <v>289</v>
      </c>
      <c r="K581">
        <v>1.6831983216174653E-2</v>
      </c>
      <c r="L581" t="s">
        <v>154</v>
      </c>
      <c r="N581" t="s">
        <v>208</v>
      </c>
      <c r="O581" t="s">
        <v>289</v>
      </c>
      <c r="P581">
        <v>8.6098614586374266E-3</v>
      </c>
      <c r="Q581" t="s">
        <v>154</v>
      </c>
      <c r="S581" t="s">
        <v>239</v>
      </c>
      <c r="T581" t="s">
        <v>289</v>
      </c>
      <c r="U581">
        <v>1.0939798550478746E-2</v>
      </c>
      <c r="V581" t="s">
        <v>154</v>
      </c>
    </row>
    <row r="582" spans="9:22" x14ac:dyDescent="0.25">
      <c r="I582" t="s">
        <v>178</v>
      </c>
      <c r="J582" t="s">
        <v>290</v>
      </c>
      <c r="K582">
        <v>2.2683885056974849E-4</v>
      </c>
      <c r="L582" t="s">
        <v>154</v>
      </c>
      <c r="N582" t="s">
        <v>208</v>
      </c>
      <c r="O582" t="s">
        <v>290</v>
      </c>
      <c r="P582">
        <v>1.2893911661092611E-3</v>
      </c>
      <c r="Q582" t="s">
        <v>154</v>
      </c>
      <c r="S582" t="s">
        <v>239</v>
      </c>
      <c r="T582" t="s">
        <v>290</v>
      </c>
      <c r="U582">
        <v>2.0221846591807128E-3</v>
      </c>
      <c r="V582" t="s">
        <v>154</v>
      </c>
    </row>
    <row r="583" spans="9:22" x14ac:dyDescent="0.25">
      <c r="I583" t="s">
        <v>178</v>
      </c>
      <c r="J583" t="s">
        <v>317</v>
      </c>
      <c r="K583">
        <v>0</v>
      </c>
      <c r="L583" t="s">
        <v>154</v>
      </c>
      <c r="N583" t="s">
        <v>208</v>
      </c>
      <c r="O583" t="s">
        <v>317</v>
      </c>
      <c r="P583">
        <v>1.2833794024763917E-3</v>
      </c>
      <c r="Q583" t="s">
        <v>154</v>
      </c>
      <c r="S583" t="s">
        <v>239</v>
      </c>
      <c r="T583" t="s">
        <v>317</v>
      </c>
      <c r="U583">
        <v>1.7430323959285372E-3</v>
      </c>
      <c r="V583" t="s">
        <v>154</v>
      </c>
    </row>
    <row r="584" spans="9:22" x14ac:dyDescent="0.25">
      <c r="I584" t="s">
        <v>178</v>
      </c>
      <c r="J584" t="s">
        <v>318</v>
      </c>
      <c r="K584">
        <v>0</v>
      </c>
      <c r="L584" t="s">
        <v>154</v>
      </c>
      <c r="N584" t="s">
        <v>208</v>
      </c>
      <c r="O584" t="s">
        <v>318</v>
      </c>
      <c r="P584">
        <v>5.5925351510513321E-3</v>
      </c>
      <c r="Q584" t="s">
        <v>154</v>
      </c>
      <c r="S584" t="s">
        <v>239</v>
      </c>
      <c r="T584" t="s">
        <v>318</v>
      </c>
      <c r="U584">
        <v>9.2561194454306734E-3</v>
      </c>
      <c r="V584" t="s">
        <v>154</v>
      </c>
    </row>
    <row r="585" spans="9:22" x14ac:dyDescent="0.25">
      <c r="I585" t="s">
        <v>178</v>
      </c>
      <c r="J585" t="s">
        <v>297</v>
      </c>
      <c r="K585">
        <v>0</v>
      </c>
      <c r="L585" t="s">
        <v>154</v>
      </c>
      <c r="N585" t="s">
        <v>208</v>
      </c>
      <c r="O585" t="s">
        <v>297</v>
      </c>
      <c r="P585">
        <v>9.7921620878695208E-3</v>
      </c>
      <c r="Q585" t="s">
        <v>154</v>
      </c>
      <c r="S585" t="s">
        <v>239</v>
      </c>
      <c r="T585" t="s">
        <v>297</v>
      </c>
      <c r="U585">
        <v>2.0244514901162212E-2</v>
      </c>
      <c r="V585" t="s">
        <v>154</v>
      </c>
    </row>
    <row r="586" spans="9:22" x14ac:dyDescent="0.25">
      <c r="I586" t="s">
        <v>178</v>
      </c>
      <c r="J586" t="s">
        <v>298</v>
      </c>
      <c r="K586">
        <v>8.9906180801682511E-3</v>
      </c>
      <c r="L586" t="s">
        <v>154</v>
      </c>
      <c r="N586" t="s">
        <v>208</v>
      </c>
      <c r="O586" t="s">
        <v>298</v>
      </c>
      <c r="P586">
        <v>2.3723185101723501E-3</v>
      </c>
      <c r="Q586" t="s">
        <v>154</v>
      </c>
      <c r="S586" t="s">
        <v>239</v>
      </c>
      <c r="T586" t="s">
        <v>298</v>
      </c>
      <c r="U586">
        <v>5.1019719421422785E-3</v>
      </c>
      <c r="V586" t="s">
        <v>154</v>
      </c>
    </row>
    <row r="587" spans="9:22" x14ac:dyDescent="0.25">
      <c r="I587" t="s">
        <v>178</v>
      </c>
      <c r="J587" t="s">
        <v>299</v>
      </c>
      <c r="K587">
        <v>8.2496164189864024E-3</v>
      </c>
      <c r="L587" t="s">
        <v>154</v>
      </c>
      <c r="N587" t="s">
        <v>208</v>
      </c>
      <c r="O587" t="s">
        <v>299</v>
      </c>
      <c r="P587">
        <v>1.358098738164563E-3</v>
      </c>
      <c r="Q587" t="s">
        <v>154</v>
      </c>
      <c r="S587" t="s">
        <v>239</v>
      </c>
      <c r="T587" t="s">
        <v>299</v>
      </c>
      <c r="U587">
        <v>2.7097308836901918E-3</v>
      </c>
      <c r="V587" t="s">
        <v>154</v>
      </c>
    </row>
    <row r="588" spans="9:22" x14ac:dyDescent="0.25">
      <c r="I588" t="s">
        <v>178</v>
      </c>
      <c r="J588" t="s">
        <v>300</v>
      </c>
      <c r="K588">
        <v>4.6241929684754907E-2</v>
      </c>
      <c r="L588" t="s">
        <v>154</v>
      </c>
      <c r="N588" t="s">
        <v>208</v>
      </c>
      <c r="O588" t="s">
        <v>300</v>
      </c>
      <c r="P588">
        <v>2.7785563504022795E-2</v>
      </c>
      <c r="Q588" t="s">
        <v>154</v>
      </c>
      <c r="S588" t="s">
        <v>239</v>
      </c>
      <c r="T588" t="s">
        <v>300</v>
      </c>
      <c r="U588">
        <v>1.9957296697956102E-2</v>
      </c>
      <c r="V588" t="s">
        <v>154</v>
      </c>
    </row>
    <row r="589" spans="9:22" x14ac:dyDescent="0.25">
      <c r="I589" t="s">
        <v>178</v>
      </c>
      <c r="J589" t="s">
        <v>301</v>
      </c>
      <c r="K589">
        <v>0</v>
      </c>
      <c r="L589" t="s">
        <v>154</v>
      </c>
      <c r="N589" t="s">
        <v>208</v>
      </c>
      <c r="O589" t="s">
        <v>301</v>
      </c>
      <c r="P589">
        <v>4.2839611913678549E-3</v>
      </c>
      <c r="Q589" t="s">
        <v>154</v>
      </c>
      <c r="S589" t="s">
        <v>239</v>
      </c>
      <c r="T589" t="s">
        <v>301</v>
      </c>
      <c r="U589">
        <v>2.8924086212771269E-3</v>
      </c>
      <c r="V589" t="s">
        <v>154</v>
      </c>
    </row>
    <row r="590" spans="9:22" x14ac:dyDescent="0.25">
      <c r="I590" t="s">
        <v>178</v>
      </c>
      <c r="J590" t="s">
        <v>319</v>
      </c>
      <c r="K590">
        <v>0</v>
      </c>
      <c r="L590" t="s">
        <v>154</v>
      </c>
      <c r="N590" t="s">
        <v>208</v>
      </c>
      <c r="O590" t="s">
        <v>319</v>
      </c>
      <c r="P590">
        <v>3.4269340979750699E-3</v>
      </c>
      <c r="Q590" t="s">
        <v>154</v>
      </c>
      <c r="S590" t="s">
        <v>239</v>
      </c>
      <c r="T590" t="s">
        <v>319</v>
      </c>
      <c r="U590">
        <v>2.743583758247195E-3</v>
      </c>
      <c r="V590" t="s">
        <v>154</v>
      </c>
    </row>
    <row r="591" spans="9:22" x14ac:dyDescent="0.25">
      <c r="I591" t="s">
        <v>178</v>
      </c>
      <c r="J591" t="s">
        <v>320</v>
      </c>
      <c r="K591">
        <v>0</v>
      </c>
      <c r="L591" t="s">
        <v>154</v>
      </c>
      <c r="N591" t="s">
        <v>208</v>
      </c>
      <c r="O591" t="s">
        <v>320</v>
      </c>
      <c r="P591">
        <v>1.2081286500544778E-2</v>
      </c>
      <c r="Q591" t="s">
        <v>154</v>
      </c>
      <c r="S591" t="s">
        <v>239</v>
      </c>
      <c r="T591" t="s">
        <v>320</v>
      </c>
      <c r="U591">
        <v>1.4494766313164299E-2</v>
      </c>
      <c r="V591" t="s">
        <v>154</v>
      </c>
    </row>
    <row r="592" spans="9:22" x14ac:dyDescent="0.25">
      <c r="I592" t="s">
        <v>178</v>
      </c>
      <c r="J592" t="s">
        <v>302</v>
      </c>
      <c r="K592">
        <v>0</v>
      </c>
      <c r="L592" t="s">
        <v>154</v>
      </c>
      <c r="N592" t="s">
        <v>208</v>
      </c>
      <c r="O592" t="s">
        <v>302</v>
      </c>
      <c r="P592">
        <v>3.4648518201380561E-2</v>
      </c>
      <c r="Q592" t="s">
        <v>154</v>
      </c>
      <c r="S592" t="s">
        <v>239</v>
      </c>
      <c r="T592" t="s">
        <v>302</v>
      </c>
      <c r="U592">
        <v>4.6953082766052097E-2</v>
      </c>
      <c r="V592" t="s">
        <v>154</v>
      </c>
    </row>
    <row r="593" spans="9:22" x14ac:dyDescent="0.25">
      <c r="I593" t="s">
        <v>178</v>
      </c>
      <c r="J593" t="s">
        <v>303</v>
      </c>
      <c r="K593">
        <v>5.9472829805556167E-3</v>
      </c>
      <c r="L593" t="s">
        <v>154</v>
      </c>
      <c r="N593" t="s">
        <v>208</v>
      </c>
      <c r="O593" t="s">
        <v>303</v>
      </c>
      <c r="P593">
        <v>9.7079372643733217E-3</v>
      </c>
      <c r="Q593" t="s">
        <v>154</v>
      </c>
      <c r="S593" t="s">
        <v>239</v>
      </c>
      <c r="T593" t="s">
        <v>303</v>
      </c>
      <c r="U593">
        <v>1.0908165383294836E-2</v>
      </c>
      <c r="V593" t="s">
        <v>154</v>
      </c>
    </row>
    <row r="594" spans="9:22" x14ac:dyDescent="0.25">
      <c r="I594" t="s">
        <v>178</v>
      </c>
      <c r="J594" t="s">
        <v>304</v>
      </c>
      <c r="K594">
        <v>9.4620024049904359E-3</v>
      </c>
      <c r="L594" t="s">
        <v>154</v>
      </c>
      <c r="N594" t="s">
        <v>208</v>
      </c>
      <c r="O594" t="s">
        <v>304</v>
      </c>
      <c r="P594">
        <v>4.8243662213237511E-3</v>
      </c>
      <c r="Q594" t="s">
        <v>154</v>
      </c>
      <c r="S594" t="s">
        <v>239</v>
      </c>
      <c r="T594" t="s">
        <v>304</v>
      </c>
      <c r="U594">
        <v>5.6259615185276831E-3</v>
      </c>
      <c r="V594" t="s">
        <v>154</v>
      </c>
    </row>
    <row r="595" spans="9:22" x14ac:dyDescent="0.25">
      <c r="I595" t="s">
        <v>178</v>
      </c>
      <c r="J595" t="s">
        <v>305</v>
      </c>
      <c r="K595">
        <v>5.8696776265995086E-2</v>
      </c>
      <c r="L595" t="s">
        <v>154</v>
      </c>
      <c r="N595" t="s">
        <v>208</v>
      </c>
      <c r="O595" t="s">
        <v>305</v>
      </c>
      <c r="P595">
        <v>6.7245061449074162E-2</v>
      </c>
      <c r="Q595" t="s">
        <v>154</v>
      </c>
      <c r="S595" t="s">
        <v>239</v>
      </c>
      <c r="T595" t="s">
        <v>305</v>
      </c>
      <c r="U595">
        <v>4.3028944859764134E-2</v>
      </c>
      <c r="V595" t="s">
        <v>154</v>
      </c>
    </row>
    <row r="596" spans="9:22" x14ac:dyDescent="0.25">
      <c r="I596" t="s">
        <v>178</v>
      </c>
      <c r="J596" t="s">
        <v>306</v>
      </c>
      <c r="K596">
        <v>0</v>
      </c>
      <c r="L596" t="s">
        <v>154</v>
      </c>
      <c r="N596" t="s">
        <v>208</v>
      </c>
      <c r="O596" t="s">
        <v>306</v>
      </c>
      <c r="P596">
        <v>9.3734376661200776E-3</v>
      </c>
      <c r="Q596" t="s">
        <v>154</v>
      </c>
      <c r="S596" t="s">
        <v>239</v>
      </c>
      <c r="T596" t="s">
        <v>306</v>
      </c>
      <c r="U596">
        <v>6.172647946665266E-3</v>
      </c>
      <c r="V596" t="s">
        <v>154</v>
      </c>
    </row>
    <row r="597" spans="9:22" x14ac:dyDescent="0.25">
      <c r="I597" t="s">
        <v>178</v>
      </c>
      <c r="J597" t="s">
        <v>321</v>
      </c>
      <c r="K597">
        <v>0</v>
      </c>
      <c r="L597" t="s">
        <v>154</v>
      </c>
      <c r="N597" t="s">
        <v>208</v>
      </c>
      <c r="O597" t="s">
        <v>321</v>
      </c>
      <c r="P597">
        <v>8.3789696544446183E-3</v>
      </c>
      <c r="Q597" t="s">
        <v>154</v>
      </c>
      <c r="S597" t="s">
        <v>239</v>
      </c>
      <c r="T597" t="s">
        <v>321</v>
      </c>
      <c r="U597">
        <v>5.8576572871213602E-3</v>
      </c>
      <c r="V597" t="s">
        <v>154</v>
      </c>
    </row>
    <row r="598" spans="9:22" x14ac:dyDescent="0.25">
      <c r="I598" t="s">
        <v>178</v>
      </c>
      <c r="J598" t="s">
        <v>322</v>
      </c>
      <c r="K598">
        <v>0</v>
      </c>
      <c r="L598" t="s">
        <v>154</v>
      </c>
      <c r="N598" t="s">
        <v>208</v>
      </c>
      <c r="O598" t="s">
        <v>322</v>
      </c>
      <c r="P598">
        <v>3.3855899899474101E-2</v>
      </c>
      <c r="Q598" t="s">
        <v>154</v>
      </c>
      <c r="S598" t="s">
        <v>239</v>
      </c>
      <c r="T598" t="s">
        <v>322</v>
      </c>
      <c r="U598">
        <v>2.9800428321962922E-2</v>
      </c>
      <c r="V598" t="s">
        <v>154</v>
      </c>
    </row>
    <row r="599" spans="9:22" x14ac:dyDescent="0.25">
      <c r="I599" t="s">
        <v>179</v>
      </c>
      <c r="J599" t="s">
        <v>153</v>
      </c>
      <c r="K599">
        <v>0</v>
      </c>
      <c r="L599" t="s">
        <v>154</v>
      </c>
      <c r="N599" t="s">
        <v>209</v>
      </c>
      <c r="O599" t="s">
        <v>153</v>
      </c>
      <c r="P599">
        <v>3.5244606113593542E-2</v>
      </c>
      <c r="Q599" t="s">
        <v>154</v>
      </c>
      <c r="S599" t="s">
        <v>240</v>
      </c>
      <c r="T599" t="s">
        <v>153</v>
      </c>
      <c r="U599">
        <v>3.5917668557442328E-2</v>
      </c>
      <c r="V599" t="s">
        <v>154</v>
      </c>
    </row>
    <row r="600" spans="9:22" x14ac:dyDescent="0.25">
      <c r="I600" t="s">
        <v>179</v>
      </c>
      <c r="J600" t="s">
        <v>155</v>
      </c>
      <c r="K600">
        <v>2.9929115310071454E-3</v>
      </c>
      <c r="L600" t="s">
        <v>154</v>
      </c>
      <c r="N600" t="s">
        <v>209</v>
      </c>
      <c r="O600" t="s">
        <v>155</v>
      </c>
      <c r="P600">
        <v>9.8754304611009969E-3</v>
      </c>
      <c r="Q600" t="s">
        <v>154</v>
      </c>
      <c r="S600" t="s">
        <v>240</v>
      </c>
      <c r="T600" t="s">
        <v>155</v>
      </c>
      <c r="U600">
        <v>9.1272156483779843E-3</v>
      </c>
      <c r="V600" t="s">
        <v>154</v>
      </c>
    </row>
    <row r="601" spans="9:22" x14ac:dyDescent="0.25">
      <c r="I601" t="s">
        <v>179</v>
      </c>
      <c r="J601" t="s">
        <v>156</v>
      </c>
      <c r="K601">
        <v>5.8483522015820482E-3</v>
      </c>
      <c r="L601" t="s">
        <v>154</v>
      </c>
      <c r="N601" t="s">
        <v>209</v>
      </c>
      <c r="O601" t="s">
        <v>156</v>
      </c>
      <c r="P601">
        <v>4.7506938623056169E-3</v>
      </c>
      <c r="Q601" t="s">
        <v>154</v>
      </c>
      <c r="S601" t="s">
        <v>240</v>
      </c>
      <c r="T601" t="s">
        <v>156</v>
      </c>
      <c r="U601">
        <v>4.5080622176306697E-3</v>
      </c>
      <c r="V601" t="s">
        <v>154</v>
      </c>
    </row>
    <row r="602" spans="9:22" x14ac:dyDescent="0.25">
      <c r="I602" t="s">
        <v>179</v>
      </c>
      <c r="J602" t="s">
        <v>283</v>
      </c>
      <c r="K602">
        <v>5.2912279800679439E-2</v>
      </c>
      <c r="L602" t="s">
        <v>154</v>
      </c>
      <c r="N602" t="s">
        <v>209</v>
      </c>
      <c r="O602" t="s">
        <v>283</v>
      </c>
      <c r="P602">
        <v>3.3911190569739853E-2</v>
      </c>
      <c r="Q602" t="s">
        <v>154</v>
      </c>
      <c r="S602" t="s">
        <v>240</v>
      </c>
      <c r="T602" t="s">
        <v>283</v>
      </c>
      <c r="U602">
        <v>3.3067698565356719E-2</v>
      </c>
      <c r="V602" t="s">
        <v>154</v>
      </c>
    </row>
    <row r="603" spans="9:22" x14ac:dyDescent="0.25">
      <c r="I603" t="s">
        <v>179</v>
      </c>
      <c r="J603" t="s">
        <v>284</v>
      </c>
      <c r="K603">
        <v>3.7209756138212427E-4</v>
      </c>
      <c r="L603" t="s">
        <v>154</v>
      </c>
      <c r="N603" t="s">
        <v>209</v>
      </c>
      <c r="O603" t="s">
        <v>284</v>
      </c>
      <c r="P603">
        <v>5.0988622614550052E-3</v>
      </c>
      <c r="Q603" t="s">
        <v>154</v>
      </c>
      <c r="S603" t="s">
        <v>240</v>
      </c>
      <c r="T603" t="s">
        <v>284</v>
      </c>
      <c r="U603">
        <v>4.9735183973304521E-3</v>
      </c>
      <c r="V603" t="s">
        <v>154</v>
      </c>
    </row>
    <row r="604" spans="9:22" x14ac:dyDescent="0.25">
      <c r="I604" t="s">
        <v>179</v>
      </c>
      <c r="J604" t="s">
        <v>311</v>
      </c>
      <c r="K604">
        <v>0</v>
      </c>
      <c r="L604" t="s">
        <v>154</v>
      </c>
      <c r="N604" t="s">
        <v>209</v>
      </c>
      <c r="O604" t="s">
        <v>311</v>
      </c>
      <c r="P604">
        <v>5.0958755841288995E-3</v>
      </c>
      <c r="Q604" t="s">
        <v>154</v>
      </c>
      <c r="S604" t="s">
        <v>240</v>
      </c>
      <c r="T604" t="s">
        <v>311</v>
      </c>
      <c r="U604">
        <v>4.682671149745677E-3</v>
      </c>
      <c r="V604" t="s">
        <v>154</v>
      </c>
    </row>
    <row r="605" spans="9:22" x14ac:dyDescent="0.25">
      <c r="I605" t="s">
        <v>179</v>
      </c>
      <c r="J605" t="s">
        <v>312</v>
      </c>
      <c r="K605">
        <v>0</v>
      </c>
      <c r="L605" t="s">
        <v>154</v>
      </c>
      <c r="N605" t="s">
        <v>209</v>
      </c>
      <c r="O605" t="s">
        <v>312</v>
      </c>
      <c r="P605">
        <v>2.3857561348186337E-2</v>
      </c>
      <c r="Q605" t="s">
        <v>154</v>
      </c>
      <c r="S605" t="s">
        <v>240</v>
      </c>
      <c r="T605" t="s">
        <v>312</v>
      </c>
      <c r="U605">
        <v>2.3208177017787122E-2</v>
      </c>
      <c r="V605" t="s">
        <v>154</v>
      </c>
    </row>
    <row r="606" spans="9:22" x14ac:dyDescent="0.25">
      <c r="I606" t="s">
        <v>179</v>
      </c>
      <c r="J606" t="s">
        <v>157</v>
      </c>
      <c r="K606">
        <v>0</v>
      </c>
      <c r="L606" t="s">
        <v>154</v>
      </c>
      <c r="N606" t="s">
        <v>209</v>
      </c>
      <c r="O606" t="s">
        <v>157</v>
      </c>
      <c r="P606">
        <v>8.5239073543527007E-3</v>
      </c>
      <c r="Q606" t="s">
        <v>154</v>
      </c>
      <c r="S606" t="s">
        <v>240</v>
      </c>
      <c r="T606" t="s">
        <v>157</v>
      </c>
      <c r="U606">
        <v>8.5731949728490905E-3</v>
      </c>
      <c r="V606" t="s">
        <v>154</v>
      </c>
    </row>
    <row r="607" spans="9:22" x14ac:dyDescent="0.25">
      <c r="I607" t="s">
        <v>179</v>
      </c>
      <c r="J607" t="s">
        <v>158</v>
      </c>
      <c r="K607">
        <v>1.1614210968961835E-3</v>
      </c>
      <c r="L607" t="s">
        <v>154</v>
      </c>
      <c r="N607" t="s">
        <v>209</v>
      </c>
      <c r="O607" t="s">
        <v>158</v>
      </c>
      <c r="P607">
        <v>2.7572194293020813E-3</v>
      </c>
      <c r="Q607" t="s">
        <v>154</v>
      </c>
      <c r="S607" t="s">
        <v>240</v>
      </c>
      <c r="T607" t="s">
        <v>158</v>
      </c>
      <c r="U607">
        <v>2.5457024913345602E-3</v>
      </c>
      <c r="V607" t="s">
        <v>154</v>
      </c>
    </row>
    <row r="608" spans="9:22" x14ac:dyDescent="0.25">
      <c r="I608" t="s">
        <v>179</v>
      </c>
      <c r="J608" t="s">
        <v>159</v>
      </c>
      <c r="K608">
        <v>2.2080387771887208E-3</v>
      </c>
      <c r="L608" t="s">
        <v>154</v>
      </c>
      <c r="N608" t="s">
        <v>209</v>
      </c>
      <c r="O608" t="s">
        <v>159</v>
      </c>
      <c r="P608">
        <v>1.4239280517977636E-3</v>
      </c>
      <c r="Q608" t="s">
        <v>154</v>
      </c>
      <c r="S608" t="s">
        <v>240</v>
      </c>
      <c r="T608" t="s">
        <v>159</v>
      </c>
      <c r="U608">
        <v>1.2093736283398061E-3</v>
      </c>
      <c r="V608" t="s">
        <v>154</v>
      </c>
    </row>
    <row r="609" spans="9:22" x14ac:dyDescent="0.25">
      <c r="I609" t="s">
        <v>179</v>
      </c>
      <c r="J609" t="s">
        <v>285</v>
      </c>
      <c r="K609">
        <v>1.8875234305212384E-2</v>
      </c>
      <c r="L609" t="s">
        <v>154</v>
      </c>
      <c r="N609" t="s">
        <v>209</v>
      </c>
      <c r="O609" t="s">
        <v>285</v>
      </c>
      <c r="P609">
        <v>1.0166909588778543E-2</v>
      </c>
      <c r="Q609" t="s">
        <v>154</v>
      </c>
      <c r="S609" t="s">
        <v>240</v>
      </c>
      <c r="T609" t="s">
        <v>285</v>
      </c>
      <c r="U609">
        <v>7.8649332912982435E-3</v>
      </c>
      <c r="V609" t="s">
        <v>154</v>
      </c>
    </row>
    <row r="610" spans="9:22" x14ac:dyDescent="0.25">
      <c r="I610" t="s">
        <v>179</v>
      </c>
      <c r="J610" t="s">
        <v>286</v>
      </c>
      <c r="K610">
        <v>9.9080403416439773E-4</v>
      </c>
      <c r="L610" t="s">
        <v>154</v>
      </c>
      <c r="N610" t="s">
        <v>209</v>
      </c>
      <c r="O610" t="s">
        <v>286</v>
      </c>
      <c r="P610">
        <v>1.4032562029765584E-3</v>
      </c>
      <c r="Q610" t="s">
        <v>154</v>
      </c>
      <c r="S610" t="s">
        <v>240</v>
      </c>
      <c r="T610" t="s">
        <v>286</v>
      </c>
      <c r="U610">
        <v>1.2493088021716503E-3</v>
      </c>
      <c r="V610" t="s">
        <v>154</v>
      </c>
    </row>
    <row r="611" spans="9:22" x14ac:dyDescent="0.25">
      <c r="I611" t="s">
        <v>179</v>
      </c>
      <c r="J611" t="s">
        <v>313</v>
      </c>
      <c r="K611">
        <v>0</v>
      </c>
      <c r="L611" t="s">
        <v>154</v>
      </c>
      <c r="N611" t="s">
        <v>209</v>
      </c>
      <c r="O611" t="s">
        <v>313</v>
      </c>
      <c r="P611">
        <v>1.4351162713003036E-3</v>
      </c>
      <c r="Q611" t="s">
        <v>154</v>
      </c>
      <c r="S611" t="s">
        <v>240</v>
      </c>
      <c r="T611" t="s">
        <v>313</v>
      </c>
      <c r="U611">
        <v>1.1608103464398668E-3</v>
      </c>
      <c r="V611" t="s">
        <v>154</v>
      </c>
    </row>
    <row r="612" spans="9:22" x14ac:dyDescent="0.25">
      <c r="I612" t="s">
        <v>179</v>
      </c>
      <c r="J612" t="s">
        <v>314</v>
      </c>
      <c r="K612">
        <v>0</v>
      </c>
      <c r="L612" t="s">
        <v>154</v>
      </c>
      <c r="N612" t="s">
        <v>209</v>
      </c>
      <c r="O612" t="s">
        <v>314</v>
      </c>
      <c r="P612">
        <v>6.306441627987055E-3</v>
      </c>
      <c r="Q612" t="s">
        <v>154</v>
      </c>
      <c r="S612" t="s">
        <v>240</v>
      </c>
      <c r="T612" t="s">
        <v>314</v>
      </c>
      <c r="U612">
        <v>6.2843490005354725E-3</v>
      </c>
      <c r="V612" t="s">
        <v>154</v>
      </c>
    </row>
    <row r="613" spans="9:22" x14ac:dyDescent="0.25">
      <c r="I613" t="s">
        <v>179</v>
      </c>
      <c r="J613" t="s">
        <v>160</v>
      </c>
      <c r="K613">
        <v>1.9339342035685943E-2</v>
      </c>
      <c r="L613" t="s">
        <v>154</v>
      </c>
      <c r="N613" t="s">
        <v>209</v>
      </c>
      <c r="O613" t="s">
        <v>160</v>
      </c>
      <c r="P613">
        <v>0.16131422540563217</v>
      </c>
      <c r="Q613" t="s">
        <v>154</v>
      </c>
      <c r="S613" t="s">
        <v>240</v>
      </c>
      <c r="T613" t="s">
        <v>160</v>
      </c>
      <c r="U613">
        <v>0.18875617868678099</v>
      </c>
      <c r="V613" t="s">
        <v>154</v>
      </c>
    </row>
    <row r="614" spans="9:22" x14ac:dyDescent="0.25">
      <c r="I614" t="s">
        <v>179</v>
      </c>
      <c r="J614" t="s">
        <v>161</v>
      </c>
      <c r="K614">
        <v>9.271809474059596E-2</v>
      </c>
      <c r="L614" t="s">
        <v>154</v>
      </c>
      <c r="N614" t="s">
        <v>209</v>
      </c>
      <c r="O614" t="s">
        <v>161</v>
      </c>
      <c r="P614">
        <v>4.2826357126081772E-2</v>
      </c>
      <c r="Q614" t="s">
        <v>154</v>
      </c>
      <c r="S614" t="s">
        <v>240</v>
      </c>
      <c r="T614" t="s">
        <v>161</v>
      </c>
      <c r="U614">
        <v>4.4725633467195949E-2</v>
      </c>
      <c r="V614" t="s">
        <v>154</v>
      </c>
    </row>
    <row r="615" spans="9:22" x14ac:dyDescent="0.25">
      <c r="I615" t="s">
        <v>179</v>
      </c>
      <c r="J615" t="s">
        <v>162</v>
      </c>
      <c r="K615">
        <v>7.1303024272875853E-2</v>
      </c>
      <c r="L615" t="s">
        <v>154</v>
      </c>
      <c r="N615" t="s">
        <v>209</v>
      </c>
      <c r="O615" t="s">
        <v>162</v>
      </c>
      <c r="P615">
        <v>2.207441622041216E-2</v>
      </c>
      <c r="Q615" t="s">
        <v>154</v>
      </c>
      <c r="S615" t="s">
        <v>240</v>
      </c>
      <c r="T615" t="s">
        <v>162</v>
      </c>
      <c r="U615">
        <v>2.2227887997272964E-2</v>
      </c>
      <c r="V615" t="s">
        <v>154</v>
      </c>
    </row>
    <row r="616" spans="9:22" x14ac:dyDescent="0.25">
      <c r="I616" t="s">
        <v>179</v>
      </c>
      <c r="J616" t="s">
        <v>287</v>
      </c>
      <c r="K616">
        <v>0.53039829323689047</v>
      </c>
      <c r="L616" t="s">
        <v>154</v>
      </c>
      <c r="N616" t="s">
        <v>209</v>
      </c>
      <c r="O616" t="s">
        <v>287</v>
      </c>
      <c r="P616">
        <v>0.18652514525304084</v>
      </c>
      <c r="Q616" t="s">
        <v>154</v>
      </c>
      <c r="S616" t="s">
        <v>240</v>
      </c>
      <c r="T616" t="s">
        <v>287</v>
      </c>
      <c r="U616">
        <v>0.1640615790663803</v>
      </c>
      <c r="V616" t="s">
        <v>154</v>
      </c>
    </row>
    <row r="617" spans="9:22" x14ac:dyDescent="0.25">
      <c r="I617" t="s">
        <v>179</v>
      </c>
      <c r="J617" t="s">
        <v>288</v>
      </c>
      <c r="K617">
        <v>4.3271135698558442E-2</v>
      </c>
      <c r="L617" t="s">
        <v>154</v>
      </c>
      <c r="N617" t="s">
        <v>209</v>
      </c>
      <c r="O617" t="s">
        <v>288</v>
      </c>
      <c r="P617">
        <v>2.8720540824749459E-2</v>
      </c>
      <c r="Q617" t="s">
        <v>154</v>
      </c>
      <c r="S617" t="s">
        <v>240</v>
      </c>
      <c r="T617" t="s">
        <v>288</v>
      </c>
      <c r="U617">
        <v>2.6398792954497003E-2</v>
      </c>
      <c r="V617" t="s">
        <v>154</v>
      </c>
    </row>
    <row r="618" spans="9:22" x14ac:dyDescent="0.25">
      <c r="I618" t="s">
        <v>179</v>
      </c>
      <c r="J618" t="s">
        <v>315</v>
      </c>
      <c r="K618">
        <v>2.177147862677381E-2</v>
      </c>
      <c r="L618" t="s">
        <v>154</v>
      </c>
      <c r="N618" t="s">
        <v>209</v>
      </c>
      <c r="O618" t="s">
        <v>315</v>
      </c>
      <c r="P618">
        <v>2.8238574927850302E-2</v>
      </c>
      <c r="Q618" t="s">
        <v>154</v>
      </c>
      <c r="S618" t="s">
        <v>240</v>
      </c>
      <c r="T618" t="s">
        <v>315</v>
      </c>
      <c r="U618">
        <v>2.2725441747407829E-2</v>
      </c>
      <c r="V618" t="s">
        <v>154</v>
      </c>
    </row>
    <row r="619" spans="9:22" x14ac:dyDescent="0.25">
      <c r="I619" t="s">
        <v>179</v>
      </c>
      <c r="J619" t="s">
        <v>316</v>
      </c>
      <c r="K619">
        <v>6.3941683843773975E-3</v>
      </c>
      <c r="L619" t="s">
        <v>154</v>
      </c>
      <c r="N619" t="s">
        <v>209</v>
      </c>
      <c r="O619" t="s">
        <v>316</v>
      </c>
      <c r="P619">
        <v>0.12611320645588953</v>
      </c>
      <c r="Q619" t="s">
        <v>154</v>
      </c>
      <c r="S619" t="s">
        <v>240</v>
      </c>
      <c r="T619" t="s">
        <v>316</v>
      </c>
      <c r="U619">
        <v>0.12948115784648584</v>
      </c>
      <c r="V619" t="s">
        <v>154</v>
      </c>
    </row>
    <row r="620" spans="9:22" x14ac:dyDescent="0.25">
      <c r="I620" t="s">
        <v>179</v>
      </c>
      <c r="J620" t="s">
        <v>163</v>
      </c>
      <c r="K620">
        <v>0</v>
      </c>
      <c r="L620" t="s">
        <v>154</v>
      </c>
      <c r="N620" t="s">
        <v>209</v>
      </c>
      <c r="O620" t="s">
        <v>163</v>
      </c>
      <c r="P620">
        <v>1.3545428729793736E-2</v>
      </c>
      <c r="Q620" t="s">
        <v>154</v>
      </c>
      <c r="S620" t="s">
        <v>240</v>
      </c>
      <c r="T620" t="s">
        <v>163</v>
      </c>
      <c r="U620">
        <v>1.2881410014794434E-2</v>
      </c>
      <c r="V620" t="s">
        <v>154</v>
      </c>
    </row>
    <row r="621" spans="9:22" x14ac:dyDescent="0.25">
      <c r="I621" t="s">
        <v>179</v>
      </c>
      <c r="J621" t="s">
        <v>164</v>
      </c>
      <c r="K621">
        <v>3.1240740676197302E-3</v>
      </c>
      <c r="L621" t="s">
        <v>154</v>
      </c>
      <c r="N621" t="s">
        <v>209</v>
      </c>
      <c r="O621" t="s">
        <v>164</v>
      </c>
      <c r="P621">
        <v>3.5625289916942538E-3</v>
      </c>
      <c r="Q621" t="s">
        <v>154</v>
      </c>
      <c r="S621" t="s">
        <v>240</v>
      </c>
      <c r="T621" t="s">
        <v>164</v>
      </c>
      <c r="U621">
        <v>3.6598159202901582E-3</v>
      </c>
      <c r="V621" t="s">
        <v>154</v>
      </c>
    </row>
    <row r="622" spans="9:22" x14ac:dyDescent="0.25">
      <c r="I622" t="s">
        <v>179</v>
      </c>
      <c r="J622" t="s">
        <v>165</v>
      </c>
      <c r="K622">
        <v>2.7853152148662685E-3</v>
      </c>
      <c r="L622" t="s">
        <v>154</v>
      </c>
      <c r="N622" t="s">
        <v>209</v>
      </c>
      <c r="O622" t="s">
        <v>165</v>
      </c>
      <c r="P622">
        <v>1.7317881434271039E-3</v>
      </c>
      <c r="Q622" t="s">
        <v>154</v>
      </c>
      <c r="S622" t="s">
        <v>240</v>
      </c>
      <c r="T622" t="s">
        <v>165</v>
      </c>
      <c r="U622">
        <v>1.9116114673278096E-3</v>
      </c>
      <c r="V622" t="s">
        <v>154</v>
      </c>
    </row>
    <row r="623" spans="9:22" x14ac:dyDescent="0.25">
      <c r="I623" t="s">
        <v>179</v>
      </c>
      <c r="J623" t="s">
        <v>289</v>
      </c>
      <c r="K623">
        <v>1.9231404199594883E-2</v>
      </c>
      <c r="L623" t="s">
        <v>154</v>
      </c>
      <c r="N623" t="s">
        <v>209</v>
      </c>
      <c r="O623" t="s">
        <v>289</v>
      </c>
      <c r="P623">
        <v>1.153960891894704E-2</v>
      </c>
      <c r="Q623" t="s">
        <v>154</v>
      </c>
      <c r="S623" t="s">
        <v>240</v>
      </c>
      <c r="T623" t="s">
        <v>289</v>
      </c>
      <c r="U623">
        <v>1.3460812226794548E-2</v>
      </c>
      <c r="V623" t="s">
        <v>154</v>
      </c>
    </row>
    <row r="624" spans="9:22" x14ac:dyDescent="0.25">
      <c r="I624" t="s">
        <v>179</v>
      </c>
      <c r="J624" t="s">
        <v>290</v>
      </c>
      <c r="K624">
        <v>5.1680487310174416E-4</v>
      </c>
      <c r="L624" t="s">
        <v>154</v>
      </c>
      <c r="N624" t="s">
        <v>209</v>
      </c>
      <c r="O624" t="s">
        <v>290</v>
      </c>
      <c r="P624">
        <v>1.6988971852934819E-3</v>
      </c>
      <c r="Q624" t="s">
        <v>154</v>
      </c>
      <c r="S624" t="s">
        <v>240</v>
      </c>
      <c r="T624" t="s">
        <v>290</v>
      </c>
      <c r="U624">
        <v>2.0561664316852174E-3</v>
      </c>
      <c r="V624" t="s">
        <v>154</v>
      </c>
    </row>
    <row r="625" spans="9:22" x14ac:dyDescent="0.25">
      <c r="I625" t="s">
        <v>179</v>
      </c>
      <c r="J625" t="s">
        <v>317</v>
      </c>
      <c r="K625">
        <v>0</v>
      </c>
      <c r="L625" t="s">
        <v>154</v>
      </c>
      <c r="N625" t="s">
        <v>209</v>
      </c>
      <c r="O625" t="s">
        <v>317</v>
      </c>
      <c r="P625">
        <v>1.7459506593480762E-3</v>
      </c>
      <c r="Q625" t="s">
        <v>154</v>
      </c>
      <c r="S625" t="s">
        <v>240</v>
      </c>
      <c r="T625" t="s">
        <v>317</v>
      </c>
      <c r="U625">
        <v>1.8952376167048809E-3</v>
      </c>
      <c r="V625" t="s">
        <v>154</v>
      </c>
    </row>
    <row r="626" spans="9:22" x14ac:dyDescent="0.25">
      <c r="I626" t="s">
        <v>179</v>
      </c>
      <c r="J626" t="s">
        <v>318</v>
      </c>
      <c r="K626">
        <v>0</v>
      </c>
      <c r="L626" t="s">
        <v>154</v>
      </c>
      <c r="N626" t="s">
        <v>209</v>
      </c>
      <c r="O626" t="s">
        <v>318</v>
      </c>
      <c r="P626">
        <v>7.8988613793770698E-3</v>
      </c>
      <c r="Q626" t="s">
        <v>154</v>
      </c>
      <c r="S626" t="s">
        <v>240</v>
      </c>
      <c r="T626" t="s">
        <v>318</v>
      </c>
      <c r="U626">
        <v>9.6240275137744555E-3</v>
      </c>
      <c r="V626" t="s">
        <v>154</v>
      </c>
    </row>
    <row r="627" spans="9:22" x14ac:dyDescent="0.25">
      <c r="I627" t="s">
        <v>179</v>
      </c>
      <c r="J627" t="s">
        <v>297</v>
      </c>
      <c r="K627">
        <v>0</v>
      </c>
      <c r="L627" t="s">
        <v>154</v>
      </c>
      <c r="N627" t="s">
        <v>209</v>
      </c>
      <c r="O627" t="s">
        <v>297</v>
      </c>
      <c r="P627">
        <v>1.7686331479531619E-2</v>
      </c>
      <c r="Q627" t="s">
        <v>154</v>
      </c>
      <c r="S627" t="s">
        <v>240</v>
      </c>
      <c r="T627" t="s">
        <v>297</v>
      </c>
      <c r="U627">
        <v>2.0685821163327605E-2</v>
      </c>
      <c r="V627" t="s">
        <v>154</v>
      </c>
    </row>
    <row r="628" spans="9:22" x14ac:dyDescent="0.25">
      <c r="I628" t="s">
        <v>179</v>
      </c>
      <c r="J628" t="s">
        <v>298</v>
      </c>
      <c r="K628">
        <v>5.0747383593455538E-3</v>
      </c>
      <c r="L628" t="s">
        <v>154</v>
      </c>
      <c r="N628" t="s">
        <v>209</v>
      </c>
      <c r="O628" t="s">
        <v>298</v>
      </c>
      <c r="P628">
        <v>4.8418730444486045E-3</v>
      </c>
      <c r="Q628" t="s">
        <v>154</v>
      </c>
      <c r="S628" t="s">
        <v>240</v>
      </c>
      <c r="T628" t="s">
        <v>298</v>
      </c>
      <c r="U628">
        <v>6.0984571864655009E-3</v>
      </c>
      <c r="V628" t="s">
        <v>154</v>
      </c>
    </row>
    <row r="629" spans="9:22" x14ac:dyDescent="0.25">
      <c r="I629" t="s">
        <v>179</v>
      </c>
      <c r="J629" t="s">
        <v>299</v>
      </c>
      <c r="K629">
        <v>5.5830035354312571E-3</v>
      </c>
      <c r="L629" t="s">
        <v>154</v>
      </c>
      <c r="N629" t="s">
        <v>209</v>
      </c>
      <c r="O629" t="s">
        <v>299</v>
      </c>
      <c r="P629">
        <v>2.6070977965669149E-3</v>
      </c>
      <c r="Q629" t="s">
        <v>154</v>
      </c>
      <c r="S629" t="s">
        <v>240</v>
      </c>
      <c r="T629" t="s">
        <v>299</v>
      </c>
      <c r="U629">
        <v>2.966387530226525E-3</v>
      </c>
      <c r="V629" t="s">
        <v>154</v>
      </c>
    </row>
    <row r="630" spans="9:22" x14ac:dyDescent="0.25">
      <c r="I630" t="s">
        <v>179</v>
      </c>
      <c r="J630" t="s">
        <v>300</v>
      </c>
      <c r="K630">
        <v>3.7335528190030956E-2</v>
      </c>
      <c r="L630" t="s">
        <v>154</v>
      </c>
      <c r="N630" t="s">
        <v>209</v>
      </c>
      <c r="O630" t="s">
        <v>300</v>
      </c>
      <c r="P630">
        <v>2.3380468477460604E-2</v>
      </c>
      <c r="Q630" t="s">
        <v>154</v>
      </c>
      <c r="S630" t="s">
        <v>240</v>
      </c>
      <c r="T630" t="s">
        <v>300</v>
      </c>
      <c r="U630">
        <v>1.9935299991219336E-2</v>
      </c>
      <c r="V630" t="s">
        <v>154</v>
      </c>
    </row>
    <row r="631" spans="9:22" x14ac:dyDescent="0.25">
      <c r="I631" t="s">
        <v>179</v>
      </c>
      <c r="J631" t="s">
        <v>301</v>
      </c>
      <c r="K631">
        <v>0</v>
      </c>
      <c r="L631" t="s">
        <v>154</v>
      </c>
      <c r="N631" t="s">
        <v>209</v>
      </c>
      <c r="O631" t="s">
        <v>301</v>
      </c>
      <c r="P631">
        <v>3.5090709563624298E-3</v>
      </c>
      <c r="Q631" t="s">
        <v>154</v>
      </c>
      <c r="S631" t="s">
        <v>240</v>
      </c>
      <c r="T631" t="s">
        <v>301</v>
      </c>
      <c r="U631">
        <v>2.9782960519817835E-3</v>
      </c>
      <c r="V631" t="s">
        <v>154</v>
      </c>
    </row>
    <row r="632" spans="9:22" x14ac:dyDescent="0.25">
      <c r="I632" t="s">
        <v>179</v>
      </c>
      <c r="J632" t="s">
        <v>319</v>
      </c>
      <c r="K632">
        <v>0</v>
      </c>
      <c r="L632" t="s">
        <v>154</v>
      </c>
      <c r="N632" t="s">
        <v>209</v>
      </c>
      <c r="O632" t="s">
        <v>319</v>
      </c>
      <c r="P632">
        <v>3.2830736881248167E-3</v>
      </c>
      <c r="Q632" t="s">
        <v>154</v>
      </c>
      <c r="S632" t="s">
        <v>240</v>
      </c>
      <c r="T632" t="s">
        <v>319</v>
      </c>
      <c r="U632">
        <v>2.7903406902189121E-3</v>
      </c>
      <c r="V632" t="s">
        <v>154</v>
      </c>
    </row>
    <row r="633" spans="9:22" x14ac:dyDescent="0.25">
      <c r="I633" t="s">
        <v>179</v>
      </c>
      <c r="J633" t="s">
        <v>320</v>
      </c>
      <c r="K633">
        <v>0</v>
      </c>
      <c r="L633" t="s">
        <v>154</v>
      </c>
      <c r="N633" t="s">
        <v>209</v>
      </c>
      <c r="O633" t="s">
        <v>320</v>
      </c>
      <c r="P633">
        <v>1.3790707381500547E-2</v>
      </c>
      <c r="Q633" t="s">
        <v>154</v>
      </c>
      <c r="S633" t="s">
        <v>240</v>
      </c>
      <c r="T633" t="s">
        <v>320</v>
      </c>
      <c r="U633">
        <v>1.4049309413232647E-2</v>
      </c>
      <c r="V633" t="s">
        <v>154</v>
      </c>
    </row>
    <row r="634" spans="9:22" x14ac:dyDescent="0.25">
      <c r="I634" t="s">
        <v>179</v>
      </c>
      <c r="J634" t="s">
        <v>302</v>
      </c>
      <c r="K634">
        <v>0</v>
      </c>
      <c r="L634" t="s">
        <v>154</v>
      </c>
      <c r="N634" t="s">
        <v>209</v>
      </c>
      <c r="O634" t="s">
        <v>302</v>
      </c>
      <c r="P634">
        <v>3.8589066907682906E-2</v>
      </c>
      <c r="Q634" t="s">
        <v>154</v>
      </c>
      <c r="S634" t="s">
        <v>240</v>
      </c>
      <c r="T634" t="s">
        <v>302</v>
      </c>
      <c r="U634">
        <v>4.3290357191392827E-2</v>
      </c>
      <c r="V634" t="s">
        <v>154</v>
      </c>
    </row>
    <row r="635" spans="9:22" x14ac:dyDescent="0.25">
      <c r="I635" t="s">
        <v>179</v>
      </c>
      <c r="J635" t="s">
        <v>303</v>
      </c>
      <c r="K635">
        <v>3.5452730605669827E-3</v>
      </c>
      <c r="L635" t="s">
        <v>154</v>
      </c>
      <c r="N635" t="s">
        <v>209</v>
      </c>
      <c r="O635" t="s">
        <v>303</v>
      </c>
      <c r="P635">
        <v>1.0981545315410427E-2</v>
      </c>
      <c r="Q635" t="s">
        <v>154</v>
      </c>
      <c r="S635" t="s">
        <v>240</v>
      </c>
      <c r="T635" t="s">
        <v>303</v>
      </c>
      <c r="U635">
        <v>1.1649587783042321E-2</v>
      </c>
      <c r="V635" t="s">
        <v>154</v>
      </c>
    </row>
    <row r="636" spans="9:22" x14ac:dyDescent="0.25">
      <c r="I636" t="s">
        <v>179</v>
      </c>
      <c r="J636" t="s">
        <v>304</v>
      </c>
      <c r="K636">
        <v>6.2676624356889825E-3</v>
      </c>
      <c r="L636" t="s">
        <v>154</v>
      </c>
      <c r="N636" t="s">
        <v>209</v>
      </c>
      <c r="O636" t="s">
        <v>304</v>
      </c>
      <c r="P636">
        <v>5.511413788652891E-3</v>
      </c>
      <c r="Q636" t="s">
        <v>154</v>
      </c>
      <c r="S636" t="s">
        <v>240</v>
      </c>
      <c r="T636" t="s">
        <v>304</v>
      </c>
      <c r="U636">
        <v>5.768258132250334E-3</v>
      </c>
      <c r="V636" t="s">
        <v>154</v>
      </c>
    </row>
    <row r="637" spans="9:22" x14ac:dyDescent="0.25">
      <c r="I637" t="s">
        <v>179</v>
      </c>
      <c r="J637" t="s">
        <v>305</v>
      </c>
      <c r="K637">
        <v>4.5979519759884901E-2</v>
      </c>
      <c r="L637" t="s">
        <v>154</v>
      </c>
      <c r="N637" t="s">
        <v>209</v>
      </c>
      <c r="O637" t="s">
        <v>305</v>
      </c>
      <c r="P637">
        <v>4.5618294638489425E-2</v>
      </c>
      <c r="Q637" t="s">
        <v>154</v>
      </c>
      <c r="S637" t="s">
        <v>240</v>
      </c>
      <c r="T637" t="s">
        <v>305</v>
      </c>
      <c r="U637">
        <v>4.030093378534242E-2</v>
      </c>
      <c r="V637" t="s">
        <v>154</v>
      </c>
    </row>
    <row r="638" spans="9:22" x14ac:dyDescent="0.25">
      <c r="I638" t="s">
        <v>179</v>
      </c>
      <c r="J638" t="s">
        <v>306</v>
      </c>
      <c r="K638">
        <v>0</v>
      </c>
      <c r="L638" t="s">
        <v>154</v>
      </c>
      <c r="N638" t="s">
        <v>209</v>
      </c>
      <c r="O638" t="s">
        <v>306</v>
      </c>
      <c r="P638">
        <v>6.6469115761394679E-3</v>
      </c>
      <c r="Q638" t="s">
        <v>154</v>
      </c>
      <c r="S638" t="s">
        <v>240</v>
      </c>
      <c r="T638" t="s">
        <v>306</v>
      </c>
      <c r="U638">
        <v>5.9583933918486839E-3</v>
      </c>
      <c r="V638" t="s">
        <v>154</v>
      </c>
    </row>
    <row r="639" spans="9:22" x14ac:dyDescent="0.25">
      <c r="I639" t="s">
        <v>179</v>
      </c>
      <c r="J639" t="s">
        <v>321</v>
      </c>
      <c r="K639">
        <v>0</v>
      </c>
      <c r="L639" t="s">
        <v>154</v>
      </c>
      <c r="N639" t="s">
        <v>209</v>
      </c>
      <c r="O639" t="s">
        <v>321</v>
      </c>
      <c r="P639">
        <v>6.4136552113767276E-3</v>
      </c>
      <c r="Q639" t="s">
        <v>154</v>
      </c>
      <c r="S639" t="s">
        <v>240</v>
      </c>
      <c r="T639" t="s">
        <v>321</v>
      </c>
      <c r="U639">
        <v>5.847135226806353E-3</v>
      </c>
      <c r="V639" t="s">
        <v>154</v>
      </c>
    </row>
    <row r="640" spans="9:22" x14ac:dyDescent="0.25">
      <c r="I640" t="s">
        <v>179</v>
      </c>
      <c r="J640" t="s">
        <v>322</v>
      </c>
      <c r="K640">
        <v>0</v>
      </c>
      <c r="L640" t="s">
        <v>154</v>
      </c>
      <c r="N640" t="s">
        <v>209</v>
      </c>
      <c r="O640" t="s">
        <v>322</v>
      </c>
      <c r="P640">
        <v>2.9753960789710394E-2</v>
      </c>
      <c r="Q640" t="s">
        <v>154</v>
      </c>
      <c r="S640" t="s">
        <v>240</v>
      </c>
      <c r="T640" t="s">
        <v>322</v>
      </c>
      <c r="U640">
        <v>2.9442985418614478E-2</v>
      </c>
      <c r="V640" t="s">
        <v>154</v>
      </c>
    </row>
    <row r="641" spans="9:22" x14ac:dyDescent="0.25">
      <c r="I641" t="s">
        <v>180</v>
      </c>
      <c r="J641" t="s">
        <v>153</v>
      </c>
      <c r="K641">
        <v>0</v>
      </c>
      <c r="L641" t="s">
        <v>154</v>
      </c>
      <c r="N641" t="s">
        <v>210</v>
      </c>
      <c r="O641" t="s">
        <v>153</v>
      </c>
      <c r="P641">
        <v>3.4398890256553273E-2</v>
      </c>
      <c r="Q641" t="s">
        <v>154</v>
      </c>
      <c r="S641" t="s">
        <v>241</v>
      </c>
      <c r="T641" t="s">
        <v>153</v>
      </c>
      <c r="U641">
        <v>4.2147644204863659E-2</v>
      </c>
      <c r="V641" t="s">
        <v>154</v>
      </c>
    </row>
    <row r="642" spans="9:22" x14ac:dyDescent="0.25">
      <c r="I642" t="s">
        <v>180</v>
      </c>
      <c r="J642" t="s">
        <v>155</v>
      </c>
      <c r="K642">
        <v>2.9833846125980139E-3</v>
      </c>
      <c r="L642" t="s">
        <v>154</v>
      </c>
      <c r="N642" t="s">
        <v>210</v>
      </c>
      <c r="O642" t="s">
        <v>155</v>
      </c>
      <c r="P642">
        <v>7.3826824850522802E-3</v>
      </c>
      <c r="Q642" t="s">
        <v>154</v>
      </c>
      <c r="S642" t="s">
        <v>241</v>
      </c>
      <c r="T642" t="s">
        <v>155</v>
      </c>
      <c r="U642">
        <v>1.1212857256445746E-2</v>
      </c>
      <c r="V642" t="s">
        <v>154</v>
      </c>
    </row>
    <row r="643" spans="9:22" x14ac:dyDescent="0.25">
      <c r="I643" t="s">
        <v>180</v>
      </c>
      <c r="J643" t="s">
        <v>156</v>
      </c>
      <c r="K643">
        <v>5.8155259514990829E-3</v>
      </c>
      <c r="L643" t="s">
        <v>154</v>
      </c>
      <c r="N643" t="s">
        <v>210</v>
      </c>
      <c r="O643" t="s">
        <v>156</v>
      </c>
      <c r="P643">
        <v>3.6726457212082398E-3</v>
      </c>
      <c r="Q643" t="s">
        <v>154</v>
      </c>
      <c r="S643" t="s">
        <v>241</v>
      </c>
      <c r="T643" t="s">
        <v>156</v>
      </c>
      <c r="U643">
        <v>5.6754643531114427E-3</v>
      </c>
      <c r="V643" t="s">
        <v>154</v>
      </c>
    </row>
    <row r="644" spans="9:22" x14ac:dyDescent="0.25">
      <c r="I644" t="s">
        <v>180</v>
      </c>
      <c r="J644" t="s">
        <v>283</v>
      </c>
      <c r="K644">
        <v>5.0793159502349763E-2</v>
      </c>
      <c r="L644" t="s">
        <v>154</v>
      </c>
      <c r="N644" t="s">
        <v>210</v>
      </c>
      <c r="O644" t="s">
        <v>283</v>
      </c>
      <c r="P644">
        <v>3.4218804689764223E-2</v>
      </c>
      <c r="Q644" t="s">
        <v>154</v>
      </c>
      <c r="S644" t="s">
        <v>241</v>
      </c>
      <c r="T644" t="s">
        <v>283</v>
      </c>
      <c r="U644">
        <v>3.9558911211592308E-2</v>
      </c>
      <c r="V644" t="s">
        <v>154</v>
      </c>
    </row>
    <row r="645" spans="9:22" x14ac:dyDescent="0.25">
      <c r="I645" t="s">
        <v>180</v>
      </c>
      <c r="J645" t="s">
        <v>284</v>
      </c>
      <c r="K645">
        <v>2.6560430327352702E-4</v>
      </c>
      <c r="L645" t="s">
        <v>154</v>
      </c>
      <c r="N645" t="s">
        <v>210</v>
      </c>
      <c r="O645" t="s">
        <v>284</v>
      </c>
      <c r="P645">
        <v>5.7804104872022843E-3</v>
      </c>
      <c r="Q645" t="s">
        <v>154</v>
      </c>
      <c r="S645" t="s">
        <v>241</v>
      </c>
      <c r="T645" t="s">
        <v>284</v>
      </c>
      <c r="U645">
        <v>5.3815426811298899E-3</v>
      </c>
      <c r="V645" t="s">
        <v>154</v>
      </c>
    </row>
    <row r="646" spans="9:22" x14ac:dyDescent="0.25">
      <c r="I646" t="s">
        <v>180</v>
      </c>
      <c r="J646" t="s">
        <v>311</v>
      </c>
      <c r="K646">
        <v>0</v>
      </c>
      <c r="L646" t="s">
        <v>154</v>
      </c>
      <c r="N646" t="s">
        <v>210</v>
      </c>
      <c r="O646" t="s">
        <v>311</v>
      </c>
      <c r="P646">
        <v>5.7606356473289093E-3</v>
      </c>
      <c r="Q646" t="s">
        <v>154</v>
      </c>
      <c r="S646" t="s">
        <v>241</v>
      </c>
      <c r="T646" t="s">
        <v>311</v>
      </c>
      <c r="U646">
        <v>5.474452096893177E-3</v>
      </c>
      <c r="V646" t="s">
        <v>154</v>
      </c>
    </row>
    <row r="647" spans="9:22" x14ac:dyDescent="0.25">
      <c r="I647" t="s">
        <v>180</v>
      </c>
      <c r="J647" t="s">
        <v>312</v>
      </c>
      <c r="K647">
        <v>0</v>
      </c>
      <c r="L647" t="s">
        <v>154</v>
      </c>
      <c r="N647" t="s">
        <v>210</v>
      </c>
      <c r="O647" t="s">
        <v>312</v>
      </c>
      <c r="P647">
        <v>2.6046521091763655E-2</v>
      </c>
      <c r="Q647" t="s">
        <v>154</v>
      </c>
      <c r="S647" t="s">
        <v>241</v>
      </c>
      <c r="T647" t="s">
        <v>312</v>
      </c>
      <c r="U647">
        <v>2.6952311786712885E-2</v>
      </c>
      <c r="V647" t="s">
        <v>154</v>
      </c>
    </row>
    <row r="648" spans="9:22" x14ac:dyDescent="0.25">
      <c r="I648" t="s">
        <v>180</v>
      </c>
      <c r="J648" t="s">
        <v>157</v>
      </c>
      <c r="K648">
        <v>0</v>
      </c>
      <c r="L648" t="s">
        <v>154</v>
      </c>
      <c r="N648" t="s">
        <v>210</v>
      </c>
      <c r="O648" t="s">
        <v>157</v>
      </c>
      <c r="P648">
        <v>9.8106910966420154E-3</v>
      </c>
      <c r="Q648" t="s">
        <v>154</v>
      </c>
      <c r="S648" t="s">
        <v>241</v>
      </c>
      <c r="T648" t="s">
        <v>157</v>
      </c>
      <c r="U648">
        <v>5.3588823552746384E-3</v>
      </c>
      <c r="V648" t="s">
        <v>154</v>
      </c>
    </row>
    <row r="649" spans="9:22" x14ac:dyDescent="0.25">
      <c r="I649" t="s">
        <v>180</v>
      </c>
      <c r="J649" t="s">
        <v>158</v>
      </c>
      <c r="K649">
        <v>1.002399753247122E-3</v>
      </c>
      <c r="L649" t="s">
        <v>154</v>
      </c>
      <c r="N649" t="s">
        <v>210</v>
      </c>
      <c r="O649" t="s">
        <v>158</v>
      </c>
      <c r="P649">
        <v>2.2844075005672548E-3</v>
      </c>
      <c r="Q649" t="s">
        <v>154</v>
      </c>
      <c r="S649" t="s">
        <v>241</v>
      </c>
      <c r="T649" t="s">
        <v>158</v>
      </c>
      <c r="U649">
        <v>1.4668487299547305E-3</v>
      </c>
      <c r="V649" t="s">
        <v>154</v>
      </c>
    </row>
    <row r="650" spans="9:22" x14ac:dyDescent="0.25">
      <c r="I650" t="s">
        <v>180</v>
      </c>
      <c r="J650" t="s">
        <v>159</v>
      </c>
      <c r="K650">
        <v>1.9908797791447263E-3</v>
      </c>
      <c r="L650" t="s">
        <v>154</v>
      </c>
      <c r="N650" t="s">
        <v>210</v>
      </c>
      <c r="O650" t="s">
        <v>159</v>
      </c>
      <c r="P650">
        <v>1.2612686272835288E-3</v>
      </c>
      <c r="Q650" t="s">
        <v>154</v>
      </c>
      <c r="S650" t="s">
        <v>241</v>
      </c>
      <c r="T650" t="s">
        <v>159</v>
      </c>
      <c r="U650">
        <v>6.7417520761384718E-4</v>
      </c>
      <c r="V650" t="s">
        <v>154</v>
      </c>
    </row>
    <row r="651" spans="9:22" x14ac:dyDescent="0.25">
      <c r="I651" t="s">
        <v>180</v>
      </c>
      <c r="J651" t="s">
        <v>285</v>
      </c>
      <c r="K651">
        <v>1.7625151334688657E-2</v>
      </c>
      <c r="L651" t="s">
        <v>154</v>
      </c>
      <c r="N651" t="s">
        <v>210</v>
      </c>
      <c r="O651" t="s">
        <v>285</v>
      </c>
      <c r="P651">
        <v>9.2123182511284641E-3</v>
      </c>
      <c r="Q651" t="s">
        <v>154</v>
      </c>
      <c r="S651" t="s">
        <v>241</v>
      </c>
      <c r="T651" t="s">
        <v>285</v>
      </c>
      <c r="U651">
        <v>6.4941134246176016E-3</v>
      </c>
      <c r="V651" t="s">
        <v>154</v>
      </c>
    </row>
    <row r="652" spans="9:22" x14ac:dyDescent="0.25">
      <c r="I652" t="s">
        <v>180</v>
      </c>
      <c r="J652" t="s">
        <v>286</v>
      </c>
      <c r="K652">
        <v>9.667697345712874E-4</v>
      </c>
      <c r="L652" t="s">
        <v>154</v>
      </c>
      <c r="N652" t="s">
        <v>210</v>
      </c>
      <c r="O652" t="s">
        <v>286</v>
      </c>
      <c r="P652">
        <v>1.299487430868545E-3</v>
      </c>
      <c r="Q652" t="s">
        <v>154</v>
      </c>
      <c r="S652" t="s">
        <v>241</v>
      </c>
      <c r="T652" t="s">
        <v>286</v>
      </c>
      <c r="U652">
        <v>1.0079007151844923E-3</v>
      </c>
      <c r="V652" t="s">
        <v>154</v>
      </c>
    </row>
    <row r="653" spans="9:22" x14ac:dyDescent="0.25">
      <c r="I653" t="s">
        <v>180</v>
      </c>
      <c r="J653" t="s">
        <v>313</v>
      </c>
      <c r="K653">
        <v>0</v>
      </c>
      <c r="L653" t="s">
        <v>154</v>
      </c>
      <c r="N653" t="s">
        <v>210</v>
      </c>
      <c r="O653" t="s">
        <v>313</v>
      </c>
      <c r="P653">
        <v>1.2753988438690207E-3</v>
      </c>
      <c r="Q653" t="s">
        <v>154</v>
      </c>
      <c r="S653" t="s">
        <v>241</v>
      </c>
      <c r="T653" t="s">
        <v>313</v>
      </c>
      <c r="U653">
        <v>9.7693527561836923E-4</v>
      </c>
      <c r="V653" t="s">
        <v>154</v>
      </c>
    </row>
    <row r="654" spans="9:22" x14ac:dyDescent="0.25">
      <c r="I654" t="s">
        <v>180</v>
      </c>
      <c r="J654" t="s">
        <v>314</v>
      </c>
      <c r="K654">
        <v>0</v>
      </c>
      <c r="L654" t="s">
        <v>154</v>
      </c>
      <c r="N654" t="s">
        <v>210</v>
      </c>
      <c r="O654" t="s">
        <v>314</v>
      </c>
      <c r="P654">
        <v>5.7599870911426623E-3</v>
      </c>
      <c r="Q654" t="s">
        <v>154</v>
      </c>
      <c r="S654" t="s">
        <v>241</v>
      </c>
      <c r="T654" t="s">
        <v>314</v>
      </c>
      <c r="U654">
        <v>4.0243215539003006E-3</v>
      </c>
      <c r="V654" t="s">
        <v>154</v>
      </c>
    </row>
    <row r="655" spans="9:22" x14ac:dyDescent="0.25">
      <c r="I655" t="s">
        <v>180</v>
      </c>
      <c r="J655" t="s">
        <v>160</v>
      </c>
      <c r="K655">
        <v>1.9558624360567392E-2</v>
      </c>
      <c r="L655" t="s">
        <v>154</v>
      </c>
      <c r="N655" t="s">
        <v>210</v>
      </c>
      <c r="O655" t="s">
        <v>160</v>
      </c>
      <c r="P655">
        <v>0.18079403724935611</v>
      </c>
      <c r="Q655" t="s">
        <v>154</v>
      </c>
      <c r="S655" t="s">
        <v>241</v>
      </c>
      <c r="T655" t="s">
        <v>160</v>
      </c>
      <c r="U655">
        <v>0.16983232358078004</v>
      </c>
      <c r="V655" t="s">
        <v>154</v>
      </c>
    </row>
    <row r="656" spans="9:22" x14ac:dyDescent="0.25">
      <c r="I656" t="s">
        <v>180</v>
      </c>
      <c r="J656" t="s">
        <v>161</v>
      </c>
      <c r="K656">
        <v>9.2548818186386939E-2</v>
      </c>
      <c r="L656" t="s">
        <v>154</v>
      </c>
      <c r="N656" t="s">
        <v>210</v>
      </c>
      <c r="O656" t="s">
        <v>161</v>
      </c>
      <c r="P656">
        <v>4.3394268397837332E-2</v>
      </c>
      <c r="Q656" t="s">
        <v>154</v>
      </c>
      <c r="S656" t="s">
        <v>241</v>
      </c>
      <c r="T656" t="s">
        <v>161</v>
      </c>
      <c r="U656">
        <v>4.2864800050187397E-2</v>
      </c>
      <c r="V656" t="s">
        <v>154</v>
      </c>
    </row>
    <row r="657" spans="9:22" x14ac:dyDescent="0.25">
      <c r="I657" t="s">
        <v>180</v>
      </c>
      <c r="J657" t="s">
        <v>162</v>
      </c>
      <c r="K657">
        <v>7.1626139235683006E-2</v>
      </c>
      <c r="L657" t="s">
        <v>154</v>
      </c>
      <c r="N657" t="s">
        <v>210</v>
      </c>
      <c r="O657" t="s">
        <v>162</v>
      </c>
      <c r="P657">
        <v>2.284361978917536E-2</v>
      </c>
      <c r="Q657" t="s">
        <v>154</v>
      </c>
      <c r="S657" t="s">
        <v>241</v>
      </c>
      <c r="T657" t="s">
        <v>162</v>
      </c>
      <c r="U657">
        <v>2.2782994507616724E-2</v>
      </c>
      <c r="V657" t="s">
        <v>154</v>
      </c>
    </row>
    <row r="658" spans="9:22" x14ac:dyDescent="0.25">
      <c r="I658" t="s">
        <v>180</v>
      </c>
      <c r="J658" t="s">
        <v>287</v>
      </c>
      <c r="K658">
        <v>0.53691147506643333</v>
      </c>
      <c r="L658" t="s">
        <v>154</v>
      </c>
      <c r="N658" t="s">
        <v>210</v>
      </c>
      <c r="O658" t="s">
        <v>287</v>
      </c>
      <c r="P658">
        <v>0.17964285711250125</v>
      </c>
      <c r="Q658" t="s">
        <v>154</v>
      </c>
      <c r="S658" t="s">
        <v>241</v>
      </c>
      <c r="T658" t="s">
        <v>287</v>
      </c>
      <c r="U658">
        <v>0.17498928614944012</v>
      </c>
      <c r="V658" t="s">
        <v>154</v>
      </c>
    </row>
    <row r="659" spans="9:22" x14ac:dyDescent="0.25">
      <c r="I659" t="s">
        <v>180</v>
      </c>
      <c r="J659" t="s">
        <v>288</v>
      </c>
      <c r="K659">
        <v>4.3140507999646631E-2</v>
      </c>
      <c r="L659" t="s">
        <v>154</v>
      </c>
      <c r="N659" t="s">
        <v>210</v>
      </c>
      <c r="O659" t="s">
        <v>288</v>
      </c>
      <c r="P659">
        <v>2.6332029543627778E-2</v>
      </c>
      <c r="Q659" t="s">
        <v>154</v>
      </c>
      <c r="S659" t="s">
        <v>241</v>
      </c>
      <c r="T659" t="s">
        <v>288</v>
      </c>
      <c r="U659">
        <v>2.5263464336258628E-2</v>
      </c>
      <c r="V659" t="s">
        <v>154</v>
      </c>
    </row>
    <row r="660" spans="9:22" x14ac:dyDescent="0.25">
      <c r="I660" t="s">
        <v>180</v>
      </c>
      <c r="J660" t="s">
        <v>315</v>
      </c>
      <c r="K660">
        <v>2.1387723984409E-2</v>
      </c>
      <c r="L660" t="s">
        <v>154</v>
      </c>
      <c r="N660" t="s">
        <v>210</v>
      </c>
      <c r="O660" t="s">
        <v>315</v>
      </c>
      <c r="P660">
        <v>2.5589451662197425E-2</v>
      </c>
      <c r="Q660" t="s">
        <v>154</v>
      </c>
      <c r="S660" t="s">
        <v>241</v>
      </c>
      <c r="T660" t="s">
        <v>315</v>
      </c>
      <c r="U660">
        <v>2.4796983831965047E-2</v>
      </c>
      <c r="V660" t="s">
        <v>154</v>
      </c>
    </row>
    <row r="661" spans="9:22" x14ac:dyDescent="0.25">
      <c r="I661" t="s">
        <v>180</v>
      </c>
      <c r="J661" t="s">
        <v>316</v>
      </c>
      <c r="K661">
        <v>6.0853264725964692E-3</v>
      </c>
      <c r="L661" t="s">
        <v>154</v>
      </c>
      <c r="N661" t="s">
        <v>210</v>
      </c>
      <c r="O661" t="s">
        <v>316</v>
      </c>
      <c r="P661">
        <v>0.11319524951885587</v>
      </c>
      <c r="Q661" t="s">
        <v>154</v>
      </c>
      <c r="S661" t="s">
        <v>241</v>
      </c>
      <c r="T661" t="s">
        <v>316</v>
      </c>
      <c r="U661">
        <v>0.11923448291048737</v>
      </c>
      <c r="V661" t="s">
        <v>154</v>
      </c>
    </row>
    <row r="662" spans="9:22" x14ac:dyDescent="0.25">
      <c r="I662" t="s">
        <v>180</v>
      </c>
      <c r="J662" t="s">
        <v>163</v>
      </c>
      <c r="K662">
        <v>0</v>
      </c>
      <c r="L662" t="s">
        <v>154</v>
      </c>
      <c r="N662" t="s">
        <v>210</v>
      </c>
      <c r="O662" t="s">
        <v>163</v>
      </c>
      <c r="P662">
        <v>8.694454946142351E-3</v>
      </c>
      <c r="Q662" t="s">
        <v>154</v>
      </c>
      <c r="S662" t="s">
        <v>241</v>
      </c>
      <c r="T662" t="s">
        <v>163</v>
      </c>
      <c r="U662">
        <v>8.1060580045888581E-3</v>
      </c>
      <c r="V662" t="s">
        <v>154</v>
      </c>
    </row>
    <row r="663" spans="9:22" x14ac:dyDescent="0.25">
      <c r="I663" t="s">
        <v>180</v>
      </c>
      <c r="J663" t="s">
        <v>164</v>
      </c>
      <c r="K663">
        <v>3.3215758589068022E-3</v>
      </c>
      <c r="L663" t="s">
        <v>154</v>
      </c>
      <c r="N663" t="s">
        <v>210</v>
      </c>
      <c r="O663" t="s">
        <v>164</v>
      </c>
      <c r="P663">
        <v>2.4907413416872018E-3</v>
      </c>
      <c r="Q663" t="s">
        <v>154</v>
      </c>
      <c r="S663" t="s">
        <v>241</v>
      </c>
      <c r="T663" t="s">
        <v>164</v>
      </c>
      <c r="U663">
        <v>2.0586948768413285E-3</v>
      </c>
      <c r="V663" t="s">
        <v>154</v>
      </c>
    </row>
    <row r="664" spans="9:22" x14ac:dyDescent="0.25">
      <c r="I664" t="s">
        <v>180</v>
      </c>
      <c r="J664" t="s">
        <v>165</v>
      </c>
      <c r="K664">
        <v>2.832225971540407E-3</v>
      </c>
      <c r="L664" t="s">
        <v>154</v>
      </c>
      <c r="N664" t="s">
        <v>210</v>
      </c>
      <c r="O664" t="s">
        <v>165</v>
      </c>
      <c r="P664">
        <v>1.384202902838326E-3</v>
      </c>
      <c r="Q664" t="s">
        <v>154</v>
      </c>
      <c r="S664" t="s">
        <v>241</v>
      </c>
      <c r="T664" t="s">
        <v>165</v>
      </c>
      <c r="U664">
        <v>1.0581453877305143E-3</v>
      </c>
      <c r="V664" t="s">
        <v>154</v>
      </c>
    </row>
    <row r="665" spans="9:22" x14ac:dyDescent="0.25">
      <c r="I665" t="s">
        <v>180</v>
      </c>
      <c r="J665" t="s">
        <v>289</v>
      </c>
      <c r="K665">
        <v>1.9567119879464662E-2</v>
      </c>
      <c r="L665" t="s">
        <v>154</v>
      </c>
      <c r="N665" t="s">
        <v>210</v>
      </c>
      <c r="O665" t="s">
        <v>289</v>
      </c>
      <c r="P665">
        <v>9.3285330855167638E-3</v>
      </c>
      <c r="Q665" t="s">
        <v>154</v>
      </c>
      <c r="S665" t="s">
        <v>241</v>
      </c>
      <c r="T665" t="s">
        <v>289</v>
      </c>
      <c r="U665">
        <v>8.4005622071245817E-3</v>
      </c>
      <c r="V665" t="s">
        <v>154</v>
      </c>
    </row>
    <row r="666" spans="9:22" x14ac:dyDescent="0.25">
      <c r="I666" t="s">
        <v>180</v>
      </c>
      <c r="J666" t="s">
        <v>290</v>
      </c>
      <c r="K666">
        <v>3.4675551438765641E-4</v>
      </c>
      <c r="L666" t="s">
        <v>154</v>
      </c>
      <c r="N666" t="s">
        <v>210</v>
      </c>
      <c r="O666" t="s">
        <v>290</v>
      </c>
      <c r="P666">
        <v>1.3741574987600263E-3</v>
      </c>
      <c r="Q666" t="s">
        <v>154</v>
      </c>
      <c r="S666" t="s">
        <v>241</v>
      </c>
      <c r="T666" t="s">
        <v>290</v>
      </c>
      <c r="U666">
        <v>1.3861459457331193E-3</v>
      </c>
      <c r="V666" t="s">
        <v>154</v>
      </c>
    </row>
    <row r="667" spans="9:22" x14ac:dyDescent="0.25">
      <c r="I667" t="s">
        <v>180</v>
      </c>
      <c r="J667" t="s">
        <v>317</v>
      </c>
      <c r="K667">
        <v>0</v>
      </c>
      <c r="L667" t="s">
        <v>154</v>
      </c>
      <c r="N667" t="s">
        <v>210</v>
      </c>
      <c r="O667" t="s">
        <v>317</v>
      </c>
      <c r="P667">
        <v>1.4216346008619261E-3</v>
      </c>
      <c r="Q667" t="s">
        <v>154</v>
      </c>
      <c r="S667" t="s">
        <v>241</v>
      </c>
      <c r="T667" t="s">
        <v>317</v>
      </c>
      <c r="U667">
        <v>1.4134360063337021E-3</v>
      </c>
      <c r="V667" t="s">
        <v>154</v>
      </c>
    </row>
    <row r="668" spans="9:22" x14ac:dyDescent="0.25">
      <c r="I668" t="s">
        <v>180</v>
      </c>
      <c r="J668" t="s">
        <v>318</v>
      </c>
      <c r="K668">
        <v>0</v>
      </c>
      <c r="L668" t="s">
        <v>154</v>
      </c>
      <c r="N668" t="s">
        <v>210</v>
      </c>
      <c r="O668" t="s">
        <v>318</v>
      </c>
      <c r="P668">
        <v>6.044845587139319E-3</v>
      </c>
      <c r="Q668" t="s">
        <v>154</v>
      </c>
      <c r="S668" t="s">
        <v>241</v>
      </c>
      <c r="T668" t="s">
        <v>318</v>
      </c>
      <c r="U668">
        <v>6.2099726035498726E-3</v>
      </c>
      <c r="V668" t="s">
        <v>154</v>
      </c>
    </row>
    <row r="669" spans="9:22" x14ac:dyDescent="0.25">
      <c r="I669" t="s">
        <v>180</v>
      </c>
      <c r="J669" t="s">
        <v>297</v>
      </c>
      <c r="K669">
        <v>0</v>
      </c>
      <c r="L669" t="s">
        <v>154</v>
      </c>
      <c r="N669" t="s">
        <v>210</v>
      </c>
      <c r="O669" t="s">
        <v>297</v>
      </c>
      <c r="P669">
        <v>2.1604598023449578E-2</v>
      </c>
      <c r="Q669" t="s">
        <v>154</v>
      </c>
      <c r="S669" t="s">
        <v>241</v>
      </c>
      <c r="T669" t="s">
        <v>297</v>
      </c>
      <c r="U669">
        <v>2.3099304871150132E-2</v>
      </c>
      <c r="V669" t="s">
        <v>154</v>
      </c>
    </row>
    <row r="670" spans="9:22" x14ac:dyDescent="0.25">
      <c r="I670" t="s">
        <v>180</v>
      </c>
      <c r="J670" t="s">
        <v>298</v>
      </c>
      <c r="K670">
        <v>5.0313116107326529E-3</v>
      </c>
      <c r="L670" t="s">
        <v>154</v>
      </c>
      <c r="N670" t="s">
        <v>210</v>
      </c>
      <c r="O670" t="s">
        <v>298</v>
      </c>
      <c r="P670">
        <v>5.7770732896518812E-3</v>
      </c>
      <c r="Q670" t="s">
        <v>154</v>
      </c>
      <c r="S670" t="s">
        <v>241</v>
      </c>
      <c r="T670" t="s">
        <v>298</v>
      </c>
      <c r="U670">
        <v>5.5216069209928142E-3</v>
      </c>
      <c r="V670" t="s">
        <v>154</v>
      </c>
    </row>
    <row r="671" spans="9:22" x14ac:dyDescent="0.25">
      <c r="I671" t="s">
        <v>180</v>
      </c>
      <c r="J671" t="s">
        <v>299</v>
      </c>
      <c r="K671">
        <v>5.804898487752899E-3</v>
      </c>
      <c r="L671" t="s">
        <v>154</v>
      </c>
      <c r="N671" t="s">
        <v>210</v>
      </c>
      <c r="O671" t="s">
        <v>299</v>
      </c>
      <c r="P671">
        <v>2.8779196585195332E-3</v>
      </c>
      <c r="Q671" t="s">
        <v>154</v>
      </c>
      <c r="S671" t="s">
        <v>241</v>
      </c>
      <c r="T671" t="s">
        <v>299</v>
      </c>
      <c r="U671">
        <v>2.8321710469708023E-3</v>
      </c>
      <c r="V671" t="s">
        <v>154</v>
      </c>
    </row>
    <row r="672" spans="9:22" x14ac:dyDescent="0.25">
      <c r="I672" t="s">
        <v>180</v>
      </c>
      <c r="J672" t="s">
        <v>300</v>
      </c>
      <c r="K672">
        <v>3.7401819769272281E-2</v>
      </c>
      <c r="L672" t="s">
        <v>154</v>
      </c>
      <c r="N672" t="s">
        <v>210</v>
      </c>
      <c r="O672" t="s">
        <v>300</v>
      </c>
      <c r="P672">
        <v>2.3132969280643473E-2</v>
      </c>
      <c r="Q672" t="s">
        <v>154</v>
      </c>
      <c r="S672" t="s">
        <v>241</v>
      </c>
      <c r="T672" t="s">
        <v>300</v>
      </c>
      <c r="U672">
        <v>2.2944578225518843E-2</v>
      </c>
      <c r="V672" t="s">
        <v>154</v>
      </c>
    </row>
    <row r="673" spans="9:22" x14ac:dyDescent="0.25">
      <c r="I673" t="s">
        <v>180</v>
      </c>
      <c r="J673" t="s">
        <v>301</v>
      </c>
      <c r="K673">
        <v>0</v>
      </c>
      <c r="L673" t="s">
        <v>154</v>
      </c>
      <c r="N673" t="s">
        <v>210</v>
      </c>
      <c r="O673" t="s">
        <v>301</v>
      </c>
      <c r="P673">
        <v>3.2612724054620111E-3</v>
      </c>
      <c r="Q673" t="s">
        <v>154</v>
      </c>
      <c r="S673" t="s">
        <v>241</v>
      </c>
      <c r="T673" t="s">
        <v>301</v>
      </c>
      <c r="U673">
        <v>3.4919820466102138E-3</v>
      </c>
      <c r="V673" t="s">
        <v>154</v>
      </c>
    </row>
    <row r="674" spans="9:22" x14ac:dyDescent="0.25">
      <c r="I674" t="s">
        <v>180</v>
      </c>
      <c r="J674" t="s">
        <v>319</v>
      </c>
      <c r="K674">
        <v>0</v>
      </c>
      <c r="L674" t="s">
        <v>154</v>
      </c>
      <c r="N674" t="s">
        <v>210</v>
      </c>
      <c r="O674" t="s">
        <v>319</v>
      </c>
      <c r="P674">
        <v>3.2424611822747893E-3</v>
      </c>
      <c r="Q674" t="s">
        <v>154</v>
      </c>
      <c r="S674" t="s">
        <v>241</v>
      </c>
      <c r="T674" t="s">
        <v>319</v>
      </c>
      <c r="U674">
        <v>3.4961554338325753E-3</v>
      </c>
      <c r="V674" t="s">
        <v>154</v>
      </c>
    </row>
    <row r="675" spans="9:22" x14ac:dyDescent="0.25">
      <c r="I675" t="s">
        <v>180</v>
      </c>
      <c r="J675" t="s">
        <v>320</v>
      </c>
      <c r="K675">
        <v>0</v>
      </c>
      <c r="L675" t="s">
        <v>154</v>
      </c>
      <c r="N675" t="s">
        <v>210</v>
      </c>
      <c r="O675" t="s">
        <v>320</v>
      </c>
      <c r="P675">
        <v>1.5284013299630113E-2</v>
      </c>
      <c r="Q675" t="s">
        <v>154</v>
      </c>
      <c r="S675" t="s">
        <v>241</v>
      </c>
      <c r="T675" t="s">
        <v>320</v>
      </c>
      <c r="U675">
        <v>1.6135023319957434E-2</v>
      </c>
      <c r="V675" t="s">
        <v>154</v>
      </c>
    </row>
    <row r="676" spans="9:22" x14ac:dyDescent="0.25">
      <c r="I676" t="s">
        <v>180</v>
      </c>
      <c r="J676" t="s">
        <v>302</v>
      </c>
      <c r="K676">
        <v>0</v>
      </c>
      <c r="L676" t="s">
        <v>154</v>
      </c>
      <c r="N676" t="s">
        <v>210</v>
      </c>
      <c r="O676" t="s">
        <v>302</v>
      </c>
      <c r="P676">
        <v>4.3607814422092842E-2</v>
      </c>
      <c r="Q676" t="s">
        <v>154</v>
      </c>
      <c r="S676" t="s">
        <v>241</v>
      </c>
      <c r="T676" t="s">
        <v>302</v>
      </c>
      <c r="U676">
        <v>4.8427941681974764E-2</v>
      </c>
      <c r="V676" t="s">
        <v>154</v>
      </c>
    </row>
    <row r="677" spans="9:22" x14ac:dyDescent="0.25">
      <c r="I677" t="s">
        <v>180</v>
      </c>
      <c r="J677" t="s">
        <v>303</v>
      </c>
      <c r="K677">
        <v>3.3649457258790225E-3</v>
      </c>
      <c r="L677" t="s">
        <v>154</v>
      </c>
      <c r="N677" t="s">
        <v>210</v>
      </c>
      <c r="O677" t="s">
        <v>303</v>
      </c>
      <c r="P677">
        <v>1.1208790203628402E-2</v>
      </c>
      <c r="Q677" t="s">
        <v>154</v>
      </c>
      <c r="S677" t="s">
        <v>241</v>
      </c>
      <c r="T677" t="s">
        <v>303</v>
      </c>
      <c r="U677">
        <v>1.1646123464246648E-2</v>
      </c>
      <c r="V677" t="s">
        <v>154</v>
      </c>
    </row>
    <row r="678" spans="9:22" x14ac:dyDescent="0.25">
      <c r="I678" t="s">
        <v>180</v>
      </c>
      <c r="J678" t="s">
        <v>304</v>
      </c>
      <c r="K678">
        <v>5.9812534062406711E-3</v>
      </c>
      <c r="L678" t="s">
        <v>154</v>
      </c>
      <c r="N678" t="s">
        <v>210</v>
      </c>
      <c r="O678" t="s">
        <v>304</v>
      </c>
      <c r="P678">
        <v>5.8407484992620811E-3</v>
      </c>
      <c r="Q678" t="s">
        <v>154</v>
      </c>
      <c r="S678" t="s">
        <v>241</v>
      </c>
      <c r="T678" t="s">
        <v>304</v>
      </c>
      <c r="U678">
        <v>5.9000249832445893E-3</v>
      </c>
      <c r="V678" t="s">
        <v>154</v>
      </c>
    </row>
    <row r="679" spans="9:22" x14ac:dyDescent="0.25">
      <c r="I679" t="s">
        <v>180</v>
      </c>
      <c r="J679" t="s">
        <v>305</v>
      </c>
      <c r="K679">
        <v>4.3646603498729258E-2</v>
      </c>
      <c r="L679" t="s">
        <v>154</v>
      </c>
      <c r="N679" t="s">
        <v>210</v>
      </c>
      <c r="O679" t="s">
        <v>305</v>
      </c>
      <c r="P679">
        <v>5.0292422366659734E-2</v>
      </c>
      <c r="Q679" t="s">
        <v>154</v>
      </c>
      <c r="S679" t="s">
        <v>241</v>
      </c>
      <c r="T679" t="s">
        <v>305</v>
      </c>
      <c r="U679">
        <v>4.420052157500929E-2</v>
      </c>
      <c r="V679" t="s">
        <v>154</v>
      </c>
    </row>
    <row r="680" spans="9:22" x14ac:dyDescent="0.25">
      <c r="I680" t="s">
        <v>180</v>
      </c>
      <c r="J680" t="s">
        <v>306</v>
      </c>
      <c r="K680">
        <v>0</v>
      </c>
      <c r="L680" t="s">
        <v>154</v>
      </c>
      <c r="N680" t="s">
        <v>210</v>
      </c>
      <c r="O680" t="s">
        <v>306</v>
      </c>
      <c r="P680">
        <v>7.0272804256704454E-3</v>
      </c>
      <c r="Q680" t="s">
        <v>154</v>
      </c>
      <c r="S680" t="s">
        <v>241</v>
      </c>
      <c r="T680" t="s">
        <v>306</v>
      </c>
      <c r="U680">
        <v>6.5844598267144625E-3</v>
      </c>
      <c r="V680" t="s">
        <v>154</v>
      </c>
    </row>
    <row r="681" spans="9:22" x14ac:dyDescent="0.25">
      <c r="I681" t="s">
        <v>180</v>
      </c>
      <c r="J681" t="s">
        <v>321</v>
      </c>
      <c r="K681">
        <v>0</v>
      </c>
      <c r="L681" t="s">
        <v>154</v>
      </c>
      <c r="N681" t="s">
        <v>210</v>
      </c>
      <c r="O681" t="s">
        <v>321</v>
      </c>
      <c r="P681">
        <v>6.7788299402541333E-3</v>
      </c>
      <c r="Q681" t="s">
        <v>154</v>
      </c>
      <c r="S681" t="s">
        <v>241</v>
      </c>
      <c r="T681" t="s">
        <v>321</v>
      </c>
      <c r="U681">
        <v>6.6720878200557726E-3</v>
      </c>
      <c r="V681" t="s">
        <v>154</v>
      </c>
    </row>
    <row r="682" spans="9:22" x14ac:dyDescent="0.25">
      <c r="I682" t="s">
        <v>180</v>
      </c>
      <c r="J682" t="s">
        <v>322</v>
      </c>
      <c r="K682">
        <v>0</v>
      </c>
      <c r="L682" t="s">
        <v>154</v>
      </c>
      <c r="N682" t="s">
        <v>210</v>
      </c>
      <c r="O682" t="s">
        <v>322</v>
      </c>
      <c r="P682">
        <v>2.9369574545925349E-2</v>
      </c>
      <c r="Q682" t="s">
        <v>154</v>
      </c>
      <c r="S682" t="s">
        <v>241</v>
      </c>
      <c r="T682" t="s">
        <v>322</v>
      </c>
      <c r="U682">
        <v>3.4244307532174237E-2</v>
      </c>
      <c r="V682" t="s">
        <v>154</v>
      </c>
    </row>
    <row r="683" spans="9:22" x14ac:dyDescent="0.25">
      <c r="I683" t="s">
        <v>181</v>
      </c>
      <c r="J683" t="s">
        <v>153</v>
      </c>
      <c r="K683">
        <v>0</v>
      </c>
      <c r="L683" t="s">
        <v>154</v>
      </c>
      <c r="N683" t="s">
        <v>211</v>
      </c>
      <c r="O683" t="s">
        <v>153</v>
      </c>
      <c r="P683">
        <v>4.6108293072465244E-2</v>
      </c>
      <c r="Q683" t="s">
        <v>154</v>
      </c>
      <c r="S683" t="s">
        <v>242</v>
      </c>
      <c r="T683" t="s">
        <v>153</v>
      </c>
      <c r="U683">
        <v>4.0151147605545529E-2</v>
      </c>
      <c r="V683" t="s">
        <v>154</v>
      </c>
    </row>
    <row r="684" spans="9:22" x14ac:dyDescent="0.25">
      <c r="I684" t="s">
        <v>181</v>
      </c>
      <c r="J684" t="s">
        <v>155</v>
      </c>
      <c r="K684">
        <v>3.5327675708331555E-3</v>
      </c>
      <c r="L684" t="s">
        <v>154</v>
      </c>
      <c r="N684" t="s">
        <v>211</v>
      </c>
      <c r="O684" t="s">
        <v>155</v>
      </c>
      <c r="P684">
        <v>1.0772955437860676E-2</v>
      </c>
      <c r="Q684" t="s">
        <v>154</v>
      </c>
      <c r="S684" t="s">
        <v>242</v>
      </c>
      <c r="T684" t="s">
        <v>155</v>
      </c>
      <c r="U684">
        <v>1.0581154184112035E-2</v>
      </c>
      <c r="V684" t="s">
        <v>154</v>
      </c>
    </row>
    <row r="685" spans="9:22" x14ac:dyDescent="0.25">
      <c r="I685" t="s">
        <v>181</v>
      </c>
      <c r="J685" t="s">
        <v>156</v>
      </c>
      <c r="K685">
        <v>6.0558996179352611E-3</v>
      </c>
      <c r="L685" t="s">
        <v>154</v>
      </c>
      <c r="N685" t="s">
        <v>211</v>
      </c>
      <c r="O685" t="s">
        <v>156</v>
      </c>
      <c r="P685">
        <v>5.0701716643816114E-3</v>
      </c>
      <c r="Q685" t="s">
        <v>154</v>
      </c>
      <c r="S685" t="s">
        <v>242</v>
      </c>
      <c r="T685" t="s">
        <v>156</v>
      </c>
      <c r="U685">
        <v>5.2841845102197197E-3</v>
      </c>
      <c r="V685" t="s">
        <v>154</v>
      </c>
    </row>
    <row r="686" spans="9:22" x14ac:dyDescent="0.25">
      <c r="I686" t="s">
        <v>181</v>
      </c>
      <c r="J686" t="s">
        <v>283</v>
      </c>
      <c r="K686">
        <v>5.3351689673266804E-2</v>
      </c>
      <c r="L686" t="s">
        <v>154</v>
      </c>
      <c r="N686" t="s">
        <v>211</v>
      </c>
      <c r="O686" t="s">
        <v>283</v>
      </c>
      <c r="P686">
        <v>3.8473329401620251E-2</v>
      </c>
      <c r="Q686" t="s">
        <v>154</v>
      </c>
      <c r="S686" t="s">
        <v>242</v>
      </c>
      <c r="T686" t="s">
        <v>283</v>
      </c>
      <c r="U686">
        <v>3.9211164932068533E-2</v>
      </c>
      <c r="V686" t="s">
        <v>154</v>
      </c>
    </row>
    <row r="687" spans="9:22" x14ac:dyDescent="0.25">
      <c r="I687" t="s">
        <v>181</v>
      </c>
      <c r="J687" t="s">
        <v>284</v>
      </c>
      <c r="K687">
        <v>8.4650104061164712E-4</v>
      </c>
      <c r="L687" t="s">
        <v>154</v>
      </c>
      <c r="N687" t="s">
        <v>211</v>
      </c>
      <c r="O687" t="s">
        <v>284</v>
      </c>
      <c r="P687">
        <v>5.5369180403930327E-3</v>
      </c>
      <c r="Q687" t="s">
        <v>154</v>
      </c>
      <c r="S687" t="s">
        <v>242</v>
      </c>
      <c r="T687" t="s">
        <v>284</v>
      </c>
      <c r="U687">
        <v>6.092429292295698E-3</v>
      </c>
      <c r="V687" t="s">
        <v>154</v>
      </c>
    </row>
    <row r="688" spans="9:22" x14ac:dyDescent="0.25">
      <c r="I688" t="s">
        <v>181</v>
      </c>
      <c r="J688" t="s">
        <v>311</v>
      </c>
      <c r="K688">
        <v>0</v>
      </c>
      <c r="L688" t="s">
        <v>154</v>
      </c>
      <c r="N688" t="s">
        <v>211</v>
      </c>
      <c r="O688" t="s">
        <v>311</v>
      </c>
      <c r="P688">
        <v>5.6107448263790442E-3</v>
      </c>
      <c r="Q688" t="s">
        <v>154</v>
      </c>
      <c r="S688" t="s">
        <v>242</v>
      </c>
      <c r="T688" t="s">
        <v>311</v>
      </c>
      <c r="U688">
        <v>6.1542868167421671E-3</v>
      </c>
      <c r="V688" t="s">
        <v>154</v>
      </c>
    </row>
    <row r="689" spans="9:22" x14ac:dyDescent="0.25">
      <c r="I689" t="s">
        <v>181</v>
      </c>
      <c r="J689" t="s">
        <v>312</v>
      </c>
      <c r="K689">
        <v>0</v>
      </c>
      <c r="L689" t="s">
        <v>154</v>
      </c>
      <c r="N689" t="s">
        <v>211</v>
      </c>
      <c r="O689" t="s">
        <v>312</v>
      </c>
      <c r="P689">
        <v>2.9496990389210255E-2</v>
      </c>
      <c r="Q689" t="s">
        <v>154</v>
      </c>
      <c r="S689" t="s">
        <v>242</v>
      </c>
      <c r="T689" t="s">
        <v>312</v>
      </c>
      <c r="U689">
        <v>2.8849192391115667E-2</v>
      </c>
      <c r="V689" t="s">
        <v>154</v>
      </c>
    </row>
    <row r="690" spans="9:22" x14ac:dyDescent="0.25">
      <c r="I690" t="s">
        <v>181</v>
      </c>
      <c r="J690" t="s">
        <v>157</v>
      </c>
      <c r="K690">
        <v>0</v>
      </c>
      <c r="L690" t="s">
        <v>154</v>
      </c>
      <c r="N690" t="s">
        <v>211</v>
      </c>
      <c r="O690" t="s">
        <v>157</v>
      </c>
      <c r="P690">
        <v>1.036035429775652E-2</v>
      </c>
      <c r="Q690" t="s">
        <v>154</v>
      </c>
      <c r="S690" t="s">
        <v>242</v>
      </c>
      <c r="T690" t="s">
        <v>157</v>
      </c>
      <c r="U690">
        <v>7.8143757926752051E-3</v>
      </c>
      <c r="V690" t="s">
        <v>154</v>
      </c>
    </row>
    <row r="691" spans="9:22" x14ac:dyDescent="0.25">
      <c r="I691" t="s">
        <v>181</v>
      </c>
      <c r="J691" t="s">
        <v>158</v>
      </c>
      <c r="K691">
        <v>1.3590355600206019E-3</v>
      </c>
      <c r="L691" t="s">
        <v>154</v>
      </c>
      <c r="N691" t="s">
        <v>211</v>
      </c>
      <c r="O691" t="s">
        <v>158</v>
      </c>
      <c r="P691">
        <v>3.5052686562605292E-3</v>
      </c>
      <c r="Q691" t="s">
        <v>154</v>
      </c>
      <c r="S691" t="s">
        <v>242</v>
      </c>
      <c r="T691" t="s">
        <v>158</v>
      </c>
      <c r="U691">
        <v>2.3823995782074154E-3</v>
      </c>
      <c r="V691" t="s">
        <v>154</v>
      </c>
    </row>
    <row r="692" spans="9:22" x14ac:dyDescent="0.25">
      <c r="I692" t="s">
        <v>181</v>
      </c>
      <c r="J692" t="s">
        <v>159</v>
      </c>
      <c r="K692">
        <v>2.2533953791283E-3</v>
      </c>
      <c r="L692" t="s">
        <v>154</v>
      </c>
      <c r="N692" t="s">
        <v>211</v>
      </c>
      <c r="O692" t="s">
        <v>159</v>
      </c>
      <c r="P692">
        <v>1.716307942161437E-3</v>
      </c>
      <c r="Q692" t="s">
        <v>154</v>
      </c>
      <c r="S692" t="s">
        <v>242</v>
      </c>
      <c r="T692" t="s">
        <v>159</v>
      </c>
      <c r="U692">
        <v>1.2142874108847354E-3</v>
      </c>
      <c r="V692" t="s">
        <v>154</v>
      </c>
    </row>
    <row r="693" spans="9:22" x14ac:dyDescent="0.25">
      <c r="I693" t="s">
        <v>181</v>
      </c>
      <c r="J693" t="s">
        <v>285</v>
      </c>
      <c r="K693">
        <v>1.857677552658309E-2</v>
      </c>
      <c r="L693" t="s">
        <v>154</v>
      </c>
      <c r="N693" t="s">
        <v>211</v>
      </c>
      <c r="O693" t="s">
        <v>285</v>
      </c>
      <c r="P693">
        <v>1.1474154575740079E-2</v>
      </c>
      <c r="Q693" t="s">
        <v>154</v>
      </c>
      <c r="S693" t="s">
        <v>242</v>
      </c>
      <c r="T693" t="s">
        <v>285</v>
      </c>
      <c r="U693">
        <v>8.2165194034482369E-3</v>
      </c>
      <c r="V693" t="s">
        <v>154</v>
      </c>
    </row>
    <row r="694" spans="9:22" x14ac:dyDescent="0.25">
      <c r="I694" t="s">
        <v>181</v>
      </c>
      <c r="J694" t="s">
        <v>286</v>
      </c>
      <c r="K694">
        <v>1.1308538186544899E-3</v>
      </c>
      <c r="L694" t="s">
        <v>154</v>
      </c>
      <c r="N694" t="s">
        <v>211</v>
      </c>
      <c r="O694" t="s">
        <v>286</v>
      </c>
      <c r="P694">
        <v>1.5100531894115374E-3</v>
      </c>
      <c r="Q694" t="s">
        <v>154</v>
      </c>
      <c r="S694" t="s">
        <v>242</v>
      </c>
      <c r="T694" t="s">
        <v>286</v>
      </c>
      <c r="U694">
        <v>1.0893009567134971E-3</v>
      </c>
      <c r="V694" t="s">
        <v>154</v>
      </c>
    </row>
    <row r="695" spans="9:22" x14ac:dyDescent="0.25">
      <c r="I695" t="s">
        <v>181</v>
      </c>
      <c r="J695" t="s">
        <v>313</v>
      </c>
      <c r="K695">
        <v>0</v>
      </c>
      <c r="L695" t="s">
        <v>154</v>
      </c>
      <c r="N695" t="s">
        <v>211</v>
      </c>
      <c r="O695" t="s">
        <v>313</v>
      </c>
      <c r="P695">
        <v>1.4354827121079087E-3</v>
      </c>
      <c r="Q695" t="s">
        <v>154</v>
      </c>
      <c r="S695" t="s">
        <v>242</v>
      </c>
      <c r="T695" t="s">
        <v>313</v>
      </c>
      <c r="U695">
        <v>1.084812225569587E-3</v>
      </c>
      <c r="V695" t="s">
        <v>154</v>
      </c>
    </row>
    <row r="696" spans="9:22" x14ac:dyDescent="0.25">
      <c r="I696" t="s">
        <v>181</v>
      </c>
      <c r="J696" t="s">
        <v>314</v>
      </c>
      <c r="K696">
        <v>0</v>
      </c>
      <c r="L696" t="s">
        <v>154</v>
      </c>
      <c r="N696" t="s">
        <v>211</v>
      </c>
      <c r="O696" t="s">
        <v>314</v>
      </c>
      <c r="P696">
        <v>6.7707820170429325E-3</v>
      </c>
      <c r="Q696" t="s">
        <v>154</v>
      </c>
      <c r="S696" t="s">
        <v>242</v>
      </c>
      <c r="T696" t="s">
        <v>314</v>
      </c>
      <c r="U696">
        <v>4.6696867292914442E-3</v>
      </c>
      <c r="V696" t="s">
        <v>154</v>
      </c>
    </row>
    <row r="697" spans="9:22" x14ac:dyDescent="0.25">
      <c r="I697" t="s">
        <v>181</v>
      </c>
      <c r="J697" t="s">
        <v>160</v>
      </c>
      <c r="K697">
        <v>1.6897713914398479E-2</v>
      </c>
      <c r="L697" t="s">
        <v>154</v>
      </c>
      <c r="N697" t="s">
        <v>211</v>
      </c>
      <c r="O697" t="s">
        <v>160</v>
      </c>
      <c r="P697">
        <v>0.15914080870446201</v>
      </c>
      <c r="Q697" t="s">
        <v>154</v>
      </c>
      <c r="S697" t="s">
        <v>242</v>
      </c>
      <c r="T697" t="s">
        <v>160</v>
      </c>
      <c r="U697">
        <v>0.16967087800902203</v>
      </c>
      <c r="V697" t="s">
        <v>154</v>
      </c>
    </row>
    <row r="698" spans="9:22" x14ac:dyDescent="0.25">
      <c r="I698" t="s">
        <v>181</v>
      </c>
      <c r="J698" t="s">
        <v>161</v>
      </c>
      <c r="K698">
        <v>8.8393717098313618E-2</v>
      </c>
      <c r="L698" t="s">
        <v>154</v>
      </c>
      <c r="N698" t="s">
        <v>211</v>
      </c>
      <c r="O698" t="s">
        <v>161</v>
      </c>
      <c r="P698">
        <v>4.122167910668071E-2</v>
      </c>
      <c r="Q698" t="s">
        <v>154</v>
      </c>
      <c r="S698" t="s">
        <v>242</v>
      </c>
      <c r="T698" t="s">
        <v>161</v>
      </c>
      <c r="U698">
        <v>4.2788019187078793E-2</v>
      </c>
      <c r="V698" t="s">
        <v>154</v>
      </c>
    </row>
    <row r="699" spans="9:22" x14ac:dyDescent="0.25">
      <c r="I699" t="s">
        <v>181</v>
      </c>
      <c r="J699" t="s">
        <v>162</v>
      </c>
      <c r="K699">
        <v>6.8426083678498562E-2</v>
      </c>
      <c r="L699" t="s">
        <v>154</v>
      </c>
      <c r="N699" t="s">
        <v>211</v>
      </c>
      <c r="O699" t="s">
        <v>162</v>
      </c>
      <c r="P699">
        <v>2.1517583713499662E-2</v>
      </c>
      <c r="Q699" t="s">
        <v>154</v>
      </c>
      <c r="S699" t="s">
        <v>242</v>
      </c>
      <c r="T699" t="s">
        <v>162</v>
      </c>
      <c r="U699">
        <v>2.2033621020977768E-2</v>
      </c>
      <c r="V699" t="s">
        <v>154</v>
      </c>
    </row>
    <row r="700" spans="9:22" x14ac:dyDescent="0.25">
      <c r="I700" t="s">
        <v>181</v>
      </c>
      <c r="J700" t="s">
        <v>287</v>
      </c>
      <c r="K700">
        <v>0.53113200826525997</v>
      </c>
      <c r="L700" t="s">
        <v>154</v>
      </c>
      <c r="N700" t="s">
        <v>211</v>
      </c>
      <c r="O700" t="s">
        <v>287</v>
      </c>
      <c r="P700">
        <v>0.18202707097208984</v>
      </c>
      <c r="Q700" t="s">
        <v>154</v>
      </c>
      <c r="S700" t="s">
        <v>242</v>
      </c>
      <c r="T700" t="s">
        <v>287</v>
      </c>
      <c r="U700">
        <v>0.17251099487821248</v>
      </c>
      <c r="V700" t="s">
        <v>154</v>
      </c>
    </row>
    <row r="701" spans="9:22" x14ac:dyDescent="0.25">
      <c r="I701" t="s">
        <v>181</v>
      </c>
      <c r="J701" t="s">
        <v>288</v>
      </c>
      <c r="K701">
        <v>4.4648507605548962E-2</v>
      </c>
      <c r="L701" t="s">
        <v>154</v>
      </c>
      <c r="N701" t="s">
        <v>211</v>
      </c>
      <c r="O701" t="s">
        <v>288</v>
      </c>
      <c r="P701">
        <v>2.5231080859317696E-2</v>
      </c>
      <c r="Q701" t="s">
        <v>154</v>
      </c>
      <c r="S701" t="s">
        <v>242</v>
      </c>
      <c r="T701" t="s">
        <v>288</v>
      </c>
      <c r="U701">
        <v>2.6400357423295624E-2</v>
      </c>
      <c r="V701" t="s">
        <v>154</v>
      </c>
    </row>
    <row r="702" spans="9:22" x14ac:dyDescent="0.25">
      <c r="I702" t="s">
        <v>181</v>
      </c>
      <c r="J702" t="s">
        <v>315</v>
      </c>
      <c r="K702">
        <v>2.2997539410295902E-2</v>
      </c>
      <c r="L702" t="s">
        <v>154</v>
      </c>
      <c r="N702" t="s">
        <v>211</v>
      </c>
      <c r="O702" t="s">
        <v>315</v>
      </c>
      <c r="P702">
        <v>2.4196599059406798E-2</v>
      </c>
      <c r="Q702" t="s">
        <v>154</v>
      </c>
      <c r="S702" t="s">
        <v>242</v>
      </c>
      <c r="T702" t="s">
        <v>315</v>
      </c>
      <c r="U702">
        <v>2.6608253278722693E-2</v>
      </c>
      <c r="V702" t="s">
        <v>154</v>
      </c>
    </row>
    <row r="703" spans="9:22" x14ac:dyDescent="0.25">
      <c r="I703" t="s">
        <v>181</v>
      </c>
      <c r="J703" t="s">
        <v>316</v>
      </c>
      <c r="K703">
        <v>6.5402306655090951E-3</v>
      </c>
      <c r="L703" t="s">
        <v>154</v>
      </c>
      <c r="N703" t="s">
        <v>211</v>
      </c>
      <c r="O703" t="s">
        <v>316</v>
      </c>
      <c r="P703">
        <v>0.10240061831971353</v>
      </c>
      <c r="Q703" t="s">
        <v>154</v>
      </c>
      <c r="S703" t="s">
        <v>242</v>
      </c>
      <c r="T703" t="s">
        <v>316</v>
      </c>
      <c r="U703">
        <v>0.12199171901153195</v>
      </c>
      <c r="V703" t="s">
        <v>154</v>
      </c>
    </row>
    <row r="704" spans="9:22" x14ac:dyDescent="0.25">
      <c r="I704" t="s">
        <v>181</v>
      </c>
      <c r="J704" t="s">
        <v>163</v>
      </c>
      <c r="K704">
        <v>0</v>
      </c>
      <c r="L704" t="s">
        <v>154</v>
      </c>
      <c r="N704" t="s">
        <v>211</v>
      </c>
      <c r="O704" t="s">
        <v>163</v>
      </c>
      <c r="P704">
        <v>6.7694432332646715E-3</v>
      </c>
      <c r="Q704" t="s">
        <v>154</v>
      </c>
      <c r="S704" t="s">
        <v>242</v>
      </c>
      <c r="T704" t="s">
        <v>163</v>
      </c>
      <c r="U704">
        <v>1.1564238200181277E-2</v>
      </c>
      <c r="V704" t="s">
        <v>154</v>
      </c>
    </row>
    <row r="705" spans="9:22" x14ac:dyDescent="0.25">
      <c r="I705" t="s">
        <v>181</v>
      </c>
      <c r="J705" t="s">
        <v>164</v>
      </c>
      <c r="K705">
        <v>2.4235034336055807E-3</v>
      </c>
      <c r="L705" t="s">
        <v>154</v>
      </c>
      <c r="N705" t="s">
        <v>211</v>
      </c>
      <c r="O705" t="s">
        <v>164</v>
      </c>
      <c r="P705">
        <v>1.4384918623376983E-3</v>
      </c>
      <c r="Q705" t="s">
        <v>154</v>
      </c>
      <c r="S705" t="s">
        <v>242</v>
      </c>
      <c r="T705" t="s">
        <v>164</v>
      </c>
      <c r="U705">
        <v>2.8523675976359535E-3</v>
      </c>
      <c r="V705" t="s">
        <v>154</v>
      </c>
    </row>
    <row r="706" spans="9:22" x14ac:dyDescent="0.25">
      <c r="I706" t="s">
        <v>181</v>
      </c>
      <c r="J706" t="s">
        <v>165</v>
      </c>
      <c r="K706">
        <v>2.3499692755966925E-3</v>
      </c>
      <c r="L706" t="s">
        <v>154</v>
      </c>
      <c r="N706" t="s">
        <v>211</v>
      </c>
      <c r="O706" t="s">
        <v>165</v>
      </c>
      <c r="P706">
        <v>6.623197390150876E-4</v>
      </c>
      <c r="Q706" t="s">
        <v>154</v>
      </c>
      <c r="S706" t="s">
        <v>242</v>
      </c>
      <c r="T706" t="s">
        <v>165</v>
      </c>
      <c r="U706">
        <v>1.4627784457027079E-3</v>
      </c>
      <c r="V706" t="s">
        <v>154</v>
      </c>
    </row>
    <row r="707" spans="9:22" x14ac:dyDescent="0.25">
      <c r="I707" t="s">
        <v>181</v>
      </c>
      <c r="J707" t="s">
        <v>289</v>
      </c>
      <c r="K707">
        <v>1.6440157722931118E-2</v>
      </c>
      <c r="L707" t="s">
        <v>154</v>
      </c>
      <c r="N707" t="s">
        <v>211</v>
      </c>
      <c r="O707" t="s">
        <v>289</v>
      </c>
      <c r="P707">
        <v>6.1538926586711847E-3</v>
      </c>
      <c r="Q707" t="s">
        <v>154</v>
      </c>
      <c r="S707" t="s">
        <v>242</v>
      </c>
      <c r="T707" t="s">
        <v>289</v>
      </c>
      <c r="U707">
        <v>1.0856601627935602E-2</v>
      </c>
      <c r="V707" t="s">
        <v>154</v>
      </c>
    </row>
    <row r="708" spans="9:22" x14ac:dyDescent="0.25">
      <c r="I708" t="s">
        <v>181</v>
      </c>
      <c r="J708" t="s">
        <v>290</v>
      </c>
      <c r="K708">
        <v>7.4732903035676617E-4</v>
      </c>
      <c r="L708" t="s">
        <v>154</v>
      </c>
      <c r="N708" t="s">
        <v>211</v>
      </c>
      <c r="O708" t="s">
        <v>290</v>
      </c>
      <c r="P708">
        <v>9.6716444285498138E-4</v>
      </c>
      <c r="Q708" t="s">
        <v>154</v>
      </c>
      <c r="S708" t="s">
        <v>242</v>
      </c>
      <c r="T708" t="s">
        <v>290</v>
      </c>
      <c r="U708">
        <v>1.6728149119600239E-3</v>
      </c>
      <c r="V708" t="s">
        <v>154</v>
      </c>
    </row>
    <row r="709" spans="9:22" x14ac:dyDescent="0.25">
      <c r="I709" t="s">
        <v>181</v>
      </c>
      <c r="J709" t="s">
        <v>317</v>
      </c>
      <c r="K709">
        <v>0</v>
      </c>
      <c r="L709" t="s">
        <v>154</v>
      </c>
      <c r="N709" t="s">
        <v>211</v>
      </c>
      <c r="O709" t="s">
        <v>317</v>
      </c>
      <c r="P709">
        <v>9.787674377000218E-4</v>
      </c>
      <c r="Q709" t="s">
        <v>154</v>
      </c>
      <c r="S709" t="s">
        <v>242</v>
      </c>
      <c r="T709" t="s">
        <v>317</v>
      </c>
      <c r="U709">
        <v>1.6736447125095632E-3</v>
      </c>
      <c r="V709" t="s">
        <v>154</v>
      </c>
    </row>
    <row r="710" spans="9:22" x14ac:dyDescent="0.25">
      <c r="I710" t="s">
        <v>181</v>
      </c>
      <c r="J710" t="s">
        <v>318</v>
      </c>
      <c r="K710">
        <v>0</v>
      </c>
      <c r="L710" t="s">
        <v>154</v>
      </c>
      <c r="N710" t="s">
        <v>211</v>
      </c>
      <c r="O710" t="s">
        <v>318</v>
      </c>
      <c r="P710">
        <v>4.2518131760169477E-3</v>
      </c>
      <c r="Q710" t="s">
        <v>154</v>
      </c>
      <c r="S710" t="s">
        <v>242</v>
      </c>
      <c r="T710" t="s">
        <v>318</v>
      </c>
      <c r="U710">
        <v>8.0357121216470626E-3</v>
      </c>
      <c r="V710" t="s">
        <v>154</v>
      </c>
    </row>
    <row r="711" spans="9:22" x14ac:dyDescent="0.25">
      <c r="I711" t="s">
        <v>181</v>
      </c>
      <c r="J711" t="s">
        <v>297</v>
      </c>
      <c r="K711">
        <v>0</v>
      </c>
      <c r="L711" t="s">
        <v>154</v>
      </c>
      <c r="N711" t="s">
        <v>211</v>
      </c>
      <c r="O711" t="s">
        <v>297</v>
      </c>
      <c r="P711">
        <v>2.368899475759877E-2</v>
      </c>
      <c r="Q711" t="s">
        <v>154</v>
      </c>
      <c r="S711" t="s">
        <v>242</v>
      </c>
      <c r="T711" t="s">
        <v>297</v>
      </c>
      <c r="U711">
        <v>2.5098982924645144E-2</v>
      </c>
      <c r="V711" t="s">
        <v>154</v>
      </c>
    </row>
    <row r="712" spans="9:22" x14ac:dyDescent="0.25">
      <c r="I712" t="s">
        <v>181</v>
      </c>
      <c r="J712" t="s">
        <v>298</v>
      </c>
      <c r="K712">
        <v>5.0532695500121547E-3</v>
      </c>
      <c r="L712" t="s">
        <v>154</v>
      </c>
      <c r="N712" t="s">
        <v>211</v>
      </c>
      <c r="O712" t="s">
        <v>298</v>
      </c>
      <c r="P712">
        <v>5.4144597051626357E-3</v>
      </c>
      <c r="Q712" t="s">
        <v>154</v>
      </c>
      <c r="S712" t="s">
        <v>242</v>
      </c>
      <c r="T712" t="s">
        <v>298</v>
      </c>
      <c r="U712">
        <v>5.4718945584003699E-3</v>
      </c>
      <c r="V712" t="s">
        <v>154</v>
      </c>
    </row>
    <row r="713" spans="9:22" x14ac:dyDescent="0.25">
      <c r="I713" t="s">
        <v>181</v>
      </c>
      <c r="J713" t="s">
        <v>299</v>
      </c>
      <c r="K713">
        <v>5.8773014392784172E-3</v>
      </c>
      <c r="L713" t="s">
        <v>154</v>
      </c>
      <c r="N713" t="s">
        <v>211</v>
      </c>
      <c r="O713" t="s">
        <v>299</v>
      </c>
      <c r="P713">
        <v>2.8093148149711104E-3</v>
      </c>
      <c r="Q713" t="s">
        <v>154</v>
      </c>
      <c r="S713" t="s">
        <v>242</v>
      </c>
      <c r="T713" t="s">
        <v>299</v>
      </c>
      <c r="U713">
        <v>2.6188620292516415E-3</v>
      </c>
      <c r="V713" t="s">
        <v>154</v>
      </c>
    </row>
    <row r="714" spans="9:22" x14ac:dyDescent="0.25">
      <c r="I714" t="s">
        <v>181</v>
      </c>
      <c r="J714" t="s">
        <v>300</v>
      </c>
      <c r="K714">
        <v>4.2349963938496535E-2</v>
      </c>
      <c r="L714" t="s">
        <v>154</v>
      </c>
      <c r="N714" t="s">
        <v>211</v>
      </c>
      <c r="O714" t="s">
        <v>300</v>
      </c>
      <c r="P714">
        <v>2.4949908695863741E-2</v>
      </c>
      <c r="Q714" t="s">
        <v>154</v>
      </c>
      <c r="S714" t="s">
        <v>242</v>
      </c>
      <c r="T714" t="s">
        <v>300</v>
      </c>
      <c r="U714">
        <v>2.0862386350747861E-2</v>
      </c>
      <c r="V714" t="s">
        <v>154</v>
      </c>
    </row>
    <row r="715" spans="9:22" x14ac:dyDescent="0.25">
      <c r="I715" t="s">
        <v>181</v>
      </c>
      <c r="J715" t="s">
        <v>301</v>
      </c>
      <c r="K715">
        <v>0</v>
      </c>
      <c r="L715" t="s">
        <v>154</v>
      </c>
      <c r="N715" t="s">
        <v>211</v>
      </c>
      <c r="O715" t="s">
        <v>301</v>
      </c>
      <c r="P715">
        <v>3.3644105274934768E-3</v>
      </c>
      <c r="Q715" t="s">
        <v>154</v>
      </c>
      <c r="S715" t="s">
        <v>242</v>
      </c>
      <c r="T715" t="s">
        <v>301</v>
      </c>
      <c r="U715">
        <v>3.4466816442437495E-3</v>
      </c>
      <c r="V715" t="s">
        <v>154</v>
      </c>
    </row>
    <row r="716" spans="9:22" x14ac:dyDescent="0.25">
      <c r="I716" t="s">
        <v>181</v>
      </c>
      <c r="J716" t="s">
        <v>319</v>
      </c>
      <c r="K716">
        <v>0</v>
      </c>
      <c r="L716" t="s">
        <v>154</v>
      </c>
      <c r="N716" t="s">
        <v>211</v>
      </c>
      <c r="O716" t="s">
        <v>319</v>
      </c>
      <c r="P716">
        <v>3.1833793013058176E-3</v>
      </c>
      <c r="Q716" t="s">
        <v>154</v>
      </c>
      <c r="S716" t="s">
        <v>242</v>
      </c>
      <c r="T716" t="s">
        <v>319</v>
      </c>
      <c r="U716">
        <v>3.5110562786178482E-3</v>
      </c>
      <c r="V716" t="s">
        <v>154</v>
      </c>
    </row>
    <row r="717" spans="9:22" x14ac:dyDescent="0.25">
      <c r="I717" t="s">
        <v>181</v>
      </c>
      <c r="J717" t="s">
        <v>320</v>
      </c>
      <c r="K717">
        <v>0</v>
      </c>
      <c r="L717" t="s">
        <v>154</v>
      </c>
      <c r="N717" t="s">
        <v>211</v>
      </c>
      <c r="O717" t="s">
        <v>320</v>
      </c>
      <c r="P717">
        <v>1.6284567732257695E-2</v>
      </c>
      <c r="Q717" t="s">
        <v>154</v>
      </c>
      <c r="S717" t="s">
        <v>242</v>
      </c>
      <c r="T717" t="s">
        <v>320</v>
      </c>
      <c r="U717">
        <v>1.6467484777974786E-2</v>
      </c>
      <c r="V717" t="s">
        <v>154</v>
      </c>
    </row>
    <row r="718" spans="9:22" x14ac:dyDescent="0.25">
      <c r="I718" t="s">
        <v>181</v>
      </c>
      <c r="J718" t="s">
        <v>302</v>
      </c>
      <c r="K718">
        <v>0</v>
      </c>
      <c r="L718" t="s">
        <v>154</v>
      </c>
      <c r="N718" t="s">
        <v>211</v>
      </c>
      <c r="O718" t="s">
        <v>302</v>
      </c>
      <c r="P718">
        <v>4.4330352638659157E-2</v>
      </c>
      <c r="Q718" t="s">
        <v>154</v>
      </c>
      <c r="S718" t="s">
        <v>242</v>
      </c>
      <c r="T718" t="s">
        <v>302</v>
      </c>
      <c r="U718">
        <v>4.2674324660644199E-2</v>
      </c>
      <c r="V718" t="s">
        <v>154</v>
      </c>
    </row>
    <row r="719" spans="9:22" x14ac:dyDescent="0.25">
      <c r="I719" t="s">
        <v>181</v>
      </c>
      <c r="J719" t="s">
        <v>303</v>
      </c>
      <c r="K719">
        <v>3.6556572269840406E-3</v>
      </c>
      <c r="L719" t="s">
        <v>154</v>
      </c>
      <c r="N719" t="s">
        <v>211</v>
      </c>
      <c r="O719" t="s">
        <v>303</v>
      </c>
      <c r="P719">
        <v>1.164902924506832E-2</v>
      </c>
      <c r="Q719" t="s">
        <v>154</v>
      </c>
      <c r="S719" t="s">
        <v>242</v>
      </c>
      <c r="T719" t="s">
        <v>303</v>
      </c>
      <c r="U719">
        <v>1.0853675140005386E-2</v>
      </c>
      <c r="V719" t="s">
        <v>154</v>
      </c>
    </row>
    <row r="720" spans="9:22" x14ac:dyDescent="0.25">
      <c r="I720" t="s">
        <v>181</v>
      </c>
      <c r="J720" t="s">
        <v>304</v>
      </c>
      <c r="K720">
        <v>6.3627920473418274E-3</v>
      </c>
      <c r="L720" t="s">
        <v>154</v>
      </c>
      <c r="N720" t="s">
        <v>211</v>
      </c>
      <c r="O720" t="s">
        <v>304</v>
      </c>
      <c r="P720">
        <v>6.1124729898290814E-3</v>
      </c>
      <c r="Q720" t="s">
        <v>154</v>
      </c>
      <c r="S720" t="s">
        <v>242</v>
      </c>
      <c r="T720" t="s">
        <v>304</v>
      </c>
      <c r="U720">
        <v>5.35874652008363E-3</v>
      </c>
      <c r="V720" t="s">
        <v>154</v>
      </c>
    </row>
    <row r="721" spans="9:22" x14ac:dyDescent="0.25">
      <c r="I721" t="s">
        <v>181</v>
      </c>
      <c r="J721" t="s">
        <v>305</v>
      </c>
      <c r="K721">
        <v>4.8597337510541891E-2</v>
      </c>
      <c r="L721" t="s">
        <v>154</v>
      </c>
      <c r="N721" t="s">
        <v>211</v>
      </c>
      <c r="O721" t="s">
        <v>305</v>
      </c>
      <c r="P721">
        <v>5.1727564977740885E-2</v>
      </c>
      <c r="Q721" t="s">
        <v>154</v>
      </c>
      <c r="S721" t="s">
        <v>242</v>
      </c>
      <c r="T721" t="s">
        <v>305</v>
      </c>
      <c r="U721">
        <v>4.0089729529783527E-2</v>
      </c>
      <c r="V721" t="s">
        <v>154</v>
      </c>
    </row>
    <row r="722" spans="9:22" x14ac:dyDescent="0.25">
      <c r="I722" t="s">
        <v>181</v>
      </c>
      <c r="J722" t="s">
        <v>306</v>
      </c>
      <c r="K722">
        <v>0</v>
      </c>
      <c r="L722" t="s">
        <v>154</v>
      </c>
      <c r="N722" t="s">
        <v>211</v>
      </c>
      <c r="O722" t="s">
        <v>306</v>
      </c>
      <c r="P722">
        <v>7.7738969940472054E-3</v>
      </c>
      <c r="Q722" t="s">
        <v>154</v>
      </c>
      <c r="S722" t="s">
        <v>242</v>
      </c>
      <c r="T722" t="s">
        <v>306</v>
      </c>
      <c r="U722">
        <v>5.7838793556140326E-3</v>
      </c>
      <c r="V722" t="s">
        <v>154</v>
      </c>
    </row>
    <row r="723" spans="9:22" x14ac:dyDescent="0.25">
      <c r="I723" t="s">
        <v>181</v>
      </c>
      <c r="J723" t="s">
        <v>321</v>
      </c>
      <c r="K723">
        <v>0</v>
      </c>
      <c r="L723" t="s">
        <v>154</v>
      </c>
      <c r="N723" t="s">
        <v>211</v>
      </c>
      <c r="O723" t="s">
        <v>321</v>
      </c>
      <c r="P723">
        <v>7.6874797541558555E-3</v>
      </c>
      <c r="Q723" t="s">
        <v>154</v>
      </c>
      <c r="S723" t="s">
        <v>242</v>
      </c>
      <c r="T723" t="s">
        <v>321</v>
      </c>
      <c r="U723">
        <v>5.8328246125543782E-3</v>
      </c>
      <c r="V723" t="s">
        <v>154</v>
      </c>
    </row>
    <row r="724" spans="9:22" x14ac:dyDescent="0.25">
      <c r="I724" t="s">
        <v>181</v>
      </c>
      <c r="J724" t="s">
        <v>322</v>
      </c>
      <c r="K724">
        <v>0</v>
      </c>
      <c r="L724" t="s">
        <v>154</v>
      </c>
      <c r="N724" t="s">
        <v>211</v>
      </c>
      <c r="O724" t="s">
        <v>322</v>
      </c>
      <c r="P724">
        <v>3.6225028358019724E-2</v>
      </c>
      <c r="Q724" t="s">
        <v>154</v>
      </c>
      <c r="S724" t="s">
        <v>242</v>
      </c>
      <c r="T724" t="s">
        <v>322</v>
      </c>
      <c r="U724">
        <v>2.9012529362128253E-2</v>
      </c>
      <c r="V724" t="s">
        <v>154</v>
      </c>
    </row>
    <row r="725" spans="9:22" x14ac:dyDescent="0.25">
      <c r="I725" t="s">
        <v>182</v>
      </c>
      <c r="J725" t="s">
        <v>153</v>
      </c>
      <c r="K725">
        <v>0</v>
      </c>
      <c r="L725" t="s">
        <v>154</v>
      </c>
      <c r="N725" t="s">
        <v>212</v>
      </c>
      <c r="O725" t="s">
        <v>153</v>
      </c>
      <c r="P725">
        <v>3.5554752180951034E-2</v>
      </c>
      <c r="Q725" t="s">
        <v>154</v>
      </c>
      <c r="S725" t="s">
        <v>243</v>
      </c>
      <c r="T725" t="s">
        <v>153</v>
      </c>
      <c r="U725">
        <v>4.2565815121859536E-2</v>
      </c>
      <c r="V725" t="s">
        <v>154</v>
      </c>
    </row>
    <row r="726" spans="9:22" x14ac:dyDescent="0.25">
      <c r="I726" t="s">
        <v>182</v>
      </c>
      <c r="J726" t="s">
        <v>155</v>
      </c>
      <c r="K726">
        <v>3.8367630455422579E-3</v>
      </c>
      <c r="L726" t="s">
        <v>154</v>
      </c>
      <c r="N726" t="s">
        <v>212</v>
      </c>
      <c r="O726" t="s">
        <v>155</v>
      </c>
      <c r="P726">
        <v>7.8064747015877062E-3</v>
      </c>
      <c r="Q726" t="s">
        <v>154</v>
      </c>
      <c r="S726" t="s">
        <v>243</v>
      </c>
      <c r="T726" t="s">
        <v>155</v>
      </c>
      <c r="U726">
        <v>1.072311042637239E-2</v>
      </c>
      <c r="V726" t="s">
        <v>154</v>
      </c>
    </row>
    <row r="727" spans="9:22" x14ac:dyDescent="0.25">
      <c r="I727" t="s">
        <v>182</v>
      </c>
      <c r="J727" t="s">
        <v>156</v>
      </c>
      <c r="K727">
        <v>6.7198726702227037E-3</v>
      </c>
      <c r="L727" t="s">
        <v>154</v>
      </c>
      <c r="N727" t="s">
        <v>212</v>
      </c>
      <c r="O727" t="s">
        <v>156</v>
      </c>
      <c r="P727">
        <v>3.6308691052370614E-3</v>
      </c>
      <c r="Q727" t="s">
        <v>154</v>
      </c>
      <c r="S727" t="s">
        <v>243</v>
      </c>
      <c r="T727" t="s">
        <v>156</v>
      </c>
      <c r="U727">
        <v>5.448599173275075E-3</v>
      </c>
      <c r="V727" t="s">
        <v>154</v>
      </c>
    </row>
    <row r="728" spans="9:22" x14ac:dyDescent="0.25">
      <c r="I728" t="s">
        <v>182</v>
      </c>
      <c r="J728" t="s">
        <v>283</v>
      </c>
      <c r="K728">
        <v>5.8433963995728477E-2</v>
      </c>
      <c r="L728" t="s">
        <v>154</v>
      </c>
      <c r="N728" t="s">
        <v>212</v>
      </c>
      <c r="O728" t="s">
        <v>283</v>
      </c>
      <c r="P728">
        <v>2.7980790925823989E-2</v>
      </c>
      <c r="Q728" t="s">
        <v>154</v>
      </c>
      <c r="S728" t="s">
        <v>243</v>
      </c>
      <c r="T728" t="s">
        <v>283</v>
      </c>
      <c r="U728">
        <v>4.2891384248511195E-2</v>
      </c>
      <c r="V728" t="s">
        <v>154</v>
      </c>
    </row>
    <row r="729" spans="9:22" x14ac:dyDescent="0.25">
      <c r="I729" t="s">
        <v>182</v>
      </c>
      <c r="J729" t="s">
        <v>284</v>
      </c>
      <c r="K729">
        <v>1.087148105003963E-3</v>
      </c>
      <c r="L729" t="s">
        <v>154</v>
      </c>
      <c r="N729" t="s">
        <v>212</v>
      </c>
      <c r="O729" t="s">
        <v>284</v>
      </c>
      <c r="P729">
        <v>4.8823806909150834E-3</v>
      </c>
      <c r="Q729" t="s">
        <v>154</v>
      </c>
      <c r="S729" t="s">
        <v>243</v>
      </c>
      <c r="T729" t="s">
        <v>284</v>
      </c>
      <c r="U729">
        <v>6.2445319297729819E-3</v>
      </c>
      <c r="V729" t="s">
        <v>154</v>
      </c>
    </row>
    <row r="730" spans="9:22" x14ac:dyDescent="0.25">
      <c r="I730" t="s">
        <v>182</v>
      </c>
      <c r="J730" t="s">
        <v>311</v>
      </c>
      <c r="K730">
        <v>0</v>
      </c>
      <c r="L730" t="s">
        <v>154</v>
      </c>
      <c r="N730" t="s">
        <v>212</v>
      </c>
      <c r="O730" t="s">
        <v>311</v>
      </c>
      <c r="P730">
        <v>5.1121613298822643E-3</v>
      </c>
      <c r="Q730" t="s">
        <v>154</v>
      </c>
      <c r="S730" t="s">
        <v>243</v>
      </c>
      <c r="T730" t="s">
        <v>311</v>
      </c>
      <c r="U730">
        <v>6.2303806772126451E-3</v>
      </c>
      <c r="V730" t="s">
        <v>154</v>
      </c>
    </row>
    <row r="731" spans="9:22" x14ac:dyDescent="0.25">
      <c r="I731" t="s">
        <v>182</v>
      </c>
      <c r="J731" t="s">
        <v>312</v>
      </c>
      <c r="K731">
        <v>0</v>
      </c>
      <c r="L731" t="s">
        <v>154</v>
      </c>
      <c r="N731" t="s">
        <v>212</v>
      </c>
      <c r="O731" t="s">
        <v>312</v>
      </c>
      <c r="P731">
        <v>2.4659988113651936E-2</v>
      </c>
      <c r="Q731" t="s">
        <v>154</v>
      </c>
      <c r="S731" t="s">
        <v>243</v>
      </c>
      <c r="T731" t="s">
        <v>312</v>
      </c>
      <c r="U731">
        <v>2.9128820395418129E-2</v>
      </c>
      <c r="V731" t="s">
        <v>154</v>
      </c>
    </row>
    <row r="732" spans="9:22" x14ac:dyDescent="0.25">
      <c r="I732" t="s">
        <v>182</v>
      </c>
      <c r="J732" t="s">
        <v>157</v>
      </c>
      <c r="K732">
        <v>0</v>
      </c>
      <c r="L732" t="s">
        <v>154</v>
      </c>
      <c r="N732" t="s">
        <v>212</v>
      </c>
      <c r="O732" t="s">
        <v>157</v>
      </c>
      <c r="P732">
        <v>8.4676653071326866E-3</v>
      </c>
      <c r="Q732" t="s">
        <v>154</v>
      </c>
      <c r="S732" t="s">
        <v>243</v>
      </c>
      <c r="T732" t="s">
        <v>157</v>
      </c>
      <c r="U732">
        <v>9.7753419025753269E-3</v>
      </c>
      <c r="V732" t="s">
        <v>154</v>
      </c>
    </row>
    <row r="733" spans="9:22" x14ac:dyDescent="0.25">
      <c r="I733" t="s">
        <v>182</v>
      </c>
      <c r="J733" t="s">
        <v>158</v>
      </c>
      <c r="K733">
        <v>1.3870855123444352E-3</v>
      </c>
      <c r="L733" t="s">
        <v>154</v>
      </c>
      <c r="N733" t="s">
        <v>212</v>
      </c>
      <c r="O733" t="s">
        <v>158</v>
      </c>
      <c r="P733">
        <v>2.4720709760900276E-3</v>
      </c>
      <c r="Q733" t="s">
        <v>154</v>
      </c>
      <c r="S733" t="s">
        <v>243</v>
      </c>
      <c r="T733" t="s">
        <v>158</v>
      </c>
      <c r="U733">
        <v>2.5072799227508439E-3</v>
      </c>
      <c r="V733" t="s">
        <v>154</v>
      </c>
    </row>
    <row r="734" spans="9:22" x14ac:dyDescent="0.25">
      <c r="I734" t="s">
        <v>182</v>
      </c>
      <c r="J734" t="s">
        <v>159</v>
      </c>
      <c r="K734">
        <v>2.3169192468811112E-3</v>
      </c>
      <c r="L734" t="s">
        <v>154</v>
      </c>
      <c r="N734" t="s">
        <v>212</v>
      </c>
      <c r="O734" t="s">
        <v>159</v>
      </c>
      <c r="P734">
        <v>1.2024001855998263E-3</v>
      </c>
      <c r="Q734" t="s">
        <v>154</v>
      </c>
      <c r="S734" t="s">
        <v>243</v>
      </c>
      <c r="T734" t="s">
        <v>159</v>
      </c>
      <c r="U734">
        <v>1.2821999904621734E-3</v>
      </c>
      <c r="V734" t="s">
        <v>154</v>
      </c>
    </row>
    <row r="735" spans="9:22" x14ac:dyDescent="0.25">
      <c r="I735" t="s">
        <v>182</v>
      </c>
      <c r="J735" t="s">
        <v>285</v>
      </c>
      <c r="K735">
        <v>1.8716075475467366E-2</v>
      </c>
      <c r="L735" t="s">
        <v>154</v>
      </c>
      <c r="N735" t="s">
        <v>212</v>
      </c>
      <c r="O735" t="s">
        <v>285</v>
      </c>
      <c r="P735">
        <v>8.2956527125678733E-3</v>
      </c>
      <c r="Q735" t="s">
        <v>154</v>
      </c>
      <c r="S735" t="s">
        <v>243</v>
      </c>
      <c r="T735" t="s">
        <v>285</v>
      </c>
      <c r="U735">
        <v>9.5898467990808093E-3</v>
      </c>
      <c r="V735" t="s">
        <v>154</v>
      </c>
    </row>
    <row r="736" spans="9:22" x14ac:dyDescent="0.25">
      <c r="I736" t="s">
        <v>182</v>
      </c>
      <c r="J736" t="s">
        <v>286</v>
      </c>
      <c r="K736">
        <v>1.0216270067128239E-3</v>
      </c>
      <c r="L736" t="s">
        <v>154</v>
      </c>
      <c r="N736" t="s">
        <v>212</v>
      </c>
      <c r="O736" t="s">
        <v>286</v>
      </c>
      <c r="P736">
        <v>1.1583065599702163E-3</v>
      </c>
      <c r="Q736" t="s">
        <v>154</v>
      </c>
      <c r="S736" t="s">
        <v>243</v>
      </c>
      <c r="T736" t="s">
        <v>286</v>
      </c>
      <c r="U736">
        <v>1.4361115019856248E-3</v>
      </c>
      <c r="V736" t="s">
        <v>154</v>
      </c>
    </row>
    <row r="737" spans="9:22" x14ac:dyDescent="0.25">
      <c r="I737" t="s">
        <v>182</v>
      </c>
      <c r="J737" t="s">
        <v>313</v>
      </c>
      <c r="K737">
        <v>0</v>
      </c>
      <c r="L737" t="s">
        <v>154</v>
      </c>
      <c r="N737" t="s">
        <v>212</v>
      </c>
      <c r="O737" t="s">
        <v>313</v>
      </c>
      <c r="P737">
        <v>1.1419705170275299E-3</v>
      </c>
      <c r="Q737" t="s">
        <v>154</v>
      </c>
      <c r="S737" t="s">
        <v>243</v>
      </c>
      <c r="T737" t="s">
        <v>313</v>
      </c>
      <c r="U737">
        <v>1.4317650079083864E-3</v>
      </c>
      <c r="V737" t="s">
        <v>154</v>
      </c>
    </row>
    <row r="738" spans="9:22" x14ac:dyDescent="0.25">
      <c r="I738" t="s">
        <v>182</v>
      </c>
      <c r="J738" t="s">
        <v>314</v>
      </c>
      <c r="K738">
        <v>0</v>
      </c>
      <c r="L738" t="s">
        <v>154</v>
      </c>
      <c r="N738" t="s">
        <v>212</v>
      </c>
      <c r="O738" t="s">
        <v>314</v>
      </c>
      <c r="P738">
        <v>5.3676933010903816E-3</v>
      </c>
      <c r="Q738" t="s">
        <v>154</v>
      </c>
      <c r="S738" t="s">
        <v>243</v>
      </c>
      <c r="T738" t="s">
        <v>314</v>
      </c>
      <c r="U738">
        <v>6.3548243116471493E-3</v>
      </c>
      <c r="V738" t="s">
        <v>154</v>
      </c>
    </row>
    <row r="739" spans="9:22" x14ac:dyDescent="0.25">
      <c r="I739" t="s">
        <v>182</v>
      </c>
      <c r="J739" t="s">
        <v>160</v>
      </c>
      <c r="K739">
        <v>1.4064955224282916E-2</v>
      </c>
      <c r="L739" t="s">
        <v>154</v>
      </c>
      <c r="N739" t="s">
        <v>212</v>
      </c>
      <c r="O739" t="s">
        <v>160</v>
      </c>
      <c r="P739">
        <v>0.18403853725180946</v>
      </c>
      <c r="Q739" t="s">
        <v>154</v>
      </c>
      <c r="S739" t="s">
        <v>243</v>
      </c>
      <c r="T739" t="s">
        <v>160</v>
      </c>
      <c r="U739">
        <v>0.16960214891845554</v>
      </c>
      <c r="V739" t="s">
        <v>154</v>
      </c>
    </row>
    <row r="740" spans="9:22" x14ac:dyDescent="0.25">
      <c r="I740" t="s">
        <v>182</v>
      </c>
      <c r="J740" t="s">
        <v>161</v>
      </c>
      <c r="K740">
        <v>8.4252365159778797E-2</v>
      </c>
      <c r="L740" t="s">
        <v>154</v>
      </c>
      <c r="N740" t="s">
        <v>212</v>
      </c>
      <c r="O740" t="s">
        <v>161</v>
      </c>
      <c r="P740">
        <v>4.2212778279468205E-2</v>
      </c>
      <c r="Q740" t="s">
        <v>154</v>
      </c>
      <c r="S740" t="s">
        <v>243</v>
      </c>
      <c r="T740" t="s">
        <v>161</v>
      </c>
      <c r="U740">
        <v>3.9886976928821503E-2</v>
      </c>
      <c r="V740" t="s">
        <v>154</v>
      </c>
    </row>
    <row r="741" spans="9:22" x14ac:dyDescent="0.25">
      <c r="I741" t="s">
        <v>182</v>
      </c>
      <c r="J741" t="s">
        <v>162</v>
      </c>
      <c r="K741">
        <v>6.6799312335422495E-2</v>
      </c>
      <c r="L741" t="s">
        <v>154</v>
      </c>
      <c r="N741" t="s">
        <v>212</v>
      </c>
      <c r="O741" t="s">
        <v>162</v>
      </c>
      <c r="P741">
        <v>2.2079872793034871E-2</v>
      </c>
      <c r="Q741" t="s">
        <v>154</v>
      </c>
      <c r="S741" t="s">
        <v>243</v>
      </c>
      <c r="T741" t="s">
        <v>162</v>
      </c>
      <c r="U741">
        <v>2.1195386391928781E-2</v>
      </c>
      <c r="V741" t="s">
        <v>154</v>
      </c>
    </row>
    <row r="742" spans="9:22" x14ac:dyDescent="0.25">
      <c r="I742" t="s">
        <v>182</v>
      </c>
      <c r="J742" t="s">
        <v>287</v>
      </c>
      <c r="K742">
        <v>0.52894931750395324</v>
      </c>
      <c r="L742" t="s">
        <v>154</v>
      </c>
      <c r="N742" t="s">
        <v>212</v>
      </c>
      <c r="O742" t="s">
        <v>287</v>
      </c>
      <c r="P742">
        <v>0.18852312836622162</v>
      </c>
      <c r="Q742" t="s">
        <v>154</v>
      </c>
      <c r="S742" t="s">
        <v>243</v>
      </c>
      <c r="T742" t="s">
        <v>287</v>
      </c>
      <c r="U742">
        <v>0.17427393243632883</v>
      </c>
      <c r="V742" t="s">
        <v>154</v>
      </c>
    </row>
    <row r="743" spans="9:22" x14ac:dyDescent="0.25">
      <c r="I743" t="s">
        <v>182</v>
      </c>
      <c r="J743" t="s">
        <v>288</v>
      </c>
      <c r="K743">
        <v>4.4748187033595101E-2</v>
      </c>
      <c r="L743" t="s">
        <v>154</v>
      </c>
      <c r="N743" t="s">
        <v>212</v>
      </c>
      <c r="O743" t="s">
        <v>288</v>
      </c>
      <c r="P743">
        <v>2.8778227603450932E-2</v>
      </c>
      <c r="Q743" t="s">
        <v>154</v>
      </c>
      <c r="S743" t="s">
        <v>243</v>
      </c>
      <c r="T743" t="s">
        <v>288</v>
      </c>
      <c r="U743">
        <v>2.5352601452823535E-2</v>
      </c>
      <c r="V743" t="s">
        <v>154</v>
      </c>
    </row>
    <row r="744" spans="9:22" x14ac:dyDescent="0.25">
      <c r="I744" t="s">
        <v>182</v>
      </c>
      <c r="J744" t="s">
        <v>315</v>
      </c>
      <c r="K744">
        <v>2.285856866198261E-2</v>
      </c>
      <c r="L744" t="s">
        <v>154</v>
      </c>
      <c r="N744" t="s">
        <v>212</v>
      </c>
      <c r="O744" t="s">
        <v>315</v>
      </c>
      <c r="P744">
        <v>2.8378305779913959E-2</v>
      </c>
      <c r="Q744" t="s">
        <v>154</v>
      </c>
      <c r="S744" t="s">
        <v>243</v>
      </c>
      <c r="T744" t="s">
        <v>315</v>
      </c>
      <c r="U744">
        <v>2.471624511645569E-2</v>
      </c>
      <c r="V744" t="s">
        <v>154</v>
      </c>
    </row>
    <row r="745" spans="9:22" x14ac:dyDescent="0.25">
      <c r="I745" t="s">
        <v>182</v>
      </c>
      <c r="J745" t="s">
        <v>316</v>
      </c>
      <c r="K745">
        <v>5.9860772441083484E-3</v>
      </c>
      <c r="L745" t="s">
        <v>154</v>
      </c>
      <c r="N745" t="s">
        <v>212</v>
      </c>
      <c r="O745" t="s">
        <v>316</v>
      </c>
      <c r="P745">
        <v>0.12447918698533425</v>
      </c>
      <c r="Q745" t="s">
        <v>154</v>
      </c>
      <c r="S745" t="s">
        <v>243</v>
      </c>
      <c r="T745" t="s">
        <v>316</v>
      </c>
      <c r="U745">
        <v>0.11151857057935051</v>
      </c>
      <c r="V745" t="s">
        <v>154</v>
      </c>
    </row>
    <row r="746" spans="9:22" x14ac:dyDescent="0.25">
      <c r="I746" t="s">
        <v>182</v>
      </c>
      <c r="J746" t="s">
        <v>163</v>
      </c>
      <c r="K746">
        <v>0</v>
      </c>
      <c r="L746" t="s">
        <v>154</v>
      </c>
      <c r="N746" t="s">
        <v>212</v>
      </c>
      <c r="O746" t="s">
        <v>163</v>
      </c>
      <c r="P746">
        <v>1.7392051999223886E-2</v>
      </c>
      <c r="Q746" t="s">
        <v>154</v>
      </c>
      <c r="S746" t="s">
        <v>243</v>
      </c>
      <c r="T746" t="s">
        <v>163</v>
      </c>
      <c r="U746">
        <v>1.0138565385141789E-2</v>
      </c>
      <c r="V746" t="s">
        <v>154</v>
      </c>
    </row>
    <row r="747" spans="9:22" x14ac:dyDescent="0.25">
      <c r="I747" t="s">
        <v>182</v>
      </c>
      <c r="J747" t="s">
        <v>164</v>
      </c>
      <c r="K747">
        <v>2.358011604587608E-3</v>
      </c>
      <c r="L747" t="s">
        <v>154</v>
      </c>
      <c r="N747" t="s">
        <v>212</v>
      </c>
      <c r="O747" t="s">
        <v>164</v>
      </c>
      <c r="P747">
        <v>4.2484176199951568E-3</v>
      </c>
      <c r="Q747" t="s">
        <v>154</v>
      </c>
      <c r="S747" t="s">
        <v>243</v>
      </c>
      <c r="T747" t="s">
        <v>164</v>
      </c>
      <c r="U747">
        <v>2.2741688366426614E-3</v>
      </c>
      <c r="V747" t="s">
        <v>154</v>
      </c>
    </row>
    <row r="748" spans="9:22" x14ac:dyDescent="0.25">
      <c r="I748" t="s">
        <v>182</v>
      </c>
      <c r="J748" t="s">
        <v>165</v>
      </c>
      <c r="K748">
        <v>2.1204291019123241E-3</v>
      </c>
      <c r="L748" t="s">
        <v>154</v>
      </c>
      <c r="N748" t="s">
        <v>212</v>
      </c>
      <c r="O748" t="s">
        <v>165</v>
      </c>
      <c r="P748">
        <v>2.1986428940782036E-3</v>
      </c>
      <c r="Q748" t="s">
        <v>154</v>
      </c>
      <c r="S748" t="s">
        <v>243</v>
      </c>
      <c r="T748" t="s">
        <v>165</v>
      </c>
      <c r="U748">
        <v>1.2113241955198919E-3</v>
      </c>
      <c r="V748" t="s">
        <v>154</v>
      </c>
    </row>
    <row r="749" spans="9:22" x14ac:dyDescent="0.25">
      <c r="I749" t="s">
        <v>182</v>
      </c>
      <c r="J749" t="s">
        <v>289</v>
      </c>
      <c r="K749">
        <v>1.5525312315241587E-2</v>
      </c>
      <c r="L749" t="s">
        <v>154</v>
      </c>
      <c r="N749" t="s">
        <v>212</v>
      </c>
      <c r="O749" t="s">
        <v>289</v>
      </c>
      <c r="P749">
        <v>1.4972153636410331E-2</v>
      </c>
      <c r="Q749" t="s">
        <v>154</v>
      </c>
      <c r="S749" t="s">
        <v>243</v>
      </c>
      <c r="T749" t="s">
        <v>289</v>
      </c>
      <c r="U749">
        <v>9.6926848381924217E-3</v>
      </c>
      <c r="V749" t="s">
        <v>154</v>
      </c>
    </row>
    <row r="750" spans="9:22" x14ac:dyDescent="0.25">
      <c r="I750" t="s">
        <v>182</v>
      </c>
      <c r="J750" t="s">
        <v>290</v>
      </c>
      <c r="K750">
        <v>7.8485278198568102E-4</v>
      </c>
      <c r="L750" t="s">
        <v>154</v>
      </c>
      <c r="N750" t="s">
        <v>212</v>
      </c>
      <c r="O750" t="s">
        <v>290</v>
      </c>
      <c r="P750">
        <v>2.2547604547964264E-3</v>
      </c>
      <c r="Q750" t="s">
        <v>154</v>
      </c>
      <c r="S750" t="s">
        <v>243</v>
      </c>
      <c r="T750" t="s">
        <v>290</v>
      </c>
      <c r="U750">
        <v>1.4836390522200034E-3</v>
      </c>
      <c r="V750" t="s">
        <v>154</v>
      </c>
    </row>
    <row r="751" spans="9:22" x14ac:dyDescent="0.25">
      <c r="I751" t="s">
        <v>182</v>
      </c>
      <c r="J751" t="s">
        <v>317</v>
      </c>
      <c r="K751">
        <v>0</v>
      </c>
      <c r="L751" t="s">
        <v>154</v>
      </c>
      <c r="N751" t="s">
        <v>212</v>
      </c>
      <c r="O751" t="s">
        <v>317</v>
      </c>
      <c r="P751">
        <v>2.2879073141835421E-3</v>
      </c>
      <c r="Q751" t="s">
        <v>154</v>
      </c>
      <c r="S751" t="s">
        <v>243</v>
      </c>
      <c r="T751" t="s">
        <v>317</v>
      </c>
      <c r="U751">
        <v>1.5050763985796024E-3</v>
      </c>
      <c r="V751" t="s">
        <v>154</v>
      </c>
    </row>
    <row r="752" spans="9:22" x14ac:dyDescent="0.25">
      <c r="I752" t="s">
        <v>182</v>
      </c>
      <c r="J752" t="s">
        <v>318</v>
      </c>
      <c r="K752">
        <v>0</v>
      </c>
      <c r="L752" t="s">
        <v>154</v>
      </c>
      <c r="N752" t="s">
        <v>212</v>
      </c>
      <c r="O752" t="s">
        <v>318</v>
      </c>
      <c r="P752">
        <v>1.0274056835373741E-2</v>
      </c>
      <c r="Q752" t="s">
        <v>154</v>
      </c>
      <c r="S752" t="s">
        <v>243</v>
      </c>
      <c r="T752" t="s">
        <v>318</v>
      </c>
      <c r="U752">
        <v>7.1361531261371217E-3</v>
      </c>
      <c r="V752" t="s">
        <v>154</v>
      </c>
    </row>
    <row r="753" spans="9:22" x14ac:dyDescent="0.25">
      <c r="I753" t="s">
        <v>182</v>
      </c>
      <c r="J753" t="s">
        <v>297</v>
      </c>
      <c r="K753">
        <v>0</v>
      </c>
      <c r="L753" t="s">
        <v>154</v>
      </c>
      <c r="N753" t="s">
        <v>212</v>
      </c>
      <c r="O753" t="s">
        <v>297</v>
      </c>
      <c r="P753">
        <v>1.735195521943135E-2</v>
      </c>
      <c r="Q753" t="s">
        <v>154</v>
      </c>
      <c r="S753" t="s">
        <v>243</v>
      </c>
      <c r="T753" t="s">
        <v>297</v>
      </c>
      <c r="U753">
        <v>2.2783087391550352E-2</v>
      </c>
      <c r="V753" t="s">
        <v>154</v>
      </c>
    </row>
    <row r="754" spans="9:22" x14ac:dyDescent="0.25">
      <c r="I754" t="s">
        <v>182</v>
      </c>
      <c r="J754" t="s">
        <v>298</v>
      </c>
      <c r="K754">
        <v>5.7472315417904712E-3</v>
      </c>
      <c r="L754" t="s">
        <v>154</v>
      </c>
      <c r="N754" t="s">
        <v>212</v>
      </c>
      <c r="O754" t="s">
        <v>298</v>
      </c>
      <c r="P754">
        <v>4.2619346346353289E-3</v>
      </c>
      <c r="Q754" t="s">
        <v>154</v>
      </c>
      <c r="S754" t="s">
        <v>243</v>
      </c>
      <c r="T754" t="s">
        <v>298</v>
      </c>
      <c r="U754">
        <v>4.9377925275997797E-3</v>
      </c>
      <c r="V754" t="s">
        <v>154</v>
      </c>
    </row>
    <row r="755" spans="9:22" x14ac:dyDescent="0.25">
      <c r="I755" t="s">
        <v>182</v>
      </c>
      <c r="J755" t="s">
        <v>299</v>
      </c>
      <c r="K755">
        <v>6.5386322966296141E-3</v>
      </c>
      <c r="L755" t="s">
        <v>154</v>
      </c>
      <c r="N755" t="s">
        <v>212</v>
      </c>
      <c r="O755" t="s">
        <v>299</v>
      </c>
      <c r="P755">
        <v>2.1346792714680308E-3</v>
      </c>
      <c r="Q755" t="s">
        <v>154</v>
      </c>
      <c r="S755" t="s">
        <v>243</v>
      </c>
      <c r="T755" t="s">
        <v>299</v>
      </c>
      <c r="U755">
        <v>2.5931922996309908E-3</v>
      </c>
      <c r="V755" t="s">
        <v>154</v>
      </c>
    </row>
    <row r="756" spans="9:22" x14ac:dyDescent="0.25">
      <c r="I756" t="s">
        <v>182</v>
      </c>
      <c r="J756" t="s">
        <v>300</v>
      </c>
      <c r="K756">
        <v>4.4434670104350281E-2</v>
      </c>
      <c r="L756" t="s">
        <v>154</v>
      </c>
      <c r="N756" t="s">
        <v>212</v>
      </c>
      <c r="O756" t="s">
        <v>300</v>
      </c>
      <c r="P756">
        <v>1.745129271793399E-2</v>
      </c>
      <c r="Q756" t="s">
        <v>154</v>
      </c>
      <c r="S756" t="s">
        <v>243</v>
      </c>
      <c r="T756" t="s">
        <v>300</v>
      </c>
      <c r="U756">
        <v>2.2970708164390379E-2</v>
      </c>
      <c r="V756" t="s">
        <v>154</v>
      </c>
    </row>
    <row r="757" spans="9:22" x14ac:dyDescent="0.25">
      <c r="I757" t="s">
        <v>182</v>
      </c>
      <c r="J757" t="s">
        <v>301</v>
      </c>
      <c r="K757">
        <v>3.0661075724236652E-6</v>
      </c>
      <c r="L757" t="s">
        <v>154</v>
      </c>
      <c r="N757" t="s">
        <v>212</v>
      </c>
      <c r="O757" t="s">
        <v>301</v>
      </c>
      <c r="P757">
        <v>2.5810985361230804E-3</v>
      </c>
      <c r="Q757" t="s">
        <v>154</v>
      </c>
      <c r="S757" t="s">
        <v>243</v>
      </c>
      <c r="T757" t="s">
        <v>301</v>
      </c>
      <c r="U757">
        <v>3.4235165538264857E-3</v>
      </c>
      <c r="V757" t="s">
        <v>154</v>
      </c>
    </row>
    <row r="758" spans="9:22" x14ac:dyDescent="0.25">
      <c r="I758" t="s">
        <v>182</v>
      </c>
      <c r="J758" t="s">
        <v>319</v>
      </c>
      <c r="K758">
        <v>0</v>
      </c>
      <c r="L758" t="s">
        <v>154</v>
      </c>
      <c r="N758" t="s">
        <v>212</v>
      </c>
      <c r="O758" t="s">
        <v>319</v>
      </c>
      <c r="P758">
        <v>2.4672542126353094E-3</v>
      </c>
      <c r="Q758" t="s">
        <v>154</v>
      </c>
      <c r="S758" t="s">
        <v>243</v>
      </c>
      <c r="T758" t="s">
        <v>319</v>
      </c>
      <c r="U758">
        <v>3.3956521839584538E-3</v>
      </c>
      <c r="V758" t="s">
        <v>154</v>
      </c>
    </row>
    <row r="759" spans="9:22" x14ac:dyDescent="0.25">
      <c r="I759" t="s">
        <v>182</v>
      </c>
      <c r="J759" t="s">
        <v>320</v>
      </c>
      <c r="K759">
        <v>0</v>
      </c>
      <c r="L759" t="s">
        <v>154</v>
      </c>
      <c r="N759" t="s">
        <v>212</v>
      </c>
      <c r="O759" t="s">
        <v>320</v>
      </c>
      <c r="P759">
        <v>1.1831749639124683E-2</v>
      </c>
      <c r="Q759" t="s">
        <v>154</v>
      </c>
      <c r="S759" t="s">
        <v>243</v>
      </c>
      <c r="T759" t="s">
        <v>320</v>
      </c>
      <c r="U759">
        <v>1.5140430674580332E-2</v>
      </c>
      <c r="V759" t="s">
        <v>154</v>
      </c>
    </row>
    <row r="760" spans="9:22" x14ac:dyDescent="0.25">
      <c r="I760" t="s">
        <v>182</v>
      </c>
      <c r="J760" t="s">
        <v>302</v>
      </c>
      <c r="K760">
        <v>0</v>
      </c>
      <c r="L760" t="s">
        <v>154</v>
      </c>
      <c r="N760" t="s">
        <v>212</v>
      </c>
      <c r="O760" t="s">
        <v>302</v>
      </c>
      <c r="P760">
        <v>3.776361872868448E-2</v>
      </c>
      <c r="Q760" t="s">
        <v>154</v>
      </c>
      <c r="S760" t="s">
        <v>243</v>
      </c>
      <c r="T760" t="s">
        <v>302</v>
      </c>
      <c r="U760">
        <v>4.4283351460526241E-2</v>
      </c>
      <c r="V760" t="s">
        <v>154</v>
      </c>
    </row>
    <row r="761" spans="9:22" x14ac:dyDescent="0.25">
      <c r="I761" t="s">
        <v>182</v>
      </c>
      <c r="J761" t="s">
        <v>303</v>
      </c>
      <c r="K761">
        <v>3.759793424394402E-3</v>
      </c>
      <c r="L761" t="s">
        <v>154</v>
      </c>
      <c r="N761" t="s">
        <v>212</v>
      </c>
      <c r="O761" t="s">
        <v>303</v>
      </c>
      <c r="P761">
        <v>9.333477223467404E-3</v>
      </c>
      <c r="Q761" t="s">
        <v>154</v>
      </c>
      <c r="S761" t="s">
        <v>243</v>
      </c>
      <c r="T761" t="s">
        <v>303</v>
      </c>
      <c r="U761">
        <v>1.119216682204555E-2</v>
      </c>
      <c r="V761" t="s">
        <v>154</v>
      </c>
    </row>
    <row r="762" spans="9:22" x14ac:dyDescent="0.25">
      <c r="I762" t="s">
        <v>182</v>
      </c>
      <c r="J762" t="s">
        <v>304</v>
      </c>
      <c r="K762">
        <v>6.3872051293748424E-3</v>
      </c>
      <c r="L762" t="s">
        <v>154</v>
      </c>
      <c r="N762" t="s">
        <v>212</v>
      </c>
      <c r="O762" t="s">
        <v>304</v>
      </c>
      <c r="P762">
        <v>4.8988157895944375E-3</v>
      </c>
      <c r="Q762" t="s">
        <v>154</v>
      </c>
      <c r="S762" t="s">
        <v>243</v>
      </c>
      <c r="T762" t="s">
        <v>304</v>
      </c>
      <c r="U762">
        <v>5.6183015188834128E-3</v>
      </c>
      <c r="V762" t="s">
        <v>154</v>
      </c>
    </row>
    <row r="763" spans="9:22" x14ac:dyDescent="0.25">
      <c r="I763" t="s">
        <v>182</v>
      </c>
      <c r="J763" t="s">
        <v>305</v>
      </c>
      <c r="K763">
        <v>5.1162557371132907E-2</v>
      </c>
      <c r="L763" t="s">
        <v>154</v>
      </c>
      <c r="N763" t="s">
        <v>212</v>
      </c>
      <c r="O763" t="s">
        <v>305</v>
      </c>
      <c r="P763">
        <v>4.1771816855074036E-2</v>
      </c>
      <c r="Q763" t="s">
        <v>154</v>
      </c>
      <c r="S763" t="s">
        <v>243</v>
      </c>
      <c r="T763" t="s">
        <v>305</v>
      </c>
      <c r="U763">
        <v>4.4670428742490623E-2</v>
      </c>
      <c r="V763" t="s">
        <v>154</v>
      </c>
    </row>
    <row r="764" spans="9:22" x14ac:dyDescent="0.25">
      <c r="I764" t="s">
        <v>182</v>
      </c>
      <c r="J764" t="s">
        <v>306</v>
      </c>
      <c r="K764">
        <v>0</v>
      </c>
      <c r="L764" t="s">
        <v>154</v>
      </c>
      <c r="N764" t="s">
        <v>212</v>
      </c>
      <c r="O764" t="s">
        <v>306</v>
      </c>
      <c r="P764">
        <v>5.9149281075600085E-3</v>
      </c>
      <c r="Q764" t="s">
        <v>154</v>
      </c>
      <c r="S764" t="s">
        <v>243</v>
      </c>
      <c r="T764" t="s">
        <v>306</v>
      </c>
      <c r="U764">
        <v>6.3814481406290384E-3</v>
      </c>
      <c r="V764" t="s">
        <v>154</v>
      </c>
    </row>
    <row r="765" spans="9:22" x14ac:dyDescent="0.25">
      <c r="I765" t="s">
        <v>182</v>
      </c>
      <c r="J765" t="s">
        <v>321</v>
      </c>
      <c r="K765">
        <v>0</v>
      </c>
      <c r="L765" t="s">
        <v>154</v>
      </c>
      <c r="N765" t="s">
        <v>212</v>
      </c>
      <c r="O765" t="s">
        <v>321</v>
      </c>
      <c r="P765">
        <v>5.8428996264376452E-3</v>
      </c>
      <c r="Q765" t="s">
        <v>154</v>
      </c>
      <c r="S765" t="s">
        <v>243</v>
      </c>
      <c r="T765" t="s">
        <v>321</v>
      </c>
      <c r="U765">
        <v>6.3570266184193522E-3</v>
      </c>
      <c r="V765" t="s">
        <v>154</v>
      </c>
    </row>
    <row r="766" spans="9:22" x14ac:dyDescent="0.25">
      <c r="I766" t="s">
        <v>182</v>
      </c>
      <c r="J766" t="s">
        <v>322</v>
      </c>
      <c r="K766">
        <v>0</v>
      </c>
      <c r="L766" t="s">
        <v>154</v>
      </c>
      <c r="N766" t="s">
        <v>212</v>
      </c>
      <c r="O766" t="s">
        <v>322</v>
      </c>
      <c r="P766">
        <v>2.6543275017009166E-2</v>
      </c>
      <c r="Q766" t="s">
        <v>154</v>
      </c>
      <c r="S766" t="s">
        <v>243</v>
      </c>
      <c r="T766" t="s">
        <v>322</v>
      </c>
      <c r="U766">
        <v>3.0655411836036626E-2</v>
      </c>
      <c r="V766" t="s">
        <v>154</v>
      </c>
    </row>
    <row r="767" spans="9:22" x14ac:dyDescent="0.25">
      <c r="I767" t="s">
        <v>183</v>
      </c>
      <c r="J767" t="s">
        <v>153</v>
      </c>
      <c r="K767">
        <v>0</v>
      </c>
      <c r="L767" t="s">
        <v>154</v>
      </c>
      <c r="N767" t="s">
        <v>213</v>
      </c>
      <c r="O767" t="s">
        <v>153</v>
      </c>
      <c r="P767">
        <v>3.5665629776704157E-2</v>
      </c>
      <c r="Q767" t="s">
        <v>154</v>
      </c>
      <c r="S767" t="s">
        <v>244</v>
      </c>
      <c r="T767" t="s">
        <v>153</v>
      </c>
      <c r="U767">
        <v>3.2342247080378916E-2</v>
      </c>
      <c r="V767" t="s">
        <v>154</v>
      </c>
    </row>
    <row r="768" spans="9:22" x14ac:dyDescent="0.25">
      <c r="I768" t="s">
        <v>183</v>
      </c>
      <c r="J768" t="s">
        <v>155</v>
      </c>
      <c r="K768">
        <v>5.8372092292856359E-3</v>
      </c>
      <c r="L768" t="s">
        <v>154</v>
      </c>
      <c r="N768" t="s">
        <v>213</v>
      </c>
      <c r="O768" t="s">
        <v>155</v>
      </c>
      <c r="P768">
        <v>8.2580438123323711E-3</v>
      </c>
      <c r="Q768" t="s">
        <v>154</v>
      </c>
      <c r="S768" t="s">
        <v>244</v>
      </c>
      <c r="T768" t="s">
        <v>155</v>
      </c>
      <c r="U768">
        <v>9.0234052692270989E-3</v>
      </c>
      <c r="V768" t="s">
        <v>154</v>
      </c>
    </row>
    <row r="769" spans="9:22" x14ac:dyDescent="0.25">
      <c r="I769" t="s">
        <v>183</v>
      </c>
      <c r="J769" t="s">
        <v>156</v>
      </c>
      <c r="K769">
        <v>9.5182380795800856E-3</v>
      </c>
      <c r="L769" t="s">
        <v>154</v>
      </c>
      <c r="N769" t="s">
        <v>213</v>
      </c>
      <c r="O769" t="s">
        <v>156</v>
      </c>
      <c r="P769">
        <v>4.1070502912352487E-3</v>
      </c>
      <c r="Q769" t="s">
        <v>154</v>
      </c>
      <c r="S769" t="s">
        <v>244</v>
      </c>
      <c r="T769" t="s">
        <v>156</v>
      </c>
      <c r="U769">
        <v>4.5104911403118196E-3</v>
      </c>
      <c r="V769" t="s">
        <v>154</v>
      </c>
    </row>
    <row r="770" spans="9:22" x14ac:dyDescent="0.25">
      <c r="I770" t="s">
        <v>183</v>
      </c>
      <c r="J770" t="s">
        <v>283</v>
      </c>
      <c r="K770">
        <v>6.7964152076145215E-2</v>
      </c>
      <c r="L770" t="s">
        <v>154</v>
      </c>
      <c r="N770" t="s">
        <v>213</v>
      </c>
      <c r="O770" t="s">
        <v>283</v>
      </c>
      <c r="P770">
        <v>3.4570782997415173E-2</v>
      </c>
      <c r="Q770" t="s">
        <v>154</v>
      </c>
      <c r="S770" t="s">
        <v>244</v>
      </c>
      <c r="T770" t="s">
        <v>283</v>
      </c>
      <c r="U770">
        <v>3.2422350652228545E-2</v>
      </c>
      <c r="V770" t="s">
        <v>154</v>
      </c>
    </row>
    <row r="771" spans="9:22" x14ac:dyDescent="0.25">
      <c r="I771" t="s">
        <v>183</v>
      </c>
      <c r="J771" t="s">
        <v>284</v>
      </c>
      <c r="K771">
        <v>7.6821350364644802E-4</v>
      </c>
      <c r="L771" t="s">
        <v>154</v>
      </c>
      <c r="N771" t="s">
        <v>213</v>
      </c>
      <c r="O771" t="s">
        <v>284</v>
      </c>
      <c r="P771">
        <v>5.277599816047974E-3</v>
      </c>
      <c r="Q771" t="s">
        <v>154</v>
      </c>
      <c r="S771" t="s">
        <v>244</v>
      </c>
      <c r="T771" t="s">
        <v>284</v>
      </c>
      <c r="U771">
        <v>4.5480697556470346E-3</v>
      </c>
      <c r="V771" t="s">
        <v>154</v>
      </c>
    </row>
    <row r="772" spans="9:22" x14ac:dyDescent="0.25">
      <c r="I772" t="s">
        <v>183</v>
      </c>
      <c r="J772" t="s">
        <v>311</v>
      </c>
      <c r="K772">
        <v>0</v>
      </c>
      <c r="L772" t="s">
        <v>154</v>
      </c>
      <c r="N772" t="s">
        <v>213</v>
      </c>
      <c r="O772" t="s">
        <v>311</v>
      </c>
      <c r="P772">
        <v>4.7143865245705451E-3</v>
      </c>
      <c r="Q772" t="s">
        <v>154</v>
      </c>
      <c r="S772" t="s">
        <v>244</v>
      </c>
      <c r="T772" t="s">
        <v>311</v>
      </c>
      <c r="U772">
        <v>4.4259196117114041E-3</v>
      </c>
      <c r="V772" t="s">
        <v>154</v>
      </c>
    </row>
    <row r="773" spans="9:22" x14ac:dyDescent="0.25">
      <c r="I773" t="s">
        <v>183</v>
      </c>
      <c r="J773" t="s">
        <v>312</v>
      </c>
      <c r="K773">
        <v>0</v>
      </c>
      <c r="L773" t="s">
        <v>154</v>
      </c>
      <c r="N773" t="s">
        <v>213</v>
      </c>
      <c r="O773" t="s">
        <v>312</v>
      </c>
      <c r="P773">
        <v>2.3067421800379417E-2</v>
      </c>
      <c r="Q773" t="s">
        <v>154</v>
      </c>
      <c r="S773" t="s">
        <v>244</v>
      </c>
      <c r="T773" t="s">
        <v>312</v>
      </c>
      <c r="U773">
        <v>2.186645569172263E-2</v>
      </c>
      <c r="V773" t="s">
        <v>154</v>
      </c>
    </row>
    <row r="774" spans="9:22" x14ac:dyDescent="0.25">
      <c r="I774" t="s">
        <v>183</v>
      </c>
      <c r="J774" t="s">
        <v>157</v>
      </c>
      <c r="K774">
        <v>0</v>
      </c>
      <c r="L774" t="s">
        <v>154</v>
      </c>
      <c r="N774" t="s">
        <v>213</v>
      </c>
      <c r="O774" t="s">
        <v>157</v>
      </c>
      <c r="P774">
        <v>9.2952819232687434E-3</v>
      </c>
      <c r="Q774" t="s">
        <v>154</v>
      </c>
      <c r="S774" t="s">
        <v>244</v>
      </c>
      <c r="T774" t="s">
        <v>157</v>
      </c>
      <c r="U774">
        <v>5.619487823441691E-3</v>
      </c>
      <c r="V774" t="s">
        <v>154</v>
      </c>
    </row>
    <row r="775" spans="9:22" x14ac:dyDescent="0.25">
      <c r="I775" t="s">
        <v>183</v>
      </c>
      <c r="J775" t="s">
        <v>158</v>
      </c>
      <c r="K775">
        <v>1.5126808115128328E-3</v>
      </c>
      <c r="L775" t="s">
        <v>154</v>
      </c>
      <c r="N775" t="s">
        <v>213</v>
      </c>
      <c r="O775" t="s">
        <v>158</v>
      </c>
      <c r="P775">
        <v>2.3877112007445428E-3</v>
      </c>
      <c r="Q775" t="s">
        <v>154</v>
      </c>
      <c r="S775" t="s">
        <v>244</v>
      </c>
      <c r="T775" t="s">
        <v>158</v>
      </c>
      <c r="U775">
        <v>1.4607198235746205E-3</v>
      </c>
      <c r="V775" t="s">
        <v>154</v>
      </c>
    </row>
    <row r="776" spans="9:22" x14ac:dyDescent="0.25">
      <c r="I776" t="s">
        <v>183</v>
      </c>
      <c r="J776" t="s">
        <v>159</v>
      </c>
      <c r="K776">
        <v>2.4308678810706541E-3</v>
      </c>
      <c r="L776" t="s">
        <v>154</v>
      </c>
      <c r="N776" t="s">
        <v>213</v>
      </c>
      <c r="O776" t="s">
        <v>159</v>
      </c>
      <c r="P776">
        <v>1.1794910881765817E-3</v>
      </c>
      <c r="Q776" t="s">
        <v>154</v>
      </c>
      <c r="S776" t="s">
        <v>244</v>
      </c>
      <c r="T776" t="s">
        <v>159</v>
      </c>
      <c r="U776">
        <v>7.7807123526067289E-4</v>
      </c>
      <c r="V776" t="s">
        <v>154</v>
      </c>
    </row>
    <row r="777" spans="9:22" x14ac:dyDescent="0.25">
      <c r="I777" t="s">
        <v>183</v>
      </c>
      <c r="J777" t="s">
        <v>285</v>
      </c>
      <c r="K777">
        <v>2.0206798073721947E-2</v>
      </c>
      <c r="L777" t="s">
        <v>154</v>
      </c>
      <c r="N777" t="s">
        <v>213</v>
      </c>
      <c r="O777" t="s">
        <v>285</v>
      </c>
      <c r="P777">
        <v>8.5695667613832575E-3</v>
      </c>
      <c r="Q777" t="s">
        <v>154</v>
      </c>
      <c r="S777" t="s">
        <v>244</v>
      </c>
      <c r="T777" t="s">
        <v>285</v>
      </c>
      <c r="U777">
        <v>6.31071386821509E-3</v>
      </c>
      <c r="V777" t="s">
        <v>154</v>
      </c>
    </row>
    <row r="778" spans="9:22" x14ac:dyDescent="0.25">
      <c r="I778" t="s">
        <v>183</v>
      </c>
      <c r="J778" t="s">
        <v>286</v>
      </c>
      <c r="K778">
        <v>1.275518551749438E-3</v>
      </c>
      <c r="L778" t="s">
        <v>154</v>
      </c>
      <c r="N778" t="s">
        <v>213</v>
      </c>
      <c r="O778" t="s">
        <v>286</v>
      </c>
      <c r="P778">
        <v>1.2542672531550678E-3</v>
      </c>
      <c r="Q778" t="s">
        <v>154</v>
      </c>
      <c r="S778" t="s">
        <v>244</v>
      </c>
      <c r="T778" t="s">
        <v>286</v>
      </c>
      <c r="U778">
        <v>1.0838914147039199E-3</v>
      </c>
      <c r="V778" t="s">
        <v>154</v>
      </c>
    </row>
    <row r="779" spans="9:22" x14ac:dyDescent="0.25">
      <c r="I779" t="s">
        <v>183</v>
      </c>
      <c r="J779" t="s">
        <v>313</v>
      </c>
      <c r="K779">
        <v>0</v>
      </c>
      <c r="L779" t="s">
        <v>154</v>
      </c>
      <c r="N779" t="s">
        <v>213</v>
      </c>
      <c r="O779" t="s">
        <v>313</v>
      </c>
      <c r="P779">
        <v>1.1278781730840537E-3</v>
      </c>
      <c r="Q779" t="s">
        <v>154</v>
      </c>
      <c r="S779" t="s">
        <v>244</v>
      </c>
      <c r="T779" t="s">
        <v>313</v>
      </c>
      <c r="U779">
        <v>1.0790969761096817E-3</v>
      </c>
      <c r="V779" t="s">
        <v>154</v>
      </c>
    </row>
    <row r="780" spans="9:22" x14ac:dyDescent="0.25">
      <c r="I780" t="s">
        <v>183</v>
      </c>
      <c r="J780" t="s">
        <v>314</v>
      </c>
      <c r="K780">
        <v>0</v>
      </c>
      <c r="L780" t="s">
        <v>154</v>
      </c>
      <c r="N780" t="s">
        <v>213</v>
      </c>
      <c r="O780" t="s">
        <v>314</v>
      </c>
      <c r="P780">
        <v>6.3741574054959529E-3</v>
      </c>
      <c r="Q780" t="s">
        <v>154</v>
      </c>
      <c r="S780" t="s">
        <v>244</v>
      </c>
      <c r="T780" t="s">
        <v>314</v>
      </c>
      <c r="U780">
        <v>4.76560148630914E-3</v>
      </c>
      <c r="V780" t="s">
        <v>154</v>
      </c>
    </row>
    <row r="781" spans="9:22" x14ac:dyDescent="0.25">
      <c r="I781" t="s">
        <v>183</v>
      </c>
      <c r="J781" t="s">
        <v>160</v>
      </c>
      <c r="K781">
        <v>1.898605367358908E-2</v>
      </c>
      <c r="L781" t="s">
        <v>154</v>
      </c>
      <c r="N781" t="s">
        <v>213</v>
      </c>
      <c r="O781" t="s">
        <v>160</v>
      </c>
      <c r="P781">
        <v>0.18356418917988324</v>
      </c>
      <c r="Q781" t="s">
        <v>154</v>
      </c>
      <c r="S781" t="s">
        <v>244</v>
      </c>
      <c r="T781" t="s">
        <v>160</v>
      </c>
      <c r="U781">
        <v>0.1757255358253397</v>
      </c>
      <c r="V781" t="s">
        <v>154</v>
      </c>
    </row>
    <row r="782" spans="9:22" x14ac:dyDescent="0.25">
      <c r="I782" t="s">
        <v>183</v>
      </c>
      <c r="J782" t="s">
        <v>161</v>
      </c>
      <c r="K782">
        <v>9.1639323853126634E-2</v>
      </c>
      <c r="L782" t="s">
        <v>154</v>
      </c>
      <c r="N782" t="s">
        <v>213</v>
      </c>
      <c r="O782" t="s">
        <v>161</v>
      </c>
      <c r="P782">
        <v>4.1693703478591387E-2</v>
      </c>
      <c r="Q782" t="s">
        <v>154</v>
      </c>
      <c r="S782" t="s">
        <v>244</v>
      </c>
      <c r="T782" t="s">
        <v>161</v>
      </c>
      <c r="U782">
        <v>4.6374490053698918E-2</v>
      </c>
      <c r="V782" t="s">
        <v>154</v>
      </c>
    </row>
    <row r="783" spans="9:22" x14ac:dyDescent="0.25">
      <c r="I783" t="s">
        <v>183</v>
      </c>
      <c r="J783" t="s">
        <v>162</v>
      </c>
      <c r="K783">
        <v>6.7389964662614599E-2</v>
      </c>
      <c r="L783" t="s">
        <v>154</v>
      </c>
      <c r="N783" t="s">
        <v>213</v>
      </c>
      <c r="O783" t="s">
        <v>162</v>
      </c>
      <c r="P783">
        <v>2.1522050157200972E-2</v>
      </c>
      <c r="Q783" t="s">
        <v>154</v>
      </c>
      <c r="S783" t="s">
        <v>244</v>
      </c>
      <c r="T783" t="s">
        <v>162</v>
      </c>
      <c r="U783">
        <v>2.4261099666106945E-2</v>
      </c>
      <c r="V783" t="s">
        <v>154</v>
      </c>
    </row>
    <row r="784" spans="9:22" x14ac:dyDescent="0.25">
      <c r="I784" t="s">
        <v>183</v>
      </c>
      <c r="J784" t="s">
        <v>287</v>
      </c>
      <c r="K784">
        <v>0.49860937359764362</v>
      </c>
      <c r="L784" t="s">
        <v>154</v>
      </c>
      <c r="N784" t="s">
        <v>213</v>
      </c>
      <c r="O784" t="s">
        <v>287</v>
      </c>
      <c r="P784">
        <v>0.1715427845455349</v>
      </c>
      <c r="Q784" t="s">
        <v>154</v>
      </c>
      <c r="S784" t="s">
        <v>244</v>
      </c>
      <c r="T784" t="s">
        <v>287</v>
      </c>
      <c r="U784">
        <v>0.18869645188234269</v>
      </c>
      <c r="V784" t="s">
        <v>154</v>
      </c>
    </row>
    <row r="785" spans="9:22" x14ac:dyDescent="0.25">
      <c r="I785" t="s">
        <v>183</v>
      </c>
      <c r="J785" t="s">
        <v>288</v>
      </c>
      <c r="K785">
        <v>3.9061795238987652E-2</v>
      </c>
      <c r="L785" t="s">
        <v>154</v>
      </c>
      <c r="N785" t="s">
        <v>213</v>
      </c>
      <c r="O785" t="s">
        <v>288</v>
      </c>
      <c r="P785">
        <v>2.787913484825685E-2</v>
      </c>
      <c r="Q785" t="s">
        <v>154</v>
      </c>
      <c r="S785" t="s">
        <v>244</v>
      </c>
      <c r="T785" t="s">
        <v>288</v>
      </c>
      <c r="U785">
        <v>2.8959108354519154E-2</v>
      </c>
      <c r="V785" t="s">
        <v>154</v>
      </c>
    </row>
    <row r="786" spans="9:22" x14ac:dyDescent="0.25">
      <c r="I786" t="s">
        <v>183</v>
      </c>
      <c r="J786" t="s">
        <v>315</v>
      </c>
      <c r="K786">
        <v>1.8457699446939493E-2</v>
      </c>
      <c r="L786" t="s">
        <v>154</v>
      </c>
      <c r="N786" t="s">
        <v>213</v>
      </c>
      <c r="O786" t="s">
        <v>315</v>
      </c>
      <c r="P786">
        <v>2.3717601300833425E-2</v>
      </c>
      <c r="Q786" t="s">
        <v>154</v>
      </c>
      <c r="S786" t="s">
        <v>244</v>
      </c>
      <c r="T786" t="s">
        <v>315</v>
      </c>
      <c r="U786">
        <v>2.9093087225591386E-2</v>
      </c>
      <c r="V786" t="s">
        <v>154</v>
      </c>
    </row>
    <row r="787" spans="9:22" x14ac:dyDescent="0.25">
      <c r="I787" t="s">
        <v>183</v>
      </c>
      <c r="J787" t="s">
        <v>316</v>
      </c>
      <c r="K787">
        <v>4.2347725313239878E-3</v>
      </c>
      <c r="L787" t="s">
        <v>154</v>
      </c>
      <c r="N787" t="s">
        <v>213</v>
      </c>
      <c r="O787" t="s">
        <v>316</v>
      </c>
      <c r="P787">
        <v>0.12714728316045978</v>
      </c>
      <c r="Q787" t="s">
        <v>154</v>
      </c>
      <c r="S787" t="s">
        <v>244</v>
      </c>
      <c r="T787" t="s">
        <v>316</v>
      </c>
      <c r="U787">
        <v>0.13398790293473919</v>
      </c>
      <c r="V787" t="s">
        <v>154</v>
      </c>
    </row>
    <row r="788" spans="9:22" x14ac:dyDescent="0.25">
      <c r="I788" t="s">
        <v>183</v>
      </c>
      <c r="J788" t="s">
        <v>163</v>
      </c>
      <c r="K788">
        <v>0</v>
      </c>
      <c r="L788" t="s">
        <v>154</v>
      </c>
      <c r="N788" t="s">
        <v>213</v>
      </c>
      <c r="O788" t="s">
        <v>163</v>
      </c>
      <c r="P788">
        <v>1.2562680413381553E-2</v>
      </c>
      <c r="Q788" t="s">
        <v>154</v>
      </c>
      <c r="S788" t="s">
        <v>244</v>
      </c>
      <c r="T788" t="s">
        <v>163</v>
      </c>
      <c r="U788">
        <v>8.9576774789763142E-3</v>
      </c>
      <c r="V788" t="s">
        <v>154</v>
      </c>
    </row>
    <row r="789" spans="9:22" x14ac:dyDescent="0.25">
      <c r="I789" t="s">
        <v>183</v>
      </c>
      <c r="J789" t="s">
        <v>164</v>
      </c>
      <c r="K789">
        <v>2.9320637161743637E-3</v>
      </c>
      <c r="L789" t="s">
        <v>154</v>
      </c>
      <c r="N789" t="s">
        <v>213</v>
      </c>
      <c r="O789" t="s">
        <v>164</v>
      </c>
      <c r="P789">
        <v>3.1950608879913779E-3</v>
      </c>
      <c r="Q789" t="s">
        <v>154</v>
      </c>
      <c r="S789" t="s">
        <v>244</v>
      </c>
      <c r="T789" t="s">
        <v>164</v>
      </c>
      <c r="U789">
        <v>2.2319345857653022E-3</v>
      </c>
      <c r="V789" t="s">
        <v>154</v>
      </c>
    </row>
    <row r="790" spans="9:22" x14ac:dyDescent="0.25">
      <c r="I790" t="s">
        <v>183</v>
      </c>
      <c r="J790" t="s">
        <v>165</v>
      </c>
      <c r="K790">
        <v>2.3736046678882955E-3</v>
      </c>
      <c r="L790" t="s">
        <v>154</v>
      </c>
      <c r="N790" t="s">
        <v>213</v>
      </c>
      <c r="O790" t="s">
        <v>165</v>
      </c>
      <c r="P790">
        <v>1.6719350958149055E-3</v>
      </c>
      <c r="Q790" t="s">
        <v>154</v>
      </c>
      <c r="S790" t="s">
        <v>244</v>
      </c>
      <c r="T790" t="s">
        <v>165</v>
      </c>
      <c r="U790">
        <v>1.1220568256643721E-3</v>
      </c>
      <c r="V790" t="s">
        <v>154</v>
      </c>
    </row>
    <row r="791" spans="9:22" x14ac:dyDescent="0.25">
      <c r="I791" t="s">
        <v>183</v>
      </c>
      <c r="J791" t="s">
        <v>289</v>
      </c>
      <c r="K791">
        <v>1.6265793088796648E-2</v>
      </c>
      <c r="L791" t="s">
        <v>154</v>
      </c>
      <c r="N791" t="s">
        <v>213</v>
      </c>
      <c r="O791" t="s">
        <v>289</v>
      </c>
      <c r="P791">
        <v>1.1992443843091054E-2</v>
      </c>
      <c r="Q791" t="s">
        <v>154</v>
      </c>
      <c r="S791" t="s">
        <v>244</v>
      </c>
      <c r="T791" t="s">
        <v>289</v>
      </c>
      <c r="U791">
        <v>8.5754134980779769E-3</v>
      </c>
      <c r="V791" t="s">
        <v>154</v>
      </c>
    </row>
    <row r="792" spans="9:22" x14ac:dyDescent="0.25">
      <c r="I792" t="s">
        <v>183</v>
      </c>
      <c r="J792" t="s">
        <v>290</v>
      </c>
      <c r="K792">
        <v>5.8916873624744034E-4</v>
      </c>
      <c r="L792" t="s">
        <v>154</v>
      </c>
      <c r="N792" t="s">
        <v>213</v>
      </c>
      <c r="O792" t="s">
        <v>290</v>
      </c>
      <c r="P792">
        <v>1.9821700279097714E-3</v>
      </c>
      <c r="Q792" t="s">
        <v>154</v>
      </c>
      <c r="S792" t="s">
        <v>244</v>
      </c>
      <c r="T792" t="s">
        <v>290</v>
      </c>
      <c r="U792">
        <v>1.3687295872673328E-3</v>
      </c>
      <c r="V792" t="s">
        <v>154</v>
      </c>
    </row>
    <row r="793" spans="9:22" x14ac:dyDescent="0.25">
      <c r="I793" t="s">
        <v>183</v>
      </c>
      <c r="J793" t="s">
        <v>317</v>
      </c>
      <c r="K793">
        <v>0</v>
      </c>
      <c r="L793" t="s">
        <v>154</v>
      </c>
      <c r="N793" t="s">
        <v>213</v>
      </c>
      <c r="O793" t="s">
        <v>317</v>
      </c>
      <c r="P793">
        <v>1.740231121136976E-3</v>
      </c>
      <c r="Q793" t="s">
        <v>154</v>
      </c>
      <c r="S793" t="s">
        <v>244</v>
      </c>
      <c r="T793" t="s">
        <v>317</v>
      </c>
      <c r="U793">
        <v>1.4263735360626421E-3</v>
      </c>
      <c r="V793" t="s">
        <v>154</v>
      </c>
    </row>
    <row r="794" spans="9:22" x14ac:dyDescent="0.25">
      <c r="I794" t="s">
        <v>183</v>
      </c>
      <c r="J794" t="s">
        <v>318</v>
      </c>
      <c r="K794">
        <v>0</v>
      </c>
      <c r="L794" t="s">
        <v>154</v>
      </c>
      <c r="N794" t="s">
        <v>213</v>
      </c>
      <c r="O794" t="s">
        <v>318</v>
      </c>
      <c r="P794">
        <v>9.0252464818106216E-3</v>
      </c>
      <c r="Q794" t="s">
        <v>154</v>
      </c>
      <c r="S794" t="s">
        <v>244</v>
      </c>
      <c r="T794" t="s">
        <v>318</v>
      </c>
      <c r="U794">
        <v>6.6229699240623425E-3</v>
      </c>
      <c r="V794" t="s">
        <v>154</v>
      </c>
    </row>
    <row r="795" spans="9:22" x14ac:dyDescent="0.25">
      <c r="I795" t="s">
        <v>183</v>
      </c>
      <c r="J795" t="s">
        <v>297</v>
      </c>
      <c r="K795">
        <v>0</v>
      </c>
      <c r="L795" t="s">
        <v>154</v>
      </c>
      <c r="N795" t="s">
        <v>213</v>
      </c>
      <c r="O795" t="s">
        <v>297</v>
      </c>
      <c r="P795">
        <v>2.0038232371684808E-2</v>
      </c>
      <c r="Q795" t="s">
        <v>154</v>
      </c>
      <c r="S795" t="s">
        <v>244</v>
      </c>
      <c r="T795" t="s">
        <v>297</v>
      </c>
      <c r="U795">
        <v>2.284709336494881E-2</v>
      </c>
      <c r="V795" t="s">
        <v>154</v>
      </c>
    </row>
    <row r="796" spans="9:22" x14ac:dyDescent="0.25">
      <c r="I796" t="s">
        <v>183</v>
      </c>
      <c r="J796" t="s">
        <v>298</v>
      </c>
      <c r="K796">
        <v>7.8895047038423094E-3</v>
      </c>
      <c r="L796" t="s">
        <v>154</v>
      </c>
      <c r="N796" t="s">
        <v>213</v>
      </c>
      <c r="O796" t="s">
        <v>298</v>
      </c>
      <c r="P796">
        <v>5.4627245551987849E-3</v>
      </c>
      <c r="Q796" t="s">
        <v>154</v>
      </c>
      <c r="S796" t="s">
        <v>244</v>
      </c>
      <c r="T796" t="s">
        <v>298</v>
      </c>
      <c r="U796">
        <v>5.3994447732488198E-3</v>
      </c>
      <c r="V796" t="s">
        <v>154</v>
      </c>
    </row>
    <row r="797" spans="9:22" x14ac:dyDescent="0.25">
      <c r="I797" t="s">
        <v>183</v>
      </c>
      <c r="J797" t="s">
        <v>299</v>
      </c>
      <c r="K797">
        <v>7.5936884458061033E-3</v>
      </c>
      <c r="L797" t="s">
        <v>154</v>
      </c>
      <c r="N797" t="s">
        <v>213</v>
      </c>
      <c r="O797" t="s">
        <v>299</v>
      </c>
      <c r="P797">
        <v>2.8142984801531688E-3</v>
      </c>
      <c r="Q797" t="s">
        <v>154</v>
      </c>
      <c r="S797" t="s">
        <v>244</v>
      </c>
      <c r="T797" t="s">
        <v>299</v>
      </c>
      <c r="U797">
        <v>2.6552562533589236E-3</v>
      </c>
      <c r="V797" t="s">
        <v>154</v>
      </c>
    </row>
    <row r="798" spans="9:22" x14ac:dyDescent="0.25">
      <c r="I798" t="s">
        <v>183</v>
      </c>
      <c r="J798" t="s">
        <v>300</v>
      </c>
      <c r="K798">
        <v>4.4979178980690426E-2</v>
      </c>
      <c r="L798" t="s">
        <v>154</v>
      </c>
      <c r="N798" t="s">
        <v>213</v>
      </c>
      <c r="O798" t="s">
        <v>300</v>
      </c>
      <c r="P798">
        <v>2.0797563475560988E-2</v>
      </c>
      <c r="Q798" t="s">
        <v>154</v>
      </c>
      <c r="S798" t="s">
        <v>244</v>
      </c>
      <c r="T798" t="s">
        <v>300</v>
      </c>
      <c r="U798">
        <v>2.0533778756089627E-2</v>
      </c>
      <c r="V798" t="s">
        <v>154</v>
      </c>
    </row>
    <row r="799" spans="9:22" x14ac:dyDescent="0.25">
      <c r="I799" t="s">
        <v>183</v>
      </c>
      <c r="J799" t="s">
        <v>301</v>
      </c>
      <c r="K799">
        <v>0</v>
      </c>
      <c r="L799" t="s">
        <v>154</v>
      </c>
      <c r="N799" t="s">
        <v>213</v>
      </c>
      <c r="O799" t="s">
        <v>301</v>
      </c>
      <c r="P799">
        <v>3.1258785611414856E-3</v>
      </c>
      <c r="Q799" t="s">
        <v>154</v>
      </c>
      <c r="S799" t="s">
        <v>244</v>
      </c>
      <c r="T799" t="s">
        <v>301</v>
      </c>
      <c r="U799">
        <v>3.3794349395379342E-3</v>
      </c>
      <c r="V799" t="s">
        <v>154</v>
      </c>
    </row>
    <row r="800" spans="9:22" x14ac:dyDescent="0.25">
      <c r="I800" t="s">
        <v>183</v>
      </c>
      <c r="J800" t="s">
        <v>319</v>
      </c>
      <c r="K800">
        <v>0</v>
      </c>
      <c r="L800" t="s">
        <v>154</v>
      </c>
      <c r="N800" t="s">
        <v>213</v>
      </c>
      <c r="O800" t="s">
        <v>319</v>
      </c>
      <c r="P800">
        <v>2.944055687242104E-3</v>
      </c>
      <c r="Q800" t="s">
        <v>154</v>
      </c>
      <c r="S800" t="s">
        <v>244</v>
      </c>
      <c r="T800" t="s">
        <v>319</v>
      </c>
      <c r="U800">
        <v>3.3929005874950651E-3</v>
      </c>
      <c r="V800" t="s">
        <v>154</v>
      </c>
    </row>
    <row r="801" spans="9:22" x14ac:dyDescent="0.25">
      <c r="I801" t="s">
        <v>183</v>
      </c>
      <c r="J801" t="s">
        <v>320</v>
      </c>
      <c r="K801">
        <v>0</v>
      </c>
      <c r="L801" t="s">
        <v>154</v>
      </c>
      <c r="N801" t="s">
        <v>213</v>
      </c>
      <c r="O801" t="s">
        <v>320</v>
      </c>
      <c r="P801">
        <v>1.4857982551244115E-2</v>
      </c>
      <c r="Q801" t="s">
        <v>154</v>
      </c>
      <c r="S801" t="s">
        <v>244</v>
      </c>
      <c r="T801" t="s">
        <v>320</v>
      </c>
      <c r="U801">
        <v>1.6904768623578127E-2</v>
      </c>
      <c r="V801" t="s">
        <v>154</v>
      </c>
    </row>
    <row r="802" spans="9:22" x14ac:dyDescent="0.25">
      <c r="I802" t="s">
        <v>183</v>
      </c>
      <c r="J802" t="s">
        <v>302</v>
      </c>
      <c r="K802">
        <v>0</v>
      </c>
      <c r="L802" t="s">
        <v>154</v>
      </c>
      <c r="N802" t="s">
        <v>213</v>
      </c>
      <c r="O802" t="s">
        <v>302</v>
      </c>
      <c r="P802">
        <v>4.3749109842158164E-2</v>
      </c>
      <c r="Q802" t="s">
        <v>154</v>
      </c>
      <c r="S802" t="s">
        <v>244</v>
      </c>
      <c r="T802" t="s">
        <v>302</v>
      </c>
      <c r="U802">
        <v>4.0800820941410951E-2</v>
      </c>
      <c r="V802" t="s">
        <v>154</v>
      </c>
    </row>
    <row r="803" spans="9:22" x14ac:dyDescent="0.25">
      <c r="I803" t="s">
        <v>183</v>
      </c>
      <c r="J803" t="s">
        <v>303</v>
      </c>
      <c r="K803">
        <v>5.5072032565104314E-3</v>
      </c>
      <c r="L803" t="s">
        <v>154</v>
      </c>
      <c r="N803" t="s">
        <v>213</v>
      </c>
      <c r="O803" t="s">
        <v>303</v>
      </c>
      <c r="P803">
        <v>1.1233268641702406E-2</v>
      </c>
      <c r="Q803" t="s">
        <v>154</v>
      </c>
      <c r="S803" t="s">
        <v>244</v>
      </c>
      <c r="T803" t="s">
        <v>303</v>
      </c>
      <c r="U803">
        <v>1.0916941809357971E-2</v>
      </c>
      <c r="V803" t="s">
        <v>154</v>
      </c>
    </row>
    <row r="804" spans="9:22" x14ac:dyDescent="0.25">
      <c r="I804" t="s">
        <v>183</v>
      </c>
      <c r="J804" t="s">
        <v>304</v>
      </c>
      <c r="K804">
        <v>8.5647722089591122E-3</v>
      </c>
      <c r="L804" t="s">
        <v>154</v>
      </c>
      <c r="N804" t="s">
        <v>213</v>
      </c>
      <c r="O804" t="s">
        <v>304</v>
      </c>
      <c r="P804">
        <v>5.7366889093965114E-3</v>
      </c>
      <c r="Q804" t="s">
        <v>154</v>
      </c>
      <c r="S804" t="s">
        <v>244</v>
      </c>
      <c r="T804" t="s">
        <v>304</v>
      </c>
      <c r="U804">
        <v>5.5811492342446797E-3</v>
      </c>
      <c r="V804" t="s">
        <v>154</v>
      </c>
    </row>
    <row r="805" spans="9:22" x14ac:dyDescent="0.25">
      <c r="I805" t="s">
        <v>183</v>
      </c>
      <c r="J805" t="s">
        <v>305</v>
      </c>
      <c r="K805">
        <v>5.5412360984150262E-2</v>
      </c>
      <c r="L805" t="s">
        <v>154</v>
      </c>
      <c r="N805" t="s">
        <v>213</v>
      </c>
      <c r="O805" t="s">
        <v>305</v>
      </c>
      <c r="P805">
        <v>4.3753300578826725E-2</v>
      </c>
      <c r="Q805" t="s">
        <v>154</v>
      </c>
      <c r="S805" t="s">
        <v>244</v>
      </c>
      <c r="T805" t="s">
        <v>305</v>
      </c>
      <c r="U805">
        <v>4.0575253006895663E-2</v>
      </c>
      <c r="V805" t="s">
        <v>154</v>
      </c>
    </row>
    <row r="806" spans="9:22" x14ac:dyDescent="0.25">
      <c r="I806" t="s">
        <v>183</v>
      </c>
      <c r="J806" t="s">
        <v>306</v>
      </c>
      <c r="K806">
        <v>0</v>
      </c>
      <c r="L806" t="s">
        <v>154</v>
      </c>
      <c r="N806" t="s">
        <v>213</v>
      </c>
      <c r="O806" t="s">
        <v>306</v>
      </c>
      <c r="P806">
        <v>6.1200741546610041E-3</v>
      </c>
      <c r="Q806" t="s">
        <v>154</v>
      </c>
      <c r="S806" t="s">
        <v>244</v>
      </c>
      <c r="T806" t="s">
        <v>306</v>
      </c>
      <c r="U806">
        <v>5.8386196002458805E-3</v>
      </c>
      <c r="V806" t="s">
        <v>154</v>
      </c>
    </row>
    <row r="807" spans="9:22" x14ac:dyDescent="0.25">
      <c r="I807" t="s">
        <v>183</v>
      </c>
      <c r="J807" t="s">
        <v>321</v>
      </c>
      <c r="K807">
        <v>0</v>
      </c>
      <c r="L807" t="s">
        <v>154</v>
      </c>
      <c r="N807" t="s">
        <v>213</v>
      </c>
      <c r="O807" t="s">
        <v>321</v>
      </c>
      <c r="P807">
        <v>5.7296679296418539E-3</v>
      </c>
      <c r="Q807" t="s">
        <v>154</v>
      </c>
      <c r="S807" t="s">
        <v>244</v>
      </c>
      <c r="T807" t="s">
        <v>321</v>
      </c>
      <c r="U807">
        <v>5.7819591270636284E-3</v>
      </c>
      <c r="V807" t="s">
        <v>154</v>
      </c>
    </row>
    <row r="808" spans="9:22" x14ac:dyDescent="0.25">
      <c r="I808" t="s">
        <v>183</v>
      </c>
      <c r="J808" t="s">
        <v>322</v>
      </c>
      <c r="K808">
        <v>0</v>
      </c>
      <c r="L808" t="s">
        <v>154</v>
      </c>
      <c r="N808" t="s">
        <v>213</v>
      </c>
      <c r="O808" t="s">
        <v>322</v>
      </c>
      <c r="P808">
        <v>2.8551370895502283E-2</v>
      </c>
      <c r="Q808" t="s">
        <v>154</v>
      </c>
      <c r="S808" t="s">
        <v>244</v>
      </c>
      <c r="T808" t="s">
        <v>322</v>
      </c>
      <c r="U808">
        <v>2.7753225775469202E-2</v>
      </c>
      <c r="V808" t="s">
        <v>154</v>
      </c>
    </row>
    <row r="809" spans="9:22" x14ac:dyDescent="0.25">
      <c r="I809" t="s">
        <v>184</v>
      </c>
      <c r="J809" t="s">
        <v>153</v>
      </c>
      <c r="K809">
        <v>0</v>
      </c>
      <c r="L809" t="s">
        <v>154</v>
      </c>
      <c r="N809" t="s">
        <v>214</v>
      </c>
      <c r="O809" t="s">
        <v>153</v>
      </c>
      <c r="P809">
        <v>4.9317132974637655E-2</v>
      </c>
      <c r="Q809" t="s">
        <v>154</v>
      </c>
      <c r="S809" t="s">
        <v>245</v>
      </c>
      <c r="T809" t="s">
        <v>153</v>
      </c>
      <c r="U809">
        <v>4.2481917178511741E-2</v>
      </c>
      <c r="V809" t="s">
        <v>154</v>
      </c>
    </row>
    <row r="810" spans="9:22" x14ac:dyDescent="0.25">
      <c r="I810" t="s">
        <v>184</v>
      </c>
      <c r="J810" t="s">
        <v>155</v>
      </c>
      <c r="K810">
        <v>4.4709972289331025E-3</v>
      </c>
      <c r="L810" t="s">
        <v>154</v>
      </c>
      <c r="N810" t="s">
        <v>214</v>
      </c>
      <c r="O810" t="s">
        <v>155</v>
      </c>
      <c r="P810">
        <v>1.2475904739583757E-2</v>
      </c>
      <c r="Q810" t="s">
        <v>154</v>
      </c>
      <c r="S810" t="s">
        <v>245</v>
      </c>
      <c r="T810" t="s">
        <v>155</v>
      </c>
      <c r="U810">
        <v>1.2788303359725748E-2</v>
      </c>
      <c r="V810" t="s">
        <v>154</v>
      </c>
    </row>
    <row r="811" spans="9:22" x14ac:dyDescent="0.25">
      <c r="I811" t="s">
        <v>184</v>
      </c>
      <c r="J811" t="s">
        <v>156</v>
      </c>
      <c r="K811">
        <v>7.9861528052192626E-3</v>
      </c>
      <c r="L811" t="s">
        <v>154</v>
      </c>
      <c r="N811" t="s">
        <v>214</v>
      </c>
      <c r="O811" t="s">
        <v>156</v>
      </c>
      <c r="P811">
        <v>5.7944194449141128E-3</v>
      </c>
      <c r="Q811" t="s">
        <v>154</v>
      </c>
      <c r="S811" t="s">
        <v>245</v>
      </c>
      <c r="T811" t="s">
        <v>156</v>
      </c>
      <c r="U811">
        <v>6.9078586976016581E-3</v>
      </c>
      <c r="V811" t="s">
        <v>154</v>
      </c>
    </row>
    <row r="812" spans="9:22" x14ac:dyDescent="0.25">
      <c r="I812" t="s">
        <v>184</v>
      </c>
      <c r="J812" t="s">
        <v>283</v>
      </c>
      <c r="K812">
        <v>6.4020519445563182E-2</v>
      </c>
      <c r="L812" t="s">
        <v>154</v>
      </c>
      <c r="N812" t="s">
        <v>214</v>
      </c>
      <c r="O812" t="s">
        <v>283</v>
      </c>
      <c r="P812">
        <v>4.6668102266825266E-2</v>
      </c>
      <c r="Q812" t="s">
        <v>154</v>
      </c>
      <c r="S812" t="s">
        <v>245</v>
      </c>
      <c r="T812" t="s">
        <v>283</v>
      </c>
      <c r="U812">
        <v>4.9504232658328248E-2</v>
      </c>
      <c r="V812" t="s">
        <v>154</v>
      </c>
    </row>
    <row r="813" spans="9:22" x14ac:dyDescent="0.25">
      <c r="I813" t="s">
        <v>184</v>
      </c>
      <c r="J813" t="s">
        <v>284</v>
      </c>
      <c r="K813">
        <v>5.9077774853083314E-4</v>
      </c>
      <c r="L813" t="s">
        <v>154</v>
      </c>
      <c r="N813" t="s">
        <v>214</v>
      </c>
      <c r="O813" t="s">
        <v>284</v>
      </c>
      <c r="P813">
        <v>6.3538926398439286E-3</v>
      </c>
      <c r="Q813" t="s">
        <v>154</v>
      </c>
      <c r="S813" t="s">
        <v>245</v>
      </c>
      <c r="T813" t="s">
        <v>284</v>
      </c>
      <c r="U813">
        <v>6.6099294280148645E-3</v>
      </c>
      <c r="V813" t="s">
        <v>154</v>
      </c>
    </row>
    <row r="814" spans="9:22" x14ac:dyDescent="0.25">
      <c r="I814" t="s">
        <v>184</v>
      </c>
      <c r="J814" t="s">
        <v>311</v>
      </c>
      <c r="K814">
        <v>0</v>
      </c>
      <c r="L814" t="s">
        <v>154</v>
      </c>
      <c r="N814" t="s">
        <v>214</v>
      </c>
      <c r="O814" t="s">
        <v>311</v>
      </c>
      <c r="P814">
        <v>6.2584931607199985E-3</v>
      </c>
      <c r="Q814" t="s">
        <v>154</v>
      </c>
      <c r="S814" t="s">
        <v>245</v>
      </c>
      <c r="T814" t="s">
        <v>311</v>
      </c>
      <c r="U814">
        <v>6.3548775776513071E-3</v>
      </c>
      <c r="V814" t="s">
        <v>154</v>
      </c>
    </row>
    <row r="815" spans="9:22" x14ac:dyDescent="0.25">
      <c r="I815" t="s">
        <v>184</v>
      </c>
      <c r="J815" t="s">
        <v>312</v>
      </c>
      <c r="K815">
        <v>0</v>
      </c>
      <c r="L815" t="s">
        <v>154</v>
      </c>
      <c r="N815" t="s">
        <v>214</v>
      </c>
      <c r="O815" t="s">
        <v>312</v>
      </c>
      <c r="P815">
        <v>3.2508067053930896E-2</v>
      </c>
      <c r="Q815" t="s">
        <v>154</v>
      </c>
      <c r="S815" t="s">
        <v>245</v>
      </c>
      <c r="T815" t="s">
        <v>312</v>
      </c>
      <c r="U815">
        <v>2.9747614397903403E-2</v>
      </c>
      <c r="V815" t="s">
        <v>154</v>
      </c>
    </row>
    <row r="816" spans="9:22" x14ac:dyDescent="0.25">
      <c r="I816" t="s">
        <v>184</v>
      </c>
      <c r="J816" t="s">
        <v>157</v>
      </c>
      <c r="K816">
        <v>0</v>
      </c>
      <c r="L816" t="s">
        <v>154</v>
      </c>
      <c r="N816" t="s">
        <v>214</v>
      </c>
      <c r="O816" t="s">
        <v>157</v>
      </c>
      <c r="P816">
        <v>1.1040796457288605E-2</v>
      </c>
      <c r="Q816" t="s">
        <v>154</v>
      </c>
      <c r="S816" t="s">
        <v>245</v>
      </c>
      <c r="T816" t="s">
        <v>157</v>
      </c>
      <c r="U816">
        <v>5.8512190097677547E-3</v>
      </c>
      <c r="V816" t="s">
        <v>154</v>
      </c>
    </row>
    <row r="817" spans="9:22" x14ac:dyDescent="0.25">
      <c r="I817" t="s">
        <v>184</v>
      </c>
      <c r="J817" t="s">
        <v>158</v>
      </c>
      <c r="K817">
        <v>1.6328288500021253E-3</v>
      </c>
      <c r="L817" t="s">
        <v>154</v>
      </c>
      <c r="N817" t="s">
        <v>214</v>
      </c>
      <c r="O817" t="s">
        <v>158</v>
      </c>
      <c r="P817">
        <v>3.4656460158040019E-3</v>
      </c>
      <c r="Q817" t="s">
        <v>154</v>
      </c>
      <c r="S817" t="s">
        <v>245</v>
      </c>
      <c r="T817" t="s">
        <v>158</v>
      </c>
      <c r="U817">
        <v>1.3123626192613588E-3</v>
      </c>
      <c r="V817" t="s">
        <v>154</v>
      </c>
    </row>
    <row r="818" spans="9:22" x14ac:dyDescent="0.25">
      <c r="I818" t="s">
        <v>184</v>
      </c>
      <c r="J818" t="s">
        <v>159</v>
      </c>
      <c r="K818">
        <v>2.8254422620875705E-3</v>
      </c>
      <c r="L818" t="s">
        <v>154</v>
      </c>
      <c r="N818" t="s">
        <v>214</v>
      </c>
      <c r="O818" t="s">
        <v>159</v>
      </c>
      <c r="P818">
        <v>1.6885125625493264E-3</v>
      </c>
      <c r="Q818" t="s">
        <v>154</v>
      </c>
      <c r="S818" t="s">
        <v>245</v>
      </c>
      <c r="T818" t="s">
        <v>159</v>
      </c>
      <c r="U818">
        <v>7.6341458295295199E-4</v>
      </c>
      <c r="V818" t="s">
        <v>154</v>
      </c>
    </row>
    <row r="819" spans="9:22" x14ac:dyDescent="0.25">
      <c r="I819" t="s">
        <v>184</v>
      </c>
      <c r="J819" t="s">
        <v>285</v>
      </c>
      <c r="K819">
        <v>2.1318740877426107E-2</v>
      </c>
      <c r="L819" t="s">
        <v>154</v>
      </c>
      <c r="N819" t="s">
        <v>214</v>
      </c>
      <c r="O819" t="s">
        <v>285</v>
      </c>
      <c r="P819">
        <v>1.3403599590370255E-2</v>
      </c>
      <c r="Q819" t="s">
        <v>154</v>
      </c>
      <c r="S819" t="s">
        <v>245</v>
      </c>
      <c r="T819" t="s">
        <v>285</v>
      </c>
      <c r="U819">
        <v>5.8220034742946097E-3</v>
      </c>
      <c r="V819" t="s">
        <v>154</v>
      </c>
    </row>
    <row r="820" spans="9:22" x14ac:dyDescent="0.25">
      <c r="I820" t="s">
        <v>184</v>
      </c>
      <c r="J820" t="s">
        <v>286</v>
      </c>
      <c r="K820">
        <v>1.0867176883329198E-3</v>
      </c>
      <c r="L820" t="s">
        <v>154</v>
      </c>
      <c r="N820" t="s">
        <v>214</v>
      </c>
      <c r="O820" t="s">
        <v>286</v>
      </c>
      <c r="P820">
        <v>1.899360879050999E-3</v>
      </c>
      <c r="Q820" t="s">
        <v>154</v>
      </c>
      <c r="S820" t="s">
        <v>245</v>
      </c>
      <c r="T820" t="s">
        <v>286</v>
      </c>
      <c r="U820">
        <v>8.489124642709915E-4</v>
      </c>
      <c r="V820" t="s">
        <v>154</v>
      </c>
    </row>
    <row r="821" spans="9:22" x14ac:dyDescent="0.25">
      <c r="I821" t="s">
        <v>184</v>
      </c>
      <c r="J821" t="s">
        <v>313</v>
      </c>
      <c r="K821">
        <v>0</v>
      </c>
      <c r="L821" t="s">
        <v>154</v>
      </c>
      <c r="N821" t="s">
        <v>214</v>
      </c>
      <c r="O821" t="s">
        <v>313</v>
      </c>
      <c r="P821">
        <v>1.87578116119691E-3</v>
      </c>
      <c r="Q821" t="s">
        <v>154</v>
      </c>
      <c r="S821" t="s">
        <v>245</v>
      </c>
      <c r="T821" t="s">
        <v>313</v>
      </c>
      <c r="U821">
        <v>8.0720570822748845E-4</v>
      </c>
      <c r="V821" t="s">
        <v>154</v>
      </c>
    </row>
    <row r="822" spans="9:22" x14ac:dyDescent="0.25">
      <c r="I822" t="s">
        <v>184</v>
      </c>
      <c r="J822" t="s">
        <v>314</v>
      </c>
      <c r="K822">
        <v>0</v>
      </c>
      <c r="L822" t="s">
        <v>154</v>
      </c>
      <c r="N822" t="s">
        <v>214</v>
      </c>
      <c r="O822" t="s">
        <v>314</v>
      </c>
      <c r="P822">
        <v>8.9652291426151956E-3</v>
      </c>
      <c r="Q822" t="s">
        <v>154</v>
      </c>
      <c r="S822" t="s">
        <v>245</v>
      </c>
      <c r="T822" t="s">
        <v>314</v>
      </c>
      <c r="U822">
        <v>2.9796703920276116E-3</v>
      </c>
      <c r="V822" t="s">
        <v>154</v>
      </c>
    </row>
    <row r="823" spans="9:22" x14ac:dyDescent="0.25">
      <c r="I823" t="s">
        <v>184</v>
      </c>
      <c r="J823" t="s">
        <v>160</v>
      </c>
      <c r="K823">
        <v>1.8866806119941078E-2</v>
      </c>
      <c r="L823" t="s">
        <v>154</v>
      </c>
      <c r="N823" t="s">
        <v>214</v>
      </c>
      <c r="O823" t="s">
        <v>160</v>
      </c>
      <c r="P823">
        <v>0.15268586071762724</v>
      </c>
      <c r="Q823" t="s">
        <v>154</v>
      </c>
      <c r="S823" t="s">
        <v>245</v>
      </c>
      <c r="T823" t="s">
        <v>160</v>
      </c>
      <c r="U823">
        <v>0.17262551406335025</v>
      </c>
      <c r="V823" t="s">
        <v>154</v>
      </c>
    </row>
    <row r="824" spans="9:22" x14ac:dyDescent="0.25">
      <c r="I824" t="s">
        <v>184</v>
      </c>
      <c r="J824" t="s">
        <v>161</v>
      </c>
      <c r="K824">
        <v>9.2519951946657769E-2</v>
      </c>
      <c r="L824" t="s">
        <v>154</v>
      </c>
      <c r="N824" t="s">
        <v>214</v>
      </c>
      <c r="O824" t="s">
        <v>161</v>
      </c>
      <c r="P824">
        <v>3.9941278802897509E-2</v>
      </c>
      <c r="Q824" t="s">
        <v>154</v>
      </c>
      <c r="S824" t="s">
        <v>245</v>
      </c>
      <c r="T824" t="s">
        <v>161</v>
      </c>
      <c r="U824">
        <v>4.1865346298743354E-2</v>
      </c>
      <c r="V824" t="s">
        <v>154</v>
      </c>
    </row>
    <row r="825" spans="9:22" x14ac:dyDescent="0.25">
      <c r="I825" t="s">
        <v>184</v>
      </c>
      <c r="J825" t="s">
        <v>162</v>
      </c>
      <c r="K825">
        <v>6.9689454219988553E-2</v>
      </c>
      <c r="L825" t="s">
        <v>154</v>
      </c>
      <c r="N825" t="s">
        <v>214</v>
      </c>
      <c r="O825" t="s">
        <v>162</v>
      </c>
      <c r="P825">
        <v>2.0714595552573184E-2</v>
      </c>
      <c r="Q825" t="s">
        <v>154</v>
      </c>
      <c r="S825" t="s">
        <v>245</v>
      </c>
      <c r="T825" t="s">
        <v>162</v>
      </c>
      <c r="U825">
        <v>2.1775203083984514E-2</v>
      </c>
      <c r="V825" t="s">
        <v>154</v>
      </c>
    </row>
    <row r="826" spans="9:22" x14ac:dyDescent="0.25">
      <c r="I826" t="s">
        <v>184</v>
      </c>
      <c r="J826" t="s">
        <v>287</v>
      </c>
      <c r="K826">
        <v>0.50529326054186996</v>
      </c>
      <c r="L826" t="s">
        <v>154</v>
      </c>
      <c r="N826" t="s">
        <v>214</v>
      </c>
      <c r="O826" t="s">
        <v>287</v>
      </c>
      <c r="P826">
        <v>0.17095618055002351</v>
      </c>
      <c r="Q826" t="s">
        <v>154</v>
      </c>
      <c r="S826" t="s">
        <v>245</v>
      </c>
      <c r="T826" t="s">
        <v>287</v>
      </c>
      <c r="U826">
        <v>0.15725726487732411</v>
      </c>
      <c r="V826" t="s">
        <v>154</v>
      </c>
    </row>
    <row r="827" spans="9:22" x14ac:dyDescent="0.25">
      <c r="I827" t="s">
        <v>184</v>
      </c>
      <c r="J827" t="s">
        <v>288</v>
      </c>
      <c r="K827">
        <v>4.0738636649160331E-2</v>
      </c>
      <c r="L827" t="s">
        <v>154</v>
      </c>
      <c r="N827" t="s">
        <v>214</v>
      </c>
      <c r="O827" t="s">
        <v>288</v>
      </c>
      <c r="P827">
        <v>2.3402501794551431E-2</v>
      </c>
      <c r="Q827" t="s">
        <v>154</v>
      </c>
      <c r="S827" t="s">
        <v>245</v>
      </c>
      <c r="T827" t="s">
        <v>288</v>
      </c>
      <c r="U827">
        <v>2.475055410359835E-2</v>
      </c>
      <c r="V827" t="s">
        <v>154</v>
      </c>
    </row>
    <row r="828" spans="9:22" x14ac:dyDescent="0.25">
      <c r="I828" t="s">
        <v>184</v>
      </c>
      <c r="J828" t="s">
        <v>315</v>
      </c>
      <c r="K828">
        <v>1.9974946644937683E-2</v>
      </c>
      <c r="L828" t="s">
        <v>154</v>
      </c>
      <c r="N828" t="s">
        <v>214</v>
      </c>
      <c r="O828" t="s">
        <v>315</v>
      </c>
      <c r="P828">
        <v>2.2216715404829755E-2</v>
      </c>
      <c r="Q828" t="s">
        <v>154</v>
      </c>
      <c r="S828" t="s">
        <v>245</v>
      </c>
      <c r="T828" t="s">
        <v>315</v>
      </c>
      <c r="U828">
        <v>2.5559136170656065E-2</v>
      </c>
      <c r="V828" t="s">
        <v>154</v>
      </c>
    </row>
    <row r="829" spans="9:22" x14ac:dyDescent="0.25">
      <c r="I829" t="s">
        <v>184</v>
      </c>
      <c r="J829" t="s">
        <v>316</v>
      </c>
      <c r="K829">
        <v>5.3937603060079621E-3</v>
      </c>
      <c r="L829" t="s">
        <v>154</v>
      </c>
      <c r="N829" t="s">
        <v>214</v>
      </c>
      <c r="O829" t="s">
        <v>316</v>
      </c>
      <c r="P829">
        <v>0.10101803815536263</v>
      </c>
      <c r="Q829" t="s">
        <v>154</v>
      </c>
      <c r="S829" t="s">
        <v>245</v>
      </c>
      <c r="T829" t="s">
        <v>316</v>
      </c>
      <c r="U829">
        <v>0.12131154603555901</v>
      </c>
      <c r="V829" t="s">
        <v>154</v>
      </c>
    </row>
    <row r="830" spans="9:22" x14ac:dyDescent="0.25">
      <c r="I830" t="s">
        <v>184</v>
      </c>
      <c r="J830" t="s">
        <v>163</v>
      </c>
      <c r="K830">
        <v>0</v>
      </c>
      <c r="L830" t="s">
        <v>154</v>
      </c>
      <c r="N830" t="s">
        <v>214</v>
      </c>
      <c r="O830" t="s">
        <v>163</v>
      </c>
      <c r="P830">
        <v>9.312686787141344E-3</v>
      </c>
      <c r="Q830" t="s">
        <v>154</v>
      </c>
      <c r="S830" t="s">
        <v>245</v>
      </c>
      <c r="T830" t="s">
        <v>163</v>
      </c>
      <c r="U830">
        <v>9.6333874849067486E-3</v>
      </c>
      <c r="V830" t="s">
        <v>154</v>
      </c>
    </row>
    <row r="831" spans="9:22" x14ac:dyDescent="0.25">
      <c r="I831" t="s">
        <v>184</v>
      </c>
      <c r="J831" t="s">
        <v>164</v>
      </c>
      <c r="K831">
        <v>2.9602431766679494E-3</v>
      </c>
      <c r="L831" t="s">
        <v>154</v>
      </c>
      <c r="N831" t="s">
        <v>214</v>
      </c>
      <c r="O831" t="s">
        <v>164</v>
      </c>
      <c r="P831">
        <v>1.7790247868611196E-3</v>
      </c>
      <c r="Q831" t="s">
        <v>154</v>
      </c>
      <c r="S831" t="s">
        <v>245</v>
      </c>
      <c r="T831" t="s">
        <v>164</v>
      </c>
      <c r="U831">
        <v>2.3976840454811243E-3</v>
      </c>
      <c r="V831" t="s">
        <v>154</v>
      </c>
    </row>
    <row r="832" spans="9:22" x14ac:dyDescent="0.25">
      <c r="I832" t="s">
        <v>184</v>
      </c>
      <c r="J832" t="s">
        <v>165</v>
      </c>
      <c r="K832">
        <v>2.5988950477806878E-3</v>
      </c>
      <c r="L832" t="s">
        <v>154</v>
      </c>
      <c r="N832" t="s">
        <v>214</v>
      </c>
      <c r="O832" t="s">
        <v>165</v>
      </c>
      <c r="P832">
        <v>8.2998018865817883E-4</v>
      </c>
      <c r="Q832" t="s">
        <v>154</v>
      </c>
      <c r="S832" t="s">
        <v>245</v>
      </c>
      <c r="T832" t="s">
        <v>165</v>
      </c>
      <c r="U832">
        <v>1.4396690704930842E-3</v>
      </c>
      <c r="V832" t="s">
        <v>154</v>
      </c>
    </row>
    <row r="833" spans="9:22" x14ac:dyDescent="0.25">
      <c r="I833" t="s">
        <v>184</v>
      </c>
      <c r="J833" t="s">
        <v>289</v>
      </c>
      <c r="K833">
        <v>1.7116558061779551E-2</v>
      </c>
      <c r="L833" t="s">
        <v>154</v>
      </c>
      <c r="N833" t="s">
        <v>214</v>
      </c>
      <c r="O833" t="s">
        <v>289</v>
      </c>
      <c r="P833">
        <v>7.4258708636885471E-3</v>
      </c>
      <c r="Q833" t="s">
        <v>154</v>
      </c>
      <c r="S833" t="s">
        <v>245</v>
      </c>
      <c r="T833" t="s">
        <v>289</v>
      </c>
      <c r="U833">
        <v>9.5728602953709888E-3</v>
      </c>
      <c r="V833" t="s">
        <v>154</v>
      </c>
    </row>
    <row r="834" spans="9:22" x14ac:dyDescent="0.25">
      <c r="I834" t="s">
        <v>184</v>
      </c>
      <c r="J834" t="s">
        <v>290</v>
      </c>
      <c r="K834">
        <v>5.4572454807117301E-4</v>
      </c>
      <c r="L834" t="s">
        <v>154</v>
      </c>
      <c r="N834" t="s">
        <v>214</v>
      </c>
      <c r="O834" t="s">
        <v>290</v>
      </c>
      <c r="P834">
        <v>1.3154268290738378E-3</v>
      </c>
      <c r="Q834" t="s">
        <v>154</v>
      </c>
      <c r="S834" t="s">
        <v>245</v>
      </c>
      <c r="T834" t="s">
        <v>290</v>
      </c>
      <c r="U834">
        <v>1.2301305433044798E-3</v>
      </c>
      <c r="V834" t="s">
        <v>154</v>
      </c>
    </row>
    <row r="835" spans="9:22" x14ac:dyDescent="0.25">
      <c r="I835" t="s">
        <v>184</v>
      </c>
      <c r="J835" t="s">
        <v>317</v>
      </c>
      <c r="K835">
        <v>0</v>
      </c>
      <c r="L835" t="s">
        <v>154</v>
      </c>
      <c r="N835" t="s">
        <v>214</v>
      </c>
      <c r="O835" t="s">
        <v>317</v>
      </c>
      <c r="P835">
        <v>1.3515122022724627E-3</v>
      </c>
      <c r="Q835" t="s">
        <v>154</v>
      </c>
      <c r="S835" t="s">
        <v>245</v>
      </c>
      <c r="T835" t="s">
        <v>317</v>
      </c>
      <c r="U835">
        <v>1.2422231823632141E-3</v>
      </c>
      <c r="V835" t="s">
        <v>154</v>
      </c>
    </row>
    <row r="836" spans="9:22" x14ac:dyDescent="0.25">
      <c r="I836" t="s">
        <v>184</v>
      </c>
      <c r="J836" t="s">
        <v>318</v>
      </c>
      <c r="K836">
        <v>0</v>
      </c>
      <c r="L836" t="s">
        <v>154</v>
      </c>
      <c r="N836" t="s">
        <v>214</v>
      </c>
      <c r="O836" t="s">
        <v>318</v>
      </c>
      <c r="P836">
        <v>6.2227360114610591E-3</v>
      </c>
      <c r="Q836" t="s">
        <v>154</v>
      </c>
      <c r="S836" t="s">
        <v>245</v>
      </c>
      <c r="T836" t="s">
        <v>318</v>
      </c>
      <c r="U836">
        <v>7.1773064933063138E-3</v>
      </c>
      <c r="V836" t="s">
        <v>154</v>
      </c>
    </row>
    <row r="837" spans="9:22" x14ac:dyDescent="0.25">
      <c r="I837" t="s">
        <v>184</v>
      </c>
      <c r="J837" t="s">
        <v>297</v>
      </c>
      <c r="K837">
        <v>0</v>
      </c>
      <c r="L837" t="s">
        <v>154</v>
      </c>
      <c r="N837" t="s">
        <v>214</v>
      </c>
      <c r="O837" t="s">
        <v>297</v>
      </c>
      <c r="P837">
        <v>2.3021632304194625E-2</v>
      </c>
      <c r="Q837" t="s">
        <v>154</v>
      </c>
      <c r="S837" t="s">
        <v>245</v>
      </c>
      <c r="T837" t="s">
        <v>297</v>
      </c>
      <c r="U837">
        <v>2.8099243991915449E-2</v>
      </c>
      <c r="V837" t="s">
        <v>154</v>
      </c>
    </row>
    <row r="838" spans="9:22" x14ac:dyDescent="0.25">
      <c r="I838" t="s">
        <v>184</v>
      </c>
      <c r="J838" t="s">
        <v>298</v>
      </c>
      <c r="K838">
        <v>6.7035696846855751E-3</v>
      </c>
      <c r="L838" t="s">
        <v>154</v>
      </c>
      <c r="N838" t="s">
        <v>214</v>
      </c>
      <c r="O838" t="s">
        <v>298</v>
      </c>
      <c r="P838">
        <v>5.0956605897420938E-3</v>
      </c>
      <c r="Q838" t="s">
        <v>154</v>
      </c>
      <c r="S838" t="s">
        <v>245</v>
      </c>
      <c r="T838" t="s">
        <v>298</v>
      </c>
      <c r="U838">
        <v>6.3391147159066749E-3</v>
      </c>
      <c r="V838" t="s">
        <v>154</v>
      </c>
    </row>
    <row r="839" spans="9:22" x14ac:dyDescent="0.25">
      <c r="I839" t="s">
        <v>184</v>
      </c>
      <c r="J839" t="s">
        <v>299</v>
      </c>
      <c r="K839">
        <v>6.8767559421979282E-3</v>
      </c>
      <c r="L839" t="s">
        <v>154</v>
      </c>
      <c r="N839" t="s">
        <v>214</v>
      </c>
      <c r="O839" t="s">
        <v>299</v>
      </c>
      <c r="P839">
        <v>2.5680383990371149E-3</v>
      </c>
      <c r="Q839" t="s">
        <v>154</v>
      </c>
      <c r="S839" t="s">
        <v>245</v>
      </c>
      <c r="T839" t="s">
        <v>299</v>
      </c>
      <c r="U839">
        <v>3.1414622311221382E-3</v>
      </c>
      <c r="V839" t="s">
        <v>154</v>
      </c>
    </row>
    <row r="840" spans="9:22" x14ac:dyDescent="0.25">
      <c r="I840" t="s">
        <v>184</v>
      </c>
      <c r="J840" t="s">
        <v>300</v>
      </c>
      <c r="K840">
        <v>4.188063254096501E-2</v>
      </c>
      <c r="L840" t="s">
        <v>154</v>
      </c>
      <c r="N840" t="s">
        <v>214</v>
      </c>
      <c r="O840" t="s">
        <v>300</v>
      </c>
      <c r="P840">
        <v>2.1630666561617176E-2</v>
      </c>
      <c r="Q840" t="s">
        <v>154</v>
      </c>
      <c r="S840" t="s">
        <v>245</v>
      </c>
      <c r="T840" t="s">
        <v>300</v>
      </c>
      <c r="U840">
        <v>2.015750290837574E-2</v>
      </c>
      <c r="V840" t="s">
        <v>154</v>
      </c>
    </row>
    <row r="841" spans="9:22" x14ac:dyDescent="0.25">
      <c r="I841" t="s">
        <v>184</v>
      </c>
      <c r="J841" t="s">
        <v>301</v>
      </c>
      <c r="K841">
        <v>0</v>
      </c>
      <c r="L841" t="s">
        <v>154</v>
      </c>
      <c r="N841" t="s">
        <v>214</v>
      </c>
      <c r="O841" t="s">
        <v>301</v>
      </c>
      <c r="P841">
        <v>2.822139841191576E-3</v>
      </c>
      <c r="Q841" t="s">
        <v>154</v>
      </c>
      <c r="S841" t="s">
        <v>245</v>
      </c>
      <c r="T841" t="s">
        <v>301</v>
      </c>
      <c r="U841">
        <v>2.6599484161624548E-3</v>
      </c>
      <c r="V841" t="s">
        <v>154</v>
      </c>
    </row>
    <row r="842" spans="9:22" x14ac:dyDescent="0.25">
      <c r="I842" t="s">
        <v>184</v>
      </c>
      <c r="J842" t="s">
        <v>319</v>
      </c>
      <c r="K842">
        <v>0</v>
      </c>
      <c r="L842" t="s">
        <v>154</v>
      </c>
      <c r="N842" t="s">
        <v>214</v>
      </c>
      <c r="O842" t="s">
        <v>319</v>
      </c>
      <c r="P842">
        <v>2.7794003900284397E-3</v>
      </c>
      <c r="Q842" t="s">
        <v>154</v>
      </c>
      <c r="S842" t="s">
        <v>245</v>
      </c>
      <c r="T842" t="s">
        <v>319</v>
      </c>
      <c r="U842">
        <v>2.7908984521384942E-3</v>
      </c>
      <c r="V842" t="s">
        <v>154</v>
      </c>
    </row>
    <row r="843" spans="9:22" x14ac:dyDescent="0.25">
      <c r="I843" t="s">
        <v>184</v>
      </c>
      <c r="J843" t="s">
        <v>320</v>
      </c>
      <c r="K843">
        <v>0</v>
      </c>
      <c r="L843" t="s">
        <v>154</v>
      </c>
      <c r="N843" t="s">
        <v>214</v>
      </c>
      <c r="O843" t="s">
        <v>320</v>
      </c>
      <c r="P843">
        <v>1.6182125943928895E-2</v>
      </c>
      <c r="Q843" t="s">
        <v>154</v>
      </c>
      <c r="S843" t="s">
        <v>245</v>
      </c>
      <c r="T843" t="s">
        <v>320</v>
      </c>
      <c r="U843">
        <v>1.3800147849894001E-2</v>
      </c>
      <c r="V843" t="s">
        <v>154</v>
      </c>
    </row>
    <row r="844" spans="9:22" x14ac:dyDescent="0.25">
      <c r="I844" t="s">
        <v>184</v>
      </c>
      <c r="J844" t="s">
        <v>302</v>
      </c>
      <c r="K844">
        <v>0</v>
      </c>
      <c r="L844" t="s">
        <v>154</v>
      </c>
      <c r="N844" t="s">
        <v>214</v>
      </c>
      <c r="O844" t="s">
        <v>302</v>
      </c>
      <c r="P844">
        <v>4.8214321995767737E-2</v>
      </c>
      <c r="Q844" t="s">
        <v>154</v>
      </c>
      <c r="S844" t="s">
        <v>245</v>
      </c>
      <c r="T844" t="s">
        <v>302</v>
      </c>
      <c r="U844">
        <v>4.4118748628245996E-2</v>
      </c>
      <c r="V844" t="s">
        <v>154</v>
      </c>
    </row>
    <row r="845" spans="9:22" x14ac:dyDescent="0.25">
      <c r="I845" t="s">
        <v>184</v>
      </c>
      <c r="J845" t="s">
        <v>303</v>
      </c>
      <c r="K845">
        <v>4.446378647126558E-3</v>
      </c>
      <c r="L845" t="s">
        <v>154</v>
      </c>
      <c r="N845" t="s">
        <v>214</v>
      </c>
      <c r="O845" t="s">
        <v>303</v>
      </c>
      <c r="P845">
        <v>1.1469883052789955E-2</v>
      </c>
      <c r="Q845" t="s">
        <v>154</v>
      </c>
      <c r="S845" t="s">
        <v>245</v>
      </c>
      <c r="T845" t="s">
        <v>303</v>
      </c>
      <c r="U845">
        <v>1.2278668488105868E-2</v>
      </c>
      <c r="V845" t="s">
        <v>154</v>
      </c>
    </row>
    <row r="846" spans="9:22" x14ac:dyDescent="0.25">
      <c r="I846" t="s">
        <v>184</v>
      </c>
      <c r="J846" t="s">
        <v>304</v>
      </c>
      <c r="K846">
        <v>7.5932476744792398E-3</v>
      </c>
      <c r="L846" t="s">
        <v>154</v>
      </c>
      <c r="N846" t="s">
        <v>214</v>
      </c>
      <c r="O846" t="s">
        <v>304</v>
      </c>
      <c r="P846">
        <v>5.7919562945759366E-3</v>
      </c>
      <c r="Q846" t="s">
        <v>154</v>
      </c>
      <c r="S846" t="s">
        <v>245</v>
      </c>
      <c r="T846" t="s">
        <v>304</v>
      </c>
      <c r="U846">
        <v>6.3099539611265916E-3</v>
      </c>
      <c r="V846" t="s">
        <v>154</v>
      </c>
    </row>
    <row r="847" spans="9:22" x14ac:dyDescent="0.25">
      <c r="I847" t="s">
        <v>184</v>
      </c>
      <c r="J847" t="s">
        <v>305</v>
      </c>
      <c r="K847">
        <v>5.2869001341589339E-2</v>
      </c>
      <c r="L847" t="s">
        <v>154</v>
      </c>
      <c r="N847" t="s">
        <v>214</v>
      </c>
      <c r="O847" t="s">
        <v>305</v>
      </c>
      <c r="P847">
        <v>4.8723506881670937E-2</v>
      </c>
      <c r="Q847" t="s">
        <v>154</v>
      </c>
      <c r="S847" t="s">
        <v>245</v>
      </c>
      <c r="T847" t="s">
        <v>305</v>
      </c>
      <c r="U847">
        <v>4.5847545888168292E-2</v>
      </c>
      <c r="V847" t="s">
        <v>154</v>
      </c>
    </row>
    <row r="848" spans="9:22" x14ac:dyDescent="0.25">
      <c r="I848" t="s">
        <v>184</v>
      </c>
      <c r="J848" t="s">
        <v>306</v>
      </c>
      <c r="K848">
        <v>0</v>
      </c>
      <c r="L848" t="s">
        <v>154</v>
      </c>
      <c r="N848" t="s">
        <v>214</v>
      </c>
      <c r="O848" t="s">
        <v>306</v>
      </c>
      <c r="P848">
        <v>7.0284712535044159E-3</v>
      </c>
      <c r="Q848" t="s">
        <v>154</v>
      </c>
      <c r="S848" t="s">
        <v>245</v>
      </c>
      <c r="T848" t="s">
        <v>306</v>
      </c>
      <c r="U848">
        <v>6.4087719130575165E-3</v>
      </c>
      <c r="V848" t="s">
        <v>154</v>
      </c>
    </row>
    <row r="849" spans="9:22" x14ac:dyDescent="0.25">
      <c r="I849" t="s">
        <v>184</v>
      </c>
      <c r="J849" t="s">
        <v>321</v>
      </c>
      <c r="K849">
        <v>0</v>
      </c>
      <c r="L849" t="s">
        <v>154</v>
      </c>
      <c r="N849" t="s">
        <v>214</v>
      </c>
      <c r="O849" t="s">
        <v>321</v>
      </c>
      <c r="P849">
        <v>7.0053693860412779E-3</v>
      </c>
      <c r="Q849" t="s">
        <v>154</v>
      </c>
      <c r="S849" t="s">
        <v>245</v>
      </c>
      <c r="T849" t="s">
        <v>321</v>
      </c>
      <c r="U849">
        <v>6.7108695708448241E-3</v>
      </c>
      <c r="V849" t="s">
        <v>154</v>
      </c>
    </row>
    <row r="850" spans="9:22" x14ac:dyDescent="0.25">
      <c r="I850" t="s">
        <v>184</v>
      </c>
      <c r="J850" t="s">
        <v>322</v>
      </c>
      <c r="K850">
        <v>0</v>
      </c>
      <c r="L850" t="s">
        <v>154</v>
      </c>
      <c r="N850" t="s">
        <v>214</v>
      </c>
      <c r="O850" t="s">
        <v>322</v>
      </c>
      <c r="P850">
        <v>3.6779480369555896E-2</v>
      </c>
      <c r="Q850" t="s">
        <v>154</v>
      </c>
      <c r="S850" t="s">
        <v>245</v>
      </c>
      <c r="T850" t="s">
        <v>322</v>
      </c>
      <c r="U850">
        <v>3.0719775687952984E-2</v>
      </c>
      <c r="V850" t="s">
        <v>154</v>
      </c>
    </row>
    <row r="851" spans="9:22" x14ac:dyDescent="0.25">
      <c r="I851" t="s">
        <v>185</v>
      </c>
      <c r="J851" t="s">
        <v>153</v>
      </c>
      <c r="K851">
        <v>0</v>
      </c>
      <c r="L851" t="s">
        <v>154</v>
      </c>
      <c r="N851" t="s">
        <v>215</v>
      </c>
      <c r="O851" t="s">
        <v>153</v>
      </c>
      <c r="P851">
        <v>3.977239138735407E-2</v>
      </c>
      <c r="Q851" t="s">
        <v>154</v>
      </c>
      <c r="S851" t="s">
        <v>246</v>
      </c>
      <c r="T851" t="s">
        <v>153</v>
      </c>
      <c r="U851">
        <v>3.8131309083542397E-2</v>
      </c>
      <c r="V851" t="s">
        <v>154</v>
      </c>
    </row>
    <row r="852" spans="9:22" x14ac:dyDescent="0.25">
      <c r="I852" t="s">
        <v>185</v>
      </c>
      <c r="J852" t="s">
        <v>155</v>
      </c>
      <c r="K852">
        <v>6.0584608270899806E-3</v>
      </c>
      <c r="L852" t="s">
        <v>154</v>
      </c>
      <c r="N852" t="s">
        <v>215</v>
      </c>
      <c r="O852" t="s">
        <v>155</v>
      </c>
      <c r="P852">
        <v>9.3732532137572652E-3</v>
      </c>
      <c r="Q852" t="s">
        <v>154</v>
      </c>
      <c r="S852" t="s">
        <v>246</v>
      </c>
      <c r="T852" t="s">
        <v>155</v>
      </c>
      <c r="U852">
        <v>1.1054673130913859E-2</v>
      </c>
      <c r="V852" t="s">
        <v>154</v>
      </c>
    </row>
    <row r="853" spans="9:22" x14ac:dyDescent="0.25">
      <c r="I853" t="s">
        <v>185</v>
      </c>
      <c r="J853" t="s">
        <v>156</v>
      </c>
      <c r="K853">
        <v>9.4649296964293191E-3</v>
      </c>
      <c r="L853" t="s">
        <v>154</v>
      </c>
      <c r="N853" t="s">
        <v>215</v>
      </c>
      <c r="O853" t="s">
        <v>156</v>
      </c>
      <c r="P853">
        <v>4.8316597312250097E-3</v>
      </c>
      <c r="Q853" t="s">
        <v>154</v>
      </c>
      <c r="S853" t="s">
        <v>246</v>
      </c>
      <c r="T853" t="s">
        <v>156</v>
      </c>
      <c r="U853">
        <v>5.5585155552496943E-3</v>
      </c>
      <c r="V853" t="s">
        <v>154</v>
      </c>
    </row>
    <row r="854" spans="9:22" x14ac:dyDescent="0.25">
      <c r="I854" t="s">
        <v>185</v>
      </c>
      <c r="J854" t="s">
        <v>283</v>
      </c>
      <c r="K854">
        <v>7.3581660683015804E-2</v>
      </c>
      <c r="L854" t="s">
        <v>154</v>
      </c>
      <c r="N854" t="s">
        <v>215</v>
      </c>
      <c r="O854" t="s">
        <v>283</v>
      </c>
      <c r="P854">
        <v>5.0256371058201618E-2</v>
      </c>
      <c r="Q854" t="s">
        <v>154</v>
      </c>
      <c r="S854" t="s">
        <v>246</v>
      </c>
      <c r="T854" t="s">
        <v>283</v>
      </c>
      <c r="U854">
        <v>3.7235579052327827E-2</v>
      </c>
      <c r="V854" t="s">
        <v>154</v>
      </c>
    </row>
    <row r="855" spans="9:22" x14ac:dyDescent="0.25">
      <c r="I855" t="s">
        <v>185</v>
      </c>
      <c r="J855" t="s">
        <v>284</v>
      </c>
      <c r="K855">
        <v>5.0021281335199085E-3</v>
      </c>
      <c r="L855" t="s">
        <v>154</v>
      </c>
      <c r="N855" t="s">
        <v>215</v>
      </c>
      <c r="O855" t="s">
        <v>284</v>
      </c>
      <c r="P855">
        <v>6.60119210078252E-3</v>
      </c>
      <c r="Q855" t="s">
        <v>154</v>
      </c>
      <c r="S855" t="s">
        <v>246</v>
      </c>
      <c r="T855" t="s">
        <v>284</v>
      </c>
      <c r="U855">
        <v>5.1340251745890537E-3</v>
      </c>
      <c r="V855" t="s">
        <v>154</v>
      </c>
    </row>
    <row r="856" spans="9:22" x14ac:dyDescent="0.25">
      <c r="I856" t="s">
        <v>185</v>
      </c>
      <c r="J856" t="s">
        <v>311</v>
      </c>
      <c r="K856">
        <v>0</v>
      </c>
      <c r="L856" t="s">
        <v>154</v>
      </c>
      <c r="N856" t="s">
        <v>215</v>
      </c>
      <c r="O856" t="s">
        <v>311</v>
      </c>
      <c r="P856">
        <v>6.2121501122304581E-3</v>
      </c>
      <c r="Q856" t="s">
        <v>154</v>
      </c>
      <c r="S856" t="s">
        <v>246</v>
      </c>
      <c r="T856" t="s">
        <v>311</v>
      </c>
      <c r="U856">
        <v>5.1405892609135981E-3</v>
      </c>
      <c r="V856" t="s">
        <v>154</v>
      </c>
    </row>
    <row r="857" spans="9:22" x14ac:dyDescent="0.25">
      <c r="I857" t="s">
        <v>185</v>
      </c>
      <c r="J857" t="s">
        <v>312</v>
      </c>
      <c r="K857">
        <v>0</v>
      </c>
      <c r="L857" t="s">
        <v>154</v>
      </c>
      <c r="N857" t="s">
        <v>215</v>
      </c>
      <c r="O857" t="s">
        <v>312</v>
      </c>
      <c r="P857">
        <v>2.5762373070613884E-2</v>
      </c>
      <c r="Q857" t="s">
        <v>154</v>
      </c>
      <c r="S857" t="s">
        <v>246</v>
      </c>
      <c r="T857" t="s">
        <v>312</v>
      </c>
      <c r="U857">
        <v>2.5736341763565054E-2</v>
      </c>
      <c r="V857" t="s">
        <v>154</v>
      </c>
    </row>
    <row r="858" spans="9:22" x14ac:dyDescent="0.25">
      <c r="I858" t="s">
        <v>185</v>
      </c>
      <c r="J858" t="s">
        <v>157</v>
      </c>
      <c r="K858">
        <v>0</v>
      </c>
      <c r="L858" t="s">
        <v>154</v>
      </c>
      <c r="N858" t="s">
        <v>215</v>
      </c>
      <c r="O858" t="s">
        <v>157</v>
      </c>
      <c r="P858">
        <v>8.5393092695786738E-3</v>
      </c>
      <c r="Q858" t="s">
        <v>154</v>
      </c>
      <c r="S858" t="s">
        <v>246</v>
      </c>
      <c r="T858" t="s">
        <v>157</v>
      </c>
      <c r="U858">
        <v>5.2785818627405631E-3</v>
      </c>
      <c r="V858" t="s">
        <v>154</v>
      </c>
    </row>
    <row r="859" spans="9:22" x14ac:dyDescent="0.25">
      <c r="I859" t="s">
        <v>185</v>
      </c>
      <c r="J859" t="s">
        <v>158</v>
      </c>
      <c r="K859">
        <v>1.2389059302439305E-3</v>
      </c>
      <c r="L859" t="s">
        <v>154</v>
      </c>
      <c r="N859" t="s">
        <v>215</v>
      </c>
      <c r="O859" t="s">
        <v>158</v>
      </c>
      <c r="P859">
        <v>2.1339922060721818E-3</v>
      </c>
      <c r="Q859" t="s">
        <v>154</v>
      </c>
      <c r="S859" t="s">
        <v>246</v>
      </c>
      <c r="T859" t="s">
        <v>158</v>
      </c>
      <c r="U859">
        <v>1.1850668897833872E-3</v>
      </c>
      <c r="V859" t="s">
        <v>154</v>
      </c>
    </row>
    <row r="860" spans="9:22" x14ac:dyDescent="0.25">
      <c r="I860" t="s">
        <v>185</v>
      </c>
      <c r="J860" t="s">
        <v>159</v>
      </c>
      <c r="K860">
        <v>2.0145668657325835E-3</v>
      </c>
      <c r="L860" t="s">
        <v>154</v>
      </c>
      <c r="N860" t="s">
        <v>215</v>
      </c>
      <c r="O860" t="s">
        <v>159</v>
      </c>
      <c r="P860">
        <v>1.3649433255753032E-3</v>
      </c>
      <c r="Q860" t="s">
        <v>154</v>
      </c>
      <c r="S860" t="s">
        <v>246</v>
      </c>
      <c r="T860" t="s">
        <v>159</v>
      </c>
      <c r="U860">
        <v>6.9295096954542106E-4</v>
      </c>
      <c r="V860" t="s">
        <v>154</v>
      </c>
    </row>
    <row r="861" spans="9:22" x14ac:dyDescent="0.25">
      <c r="I861" t="s">
        <v>185</v>
      </c>
      <c r="J861" t="s">
        <v>285</v>
      </c>
      <c r="K861">
        <v>1.8217944928264052E-2</v>
      </c>
      <c r="L861" t="s">
        <v>154</v>
      </c>
      <c r="N861" t="s">
        <v>215</v>
      </c>
      <c r="O861" t="s">
        <v>285</v>
      </c>
      <c r="P861">
        <v>1.4093652098623944E-2</v>
      </c>
      <c r="Q861" t="s">
        <v>154</v>
      </c>
      <c r="S861" t="s">
        <v>246</v>
      </c>
      <c r="T861" t="s">
        <v>285</v>
      </c>
      <c r="U861">
        <v>5.5328425595226197E-3</v>
      </c>
      <c r="V861" t="s">
        <v>154</v>
      </c>
    </row>
    <row r="862" spans="9:22" x14ac:dyDescent="0.25">
      <c r="I862" t="s">
        <v>185</v>
      </c>
      <c r="J862" t="s">
        <v>286</v>
      </c>
      <c r="K862">
        <v>1.5060516153864406E-3</v>
      </c>
      <c r="L862" t="s">
        <v>154</v>
      </c>
      <c r="N862" t="s">
        <v>215</v>
      </c>
      <c r="O862" t="s">
        <v>286</v>
      </c>
      <c r="P862">
        <v>1.9302152232342333E-3</v>
      </c>
      <c r="Q862" t="s">
        <v>154</v>
      </c>
      <c r="S862" t="s">
        <v>246</v>
      </c>
      <c r="T862" t="s">
        <v>286</v>
      </c>
      <c r="U862">
        <v>8.1744238357473094E-4</v>
      </c>
      <c r="V862" t="s">
        <v>154</v>
      </c>
    </row>
    <row r="863" spans="9:22" x14ac:dyDescent="0.25">
      <c r="I863" t="s">
        <v>185</v>
      </c>
      <c r="J863" t="s">
        <v>313</v>
      </c>
      <c r="K863">
        <v>0</v>
      </c>
      <c r="L863" t="s">
        <v>154</v>
      </c>
      <c r="N863" t="s">
        <v>215</v>
      </c>
      <c r="O863" t="s">
        <v>313</v>
      </c>
      <c r="P863">
        <v>1.8621770998884595E-3</v>
      </c>
      <c r="Q863" t="s">
        <v>154</v>
      </c>
      <c r="S863" t="s">
        <v>246</v>
      </c>
      <c r="T863" t="s">
        <v>313</v>
      </c>
      <c r="U863">
        <v>7.2841697858838032E-4</v>
      </c>
      <c r="V863" t="s">
        <v>154</v>
      </c>
    </row>
    <row r="864" spans="9:22" x14ac:dyDescent="0.25">
      <c r="I864" t="s">
        <v>185</v>
      </c>
      <c r="J864" t="s">
        <v>314</v>
      </c>
      <c r="K864">
        <v>0</v>
      </c>
      <c r="L864" t="s">
        <v>154</v>
      </c>
      <c r="N864" t="s">
        <v>215</v>
      </c>
      <c r="O864" t="s">
        <v>314</v>
      </c>
      <c r="P864">
        <v>6.4816937303412373E-3</v>
      </c>
      <c r="Q864" t="s">
        <v>154</v>
      </c>
      <c r="S864" t="s">
        <v>246</v>
      </c>
      <c r="T864" t="s">
        <v>314</v>
      </c>
      <c r="U864">
        <v>2.8715988792865042E-3</v>
      </c>
      <c r="V864" t="s">
        <v>154</v>
      </c>
    </row>
    <row r="865" spans="9:22" x14ac:dyDescent="0.25">
      <c r="I865" t="s">
        <v>185</v>
      </c>
      <c r="J865" t="s">
        <v>160</v>
      </c>
      <c r="K865">
        <v>1.0452492253576999E-2</v>
      </c>
      <c r="L865" t="s">
        <v>154</v>
      </c>
      <c r="N865" t="s">
        <v>215</v>
      </c>
      <c r="O865" t="s">
        <v>160</v>
      </c>
      <c r="P865">
        <v>0.15454765199311885</v>
      </c>
      <c r="Q865" t="s">
        <v>154</v>
      </c>
      <c r="S865" t="s">
        <v>246</v>
      </c>
      <c r="T865" t="s">
        <v>160</v>
      </c>
      <c r="U865">
        <v>0.18199834080127725</v>
      </c>
      <c r="V865" t="s">
        <v>154</v>
      </c>
    </row>
    <row r="866" spans="9:22" x14ac:dyDescent="0.25">
      <c r="I866" t="s">
        <v>185</v>
      </c>
      <c r="J866" t="s">
        <v>161</v>
      </c>
      <c r="K866">
        <v>8.1385470968150339E-2</v>
      </c>
      <c r="L866" t="s">
        <v>154</v>
      </c>
      <c r="N866" t="s">
        <v>215</v>
      </c>
      <c r="O866" t="s">
        <v>161</v>
      </c>
      <c r="P866">
        <v>3.759577840405446E-2</v>
      </c>
      <c r="Q866" t="s">
        <v>154</v>
      </c>
      <c r="S866" t="s">
        <v>246</v>
      </c>
      <c r="T866" t="s">
        <v>161</v>
      </c>
      <c r="U866">
        <v>4.617161391443813E-2</v>
      </c>
      <c r="V866" t="s">
        <v>154</v>
      </c>
    </row>
    <row r="867" spans="9:22" x14ac:dyDescent="0.25">
      <c r="I867" t="s">
        <v>185</v>
      </c>
      <c r="J867" t="s">
        <v>162</v>
      </c>
      <c r="K867">
        <v>6.3198176042570497E-2</v>
      </c>
      <c r="L867" t="s">
        <v>154</v>
      </c>
      <c r="N867" t="s">
        <v>215</v>
      </c>
      <c r="O867" t="s">
        <v>162</v>
      </c>
      <c r="P867">
        <v>2.1926461977220774E-2</v>
      </c>
      <c r="Q867" t="s">
        <v>154</v>
      </c>
      <c r="S867" t="s">
        <v>246</v>
      </c>
      <c r="T867" t="s">
        <v>162</v>
      </c>
      <c r="U867">
        <v>2.3604763947832782E-2</v>
      </c>
      <c r="V867" t="s">
        <v>154</v>
      </c>
    </row>
    <row r="868" spans="9:22" x14ac:dyDescent="0.25">
      <c r="I868" t="s">
        <v>185</v>
      </c>
      <c r="J868" t="s">
        <v>287</v>
      </c>
      <c r="K868">
        <v>0.4984120409221745</v>
      </c>
      <c r="L868" t="s">
        <v>154</v>
      </c>
      <c r="N868" t="s">
        <v>215</v>
      </c>
      <c r="O868" t="s">
        <v>287</v>
      </c>
      <c r="P868">
        <v>0.20302238880972634</v>
      </c>
      <c r="Q868" t="s">
        <v>154</v>
      </c>
      <c r="S868" t="s">
        <v>246</v>
      </c>
      <c r="T868" t="s">
        <v>287</v>
      </c>
      <c r="U868">
        <v>0.17170432917864611</v>
      </c>
      <c r="V868" t="s">
        <v>154</v>
      </c>
    </row>
    <row r="869" spans="9:22" x14ac:dyDescent="0.25">
      <c r="I869" t="s">
        <v>185</v>
      </c>
      <c r="J869" t="s">
        <v>288</v>
      </c>
      <c r="K869">
        <v>4.3282896565830842E-2</v>
      </c>
      <c r="L869" t="s">
        <v>154</v>
      </c>
      <c r="N869" t="s">
        <v>215</v>
      </c>
      <c r="O869" t="s">
        <v>288</v>
      </c>
      <c r="P869">
        <v>2.9120242525356912E-2</v>
      </c>
      <c r="Q869" t="s">
        <v>154</v>
      </c>
      <c r="S869" t="s">
        <v>246</v>
      </c>
      <c r="T869" t="s">
        <v>288</v>
      </c>
      <c r="U869">
        <v>2.6689723745797356E-2</v>
      </c>
      <c r="V869" t="s">
        <v>154</v>
      </c>
    </row>
    <row r="870" spans="9:22" x14ac:dyDescent="0.25">
      <c r="I870" t="s">
        <v>185</v>
      </c>
      <c r="J870" t="s">
        <v>315</v>
      </c>
      <c r="K870">
        <v>2.1596048792649442E-2</v>
      </c>
      <c r="L870" t="s">
        <v>154</v>
      </c>
      <c r="N870" t="s">
        <v>215</v>
      </c>
      <c r="O870" t="s">
        <v>315</v>
      </c>
      <c r="P870">
        <v>2.7973120285660989E-2</v>
      </c>
      <c r="Q870" t="s">
        <v>154</v>
      </c>
      <c r="S870" t="s">
        <v>246</v>
      </c>
      <c r="T870" t="s">
        <v>315</v>
      </c>
      <c r="U870">
        <v>2.7238946525691688E-2</v>
      </c>
      <c r="V870" t="s">
        <v>154</v>
      </c>
    </row>
    <row r="871" spans="9:22" x14ac:dyDescent="0.25">
      <c r="I871" t="s">
        <v>185</v>
      </c>
      <c r="J871" t="s">
        <v>316</v>
      </c>
      <c r="K871">
        <v>3.0912796976737423E-3</v>
      </c>
      <c r="L871" t="s">
        <v>154</v>
      </c>
      <c r="N871" t="s">
        <v>215</v>
      </c>
      <c r="O871" t="s">
        <v>316</v>
      </c>
      <c r="P871">
        <v>0.11469241782085986</v>
      </c>
      <c r="Q871" t="s">
        <v>154</v>
      </c>
      <c r="S871" t="s">
        <v>246</v>
      </c>
      <c r="T871" t="s">
        <v>316</v>
      </c>
      <c r="U871">
        <v>0.13048630232853356</v>
      </c>
      <c r="V871" t="s">
        <v>154</v>
      </c>
    </row>
    <row r="872" spans="9:22" x14ac:dyDescent="0.25">
      <c r="I872" t="s">
        <v>185</v>
      </c>
      <c r="J872" t="s">
        <v>163</v>
      </c>
      <c r="K872">
        <v>0</v>
      </c>
      <c r="L872" t="s">
        <v>154</v>
      </c>
      <c r="N872" t="s">
        <v>215</v>
      </c>
      <c r="O872" t="s">
        <v>163</v>
      </c>
      <c r="P872">
        <v>9.6496302236738322E-3</v>
      </c>
      <c r="Q872" t="s">
        <v>154</v>
      </c>
      <c r="S872" t="s">
        <v>246</v>
      </c>
      <c r="T872" t="s">
        <v>163</v>
      </c>
      <c r="U872">
        <v>8.1842228108335649E-3</v>
      </c>
      <c r="V872" t="s">
        <v>154</v>
      </c>
    </row>
    <row r="873" spans="9:22" x14ac:dyDescent="0.25">
      <c r="I873" t="s">
        <v>185</v>
      </c>
      <c r="J873" t="s">
        <v>164</v>
      </c>
      <c r="K873">
        <v>1.5639544172668016E-3</v>
      </c>
      <c r="L873" t="s">
        <v>154</v>
      </c>
      <c r="N873" t="s">
        <v>215</v>
      </c>
      <c r="O873" t="s">
        <v>164</v>
      </c>
      <c r="P873">
        <v>1.8929816414678853E-3</v>
      </c>
      <c r="Q873" t="s">
        <v>154</v>
      </c>
      <c r="S873" t="s">
        <v>246</v>
      </c>
      <c r="T873" t="s">
        <v>164</v>
      </c>
      <c r="U873">
        <v>2.1885353591614932E-3</v>
      </c>
      <c r="V873" t="s">
        <v>154</v>
      </c>
    </row>
    <row r="874" spans="9:22" x14ac:dyDescent="0.25">
      <c r="I874" t="s">
        <v>185</v>
      </c>
      <c r="J874" t="s">
        <v>165</v>
      </c>
      <c r="K874">
        <v>1.5214622518253884E-3</v>
      </c>
      <c r="L874" t="s">
        <v>154</v>
      </c>
      <c r="N874" t="s">
        <v>215</v>
      </c>
      <c r="O874" t="s">
        <v>165</v>
      </c>
      <c r="P874">
        <v>1.1367687951919351E-3</v>
      </c>
      <c r="Q874" t="s">
        <v>154</v>
      </c>
      <c r="S874" t="s">
        <v>246</v>
      </c>
      <c r="T874" t="s">
        <v>165</v>
      </c>
      <c r="U874">
        <v>1.1477736859061998E-3</v>
      </c>
      <c r="V874" t="s">
        <v>154</v>
      </c>
    </row>
    <row r="875" spans="9:22" x14ac:dyDescent="0.25">
      <c r="I875" t="s">
        <v>185</v>
      </c>
      <c r="J875" t="s">
        <v>289</v>
      </c>
      <c r="K875">
        <v>1.0980867763755852E-2</v>
      </c>
      <c r="L875" t="s">
        <v>154</v>
      </c>
      <c r="N875" t="s">
        <v>215</v>
      </c>
      <c r="O875" t="s">
        <v>289</v>
      </c>
      <c r="P875">
        <v>1.0431367151617566E-2</v>
      </c>
      <c r="Q875" t="s">
        <v>154</v>
      </c>
      <c r="S875" t="s">
        <v>246</v>
      </c>
      <c r="T875" t="s">
        <v>289</v>
      </c>
      <c r="U875">
        <v>7.2184437162465809E-3</v>
      </c>
      <c r="V875" t="s">
        <v>154</v>
      </c>
    </row>
    <row r="876" spans="9:22" x14ac:dyDescent="0.25">
      <c r="I876" t="s">
        <v>185</v>
      </c>
      <c r="J876" t="s">
        <v>290</v>
      </c>
      <c r="K876">
        <v>4.4981744694228031E-4</v>
      </c>
      <c r="L876" t="s">
        <v>154</v>
      </c>
      <c r="N876" t="s">
        <v>215</v>
      </c>
      <c r="O876" t="s">
        <v>290</v>
      </c>
      <c r="P876">
        <v>1.7248075662409977E-3</v>
      </c>
      <c r="Q876" t="s">
        <v>154</v>
      </c>
      <c r="S876" t="s">
        <v>246</v>
      </c>
      <c r="T876" t="s">
        <v>290</v>
      </c>
      <c r="U876">
        <v>9.7177705314393647E-4</v>
      </c>
      <c r="V876" t="s">
        <v>154</v>
      </c>
    </row>
    <row r="877" spans="9:22" x14ac:dyDescent="0.25">
      <c r="I877" t="s">
        <v>185</v>
      </c>
      <c r="J877" t="s">
        <v>317</v>
      </c>
      <c r="K877">
        <v>0</v>
      </c>
      <c r="L877" t="s">
        <v>154</v>
      </c>
      <c r="N877" t="s">
        <v>215</v>
      </c>
      <c r="O877" t="s">
        <v>317</v>
      </c>
      <c r="P877">
        <v>1.6803170519878209E-3</v>
      </c>
      <c r="Q877" t="s">
        <v>154</v>
      </c>
      <c r="S877" t="s">
        <v>246</v>
      </c>
      <c r="T877" t="s">
        <v>317</v>
      </c>
      <c r="U877">
        <v>1.0218207753836161E-3</v>
      </c>
      <c r="V877" t="s">
        <v>154</v>
      </c>
    </row>
    <row r="878" spans="9:22" x14ac:dyDescent="0.25">
      <c r="I878" t="s">
        <v>185</v>
      </c>
      <c r="J878" t="s">
        <v>318</v>
      </c>
      <c r="K878">
        <v>0</v>
      </c>
      <c r="L878" t="s">
        <v>154</v>
      </c>
      <c r="N878" t="s">
        <v>215</v>
      </c>
      <c r="O878" t="s">
        <v>318</v>
      </c>
      <c r="P878">
        <v>6.1461327145792902E-3</v>
      </c>
      <c r="Q878" t="s">
        <v>154</v>
      </c>
      <c r="S878" t="s">
        <v>246</v>
      </c>
      <c r="T878" t="s">
        <v>318</v>
      </c>
      <c r="U878">
        <v>6.2785299979406239E-3</v>
      </c>
      <c r="V878" t="s">
        <v>154</v>
      </c>
    </row>
    <row r="879" spans="9:22" x14ac:dyDescent="0.25">
      <c r="I879" t="s">
        <v>185</v>
      </c>
      <c r="J879" t="s">
        <v>297</v>
      </c>
      <c r="K879">
        <v>0</v>
      </c>
      <c r="L879" t="s">
        <v>154</v>
      </c>
      <c r="N879" t="s">
        <v>215</v>
      </c>
      <c r="O879" t="s">
        <v>297</v>
      </c>
      <c r="P879">
        <v>1.8162557316703277E-2</v>
      </c>
      <c r="Q879" t="s">
        <v>154</v>
      </c>
      <c r="S879" t="s">
        <v>246</v>
      </c>
      <c r="T879" t="s">
        <v>297</v>
      </c>
      <c r="U879">
        <v>2.6218537649624611E-2</v>
      </c>
      <c r="V879" t="s">
        <v>154</v>
      </c>
    </row>
    <row r="880" spans="9:22" x14ac:dyDescent="0.25">
      <c r="I880" t="s">
        <v>185</v>
      </c>
      <c r="J880" t="s">
        <v>298</v>
      </c>
      <c r="K880">
        <v>7.4307881697505806E-3</v>
      </c>
      <c r="L880" t="s">
        <v>154</v>
      </c>
      <c r="N880" t="s">
        <v>215</v>
      </c>
      <c r="O880" t="s">
        <v>298</v>
      </c>
      <c r="P880">
        <v>3.5935067564644278E-3</v>
      </c>
      <c r="Q880" t="s">
        <v>154</v>
      </c>
      <c r="S880" t="s">
        <v>246</v>
      </c>
      <c r="T880" t="s">
        <v>298</v>
      </c>
      <c r="U880">
        <v>6.5482794766541777E-3</v>
      </c>
      <c r="V880" t="s">
        <v>154</v>
      </c>
    </row>
    <row r="881" spans="9:22" x14ac:dyDescent="0.25">
      <c r="I881" t="s">
        <v>185</v>
      </c>
      <c r="J881" t="s">
        <v>299</v>
      </c>
      <c r="K881">
        <v>7.121059230942175E-3</v>
      </c>
      <c r="L881" t="s">
        <v>154</v>
      </c>
      <c r="N881" t="s">
        <v>215</v>
      </c>
      <c r="O881" t="s">
        <v>299</v>
      </c>
      <c r="P881">
        <v>1.7826524189356947E-3</v>
      </c>
      <c r="Q881" t="s">
        <v>154</v>
      </c>
      <c r="S881" t="s">
        <v>246</v>
      </c>
      <c r="T881" t="s">
        <v>299</v>
      </c>
      <c r="U881">
        <v>3.3553304677547951E-3</v>
      </c>
      <c r="V881" t="s">
        <v>154</v>
      </c>
    </row>
    <row r="882" spans="9:22" x14ac:dyDescent="0.25">
      <c r="I882" t="s">
        <v>185</v>
      </c>
      <c r="J882" t="s">
        <v>300</v>
      </c>
      <c r="K882">
        <v>4.9205925585486206E-2</v>
      </c>
      <c r="L882" t="s">
        <v>154</v>
      </c>
      <c r="N882" t="s">
        <v>215</v>
      </c>
      <c r="O882" t="s">
        <v>300</v>
      </c>
      <c r="P882">
        <v>1.6494846847586266E-2</v>
      </c>
      <c r="Q882" t="s">
        <v>154</v>
      </c>
      <c r="S882" t="s">
        <v>246</v>
      </c>
      <c r="T882" t="s">
        <v>300</v>
      </c>
      <c r="U882">
        <v>2.1412184847935542E-2</v>
      </c>
      <c r="V882" t="s">
        <v>154</v>
      </c>
    </row>
    <row r="883" spans="9:22" x14ac:dyDescent="0.25">
      <c r="I883" t="s">
        <v>185</v>
      </c>
      <c r="J883" t="s">
        <v>301</v>
      </c>
      <c r="K883">
        <v>1.3041542610427045E-3</v>
      </c>
      <c r="L883" t="s">
        <v>154</v>
      </c>
      <c r="N883" t="s">
        <v>215</v>
      </c>
      <c r="O883" t="s">
        <v>301</v>
      </c>
      <c r="P883">
        <v>2.4842951691316979E-3</v>
      </c>
      <c r="Q883" t="s">
        <v>154</v>
      </c>
      <c r="S883" t="s">
        <v>246</v>
      </c>
      <c r="T883" t="s">
        <v>301</v>
      </c>
      <c r="U883">
        <v>2.8364758421010783E-3</v>
      </c>
      <c r="V883" t="s">
        <v>154</v>
      </c>
    </row>
    <row r="884" spans="9:22" x14ac:dyDescent="0.25">
      <c r="I884" t="s">
        <v>185</v>
      </c>
      <c r="J884" t="s">
        <v>319</v>
      </c>
      <c r="K884">
        <v>0</v>
      </c>
      <c r="L884" t="s">
        <v>154</v>
      </c>
      <c r="N884" t="s">
        <v>215</v>
      </c>
      <c r="O884" t="s">
        <v>319</v>
      </c>
      <c r="P884">
        <v>2.7379460744396899E-3</v>
      </c>
      <c r="Q884" t="s">
        <v>154</v>
      </c>
      <c r="S884" t="s">
        <v>246</v>
      </c>
      <c r="T884" t="s">
        <v>319</v>
      </c>
      <c r="U884">
        <v>2.9580847738377744E-3</v>
      </c>
      <c r="V884" t="s">
        <v>154</v>
      </c>
    </row>
    <row r="885" spans="9:22" x14ac:dyDescent="0.25">
      <c r="I885" t="s">
        <v>185</v>
      </c>
      <c r="J885" t="s">
        <v>320</v>
      </c>
      <c r="K885">
        <v>0</v>
      </c>
      <c r="L885" t="s">
        <v>154</v>
      </c>
      <c r="N885" t="s">
        <v>215</v>
      </c>
      <c r="O885" t="s">
        <v>320</v>
      </c>
      <c r="P885">
        <v>1.2707399020568702E-2</v>
      </c>
      <c r="Q885" t="s">
        <v>154</v>
      </c>
      <c r="S885" t="s">
        <v>246</v>
      </c>
      <c r="T885" t="s">
        <v>320</v>
      </c>
      <c r="U885">
        <v>1.7072476508559604E-2</v>
      </c>
      <c r="V885" t="s">
        <v>154</v>
      </c>
    </row>
    <row r="886" spans="9:22" x14ac:dyDescent="0.25">
      <c r="I886" t="s">
        <v>185</v>
      </c>
      <c r="J886" t="s">
        <v>302</v>
      </c>
      <c r="K886">
        <v>0</v>
      </c>
      <c r="L886" t="s">
        <v>154</v>
      </c>
      <c r="N886" t="s">
        <v>215</v>
      </c>
      <c r="O886" t="s">
        <v>302</v>
      </c>
      <c r="P886">
        <v>3.9231206603965202E-2</v>
      </c>
      <c r="Q886" t="s">
        <v>154</v>
      </c>
      <c r="S886" t="s">
        <v>246</v>
      </c>
      <c r="T886" t="s">
        <v>302</v>
      </c>
      <c r="U886">
        <v>4.0386282626829362E-2</v>
      </c>
      <c r="V886" t="s">
        <v>154</v>
      </c>
    </row>
    <row r="887" spans="9:22" x14ac:dyDescent="0.25">
      <c r="I887" t="s">
        <v>185</v>
      </c>
      <c r="J887" t="s">
        <v>303</v>
      </c>
      <c r="K887">
        <v>5.9001997689061897E-3</v>
      </c>
      <c r="L887" t="s">
        <v>154</v>
      </c>
      <c r="N887" t="s">
        <v>215</v>
      </c>
      <c r="O887" t="s">
        <v>303</v>
      </c>
      <c r="P887">
        <v>9.3743449188991371E-3</v>
      </c>
      <c r="Q887" t="s">
        <v>154</v>
      </c>
      <c r="S887" t="s">
        <v>246</v>
      </c>
      <c r="T887" t="s">
        <v>303</v>
      </c>
      <c r="U887">
        <v>1.1794877166849807E-2</v>
      </c>
      <c r="V887" t="s">
        <v>154</v>
      </c>
    </row>
    <row r="888" spans="9:22" x14ac:dyDescent="0.25">
      <c r="I888" t="s">
        <v>185</v>
      </c>
      <c r="J888" t="s">
        <v>304</v>
      </c>
      <c r="K888">
        <v>9.2183290308545211E-3</v>
      </c>
      <c r="L888" t="s">
        <v>154</v>
      </c>
      <c r="N888" t="s">
        <v>215</v>
      </c>
      <c r="O888" t="s">
        <v>304</v>
      </c>
      <c r="P888">
        <v>4.6688387052021933E-3</v>
      </c>
      <c r="Q888" t="s">
        <v>154</v>
      </c>
      <c r="S888" t="s">
        <v>246</v>
      </c>
      <c r="T888" t="s">
        <v>304</v>
      </c>
      <c r="U888">
        <v>5.9925355371193336E-3</v>
      </c>
      <c r="V888" t="s">
        <v>154</v>
      </c>
    </row>
    <row r="889" spans="9:22" x14ac:dyDescent="0.25">
      <c r="I889" t="s">
        <v>185</v>
      </c>
      <c r="J889" t="s">
        <v>305</v>
      </c>
      <c r="K889">
        <v>6.6705323817896317E-2</v>
      </c>
      <c r="L889" t="s">
        <v>154</v>
      </c>
      <c r="N889" t="s">
        <v>215</v>
      </c>
      <c r="O889" t="s">
        <v>305</v>
      </c>
      <c r="P889">
        <v>4.3910246110644875E-2</v>
      </c>
      <c r="Q889" t="s">
        <v>154</v>
      </c>
      <c r="S889" t="s">
        <v>246</v>
      </c>
      <c r="T889" t="s">
        <v>305</v>
      </c>
      <c r="U889">
        <v>4.1156948003691927E-2</v>
      </c>
      <c r="V889" t="s">
        <v>154</v>
      </c>
    </row>
    <row r="890" spans="9:22" x14ac:dyDescent="0.25">
      <c r="I890" t="s">
        <v>185</v>
      </c>
      <c r="J890" t="s">
        <v>306</v>
      </c>
      <c r="K890">
        <v>9.5064333019726795E-5</v>
      </c>
      <c r="L890" t="s">
        <v>154</v>
      </c>
      <c r="N890" t="s">
        <v>215</v>
      </c>
      <c r="O890" t="s">
        <v>306</v>
      </c>
      <c r="P890">
        <v>6.4769445566876657E-3</v>
      </c>
      <c r="Q890" t="s">
        <v>154</v>
      </c>
      <c r="S890" t="s">
        <v>246</v>
      </c>
      <c r="T890" t="s">
        <v>306</v>
      </c>
      <c r="U890">
        <v>5.8353282089641557E-3</v>
      </c>
      <c r="V890" t="s">
        <v>154</v>
      </c>
    </row>
    <row r="891" spans="9:22" x14ac:dyDescent="0.25">
      <c r="I891" t="s">
        <v>185</v>
      </c>
      <c r="J891" t="s">
        <v>321</v>
      </c>
      <c r="K891">
        <v>0</v>
      </c>
      <c r="L891" t="s">
        <v>154</v>
      </c>
      <c r="N891" t="s">
        <v>215</v>
      </c>
      <c r="O891" t="s">
        <v>321</v>
      </c>
      <c r="P891">
        <v>6.5307045752370924E-3</v>
      </c>
      <c r="Q891" t="s">
        <v>154</v>
      </c>
      <c r="S891" t="s">
        <v>246</v>
      </c>
      <c r="T891" t="s">
        <v>321</v>
      </c>
      <c r="U891">
        <v>5.8057956207603284E-3</v>
      </c>
      <c r="V891" t="s">
        <v>154</v>
      </c>
    </row>
    <row r="892" spans="9:22" x14ac:dyDescent="0.25">
      <c r="I892" t="s">
        <v>185</v>
      </c>
      <c r="J892" t="s">
        <v>322</v>
      </c>
      <c r="K892">
        <v>0</v>
      </c>
      <c r="L892" t="s">
        <v>154</v>
      </c>
      <c r="N892" t="s">
        <v>215</v>
      </c>
      <c r="O892" t="s">
        <v>322</v>
      </c>
      <c r="P892">
        <v>3.1089070337294859E-2</v>
      </c>
      <c r="Q892" t="s">
        <v>154</v>
      </c>
      <c r="S892" t="s">
        <v>246</v>
      </c>
      <c r="T892" t="s">
        <v>322</v>
      </c>
      <c r="U892">
        <v>2.862380588434316E-2</v>
      </c>
      <c r="V892" t="s">
        <v>154</v>
      </c>
    </row>
    <row r="893" spans="9:22" x14ac:dyDescent="0.25">
      <c r="I893" t="s">
        <v>186</v>
      </c>
      <c r="J893" t="s">
        <v>153</v>
      </c>
      <c r="K893">
        <v>0</v>
      </c>
      <c r="L893" t="s">
        <v>154</v>
      </c>
      <c r="N893" t="s">
        <v>216</v>
      </c>
      <c r="O893" t="s">
        <v>153</v>
      </c>
      <c r="P893">
        <v>4.1606200314591092E-2</v>
      </c>
      <c r="Q893" t="s">
        <v>154</v>
      </c>
      <c r="S893" t="s">
        <v>247</v>
      </c>
      <c r="T893" t="s">
        <v>153</v>
      </c>
      <c r="U893">
        <v>3.809803809764982E-2</v>
      </c>
      <c r="V893" t="s">
        <v>154</v>
      </c>
    </row>
    <row r="894" spans="9:22" x14ac:dyDescent="0.25">
      <c r="I894" t="s">
        <v>186</v>
      </c>
      <c r="J894" t="s">
        <v>155</v>
      </c>
      <c r="K894">
        <v>6.131416688066626E-3</v>
      </c>
      <c r="L894" t="s">
        <v>154</v>
      </c>
      <c r="N894" t="s">
        <v>216</v>
      </c>
      <c r="O894" t="s">
        <v>155</v>
      </c>
      <c r="P894">
        <v>9.9781070828281176E-3</v>
      </c>
      <c r="Q894" t="s">
        <v>154</v>
      </c>
      <c r="S894" t="s">
        <v>247</v>
      </c>
      <c r="T894" t="s">
        <v>155</v>
      </c>
      <c r="U894">
        <v>1.0316261853275999E-2</v>
      </c>
      <c r="V894" t="s">
        <v>154</v>
      </c>
    </row>
    <row r="895" spans="9:22" x14ac:dyDescent="0.25">
      <c r="I895" t="s">
        <v>186</v>
      </c>
      <c r="J895" t="s">
        <v>156</v>
      </c>
      <c r="K895">
        <v>9.3602686740676764E-3</v>
      </c>
      <c r="L895" t="s">
        <v>154</v>
      </c>
      <c r="N895" t="s">
        <v>216</v>
      </c>
      <c r="O895" t="s">
        <v>156</v>
      </c>
      <c r="P895">
        <v>5.0757715311182507E-3</v>
      </c>
      <c r="Q895" t="s">
        <v>154</v>
      </c>
      <c r="S895" t="s">
        <v>247</v>
      </c>
      <c r="T895" t="s">
        <v>156</v>
      </c>
      <c r="U895">
        <v>5.2492421470104822E-3</v>
      </c>
      <c r="V895" t="s">
        <v>154</v>
      </c>
    </row>
    <row r="896" spans="9:22" x14ac:dyDescent="0.25">
      <c r="I896" t="s">
        <v>186</v>
      </c>
      <c r="J896" t="s">
        <v>283</v>
      </c>
      <c r="K896">
        <v>7.3417273983204079E-2</v>
      </c>
      <c r="L896" t="s">
        <v>154</v>
      </c>
      <c r="N896" t="s">
        <v>216</v>
      </c>
      <c r="O896" t="s">
        <v>283</v>
      </c>
      <c r="P896">
        <v>5.7751104136601943E-2</v>
      </c>
      <c r="Q896" t="s">
        <v>154</v>
      </c>
      <c r="S896" t="s">
        <v>247</v>
      </c>
      <c r="T896" t="s">
        <v>283</v>
      </c>
      <c r="U896">
        <v>3.5296441495005021E-2</v>
      </c>
      <c r="V896" t="s">
        <v>154</v>
      </c>
    </row>
    <row r="897" spans="9:22" x14ac:dyDescent="0.25">
      <c r="I897" t="s">
        <v>186</v>
      </c>
      <c r="J897" t="s">
        <v>284</v>
      </c>
      <c r="K897">
        <v>4.3736303412946834E-3</v>
      </c>
      <c r="L897" t="s">
        <v>154</v>
      </c>
      <c r="N897" t="s">
        <v>216</v>
      </c>
      <c r="O897" t="s">
        <v>284</v>
      </c>
      <c r="P897">
        <v>6.7072409222799769E-3</v>
      </c>
      <c r="Q897" t="s">
        <v>154</v>
      </c>
      <c r="S897" t="s">
        <v>247</v>
      </c>
      <c r="T897" t="s">
        <v>284</v>
      </c>
      <c r="U897">
        <v>5.0918119095417786E-3</v>
      </c>
      <c r="V897" t="s">
        <v>154</v>
      </c>
    </row>
    <row r="898" spans="9:22" x14ac:dyDescent="0.25">
      <c r="I898" t="s">
        <v>186</v>
      </c>
      <c r="J898" t="s">
        <v>311</v>
      </c>
      <c r="K898">
        <v>0</v>
      </c>
      <c r="L898" t="s">
        <v>154</v>
      </c>
      <c r="N898" t="s">
        <v>216</v>
      </c>
      <c r="O898" t="s">
        <v>311</v>
      </c>
      <c r="P898">
        <v>6.2660925408900723E-3</v>
      </c>
      <c r="Q898" t="s">
        <v>154</v>
      </c>
      <c r="S898" t="s">
        <v>247</v>
      </c>
      <c r="T898" t="s">
        <v>311</v>
      </c>
      <c r="U898">
        <v>5.1138182778561175E-3</v>
      </c>
      <c r="V898" t="s">
        <v>154</v>
      </c>
    </row>
    <row r="899" spans="9:22" x14ac:dyDescent="0.25">
      <c r="I899" t="s">
        <v>186</v>
      </c>
      <c r="J899" t="s">
        <v>312</v>
      </c>
      <c r="K899">
        <v>0</v>
      </c>
      <c r="L899" t="s">
        <v>154</v>
      </c>
      <c r="N899" t="s">
        <v>216</v>
      </c>
      <c r="O899" t="s">
        <v>312</v>
      </c>
      <c r="P899">
        <v>2.6491664008004213E-2</v>
      </c>
      <c r="Q899" t="s">
        <v>154</v>
      </c>
      <c r="S899" t="s">
        <v>247</v>
      </c>
      <c r="T899" t="s">
        <v>312</v>
      </c>
      <c r="U899">
        <v>2.58935037565362E-2</v>
      </c>
      <c r="V899" t="s">
        <v>154</v>
      </c>
    </row>
    <row r="900" spans="9:22" x14ac:dyDescent="0.25">
      <c r="I900" t="s">
        <v>186</v>
      </c>
      <c r="J900" t="s">
        <v>157</v>
      </c>
      <c r="K900">
        <v>0</v>
      </c>
      <c r="L900" t="s">
        <v>154</v>
      </c>
      <c r="N900" t="s">
        <v>216</v>
      </c>
      <c r="O900" t="s">
        <v>157</v>
      </c>
      <c r="P900">
        <v>8.8522487687019095E-3</v>
      </c>
      <c r="Q900" t="s">
        <v>154</v>
      </c>
      <c r="S900" t="s">
        <v>247</v>
      </c>
      <c r="T900" t="s">
        <v>157</v>
      </c>
      <c r="U900">
        <v>5.4014554174820631E-3</v>
      </c>
      <c r="V900" t="s">
        <v>154</v>
      </c>
    </row>
    <row r="901" spans="9:22" x14ac:dyDescent="0.25">
      <c r="I901" t="s">
        <v>186</v>
      </c>
      <c r="J901" t="s">
        <v>158</v>
      </c>
      <c r="K901">
        <v>1.3908608773736163E-3</v>
      </c>
      <c r="L901" t="s">
        <v>154</v>
      </c>
      <c r="N901" t="s">
        <v>216</v>
      </c>
      <c r="O901" t="s">
        <v>158</v>
      </c>
      <c r="P901">
        <v>2.5784907508591974E-3</v>
      </c>
      <c r="Q901" t="s">
        <v>154</v>
      </c>
      <c r="S901" t="s">
        <v>247</v>
      </c>
      <c r="T901" t="s">
        <v>158</v>
      </c>
      <c r="U901">
        <v>1.7782127167861547E-3</v>
      </c>
      <c r="V901" t="s">
        <v>154</v>
      </c>
    </row>
    <row r="902" spans="9:22" x14ac:dyDescent="0.25">
      <c r="I902" t="s">
        <v>186</v>
      </c>
      <c r="J902" t="s">
        <v>159</v>
      </c>
      <c r="K902">
        <v>2.0787608425932727E-3</v>
      </c>
      <c r="L902" t="s">
        <v>154</v>
      </c>
      <c r="N902" t="s">
        <v>216</v>
      </c>
      <c r="O902" t="s">
        <v>159</v>
      </c>
      <c r="P902">
        <v>1.841306565525019E-3</v>
      </c>
      <c r="Q902" t="s">
        <v>154</v>
      </c>
      <c r="S902" t="s">
        <v>247</v>
      </c>
      <c r="T902" t="s">
        <v>159</v>
      </c>
      <c r="U902">
        <v>9.4225539653633027E-4</v>
      </c>
      <c r="V902" t="s">
        <v>154</v>
      </c>
    </row>
    <row r="903" spans="9:22" x14ac:dyDescent="0.25">
      <c r="I903" t="s">
        <v>186</v>
      </c>
      <c r="J903" t="s">
        <v>285</v>
      </c>
      <c r="K903">
        <v>1.8306825814234862E-2</v>
      </c>
      <c r="L903" t="s">
        <v>154</v>
      </c>
      <c r="N903" t="s">
        <v>216</v>
      </c>
      <c r="O903" t="s">
        <v>285</v>
      </c>
      <c r="P903">
        <v>1.9028518324034255E-2</v>
      </c>
      <c r="Q903" t="s">
        <v>154</v>
      </c>
      <c r="S903" t="s">
        <v>247</v>
      </c>
      <c r="T903" t="s">
        <v>285</v>
      </c>
      <c r="U903">
        <v>6.561493148150869E-3</v>
      </c>
      <c r="V903" t="s">
        <v>154</v>
      </c>
    </row>
    <row r="904" spans="9:22" x14ac:dyDescent="0.25">
      <c r="I904" t="s">
        <v>186</v>
      </c>
      <c r="J904" t="s">
        <v>286</v>
      </c>
      <c r="K904">
        <v>1.4998857257899872E-3</v>
      </c>
      <c r="L904" t="s">
        <v>154</v>
      </c>
      <c r="N904" t="s">
        <v>216</v>
      </c>
      <c r="O904" t="s">
        <v>286</v>
      </c>
      <c r="P904">
        <v>2.49078442232393E-3</v>
      </c>
      <c r="Q904" t="s">
        <v>154</v>
      </c>
      <c r="S904" t="s">
        <v>247</v>
      </c>
      <c r="T904" t="s">
        <v>286</v>
      </c>
      <c r="U904">
        <v>8.3117164467846406E-4</v>
      </c>
      <c r="V904" t="s">
        <v>154</v>
      </c>
    </row>
    <row r="905" spans="9:22" x14ac:dyDescent="0.25">
      <c r="I905" t="s">
        <v>186</v>
      </c>
      <c r="J905" t="s">
        <v>313</v>
      </c>
      <c r="K905">
        <v>0</v>
      </c>
      <c r="L905" t="s">
        <v>154</v>
      </c>
      <c r="N905" t="s">
        <v>216</v>
      </c>
      <c r="O905" t="s">
        <v>313</v>
      </c>
      <c r="P905">
        <v>2.2300193329898269E-3</v>
      </c>
      <c r="Q905" t="s">
        <v>154</v>
      </c>
      <c r="S905" t="s">
        <v>247</v>
      </c>
      <c r="T905" t="s">
        <v>313</v>
      </c>
      <c r="U905">
        <v>8.1772112760143765E-4</v>
      </c>
      <c r="V905" t="s">
        <v>154</v>
      </c>
    </row>
    <row r="906" spans="9:22" x14ac:dyDescent="0.25">
      <c r="I906" t="s">
        <v>186</v>
      </c>
      <c r="J906" t="s">
        <v>314</v>
      </c>
      <c r="K906">
        <v>0</v>
      </c>
      <c r="L906" t="s">
        <v>154</v>
      </c>
      <c r="N906" t="s">
        <v>216</v>
      </c>
      <c r="O906" t="s">
        <v>314</v>
      </c>
      <c r="P906">
        <v>7.0415981819704748E-3</v>
      </c>
      <c r="Q906" t="s">
        <v>154</v>
      </c>
      <c r="S906" t="s">
        <v>247</v>
      </c>
      <c r="T906" t="s">
        <v>314</v>
      </c>
      <c r="U906">
        <v>4.1477274645841623E-3</v>
      </c>
      <c r="V906" t="s">
        <v>154</v>
      </c>
    </row>
    <row r="907" spans="9:22" x14ac:dyDescent="0.25">
      <c r="I907" t="s">
        <v>186</v>
      </c>
      <c r="J907" t="s">
        <v>160</v>
      </c>
      <c r="K907">
        <v>1.162608190254134E-2</v>
      </c>
      <c r="L907" t="s">
        <v>154</v>
      </c>
      <c r="N907" t="s">
        <v>216</v>
      </c>
      <c r="O907" t="s">
        <v>160</v>
      </c>
      <c r="P907">
        <v>0.14493639226565452</v>
      </c>
      <c r="Q907" t="s">
        <v>154</v>
      </c>
      <c r="S907" t="s">
        <v>247</v>
      </c>
      <c r="T907" t="s">
        <v>160</v>
      </c>
      <c r="U907">
        <v>0.17999841978160244</v>
      </c>
      <c r="V907" t="s">
        <v>154</v>
      </c>
    </row>
    <row r="908" spans="9:22" x14ac:dyDescent="0.25">
      <c r="I908" t="s">
        <v>186</v>
      </c>
      <c r="J908" t="s">
        <v>161</v>
      </c>
      <c r="K908">
        <v>8.3887170768133915E-2</v>
      </c>
      <c r="L908" t="s">
        <v>154</v>
      </c>
      <c r="N908" t="s">
        <v>216</v>
      </c>
      <c r="O908" t="s">
        <v>161</v>
      </c>
      <c r="P908">
        <v>3.6831670582417077E-2</v>
      </c>
      <c r="Q908" t="s">
        <v>154</v>
      </c>
      <c r="S908" t="s">
        <v>247</v>
      </c>
      <c r="T908" t="s">
        <v>161</v>
      </c>
      <c r="U908">
        <v>4.733773430369765E-2</v>
      </c>
      <c r="V908" t="s">
        <v>154</v>
      </c>
    </row>
    <row r="909" spans="9:22" x14ac:dyDescent="0.25">
      <c r="I909" t="s">
        <v>186</v>
      </c>
      <c r="J909" t="s">
        <v>162</v>
      </c>
      <c r="K909">
        <v>6.4427786446155821E-2</v>
      </c>
      <c r="L909" t="s">
        <v>154</v>
      </c>
      <c r="N909" t="s">
        <v>216</v>
      </c>
      <c r="O909" t="s">
        <v>162</v>
      </c>
      <c r="P909">
        <v>2.3923647839797502E-2</v>
      </c>
      <c r="Q909" t="s">
        <v>154</v>
      </c>
      <c r="S909" t="s">
        <v>247</v>
      </c>
      <c r="T909" t="s">
        <v>162</v>
      </c>
      <c r="U909">
        <v>2.4145163244448865E-2</v>
      </c>
      <c r="V909" t="s">
        <v>154</v>
      </c>
    </row>
    <row r="910" spans="9:22" x14ac:dyDescent="0.25">
      <c r="I910" t="s">
        <v>186</v>
      </c>
      <c r="J910" t="s">
        <v>287</v>
      </c>
      <c r="K910">
        <v>0.50018188283237874</v>
      </c>
      <c r="L910" t="s">
        <v>154</v>
      </c>
      <c r="N910" t="s">
        <v>216</v>
      </c>
      <c r="O910" t="s">
        <v>287</v>
      </c>
      <c r="P910">
        <v>0.22677729912325897</v>
      </c>
      <c r="Q910" t="s">
        <v>154</v>
      </c>
      <c r="S910" t="s">
        <v>247</v>
      </c>
      <c r="T910" t="s">
        <v>287</v>
      </c>
      <c r="U910">
        <v>0.17505733841971874</v>
      </c>
      <c r="V910" t="s">
        <v>154</v>
      </c>
    </row>
    <row r="911" spans="9:22" x14ac:dyDescent="0.25">
      <c r="I911" t="s">
        <v>186</v>
      </c>
      <c r="J911" t="s">
        <v>288</v>
      </c>
      <c r="K911">
        <v>4.178072105222267E-2</v>
      </c>
      <c r="L911" t="s">
        <v>154</v>
      </c>
      <c r="N911" t="s">
        <v>216</v>
      </c>
      <c r="O911" t="s">
        <v>288</v>
      </c>
      <c r="P911">
        <v>2.8633681296258359E-2</v>
      </c>
      <c r="Q911" t="s">
        <v>154</v>
      </c>
      <c r="S911" t="s">
        <v>247</v>
      </c>
      <c r="T911" t="s">
        <v>288</v>
      </c>
      <c r="U911">
        <v>2.607480554169829E-2</v>
      </c>
      <c r="V911" t="s">
        <v>154</v>
      </c>
    </row>
    <row r="912" spans="9:22" x14ac:dyDescent="0.25">
      <c r="I912" t="s">
        <v>186</v>
      </c>
      <c r="J912" t="s">
        <v>315</v>
      </c>
      <c r="K912">
        <v>2.0452913197518997E-2</v>
      </c>
      <c r="L912" t="s">
        <v>154</v>
      </c>
      <c r="N912" t="s">
        <v>216</v>
      </c>
      <c r="O912" t="s">
        <v>315</v>
      </c>
      <c r="P912">
        <v>2.7009473733636158E-2</v>
      </c>
      <c r="Q912" t="s">
        <v>154</v>
      </c>
      <c r="S912" t="s">
        <v>247</v>
      </c>
      <c r="T912" t="s">
        <v>315</v>
      </c>
      <c r="U912">
        <v>2.6526772811176942E-2</v>
      </c>
      <c r="V912" t="s">
        <v>154</v>
      </c>
    </row>
    <row r="913" spans="9:22" x14ac:dyDescent="0.25">
      <c r="I913" t="s">
        <v>186</v>
      </c>
      <c r="J913" t="s">
        <v>316</v>
      </c>
      <c r="K913">
        <v>2.6773710352398176E-3</v>
      </c>
      <c r="L913" t="s">
        <v>154</v>
      </c>
      <c r="N913" t="s">
        <v>216</v>
      </c>
      <c r="O913" t="s">
        <v>316</v>
      </c>
      <c r="P913">
        <v>0.10511676857674701</v>
      </c>
      <c r="Q913" t="s">
        <v>154</v>
      </c>
      <c r="S913" t="s">
        <v>247</v>
      </c>
      <c r="T913" t="s">
        <v>316</v>
      </c>
      <c r="U913">
        <v>0.13218014565580563</v>
      </c>
      <c r="V913" t="s">
        <v>154</v>
      </c>
    </row>
    <row r="914" spans="9:22" x14ac:dyDescent="0.25">
      <c r="I914" t="s">
        <v>186</v>
      </c>
      <c r="J914" t="s">
        <v>163</v>
      </c>
      <c r="K914">
        <v>0</v>
      </c>
      <c r="L914" t="s">
        <v>154</v>
      </c>
      <c r="N914" t="s">
        <v>216</v>
      </c>
      <c r="O914" t="s">
        <v>163</v>
      </c>
      <c r="P914">
        <v>9.1631510630463889E-3</v>
      </c>
      <c r="Q914" t="s">
        <v>154</v>
      </c>
      <c r="S914" t="s">
        <v>247</v>
      </c>
      <c r="T914" t="s">
        <v>163</v>
      </c>
      <c r="U914">
        <v>8.2987604787506594E-3</v>
      </c>
      <c r="V914" t="s">
        <v>154</v>
      </c>
    </row>
    <row r="915" spans="9:22" x14ac:dyDescent="0.25">
      <c r="I915" t="s">
        <v>186</v>
      </c>
      <c r="J915" t="s">
        <v>164</v>
      </c>
      <c r="K915">
        <v>1.8954918738777699E-3</v>
      </c>
      <c r="L915" t="s">
        <v>154</v>
      </c>
      <c r="N915" t="s">
        <v>216</v>
      </c>
      <c r="O915" t="s">
        <v>164</v>
      </c>
      <c r="P915">
        <v>1.8258480964973161E-3</v>
      </c>
      <c r="Q915" t="s">
        <v>154</v>
      </c>
      <c r="S915" t="s">
        <v>247</v>
      </c>
      <c r="T915" t="s">
        <v>164</v>
      </c>
      <c r="U915">
        <v>2.2774572651279466E-3</v>
      </c>
      <c r="V915" t="s">
        <v>154</v>
      </c>
    </row>
    <row r="916" spans="9:22" x14ac:dyDescent="0.25">
      <c r="I916" t="s">
        <v>186</v>
      </c>
      <c r="J916" t="s">
        <v>165</v>
      </c>
      <c r="K916">
        <v>1.7162376558149015E-3</v>
      </c>
      <c r="L916" t="s">
        <v>154</v>
      </c>
      <c r="N916" t="s">
        <v>216</v>
      </c>
      <c r="O916" t="s">
        <v>165</v>
      </c>
      <c r="P916">
        <v>1.3083320831907268E-3</v>
      </c>
      <c r="Q916" t="s">
        <v>154</v>
      </c>
      <c r="S916" t="s">
        <v>247</v>
      </c>
      <c r="T916" t="s">
        <v>165</v>
      </c>
      <c r="U916">
        <v>1.1692545689693189E-3</v>
      </c>
      <c r="V916" t="s">
        <v>154</v>
      </c>
    </row>
    <row r="917" spans="9:22" x14ac:dyDescent="0.25">
      <c r="I917" t="s">
        <v>186</v>
      </c>
      <c r="J917" t="s">
        <v>289</v>
      </c>
      <c r="K917">
        <v>1.1354934491449071E-2</v>
      </c>
      <c r="L917" t="s">
        <v>154</v>
      </c>
      <c r="N917" t="s">
        <v>216</v>
      </c>
      <c r="O917" t="s">
        <v>289</v>
      </c>
      <c r="P917">
        <v>1.0911809904625785E-2</v>
      </c>
      <c r="Q917" t="s">
        <v>154</v>
      </c>
      <c r="S917" t="s">
        <v>247</v>
      </c>
      <c r="T917" t="s">
        <v>289</v>
      </c>
      <c r="U917">
        <v>8.405045065868479E-3</v>
      </c>
      <c r="V917" t="s">
        <v>154</v>
      </c>
    </row>
    <row r="918" spans="9:22" x14ac:dyDescent="0.25">
      <c r="I918" t="s">
        <v>186</v>
      </c>
      <c r="J918" t="s">
        <v>290</v>
      </c>
      <c r="K918">
        <v>5.0868424770072226E-4</v>
      </c>
      <c r="L918" t="s">
        <v>154</v>
      </c>
      <c r="N918" t="s">
        <v>216</v>
      </c>
      <c r="O918" t="s">
        <v>290</v>
      </c>
      <c r="P918">
        <v>1.3807560853653991E-3</v>
      </c>
      <c r="Q918" t="s">
        <v>154</v>
      </c>
      <c r="S918" t="s">
        <v>247</v>
      </c>
      <c r="T918" t="s">
        <v>290</v>
      </c>
      <c r="U918">
        <v>1.2461053596438745E-3</v>
      </c>
      <c r="V918" t="s">
        <v>154</v>
      </c>
    </row>
    <row r="919" spans="9:22" x14ac:dyDescent="0.25">
      <c r="I919" t="s">
        <v>186</v>
      </c>
      <c r="J919" t="s">
        <v>317</v>
      </c>
      <c r="K919">
        <v>0</v>
      </c>
      <c r="L919" t="s">
        <v>154</v>
      </c>
      <c r="N919" t="s">
        <v>216</v>
      </c>
      <c r="O919" t="s">
        <v>317</v>
      </c>
      <c r="P919">
        <v>1.2781243469506458E-3</v>
      </c>
      <c r="Q919" t="s">
        <v>154</v>
      </c>
      <c r="S919" t="s">
        <v>247</v>
      </c>
      <c r="T919" t="s">
        <v>317</v>
      </c>
      <c r="U919">
        <v>1.2534573127948141E-3</v>
      </c>
      <c r="V919" t="s">
        <v>154</v>
      </c>
    </row>
    <row r="920" spans="9:22" x14ac:dyDescent="0.25">
      <c r="I920" t="s">
        <v>186</v>
      </c>
      <c r="J920" t="s">
        <v>318</v>
      </c>
      <c r="K920">
        <v>0</v>
      </c>
      <c r="L920" t="s">
        <v>154</v>
      </c>
      <c r="N920" t="s">
        <v>216</v>
      </c>
      <c r="O920" t="s">
        <v>318</v>
      </c>
      <c r="P920">
        <v>4.1826972935411653E-3</v>
      </c>
      <c r="Q920" t="s">
        <v>154</v>
      </c>
      <c r="S920" t="s">
        <v>247</v>
      </c>
      <c r="T920" t="s">
        <v>318</v>
      </c>
      <c r="U920">
        <v>5.9218381773601218E-3</v>
      </c>
      <c r="V920" t="s">
        <v>154</v>
      </c>
    </row>
    <row r="921" spans="9:22" x14ac:dyDescent="0.25">
      <c r="I921" t="s">
        <v>186</v>
      </c>
      <c r="J921" t="s">
        <v>297</v>
      </c>
      <c r="K921">
        <v>0</v>
      </c>
      <c r="L921" t="s">
        <v>154</v>
      </c>
      <c r="N921" t="s">
        <v>216</v>
      </c>
      <c r="O921" t="s">
        <v>297</v>
      </c>
      <c r="P921">
        <v>1.2763119112128367E-2</v>
      </c>
      <c r="Q921" t="s">
        <v>154</v>
      </c>
      <c r="S921" t="s">
        <v>247</v>
      </c>
      <c r="T921" t="s">
        <v>297</v>
      </c>
      <c r="U921">
        <v>2.0910096059526675E-2</v>
      </c>
      <c r="V921" t="s">
        <v>154</v>
      </c>
    </row>
    <row r="922" spans="9:22" x14ac:dyDescent="0.25">
      <c r="I922" t="s">
        <v>186</v>
      </c>
      <c r="J922" t="s">
        <v>298</v>
      </c>
      <c r="K922">
        <v>7.7854917428128254E-3</v>
      </c>
      <c r="L922" t="s">
        <v>154</v>
      </c>
      <c r="N922" t="s">
        <v>216</v>
      </c>
      <c r="O922" t="s">
        <v>298</v>
      </c>
      <c r="P922">
        <v>2.3254380501134351E-3</v>
      </c>
      <c r="Q922" t="s">
        <v>154</v>
      </c>
      <c r="S922" t="s">
        <v>247</v>
      </c>
      <c r="T922" t="s">
        <v>298</v>
      </c>
      <c r="U922">
        <v>5.6939596665551333E-3</v>
      </c>
      <c r="V922" t="s">
        <v>154</v>
      </c>
    </row>
    <row r="923" spans="9:22" x14ac:dyDescent="0.25">
      <c r="I923" t="s">
        <v>186</v>
      </c>
      <c r="J923" t="s">
        <v>299</v>
      </c>
      <c r="K923">
        <v>7.3033358420630532E-3</v>
      </c>
      <c r="L923" t="s">
        <v>154</v>
      </c>
      <c r="N923" t="s">
        <v>216</v>
      </c>
      <c r="O923" t="s">
        <v>299</v>
      </c>
      <c r="P923">
        <v>1.0907011981882747E-3</v>
      </c>
      <c r="Q923" t="s">
        <v>154</v>
      </c>
      <c r="S923" t="s">
        <v>247</v>
      </c>
      <c r="T923" t="s">
        <v>299</v>
      </c>
      <c r="U923">
        <v>3.0312783144806964E-3</v>
      </c>
      <c r="V923" t="s">
        <v>154</v>
      </c>
    </row>
    <row r="924" spans="9:22" x14ac:dyDescent="0.25">
      <c r="I924" t="s">
        <v>186</v>
      </c>
      <c r="J924" t="s">
        <v>300</v>
      </c>
      <c r="K924">
        <v>4.8883449440332107E-2</v>
      </c>
      <c r="L924" t="s">
        <v>154</v>
      </c>
      <c r="N924" t="s">
        <v>216</v>
      </c>
      <c r="O924" t="s">
        <v>300</v>
      </c>
      <c r="P924">
        <v>1.4029667287358374E-2</v>
      </c>
      <c r="Q924" t="s">
        <v>154</v>
      </c>
      <c r="S924" t="s">
        <v>247</v>
      </c>
      <c r="T924" t="s">
        <v>300</v>
      </c>
      <c r="U924">
        <v>2.2926321154549591E-2</v>
      </c>
      <c r="V924" t="s">
        <v>154</v>
      </c>
    </row>
    <row r="925" spans="9:22" x14ac:dyDescent="0.25">
      <c r="I925" t="s">
        <v>186</v>
      </c>
      <c r="J925" t="s">
        <v>301</v>
      </c>
      <c r="K925">
        <v>7.6171133484926321E-4</v>
      </c>
      <c r="L925" t="s">
        <v>154</v>
      </c>
      <c r="N925" t="s">
        <v>216</v>
      </c>
      <c r="O925" t="s">
        <v>301</v>
      </c>
      <c r="P925">
        <v>2.1331360608561572E-3</v>
      </c>
      <c r="Q925" t="s">
        <v>154</v>
      </c>
      <c r="S925" t="s">
        <v>247</v>
      </c>
      <c r="T925" t="s">
        <v>301</v>
      </c>
      <c r="U925">
        <v>3.21509635354631E-3</v>
      </c>
      <c r="V925" t="s">
        <v>154</v>
      </c>
    </row>
    <row r="926" spans="9:22" x14ac:dyDescent="0.25">
      <c r="I926" t="s">
        <v>186</v>
      </c>
      <c r="J926" t="s">
        <v>319</v>
      </c>
      <c r="K926">
        <v>0</v>
      </c>
      <c r="L926" t="s">
        <v>154</v>
      </c>
      <c r="N926" t="s">
        <v>216</v>
      </c>
      <c r="O926" t="s">
        <v>319</v>
      </c>
      <c r="P926">
        <v>2.2893593838138469E-3</v>
      </c>
      <c r="Q926" t="s">
        <v>154</v>
      </c>
      <c r="S926" t="s">
        <v>247</v>
      </c>
      <c r="T926" t="s">
        <v>319</v>
      </c>
      <c r="U926">
        <v>3.1740927123709841E-3</v>
      </c>
      <c r="V926" t="s">
        <v>154</v>
      </c>
    </row>
    <row r="927" spans="9:22" x14ac:dyDescent="0.25">
      <c r="I927" t="s">
        <v>186</v>
      </c>
      <c r="J927" t="s">
        <v>320</v>
      </c>
      <c r="K927">
        <v>0</v>
      </c>
      <c r="L927" t="s">
        <v>154</v>
      </c>
      <c r="N927" t="s">
        <v>216</v>
      </c>
      <c r="O927" t="s">
        <v>320</v>
      </c>
      <c r="P927">
        <v>1.0591047530012065E-2</v>
      </c>
      <c r="Q927" t="s">
        <v>154</v>
      </c>
      <c r="S927" t="s">
        <v>247</v>
      </c>
      <c r="T927" t="s">
        <v>320</v>
      </c>
      <c r="U927">
        <v>1.4803170261618332E-2</v>
      </c>
      <c r="V927" t="s">
        <v>154</v>
      </c>
    </row>
    <row r="928" spans="9:22" x14ac:dyDescent="0.25">
      <c r="I928" t="s">
        <v>186</v>
      </c>
      <c r="J928" t="s">
        <v>302</v>
      </c>
      <c r="K928">
        <v>0</v>
      </c>
      <c r="L928" t="s">
        <v>154</v>
      </c>
      <c r="N928" t="s">
        <v>216</v>
      </c>
      <c r="O928" t="s">
        <v>302</v>
      </c>
      <c r="P928">
        <v>3.3514181527034219E-2</v>
      </c>
      <c r="Q928" t="s">
        <v>154</v>
      </c>
      <c r="S928" t="s">
        <v>247</v>
      </c>
      <c r="T928" t="s">
        <v>302</v>
      </c>
      <c r="U928">
        <v>4.0684411180180145E-2</v>
      </c>
      <c r="V928" t="s">
        <v>154</v>
      </c>
    </row>
    <row r="929" spans="9:22" x14ac:dyDescent="0.25">
      <c r="I929" t="s">
        <v>186</v>
      </c>
      <c r="J929" t="s">
        <v>303</v>
      </c>
      <c r="K929">
        <v>5.643381524674031E-3</v>
      </c>
      <c r="L929" t="s">
        <v>154</v>
      </c>
      <c r="N929" t="s">
        <v>216</v>
      </c>
      <c r="O929" t="s">
        <v>303</v>
      </c>
      <c r="P929">
        <v>8.2561153732408511E-3</v>
      </c>
      <c r="Q929" t="s">
        <v>154</v>
      </c>
      <c r="S929" t="s">
        <v>247</v>
      </c>
      <c r="T929" t="s">
        <v>303</v>
      </c>
      <c r="U929">
        <v>1.1505200266119361E-2</v>
      </c>
      <c r="V929" t="s">
        <v>154</v>
      </c>
    </row>
    <row r="930" spans="9:22" x14ac:dyDescent="0.25">
      <c r="I930" t="s">
        <v>186</v>
      </c>
      <c r="J930" t="s">
        <v>304</v>
      </c>
      <c r="K930">
        <v>8.7808672497811917E-3</v>
      </c>
      <c r="L930" t="s">
        <v>154</v>
      </c>
      <c r="N930" t="s">
        <v>216</v>
      </c>
      <c r="O930" t="s">
        <v>304</v>
      </c>
      <c r="P930">
        <v>3.3304607213280927E-3</v>
      </c>
      <c r="Q930" t="s">
        <v>154</v>
      </c>
      <c r="S930" t="s">
        <v>247</v>
      </c>
      <c r="T930" t="s">
        <v>304</v>
      </c>
      <c r="U930">
        <v>5.8428327007200983E-3</v>
      </c>
      <c r="V930" t="s">
        <v>154</v>
      </c>
    </row>
    <row r="931" spans="9:22" x14ac:dyDescent="0.25">
      <c r="I931" t="s">
        <v>186</v>
      </c>
      <c r="J931" t="s">
        <v>305</v>
      </c>
      <c r="K931">
        <v>6.3773564415826836E-2</v>
      </c>
      <c r="L931" t="s">
        <v>154</v>
      </c>
      <c r="N931" t="s">
        <v>216</v>
      </c>
      <c r="O931" t="s">
        <v>305</v>
      </c>
      <c r="P931">
        <v>4.5787116910981897E-2</v>
      </c>
      <c r="Q931" t="s">
        <v>154</v>
      </c>
      <c r="S931" t="s">
        <v>247</v>
      </c>
      <c r="T931" t="s">
        <v>305</v>
      </c>
      <c r="U931">
        <v>4.0621499273504433E-2</v>
      </c>
      <c r="V931" t="s">
        <v>154</v>
      </c>
    </row>
    <row r="932" spans="9:22" x14ac:dyDescent="0.25">
      <c r="I932" t="s">
        <v>186</v>
      </c>
      <c r="J932" t="s">
        <v>306</v>
      </c>
      <c r="K932">
        <v>0</v>
      </c>
      <c r="L932" t="s">
        <v>154</v>
      </c>
      <c r="N932" t="s">
        <v>216</v>
      </c>
      <c r="O932" t="s">
        <v>306</v>
      </c>
      <c r="P932">
        <v>6.9304149110278133E-3</v>
      </c>
      <c r="Q932" t="s">
        <v>154</v>
      </c>
      <c r="S932" t="s">
        <v>247</v>
      </c>
      <c r="T932" t="s">
        <v>306</v>
      </c>
      <c r="U932">
        <v>5.954721802848984E-3</v>
      </c>
      <c r="V932" t="s">
        <v>154</v>
      </c>
    </row>
    <row r="933" spans="9:22" x14ac:dyDescent="0.25">
      <c r="I933" t="s">
        <v>186</v>
      </c>
      <c r="J933" t="s">
        <v>321</v>
      </c>
      <c r="K933">
        <v>0</v>
      </c>
      <c r="L933" t="s">
        <v>154</v>
      </c>
      <c r="N933" t="s">
        <v>216</v>
      </c>
      <c r="O933" t="s">
        <v>321</v>
      </c>
      <c r="P933">
        <v>6.8678573006091381E-3</v>
      </c>
      <c r="Q933" t="s">
        <v>154</v>
      </c>
      <c r="S933" t="s">
        <v>247</v>
      </c>
      <c r="T933" t="s">
        <v>321</v>
      </c>
      <c r="U933">
        <v>5.998773980556071E-3</v>
      </c>
      <c r="V933" t="s">
        <v>154</v>
      </c>
    </row>
    <row r="934" spans="9:22" x14ac:dyDescent="0.25">
      <c r="I934" t="s">
        <v>186</v>
      </c>
      <c r="J934" t="s">
        <v>322</v>
      </c>
      <c r="K934">
        <v>0</v>
      </c>
      <c r="L934" t="s">
        <v>154</v>
      </c>
      <c r="N934" t="s">
        <v>216</v>
      </c>
      <c r="O934" t="s">
        <v>322</v>
      </c>
      <c r="P934">
        <v>2.8872585459601099E-2</v>
      </c>
      <c r="Q934" t="s">
        <v>154</v>
      </c>
      <c r="S934" t="s">
        <v>247</v>
      </c>
      <c r="T934" t="s">
        <v>322</v>
      </c>
      <c r="U934">
        <v>3.0207093834061977E-2</v>
      </c>
      <c r="V934" t="s">
        <v>154</v>
      </c>
    </row>
    <row r="935" spans="9:22" x14ac:dyDescent="0.25">
      <c r="I935" t="s">
        <v>187</v>
      </c>
      <c r="J935" t="s">
        <v>153</v>
      </c>
      <c r="K935">
        <v>0</v>
      </c>
      <c r="L935" t="s">
        <v>154</v>
      </c>
      <c r="N935" t="s">
        <v>217</v>
      </c>
      <c r="O935" t="s">
        <v>153</v>
      </c>
      <c r="P935">
        <v>4.5751390687577123E-2</v>
      </c>
      <c r="Q935" t="s">
        <v>154</v>
      </c>
      <c r="S935" t="s">
        <v>248</v>
      </c>
      <c r="T935" t="s">
        <v>153</v>
      </c>
      <c r="U935">
        <v>3.5413148926464411E-2</v>
      </c>
      <c r="V935" t="s">
        <v>154</v>
      </c>
    </row>
    <row r="936" spans="9:22" x14ac:dyDescent="0.25">
      <c r="I936" t="s">
        <v>187</v>
      </c>
      <c r="J936" t="s">
        <v>155</v>
      </c>
      <c r="K936">
        <v>6.167906175636226E-3</v>
      </c>
      <c r="L936" t="s">
        <v>154</v>
      </c>
      <c r="N936" t="s">
        <v>217</v>
      </c>
      <c r="O936" t="s">
        <v>155</v>
      </c>
      <c r="P936">
        <v>1.0823394317451189E-2</v>
      </c>
      <c r="Q936" t="s">
        <v>154</v>
      </c>
      <c r="S936" t="s">
        <v>248</v>
      </c>
      <c r="T936" t="s">
        <v>155</v>
      </c>
      <c r="U936">
        <v>1.0233567592400598E-2</v>
      </c>
      <c r="V936" t="s">
        <v>154</v>
      </c>
    </row>
    <row r="937" spans="9:22" x14ac:dyDescent="0.25">
      <c r="I937" t="s">
        <v>187</v>
      </c>
      <c r="J937" t="s">
        <v>156</v>
      </c>
      <c r="K937">
        <v>9.8062988182164353E-3</v>
      </c>
      <c r="L937" t="s">
        <v>154</v>
      </c>
      <c r="N937" t="s">
        <v>217</v>
      </c>
      <c r="O937" t="s">
        <v>156</v>
      </c>
      <c r="P937">
        <v>5.6266608825590383E-3</v>
      </c>
      <c r="Q937" t="s">
        <v>154</v>
      </c>
      <c r="S937" t="s">
        <v>248</v>
      </c>
      <c r="T937" t="s">
        <v>156</v>
      </c>
      <c r="U937">
        <v>5.1473266550433727E-3</v>
      </c>
      <c r="V937" t="s">
        <v>154</v>
      </c>
    </row>
    <row r="938" spans="9:22" x14ac:dyDescent="0.25">
      <c r="I938" t="s">
        <v>187</v>
      </c>
      <c r="J938" t="s">
        <v>283</v>
      </c>
      <c r="K938">
        <v>7.517965718977708E-2</v>
      </c>
      <c r="L938" t="s">
        <v>154</v>
      </c>
      <c r="N938" t="s">
        <v>217</v>
      </c>
      <c r="O938" t="s">
        <v>283</v>
      </c>
      <c r="P938">
        <v>6.0988944176057339E-2</v>
      </c>
      <c r="Q938" t="s">
        <v>154</v>
      </c>
      <c r="S938" t="s">
        <v>248</v>
      </c>
      <c r="T938" t="s">
        <v>283</v>
      </c>
      <c r="U938">
        <v>3.4445310317804088E-2</v>
      </c>
      <c r="V938" t="s">
        <v>154</v>
      </c>
    </row>
    <row r="939" spans="9:22" x14ac:dyDescent="0.25">
      <c r="I939" t="s">
        <v>187</v>
      </c>
      <c r="J939" t="s">
        <v>284</v>
      </c>
      <c r="K939">
        <v>4.6625250941579634E-3</v>
      </c>
      <c r="L939" t="s">
        <v>154</v>
      </c>
      <c r="N939" t="s">
        <v>217</v>
      </c>
      <c r="O939" t="s">
        <v>284</v>
      </c>
      <c r="P939">
        <v>6.9252488292590791E-3</v>
      </c>
      <c r="Q939" t="s">
        <v>154</v>
      </c>
      <c r="S939" t="s">
        <v>248</v>
      </c>
      <c r="T939" t="s">
        <v>284</v>
      </c>
      <c r="U939">
        <v>4.7675285866711778E-3</v>
      </c>
      <c r="V939" t="s">
        <v>154</v>
      </c>
    </row>
    <row r="940" spans="9:22" x14ac:dyDescent="0.25">
      <c r="I940" t="s">
        <v>187</v>
      </c>
      <c r="J940" t="s">
        <v>311</v>
      </c>
      <c r="K940">
        <v>0</v>
      </c>
      <c r="L940" t="s">
        <v>154</v>
      </c>
      <c r="N940" t="s">
        <v>217</v>
      </c>
      <c r="O940" t="s">
        <v>311</v>
      </c>
      <c r="P940">
        <v>6.3428406171093295E-3</v>
      </c>
      <c r="Q940" t="s">
        <v>154</v>
      </c>
      <c r="S940" t="s">
        <v>248</v>
      </c>
      <c r="T940" t="s">
        <v>311</v>
      </c>
      <c r="U940">
        <v>4.7123764467299871E-3</v>
      </c>
      <c r="V940" t="s">
        <v>154</v>
      </c>
    </row>
    <row r="941" spans="9:22" x14ac:dyDescent="0.25">
      <c r="I941" t="s">
        <v>187</v>
      </c>
      <c r="J941" t="s">
        <v>312</v>
      </c>
      <c r="K941">
        <v>0</v>
      </c>
      <c r="L941" t="s">
        <v>154</v>
      </c>
      <c r="N941" t="s">
        <v>217</v>
      </c>
      <c r="O941" t="s">
        <v>312</v>
      </c>
      <c r="P941">
        <v>2.9058060609929437E-2</v>
      </c>
      <c r="Q941" t="s">
        <v>154</v>
      </c>
      <c r="S941" t="s">
        <v>248</v>
      </c>
      <c r="T941" t="s">
        <v>312</v>
      </c>
      <c r="U941">
        <v>2.4247844367327485E-2</v>
      </c>
      <c r="V941" t="s">
        <v>154</v>
      </c>
    </row>
    <row r="942" spans="9:22" x14ac:dyDescent="0.25">
      <c r="I942" t="s">
        <v>187</v>
      </c>
      <c r="J942" t="s">
        <v>157</v>
      </c>
      <c r="K942">
        <v>0</v>
      </c>
      <c r="L942" t="s">
        <v>154</v>
      </c>
      <c r="N942" t="s">
        <v>217</v>
      </c>
      <c r="O942" t="s">
        <v>157</v>
      </c>
      <c r="P942">
        <v>1.1892708835455276E-2</v>
      </c>
      <c r="Q942" t="s">
        <v>154</v>
      </c>
      <c r="S942" t="s">
        <v>248</v>
      </c>
      <c r="T942" t="s">
        <v>157</v>
      </c>
      <c r="U942">
        <v>6.3123522817758685E-3</v>
      </c>
      <c r="V942" t="s">
        <v>154</v>
      </c>
    </row>
    <row r="943" spans="9:22" x14ac:dyDescent="0.25">
      <c r="I943" t="s">
        <v>187</v>
      </c>
      <c r="J943" t="s">
        <v>158</v>
      </c>
      <c r="K943">
        <v>1.6325456495453587E-3</v>
      </c>
      <c r="L943" t="s">
        <v>154</v>
      </c>
      <c r="N943" t="s">
        <v>217</v>
      </c>
      <c r="O943" t="s">
        <v>158</v>
      </c>
      <c r="P943">
        <v>3.1157123237012725E-3</v>
      </c>
      <c r="Q943" t="s">
        <v>154</v>
      </c>
      <c r="S943" t="s">
        <v>248</v>
      </c>
      <c r="T943" t="s">
        <v>158</v>
      </c>
      <c r="U943">
        <v>1.8376242440720776E-3</v>
      </c>
      <c r="V943" t="s">
        <v>154</v>
      </c>
    </row>
    <row r="944" spans="9:22" x14ac:dyDescent="0.25">
      <c r="I944" t="s">
        <v>187</v>
      </c>
      <c r="J944" t="s">
        <v>159</v>
      </c>
      <c r="K944">
        <v>2.4009802812194649E-3</v>
      </c>
      <c r="L944" t="s">
        <v>154</v>
      </c>
      <c r="N944" t="s">
        <v>217</v>
      </c>
      <c r="O944" t="s">
        <v>159</v>
      </c>
      <c r="P944">
        <v>1.6539785983749719E-3</v>
      </c>
      <c r="Q944" t="s">
        <v>154</v>
      </c>
      <c r="S944" t="s">
        <v>248</v>
      </c>
      <c r="T944" t="s">
        <v>159</v>
      </c>
      <c r="U944">
        <v>1.0046315672590077E-3</v>
      </c>
      <c r="V944" t="s">
        <v>154</v>
      </c>
    </row>
    <row r="945" spans="9:22" x14ac:dyDescent="0.25">
      <c r="I945" t="s">
        <v>187</v>
      </c>
      <c r="J945" t="s">
        <v>285</v>
      </c>
      <c r="K945">
        <v>1.9798540503354334E-2</v>
      </c>
      <c r="L945" t="s">
        <v>154</v>
      </c>
      <c r="N945" t="s">
        <v>217</v>
      </c>
      <c r="O945" t="s">
        <v>285</v>
      </c>
      <c r="P945">
        <v>1.7096232630032647E-2</v>
      </c>
      <c r="Q945" t="s">
        <v>154</v>
      </c>
      <c r="S945" t="s">
        <v>248</v>
      </c>
      <c r="T945" t="s">
        <v>285</v>
      </c>
      <c r="U945">
        <v>6.8813188818522934E-3</v>
      </c>
      <c r="V945" t="s">
        <v>154</v>
      </c>
    </row>
    <row r="946" spans="9:22" x14ac:dyDescent="0.25">
      <c r="I946" t="s">
        <v>187</v>
      </c>
      <c r="J946" t="s">
        <v>286</v>
      </c>
      <c r="K946">
        <v>1.5917655070512616E-3</v>
      </c>
      <c r="L946" t="s">
        <v>154</v>
      </c>
      <c r="N946" t="s">
        <v>217</v>
      </c>
      <c r="O946" t="s">
        <v>286</v>
      </c>
      <c r="P946">
        <v>2.4987881998507263E-3</v>
      </c>
      <c r="Q946" t="s">
        <v>154</v>
      </c>
      <c r="S946" t="s">
        <v>248</v>
      </c>
      <c r="T946" t="s">
        <v>286</v>
      </c>
      <c r="U946">
        <v>8.5280249859676235E-4</v>
      </c>
      <c r="V946" t="s">
        <v>154</v>
      </c>
    </row>
    <row r="947" spans="9:22" x14ac:dyDescent="0.25">
      <c r="I947" t="s">
        <v>187</v>
      </c>
      <c r="J947" t="s">
        <v>313</v>
      </c>
      <c r="K947">
        <v>0</v>
      </c>
      <c r="L947" t="s">
        <v>154</v>
      </c>
      <c r="N947" t="s">
        <v>217</v>
      </c>
      <c r="O947" t="s">
        <v>313</v>
      </c>
      <c r="P947">
        <v>2.2184809051734571E-3</v>
      </c>
      <c r="Q947" t="s">
        <v>154</v>
      </c>
      <c r="S947" t="s">
        <v>248</v>
      </c>
      <c r="T947" t="s">
        <v>313</v>
      </c>
      <c r="U947">
        <v>8.3737076680253785E-4</v>
      </c>
      <c r="V947" t="s">
        <v>154</v>
      </c>
    </row>
    <row r="948" spans="9:22" x14ac:dyDescent="0.25">
      <c r="I948" t="s">
        <v>187</v>
      </c>
      <c r="J948" t="s">
        <v>314</v>
      </c>
      <c r="K948">
        <v>0</v>
      </c>
      <c r="L948" t="s">
        <v>154</v>
      </c>
      <c r="N948" t="s">
        <v>217</v>
      </c>
      <c r="O948" t="s">
        <v>314</v>
      </c>
      <c r="P948">
        <v>8.2428887054329988E-3</v>
      </c>
      <c r="Q948" t="s">
        <v>154</v>
      </c>
      <c r="S948" t="s">
        <v>248</v>
      </c>
      <c r="T948" t="s">
        <v>314</v>
      </c>
      <c r="U948">
        <v>4.0940674733216239E-3</v>
      </c>
      <c r="V948" t="s">
        <v>154</v>
      </c>
    </row>
    <row r="949" spans="9:22" x14ac:dyDescent="0.25">
      <c r="I949" t="s">
        <v>187</v>
      </c>
      <c r="J949" t="s">
        <v>160</v>
      </c>
      <c r="K949">
        <v>1.0694426571210853E-2</v>
      </c>
      <c r="L949" t="s">
        <v>154</v>
      </c>
      <c r="N949" t="s">
        <v>217</v>
      </c>
      <c r="O949" t="s">
        <v>160</v>
      </c>
      <c r="P949">
        <v>0.13054623997177725</v>
      </c>
      <c r="Q949" t="s">
        <v>154</v>
      </c>
      <c r="S949" t="s">
        <v>248</v>
      </c>
      <c r="T949" t="s">
        <v>160</v>
      </c>
      <c r="U949">
        <v>0.18195776905761879</v>
      </c>
      <c r="V949" t="s">
        <v>154</v>
      </c>
    </row>
    <row r="950" spans="9:22" x14ac:dyDescent="0.25">
      <c r="I950" t="s">
        <v>187</v>
      </c>
      <c r="J950" t="s">
        <v>161</v>
      </c>
      <c r="K950">
        <v>8.2503340643480624E-2</v>
      </c>
      <c r="L950" t="s">
        <v>154</v>
      </c>
      <c r="N950" t="s">
        <v>217</v>
      </c>
      <c r="O950" t="s">
        <v>161</v>
      </c>
      <c r="P950">
        <v>3.6604241985016599E-2</v>
      </c>
      <c r="Q950" t="s">
        <v>154</v>
      </c>
      <c r="S950" t="s">
        <v>248</v>
      </c>
      <c r="T950" t="s">
        <v>161</v>
      </c>
      <c r="U950">
        <v>4.7473233272548626E-2</v>
      </c>
      <c r="V950" t="s">
        <v>154</v>
      </c>
    </row>
    <row r="951" spans="9:22" x14ac:dyDescent="0.25">
      <c r="I951" t="s">
        <v>187</v>
      </c>
      <c r="J951" t="s">
        <v>162</v>
      </c>
      <c r="K951">
        <v>6.4272083272056552E-2</v>
      </c>
      <c r="L951" t="s">
        <v>154</v>
      </c>
      <c r="N951" t="s">
        <v>217</v>
      </c>
      <c r="O951" t="s">
        <v>162</v>
      </c>
      <c r="P951">
        <v>2.2878282484012968E-2</v>
      </c>
      <c r="Q951" t="s">
        <v>154</v>
      </c>
      <c r="S951" t="s">
        <v>248</v>
      </c>
      <c r="T951" t="s">
        <v>162</v>
      </c>
      <c r="U951">
        <v>2.41830166863467E-2</v>
      </c>
      <c r="V951" t="s">
        <v>154</v>
      </c>
    </row>
    <row r="952" spans="9:22" x14ac:dyDescent="0.25">
      <c r="I952" t="s">
        <v>187</v>
      </c>
      <c r="J952" t="s">
        <v>287</v>
      </c>
      <c r="K952">
        <v>0.49448942292730458</v>
      </c>
      <c r="L952" t="s">
        <v>154</v>
      </c>
      <c r="N952" t="s">
        <v>217</v>
      </c>
      <c r="O952" t="s">
        <v>287</v>
      </c>
      <c r="P952">
        <v>0.23153334314172522</v>
      </c>
      <c r="Q952" t="s">
        <v>154</v>
      </c>
      <c r="S952" t="s">
        <v>248</v>
      </c>
      <c r="T952" t="s">
        <v>287</v>
      </c>
      <c r="U952">
        <v>0.18094429950290594</v>
      </c>
      <c r="V952" t="s">
        <v>154</v>
      </c>
    </row>
    <row r="953" spans="9:22" x14ac:dyDescent="0.25">
      <c r="I953" t="s">
        <v>187</v>
      </c>
      <c r="J953" t="s">
        <v>288</v>
      </c>
      <c r="K953">
        <v>4.1918217302668391E-2</v>
      </c>
      <c r="L953" t="s">
        <v>154</v>
      </c>
      <c r="N953" t="s">
        <v>217</v>
      </c>
      <c r="O953" t="s">
        <v>288</v>
      </c>
      <c r="P953">
        <v>2.7415342346127598E-2</v>
      </c>
      <c r="Q953" t="s">
        <v>154</v>
      </c>
      <c r="S953" t="s">
        <v>248</v>
      </c>
      <c r="T953" t="s">
        <v>288</v>
      </c>
      <c r="U953">
        <v>2.6873478967731755E-2</v>
      </c>
      <c r="V953" t="s">
        <v>154</v>
      </c>
    </row>
    <row r="954" spans="9:22" x14ac:dyDescent="0.25">
      <c r="I954" t="s">
        <v>187</v>
      </c>
      <c r="J954" t="s">
        <v>315</v>
      </c>
      <c r="K954">
        <v>2.1117010536585736E-2</v>
      </c>
      <c r="L954" t="s">
        <v>154</v>
      </c>
      <c r="N954" t="s">
        <v>217</v>
      </c>
      <c r="O954" t="s">
        <v>315</v>
      </c>
      <c r="P954">
        <v>2.3804313020741631E-2</v>
      </c>
      <c r="Q954" t="s">
        <v>154</v>
      </c>
      <c r="S954" t="s">
        <v>248</v>
      </c>
      <c r="T954" t="s">
        <v>315</v>
      </c>
      <c r="U954">
        <v>2.7089171268115879E-2</v>
      </c>
      <c r="V954" t="s">
        <v>154</v>
      </c>
    </row>
    <row r="955" spans="9:22" x14ac:dyDescent="0.25">
      <c r="I955" t="s">
        <v>187</v>
      </c>
      <c r="J955" t="s">
        <v>316</v>
      </c>
      <c r="K955">
        <v>3.3624540113824284E-3</v>
      </c>
      <c r="L955" t="s">
        <v>154</v>
      </c>
      <c r="N955" t="s">
        <v>217</v>
      </c>
      <c r="O955" t="s">
        <v>316</v>
      </c>
      <c r="P955">
        <v>8.9987031667686679E-2</v>
      </c>
      <c r="Q955" t="s">
        <v>154</v>
      </c>
      <c r="S955" t="s">
        <v>248</v>
      </c>
      <c r="T955" t="s">
        <v>316</v>
      </c>
      <c r="U955">
        <v>0.13204328157621945</v>
      </c>
      <c r="V955" t="s">
        <v>154</v>
      </c>
    </row>
    <row r="956" spans="9:22" x14ac:dyDescent="0.25">
      <c r="I956" t="s">
        <v>187</v>
      </c>
      <c r="J956" t="s">
        <v>163</v>
      </c>
      <c r="K956">
        <v>0</v>
      </c>
      <c r="L956" t="s">
        <v>154</v>
      </c>
      <c r="N956" t="s">
        <v>217</v>
      </c>
      <c r="O956" t="s">
        <v>163</v>
      </c>
      <c r="P956">
        <v>6.5610273677449002E-3</v>
      </c>
      <c r="Q956" t="s">
        <v>154</v>
      </c>
      <c r="S956" t="s">
        <v>248</v>
      </c>
      <c r="T956" t="s">
        <v>163</v>
      </c>
      <c r="U956">
        <v>8.6226061002404129E-3</v>
      </c>
      <c r="V956" t="s">
        <v>154</v>
      </c>
    </row>
    <row r="957" spans="9:22" x14ac:dyDescent="0.25">
      <c r="I957" t="s">
        <v>187</v>
      </c>
      <c r="J957" t="s">
        <v>164</v>
      </c>
      <c r="K957">
        <v>1.7953939581738401E-3</v>
      </c>
      <c r="L957" t="s">
        <v>154</v>
      </c>
      <c r="N957" t="s">
        <v>217</v>
      </c>
      <c r="O957" t="s">
        <v>164</v>
      </c>
      <c r="P957">
        <v>1.2339301030902751E-3</v>
      </c>
      <c r="Q957" t="s">
        <v>154</v>
      </c>
      <c r="S957" t="s">
        <v>248</v>
      </c>
      <c r="T957" t="s">
        <v>164</v>
      </c>
      <c r="U957">
        <v>2.488207977462614E-3</v>
      </c>
      <c r="V957" t="s">
        <v>154</v>
      </c>
    </row>
    <row r="958" spans="9:22" x14ac:dyDescent="0.25">
      <c r="I958" t="s">
        <v>187</v>
      </c>
      <c r="J958" t="s">
        <v>165</v>
      </c>
      <c r="K958">
        <v>1.6027779617517515E-3</v>
      </c>
      <c r="L958" t="s">
        <v>154</v>
      </c>
      <c r="N958" t="s">
        <v>217</v>
      </c>
      <c r="O958" t="s">
        <v>165</v>
      </c>
      <c r="P958">
        <v>7.3337461176967351E-4</v>
      </c>
      <c r="Q958" t="s">
        <v>154</v>
      </c>
      <c r="S958" t="s">
        <v>248</v>
      </c>
      <c r="T958" t="s">
        <v>165</v>
      </c>
      <c r="U958">
        <v>1.2414140002203612E-3</v>
      </c>
      <c r="V958" t="s">
        <v>154</v>
      </c>
    </row>
    <row r="959" spans="9:22" x14ac:dyDescent="0.25">
      <c r="I959" t="s">
        <v>187</v>
      </c>
      <c r="J959" t="s">
        <v>289</v>
      </c>
      <c r="K959">
        <v>1.0796138538623837E-2</v>
      </c>
      <c r="L959" t="s">
        <v>154</v>
      </c>
      <c r="N959" t="s">
        <v>217</v>
      </c>
      <c r="O959" t="s">
        <v>289</v>
      </c>
      <c r="P959">
        <v>8.8606367920680325E-3</v>
      </c>
      <c r="Q959" t="s">
        <v>154</v>
      </c>
      <c r="S959" t="s">
        <v>248</v>
      </c>
      <c r="T959" t="s">
        <v>289</v>
      </c>
      <c r="U959">
        <v>8.4798899738202805E-3</v>
      </c>
      <c r="V959" t="s">
        <v>154</v>
      </c>
    </row>
    <row r="960" spans="9:22" x14ac:dyDescent="0.25">
      <c r="I960" t="s">
        <v>187</v>
      </c>
      <c r="J960" t="s">
        <v>290</v>
      </c>
      <c r="K960">
        <v>5.4145773035668297E-4</v>
      </c>
      <c r="L960" t="s">
        <v>154</v>
      </c>
      <c r="N960" t="s">
        <v>217</v>
      </c>
      <c r="O960" t="s">
        <v>290</v>
      </c>
      <c r="P960">
        <v>1.2739382059611497E-3</v>
      </c>
      <c r="Q960" t="s">
        <v>154</v>
      </c>
      <c r="S960" t="s">
        <v>248</v>
      </c>
      <c r="T960" t="s">
        <v>290</v>
      </c>
      <c r="U960">
        <v>1.2980291975209777E-3</v>
      </c>
      <c r="V960" t="s">
        <v>154</v>
      </c>
    </row>
    <row r="961" spans="9:22" x14ac:dyDescent="0.25">
      <c r="I961" t="s">
        <v>187</v>
      </c>
      <c r="J961" t="s">
        <v>317</v>
      </c>
      <c r="K961">
        <v>0</v>
      </c>
      <c r="L961" t="s">
        <v>154</v>
      </c>
      <c r="N961" t="s">
        <v>217</v>
      </c>
      <c r="O961" t="s">
        <v>317</v>
      </c>
      <c r="P961">
        <v>1.2421457546367008E-3</v>
      </c>
      <c r="Q961" t="s">
        <v>154</v>
      </c>
      <c r="S961" t="s">
        <v>248</v>
      </c>
      <c r="T961" t="s">
        <v>317</v>
      </c>
      <c r="U961">
        <v>1.3131404330899844E-3</v>
      </c>
      <c r="V961" t="s">
        <v>154</v>
      </c>
    </row>
    <row r="962" spans="9:22" x14ac:dyDescent="0.25">
      <c r="I962" t="s">
        <v>187</v>
      </c>
      <c r="J962" t="s">
        <v>318</v>
      </c>
      <c r="K962">
        <v>0</v>
      </c>
      <c r="L962" t="s">
        <v>154</v>
      </c>
      <c r="N962" t="s">
        <v>217</v>
      </c>
      <c r="O962" t="s">
        <v>318</v>
      </c>
      <c r="P962">
        <v>4.2681139703215744E-3</v>
      </c>
      <c r="Q962" t="s">
        <v>154</v>
      </c>
      <c r="S962" t="s">
        <v>248</v>
      </c>
      <c r="T962" t="s">
        <v>318</v>
      </c>
      <c r="U962">
        <v>6.4502127650360392E-3</v>
      </c>
      <c r="V962" t="s">
        <v>154</v>
      </c>
    </row>
    <row r="963" spans="9:22" x14ac:dyDescent="0.25">
      <c r="I963" t="s">
        <v>187</v>
      </c>
      <c r="J963" t="s">
        <v>297</v>
      </c>
      <c r="K963">
        <v>0</v>
      </c>
      <c r="L963" t="s">
        <v>154</v>
      </c>
      <c r="N963" t="s">
        <v>217</v>
      </c>
      <c r="O963" t="s">
        <v>297</v>
      </c>
      <c r="P963">
        <v>1.3744590831367032E-2</v>
      </c>
      <c r="Q963" t="s">
        <v>154</v>
      </c>
      <c r="S963" t="s">
        <v>248</v>
      </c>
      <c r="T963" t="s">
        <v>297</v>
      </c>
      <c r="U963">
        <v>2.1616887169263098E-2</v>
      </c>
      <c r="V963" t="s">
        <v>154</v>
      </c>
    </row>
    <row r="964" spans="9:22" x14ac:dyDescent="0.25">
      <c r="I964" t="s">
        <v>187</v>
      </c>
      <c r="J964" t="s">
        <v>298</v>
      </c>
      <c r="K964">
        <v>7.6755200747645469E-3</v>
      </c>
      <c r="L964" t="s">
        <v>154</v>
      </c>
      <c r="N964" t="s">
        <v>217</v>
      </c>
      <c r="O964" t="s">
        <v>298</v>
      </c>
      <c r="P964">
        <v>2.4075099860220582E-3</v>
      </c>
      <c r="Q964" t="s">
        <v>154</v>
      </c>
      <c r="S964" t="s">
        <v>248</v>
      </c>
      <c r="T964" t="s">
        <v>298</v>
      </c>
      <c r="U964">
        <v>5.4025833476751533E-3</v>
      </c>
      <c r="V964" t="s">
        <v>154</v>
      </c>
    </row>
    <row r="965" spans="9:22" x14ac:dyDescent="0.25">
      <c r="I965" t="s">
        <v>187</v>
      </c>
      <c r="J965" t="s">
        <v>299</v>
      </c>
      <c r="K965">
        <v>7.6767266538336279E-3</v>
      </c>
      <c r="L965" t="s">
        <v>154</v>
      </c>
      <c r="N965" t="s">
        <v>217</v>
      </c>
      <c r="O965" t="s">
        <v>299</v>
      </c>
      <c r="P965">
        <v>1.1588122214271786E-3</v>
      </c>
      <c r="Q965" t="s">
        <v>154</v>
      </c>
      <c r="S965" t="s">
        <v>248</v>
      </c>
      <c r="T965" t="s">
        <v>299</v>
      </c>
      <c r="U965">
        <v>2.919540484994469E-3</v>
      </c>
      <c r="V965" t="s">
        <v>154</v>
      </c>
    </row>
    <row r="966" spans="9:22" x14ac:dyDescent="0.25">
      <c r="I966" t="s">
        <v>187</v>
      </c>
      <c r="J966" t="s">
        <v>300</v>
      </c>
      <c r="K966">
        <v>5.0021248387172146E-2</v>
      </c>
      <c r="L966" t="s">
        <v>154</v>
      </c>
      <c r="N966" t="s">
        <v>217</v>
      </c>
      <c r="O966" t="s">
        <v>300</v>
      </c>
      <c r="P966">
        <v>1.6208095387143719E-2</v>
      </c>
      <c r="Q966" t="s">
        <v>154</v>
      </c>
      <c r="S966" t="s">
        <v>248</v>
      </c>
      <c r="T966" t="s">
        <v>300</v>
      </c>
      <c r="U966">
        <v>2.1612475557354998E-2</v>
      </c>
      <c r="V966" t="s">
        <v>154</v>
      </c>
    </row>
    <row r="967" spans="9:22" x14ac:dyDescent="0.25">
      <c r="I967" t="s">
        <v>187</v>
      </c>
      <c r="J967" t="s">
        <v>301</v>
      </c>
      <c r="K967">
        <v>1.1846655952476152E-3</v>
      </c>
      <c r="L967" t="s">
        <v>154</v>
      </c>
      <c r="N967" t="s">
        <v>217</v>
      </c>
      <c r="O967" t="s">
        <v>301</v>
      </c>
      <c r="P967">
        <v>2.0975904317452258E-3</v>
      </c>
      <c r="Q967" t="s">
        <v>154</v>
      </c>
      <c r="S967" t="s">
        <v>248</v>
      </c>
      <c r="T967" t="s">
        <v>301</v>
      </c>
      <c r="U967">
        <v>2.9763554279253496E-3</v>
      </c>
      <c r="V967" t="s">
        <v>154</v>
      </c>
    </row>
    <row r="968" spans="9:22" x14ac:dyDescent="0.25">
      <c r="I968" t="s">
        <v>187</v>
      </c>
      <c r="J968" t="s">
        <v>319</v>
      </c>
      <c r="K968">
        <v>0</v>
      </c>
      <c r="L968" t="s">
        <v>154</v>
      </c>
      <c r="N968" t="s">
        <v>217</v>
      </c>
      <c r="O968" t="s">
        <v>319</v>
      </c>
      <c r="P968">
        <v>2.2268816434371269E-3</v>
      </c>
      <c r="Q968" t="s">
        <v>154</v>
      </c>
      <c r="S968" t="s">
        <v>248</v>
      </c>
      <c r="T968" t="s">
        <v>319</v>
      </c>
      <c r="U968">
        <v>2.9083240444513548E-3</v>
      </c>
      <c r="V968" t="s">
        <v>154</v>
      </c>
    </row>
    <row r="969" spans="9:22" x14ac:dyDescent="0.25">
      <c r="I969" t="s">
        <v>187</v>
      </c>
      <c r="J969" t="s">
        <v>320</v>
      </c>
      <c r="K969">
        <v>0</v>
      </c>
      <c r="L969" t="s">
        <v>154</v>
      </c>
      <c r="N969" t="s">
        <v>217</v>
      </c>
      <c r="O969" t="s">
        <v>320</v>
      </c>
      <c r="P969">
        <v>1.0144289862805789E-2</v>
      </c>
      <c r="Q969" t="s">
        <v>154</v>
      </c>
      <c r="S969" t="s">
        <v>248</v>
      </c>
      <c r="T969" t="s">
        <v>320</v>
      </c>
      <c r="U969">
        <v>1.4593102040560343E-2</v>
      </c>
      <c r="V969" t="s">
        <v>154</v>
      </c>
    </row>
    <row r="970" spans="9:22" x14ac:dyDescent="0.25">
      <c r="I970" t="s">
        <v>187</v>
      </c>
      <c r="J970" t="s">
        <v>302</v>
      </c>
      <c r="K970">
        <v>0</v>
      </c>
      <c r="L970" t="s">
        <v>154</v>
      </c>
      <c r="N970" t="s">
        <v>217</v>
      </c>
      <c r="O970" t="s">
        <v>302</v>
      </c>
      <c r="P970">
        <v>4.3400438316294643E-2</v>
      </c>
      <c r="Q970" t="s">
        <v>154</v>
      </c>
      <c r="S970" t="s">
        <v>248</v>
      </c>
      <c r="T970" t="s">
        <v>302</v>
      </c>
      <c r="U970">
        <v>3.8521182348310305E-2</v>
      </c>
      <c r="V970" t="s">
        <v>154</v>
      </c>
    </row>
    <row r="971" spans="9:22" x14ac:dyDescent="0.25">
      <c r="I971" t="s">
        <v>187</v>
      </c>
      <c r="J971" t="s">
        <v>303</v>
      </c>
      <c r="K971">
        <v>5.5621520132459676E-3</v>
      </c>
      <c r="L971" t="s">
        <v>154</v>
      </c>
      <c r="N971" t="s">
        <v>217</v>
      </c>
      <c r="O971" t="s">
        <v>303</v>
      </c>
      <c r="P971">
        <v>8.1813026185052363E-3</v>
      </c>
      <c r="Q971" t="s">
        <v>154</v>
      </c>
      <c r="S971" t="s">
        <v>248</v>
      </c>
      <c r="T971" t="s">
        <v>303</v>
      </c>
      <c r="U971">
        <v>1.1374683144680623E-2</v>
      </c>
      <c r="V971" t="s">
        <v>154</v>
      </c>
    </row>
    <row r="972" spans="9:22" x14ac:dyDescent="0.25">
      <c r="I972" t="s">
        <v>187</v>
      </c>
      <c r="J972" t="s">
        <v>304</v>
      </c>
      <c r="K972">
        <v>9.0018049683957546E-3</v>
      </c>
      <c r="L972" t="s">
        <v>154</v>
      </c>
      <c r="N972" t="s">
        <v>217</v>
      </c>
      <c r="O972" t="s">
        <v>304</v>
      </c>
      <c r="P972">
        <v>3.8843662483721369E-3</v>
      </c>
      <c r="Q972" t="s">
        <v>154</v>
      </c>
      <c r="S972" t="s">
        <v>248</v>
      </c>
      <c r="T972" t="s">
        <v>304</v>
      </c>
      <c r="U972">
        <v>5.8665185649812955E-3</v>
      </c>
      <c r="V972" t="s">
        <v>154</v>
      </c>
    </row>
    <row r="973" spans="9:22" x14ac:dyDescent="0.25">
      <c r="I973" t="s">
        <v>187</v>
      </c>
      <c r="J973" t="s">
        <v>305</v>
      </c>
      <c r="K973">
        <v>6.4520418667558865E-2</v>
      </c>
      <c r="L973" t="s">
        <v>154</v>
      </c>
      <c r="N973" t="s">
        <v>217</v>
      </c>
      <c r="O973" t="s">
        <v>305</v>
      </c>
      <c r="P973">
        <v>5.2144121862521021E-2</v>
      </c>
      <c r="Q973" t="s">
        <v>154</v>
      </c>
      <c r="S973" t="s">
        <v>248</v>
      </c>
      <c r="T973" t="s">
        <v>305</v>
      </c>
      <c r="U973">
        <v>4.0772898945304295E-2</v>
      </c>
      <c r="V973" t="s">
        <v>154</v>
      </c>
    </row>
    <row r="974" spans="9:22" x14ac:dyDescent="0.25">
      <c r="I974" t="s">
        <v>187</v>
      </c>
      <c r="J974" t="s">
        <v>306</v>
      </c>
      <c r="K974">
        <v>2.4520967230344482E-5</v>
      </c>
      <c r="L974" t="s">
        <v>154</v>
      </c>
      <c r="N974" t="s">
        <v>217</v>
      </c>
      <c r="O974" t="s">
        <v>306</v>
      </c>
      <c r="P974">
        <v>7.4057899482774707E-3</v>
      </c>
      <c r="Q974" t="s">
        <v>154</v>
      </c>
      <c r="S974" t="s">
        <v>248</v>
      </c>
      <c r="T974" t="s">
        <v>306</v>
      </c>
      <c r="U974">
        <v>5.784380441697619E-3</v>
      </c>
      <c r="V974" t="s">
        <v>154</v>
      </c>
    </row>
    <row r="975" spans="9:22" x14ac:dyDescent="0.25">
      <c r="I975" t="s">
        <v>187</v>
      </c>
      <c r="J975" t="s">
        <v>321</v>
      </c>
      <c r="K975">
        <v>0</v>
      </c>
      <c r="L975" t="s">
        <v>154</v>
      </c>
      <c r="N975" t="s">
        <v>217</v>
      </c>
      <c r="O975" t="s">
        <v>321</v>
      </c>
      <c r="P975">
        <v>7.2131588039079904E-3</v>
      </c>
      <c r="Q975" t="s">
        <v>154</v>
      </c>
      <c r="S975" t="s">
        <v>248</v>
      </c>
      <c r="T975" t="s">
        <v>321</v>
      </c>
      <c r="U975">
        <v>5.7514380469642495E-3</v>
      </c>
      <c r="V975" t="s">
        <v>154</v>
      </c>
    </row>
    <row r="976" spans="9:22" x14ac:dyDescent="0.25">
      <c r="I976" t="s">
        <v>187</v>
      </c>
      <c r="J976" t="s">
        <v>322</v>
      </c>
      <c r="K976">
        <v>0</v>
      </c>
      <c r="L976" t="s">
        <v>154</v>
      </c>
      <c r="N976" t="s">
        <v>217</v>
      </c>
      <c r="O976" t="s">
        <v>322</v>
      </c>
      <c r="P976">
        <v>3.0605760097530538E-2</v>
      </c>
      <c r="Q976" t="s">
        <v>154</v>
      </c>
      <c r="S976" t="s">
        <v>248</v>
      </c>
      <c r="T976" t="s">
        <v>322</v>
      </c>
      <c r="U976">
        <v>2.8654609050838435E-2</v>
      </c>
      <c r="V976" t="s">
        <v>154</v>
      </c>
    </row>
    <row r="977" spans="9:22" x14ac:dyDescent="0.25">
      <c r="I977" t="s">
        <v>188</v>
      </c>
      <c r="J977" t="s">
        <v>153</v>
      </c>
      <c r="K977">
        <v>0</v>
      </c>
      <c r="L977" t="s">
        <v>154</v>
      </c>
      <c r="N977" t="s">
        <v>218</v>
      </c>
      <c r="O977" t="s">
        <v>153</v>
      </c>
      <c r="P977">
        <v>4.0789552068287376E-2</v>
      </c>
      <c r="Q977" t="s">
        <v>154</v>
      </c>
      <c r="S977" t="s">
        <v>249</v>
      </c>
      <c r="T977" t="s">
        <v>153</v>
      </c>
      <c r="U977">
        <v>3.6439967877133529E-2</v>
      </c>
      <c r="V977" t="s">
        <v>154</v>
      </c>
    </row>
    <row r="978" spans="9:22" x14ac:dyDescent="0.25">
      <c r="I978" t="s">
        <v>188</v>
      </c>
      <c r="J978" t="s">
        <v>155</v>
      </c>
      <c r="K978">
        <v>3.1866466019223115E-3</v>
      </c>
      <c r="L978" t="s">
        <v>154</v>
      </c>
      <c r="N978" t="s">
        <v>218</v>
      </c>
      <c r="O978" t="s">
        <v>155</v>
      </c>
      <c r="P978">
        <v>9.018888601298505E-3</v>
      </c>
      <c r="Q978" t="s">
        <v>154</v>
      </c>
      <c r="S978" t="s">
        <v>249</v>
      </c>
      <c r="T978" t="s">
        <v>155</v>
      </c>
      <c r="U978">
        <v>1.1029140520594956E-2</v>
      </c>
      <c r="V978" t="s">
        <v>154</v>
      </c>
    </row>
    <row r="979" spans="9:22" x14ac:dyDescent="0.25">
      <c r="I979" t="s">
        <v>188</v>
      </c>
      <c r="J979" t="s">
        <v>156</v>
      </c>
      <c r="K979">
        <v>5.6879027308155252E-3</v>
      </c>
      <c r="L979" t="s">
        <v>154</v>
      </c>
      <c r="N979" t="s">
        <v>218</v>
      </c>
      <c r="O979" t="s">
        <v>156</v>
      </c>
      <c r="P979">
        <v>4.8927423435326167E-3</v>
      </c>
      <c r="Q979" t="s">
        <v>154</v>
      </c>
      <c r="S979" t="s">
        <v>249</v>
      </c>
      <c r="T979" t="s">
        <v>156</v>
      </c>
      <c r="U979">
        <v>5.5437085877759092E-3</v>
      </c>
      <c r="V979" t="s">
        <v>154</v>
      </c>
    </row>
    <row r="980" spans="9:22" x14ac:dyDescent="0.25">
      <c r="I980" t="s">
        <v>188</v>
      </c>
      <c r="J980" t="s">
        <v>283</v>
      </c>
      <c r="K980">
        <v>5.5450802162619453E-2</v>
      </c>
      <c r="L980" t="s">
        <v>154</v>
      </c>
      <c r="N980" t="s">
        <v>218</v>
      </c>
      <c r="O980" t="s">
        <v>283</v>
      </c>
      <c r="P980">
        <v>6.2068967619639127E-2</v>
      </c>
      <c r="Q980" t="s">
        <v>154</v>
      </c>
      <c r="S980" t="s">
        <v>249</v>
      </c>
      <c r="T980" t="s">
        <v>283</v>
      </c>
      <c r="U980">
        <v>3.727125518385363E-2</v>
      </c>
      <c r="V980" t="s">
        <v>154</v>
      </c>
    </row>
    <row r="981" spans="9:22" x14ac:dyDescent="0.25">
      <c r="I981" t="s">
        <v>188</v>
      </c>
      <c r="J981" t="s">
        <v>284</v>
      </c>
      <c r="K981">
        <v>2.3044235788469715E-3</v>
      </c>
      <c r="L981" t="s">
        <v>154</v>
      </c>
      <c r="N981" t="s">
        <v>218</v>
      </c>
      <c r="O981" t="s">
        <v>284</v>
      </c>
      <c r="P981">
        <v>7.0769716819319402E-3</v>
      </c>
      <c r="Q981" t="s">
        <v>154</v>
      </c>
      <c r="S981" t="s">
        <v>249</v>
      </c>
      <c r="T981" t="s">
        <v>284</v>
      </c>
      <c r="U981">
        <v>5.0550896901251597E-3</v>
      </c>
      <c r="V981" t="s">
        <v>154</v>
      </c>
    </row>
    <row r="982" spans="9:22" x14ac:dyDescent="0.25">
      <c r="I982" t="s">
        <v>188</v>
      </c>
      <c r="J982" t="s">
        <v>311</v>
      </c>
      <c r="K982">
        <v>0</v>
      </c>
      <c r="L982" t="s">
        <v>154</v>
      </c>
      <c r="N982" t="s">
        <v>218</v>
      </c>
      <c r="O982" t="s">
        <v>311</v>
      </c>
      <c r="P982">
        <v>6.5507277575343166E-3</v>
      </c>
      <c r="Q982" t="s">
        <v>154</v>
      </c>
      <c r="S982" t="s">
        <v>249</v>
      </c>
      <c r="T982" t="s">
        <v>311</v>
      </c>
      <c r="U982">
        <v>5.0548934960096626E-3</v>
      </c>
      <c r="V982" t="s">
        <v>154</v>
      </c>
    </row>
    <row r="983" spans="9:22" x14ac:dyDescent="0.25">
      <c r="I983" t="s">
        <v>188</v>
      </c>
      <c r="J983" t="s">
        <v>312</v>
      </c>
      <c r="K983">
        <v>0</v>
      </c>
      <c r="L983" t="s">
        <v>154</v>
      </c>
      <c r="N983" t="s">
        <v>218</v>
      </c>
      <c r="O983" t="s">
        <v>312</v>
      </c>
      <c r="P983">
        <v>2.6204048866378032E-2</v>
      </c>
      <c r="Q983" t="s">
        <v>154</v>
      </c>
      <c r="S983" t="s">
        <v>249</v>
      </c>
      <c r="T983" t="s">
        <v>312</v>
      </c>
      <c r="U983">
        <v>2.5325969260534764E-2</v>
      </c>
      <c r="V983" t="s">
        <v>154</v>
      </c>
    </row>
    <row r="984" spans="9:22" x14ac:dyDescent="0.25">
      <c r="I984" t="s">
        <v>188</v>
      </c>
      <c r="J984" t="s">
        <v>157</v>
      </c>
      <c r="K984">
        <v>0</v>
      </c>
      <c r="L984" t="s">
        <v>154</v>
      </c>
      <c r="N984" t="s">
        <v>218</v>
      </c>
      <c r="O984" t="s">
        <v>157</v>
      </c>
      <c r="P984">
        <v>1.0879794980820002E-2</v>
      </c>
      <c r="Q984" t="s">
        <v>154</v>
      </c>
      <c r="S984" t="s">
        <v>249</v>
      </c>
      <c r="T984" t="s">
        <v>157</v>
      </c>
      <c r="U984">
        <v>6.1166988389418954E-3</v>
      </c>
      <c r="V984" t="s">
        <v>154</v>
      </c>
    </row>
    <row r="985" spans="9:22" x14ac:dyDescent="0.25">
      <c r="I985" t="s">
        <v>188</v>
      </c>
      <c r="J985" t="s">
        <v>158</v>
      </c>
      <c r="K985">
        <v>6.3341041794001891E-4</v>
      </c>
      <c r="L985" t="s">
        <v>154</v>
      </c>
      <c r="N985" t="s">
        <v>218</v>
      </c>
      <c r="O985" t="s">
        <v>158</v>
      </c>
      <c r="P985">
        <v>2.8790317156400544E-3</v>
      </c>
      <c r="Q985" t="s">
        <v>154</v>
      </c>
      <c r="S985" t="s">
        <v>249</v>
      </c>
      <c r="T985" t="s">
        <v>158</v>
      </c>
      <c r="U985">
        <v>1.3885514711437274E-3</v>
      </c>
      <c r="V985" t="s">
        <v>154</v>
      </c>
    </row>
    <row r="986" spans="9:22" x14ac:dyDescent="0.25">
      <c r="I986" t="s">
        <v>188</v>
      </c>
      <c r="J986" t="s">
        <v>159</v>
      </c>
      <c r="K986">
        <v>1.3404240291023856E-3</v>
      </c>
      <c r="L986" t="s">
        <v>154</v>
      </c>
      <c r="N986" t="s">
        <v>218</v>
      </c>
      <c r="O986" t="s">
        <v>159</v>
      </c>
      <c r="P986">
        <v>1.7082762185922644E-3</v>
      </c>
      <c r="Q986" t="s">
        <v>154</v>
      </c>
      <c r="S986" t="s">
        <v>249</v>
      </c>
      <c r="T986" t="s">
        <v>159</v>
      </c>
      <c r="U986">
        <v>7.6744973390591035E-4</v>
      </c>
      <c r="V986" t="s">
        <v>154</v>
      </c>
    </row>
    <row r="987" spans="9:22" x14ac:dyDescent="0.25">
      <c r="I987" t="s">
        <v>188</v>
      </c>
      <c r="J987" t="s">
        <v>285</v>
      </c>
      <c r="K987">
        <v>1.653716071015137E-2</v>
      </c>
      <c r="L987" t="s">
        <v>154</v>
      </c>
      <c r="N987" t="s">
        <v>218</v>
      </c>
      <c r="O987" t="s">
        <v>285</v>
      </c>
      <c r="P987">
        <v>1.5360660325335939E-2</v>
      </c>
      <c r="Q987" t="s">
        <v>154</v>
      </c>
      <c r="S987" t="s">
        <v>249</v>
      </c>
      <c r="T987" t="s">
        <v>285</v>
      </c>
      <c r="U987">
        <v>6.1411522974403323E-3</v>
      </c>
      <c r="V987" t="s">
        <v>154</v>
      </c>
    </row>
    <row r="988" spans="9:22" x14ac:dyDescent="0.25">
      <c r="I988" t="s">
        <v>188</v>
      </c>
      <c r="J988" t="s">
        <v>286</v>
      </c>
      <c r="K988">
        <v>1.2353462263652814E-3</v>
      </c>
      <c r="L988" t="s">
        <v>154</v>
      </c>
      <c r="N988" t="s">
        <v>218</v>
      </c>
      <c r="O988" t="s">
        <v>286</v>
      </c>
      <c r="P988">
        <v>1.7372004249806181E-3</v>
      </c>
      <c r="Q988" t="s">
        <v>154</v>
      </c>
      <c r="S988" t="s">
        <v>249</v>
      </c>
      <c r="T988" t="s">
        <v>286</v>
      </c>
      <c r="U988">
        <v>7.7474059549538542E-4</v>
      </c>
      <c r="V988" t="s">
        <v>154</v>
      </c>
    </row>
    <row r="989" spans="9:22" x14ac:dyDescent="0.25">
      <c r="I989" t="s">
        <v>188</v>
      </c>
      <c r="J989" t="s">
        <v>313</v>
      </c>
      <c r="K989">
        <v>0</v>
      </c>
      <c r="L989" t="s">
        <v>154</v>
      </c>
      <c r="N989" t="s">
        <v>218</v>
      </c>
      <c r="O989" t="s">
        <v>313</v>
      </c>
      <c r="P989">
        <v>1.6591367146251016E-3</v>
      </c>
      <c r="Q989" t="s">
        <v>154</v>
      </c>
      <c r="S989" t="s">
        <v>249</v>
      </c>
      <c r="T989" t="s">
        <v>313</v>
      </c>
      <c r="U989">
        <v>7.3516192867107474E-4</v>
      </c>
      <c r="V989" t="s">
        <v>154</v>
      </c>
    </row>
    <row r="990" spans="9:22" x14ac:dyDescent="0.25">
      <c r="I990" t="s">
        <v>188</v>
      </c>
      <c r="J990" t="s">
        <v>314</v>
      </c>
      <c r="K990">
        <v>0</v>
      </c>
      <c r="L990" t="s">
        <v>154</v>
      </c>
      <c r="N990" t="s">
        <v>218</v>
      </c>
      <c r="O990" t="s">
        <v>314</v>
      </c>
      <c r="P990">
        <v>6.9983524729974947E-3</v>
      </c>
      <c r="Q990" t="s">
        <v>154</v>
      </c>
      <c r="S990" t="s">
        <v>249</v>
      </c>
      <c r="T990" t="s">
        <v>314</v>
      </c>
      <c r="U990">
        <v>3.4740936699919479E-3</v>
      </c>
      <c r="V990" t="s">
        <v>154</v>
      </c>
    </row>
    <row r="991" spans="9:22" x14ac:dyDescent="0.25">
      <c r="I991" t="s">
        <v>188</v>
      </c>
      <c r="J991" t="s">
        <v>160</v>
      </c>
      <c r="K991">
        <v>1.0843258097927966E-2</v>
      </c>
      <c r="L991" t="s">
        <v>154</v>
      </c>
      <c r="N991" t="s">
        <v>218</v>
      </c>
      <c r="O991" t="s">
        <v>160</v>
      </c>
      <c r="P991">
        <v>0.14462545219243042</v>
      </c>
      <c r="Q991" t="s">
        <v>154</v>
      </c>
      <c r="S991" t="s">
        <v>249</v>
      </c>
      <c r="T991" t="s">
        <v>160</v>
      </c>
      <c r="U991">
        <v>0.17620388801119236</v>
      </c>
      <c r="V991" t="s">
        <v>154</v>
      </c>
    </row>
    <row r="992" spans="9:22" x14ac:dyDescent="0.25">
      <c r="I992" t="s">
        <v>188</v>
      </c>
      <c r="J992" t="s">
        <v>161</v>
      </c>
      <c r="K992">
        <v>8.3567158013042583E-2</v>
      </c>
      <c r="L992" t="s">
        <v>154</v>
      </c>
      <c r="N992" t="s">
        <v>218</v>
      </c>
      <c r="O992" t="s">
        <v>161</v>
      </c>
      <c r="P992">
        <v>3.4603138844029005E-2</v>
      </c>
      <c r="Q992" t="s">
        <v>154</v>
      </c>
      <c r="S992" t="s">
        <v>249</v>
      </c>
      <c r="T992" t="s">
        <v>161</v>
      </c>
      <c r="U992">
        <v>4.4544707928666973E-2</v>
      </c>
      <c r="V992" t="s">
        <v>154</v>
      </c>
    </row>
    <row r="993" spans="9:22" x14ac:dyDescent="0.25">
      <c r="I993" t="s">
        <v>188</v>
      </c>
      <c r="J993" t="s">
        <v>162</v>
      </c>
      <c r="K993">
        <v>6.8573038562313476E-2</v>
      </c>
      <c r="L993" t="s">
        <v>154</v>
      </c>
      <c r="N993" t="s">
        <v>218</v>
      </c>
      <c r="O993" t="s">
        <v>162</v>
      </c>
      <c r="P993">
        <v>2.2760646871992002E-2</v>
      </c>
      <c r="Q993" t="s">
        <v>154</v>
      </c>
      <c r="S993" t="s">
        <v>249</v>
      </c>
      <c r="T993" t="s">
        <v>162</v>
      </c>
      <c r="U993">
        <v>2.3160264809712696E-2</v>
      </c>
      <c r="V993" t="s">
        <v>154</v>
      </c>
    </row>
    <row r="994" spans="9:22" x14ac:dyDescent="0.25">
      <c r="I994" t="s">
        <v>188</v>
      </c>
      <c r="J994" t="s">
        <v>287</v>
      </c>
      <c r="K994">
        <v>0.54983319589022617</v>
      </c>
      <c r="L994" t="s">
        <v>154</v>
      </c>
      <c r="N994" t="s">
        <v>218</v>
      </c>
      <c r="O994" t="s">
        <v>287</v>
      </c>
      <c r="P994">
        <v>0.22982408425999368</v>
      </c>
      <c r="Q994" t="s">
        <v>154</v>
      </c>
      <c r="S994" t="s">
        <v>249</v>
      </c>
      <c r="T994" t="s">
        <v>287</v>
      </c>
      <c r="U994">
        <v>0.17710011526859187</v>
      </c>
      <c r="V994" t="s">
        <v>154</v>
      </c>
    </row>
    <row r="995" spans="9:22" x14ac:dyDescent="0.25">
      <c r="I995" t="s">
        <v>188</v>
      </c>
      <c r="J995" t="s">
        <v>288</v>
      </c>
      <c r="K995">
        <v>4.5562208741117063E-2</v>
      </c>
      <c r="L995" t="s">
        <v>154</v>
      </c>
      <c r="N995" t="s">
        <v>218</v>
      </c>
      <c r="O995" t="s">
        <v>288</v>
      </c>
      <c r="P995">
        <v>2.7552191738486609E-2</v>
      </c>
      <c r="Q995" t="s">
        <v>154</v>
      </c>
      <c r="S995" t="s">
        <v>249</v>
      </c>
      <c r="T995" t="s">
        <v>288</v>
      </c>
      <c r="U995">
        <v>2.7033821212534722E-2</v>
      </c>
      <c r="V995" t="s">
        <v>154</v>
      </c>
    </row>
    <row r="996" spans="9:22" x14ac:dyDescent="0.25">
      <c r="I996" t="s">
        <v>188</v>
      </c>
      <c r="J996" t="s">
        <v>315</v>
      </c>
      <c r="K996">
        <v>2.3884463470643932E-2</v>
      </c>
      <c r="L996" t="s">
        <v>154</v>
      </c>
      <c r="N996" t="s">
        <v>218</v>
      </c>
      <c r="O996" t="s">
        <v>315</v>
      </c>
      <c r="P996">
        <v>2.4933369073113214E-2</v>
      </c>
      <c r="Q996" t="s">
        <v>154</v>
      </c>
      <c r="S996" t="s">
        <v>249</v>
      </c>
      <c r="T996" t="s">
        <v>315</v>
      </c>
      <c r="U996">
        <v>2.6968454158165147E-2</v>
      </c>
      <c r="V996" t="s">
        <v>154</v>
      </c>
    </row>
    <row r="997" spans="9:22" x14ac:dyDescent="0.25">
      <c r="I997" t="s">
        <v>188</v>
      </c>
      <c r="J997" t="s">
        <v>316</v>
      </c>
      <c r="K997">
        <v>5.0150212590054635E-3</v>
      </c>
      <c r="L997" t="s">
        <v>154</v>
      </c>
      <c r="N997" t="s">
        <v>218</v>
      </c>
      <c r="O997" t="s">
        <v>316</v>
      </c>
      <c r="P997">
        <v>9.9613142908445682E-2</v>
      </c>
      <c r="Q997" t="s">
        <v>154</v>
      </c>
      <c r="S997" t="s">
        <v>249</v>
      </c>
      <c r="T997" t="s">
        <v>316</v>
      </c>
      <c r="U997">
        <v>0.12415985297888042</v>
      </c>
      <c r="V997" t="s">
        <v>154</v>
      </c>
    </row>
    <row r="998" spans="9:22" x14ac:dyDescent="0.25">
      <c r="I998" t="s">
        <v>188</v>
      </c>
      <c r="J998" t="s">
        <v>163</v>
      </c>
      <c r="K998">
        <v>0</v>
      </c>
      <c r="L998" t="s">
        <v>154</v>
      </c>
      <c r="N998" t="s">
        <v>218</v>
      </c>
      <c r="O998" t="s">
        <v>163</v>
      </c>
      <c r="P998">
        <v>8.0960065093590161E-3</v>
      </c>
      <c r="Q998" t="s">
        <v>154</v>
      </c>
      <c r="S998" t="s">
        <v>249</v>
      </c>
      <c r="T998" t="s">
        <v>163</v>
      </c>
      <c r="U998">
        <v>8.7898828360805266E-3</v>
      </c>
      <c r="V998" t="s">
        <v>154</v>
      </c>
    </row>
    <row r="999" spans="9:22" x14ac:dyDescent="0.25">
      <c r="I999" t="s">
        <v>188</v>
      </c>
      <c r="J999" t="s">
        <v>164</v>
      </c>
      <c r="K999">
        <v>1.6723453863366946E-3</v>
      </c>
      <c r="L999" t="s">
        <v>154</v>
      </c>
      <c r="N999" t="s">
        <v>218</v>
      </c>
      <c r="O999" t="s">
        <v>164</v>
      </c>
      <c r="P999">
        <v>1.3850351156182346E-3</v>
      </c>
      <c r="Q999" t="s">
        <v>154</v>
      </c>
      <c r="S999" t="s">
        <v>249</v>
      </c>
      <c r="T999" t="s">
        <v>164</v>
      </c>
      <c r="U999">
        <v>2.3934302205635199E-3</v>
      </c>
      <c r="V999" t="s">
        <v>154</v>
      </c>
    </row>
    <row r="1000" spans="9:22" x14ac:dyDescent="0.25">
      <c r="I1000" t="s">
        <v>188</v>
      </c>
      <c r="J1000" t="s">
        <v>165</v>
      </c>
      <c r="K1000">
        <v>1.7977417667996911E-3</v>
      </c>
      <c r="L1000" t="s">
        <v>154</v>
      </c>
      <c r="N1000" t="s">
        <v>218</v>
      </c>
      <c r="O1000" t="s">
        <v>165</v>
      </c>
      <c r="P1000">
        <v>9.3031674141568323E-4</v>
      </c>
      <c r="Q1000" t="s">
        <v>154</v>
      </c>
      <c r="S1000" t="s">
        <v>249</v>
      </c>
      <c r="T1000" t="s">
        <v>165</v>
      </c>
      <c r="U1000">
        <v>1.1514886611896766E-3</v>
      </c>
      <c r="V1000" t="s">
        <v>154</v>
      </c>
    </row>
    <row r="1001" spans="9:22" x14ac:dyDescent="0.25">
      <c r="I1001" t="s">
        <v>188</v>
      </c>
      <c r="J1001" t="s">
        <v>289</v>
      </c>
      <c r="K1001">
        <v>1.4886914350471857E-2</v>
      </c>
      <c r="L1001" t="s">
        <v>154</v>
      </c>
      <c r="N1001" t="s">
        <v>218</v>
      </c>
      <c r="O1001" t="s">
        <v>289</v>
      </c>
      <c r="P1001">
        <v>1.007214750305447E-2</v>
      </c>
      <c r="Q1001" t="s">
        <v>154</v>
      </c>
      <c r="S1001" t="s">
        <v>249</v>
      </c>
      <c r="T1001" t="s">
        <v>289</v>
      </c>
      <c r="U1001">
        <v>7.4444938231511453E-3</v>
      </c>
      <c r="V1001" t="s">
        <v>154</v>
      </c>
    </row>
    <row r="1002" spans="9:22" x14ac:dyDescent="0.25">
      <c r="I1002" t="s">
        <v>188</v>
      </c>
      <c r="J1002" t="s">
        <v>290</v>
      </c>
      <c r="K1002">
        <v>8.0018343658191016E-4</v>
      </c>
      <c r="L1002" t="s">
        <v>154</v>
      </c>
      <c r="N1002" t="s">
        <v>218</v>
      </c>
      <c r="O1002" t="s">
        <v>290</v>
      </c>
      <c r="P1002">
        <v>1.477514374278073E-3</v>
      </c>
      <c r="Q1002" t="s">
        <v>154</v>
      </c>
      <c r="S1002" t="s">
        <v>249</v>
      </c>
      <c r="T1002" t="s">
        <v>290</v>
      </c>
      <c r="U1002">
        <v>1.1266621348506721E-3</v>
      </c>
      <c r="V1002" t="s">
        <v>154</v>
      </c>
    </row>
    <row r="1003" spans="9:22" x14ac:dyDescent="0.25">
      <c r="I1003" t="s">
        <v>188</v>
      </c>
      <c r="J1003" t="s">
        <v>317</v>
      </c>
      <c r="K1003">
        <v>0</v>
      </c>
      <c r="L1003" t="s">
        <v>154</v>
      </c>
      <c r="N1003" t="s">
        <v>218</v>
      </c>
      <c r="O1003" t="s">
        <v>317</v>
      </c>
      <c r="P1003">
        <v>1.5056832369393968E-3</v>
      </c>
      <c r="Q1003" t="s">
        <v>154</v>
      </c>
      <c r="S1003" t="s">
        <v>249</v>
      </c>
      <c r="T1003" t="s">
        <v>317</v>
      </c>
      <c r="U1003">
        <v>1.2008773230367689E-3</v>
      </c>
      <c r="V1003" t="s">
        <v>154</v>
      </c>
    </row>
    <row r="1004" spans="9:22" x14ac:dyDescent="0.25">
      <c r="I1004" t="s">
        <v>188</v>
      </c>
      <c r="J1004" t="s">
        <v>318</v>
      </c>
      <c r="K1004">
        <v>0</v>
      </c>
      <c r="L1004" t="s">
        <v>154</v>
      </c>
      <c r="N1004" t="s">
        <v>218</v>
      </c>
      <c r="O1004" t="s">
        <v>318</v>
      </c>
      <c r="P1004">
        <v>5.7894524660222066E-3</v>
      </c>
      <c r="Q1004" t="s">
        <v>154</v>
      </c>
      <c r="S1004" t="s">
        <v>249</v>
      </c>
      <c r="T1004" t="s">
        <v>318</v>
      </c>
      <c r="U1004">
        <v>6.7087544742954613E-3</v>
      </c>
      <c r="V1004" t="s">
        <v>154</v>
      </c>
    </row>
    <row r="1005" spans="9:22" x14ac:dyDescent="0.25">
      <c r="I1005" t="s">
        <v>188</v>
      </c>
      <c r="J1005" t="s">
        <v>297</v>
      </c>
      <c r="K1005">
        <v>0</v>
      </c>
      <c r="L1005" t="s">
        <v>154</v>
      </c>
      <c r="N1005" t="s">
        <v>218</v>
      </c>
      <c r="O1005" t="s">
        <v>297</v>
      </c>
      <c r="P1005">
        <v>1.6334742859435571E-2</v>
      </c>
      <c r="Q1005" t="s">
        <v>154</v>
      </c>
      <c r="S1005" t="s">
        <v>249</v>
      </c>
      <c r="T1005" t="s">
        <v>297</v>
      </c>
      <c r="U1005">
        <v>2.3152182150683629E-2</v>
      </c>
      <c r="V1005" t="s">
        <v>154</v>
      </c>
    </row>
    <row r="1006" spans="9:22" x14ac:dyDescent="0.25">
      <c r="I1006" t="s">
        <v>188</v>
      </c>
      <c r="J1006" t="s">
        <v>298</v>
      </c>
      <c r="K1006">
        <v>4.6735162867352995E-3</v>
      </c>
      <c r="L1006" t="s">
        <v>154</v>
      </c>
      <c r="N1006" t="s">
        <v>218</v>
      </c>
      <c r="O1006" t="s">
        <v>298</v>
      </c>
      <c r="P1006">
        <v>2.7230292112686047E-3</v>
      </c>
      <c r="Q1006" t="s">
        <v>154</v>
      </c>
      <c r="S1006" t="s">
        <v>249</v>
      </c>
      <c r="T1006" t="s">
        <v>298</v>
      </c>
      <c r="U1006">
        <v>5.941045064448266E-3</v>
      </c>
      <c r="V1006" t="s">
        <v>154</v>
      </c>
    </row>
    <row r="1007" spans="9:22" x14ac:dyDescent="0.25">
      <c r="I1007" t="s">
        <v>188</v>
      </c>
      <c r="J1007" t="s">
        <v>299</v>
      </c>
      <c r="K1007">
        <v>5.580798779585755E-3</v>
      </c>
      <c r="L1007" t="s">
        <v>154</v>
      </c>
      <c r="N1007" t="s">
        <v>218</v>
      </c>
      <c r="O1007" t="s">
        <v>299</v>
      </c>
      <c r="P1007">
        <v>1.6365280716684838E-3</v>
      </c>
      <c r="Q1007" t="s">
        <v>154</v>
      </c>
      <c r="S1007" t="s">
        <v>249</v>
      </c>
      <c r="T1007" t="s">
        <v>299</v>
      </c>
      <c r="U1007">
        <v>3.2333626478918661E-3</v>
      </c>
      <c r="V1007" t="s">
        <v>154</v>
      </c>
    </row>
    <row r="1008" spans="9:22" x14ac:dyDescent="0.25">
      <c r="I1008" t="s">
        <v>188</v>
      </c>
      <c r="J1008" t="s">
        <v>300</v>
      </c>
      <c r="K1008">
        <v>4.3592698390197124E-2</v>
      </c>
      <c r="L1008" t="s">
        <v>154</v>
      </c>
      <c r="N1008" t="s">
        <v>218</v>
      </c>
      <c r="O1008" t="s">
        <v>300</v>
      </c>
      <c r="P1008">
        <v>2.1268372538526325E-2</v>
      </c>
      <c r="Q1008" t="s">
        <v>154</v>
      </c>
      <c r="S1008" t="s">
        <v>249</v>
      </c>
      <c r="T1008" t="s">
        <v>300</v>
      </c>
      <c r="U1008">
        <v>2.2873523867097158E-2</v>
      </c>
      <c r="V1008" t="s">
        <v>154</v>
      </c>
    </row>
    <row r="1009" spans="9:22" x14ac:dyDescent="0.25">
      <c r="I1009" t="s">
        <v>188</v>
      </c>
      <c r="J1009" t="s">
        <v>301</v>
      </c>
      <c r="K1009">
        <v>1.0262606466014718E-3</v>
      </c>
      <c r="L1009" t="s">
        <v>154</v>
      </c>
      <c r="N1009" t="s">
        <v>218</v>
      </c>
      <c r="O1009" t="s">
        <v>301</v>
      </c>
      <c r="P1009">
        <v>2.5860119097335303E-3</v>
      </c>
      <c r="Q1009" t="s">
        <v>154</v>
      </c>
      <c r="S1009" t="s">
        <v>249</v>
      </c>
      <c r="T1009" t="s">
        <v>301</v>
      </c>
      <c r="U1009">
        <v>3.1532571270157217E-3</v>
      </c>
      <c r="V1009" t="s">
        <v>154</v>
      </c>
    </row>
    <row r="1010" spans="9:22" x14ac:dyDescent="0.25">
      <c r="I1010" t="s">
        <v>188</v>
      </c>
      <c r="J1010" t="s">
        <v>319</v>
      </c>
      <c r="K1010">
        <v>0</v>
      </c>
      <c r="L1010" t="s">
        <v>154</v>
      </c>
      <c r="N1010" t="s">
        <v>218</v>
      </c>
      <c r="O1010" t="s">
        <v>319</v>
      </c>
      <c r="P1010">
        <v>2.5113273234926977E-3</v>
      </c>
      <c r="Q1010" t="s">
        <v>154</v>
      </c>
      <c r="S1010" t="s">
        <v>249</v>
      </c>
      <c r="T1010" t="s">
        <v>319</v>
      </c>
      <c r="U1010">
        <v>3.1535320954081628E-3</v>
      </c>
      <c r="V1010" t="s">
        <v>154</v>
      </c>
    </row>
    <row r="1011" spans="9:22" x14ac:dyDescent="0.25">
      <c r="I1011" t="s">
        <v>188</v>
      </c>
      <c r="J1011" t="s">
        <v>320</v>
      </c>
      <c r="K1011">
        <v>0</v>
      </c>
      <c r="L1011" t="s">
        <v>154</v>
      </c>
      <c r="N1011" t="s">
        <v>218</v>
      </c>
      <c r="O1011" t="s">
        <v>320</v>
      </c>
      <c r="P1011">
        <v>1.1671965937693334E-2</v>
      </c>
      <c r="Q1011" t="s">
        <v>154</v>
      </c>
      <c r="S1011" t="s">
        <v>249</v>
      </c>
      <c r="T1011" t="s">
        <v>320</v>
      </c>
      <c r="U1011">
        <v>1.6637016948790277E-2</v>
      </c>
      <c r="V1011" t="s">
        <v>154</v>
      </c>
    </row>
    <row r="1012" spans="9:22" x14ac:dyDescent="0.25">
      <c r="I1012" t="s">
        <v>188</v>
      </c>
      <c r="J1012" t="s">
        <v>302</v>
      </c>
      <c r="K1012">
        <v>0</v>
      </c>
      <c r="L1012" t="s">
        <v>154</v>
      </c>
      <c r="N1012" t="s">
        <v>218</v>
      </c>
      <c r="O1012" t="s">
        <v>302</v>
      </c>
      <c r="P1012">
        <v>3.5992163453723323E-2</v>
      </c>
      <c r="Q1012" t="s">
        <v>154</v>
      </c>
      <c r="S1012" t="s">
        <v>249</v>
      </c>
      <c r="T1012" t="s">
        <v>302</v>
      </c>
      <c r="U1012">
        <v>4.2629879366349044E-2</v>
      </c>
      <c r="V1012" t="s">
        <v>154</v>
      </c>
    </row>
    <row r="1013" spans="9:22" x14ac:dyDescent="0.25">
      <c r="I1013" t="s">
        <v>188</v>
      </c>
      <c r="J1013" t="s">
        <v>303</v>
      </c>
      <c r="K1013">
        <v>2.6718965937982545E-3</v>
      </c>
      <c r="L1013" t="s">
        <v>154</v>
      </c>
      <c r="N1013" t="s">
        <v>218</v>
      </c>
      <c r="O1013" t="s">
        <v>303</v>
      </c>
      <c r="P1013">
        <v>8.1665954801882525E-3</v>
      </c>
      <c r="Q1013" t="s">
        <v>154</v>
      </c>
      <c r="S1013" t="s">
        <v>249</v>
      </c>
      <c r="T1013" t="s">
        <v>303</v>
      </c>
      <c r="U1013">
        <v>1.2360855899802074E-2</v>
      </c>
      <c r="V1013" t="s">
        <v>154</v>
      </c>
    </row>
    <row r="1014" spans="9:22" x14ac:dyDescent="0.25">
      <c r="I1014" t="s">
        <v>188</v>
      </c>
      <c r="J1014" t="s">
        <v>304</v>
      </c>
      <c r="K1014">
        <v>4.8411343094349841E-3</v>
      </c>
      <c r="L1014" t="s">
        <v>154</v>
      </c>
      <c r="N1014" t="s">
        <v>218</v>
      </c>
      <c r="O1014" t="s">
        <v>304</v>
      </c>
      <c r="P1014">
        <v>4.1620318191168872E-3</v>
      </c>
      <c r="Q1014" t="s">
        <v>154</v>
      </c>
      <c r="S1014" t="s">
        <v>249</v>
      </c>
      <c r="T1014" t="s">
        <v>304</v>
      </c>
      <c r="U1014">
        <v>6.3633027875593003E-3</v>
      </c>
      <c r="V1014" t="s">
        <v>154</v>
      </c>
    </row>
    <row r="1015" spans="9:22" x14ac:dyDescent="0.25">
      <c r="I1015" t="s">
        <v>188</v>
      </c>
      <c r="J1015" t="s">
        <v>305</v>
      </c>
      <c r="K1015">
        <v>4.4802049561415654E-2</v>
      </c>
      <c r="L1015" t="s">
        <v>154</v>
      </c>
      <c r="N1015" t="s">
        <v>218</v>
      </c>
      <c r="O1015" t="s">
        <v>305</v>
      </c>
      <c r="P1015">
        <v>4.5620802557834496E-2</v>
      </c>
      <c r="Q1015" t="s">
        <v>154</v>
      </c>
      <c r="S1015" t="s">
        <v>249</v>
      </c>
      <c r="T1015" t="s">
        <v>305</v>
      </c>
      <c r="U1015">
        <v>4.4523267070804437E-2</v>
      </c>
      <c r="V1015" t="s">
        <v>154</v>
      </c>
    </row>
    <row r="1016" spans="9:22" x14ac:dyDescent="0.25">
      <c r="I1016" t="s">
        <v>188</v>
      </c>
      <c r="J1016" t="s">
        <v>306</v>
      </c>
      <c r="K1016">
        <v>0</v>
      </c>
      <c r="L1016" t="s">
        <v>154</v>
      </c>
      <c r="N1016" t="s">
        <v>218</v>
      </c>
      <c r="O1016" t="s">
        <v>306</v>
      </c>
      <c r="P1016">
        <v>5.7347309117361089E-3</v>
      </c>
      <c r="Q1016" t="s">
        <v>154</v>
      </c>
      <c r="S1016" t="s">
        <v>249</v>
      </c>
      <c r="T1016" t="s">
        <v>306</v>
      </c>
      <c r="U1016">
        <v>6.0093657384304782E-3</v>
      </c>
      <c r="V1016" t="s">
        <v>154</v>
      </c>
    </row>
    <row r="1017" spans="9:22" x14ac:dyDescent="0.25">
      <c r="I1017" t="s">
        <v>188</v>
      </c>
      <c r="J1017" t="s">
        <v>321</v>
      </c>
      <c r="K1017">
        <v>0</v>
      </c>
      <c r="L1017" t="s">
        <v>154</v>
      </c>
      <c r="N1017" t="s">
        <v>218</v>
      </c>
      <c r="O1017" t="s">
        <v>321</v>
      </c>
      <c r="P1017">
        <v>5.6840359698995145E-3</v>
      </c>
      <c r="Q1017" t="s">
        <v>154</v>
      </c>
      <c r="S1017" t="s">
        <v>249</v>
      </c>
      <c r="T1017" t="s">
        <v>321</v>
      </c>
      <c r="U1017">
        <v>5.9747460496261864E-3</v>
      </c>
      <c r="V1017" t="s">
        <v>154</v>
      </c>
    </row>
    <row r="1018" spans="9:22" x14ac:dyDescent="0.25">
      <c r="I1018" t="s">
        <v>188</v>
      </c>
      <c r="J1018" t="s">
        <v>322</v>
      </c>
      <c r="K1018">
        <v>0</v>
      </c>
      <c r="L1018" t="s">
        <v>154</v>
      </c>
      <c r="N1018" t="s">
        <v>218</v>
      </c>
      <c r="O1018" t="s">
        <v>322</v>
      </c>
      <c r="P1018">
        <v>2.4915128328909505E-2</v>
      </c>
      <c r="Q1018" t="s">
        <v>154</v>
      </c>
      <c r="S1018" t="s">
        <v>249</v>
      </c>
      <c r="T1018" t="s">
        <v>322</v>
      </c>
      <c r="U1018">
        <v>3.0890096193562557E-2</v>
      </c>
      <c r="V1018" t="s">
        <v>154</v>
      </c>
    </row>
    <row r="1019" spans="9:22" x14ac:dyDescent="0.25">
      <c r="I1019" t="s">
        <v>189</v>
      </c>
      <c r="J1019" t="s">
        <v>153</v>
      </c>
      <c r="K1019">
        <v>0</v>
      </c>
      <c r="L1019" t="s">
        <v>154</v>
      </c>
      <c r="N1019" t="s">
        <v>219</v>
      </c>
      <c r="O1019" t="s">
        <v>153</v>
      </c>
      <c r="P1019">
        <v>4.1209601307979585E-2</v>
      </c>
      <c r="Q1019" t="s">
        <v>154</v>
      </c>
      <c r="S1019" t="s">
        <v>250</v>
      </c>
      <c r="T1019" t="s">
        <v>153</v>
      </c>
      <c r="U1019">
        <v>4.728660136662112E-2</v>
      </c>
      <c r="V1019" t="s">
        <v>154</v>
      </c>
    </row>
    <row r="1020" spans="9:22" x14ac:dyDescent="0.25">
      <c r="I1020" t="s">
        <v>189</v>
      </c>
      <c r="J1020" t="s">
        <v>155</v>
      </c>
      <c r="K1020">
        <v>2.830157977855879E-3</v>
      </c>
      <c r="L1020" t="s">
        <v>154</v>
      </c>
      <c r="N1020" t="s">
        <v>219</v>
      </c>
      <c r="O1020" t="s">
        <v>155</v>
      </c>
      <c r="P1020">
        <v>1.0427671403288033E-2</v>
      </c>
      <c r="Q1020" t="s">
        <v>154</v>
      </c>
      <c r="S1020" t="s">
        <v>250</v>
      </c>
      <c r="T1020" t="s">
        <v>155</v>
      </c>
      <c r="U1020">
        <v>1.2497635398272205E-2</v>
      </c>
      <c r="V1020" t="s">
        <v>154</v>
      </c>
    </row>
    <row r="1021" spans="9:22" x14ac:dyDescent="0.25">
      <c r="I1021" t="s">
        <v>189</v>
      </c>
      <c r="J1021" t="s">
        <v>156</v>
      </c>
      <c r="K1021">
        <v>5.0256895584250066E-3</v>
      </c>
      <c r="L1021" t="s">
        <v>154</v>
      </c>
      <c r="N1021" t="s">
        <v>219</v>
      </c>
      <c r="O1021" t="s">
        <v>156</v>
      </c>
      <c r="P1021">
        <v>5.3506140472628066E-3</v>
      </c>
      <c r="Q1021" t="s">
        <v>154</v>
      </c>
      <c r="S1021" t="s">
        <v>250</v>
      </c>
      <c r="T1021" t="s">
        <v>156</v>
      </c>
      <c r="U1021">
        <v>6.0992087234460653E-3</v>
      </c>
      <c r="V1021" t="s">
        <v>154</v>
      </c>
    </row>
    <row r="1022" spans="9:22" x14ac:dyDescent="0.25">
      <c r="I1022" t="s">
        <v>189</v>
      </c>
      <c r="J1022" t="s">
        <v>283</v>
      </c>
      <c r="K1022">
        <v>5.0295829028970507E-2</v>
      </c>
      <c r="L1022" t="s">
        <v>154</v>
      </c>
      <c r="N1022" t="s">
        <v>219</v>
      </c>
      <c r="O1022" t="s">
        <v>283</v>
      </c>
      <c r="P1022">
        <v>4.4229905615962233E-2</v>
      </c>
      <c r="Q1022" t="s">
        <v>154</v>
      </c>
      <c r="S1022" t="s">
        <v>250</v>
      </c>
      <c r="T1022" t="s">
        <v>283</v>
      </c>
      <c r="U1022">
        <v>4.4363271597926572E-2</v>
      </c>
      <c r="V1022" t="s">
        <v>154</v>
      </c>
    </row>
    <row r="1023" spans="9:22" x14ac:dyDescent="0.25">
      <c r="I1023" t="s">
        <v>189</v>
      </c>
      <c r="J1023" t="s">
        <v>284</v>
      </c>
      <c r="K1023">
        <v>2.7718266300626338E-3</v>
      </c>
      <c r="L1023" t="s">
        <v>154</v>
      </c>
      <c r="N1023" t="s">
        <v>219</v>
      </c>
      <c r="O1023" t="s">
        <v>284</v>
      </c>
      <c r="P1023">
        <v>5.6234097736771608E-3</v>
      </c>
      <c r="Q1023" t="s">
        <v>154</v>
      </c>
      <c r="S1023" t="s">
        <v>250</v>
      </c>
      <c r="T1023" t="s">
        <v>284</v>
      </c>
      <c r="U1023">
        <v>6.0824151787899332E-3</v>
      </c>
      <c r="V1023" t="s">
        <v>154</v>
      </c>
    </row>
    <row r="1024" spans="9:22" x14ac:dyDescent="0.25">
      <c r="I1024" t="s">
        <v>189</v>
      </c>
      <c r="J1024" t="s">
        <v>311</v>
      </c>
      <c r="K1024">
        <v>0</v>
      </c>
      <c r="L1024" t="s">
        <v>154</v>
      </c>
      <c r="N1024" t="s">
        <v>219</v>
      </c>
      <c r="O1024" t="s">
        <v>311</v>
      </c>
      <c r="P1024">
        <v>5.6012057296471011E-3</v>
      </c>
      <c r="Q1024" t="s">
        <v>154</v>
      </c>
      <c r="S1024" t="s">
        <v>250</v>
      </c>
      <c r="T1024" t="s">
        <v>311</v>
      </c>
      <c r="U1024">
        <v>5.9841457432799295E-3</v>
      </c>
      <c r="V1024" t="s">
        <v>154</v>
      </c>
    </row>
    <row r="1025" spans="9:22" x14ac:dyDescent="0.25">
      <c r="I1025" t="s">
        <v>189</v>
      </c>
      <c r="J1025" t="s">
        <v>312</v>
      </c>
      <c r="K1025">
        <v>0</v>
      </c>
      <c r="L1025" t="s">
        <v>154</v>
      </c>
      <c r="N1025" t="s">
        <v>219</v>
      </c>
      <c r="O1025" t="s">
        <v>312</v>
      </c>
      <c r="P1025">
        <v>2.5193155010474207E-2</v>
      </c>
      <c r="Q1025" t="s">
        <v>154</v>
      </c>
      <c r="S1025" t="s">
        <v>250</v>
      </c>
      <c r="T1025" t="s">
        <v>312</v>
      </c>
      <c r="U1025">
        <v>3.1482706923066768E-2</v>
      </c>
      <c r="V1025" t="s">
        <v>154</v>
      </c>
    </row>
    <row r="1026" spans="9:22" x14ac:dyDescent="0.25">
      <c r="I1026" t="s">
        <v>189</v>
      </c>
      <c r="J1026" t="s">
        <v>157</v>
      </c>
      <c r="K1026">
        <v>0</v>
      </c>
      <c r="L1026" t="s">
        <v>154</v>
      </c>
      <c r="N1026" t="s">
        <v>219</v>
      </c>
      <c r="O1026" t="s">
        <v>157</v>
      </c>
      <c r="P1026">
        <v>6.4908132116769397E-3</v>
      </c>
      <c r="Q1026" t="s">
        <v>154</v>
      </c>
      <c r="S1026" t="s">
        <v>250</v>
      </c>
      <c r="T1026" t="s">
        <v>157</v>
      </c>
      <c r="U1026">
        <v>1.1248786322983297E-2</v>
      </c>
      <c r="V1026" t="s">
        <v>154</v>
      </c>
    </row>
    <row r="1027" spans="9:22" x14ac:dyDescent="0.25">
      <c r="I1027" t="s">
        <v>189</v>
      </c>
      <c r="J1027" t="s">
        <v>158</v>
      </c>
      <c r="K1027">
        <v>7.3767115714698278E-4</v>
      </c>
      <c r="L1027" t="s">
        <v>154</v>
      </c>
      <c r="N1027" t="s">
        <v>219</v>
      </c>
      <c r="O1027" t="s">
        <v>158</v>
      </c>
      <c r="P1027">
        <v>1.6057698159883825E-3</v>
      </c>
      <c r="Q1027" t="s">
        <v>154</v>
      </c>
      <c r="S1027" t="s">
        <v>250</v>
      </c>
      <c r="T1027" t="s">
        <v>158</v>
      </c>
      <c r="U1027">
        <v>3.2455830351271397E-3</v>
      </c>
      <c r="V1027" t="s">
        <v>154</v>
      </c>
    </row>
    <row r="1028" spans="9:22" x14ac:dyDescent="0.25">
      <c r="I1028" t="s">
        <v>189</v>
      </c>
      <c r="J1028" t="s">
        <v>159</v>
      </c>
      <c r="K1028">
        <v>1.7534143648826111E-3</v>
      </c>
      <c r="L1028" t="s">
        <v>154</v>
      </c>
      <c r="N1028" t="s">
        <v>219</v>
      </c>
      <c r="O1028" t="s">
        <v>159</v>
      </c>
      <c r="P1028">
        <v>8.2680895729111449E-4</v>
      </c>
      <c r="Q1028" t="s">
        <v>154</v>
      </c>
      <c r="S1028" t="s">
        <v>250</v>
      </c>
      <c r="T1028" t="s">
        <v>159</v>
      </c>
      <c r="U1028">
        <v>1.5590670467924088E-3</v>
      </c>
      <c r="V1028" t="s">
        <v>154</v>
      </c>
    </row>
    <row r="1029" spans="9:22" x14ac:dyDescent="0.25">
      <c r="I1029" t="s">
        <v>189</v>
      </c>
      <c r="J1029" t="s">
        <v>285</v>
      </c>
      <c r="K1029">
        <v>1.8347419283588285E-2</v>
      </c>
      <c r="L1029" t="s">
        <v>154</v>
      </c>
      <c r="N1029" t="s">
        <v>219</v>
      </c>
      <c r="O1029" t="s">
        <v>285</v>
      </c>
      <c r="P1029">
        <v>8.1019994500903664E-3</v>
      </c>
      <c r="Q1029" t="s">
        <v>154</v>
      </c>
      <c r="S1029" t="s">
        <v>250</v>
      </c>
      <c r="T1029" t="s">
        <v>285</v>
      </c>
      <c r="U1029">
        <v>1.1354241334823259E-2</v>
      </c>
      <c r="V1029" t="s">
        <v>154</v>
      </c>
    </row>
    <row r="1030" spans="9:22" x14ac:dyDescent="0.25">
      <c r="I1030" t="s">
        <v>189</v>
      </c>
      <c r="J1030" t="s">
        <v>286</v>
      </c>
      <c r="K1030">
        <v>1.3898701642759384E-3</v>
      </c>
      <c r="L1030" t="s">
        <v>154</v>
      </c>
      <c r="N1030" t="s">
        <v>219</v>
      </c>
      <c r="O1030" t="s">
        <v>286</v>
      </c>
      <c r="P1030">
        <v>1.2170481798845663E-3</v>
      </c>
      <c r="Q1030" t="s">
        <v>154</v>
      </c>
      <c r="S1030" t="s">
        <v>250</v>
      </c>
      <c r="T1030" t="s">
        <v>286</v>
      </c>
      <c r="U1030">
        <v>1.6652640193138193E-3</v>
      </c>
      <c r="V1030" t="s">
        <v>154</v>
      </c>
    </row>
    <row r="1031" spans="9:22" x14ac:dyDescent="0.25">
      <c r="I1031" t="s">
        <v>189</v>
      </c>
      <c r="J1031" t="s">
        <v>313</v>
      </c>
      <c r="K1031">
        <v>0</v>
      </c>
      <c r="L1031" t="s">
        <v>154</v>
      </c>
      <c r="N1031" t="s">
        <v>219</v>
      </c>
      <c r="O1031" t="s">
        <v>313</v>
      </c>
      <c r="P1031">
        <v>1.1741136563178226E-3</v>
      </c>
      <c r="Q1031" t="s">
        <v>154</v>
      </c>
      <c r="S1031" t="s">
        <v>250</v>
      </c>
      <c r="T1031" t="s">
        <v>313</v>
      </c>
      <c r="U1031">
        <v>1.6929570216172719E-3</v>
      </c>
      <c r="V1031" t="s">
        <v>154</v>
      </c>
    </row>
    <row r="1032" spans="9:22" x14ac:dyDescent="0.25">
      <c r="I1032" t="s">
        <v>189</v>
      </c>
      <c r="J1032" t="s">
        <v>314</v>
      </c>
      <c r="K1032">
        <v>0</v>
      </c>
      <c r="L1032" t="s">
        <v>154</v>
      </c>
      <c r="N1032" t="s">
        <v>219</v>
      </c>
      <c r="O1032" t="s">
        <v>314</v>
      </c>
      <c r="P1032">
        <v>4.6334613709494129E-3</v>
      </c>
      <c r="Q1032" t="s">
        <v>154</v>
      </c>
      <c r="S1032" t="s">
        <v>250</v>
      </c>
      <c r="T1032" t="s">
        <v>314</v>
      </c>
      <c r="U1032">
        <v>9.0347396021214308E-3</v>
      </c>
      <c r="V1032" t="s">
        <v>154</v>
      </c>
    </row>
    <row r="1033" spans="9:22" x14ac:dyDescent="0.25">
      <c r="I1033" t="s">
        <v>189</v>
      </c>
      <c r="J1033" t="s">
        <v>160</v>
      </c>
      <c r="K1033">
        <v>9.5890906094537112E-3</v>
      </c>
      <c r="L1033" t="s">
        <v>154</v>
      </c>
      <c r="N1033" t="s">
        <v>219</v>
      </c>
      <c r="O1033" t="s">
        <v>160</v>
      </c>
      <c r="P1033">
        <v>0.16059464735200504</v>
      </c>
      <c r="Q1033" t="s">
        <v>154</v>
      </c>
      <c r="S1033" t="s">
        <v>250</v>
      </c>
      <c r="T1033" t="s">
        <v>160</v>
      </c>
      <c r="U1033">
        <v>0.1638664186916807</v>
      </c>
      <c r="V1033" t="s">
        <v>154</v>
      </c>
    </row>
    <row r="1034" spans="9:22" x14ac:dyDescent="0.25">
      <c r="I1034" t="s">
        <v>189</v>
      </c>
      <c r="J1034" t="s">
        <v>161</v>
      </c>
      <c r="K1034">
        <v>8.1141693968749193E-2</v>
      </c>
      <c r="L1034" t="s">
        <v>154</v>
      </c>
      <c r="N1034" t="s">
        <v>219</v>
      </c>
      <c r="O1034" t="s">
        <v>161</v>
      </c>
      <c r="P1034">
        <v>3.7918813827625492E-2</v>
      </c>
      <c r="Q1034" t="s">
        <v>154</v>
      </c>
      <c r="S1034" t="s">
        <v>250</v>
      </c>
      <c r="T1034" t="s">
        <v>161</v>
      </c>
      <c r="U1034">
        <v>4.1822404979023571E-2</v>
      </c>
      <c r="V1034" t="s">
        <v>154</v>
      </c>
    </row>
    <row r="1035" spans="9:22" x14ac:dyDescent="0.25">
      <c r="I1035" t="s">
        <v>189</v>
      </c>
      <c r="J1035" t="s">
        <v>162</v>
      </c>
      <c r="K1035">
        <v>6.6350584082864345E-2</v>
      </c>
      <c r="L1035" t="s">
        <v>154</v>
      </c>
      <c r="N1035" t="s">
        <v>219</v>
      </c>
      <c r="O1035" t="s">
        <v>162</v>
      </c>
      <c r="P1035">
        <v>2.2005835346005198E-2</v>
      </c>
      <c r="Q1035" t="s">
        <v>154</v>
      </c>
      <c r="S1035" t="s">
        <v>250</v>
      </c>
      <c r="T1035" t="s">
        <v>162</v>
      </c>
      <c r="U1035">
        <v>2.1778699800199839E-2</v>
      </c>
      <c r="V1035" t="s">
        <v>154</v>
      </c>
    </row>
    <row r="1036" spans="9:22" x14ac:dyDescent="0.25">
      <c r="I1036" t="s">
        <v>189</v>
      </c>
      <c r="J1036" t="s">
        <v>287</v>
      </c>
      <c r="K1036">
        <v>0.54231064580822841</v>
      </c>
      <c r="L1036" t="s">
        <v>154</v>
      </c>
      <c r="N1036" t="s">
        <v>219</v>
      </c>
      <c r="O1036" t="s">
        <v>287</v>
      </c>
      <c r="P1036">
        <v>0.19744250409519579</v>
      </c>
      <c r="Q1036" t="s">
        <v>154</v>
      </c>
      <c r="S1036" t="s">
        <v>250</v>
      </c>
      <c r="T1036" t="s">
        <v>287</v>
      </c>
      <c r="U1036">
        <v>0.15820077012323944</v>
      </c>
      <c r="V1036" t="s">
        <v>154</v>
      </c>
    </row>
    <row r="1037" spans="9:22" x14ac:dyDescent="0.25">
      <c r="I1037" t="s">
        <v>189</v>
      </c>
      <c r="J1037" t="s">
        <v>288</v>
      </c>
      <c r="K1037">
        <v>4.9716286542260152E-2</v>
      </c>
      <c r="L1037" t="s">
        <v>154</v>
      </c>
      <c r="N1037" t="s">
        <v>219</v>
      </c>
      <c r="O1037" t="s">
        <v>288</v>
      </c>
      <c r="P1037">
        <v>2.6867208365858257E-2</v>
      </c>
      <c r="Q1037" t="s">
        <v>154</v>
      </c>
      <c r="S1037" t="s">
        <v>250</v>
      </c>
      <c r="T1037" t="s">
        <v>288</v>
      </c>
      <c r="U1037">
        <v>2.2504592323884021E-2</v>
      </c>
      <c r="V1037" t="s">
        <v>154</v>
      </c>
    </row>
    <row r="1038" spans="9:22" x14ac:dyDescent="0.25">
      <c r="I1038" t="s">
        <v>189</v>
      </c>
      <c r="J1038" t="s">
        <v>315</v>
      </c>
      <c r="K1038">
        <v>2.8576673703689551E-2</v>
      </c>
      <c r="L1038" t="s">
        <v>154</v>
      </c>
      <c r="N1038" t="s">
        <v>219</v>
      </c>
      <c r="O1038" t="s">
        <v>315</v>
      </c>
      <c r="P1038">
        <v>2.5663646876925142E-2</v>
      </c>
      <c r="Q1038" t="s">
        <v>154</v>
      </c>
      <c r="S1038" t="s">
        <v>250</v>
      </c>
      <c r="T1038" t="s">
        <v>315</v>
      </c>
      <c r="U1038">
        <v>2.2371041027051203E-2</v>
      </c>
      <c r="V1038" t="s">
        <v>154</v>
      </c>
    </row>
    <row r="1039" spans="9:22" x14ac:dyDescent="0.25">
      <c r="I1039" t="s">
        <v>189</v>
      </c>
      <c r="J1039" t="s">
        <v>316</v>
      </c>
      <c r="K1039">
        <v>7.2988391745350267E-3</v>
      </c>
      <c r="L1039" t="s">
        <v>154</v>
      </c>
      <c r="N1039" t="s">
        <v>219</v>
      </c>
      <c r="O1039" t="s">
        <v>316</v>
      </c>
      <c r="P1039">
        <v>0.11104518864176846</v>
      </c>
      <c r="Q1039" t="s">
        <v>154</v>
      </c>
      <c r="S1039" t="s">
        <v>250</v>
      </c>
      <c r="T1039" t="s">
        <v>316</v>
      </c>
      <c r="U1039">
        <v>0.10834543508273688</v>
      </c>
      <c r="V1039" t="s">
        <v>154</v>
      </c>
    </row>
    <row r="1040" spans="9:22" x14ac:dyDescent="0.25">
      <c r="I1040" t="s">
        <v>189</v>
      </c>
      <c r="J1040" t="s">
        <v>163</v>
      </c>
      <c r="K1040">
        <v>0</v>
      </c>
      <c r="L1040" t="s">
        <v>154</v>
      </c>
      <c r="N1040" t="s">
        <v>219</v>
      </c>
      <c r="O1040" t="s">
        <v>163</v>
      </c>
      <c r="P1040">
        <v>9.1238175570870789E-3</v>
      </c>
      <c r="Q1040" t="s">
        <v>154</v>
      </c>
      <c r="S1040" t="s">
        <v>250</v>
      </c>
      <c r="T1040" t="s">
        <v>163</v>
      </c>
      <c r="U1040">
        <v>9.6418305588261179E-3</v>
      </c>
      <c r="V1040" t="s">
        <v>154</v>
      </c>
    </row>
    <row r="1041" spans="9:22" x14ac:dyDescent="0.25">
      <c r="I1041" t="s">
        <v>189</v>
      </c>
      <c r="J1041" t="s">
        <v>164</v>
      </c>
      <c r="K1041">
        <v>1.9760450407263464E-3</v>
      </c>
      <c r="L1041" t="s">
        <v>154</v>
      </c>
      <c r="N1041" t="s">
        <v>219</v>
      </c>
      <c r="O1041" t="s">
        <v>164</v>
      </c>
      <c r="P1041">
        <v>2.040010741453708E-3</v>
      </c>
      <c r="Q1041" t="s">
        <v>154</v>
      </c>
      <c r="S1041" t="s">
        <v>250</v>
      </c>
      <c r="T1041" t="s">
        <v>164</v>
      </c>
      <c r="U1041">
        <v>2.0204057137635308E-3</v>
      </c>
      <c r="V1041" t="s">
        <v>154</v>
      </c>
    </row>
    <row r="1042" spans="9:22" x14ac:dyDescent="0.25">
      <c r="I1042" t="s">
        <v>189</v>
      </c>
      <c r="J1042" t="s">
        <v>165</v>
      </c>
      <c r="K1042">
        <v>2.1342293414877232E-3</v>
      </c>
      <c r="L1042" t="s">
        <v>154</v>
      </c>
      <c r="N1042" t="s">
        <v>219</v>
      </c>
      <c r="O1042" t="s">
        <v>165</v>
      </c>
      <c r="P1042">
        <v>1.1505425780566996E-3</v>
      </c>
      <c r="Q1042" t="s">
        <v>154</v>
      </c>
      <c r="S1042" t="s">
        <v>250</v>
      </c>
      <c r="T1042" t="s">
        <v>165</v>
      </c>
      <c r="U1042">
        <v>1.0138222307072928E-3</v>
      </c>
      <c r="V1042" t="s">
        <v>154</v>
      </c>
    </row>
    <row r="1043" spans="9:22" x14ac:dyDescent="0.25">
      <c r="I1043" t="s">
        <v>189</v>
      </c>
      <c r="J1043" t="s">
        <v>289</v>
      </c>
      <c r="K1043">
        <v>1.5944612152969061E-2</v>
      </c>
      <c r="L1043" t="s">
        <v>154</v>
      </c>
      <c r="N1043" t="s">
        <v>219</v>
      </c>
      <c r="O1043" t="s">
        <v>289</v>
      </c>
      <c r="P1043">
        <v>1.0407333482355409E-2</v>
      </c>
      <c r="Q1043" t="s">
        <v>154</v>
      </c>
      <c r="S1043" t="s">
        <v>250</v>
      </c>
      <c r="T1043" t="s">
        <v>289</v>
      </c>
      <c r="U1043">
        <v>7.3950857519292576E-3</v>
      </c>
      <c r="V1043" t="s">
        <v>154</v>
      </c>
    </row>
    <row r="1044" spans="9:22" x14ac:dyDescent="0.25">
      <c r="I1044" t="s">
        <v>189</v>
      </c>
      <c r="J1044" t="s">
        <v>290</v>
      </c>
      <c r="K1044">
        <v>8.6333566033700774E-4</v>
      </c>
      <c r="L1044" t="s">
        <v>154</v>
      </c>
      <c r="N1044" t="s">
        <v>219</v>
      </c>
      <c r="O1044" t="s">
        <v>290</v>
      </c>
      <c r="P1044">
        <v>1.5876972246381613E-3</v>
      </c>
      <c r="Q1044" t="s">
        <v>154</v>
      </c>
      <c r="S1044" t="s">
        <v>250</v>
      </c>
      <c r="T1044" t="s">
        <v>290</v>
      </c>
      <c r="U1044">
        <v>1.3318391514119509E-3</v>
      </c>
      <c r="V1044" t="s">
        <v>154</v>
      </c>
    </row>
    <row r="1045" spans="9:22" x14ac:dyDescent="0.25">
      <c r="I1045" t="s">
        <v>189</v>
      </c>
      <c r="J1045" t="s">
        <v>317</v>
      </c>
      <c r="K1045">
        <v>0</v>
      </c>
      <c r="L1045" t="s">
        <v>154</v>
      </c>
      <c r="N1045" t="s">
        <v>219</v>
      </c>
      <c r="O1045" t="s">
        <v>317</v>
      </c>
      <c r="P1045">
        <v>1.6037673223163081E-3</v>
      </c>
      <c r="Q1045" t="s">
        <v>154</v>
      </c>
      <c r="S1045" t="s">
        <v>250</v>
      </c>
      <c r="T1045" t="s">
        <v>317</v>
      </c>
      <c r="U1045">
        <v>1.3846797006506193E-3</v>
      </c>
      <c r="V1045" t="s">
        <v>154</v>
      </c>
    </row>
    <row r="1046" spans="9:22" x14ac:dyDescent="0.25">
      <c r="I1046" t="s">
        <v>189</v>
      </c>
      <c r="J1046" t="s">
        <v>318</v>
      </c>
      <c r="K1046">
        <v>0</v>
      </c>
      <c r="L1046" t="s">
        <v>154</v>
      </c>
      <c r="N1046" t="s">
        <v>219</v>
      </c>
      <c r="O1046" t="s">
        <v>318</v>
      </c>
      <c r="P1046">
        <v>7.0719596634647381E-3</v>
      </c>
      <c r="Q1046" t="s">
        <v>154</v>
      </c>
      <c r="S1046" t="s">
        <v>250</v>
      </c>
      <c r="T1046" t="s">
        <v>318</v>
      </c>
      <c r="U1046">
        <v>6.5478026872502777E-3</v>
      </c>
      <c r="V1046" t="s">
        <v>154</v>
      </c>
    </row>
    <row r="1047" spans="9:22" x14ac:dyDescent="0.25">
      <c r="I1047" t="s">
        <v>189</v>
      </c>
      <c r="J1047" t="s">
        <v>297</v>
      </c>
      <c r="K1047">
        <v>0</v>
      </c>
      <c r="L1047" t="s">
        <v>154</v>
      </c>
      <c r="N1047" t="s">
        <v>219</v>
      </c>
      <c r="O1047" t="s">
        <v>297</v>
      </c>
      <c r="P1047">
        <v>2.179981660883102E-2</v>
      </c>
      <c r="Q1047" t="s">
        <v>154</v>
      </c>
      <c r="S1047" t="s">
        <v>250</v>
      </c>
      <c r="T1047" t="s">
        <v>297</v>
      </c>
      <c r="U1047">
        <v>2.4641777003515691E-2</v>
      </c>
      <c r="V1047" t="s">
        <v>154</v>
      </c>
    </row>
    <row r="1048" spans="9:22" x14ac:dyDescent="0.25">
      <c r="I1048" t="s">
        <v>189</v>
      </c>
      <c r="J1048" t="s">
        <v>298</v>
      </c>
      <c r="K1048">
        <v>4.146354064264092E-3</v>
      </c>
      <c r="L1048" t="s">
        <v>154</v>
      </c>
      <c r="N1048" t="s">
        <v>219</v>
      </c>
      <c r="O1048" t="s">
        <v>298</v>
      </c>
      <c r="P1048">
        <v>4.7756161669856257E-3</v>
      </c>
      <c r="Q1048" t="s">
        <v>154</v>
      </c>
      <c r="S1048" t="s">
        <v>250</v>
      </c>
      <c r="T1048" t="s">
        <v>298</v>
      </c>
      <c r="U1048">
        <v>6.1228761546529269E-3</v>
      </c>
      <c r="V1048" t="s">
        <v>154</v>
      </c>
    </row>
    <row r="1049" spans="9:22" x14ac:dyDescent="0.25">
      <c r="I1049" t="s">
        <v>189</v>
      </c>
      <c r="J1049" t="s">
        <v>299</v>
      </c>
      <c r="K1049">
        <v>5.1607792691608289E-3</v>
      </c>
      <c r="L1049" t="s">
        <v>154</v>
      </c>
      <c r="N1049" t="s">
        <v>219</v>
      </c>
      <c r="O1049" t="s">
        <v>299</v>
      </c>
      <c r="P1049">
        <v>2.5217935879177675E-3</v>
      </c>
      <c r="Q1049" t="s">
        <v>154</v>
      </c>
      <c r="S1049" t="s">
        <v>250</v>
      </c>
      <c r="T1049" t="s">
        <v>299</v>
      </c>
      <c r="U1049">
        <v>3.2235943888062049E-3</v>
      </c>
      <c r="V1049" t="s">
        <v>154</v>
      </c>
    </row>
    <row r="1050" spans="9:22" x14ac:dyDescent="0.25">
      <c r="I1050" t="s">
        <v>189</v>
      </c>
      <c r="J1050" t="s">
        <v>300</v>
      </c>
      <c r="K1050">
        <v>4.5923513712481247E-2</v>
      </c>
      <c r="L1050" t="s">
        <v>154</v>
      </c>
      <c r="N1050" t="s">
        <v>219</v>
      </c>
      <c r="O1050" t="s">
        <v>300</v>
      </c>
      <c r="P1050">
        <v>2.3672779467251565E-2</v>
      </c>
      <c r="Q1050" t="s">
        <v>154</v>
      </c>
      <c r="S1050" t="s">
        <v>250</v>
      </c>
      <c r="T1050" t="s">
        <v>300</v>
      </c>
      <c r="U1050">
        <v>2.2286989232949164E-2</v>
      </c>
      <c r="V1050" t="s">
        <v>154</v>
      </c>
    </row>
    <row r="1051" spans="9:22" x14ac:dyDescent="0.25">
      <c r="I1051" t="s">
        <v>189</v>
      </c>
      <c r="J1051" t="s">
        <v>301</v>
      </c>
      <c r="K1051">
        <v>1.973511288836295E-3</v>
      </c>
      <c r="L1051" t="s">
        <v>154</v>
      </c>
      <c r="N1051" t="s">
        <v>219</v>
      </c>
      <c r="O1051" t="s">
        <v>301</v>
      </c>
      <c r="P1051">
        <v>3.2358424910986913E-3</v>
      </c>
      <c r="Q1051" t="s">
        <v>154</v>
      </c>
      <c r="S1051" t="s">
        <v>250</v>
      </c>
      <c r="T1051" t="s">
        <v>301</v>
      </c>
      <c r="U1051">
        <v>2.9893460774898946E-3</v>
      </c>
      <c r="V1051" t="s">
        <v>154</v>
      </c>
    </row>
    <row r="1052" spans="9:22" x14ac:dyDescent="0.25">
      <c r="I1052" t="s">
        <v>189</v>
      </c>
      <c r="J1052" t="s">
        <v>319</v>
      </c>
      <c r="K1052">
        <v>0</v>
      </c>
      <c r="L1052" t="s">
        <v>154</v>
      </c>
      <c r="N1052" t="s">
        <v>219</v>
      </c>
      <c r="O1052" t="s">
        <v>319</v>
      </c>
      <c r="P1052">
        <v>3.2143158573008099E-3</v>
      </c>
      <c r="Q1052" t="s">
        <v>154</v>
      </c>
      <c r="S1052" t="s">
        <v>250</v>
      </c>
      <c r="T1052" t="s">
        <v>319</v>
      </c>
      <c r="U1052">
        <v>2.9793512616239567E-3</v>
      </c>
      <c r="V1052" t="s">
        <v>154</v>
      </c>
    </row>
    <row r="1053" spans="9:22" x14ac:dyDescent="0.25">
      <c r="I1053" t="s">
        <v>189</v>
      </c>
      <c r="J1053" t="s">
        <v>320</v>
      </c>
      <c r="K1053">
        <v>0</v>
      </c>
      <c r="L1053" t="s">
        <v>154</v>
      </c>
      <c r="N1053" t="s">
        <v>219</v>
      </c>
      <c r="O1053" t="s">
        <v>320</v>
      </c>
      <c r="P1053">
        <v>1.4308065580682724E-2</v>
      </c>
      <c r="Q1053" t="s">
        <v>154</v>
      </c>
      <c r="S1053" t="s">
        <v>250</v>
      </c>
      <c r="T1053" t="s">
        <v>320</v>
      </c>
      <c r="U1053">
        <v>1.7414571965408191E-2</v>
      </c>
      <c r="V1053" t="s">
        <v>154</v>
      </c>
    </row>
    <row r="1054" spans="9:22" x14ac:dyDescent="0.25">
      <c r="I1054" t="s">
        <v>189</v>
      </c>
      <c r="J1054" t="s">
        <v>302</v>
      </c>
      <c r="K1054">
        <v>0</v>
      </c>
      <c r="L1054" t="s">
        <v>154</v>
      </c>
      <c r="N1054" t="s">
        <v>219</v>
      </c>
      <c r="O1054" t="s">
        <v>302</v>
      </c>
      <c r="P1054">
        <v>4.6547173959985338E-2</v>
      </c>
      <c r="Q1054" t="s">
        <v>154</v>
      </c>
      <c r="S1054" t="s">
        <v>250</v>
      </c>
      <c r="T1054" t="s">
        <v>302</v>
      </c>
      <c r="U1054">
        <v>4.6157487250671696E-2</v>
      </c>
      <c r="V1054" t="s">
        <v>154</v>
      </c>
    </row>
    <row r="1055" spans="9:22" x14ac:dyDescent="0.25">
      <c r="I1055" t="s">
        <v>189</v>
      </c>
      <c r="J1055" t="s">
        <v>303</v>
      </c>
      <c r="K1055">
        <v>2.3073514686906675E-3</v>
      </c>
      <c r="L1055" t="s">
        <v>154</v>
      </c>
      <c r="N1055" t="s">
        <v>219</v>
      </c>
      <c r="O1055" t="s">
        <v>303</v>
      </c>
      <c r="P1055">
        <v>1.0244112036187608E-2</v>
      </c>
      <c r="Q1055" t="s">
        <v>154</v>
      </c>
      <c r="S1055" t="s">
        <v>250</v>
      </c>
      <c r="T1055" t="s">
        <v>303</v>
      </c>
      <c r="U1055">
        <v>1.1686179186047151E-2</v>
      </c>
      <c r="V1055" t="s">
        <v>154</v>
      </c>
    </row>
    <row r="1056" spans="9:22" x14ac:dyDescent="0.25">
      <c r="I1056" t="s">
        <v>189</v>
      </c>
      <c r="J1056" t="s">
        <v>304</v>
      </c>
      <c r="K1056">
        <v>4.3632296807253638E-3</v>
      </c>
      <c r="L1056" t="s">
        <v>154</v>
      </c>
      <c r="N1056" t="s">
        <v>219</v>
      </c>
      <c r="O1056" t="s">
        <v>304</v>
      </c>
      <c r="P1056">
        <v>5.299570643524403E-3</v>
      </c>
      <c r="Q1056" t="s">
        <v>154</v>
      </c>
      <c r="S1056" t="s">
        <v>250</v>
      </c>
      <c r="T1056" t="s">
        <v>304</v>
      </c>
      <c r="U1056">
        <v>5.7454777884101823E-3</v>
      </c>
      <c r="V1056" t="s">
        <v>154</v>
      </c>
    </row>
    <row r="1057" spans="9:22" x14ac:dyDescent="0.25">
      <c r="I1057" t="s">
        <v>189</v>
      </c>
      <c r="J1057" t="s">
        <v>305</v>
      </c>
      <c r="K1057">
        <v>4.669204015363651E-2</v>
      </c>
      <c r="L1057" t="s">
        <v>154</v>
      </c>
      <c r="N1057" t="s">
        <v>219</v>
      </c>
      <c r="O1057" t="s">
        <v>305</v>
      </c>
      <c r="P1057">
        <v>4.5847473124641096E-2</v>
      </c>
      <c r="Q1057" t="s">
        <v>154</v>
      </c>
      <c r="S1057" t="s">
        <v>250</v>
      </c>
      <c r="T1057" t="s">
        <v>305</v>
      </c>
      <c r="U1057">
        <v>4.4551421922777001E-2</v>
      </c>
      <c r="V1057" t="s">
        <v>154</v>
      </c>
    </row>
    <row r="1058" spans="9:22" x14ac:dyDescent="0.25">
      <c r="I1058" t="s">
        <v>189</v>
      </c>
      <c r="J1058" t="s">
        <v>306</v>
      </c>
      <c r="K1058">
        <v>3.7930611169903971E-4</v>
      </c>
      <c r="L1058" t="s">
        <v>154</v>
      </c>
      <c r="N1058" t="s">
        <v>219</v>
      </c>
      <c r="O1058" t="s">
        <v>306</v>
      </c>
      <c r="P1058">
        <v>6.1897779833622688E-3</v>
      </c>
      <c r="Q1058" t="s">
        <v>154</v>
      </c>
      <c r="S1058" t="s">
        <v>250</v>
      </c>
      <c r="T1058" t="s">
        <v>306</v>
      </c>
      <c r="U1058">
        <v>6.9196665018783467E-3</v>
      </c>
      <c r="V1058" t="s">
        <v>154</v>
      </c>
    </row>
    <row r="1059" spans="9:22" x14ac:dyDescent="0.25">
      <c r="I1059" t="s">
        <v>189</v>
      </c>
      <c r="J1059" t="s">
        <v>321</v>
      </c>
      <c r="K1059">
        <v>0</v>
      </c>
      <c r="L1059" t="s">
        <v>154</v>
      </c>
      <c r="N1059" t="s">
        <v>219</v>
      </c>
      <c r="O1059" t="s">
        <v>321</v>
      </c>
      <c r="P1059">
        <v>6.1255336464527028E-3</v>
      </c>
      <c r="Q1059" t="s">
        <v>154</v>
      </c>
      <c r="S1059" t="s">
        <v>250</v>
      </c>
      <c r="T1059" t="s">
        <v>321</v>
      </c>
      <c r="U1059">
        <v>7.1274705418375023E-3</v>
      </c>
      <c r="V1059" t="s">
        <v>154</v>
      </c>
    </row>
    <row r="1060" spans="9:22" x14ac:dyDescent="0.25">
      <c r="I1060" t="s">
        <v>189</v>
      </c>
      <c r="J1060" t="s">
        <v>322</v>
      </c>
      <c r="K1060">
        <v>0</v>
      </c>
      <c r="L1060" t="s">
        <v>154</v>
      </c>
      <c r="N1060" t="s">
        <v>219</v>
      </c>
      <c r="O1060" t="s">
        <v>322</v>
      </c>
      <c r="P1060">
        <v>3.0009578240536731E-2</v>
      </c>
      <c r="Q1060" t="s">
        <v>154</v>
      </c>
      <c r="S1060" t="s">
        <v>250</v>
      </c>
      <c r="T1060" t="s">
        <v>322</v>
      </c>
      <c r="U1060">
        <v>3.6332339587391613E-2</v>
      </c>
      <c r="V1060" t="s">
        <v>154</v>
      </c>
    </row>
    <row r="1061" spans="9:22" x14ac:dyDescent="0.25">
      <c r="I1061" t="s">
        <v>190</v>
      </c>
      <c r="J1061" t="s">
        <v>153</v>
      </c>
      <c r="K1061">
        <v>0</v>
      </c>
      <c r="L1061" t="s">
        <v>154</v>
      </c>
      <c r="N1061" t="s">
        <v>220</v>
      </c>
      <c r="O1061" t="s">
        <v>153</v>
      </c>
      <c r="P1061">
        <v>3.8857981914197384E-2</v>
      </c>
      <c r="Q1061" t="s">
        <v>154</v>
      </c>
      <c r="S1061" t="s">
        <v>251</v>
      </c>
      <c r="T1061" t="s">
        <v>153</v>
      </c>
      <c r="U1061">
        <v>5.2797059412974405E-2</v>
      </c>
      <c r="V1061" t="s">
        <v>154</v>
      </c>
    </row>
    <row r="1062" spans="9:22" x14ac:dyDescent="0.25">
      <c r="I1062" t="s">
        <v>190</v>
      </c>
      <c r="J1062" t="s">
        <v>155</v>
      </c>
      <c r="K1062">
        <v>3.2029805803991717E-3</v>
      </c>
      <c r="L1062" t="s">
        <v>154</v>
      </c>
      <c r="N1062" t="s">
        <v>220</v>
      </c>
      <c r="O1062" t="s">
        <v>155</v>
      </c>
      <c r="P1062">
        <v>1.0024342036749042E-2</v>
      </c>
      <c r="Q1062" t="s">
        <v>154</v>
      </c>
      <c r="S1062" t="s">
        <v>251</v>
      </c>
      <c r="T1062" t="s">
        <v>155</v>
      </c>
      <c r="U1062">
        <v>1.3413798743875242E-2</v>
      </c>
      <c r="V1062" t="s">
        <v>154</v>
      </c>
    </row>
    <row r="1063" spans="9:22" x14ac:dyDescent="0.25">
      <c r="I1063" t="s">
        <v>190</v>
      </c>
      <c r="J1063" t="s">
        <v>156</v>
      </c>
      <c r="K1063">
        <v>5.7854798608435983E-3</v>
      </c>
      <c r="L1063" t="s">
        <v>154</v>
      </c>
      <c r="N1063" t="s">
        <v>220</v>
      </c>
      <c r="O1063" t="s">
        <v>156</v>
      </c>
      <c r="P1063">
        <v>5.041425773536507E-3</v>
      </c>
      <c r="Q1063" t="s">
        <v>154</v>
      </c>
      <c r="S1063" t="s">
        <v>251</v>
      </c>
      <c r="T1063" t="s">
        <v>156</v>
      </c>
      <c r="U1063">
        <v>6.1521086499703977E-3</v>
      </c>
      <c r="V1063" t="s">
        <v>154</v>
      </c>
    </row>
    <row r="1064" spans="9:22" x14ac:dyDescent="0.25">
      <c r="I1064" t="s">
        <v>190</v>
      </c>
      <c r="J1064" t="s">
        <v>283</v>
      </c>
      <c r="K1064">
        <v>5.8661862783499157E-2</v>
      </c>
      <c r="L1064" t="s">
        <v>154</v>
      </c>
      <c r="N1064" t="s">
        <v>220</v>
      </c>
      <c r="O1064" t="s">
        <v>283</v>
      </c>
      <c r="P1064">
        <v>3.7837796557335039E-2</v>
      </c>
      <c r="Q1064" t="s">
        <v>154</v>
      </c>
      <c r="S1064" t="s">
        <v>251</v>
      </c>
      <c r="T1064" t="s">
        <v>283</v>
      </c>
      <c r="U1064">
        <v>4.4316698501166304E-2</v>
      </c>
      <c r="V1064" t="s">
        <v>154</v>
      </c>
    </row>
    <row r="1065" spans="9:22" x14ac:dyDescent="0.25">
      <c r="I1065" t="s">
        <v>190</v>
      </c>
      <c r="J1065" t="s">
        <v>284</v>
      </c>
      <c r="K1065">
        <v>3.2851022301089278E-3</v>
      </c>
      <c r="L1065" t="s">
        <v>154</v>
      </c>
      <c r="N1065" t="s">
        <v>220</v>
      </c>
      <c r="O1065" t="s">
        <v>284</v>
      </c>
      <c r="P1065">
        <v>5.7127801214029959E-3</v>
      </c>
      <c r="Q1065" t="s">
        <v>154</v>
      </c>
      <c r="S1065" t="s">
        <v>251</v>
      </c>
      <c r="T1065" t="s">
        <v>284</v>
      </c>
      <c r="U1065">
        <v>6.2439717833464694E-3</v>
      </c>
      <c r="V1065" t="s">
        <v>154</v>
      </c>
    </row>
    <row r="1066" spans="9:22" x14ac:dyDescent="0.25">
      <c r="I1066" t="s">
        <v>190</v>
      </c>
      <c r="J1066" t="s">
        <v>311</v>
      </c>
      <c r="K1066">
        <v>0</v>
      </c>
      <c r="L1066" t="s">
        <v>154</v>
      </c>
      <c r="N1066" t="s">
        <v>220</v>
      </c>
      <c r="O1066" t="s">
        <v>311</v>
      </c>
      <c r="P1066">
        <v>5.7536658636143101E-3</v>
      </c>
      <c r="Q1066" t="s">
        <v>154</v>
      </c>
      <c r="S1066" t="s">
        <v>251</v>
      </c>
      <c r="T1066" t="s">
        <v>311</v>
      </c>
      <c r="U1066">
        <v>6.1984662280579455E-3</v>
      </c>
      <c r="V1066" t="s">
        <v>154</v>
      </c>
    </row>
    <row r="1067" spans="9:22" x14ac:dyDescent="0.25">
      <c r="I1067" t="s">
        <v>190</v>
      </c>
      <c r="J1067" t="s">
        <v>312</v>
      </c>
      <c r="K1067">
        <v>0</v>
      </c>
      <c r="L1067" t="s">
        <v>154</v>
      </c>
      <c r="N1067" t="s">
        <v>220</v>
      </c>
      <c r="O1067" t="s">
        <v>312</v>
      </c>
      <c r="P1067">
        <v>2.7793873826500195E-2</v>
      </c>
      <c r="Q1067" t="s">
        <v>154</v>
      </c>
      <c r="S1067" t="s">
        <v>251</v>
      </c>
      <c r="T1067" t="s">
        <v>312</v>
      </c>
      <c r="U1067">
        <v>3.3070098195297069E-2</v>
      </c>
      <c r="V1067" t="s">
        <v>154</v>
      </c>
    </row>
    <row r="1068" spans="9:22" x14ac:dyDescent="0.25">
      <c r="I1068" t="s">
        <v>190</v>
      </c>
      <c r="J1068" t="s">
        <v>157</v>
      </c>
      <c r="K1068">
        <v>0</v>
      </c>
      <c r="L1068" t="s">
        <v>154</v>
      </c>
      <c r="N1068" t="s">
        <v>220</v>
      </c>
      <c r="O1068" t="s">
        <v>157</v>
      </c>
      <c r="P1068">
        <v>8.2661332505360261E-3</v>
      </c>
      <c r="Q1068" t="s">
        <v>154</v>
      </c>
      <c r="S1068" t="s">
        <v>251</v>
      </c>
      <c r="T1068" t="s">
        <v>157</v>
      </c>
      <c r="U1068">
        <v>1.1001779890424793E-2</v>
      </c>
      <c r="V1068" t="s">
        <v>154</v>
      </c>
    </row>
    <row r="1069" spans="9:22" x14ac:dyDescent="0.25">
      <c r="I1069" t="s">
        <v>190</v>
      </c>
      <c r="J1069" t="s">
        <v>158</v>
      </c>
      <c r="K1069">
        <v>7.319394757969701E-4</v>
      </c>
      <c r="L1069" t="s">
        <v>154</v>
      </c>
      <c r="N1069" t="s">
        <v>220</v>
      </c>
      <c r="O1069" t="s">
        <v>158</v>
      </c>
      <c r="P1069">
        <v>2.3246491763321011E-3</v>
      </c>
      <c r="Q1069" t="s">
        <v>154</v>
      </c>
      <c r="S1069" t="s">
        <v>251</v>
      </c>
      <c r="T1069" t="s">
        <v>158</v>
      </c>
      <c r="U1069">
        <v>3.7752678169945975E-3</v>
      </c>
      <c r="V1069" t="s">
        <v>154</v>
      </c>
    </row>
    <row r="1070" spans="9:22" x14ac:dyDescent="0.25">
      <c r="I1070" t="s">
        <v>190</v>
      </c>
      <c r="J1070" t="s">
        <v>159</v>
      </c>
      <c r="K1070">
        <v>1.5662637460621672E-3</v>
      </c>
      <c r="L1070" t="s">
        <v>154</v>
      </c>
      <c r="N1070" t="s">
        <v>220</v>
      </c>
      <c r="O1070" t="s">
        <v>159</v>
      </c>
      <c r="P1070">
        <v>1.1669876607469888E-3</v>
      </c>
      <c r="Q1070" t="s">
        <v>154</v>
      </c>
      <c r="S1070" t="s">
        <v>251</v>
      </c>
      <c r="T1070" t="s">
        <v>159</v>
      </c>
      <c r="U1070">
        <v>1.8880487732213032E-3</v>
      </c>
      <c r="V1070" t="s">
        <v>154</v>
      </c>
    </row>
    <row r="1071" spans="9:22" x14ac:dyDescent="0.25">
      <c r="I1071" t="s">
        <v>190</v>
      </c>
      <c r="J1071" t="s">
        <v>285</v>
      </c>
      <c r="K1071">
        <v>1.7819866398025269E-2</v>
      </c>
      <c r="L1071" t="s">
        <v>154</v>
      </c>
      <c r="N1071" t="s">
        <v>220</v>
      </c>
      <c r="O1071" t="s">
        <v>285</v>
      </c>
      <c r="P1071">
        <v>8.1770201442524157E-3</v>
      </c>
      <c r="Q1071" t="s">
        <v>154</v>
      </c>
      <c r="S1071" t="s">
        <v>251</v>
      </c>
      <c r="T1071" t="s">
        <v>285</v>
      </c>
      <c r="U1071">
        <v>1.3725246975248084E-2</v>
      </c>
      <c r="V1071" t="s">
        <v>154</v>
      </c>
    </row>
    <row r="1072" spans="9:22" x14ac:dyDescent="0.25">
      <c r="I1072" t="s">
        <v>190</v>
      </c>
      <c r="J1072" t="s">
        <v>286</v>
      </c>
      <c r="K1072">
        <v>1.5611565139484348E-3</v>
      </c>
      <c r="L1072" t="s">
        <v>154</v>
      </c>
      <c r="N1072" t="s">
        <v>220</v>
      </c>
      <c r="O1072" t="s">
        <v>286</v>
      </c>
      <c r="P1072">
        <v>1.2273104905214567E-3</v>
      </c>
      <c r="Q1072" t="s">
        <v>154</v>
      </c>
      <c r="S1072" t="s">
        <v>251</v>
      </c>
      <c r="T1072" t="s">
        <v>286</v>
      </c>
      <c r="U1072">
        <v>1.9252181334809553E-3</v>
      </c>
      <c r="V1072" t="s">
        <v>154</v>
      </c>
    </row>
    <row r="1073" spans="9:22" x14ac:dyDescent="0.25">
      <c r="I1073" t="s">
        <v>190</v>
      </c>
      <c r="J1073" t="s">
        <v>313</v>
      </c>
      <c r="K1073">
        <v>2.2753732200518814E-7</v>
      </c>
      <c r="L1073" t="s">
        <v>154</v>
      </c>
      <c r="N1073" t="s">
        <v>220</v>
      </c>
      <c r="O1073" t="s">
        <v>313</v>
      </c>
      <c r="P1073">
        <v>1.2239806708414995E-3</v>
      </c>
      <c r="Q1073" t="s">
        <v>154</v>
      </c>
      <c r="S1073" t="s">
        <v>251</v>
      </c>
      <c r="T1073" t="s">
        <v>313</v>
      </c>
      <c r="U1073">
        <v>1.9011449146310046E-3</v>
      </c>
      <c r="V1073" t="s">
        <v>154</v>
      </c>
    </row>
    <row r="1074" spans="9:22" x14ac:dyDescent="0.25">
      <c r="I1074" t="s">
        <v>190</v>
      </c>
      <c r="J1074" t="s">
        <v>314</v>
      </c>
      <c r="K1074">
        <v>0</v>
      </c>
      <c r="L1074" t="s">
        <v>154</v>
      </c>
      <c r="N1074" t="s">
        <v>220</v>
      </c>
      <c r="O1074" t="s">
        <v>314</v>
      </c>
      <c r="P1074">
        <v>5.5298700863951646E-3</v>
      </c>
      <c r="Q1074" t="s">
        <v>154</v>
      </c>
      <c r="S1074" t="s">
        <v>251</v>
      </c>
      <c r="T1074" t="s">
        <v>314</v>
      </c>
      <c r="U1074">
        <v>8.9980292084253007E-3</v>
      </c>
      <c r="V1074" t="s">
        <v>154</v>
      </c>
    </row>
    <row r="1075" spans="9:22" x14ac:dyDescent="0.25">
      <c r="I1075" t="s">
        <v>190</v>
      </c>
      <c r="J1075" t="s">
        <v>160</v>
      </c>
      <c r="K1075">
        <v>9.444910107650209E-3</v>
      </c>
      <c r="L1075" t="s">
        <v>154</v>
      </c>
      <c r="N1075" t="s">
        <v>220</v>
      </c>
      <c r="O1075" t="s">
        <v>160</v>
      </c>
      <c r="P1075">
        <v>0.17306356433076905</v>
      </c>
      <c r="Q1075" t="s">
        <v>154</v>
      </c>
      <c r="S1075" t="s">
        <v>251</v>
      </c>
      <c r="T1075" t="s">
        <v>160</v>
      </c>
      <c r="U1075">
        <v>0.14577736226422647</v>
      </c>
      <c r="V1075" t="s">
        <v>154</v>
      </c>
    </row>
    <row r="1076" spans="9:22" x14ac:dyDescent="0.25">
      <c r="I1076" t="s">
        <v>190</v>
      </c>
      <c r="J1076" t="s">
        <v>161</v>
      </c>
      <c r="K1076">
        <v>8.2109981951125996E-2</v>
      </c>
      <c r="L1076" t="s">
        <v>154</v>
      </c>
      <c r="N1076" t="s">
        <v>220</v>
      </c>
      <c r="O1076" t="s">
        <v>161</v>
      </c>
      <c r="P1076">
        <v>4.2830070587249948E-2</v>
      </c>
      <c r="Q1076" t="s">
        <v>154</v>
      </c>
      <c r="S1076" t="s">
        <v>251</v>
      </c>
      <c r="T1076" t="s">
        <v>161</v>
      </c>
      <c r="U1076">
        <v>3.9050194722157004E-2</v>
      </c>
      <c r="V1076" t="s">
        <v>154</v>
      </c>
    </row>
    <row r="1077" spans="9:22" x14ac:dyDescent="0.25">
      <c r="I1077" t="s">
        <v>190</v>
      </c>
      <c r="J1077" t="s">
        <v>162</v>
      </c>
      <c r="K1077">
        <v>6.6918668412163762E-2</v>
      </c>
      <c r="L1077" t="s">
        <v>154</v>
      </c>
      <c r="N1077" t="s">
        <v>220</v>
      </c>
      <c r="O1077" t="s">
        <v>162</v>
      </c>
      <c r="P1077">
        <v>2.2275852315097572E-2</v>
      </c>
      <c r="Q1077" t="s">
        <v>154</v>
      </c>
      <c r="S1077" t="s">
        <v>251</v>
      </c>
      <c r="T1077" t="s">
        <v>162</v>
      </c>
      <c r="U1077">
        <v>2.0178096224970608E-2</v>
      </c>
      <c r="V1077" t="s">
        <v>154</v>
      </c>
    </row>
    <row r="1078" spans="9:22" x14ac:dyDescent="0.25">
      <c r="I1078" t="s">
        <v>190</v>
      </c>
      <c r="J1078" t="s">
        <v>287</v>
      </c>
      <c r="K1078">
        <v>0.53067383624957176</v>
      </c>
      <c r="L1078" t="s">
        <v>154</v>
      </c>
      <c r="N1078" t="s">
        <v>220</v>
      </c>
      <c r="O1078" t="s">
        <v>287</v>
      </c>
      <c r="P1078">
        <v>0.17544970091233045</v>
      </c>
      <c r="Q1078" t="s">
        <v>154</v>
      </c>
      <c r="S1078" t="s">
        <v>251</v>
      </c>
      <c r="T1078" t="s">
        <v>287</v>
      </c>
      <c r="U1078">
        <v>0.16095982167289474</v>
      </c>
      <c r="V1078" t="s">
        <v>154</v>
      </c>
    </row>
    <row r="1079" spans="9:22" x14ac:dyDescent="0.25">
      <c r="I1079" t="s">
        <v>190</v>
      </c>
      <c r="J1079" t="s">
        <v>288</v>
      </c>
      <c r="K1079">
        <v>4.7132998990573251E-2</v>
      </c>
      <c r="L1079" t="s">
        <v>154</v>
      </c>
      <c r="N1079" t="s">
        <v>220</v>
      </c>
      <c r="O1079" t="s">
        <v>288</v>
      </c>
      <c r="P1079">
        <v>2.6198720709178558E-2</v>
      </c>
      <c r="Q1079" t="s">
        <v>154</v>
      </c>
      <c r="S1079" t="s">
        <v>251</v>
      </c>
      <c r="T1079" t="s">
        <v>288</v>
      </c>
      <c r="U1079">
        <v>2.3942999738231475E-2</v>
      </c>
      <c r="V1079" t="s">
        <v>154</v>
      </c>
    </row>
    <row r="1080" spans="9:22" x14ac:dyDescent="0.25">
      <c r="I1080" t="s">
        <v>190</v>
      </c>
      <c r="J1080" t="s">
        <v>315</v>
      </c>
      <c r="K1080">
        <v>2.6679942565600235E-2</v>
      </c>
      <c r="L1080" t="s">
        <v>154</v>
      </c>
      <c r="N1080" t="s">
        <v>220</v>
      </c>
      <c r="O1080" t="s">
        <v>315</v>
      </c>
      <c r="P1080">
        <v>2.5959688746722297E-2</v>
      </c>
      <c r="Q1080" t="s">
        <v>154</v>
      </c>
      <c r="S1080" t="s">
        <v>251</v>
      </c>
      <c r="T1080" t="s">
        <v>315</v>
      </c>
      <c r="U1080">
        <v>2.2941084644976201E-2</v>
      </c>
      <c r="V1080" t="s">
        <v>154</v>
      </c>
    </row>
    <row r="1081" spans="9:22" x14ac:dyDescent="0.25">
      <c r="I1081" t="s">
        <v>190</v>
      </c>
      <c r="J1081" t="s">
        <v>316</v>
      </c>
      <c r="K1081">
        <v>6.7565966960137815E-3</v>
      </c>
      <c r="L1081" t="s">
        <v>154</v>
      </c>
      <c r="N1081" t="s">
        <v>220</v>
      </c>
      <c r="O1081" t="s">
        <v>316</v>
      </c>
      <c r="P1081">
        <v>0.12115826001221201</v>
      </c>
      <c r="Q1081" t="s">
        <v>154</v>
      </c>
      <c r="S1081" t="s">
        <v>251</v>
      </c>
      <c r="T1081" t="s">
        <v>316</v>
      </c>
      <c r="U1081">
        <v>9.9638811253186577E-2</v>
      </c>
      <c r="V1081" t="s">
        <v>154</v>
      </c>
    </row>
    <row r="1082" spans="9:22" x14ac:dyDescent="0.25">
      <c r="I1082" t="s">
        <v>190</v>
      </c>
      <c r="J1082" t="s">
        <v>163</v>
      </c>
      <c r="K1082">
        <v>0</v>
      </c>
      <c r="L1082" t="s">
        <v>154</v>
      </c>
      <c r="N1082" t="s">
        <v>220</v>
      </c>
      <c r="O1082" t="s">
        <v>163</v>
      </c>
      <c r="P1082">
        <v>1.053384416665889E-2</v>
      </c>
      <c r="Q1082" t="s">
        <v>154</v>
      </c>
      <c r="S1082" t="s">
        <v>251</v>
      </c>
      <c r="T1082" t="s">
        <v>163</v>
      </c>
      <c r="U1082">
        <v>7.4453570947109748E-3</v>
      </c>
      <c r="V1082" t="s">
        <v>154</v>
      </c>
    </row>
    <row r="1083" spans="9:22" x14ac:dyDescent="0.25">
      <c r="I1083" t="s">
        <v>190</v>
      </c>
      <c r="J1083" t="s">
        <v>164</v>
      </c>
      <c r="K1083">
        <v>1.8662748507461621E-3</v>
      </c>
      <c r="L1083" t="s">
        <v>154</v>
      </c>
      <c r="N1083" t="s">
        <v>220</v>
      </c>
      <c r="O1083" t="s">
        <v>164</v>
      </c>
      <c r="P1083">
        <v>2.5519433379427138E-3</v>
      </c>
      <c r="Q1083" t="s">
        <v>154</v>
      </c>
      <c r="S1083" t="s">
        <v>251</v>
      </c>
      <c r="T1083" t="s">
        <v>164</v>
      </c>
      <c r="U1083">
        <v>1.4448487624390699E-3</v>
      </c>
      <c r="V1083" t="s">
        <v>154</v>
      </c>
    </row>
    <row r="1084" spans="9:22" x14ac:dyDescent="0.25">
      <c r="I1084" t="s">
        <v>190</v>
      </c>
      <c r="J1084" t="s">
        <v>165</v>
      </c>
      <c r="K1084">
        <v>1.8238985086174466E-3</v>
      </c>
      <c r="L1084" t="s">
        <v>154</v>
      </c>
      <c r="N1084" t="s">
        <v>220</v>
      </c>
      <c r="O1084" t="s">
        <v>165</v>
      </c>
      <c r="P1084">
        <v>1.3397785234816851E-3</v>
      </c>
      <c r="Q1084" t="s">
        <v>154</v>
      </c>
      <c r="S1084" t="s">
        <v>251</v>
      </c>
      <c r="T1084" t="s">
        <v>165</v>
      </c>
      <c r="U1084">
        <v>6.9472865633929003E-4</v>
      </c>
      <c r="V1084" t="s">
        <v>154</v>
      </c>
    </row>
    <row r="1085" spans="9:22" x14ac:dyDescent="0.25">
      <c r="I1085" t="s">
        <v>190</v>
      </c>
      <c r="J1085" t="s">
        <v>289</v>
      </c>
      <c r="K1085">
        <v>1.445656242061933E-2</v>
      </c>
      <c r="L1085" t="s">
        <v>154</v>
      </c>
      <c r="N1085" t="s">
        <v>220</v>
      </c>
      <c r="O1085" t="s">
        <v>289</v>
      </c>
      <c r="P1085">
        <v>1.027994002629027E-2</v>
      </c>
      <c r="Q1085" t="s">
        <v>154</v>
      </c>
      <c r="S1085" t="s">
        <v>251</v>
      </c>
      <c r="T1085" t="s">
        <v>289</v>
      </c>
      <c r="U1085">
        <v>6.4171996609813159E-3</v>
      </c>
      <c r="V1085" t="s">
        <v>154</v>
      </c>
    </row>
    <row r="1086" spans="9:22" x14ac:dyDescent="0.25">
      <c r="I1086" t="s">
        <v>190</v>
      </c>
      <c r="J1086" t="s">
        <v>290</v>
      </c>
      <c r="K1086">
        <v>7.5328170155537712E-4</v>
      </c>
      <c r="L1086" t="s">
        <v>154</v>
      </c>
      <c r="N1086" t="s">
        <v>220</v>
      </c>
      <c r="O1086" t="s">
        <v>290</v>
      </c>
      <c r="P1086">
        <v>1.5613930348757233E-3</v>
      </c>
      <c r="Q1086" t="s">
        <v>154</v>
      </c>
      <c r="S1086" t="s">
        <v>251</v>
      </c>
      <c r="T1086" t="s">
        <v>290</v>
      </c>
      <c r="U1086">
        <v>1.0255562767425279E-3</v>
      </c>
      <c r="V1086" t="s">
        <v>154</v>
      </c>
    </row>
    <row r="1087" spans="9:22" x14ac:dyDescent="0.25">
      <c r="I1087" t="s">
        <v>190</v>
      </c>
      <c r="J1087" t="s">
        <v>317</v>
      </c>
      <c r="K1087">
        <v>0</v>
      </c>
      <c r="L1087" t="s">
        <v>154</v>
      </c>
      <c r="N1087" t="s">
        <v>220</v>
      </c>
      <c r="O1087" t="s">
        <v>317</v>
      </c>
      <c r="P1087">
        <v>1.5838031747790269E-3</v>
      </c>
      <c r="Q1087" t="s">
        <v>154</v>
      </c>
      <c r="S1087" t="s">
        <v>251</v>
      </c>
      <c r="T1087" t="s">
        <v>317</v>
      </c>
      <c r="U1087">
        <v>1.0428316692123721E-3</v>
      </c>
      <c r="V1087" t="s">
        <v>154</v>
      </c>
    </row>
    <row r="1088" spans="9:22" x14ac:dyDescent="0.25">
      <c r="I1088" t="s">
        <v>190</v>
      </c>
      <c r="J1088" t="s">
        <v>318</v>
      </c>
      <c r="K1088">
        <v>0</v>
      </c>
      <c r="L1088" t="s">
        <v>154</v>
      </c>
      <c r="N1088" t="s">
        <v>220</v>
      </c>
      <c r="O1088" t="s">
        <v>318</v>
      </c>
      <c r="P1088">
        <v>7.7546758912886817E-3</v>
      </c>
      <c r="Q1088" t="s">
        <v>154</v>
      </c>
      <c r="S1088" t="s">
        <v>251</v>
      </c>
      <c r="T1088" t="s">
        <v>318</v>
      </c>
      <c r="U1088">
        <v>4.5814606250629501E-3</v>
      </c>
      <c r="V1088" t="s">
        <v>154</v>
      </c>
    </row>
    <row r="1089" spans="9:22" x14ac:dyDescent="0.25">
      <c r="I1089" t="s">
        <v>190</v>
      </c>
      <c r="J1089" t="s">
        <v>297</v>
      </c>
      <c r="K1089">
        <v>0</v>
      </c>
      <c r="L1089" t="s">
        <v>154</v>
      </c>
      <c r="N1089" t="s">
        <v>220</v>
      </c>
      <c r="O1089" t="s">
        <v>297</v>
      </c>
      <c r="P1089">
        <v>2.3604010386487673E-2</v>
      </c>
      <c r="Q1089" t="s">
        <v>154</v>
      </c>
      <c r="S1089" t="s">
        <v>251</v>
      </c>
      <c r="T1089" t="s">
        <v>297</v>
      </c>
      <c r="U1089">
        <v>2.4581636388149627E-2</v>
      </c>
      <c r="V1089" t="s">
        <v>154</v>
      </c>
    </row>
    <row r="1090" spans="9:22" x14ac:dyDescent="0.25">
      <c r="I1090" t="s">
        <v>190</v>
      </c>
      <c r="J1090" t="s">
        <v>298</v>
      </c>
      <c r="K1090">
        <v>5.0396603897785034E-3</v>
      </c>
      <c r="L1090" t="s">
        <v>154</v>
      </c>
      <c r="N1090" t="s">
        <v>220</v>
      </c>
      <c r="O1090" t="s">
        <v>298</v>
      </c>
      <c r="P1090">
        <v>5.2687225477830776E-3</v>
      </c>
      <c r="Q1090" t="s">
        <v>154</v>
      </c>
      <c r="S1090" t="s">
        <v>251</v>
      </c>
      <c r="T1090" t="s">
        <v>298</v>
      </c>
      <c r="U1090">
        <v>5.6729978754986518E-3</v>
      </c>
      <c r="V1090" t="s">
        <v>154</v>
      </c>
    </row>
    <row r="1091" spans="9:22" x14ac:dyDescent="0.25">
      <c r="I1091" t="s">
        <v>190</v>
      </c>
      <c r="J1091" t="s">
        <v>299</v>
      </c>
      <c r="K1091">
        <v>6.0504508698049431E-3</v>
      </c>
      <c r="L1091" t="s">
        <v>154</v>
      </c>
      <c r="N1091" t="s">
        <v>220</v>
      </c>
      <c r="O1091" t="s">
        <v>299</v>
      </c>
      <c r="P1091">
        <v>2.6713520594056931E-3</v>
      </c>
      <c r="Q1091" t="s">
        <v>154</v>
      </c>
      <c r="S1091" t="s">
        <v>251</v>
      </c>
      <c r="T1091" t="s">
        <v>299</v>
      </c>
      <c r="U1091">
        <v>2.9617207973371357E-3</v>
      </c>
      <c r="V1091" t="s">
        <v>154</v>
      </c>
    </row>
    <row r="1092" spans="9:22" x14ac:dyDescent="0.25">
      <c r="I1092" t="s">
        <v>190</v>
      </c>
      <c r="J1092" t="s">
        <v>300</v>
      </c>
      <c r="K1092">
        <v>4.735328045620759E-2</v>
      </c>
      <c r="L1092" t="s">
        <v>154</v>
      </c>
      <c r="N1092" t="s">
        <v>220</v>
      </c>
      <c r="O1092" t="s">
        <v>300</v>
      </c>
      <c r="P1092">
        <v>2.312944784432593E-2</v>
      </c>
      <c r="Q1092" t="s">
        <v>154</v>
      </c>
      <c r="S1092" t="s">
        <v>251</v>
      </c>
      <c r="T1092" t="s">
        <v>300</v>
      </c>
      <c r="U1092">
        <v>2.4512330318138327E-2</v>
      </c>
      <c r="V1092" t="s">
        <v>154</v>
      </c>
    </row>
    <row r="1093" spans="9:22" x14ac:dyDescent="0.25">
      <c r="I1093" t="s">
        <v>190</v>
      </c>
      <c r="J1093" t="s">
        <v>301</v>
      </c>
      <c r="K1093">
        <v>2.1081237815883183E-3</v>
      </c>
      <c r="L1093" t="s">
        <v>154</v>
      </c>
      <c r="N1093" t="s">
        <v>220</v>
      </c>
      <c r="O1093" t="s">
        <v>301</v>
      </c>
      <c r="P1093">
        <v>3.5700538792453646E-3</v>
      </c>
      <c r="Q1093" t="s">
        <v>154</v>
      </c>
      <c r="S1093" t="s">
        <v>251</v>
      </c>
      <c r="T1093" t="s">
        <v>301</v>
      </c>
      <c r="U1093">
        <v>3.3228960527419433E-3</v>
      </c>
      <c r="V1093" t="s">
        <v>154</v>
      </c>
    </row>
    <row r="1094" spans="9:22" x14ac:dyDescent="0.25">
      <c r="I1094" t="s">
        <v>190</v>
      </c>
      <c r="J1094" t="s">
        <v>319</v>
      </c>
      <c r="K1094">
        <v>0</v>
      </c>
      <c r="L1094" t="s">
        <v>154</v>
      </c>
      <c r="N1094" t="s">
        <v>220</v>
      </c>
      <c r="O1094" t="s">
        <v>319</v>
      </c>
      <c r="P1094">
        <v>3.5103704966634878E-3</v>
      </c>
      <c r="Q1094" t="s">
        <v>154</v>
      </c>
      <c r="S1094" t="s">
        <v>251</v>
      </c>
      <c r="T1094" t="s">
        <v>319</v>
      </c>
      <c r="U1094">
        <v>3.2116888050095606E-3</v>
      </c>
      <c r="V1094" t="s">
        <v>154</v>
      </c>
    </row>
    <row r="1095" spans="9:22" x14ac:dyDescent="0.25">
      <c r="I1095" t="s">
        <v>190</v>
      </c>
      <c r="J1095" t="s">
        <v>320</v>
      </c>
      <c r="K1095">
        <v>0</v>
      </c>
      <c r="L1095" t="s">
        <v>154</v>
      </c>
      <c r="N1095" t="s">
        <v>220</v>
      </c>
      <c r="O1095" t="s">
        <v>320</v>
      </c>
      <c r="P1095">
        <v>1.5870169615140053E-2</v>
      </c>
      <c r="Q1095" t="s">
        <v>154</v>
      </c>
      <c r="S1095" t="s">
        <v>251</v>
      </c>
      <c r="T1095" t="s">
        <v>320</v>
      </c>
      <c r="U1095">
        <v>1.8351049910274714E-2</v>
      </c>
      <c r="V1095" t="s">
        <v>154</v>
      </c>
    </row>
    <row r="1096" spans="9:22" x14ac:dyDescent="0.25">
      <c r="I1096" t="s">
        <v>190</v>
      </c>
      <c r="J1096" t="s">
        <v>302</v>
      </c>
      <c r="K1096">
        <v>0</v>
      </c>
      <c r="L1096" t="s">
        <v>154</v>
      </c>
      <c r="N1096" t="s">
        <v>220</v>
      </c>
      <c r="O1096" t="s">
        <v>302</v>
      </c>
      <c r="P1096">
        <v>4.2070254926012955E-2</v>
      </c>
      <c r="Q1096" t="s">
        <v>154</v>
      </c>
      <c r="S1096" t="s">
        <v>251</v>
      </c>
      <c r="T1096" t="s">
        <v>302</v>
      </c>
      <c r="U1096">
        <v>5.0628292812922422E-2</v>
      </c>
      <c r="V1096" t="s">
        <v>154</v>
      </c>
    </row>
    <row r="1097" spans="9:22" x14ac:dyDescent="0.25">
      <c r="I1097" t="s">
        <v>190</v>
      </c>
      <c r="J1097" t="s">
        <v>303</v>
      </c>
      <c r="K1097">
        <v>2.9324555945805528E-3</v>
      </c>
      <c r="L1097" t="s">
        <v>154</v>
      </c>
      <c r="N1097" t="s">
        <v>220</v>
      </c>
      <c r="O1097" t="s">
        <v>303</v>
      </c>
      <c r="P1097">
        <v>1.1034110914026346E-2</v>
      </c>
      <c r="Q1097" t="s">
        <v>154</v>
      </c>
      <c r="S1097" t="s">
        <v>251</v>
      </c>
      <c r="T1097" t="s">
        <v>303</v>
      </c>
      <c r="U1097">
        <v>1.2377835097380118E-2</v>
      </c>
      <c r="V1097" t="s">
        <v>154</v>
      </c>
    </row>
    <row r="1098" spans="9:22" x14ac:dyDescent="0.25">
      <c r="I1098" t="s">
        <v>190</v>
      </c>
      <c r="J1098" t="s">
        <v>304</v>
      </c>
      <c r="K1098">
        <v>5.2585938031926172E-3</v>
      </c>
      <c r="L1098" t="s">
        <v>154</v>
      </c>
      <c r="N1098" t="s">
        <v>220</v>
      </c>
      <c r="O1098" t="s">
        <v>304</v>
      </c>
      <c r="P1098">
        <v>5.5241200727956692E-3</v>
      </c>
      <c r="Q1098" t="s">
        <v>154</v>
      </c>
      <c r="S1098" t="s">
        <v>251</v>
      </c>
      <c r="T1098" t="s">
        <v>304</v>
      </c>
      <c r="U1098">
        <v>6.4226746085486834E-3</v>
      </c>
      <c r="V1098" t="s">
        <v>154</v>
      </c>
    </row>
    <row r="1099" spans="9:22" x14ac:dyDescent="0.25">
      <c r="I1099" t="s">
        <v>190</v>
      </c>
      <c r="J1099" t="s">
        <v>305</v>
      </c>
      <c r="K1099">
        <v>4.9140556919695218E-2</v>
      </c>
      <c r="L1099" t="s">
        <v>154</v>
      </c>
      <c r="N1099" t="s">
        <v>220</v>
      </c>
      <c r="O1099" t="s">
        <v>305</v>
      </c>
      <c r="P1099">
        <v>4.1065202161571814E-2</v>
      </c>
      <c r="Q1099" t="s">
        <v>154</v>
      </c>
      <c r="S1099" t="s">
        <v>251</v>
      </c>
      <c r="T1099" t="s">
        <v>305</v>
      </c>
      <c r="U1099">
        <v>5.1278462528287147E-2</v>
      </c>
      <c r="V1099" t="s">
        <v>154</v>
      </c>
    </row>
    <row r="1100" spans="9:22" x14ac:dyDescent="0.25">
      <c r="I1100" t="s">
        <v>190</v>
      </c>
      <c r="J1100" t="s">
        <v>306</v>
      </c>
      <c r="K1100">
        <v>8.8504660490705946E-4</v>
      </c>
      <c r="L1100" t="s">
        <v>154</v>
      </c>
      <c r="N1100" t="s">
        <v>220</v>
      </c>
      <c r="O1100" t="s">
        <v>306</v>
      </c>
      <c r="P1100">
        <v>5.9677866032347184E-3</v>
      </c>
      <c r="Q1100" t="s">
        <v>154</v>
      </c>
      <c r="S1100" t="s">
        <v>251</v>
      </c>
      <c r="T1100" t="s">
        <v>306</v>
      </c>
      <c r="U1100">
        <v>7.6908817155609205E-3</v>
      </c>
      <c r="V1100" t="s">
        <v>154</v>
      </c>
    </row>
    <row r="1101" spans="9:22" x14ac:dyDescent="0.25">
      <c r="I1101" t="s">
        <v>190</v>
      </c>
      <c r="J1101" t="s">
        <v>321</v>
      </c>
      <c r="K1101">
        <v>0</v>
      </c>
      <c r="L1101" t="s">
        <v>154</v>
      </c>
      <c r="N1101" t="s">
        <v>220</v>
      </c>
      <c r="O1101" t="s">
        <v>321</v>
      </c>
      <c r="P1101">
        <v>5.9924105099247197E-3</v>
      </c>
      <c r="Q1101" t="s">
        <v>154</v>
      </c>
      <c r="S1101" t="s">
        <v>251</v>
      </c>
      <c r="T1101" t="s">
        <v>321</v>
      </c>
      <c r="U1101">
        <v>7.7304576855876314E-3</v>
      </c>
      <c r="V1101" t="s">
        <v>154</v>
      </c>
    </row>
    <row r="1102" spans="9:22" x14ac:dyDescent="0.25">
      <c r="I1102" t="s">
        <v>190</v>
      </c>
      <c r="J1102" t="s">
        <v>322</v>
      </c>
      <c r="K1102">
        <v>0</v>
      </c>
      <c r="L1102" t="s">
        <v>154</v>
      </c>
      <c r="N1102" t="s">
        <v>220</v>
      </c>
      <c r="O1102" t="s">
        <v>322</v>
      </c>
      <c r="P1102">
        <v>2.9242934641543077E-2</v>
      </c>
      <c r="Q1102" t="s">
        <v>154</v>
      </c>
      <c r="S1102" t="s">
        <v>251</v>
      </c>
      <c r="T1102" t="s">
        <v>322</v>
      </c>
      <c r="U1102">
        <v>4.0709784911319234E-2</v>
      </c>
      <c r="V1102" t="s">
        <v>154</v>
      </c>
    </row>
    <row r="1103" spans="9:22" x14ac:dyDescent="0.25">
      <c r="I1103" t="s">
        <v>191</v>
      </c>
      <c r="J1103" t="s">
        <v>153</v>
      </c>
      <c r="K1103">
        <v>0</v>
      </c>
      <c r="L1103" t="s">
        <v>154</v>
      </c>
      <c r="N1103" t="s">
        <v>221</v>
      </c>
      <c r="O1103" t="s">
        <v>153</v>
      </c>
      <c r="P1103">
        <v>4.2680469656093359E-2</v>
      </c>
      <c r="Q1103" t="s">
        <v>154</v>
      </c>
      <c r="S1103" t="s">
        <v>252</v>
      </c>
      <c r="T1103" t="s">
        <v>153</v>
      </c>
      <c r="U1103">
        <v>4.6301043068234973E-2</v>
      </c>
      <c r="V1103" t="s">
        <v>154</v>
      </c>
    </row>
    <row r="1104" spans="9:22" x14ac:dyDescent="0.25">
      <c r="I1104" t="s">
        <v>191</v>
      </c>
      <c r="J1104" t="s">
        <v>155</v>
      </c>
      <c r="K1104">
        <v>3.556490653810457E-3</v>
      </c>
      <c r="L1104" t="s">
        <v>154</v>
      </c>
      <c r="N1104" t="s">
        <v>221</v>
      </c>
      <c r="O1104" t="s">
        <v>155</v>
      </c>
      <c r="P1104">
        <v>1.0537578980337831E-2</v>
      </c>
      <c r="Q1104" t="s">
        <v>154</v>
      </c>
      <c r="S1104" t="s">
        <v>252</v>
      </c>
      <c r="T1104" t="s">
        <v>155</v>
      </c>
      <c r="U1104">
        <v>1.1130171593261764E-2</v>
      </c>
      <c r="V1104" t="s">
        <v>154</v>
      </c>
    </row>
    <row r="1105" spans="9:22" x14ac:dyDescent="0.25">
      <c r="I1105" t="s">
        <v>191</v>
      </c>
      <c r="J1105" t="s">
        <v>156</v>
      </c>
      <c r="K1105">
        <v>6.4524698529048168E-3</v>
      </c>
      <c r="L1105" t="s">
        <v>154</v>
      </c>
      <c r="N1105" t="s">
        <v>221</v>
      </c>
      <c r="O1105" t="s">
        <v>156</v>
      </c>
      <c r="P1105">
        <v>5.5484743211914088E-3</v>
      </c>
      <c r="Q1105" t="s">
        <v>154</v>
      </c>
      <c r="S1105" t="s">
        <v>252</v>
      </c>
      <c r="T1105" t="s">
        <v>156</v>
      </c>
      <c r="U1105">
        <v>5.1525785588062171E-3</v>
      </c>
      <c r="V1105" t="s">
        <v>154</v>
      </c>
    </row>
    <row r="1106" spans="9:22" x14ac:dyDescent="0.25">
      <c r="I1106" t="s">
        <v>191</v>
      </c>
      <c r="J1106" t="s">
        <v>283</v>
      </c>
      <c r="K1106">
        <v>5.647652013835873E-2</v>
      </c>
      <c r="L1106" t="s">
        <v>154</v>
      </c>
      <c r="N1106" t="s">
        <v>221</v>
      </c>
      <c r="O1106" t="s">
        <v>283</v>
      </c>
      <c r="P1106">
        <v>5.0453520760283734E-2</v>
      </c>
      <c r="Q1106" t="s">
        <v>154</v>
      </c>
      <c r="S1106" t="s">
        <v>252</v>
      </c>
      <c r="T1106" t="s">
        <v>283</v>
      </c>
      <c r="U1106">
        <v>3.7020659245402987E-2</v>
      </c>
      <c r="V1106" t="s">
        <v>154</v>
      </c>
    </row>
    <row r="1107" spans="9:22" x14ac:dyDescent="0.25">
      <c r="I1107" t="s">
        <v>191</v>
      </c>
      <c r="J1107" t="s">
        <v>284</v>
      </c>
      <c r="K1107">
        <v>1.2785847280341526E-3</v>
      </c>
      <c r="L1107" t="s">
        <v>154</v>
      </c>
      <c r="N1107" t="s">
        <v>221</v>
      </c>
      <c r="O1107" t="s">
        <v>284</v>
      </c>
      <c r="P1107">
        <v>6.6273130008616911E-3</v>
      </c>
      <c r="Q1107" t="s">
        <v>154</v>
      </c>
      <c r="S1107" t="s">
        <v>252</v>
      </c>
      <c r="T1107" t="s">
        <v>284</v>
      </c>
      <c r="U1107">
        <v>5.4835996089433858E-3</v>
      </c>
      <c r="V1107" t="s">
        <v>154</v>
      </c>
    </row>
    <row r="1108" spans="9:22" x14ac:dyDescent="0.25">
      <c r="I1108" t="s">
        <v>191</v>
      </c>
      <c r="J1108" t="s">
        <v>311</v>
      </c>
      <c r="K1108">
        <v>0</v>
      </c>
      <c r="L1108" t="s">
        <v>154</v>
      </c>
      <c r="N1108" t="s">
        <v>221</v>
      </c>
      <c r="O1108" t="s">
        <v>311</v>
      </c>
      <c r="P1108">
        <v>6.4846979652022152E-3</v>
      </c>
      <c r="Q1108" t="s">
        <v>154</v>
      </c>
      <c r="S1108" t="s">
        <v>252</v>
      </c>
      <c r="T1108" t="s">
        <v>311</v>
      </c>
      <c r="U1108">
        <v>5.5787665116104257E-3</v>
      </c>
      <c r="V1108" t="s">
        <v>154</v>
      </c>
    </row>
    <row r="1109" spans="9:22" x14ac:dyDescent="0.25">
      <c r="I1109" t="s">
        <v>191</v>
      </c>
      <c r="J1109" t="s">
        <v>312</v>
      </c>
      <c r="K1109">
        <v>0</v>
      </c>
      <c r="L1109" t="s">
        <v>154</v>
      </c>
      <c r="N1109" t="s">
        <v>221</v>
      </c>
      <c r="O1109" t="s">
        <v>312</v>
      </c>
      <c r="P1109">
        <v>2.8670902396887014E-2</v>
      </c>
      <c r="Q1109" t="s">
        <v>154</v>
      </c>
      <c r="S1109" t="s">
        <v>252</v>
      </c>
      <c r="T1109" t="s">
        <v>312</v>
      </c>
      <c r="U1109">
        <v>2.984696243546453E-2</v>
      </c>
      <c r="V1109" t="s">
        <v>154</v>
      </c>
    </row>
    <row r="1110" spans="9:22" x14ac:dyDescent="0.25">
      <c r="I1110" t="s">
        <v>191</v>
      </c>
      <c r="J1110" t="s">
        <v>157</v>
      </c>
      <c r="K1110">
        <v>0</v>
      </c>
      <c r="L1110" t="s">
        <v>154</v>
      </c>
      <c r="N1110" t="s">
        <v>221</v>
      </c>
      <c r="O1110" t="s">
        <v>157</v>
      </c>
      <c r="P1110">
        <v>1.0041667773757725E-2</v>
      </c>
      <c r="Q1110" t="s">
        <v>154</v>
      </c>
      <c r="S1110" t="s">
        <v>252</v>
      </c>
      <c r="T1110" t="s">
        <v>157</v>
      </c>
      <c r="U1110">
        <v>1.0492373351123345E-2</v>
      </c>
      <c r="V1110" t="s">
        <v>154</v>
      </c>
    </row>
    <row r="1111" spans="9:22" x14ac:dyDescent="0.25">
      <c r="I1111" t="s">
        <v>191</v>
      </c>
      <c r="J1111" t="s">
        <v>158</v>
      </c>
      <c r="K1111">
        <v>1.2613377591096865E-3</v>
      </c>
      <c r="L1111" t="s">
        <v>154</v>
      </c>
      <c r="N1111" t="s">
        <v>221</v>
      </c>
      <c r="O1111" t="s">
        <v>158</v>
      </c>
      <c r="P1111">
        <v>2.6537897281585406E-3</v>
      </c>
      <c r="Q1111" t="s">
        <v>154</v>
      </c>
      <c r="S1111" t="s">
        <v>252</v>
      </c>
      <c r="T1111" t="s">
        <v>158</v>
      </c>
      <c r="U1111">
        <v>3.4120482497408005E-3</v>
      </c>
      <c r="V1111" t="s">
        <v>154</v>
      </c>
    </row>
    <row r="1112" spans="9:22" x14ac:dyDescent="0.25">
      <c r="I1112" t="s">
        <v>191</v>
      </c>
      <c r="J1112" t="s">
        <v>159</v>
      </c>
      <c r="K1112">
        <v>1.9130942084998287E-3</v>
      </c>
      <c r="L1112" t="s">
        <v>154</v>
      </c>
      <c r="N1112" t="s">
        <v>221</v>
      </c>
      <c r="O1112" t="s">
        <v>159</v>
      </c>
      <c r="P1112">
        <v>1.4965267106502472E-3</v>
      </c>
      <c r="Q1112" t="s">
        <v>154</v>
      </c>
      <c r="S1112" t="s">
        <v>252</v>
      </c>
      <c r="T1112" t="s">
        <v>159</v>
      </c>
      <c r="U1112">
        <v>1.6685659178220095E-3</v>
      </c>
      <c r="V1112" t="s">
        <v>154</v>
      </c>
    </row>
    <row r="1113" spans="9:22" x14ac:dyDescent="0.25">
      <c r="I1113" t="s">
        <v>191</v>
      </c>
      <c r="J1113" t="s">
        <v>285</v>
      </c>
      <c r="K1113">
        <v>1.5666747099565784E-2</v>
      </c>
      <c r="L1113" t="s">
        <v>154</v>
      </c>
      <c r="N1113" t="s">
        <v>221</v>
      </c>
      <c r="O1113" t="s">
        <v>285</v>
      </c>
      <c r="P1113">
        <v>1.1959423441495353E-2</v>
      </c>
      <c r="Q1113" t="s">
        <v>154</v>
      </c>
      <c r="S1113" t="s">
        <v>252</v>
      </c>
      <c r="T1113" t="s">
        <v>285</v>
      </c>
      <c r="U1113">
        <v>1.1383330204161884E-2</v>
      </c>
      <c r="V1113" t="s">
        <v>154</v>
      </c>
    </row>
    <row r="1114" spans="9:22" x14ac:dyDescent="0.25">
      <c r="I1114" t="s">
        <v>191</v>
      </c>
      <c r="J1114" t="s">
        <v>286</v>
      </c>
      <c r="K1114">
        <v>8.0435807229550164E-4</v>
      </c>
      <c r="L1114" t="s">
        <v>154</v>
      </c>
      <c r="N1114" t="s">
        <v>221</v>
      </c>
      <c r="O1114" t="s">
        <v>286</v>
      </c>
      <c r="P1114">
        <v>1.4886123150082528E-3</v>
      </c>
      <c r="Q1114" t="s">
        <v>154</v>
      </c>
      <c r="S1114" t="s">
        <v>252</v>
      </c>
      <c r="T1114" t="s">
        <v>286</v>
      </c>
      <c r="U1114">
        <v>1.5631001130373902E-3</v>
      </c>
      <c r="V1114" t="s">
        <v>154</v>
      </c>
    </row>
    <row r="1115" spans="9:22" x14ac:dyDescent="0.25">
      <c r="I1115" t="s">
        <v>191</v>
      </c>
      <c r="J1115" t="s">
        <v>313</v>
      </c>
      <c r="K1115">
        <v>0</v>
      </c>
      <c r="L1115" t="s">
        <v>154</v>
      </c>
      <c r="N1115" t="s">
        <v>221</v>
      </c>
      <c r="O1115" t="s">
        <v>313</v>
      </c>
      <c r="P1115">
        <v>1.451129661126733E-3</v>
      </c>
      <c r="Q1115" t="s">
        <v>154</v>
      </c>
      <c r="S1115" t="s">
        <v>252</v>
      </c>
      <c r="T1115" t="s">
        <v>313</v>
      </c>
      <c r="U1115">
        <v>1.5159719760687597E-3</v>
      </c>
      <c r="V1115" t="s">
        <v>154</v>
      </c>
    </row>
    <row r="1116" spans="9:22" x14ac:dyDescent="0.25">
      <c r="I1116" t="s">
        <v>191</v>
      </c>
      <c r="J1116" t="s">
        <v>314</v>
      </c>
      <c r="K1116">
        <v>0</v>
      </c>
      <c r="L1116" t="s">
        <v>154</v>
      </c>
      <c r="N1116" t="s">
        <v>221</v>
      </c>
      <c r="O1116" t="s">
        <v>314</v>
      </c>
      <c r="P1116">
        <v>6.6819114559955413E-3</v>
      </c>
      <c r="Q1116" t="s">
        <v>154</v>
      </c>
      <c r="S1116" t="s">
        <v>252</v>
      </c>
      <c r="T1116" t="s">
        <v>314</v>
      </c>
      <c r="U1116">
        <v>6.8077169982402944E-3</v>
      </c>
      <c r="V1116" t="s">
        <v>154</v>
      </c>
    </row>
    <row r="1117" spans="9:22" x14ac:dyDescent="0.25">
      <c r="I1117" t="s">
        <v>191</v>
      </c>
      <c r="J1117" t="s">
        <v>160</v>
      </c>
      <c r="K1117">
        <v>1.4500806208873573E-2</v>
      </c>
      <c r="L1117" t="s">
        <v>154</v>
      </c>
      <c r="N1117" t="s">
        <v>221</v>
      </c>
      <c r="O1117" t="s">
        <v>160</v>
      </c>
      <c r="P1117">
        <v>0.15922510945744595</v>
      </c>
      <c r="Q1117" t="s">
        <v>154</v>
      </c>
      <c r="S1117" t="s">
        <v>252</v>
      </c>
      <c r="T1117" t="s">
        <v>160</v>
      </c>
      <c r="U1117">
        <v>0.16334039361649794</v>
      </c>
      <c r="V1117" t="s">
        <v>154</v>
      </c>
    </row>
    <row r="1118" spans="9:22" x14ac:dyDescent="0.25">
      <c r="I1118" t="s">
        <v>191</v>
      </c>
      <c r="J1118" t="s">
        <v>161</v>
      </c>
      <c r="K1118">
        <v>8.7291428019275058E-2</v>
      </c>
      <c r="L1118" t="s">
        <v>154</v>
      </c>
      <c r="N1118" t="s">
        <v>221</v>
      </c>
      <c r="O1118" t="s">
        <v>161</v>
      </c>
      <c r="P1118">
        <v>3.7552037000141869E-2</v>
      </c>
      <c r="Q1118" t="s">
        <v>154</v>
      </c>
      <c r="S1118" t="s">
        <v>252</v>
      </c>
      <c r="T1118" t="s">
        <v>161</v>
      </c>
      <c r="U1118">
        <v>4.3316104429232692E-2</v>
      </c>
      <c r="V1118" t="s">
        <v>154</v>
      </c>
    </row>
    <row r="1119" spans="9:22" x14ac:dyDescent="0.25">
      <c r="I1119" t="s">
        <v>191</v>
      </c>
      <c r="J1119" t="s">
        <v>162</v>
      </c>
      <c r="K1119">
        <v>6.8645781417017535E-2</v>
      </c>
      <c r="L1119" t="s">
        <v>154</v>
      </c>
      <c r="N1119" t="s">
        <v>221</v>
      </c>
      <c r="O1119" t="s">
        <v>162</v>
      </c>
      <c r="P1119">
        <v>2.1700898089331958E-2</v>
      </c>
      <c r="Q1119" t="s">
        <v>154</v>
      </c>
      <c r="S1119" t="s">
        <v>252</v>
      </c>
      <c r="T1119" t="s">
        <v>162</v>
      </c>
      <c r="U1119">
        <v>2.253667644288735E-2</v>
      </c>
      <c r="V1119" t="s">
        <v>154</v>
      </c>
    </row>
    <row r="1120" spans="9:22" x14ac:dyDescent="0.25">
      <c r="I1120" t="s">
        <v>191</v>
      </c>
      <c r="J1120" t="s">
        <v>287</v>
      </c>
      <c r="K1120">
        <v>0.53533126198352032</v>
      </c>
      <c r="L1120" t="s">
        <v>154</v>
      </c>
      <c r="N1120" t="s">
        <v>221</v>
      </c>
      <c r="O1120" t="s">
        <v>287</v>
      </c>
      <c r="P1120">
        <v>0.1924295080240869</v>
      </c>
      <c r="Q1120" t="s">
        <v>154</v>
      </c>
      <c r="S1120" t="s">
        <v>252</v>
      </c>
      <c r="T1120" t="s">
        <v>287</v>
      </c>
      <c r="U1120">
        <v>0.17559432589935506</v>
      </c>
      <c r="V1120" t="s">
        <v>154</v>
      </c>
    </row>
    <row r="1121" spans="9:22" x14ac:dyDescent="0.25">
      <c r="I1121" t="s">
        <v>191</v>
      </c>
      <c r="J1121" t="s">
        <v>288</v>
      </c>
      <c r="K1121">
        <v>4.410653739389863E-2</v>
      </c>
      <c r="L1121" t="s">
        <v>154</v>
      </c>
      <c r="N1121" t="s">
        <v>221</v>
      </c>
      <c r="O1121" t="s">
        <v>288</v>
      </c>
      <c r="P1121">
        <v>2.5414698862967669E-2</v>
      </c>
      <c r="Q1121" t="s">
        <v>154</v>
      </c>
      <c r="S1121" t="s">
        <v>252</v>
      </c>
      <c r="T1121" t="s">
        <v>288</v>
      </c>
      <c r="U1121">
        <v>2.5142650015369861E-2</v>
      </c>
      <c r="V1121" t="s">
        <v>154</v>
      </c>
    </row>
    <row r="1122" spans="9:22" x14ac:dyDescent="0.25">
      <c r="I1122" t="s">
        <v>191</v>
      </c>
      <c r="J1122" t="s">
        <v>315</v>
      </c>
      <c r="K1122">
        <v>2.1863809593455977E-2</v>
      </c>
      <c r="L1122" t="s">
        <v>154</v>
      </c>
      <c r="N1122" t="s">
        <v>221</v>
      </c>
      <c r="O1122" t="s">
        <v>315</v>
      </c>
      <c r="P1122">
        <v>2.4293074401815159E-2</v>
      </c>
      <c r="Q1122" t="s">
        <v>154</v>
      </c>
      <c r="S1122" t="s">
        <v>252</v>
      </c>
      <c r="T1122" t="s">
        <v>315</v>
      </c>
      <c r="U1122">
        <v>2.462805112122169E-2</v>
      </c>
      <c r="V1122" t="s">
        <v>154</v>
      </c>
    </row>
    <row r="1123" spans="9:22" x14ac:dyDescent="0.25">
      <c r="I1123" t="s">
        <v>191</v>
      </c>
      <c r="J1123" t="s">
        <v>316</v>
      </c>
      <c r="K1123">
        <v>5.2297289692216364E-3</v>
      </c>
      <c r="L1123" t="s">
        <v>154</v>
      </c>
      <c r="N1123" t="s">
        <v>221</v>
      </c>
      <c r="O1123" t="s">
        <v>316</v>
      </c>
      <c r="P1123">
        <v>0.10722007415208946</v>
      </c>
      <c r="Q1123" t="s">
        <v>154</v>
      </c>
      <c r="S1123" t="s">
        <v>252</v>
      </c>
      <c r="T1123" t="s">
        <v>316</v>
      </c>
      <c r="U1123">
        <v>0.10339056252239033</v>
      </c>
      <c r="V1123" t="s">
        <v>154</v>
      </c>
    </row>
    <row r="1124" spans="9:22" x14ac:dyDescent="0.25">
      <c r="I1124" t="s">
        <v>191</v>
      </c>
      <c r="J1124" t="s">
        <v>163</v>
      </c>
      <c r="K1124">
        <v>0</v>
      </c>
      <c r="L1124" t="s">
        <v>154</v>
      </c>
      <c r="N1124" t="s">
        <v>221</v>
      </c>
      <c r="O1124" t="s">
        <v>163</v>
      </c>
      <c r="P1124">
        <v>9.376956611122823E-3</v>
      </c>
      <c r="Q1124" t="s">
        <v>154</v>
      </c>
      <c r="S1124" t="s">
        <v>252</v>
      </c>
      <c r="T1124" t="s">
        <v>163</v>
      </c>
      <c r="U1124">
        <v>7.3695767639887734E-3</v>
      </c>
      <c r="V1124" t="s">
        <v>154</v>
      </c>
    </row>
    <row r="1125" spans="9:22" x14ac:dyDescent="0.25">
      <c r="I1125" t="s">
        <v>191</v>
      </c>
      <c r="J1125" t="s">
        <v>164</v>
      </c>
      <c r="K1125">
        <v>2.2100746206724625E-3</v>
      </c>
      <c r="L1125" t="s">
        <v>154</v>
      </c>
      <c r="N1125" t="s">
        <v>221</v>
      </c>
      <c r="O1125" t="s">
        <v>164</v>
      </c>
      <c r="P1125">
        <v>1.946442346351309E-3</v>
      </c>
      <c r="Q1125" t="s">
        <v>154</v>
      </c>
      <c r="S1125" t="s">
        <v>252</v>
      </c>
      <c r="T1125" t="s">
        <v>164</v>
      </c>
      <c r="U1125">
        <v>1.631812043824901E-3</v>
      </c>
      <c r="V1125" t="s">
        <v>154</v>
      </c>
    </row>
    <row r="1126" spans="9:22" x14ac:dyDescent="0.25">
      <c r="I1126" t="s">
        <v>191</v>
      </c>
      <c r="J1126" t="s">
        <v>165</v>
      </c>
      <c r="K1126">
        <v>1.9979028564970128E-3</v>
      </c>
      <c r="L1126" t="s">
        <v>154</v>
      </c>
      <c r="N1126" t="s">
        <v>221</v>
      </c>
      <c r="O1126" t="s">
        <v>165</v>
      </c>
      <c r="P1126">
        <v>1.1273087623249977E-3</v>
      </c>
      <c r="Q1126" t="s">
        <v>154</v>
      </c>
      <c r="S1126" t="s">
        <v>252</v>
      </c>
      <c r="T1126" t="s">
        <v>165</v>
      </c>
      <c r="U1126">
        <v>8.0440642511694655E-4</v>
      </c>
      <c r="V1126" t="s">
        <v>154</v>
      </c>
    </row>
    <row r="1127" spans="9:22" x14ac:dyDescent="0.25">
      <c r="I1127" t="s">
        <v>191</v>
      </c>
      <c r="J1127" t="s">
        <v>289</v>
      </c>
      <c r="K1127">
        <v>1.4704653838871569E-2</v>
      </c>
      <c r="L1127" t="s">
        <v>154</v>
      </c>
      <c r="N1127" t="s">
        <v>221</v>
      </c>
      <c r="O1127" t="s">
        <v>289</v>
      </c>
      <c r="P1127">
        <v>9.5631219999089065E-3</v>
      </c>
      <c r="Q1127" t="s">
        <v>154</v>
      </c>
      <c r="S1127" t="s">
        <v>252</v>
      </c>
      <c r="T1127" t="s">
        <v>289</v>
      </c>
      <c r="U1127">
        <v>6.3219377101781287E-3</v>
      </c>
      <c r="V1127" t="s">
        <v>154</v>
      </c>
    </row>
    <row r="1128" spans="9:22" x14ac:dyDescent="0.25">
      <c r="I1128" t="s">
        <v>191</v>
      </c>
      <c r="J1128" t="s">
        <v>290</v>
      </c>
      <c r="K1128">
        <v>8.5237898915556116E-4</v>
      </c>
      <c r="L1128" t="s">
        <v>154</v>
      </c>
      <c r="N1128" t="s">
        <v>221</v>
      </c>
      <c r="O1128" t="s">
        <v>290</v>
      </c>
      <c r="P1128">
        <v>1.4582832871339059E-3</v>
      </c>
      <c r="Q1128" t="s">
        <v>154</v>
      </c>
      <c r="S1128" t="s">
        <v>252</v>
      </c>
      <c r="T1128" t="s">
        <v>290</v>
      </c>
      <c r="U1128">
        <v>9.6438519849409952E-4</v>
      </c>
      <c r="V1128" t="s">
        <v>154</v>
      </c>
    </row>
    <row r="1129" spans="9:22" x14ac:dyDescent="0.25">
      <c r="I1129" t="s">
        <v>191</v>
      </c>
      <c r="J1129" t="s">
        <v>317</v>
      </c>
      <c r="K1129">
        <v>0</v>
      </c>
      <c r="L1129" t="s">
        <v>154</v>
      </c>
      <c r="N1129" t="s">
        <v>221</v>
      </c>
      <c r="O1129" t="s">
        <v>317</v>
      </c>
      <c r="P1129">
        <v>1.5172457160046136E-3</v>
      </c>
      <c r="Q1129" t="s">
        <v>154</v>
      </c>
      <c r="S1129" t="s">
        <v>252</v>
      </c>
      <c r="T1129" t="s">
        <v>317</v>
      </c>
      <c r="U1129">
        <v>9.7783794421287028E-4</v>
      </c>
      <c r="V1129" t="s">
        <v>154</v>
      </c>
    </row>
    <row r="1130" spans="9:22" x14ac:dyDescent="0.25">
      <c r="I1130" t="s">
        <v>191</v>
      </c>
      <c r="J1130" t="s">
        <v>318</v>
      </c>
      <c r="K1130">
        <v>0</v>
      </c>
      <c r="L1130" t="s">
        <v>154</v>
      </c>
      <c r="N1130" t="s">
        <v>221</v>
      </c>
      <c r="O1130" t="s">
        <v>318</v>
      </c>
      <c r="P1130">
        <v>6.5099114704611112E-3</v>
      </c>
      <c r="Q1130" t="s">
        <v>154</v>
      </c>
      <c r="S1130" t="s">
        <v>252</v>
      </c>
      <c r="T1130" t="s">
        <v>318</v>
      </c>
      <c r="U1130">
        <v>4.734390715394764E-3</v>
      </c>
      <c r="V1130" t="s">
        <v>154</v>
      </c>
    </row>
    <row r="1131" spans="9:22" x14ac:dyDescent="0.25">
      <c r="I1131" t="s">
        <v>191</v>
      </c>
      <c r="J1131" t="s">
        <v>297</v>
      </c>
      <c r="K1131">
        <v>0</v>
      </c>
      <c r="L1131" t="s">
        <v>154</v>
      </c>
      <c r="N1131" t="s">
        <v>221</v>
      </c>
      <c r="O1131" t="s">
        <v>297</v>
      </c>
      <c r="P1131">
        <v>2.1445888108020634E-2</v>
      </c>
      <c r="Q1131" t="s">
        <v>154</v>
      </c>
      <c r="S1131" t="s">
        <v>252</v>
      </c>
      <c r="T1131" t="s">
        <v>297</v>
      </c>
      <c r="U1131">
        <v>2.3388694937586149E-2</v>
      </c>
      <c r="V1131" t="s">
        <v>154</v>
      </c>
    </row>
    <row r="1132" spans="9:22" x14ac:dyDescent="0.25">
      <c r="I1132" t="s">
        <v>191</v>
      </c>
      <c r="J1132" t="s">
        <v>298</v>
      </c>
      <c r="K1132">
        <v>5.2842796295649473E-3</v>
      </c>
      <c r="L1132" t="s">
        <v>154</v>
      </c>
      <c r="N1132" t="s">
        <v>221</v>
      </c>
      <c r="O1132" t="s">
        <v>298</v>
      </c>
      <c r="P1132">
        <v>4.3274090087767501E-3</v>
      </c>
      <c r="Q1132" t="s">
        <v>154</v>
      </c>
      <c r="S1132" t="s">
        <v>252</v>
      </c>
      <c r="T1132" t="s">
        <v>298</v>
      </c>
      <c r="U1132">
        <v>5.3639726399476928E-3</v>
      </c>
      <c r="V1132" t="s">
        <v>154</v>
      </c>
    </row>
    <row r="1133" spans="9:22" x14ac:dyDescent="0.25">
      <c r="I1133" t="s">
        <v>191</v>
      </c>
      <c r="J1133" t="s">
        <v>299</v>
      </c>
      <c r="K1133">
        <v>5.9563119940611899E-3</v>
      </c>
      <c r="L1133" t="s">
        <v>154</v>
      </c>
      <c r="N1133" t="s">
        <v>221</v>
      </c>
      <c r="O1133" t="s">
        <v>299</v>
      </c>
      <c r="P1133">
        <v>2.3665610983063913E-3</v>
      </c>
      <c r="Q1133" t="s">
        <v>154</v>
      </c>
      <c r="S1133" t="s">
        <v>252</v>
      </c>
      <c r="T1133" t="s">
        <v>299</v>
      </c>
      <c r="U1133">
        <v>2.9419094070890408E-3</v>
      </c>
      <c r="V1133" t="s">
        <v>154</v>
      </c>
    </row>
    <row r="1134" spans="9:22" x14ac:dyDescent="0.25">
      <c r="I1134" t="s">
        <v>191</v>
      </c>
      <c r="J1134" t="s">
        <v>300</v>
      </c>
      <c r="K1134">
        <v>4.2296686878548366E-2</v>
      </c>
      <c r="L1134" t="s">
        <v>154</v>
      </c>
      <c r="N1134" t="s">
        <v>221</v>
      </c>
      <c r="O1134" t="s">
        <v>300</v>
      </c>
      <c r="P1134">
        <v>2.2453730274392382E-2</v>
      </c>
      <c r="Q1134" t="s">
        <v>154</v>
      </c>
      <c r="S1134" t="s">
        <v>252</v>
      </c>
      <c r="T1134" t="s">
        <v>300</v>
      </c>
      <c r="U1134">
        <v>2.3897726051798417E-2</v>
      </c>
      <c r="V1134" t="s">
        <v>154</v>
      </c>
    </row>
    <row r="1135" spans="9:22" x14ac:dyDescent="0.25">
      <c r="I1135" t="s">
        <v>191</v>
      </c>
      <c r="J1135" t="s">
        <v>301</v>
      </c>
      <c r="K1135">
        <v>3.7085776530597428E-5</v>
      </c>
      <c r="L1135" t="s">
        <v>154</v>
      </c>
      <c r="N1135" t="s">
        <v>221</v>
      </c>
      <c r="O1135" t="s">
        <v>301</v>
      </c>
      <c r="P1135">
        <v>3.1132959425974249E-3</v>
      </c>
      <c r="Q1135" t="s">
        <v>154</v>
      </c>
      <c r="S1135" t="s">
        <v>252</v>
      </c>
      <c r="T1135" t="s">
        <v>301</v>
      </c>
      <c r="U1135">
        <v>3.3254955960679879E-3</v>
      </c>
      <c r="V1135" t="s">
        <v>154</v>
      </c>
    </row>
    <row r="1136" spans="9:22" x14ac:dyDescent="0.25">
      <c r="I1136" t="s">
        <v>191</v>
      </c>
      <c r="J1136" t="s">
        <v>319</v>
      </c>
      <c r="K1136">
        <v>0</v>
      </c>
      <c r="L1136" t="s">
        <v>154</v>
      </c>
      <c r="N1136" t="s">
        <v>221</v>
      </c>
      <c r="O1136" t="s">
        <v>319</v>
      </c>
      <c r="P1136">
        <v>3.0972256401858014E-3</v>
      </c>
      <c r="Q1136" t="s">
        <v>154</v>
      </c>
      <c r="S1136" t="s">
        <v>252</v>
      </c>
      <c r="T1136" t="s">
        <v>319</v>
      </c>
      <c r="U1136">
        <v>3.2268486363355451E-3</v>
      </c>
      <c r="V1136" t="s">
        <v>154</v>
      </c>
    </row>
    <row r="1137" spans="9:22" x14ac:dyDescent="0.25">
      <c r="I1137" t="s">
        <v>191</v>
      </c>
      <c r="J1137" t="s">
        <v>320</v>
      </c>
      <c r="K1137">
        <v>0</v>
      </c>
      <c r="L1137" t="s">
        <v>154</v>
      </c>
      <c r="N1137" t="s">
        <v>221</v>
      </c>
      <c r="O1137" t="s">
        <v>320</v>
      </c>
      <c r="P1137">
        <v>1.4125231595384813E-2</v>
      </c>
      <c r="Q1137" t="s">
        <v>154</v>
      </c>
      <c r="S1137" t="s">
        <v>252</v>
      </c>
      <c r="T1137" t="s">
        <v>320</v>
      </c>
      <c r="U1137">
        <v>1.7228791125313021E-2</v>
      </c>
      <c r="V1137" t="s">
        <v>154</v>
      </c>
    </row>
    <row r="1138" spans="9:22" x14ac:dyDescent="0.25">
      <c r="I1138" t="s">
        <v>191</v>
      </c>
      <c r="J1138" t="s">
        <v>302</v>
      </c>
      <c r="K1138">
        <v>0</v>
      </c>
      <c r="L1138" t="s">
        <v>154</v>
      </c>
      <c r="N1138" t="s">
        <v>221</v>
      </c>
      <c r="O1138" t="s">
        <v>302</v>
      </c>
      <c r="P1138">
        <v>4.0744177937107655E-2</v>
      </c>
      <c r="Q1138" t="s">
        <v>154</v>
      </c>
      <c r="S1138" t="s">
        <v>252</v>
      </c>
      <c r="T1138" t="s">
        <v>302</v>
      </c>
      <c r="U1138">
        <v>4.3460576967968928E-2</v>
      </c>
      <c r="V1138" t="s">
        <v>154</v>
      </c>
    </row>
    <row r="1139" spans="9:22" x14ac:dyDescent="0.25">
      <c r="I1139" t="s">
        <v>191</v>
      </c>
      <c r="J1139" t="s">
        <v>303</v>
      </c>
      <c r="K1139">
        <v>3.7971385710884376E-3</v>
      </c>
      <c r="L1139" t="s">
        <v>154</v>
      </c>
      <c r="N1139" t="s">
        <v>221</v>
      </c>
      <c r="O1139" t="s">
        <v>303</v>
      </c>
      <c r="P1139">
        <v>9.8612574748496128E-3</v>
      </c>
      <c r="Q1139" t="s">
        <v>154</v>
      </c>
      <c r="S1139" t="s">
        <v>252</v>
      </c>
      <c r="T1139" t="s">
        <v>303</v>
      </c>
      <c r="U1139">
        <v>1.16245041884811E-2</v>
      </c>
      <c r="V1139" t="s">
        <v>154</v>
      </c>
    </row>
    <row r="1140" spans="9:22" x14ac:dyDescent="0.25">
      <c r="I1140" t="s">
        <v>191</v>
      </c>
      <c r="J1140" t="s">
        <v>304</v>
      </c>
      <c r="K1140">
        <v>6.5234267681894224E-3</v>
      </c>
      <c r="L1140" t="s">
        <v>154</v>
      </c>
      <c r="N1140" t="s">
        <v>221</v>
      </c>
      <c r="O1140" t="s">
        <v>304</v>
      </c>
      <c r="P1140">
        <v>5.0994685446296151E-3</v>
      </c>
      <c r="Q1140" t="s">
        <v>154</v>
      </c>
      <c r="S1140" t="s">
        <v>252</v>
      </c>
      <c r="T1140" t="s">
        <v>304</v>
      </c>
      <c r="U1140">
        <v>6.0771736372751762E-3</v>
      </c>
      <c r="V1140" t="s">
        <v>154</v>
      </c>
    </row>
    <row r="1141" spans="9:22" x14ac:dyDescent="0.25">
      <c r="I1141" t="s">
        <v>191</v>
      </c>
      <c r="J1141" t="s">
        <v>305</v>
      </c>
      <c r="K1141">
        <v>5.1961103978979684E-2</v>
      </c>
      <c r="L1141" t="s">
        <v>154</v>
      </c>
      <c r="N1141" t="s">
        <v>221</v>
      </c>
      <c r="O1141" t="s">
        <v>305</v>
      </c>
      <c r="P1141">
        <v>4.5325090924284279E-2</v>
      </c>
      <c r="Q1141" t="s">
        <v>154</v>
      </c>
      <c r="S1141" t="s">
        <v>252</v>
      </c>
      <c r="T1141" t="s">
        <v>305</v>
      </c>
      <c r="U1141">
        <v>5.0522719140717064E-2</v>
      </c>
      <c r="V1141" t="s">
        <v>154</v>
      </c>
    </row>
    <row r="1142" spans="9:22" x14ac:dyDescent="0.25">
      <c r="I1142" t="s">
        <v>191</v>
      </c>
      <c r="J1142" t="s">
        <v>306</v>
      </c>
      <c r="K1142">
        <v>0</v>
      </c>
      <c r="L1142" t="s">
        <v>154</v>
      </c>
      <c r="N1142" t="s">
        <v>221</v>
      </c>
      <c r="O1142" t="s">
        <v>306</v>
      </c>
      <c r="P1142">
        <v>6.1026775598648289E-3</v>
      </c>
      <c r="Q1142" t="s">
        <v>154</v>
      </c>
      <c r="S1142" t="s">
        <v>252</v>
      </c>
      <c r="T1142" t="s">
        <v>306</v>
      </c>
      <c r="U1142">
        <v>7.7780131256819122E-3</v>
      </c>
      <c r="V1142" t="s">
        <v>154</v>
      </c>
    </row>
    <row r="1143" spans="9:22" x14ac:dyDescent="0.25">
      <c r="I1143" t="s">
        <v>191</v>
      </c>
      <c r="J1143" t="s">
        <v>321</v>
      </c>
      <c r="K1143">
        <v>0</v>
      </c>
      <c r="L1143" t="s">
        <v>154</v>
      </c>
      <c r="N1143" t="s">
        <v>221</v>
      </c>
      <c r="O1143" t="s">
        <v>321</v>
      </c>
      <c r="P1143">
        <v>6.2047619452499951E-3</v>
      </c>
      <c r="Q1143" t="s">
        <v>154</v>
      </c>
      <c r="S1143" t="s">
        <v>252</v>
      </c>
      <c r="T1143" t="s">
        <v>321</v>
      </c>
      <c r="U1143">
        <v>7.6391536840860553E-3</v>
      </c>
      <c r="V1143" t="s">
        <v>154</v>
      </c>
    </row>
    <row r="1144" spans="9:22" x14ac:dyDescent="0.25">
      <c r="I1144" t="s">
        <v>191</v>
      </c>
      <c r="J1144" t="s">
        <v>322</v>
      </c>
      <c r="K1144">
        <v>0</v>
      </c>
      <c r="L1144" t="s">
        <v>154</v>
      </c>
      <c r="N1144" t="s">
        <v>221</v>
      </c>
      <c r="O1144" t="s">
        <v>322</v>
      </c>
      <c r="P1144">
        <v>2.962253559811015E-2</v>
      </c>
      <c r="Q1144" t="s">
        <v>154</v>
      </c>
      <c r="S1144" t="s">
        <v>252</v>
      </c>
      <c r="T1144" t="s">
        <v>322</v>
      </c>
      <c r="U1144">
        <v>3.5414422181568872E-2</v>
      </c>
      <c r="V1144" t="s">
        <v>154</v>
      </c>
    </row>
    <row r="1145" spans="9:22" x14ac:dyDescent="0.25">
      <c r="I1145" t="s">
        <v>192</v>
      </c>
      <c r="J1145" t="s">
        <v>153</v>
      </c>
      <c r="K1145">
        <v>0</v>
      </c>
      <c r="L1145" t="s">
        <v>154</v>
      </c>
      <c r="N1145" t="s">
        <v>222</v>
      </c>
      <c r="O1145" t="s">
        <v>153</v>
      </c>
      <c r="P1145">
        <v>3.7537774455551981E-2</v>
      </c>
      <c r="Q1145" t="s">
        <v>154</v>
      </c>
      <c r="S1145" t="s">
        <v>253</v>
      </c>
      <c r="T1145" t="s">
        <v>153</v>
      </c>
      <c r="U1145">
        <v>4.590730776425269E-2</v>
      </c>
      <c r="V1145" t="s">
        <v>154</v>
      </c>
    </row>
    <row r="1146" spans="9:22" x14ac:dyDescent="0.25">
      <c r="I1146" t="s">
        <v>192</v>
      </c>
      <c r="J1146" t="s">
        <v>155</v>
      </c>
      <c r="K1146">
        <v>3.9779283142517656E-3</v>
      </c>
      <c r="L1146" t="s">
        <v>154</v>
      </c>
      <c r="N1146" t="s">
        <v>222</v>
      </c>
      <c r="O1146" t="s">
        <v>155</v>
      </c>
      <c r="P1146">
        <v>9.8836036990515228E-3</v>
      </c>
      <c r="Q1146" t="s">
        <v>154</v>
      </c>
      <c r="S1146" t="s">
        <v>253</v>
      </c>
      <c r="T1146" t="s">
        <v>155</v>
      </c>
      <c r="U1146">
        <v>1.1791499144577541E-2</v>
      </c>
      <c r="V1146" t="s">
        <v>154</v>
      </c>
    </row>
    <row r="1147" spans="9:22" x14ac:dyDescent="0.25">
      <c r="I1147" t="s">
        <v>192</v>
      </c>
      <c r="J1147" t="s">
        <v>156</v>
      </c>
      <c r="K1147">
        <v>7.2699294297913792E-3</v>
      </c>
      <c r="L1147" t="s">
        <v>154</v>
      </c>
      <c r="N1147" t="s">
        <v>222</v>
      </c>
      <c r="O1147" t="s">
        <v>156</v>
      </c>
      <c r="P1147">
        <v>5.2126719012985101E-3</v>
      </c>
      <c r="Q1147" t="s">
        <v>154</v>
      </c>
      <c r="S1147" t="s">
        <v>253</v>
      </c>
      <c r="T1147" t="s">
        <v>156</v>
      </c>
      <c r="U1147">
        <v>5.3520508583689529E-3</v>
      </c>
      <c r="V1147" t="s">
        <v>154</v>
      </c>
    </row>
    <row r="1148" spans="9:22" x14ac:dyDescent="0.25">
      <c r="I1148" t="s">
        <v>192</v>
      </c>
      <c r="J1148" t="s">
        <v>283</v>
      </c>
      <c r="K1148">
        <v>5.7949591323658081E-2</v>
      </c>
      <c r="L1148" t="s">
        <v>154</v>
      </c>
      <c r="N1148" t="s">
        <v>222</v>
      </c>
      <c r="O1148" t="s">
        <v>283</v>
      </c>
      <c r="P1148">
        <v>3.8617750799232832E-2</v>
      </c>
      <c r="Q1148" t="s">
        <v>154</v>
      </c>
      <c r="S1148" t="s">
        <v>253</v>
      </c>
      <c r="T1148" t="s">
        <v>283</v>
      </c>
      <c r="U1148">
        <v>3.823334574094002E-2</v>
      </c>
      <c r="V1148" t="s">
        <v>154</v>
      </c>
    </row>
    <row r="1149" spans="9:22" x14ac:dyDescent="0.25">
      <c r="I1149" t="s">
        <v>192</v>
      </c>
      <c r="J1149" t="s">
        <v>284</v>
      </c>
      <c r="K1149">
        <v>1.8455665807137066E-3</v>
      </c>
      <c r="L1149" t="s">
        <v>154</v>
      </c>
      <c r="N1149" t="s">
        <v>222</v>
      </c>
      <c r="O1149" t="s">
        <v>284</v>
      </c>
      <c r="P1149">
        <v>4.2658351499252883E-3</v>
      </c>
      <c r="Q1149" t="s">
        <v>154</v>
      </c>
      <c r="S1149" t="s">
        <v>253</v>
      </c>
      <c r="T1149" t="s">
        <v>284</v>
      </c>
      <c r="U1149">
        <v>5.4076481804271655E-3</v>
      </c>
      <c r="V1149" t="s">
        <v>154</v>
      </c>
    </row>
    <row r="1150" spans="9:22" x14ac:dyDescent="0.25">
      <c r="I1150" t="s">
        <v>192</v>
      </c>
      <c r="J1150" t="s">
        <v>311</v>
      </c>
      <c r="K1150">
        <v>0</v>
      </c>
      <c r="L1150" t="s">
        <v>154</v>
      </c>
      <c r="N1150" t="s">
        <v>222</v>
      </c>
      <c r="O1150" t="s">
        <v>311</v>
      </c>
      <c r="P1150">
        <v>4.160528917907063E-3</v>
      </c>
      <c r="Q1150" t="s">
        <v>154</v>
      </c>
      <c r="S1150" t="s">
        <v>253</v>
      </c>
      <c r="T1150" t="s">
        <v>311</v>
      </c>
      <c r="U1150">
        <v>5.3837137945838033E-3</v>
      </c>
      <c r="V1150" t="s">
        <v>154</v>
      </c>
    </row>
    <row r="1151" spans="9:22" x14ac:dyDescent="0.25">
      <c r="I1151" t="s">
        <v>192</v>
      </c>
      <c r="J1151" t="s">
        <v>312</v>
      </c>
      <c r="K1151">
        <v>0</v>
      </c>
      <c r="L1151" t="s">
        <v>154</v>
      </c>
      <c r="N1151" t="s">
        <v>222</v>
      </c>
      <c r="O1151" t="s">
        <v>312</v>
      </c>
      <c r="P1151">
        <v>2.0507641055471829E-2</v>
      </c>
      <c r="Q1151" t="s">
        <v>154</v>
      </c>
      <c r="S1151" t="s">
        <v>253</v>
      </c>
      <c r="T1151" t="s">
        <v>312</v>
      </c>
      <c r="U1151">
        <v>2.9077030166718049E-2</v>
      </c>
      <c r="V1151" t="s">
        <v>154</v>
      </c>
    </row>
    <row r="1152" spans="9:22" x14ac:dyDescent="0.25">
      <c r="I1152" t="s">
        <v>192</v>
      </c>
      <c r="J1152" t="s">
        <v>157</v>
      </c>
      <c r="K1152">
        <v>0</v>
      </c>
      <c r="L1152" t="s">
        <v>154</v>
      </c>
      <c r="N1152" t="s">
        <v>222</v>
      </c>
      <c r="O1152" t="s">
        <v>157</v>
      </c>
      <c r="P1152">
        <v>4.6014830330549945E-3</v>
      </c>
      <c r="Q1152" t="s">
        <v>154</v>
      </c>
      <c r="S1152" t="s">
        <v>253</v>
      </c>
      <c r="T1152" t="s">
        <v>157</v>
      </c>
      <c r="U1152">
        <v>1.0918021732333371E-2</v>
      </c>
      <c r="V1152" t="s">
        <v>154</v>
      </c>
    </row>
    <row r="1153" spans="9:22" x14ac:dyDescent="0.25">
      <c r="I1153" t="s">
        <v>192</v>
      </c>
      <c r="J1153" t="s">
        <v>158</v>
      </c>
      <c r="K1153">
        <v>1.0218782419639119E-3</v>
      </c>
      <c r="L1153" t="s">
        <v>154</v>
      </c>
      <c r="N1153" t="s">
        <v>222</v>
      </c>
      <c r="O1153" t="s">
        <v>158</v>
      </c>
      <c r="P1153">
        <v>1.0316661406140851E-3</v>
      </c>
      <c r="Q1153" t="s">
        <v>154</v>
      </c>
      <c r="S1153" t="s">
        <v>253</v>
      </c>
      <c r="T1153" t="s">
        <v>158</v>
      </c>
      <c r="U1153">
        <v>3.1380644706780268E-3</v>
      </c>
      <c r="V1153" t="s">
        <v>154</v>
      </c>
    </row>
    <row r="1154" spans="9:22" x14ac:dyDescent="0.25">
      <c r="I1154" t="s">
        <v>192</v>
      </c>
      <c r="J1154" t="s">
        <v>159</v>
      </c>
      <c r="K1154">
        <v>1.9555446502659778E-3</v>
      </c>
      <c r="L1154" t="s">
        <v>154</v>
      </c>
      <c r="N1154" t="s">
        <v>222</v>
      </c>
      <c r="O1154" t="s">
        <v>159</v>
      </c>
      <c r="P1154">
        <v>3.9712436932547586E-4</v>
      </c>
      <c r="Q1154" t="s">
        <v>154</v>
      </c>
      <c r="S1154" t="s">
        <v>253</v>
      </c>
      <c r="T1154" t="s">
        <v>159</v>
      </c>
      <c r="U1154">
        <v>1.5417551802693861E-3</v>
      </c>
      <c r="V1154" t="s">
        <v>154</v>
      </c>
    </row>
    <row r="1155" spans="9:22" x14ac:dyDescent="0.25">
      <c r="I1155" t="s">
        <v>192</v>
      </c>
      <c r="J1155" t="s">
        <v>285</v>
      </c>
      <c r="K1155">
        <v>1.6447051058428912E-2</v>
      </c>
      <c r="L1155" t="s">
        <v>154</v>
      </c>
      <c r="N1155" t="s">
        <v>222</v>
      </c>
      <c r="O1155" t="s">
        <v>285</v>
      </c>
      <c r="P1155">
        <v>6.1478817588445974E-3</v>
      </c>
      <c r="Q1155" t="s">
        <v>154</v>
      </c>
      <c r="S1155" t="s">
        <v>253</v>
      </c>
      <c r="T1155" t="s">
        <v>285</v>
      </c>
      <c r="U1155">
        <v>1.1110313247122484E-2</v>
      </c>
      <c r="V1155" t="s">
        <v>154</v>
      </c>
    </row>
    <row r="1156" spans="9:22" x14ac:dyDescent="0.25">
      <c r="I1156" t="s">
        <v>192</v>
      </c>
      <c r="J1156" t="s">
        <v>286</v>
      </c>
      <c r="K1156">
        <v>9.0480002443215539E-4</v>
      </c>
      <c r="L1156" t="s">
        <v>154</v>
      </c>
      <c r="N1156" t="s">
        <v>222</v>
      </c>
      <c r="O1156" t="s">
        <v>286</v>
      </c>
      <c r="P1156">
        <v>1.1079241831154808E-3</v>
      </c>
      <c r="Q1156" t="s">
        <v>154</v>
      </c>
      <c r="S1156" t="s">
        <v>253</v>
      </c>
      <c r="T1156" t="s">
        <v>286</v>
      </c>
      <c r="U1156">
        <v>1.6782468719222148E-3</v>
      </c>
      <c r="V1156" t="s">
        <v>154</v>
      </c>
    </row>
    <row r="1157" spans="9:22" x14ac:dyDescent="0.25">
      <c r="I1157" t="s">
        <v>192</v>
      </c>
      <c r="J1157" t="s">
        <v>313</v>
      </c>
      <c r="K1157">
        <v>0</v>
      </c>
      <c r="L1157" t="s">
        <v>154</v>
      </c>
      <c r="N1157" t="s">
        <v>222</v>
      </c>
      <c r="O1157" t="s">
        <v>313</v>
      </c>
      <c r="P1157">
        <v>1.046679097543006E-3</v>
      </c>
      <c r="Q1157" t="s">
        <v>154</v>
      </c>
      <c r="S1157" t="s">
        <v>253</v>
      </c>
      <c r="T1157" t="s">
        <v>313</v>
      </c>
      <c r="U1157">
        <v>1.577859873620467E-3</v>
      </c>
      <c r="V1157" t="s">
        <v>154</v>
      </c>
    </row>
    <row r="1158" spans="9:22" x14ac:dyDescent="0.25">
      <c r="I1158" t="s">
        <v>192</v>
      </c>
      <c r="J1158" t="s">
        <v>314</v>
      </c>
      <c r="K1158">
        <v>0</v>
      </c>
      <c r="L1158" t="s">
        <v>154</v>
      </c>
      <c r="N1158" t="s">
        <v>222</v>
      </c>
      <c r="O1158" t="s">
        <v>314</v>
      </c>
      <c r="P1158">
        <v>4.4232201053745592E-3</v>
      </c>
      <c r="Q1158" t="s">
        <v>154</v>
      </c>
      <c r="S1158" t="s">
        <v>253</v>
      </c>
      <c r="T1158" t="s">
        <v>314</v>
      </c>
      <c r="U1158">
        <v>7.4977131525434159E-3</v>
      </c>
      <c r="V1158" t="s">
        <v>154</v>
      </c>
    </row>
    <row r="1159" spans="9:22" x14ac:dyDescent="0.25">
      <c r="I1159" t="s">
        <v>192</v>
      </c>
      <c r="J1159" t="s">
        <v>160</v>
      </c>
      <c r="K1159">
        <v>1.2403131607125762E-2</v>
      </c>
      <c r="L1159" t="s">
        <v>154</v>
      </c>
      <c r="N1159" t="s">
        <v>222</v>
      </c>
      <c r="O1159" t="s">
        <v>160</v>
      </c>
      <c r="P1159">
        <v>0.15876024720897838</v>
      </c>
      <c r="Q1159" t="s">
        <v>154</v>
      </c>
      <c r="S1159" t="s">
        <v>253</v>
      </c>
      <c r="T1159" t="s">
        <v>160</v>
      </c>
      <c r="U1159">
        <v>0.1655476619797947</v>
      </c>
      <c r="V1159" t="s">
        <v>154</v>
      </c>
    </row>
    <row r="1160" spans="9:22" x14ac:dyDescent="0.25">
      <c r="I1160" t="s">
        <v>192</v>
      </c>
      <c r="J1160" t="s">
        <v>161</v>
      </c>
      <c r="K1160">
        <v>8.3879884830602214E-2</v>
      </c>
      <c r="L1160" t="s">
        <v>154</v>
      </c>
      <c r="N1160" t="s">
        <v>222</v>
      </c>
      <c r="O1160" t="s">
        <v>161</v>
      </c>
      <c r="P1160">
        <v>4.0141954701086148E-2</v>
      </c>
      <c r="Q1160" t="s">
        <v>154</v>
      </c>
      <c r="S1160" t="s">
        <v>253</v>
      </c>
      <c r="T1160" t="s">
        <v>161</v>
      </c>
      <c r="U1160">
        <v>4.311499598886781E-2</v>
      </c>
      <c r="V1160" t="s">
        <v>154</v>
      </c>
    </row>
    <row r="1161" spans="9:22" x14ac:dyDescent="0.25">
      <c r="I1161" t="s">
        <v>192</v>
      </c>
      <c r="J1161" t="s">
        <v>162</v>
      </c>
      <c r="K1161">
        <v>6.7786939079497802E-2</v>
      </c>
      <c r="L1161" t="s">
        <v>154</v>
      </c>
      <c r="N1161" t="s">
        <v>222</v>
      </c>
      <c r="O1161" t="s">
        <v>162</v>
      </c>
      <c r="P1161">
        <v>2.5276417673076867E-2</v>
      </c>
      <c r="Q1161" t="s">
        <v>154</v>
      </c>
      <c r="S1161" t="s">
        <v>253</v>
      </c>
      <c r="T1161" t="s">
        <v>162</v>
      </c>
      <c r="U1161">
        <v>2.2734144480570706E-2</v>
      </c>
      <c r="V1161" t="s">
        <v>154</v>
      </c>
    </row>
    <row r="1162" spans="9:22" x14ac:dyDescent="0.25">
      <c r="I1162" t="s">
        <v>192</v>
      </c>
      <c r="J1162" t="s">
        <v>287</v>
      </c>
      <c r="K1162">
        <v>0.53989154409375528</v>
      </c>
      <c r="L1162" t="s">
        <v>154</v>
      </c>
      <c r="N1162" t="s">
        <v>222</v>
      </c>
      <c r="O1162" t="s">
        <v>287</v>
      </c>
      <c r="P1162">
        <v>0.22655841710088093</v>
      </c>
      <c r="Q1162" t="s">
        <v>154</v>
      </c>
      <c r="S1162" t="s">
        <v>253</v>
      </c>
      <c r="T1162" t="s">
        <v>287</v>
      </c>
      <c r="U1162">
        <v>0.17200889511415415</v>
      </c>
      <c r="V1162" t="s">
        <v>154</v>
      </c>
    </row>
    <row r="1163" spans="9:22" x14ac:dyDescent="0.25">
      <c r="I1163" t="s">
        <v>192</v>
      </c>
      <c r="J1163" t="s">
        <v>288</v>
      </c>
      <c r="K1163">
        <v>4.4804000481489206E-2</v>
      </c>
      <c r="L1163" t="s">
        <v>154</v>
      </c>
      <c r="N1163" t="s">
        <v>222</v>
      </c>
      <c r="O1163" t="s">
        <v>288</v>
      </c>
      <c r="P1163">
        <v>2.7884415132321656E-2</v>
      </c>
      <c r="Q1163" t="s">
        <v>154</v>
      </c>
      <c r="S1163" t="s">
        <v>253</v>
      </c>
      <c r="T1163" t="s">
        <v>288</v>
      </c>
      <c r="U1163">
        <v>2.4882520671141883E-2</v>
      </c>
      <c r="V1163" t="s">
        <v>154</v>
      </c>
    </row>
    <row r="1164" spans="9:22" x14ac:dyDescent="0.25">
      <c r="I1164" t="s">
        <v>192</v>
      </c>
      <c r="J1164" t="s">
        <v>315</v>
      </c>
      <c r="K1164">
        <v>2.2164687716077516E-2</v>
      </c>
      <c r="L1164" t="s">
        <v>154</v>
      </c>
      <c r="N1164" t="s">
        <v>222</v>
      </c>
      <c r="O1164" t="s">
        <v>315</v>
      </c>
      <c r="P1164">
        <v>2.6060711964569688E-2</v>
      </c>
      <c r="Q1164" t="s">
        <v>154</v>
      </c>
      <c r="S1164" t="s">
        <v>253</v>
      </c>
      <c r="T1164" t="s">
        <v>315</v>
      </c>
      <c r="U1164">
        <v>2.4366195235771472E-2</v>
      </c>
      <c r="V1164" t="s">
        <v>154</v>
      </c>
    </row>
    <row r="1165" spans="9:22" x14ac:dyDescent="0.25">
      <c r="I1165" t="s">
        <v>192</v>
      </c>
      <c r="J1165" t="s">
        <v>316</v>
      </c>
      <c r="K1165">
        <v>5.3930712554154346E-3</v>
      </c>
      <c r="L1165" t="s">
        <v>154</v>
      </c>
      <c r="N1165" t="s">
        <v>222</v>
      </c>
      <c r="O1165" t="s">
        <v>316</v>
      </c>
      <c r="P1165">
        <v>0.1078607728509805</v>
      </c>
      <c r="Q1165" t="s">
        <v>154</v>
      </c>
      <c r="S1165" t="s">
        <v>253</v>
      </c>
      <c r="T1165" t="s">
        <v>316</v>
      </c>
      <c r="U1165">
        <v>0.10607986694443683</v>
      </c>
      <c r="V1165" t="s">
        <v>154</v>
      </c>
    </row>
    <row r="1166" spans="9:22" x14ac:dyDescent="0.25">
      <c r="I1166" t="s">
        <v>192</v>
      </c>
      <c r="J1166" t="s">
        <v>163</v>
      </c>
      <c r="K1166">
        <v>0</v>
      </c>
      <c r="L1166" t="s">
        <v>154</v>
      </c>
      <c r="N1166" t="s">
        <v>222</v>
      </c>
      <c r="O1166" t="s">
        <v>163</v>
      </c>
      <c r="P1166">
        <v>5.1873840221417352E-3</v>
      </c>
      <c r="Q1166" t="s">
        <v>154</v>
      </c>
      <c r="S1166" t="s">
        <v>253</v>
      </c>
      <c r="T1166" t="s">
        <v>163</v>
      </c>
      <c r="U1166">
        <v>6.6998481680317495E-3</v>
      </c>
      <c r="V1166" t="s">
        <v>154</v>
      </c>
    </row>
    <row r="1167" spans="9:22" x14ac:dyDescent="0.25">
      <c r="I1167" t="s">
        <v>192</v>
      </c>
      <c r="J1167" t="s">
        <v>164</v>
      </c>
      <c r="K1167">
        <v>2.1721873637487923E-3</v>
      </c>
      <c r="L1167" t="s">
        <v>154</v>
      </c>
      <c r="N1167" t="s">
        <v>222</v>
      </c>
      <c r="O1167" t="s">
        <v>164</v>
      </c>
      <c r="P1167">
        <v>1.4564182107651158E-3</v>
      </c>
      <c r="Q1167" t="s">
        <v>154</v>
      </c>
      <c r="S1167" t="s">
        <v>253</v>
      </c>
      <c r="T1167" t="s">
        <v>164</v>
      </c>
      <c r="U1167">
        <v>1.6099386496364635E-3</v>
      </c>
      <c r="V1167" t="s">
        <v>154</v>
      </c>
    </row>
    <row r="1168" spans="9:22" x14ac:dyDescent="0.25">
      <c r="I1168" t="s">
        <v>192</v>
      </c>
      <c r="J1168" t="s">
        <v>165</v>
      </c>
      <c r="K1168">
        <v>2.1633954546629074E-3</v>
      </c>
      <c r="L1168" t="s">
        <v>154</v>
      </c>
      <c r="N1168" t="s">
        <v>222</v>
      </c>
      <c r="O1168" t="s">
        <v>165</v>
      </c>
      <c r="P1168">
        <v>8.267780625272809E-4</v>
      </c>
      <c r="Q1168" t="s">
        <v>154</v>
      </c>
      <c r="S1168" t="s">
        <v>253</v>
      </c>
      <c r="T1168" t="s">
        <v>165</v>
      </c>
      <c r="U1168">
        <v>9.010487786315658E-4</v>
      </c>
      <c r="V1168" t="s">
        <v>154</v>
      </c>
    </row>
    <row r="1169" spans="9:22" x14ac:dyDescent="0.25">
      <c r="I1169" t="s">
        <v>192</v>
      </c>
      <c r="J1169" t="s">
        <v>289</v>
      </c>
      <c r="K1169">
        <v>1.437703505052308E-2</v>
      </c>
      <c r="L1169" t="s">
        <v>154</v>
      </c>
      <c r="N1169" t="s">
        <v>222</v>
      </c>
      <c r="O1169" t="s">
        <v>289</v>
      </c>
      <c r="P1169">
        <v>8.9425615809919264E-3</v>
      </c>
      <c r="Q1169" t="s">
        <v>154</v>
      </c>
      <c r="S1169" t="s">
        <v>253</v>
      </c>
      <c r="T1169" t="s">
        <v>289</v>
      </c>
      <c r="U1169">
        <v>7.1690397005669676E-3</v>
      </c>
      <c r="V1169" t="s">
        <v>154</v>
      </c>
    </row>
    <row r="1170" spans="9:22" x14ac:dyDescent="0.25">
      <c r="I1170" t="s">
        <v>192</v>
      </c>
      <c r="J1170" t="s">
        <v>290</v>
      </c>
      <c r="K1170">
        <v>7.8204554817847287E-4</v>
      </c>
      <c r="L1170" t="s">
        <v>154</v>
      </c>
      <c r="N1170" t="s">
        <v>222</v>
      </c>
      <c r="O1170" t="s">
        <v>290</v>
      </c>
      <c r="P1170">
        <v>1.3297442889093982E-3</v>
      </c>
      <c r="Q1170" t="s">
        <v>154</v>
      </c>
      <c r="S1170" t="s">
        <v>253</v>
      </c>
      <c r="T1170" t="s">
        <v>290</v>
      </c>
      <c r="U1170">
        <v>9.1786104178300432E-4</v>
      </c>
      <c r="V1170" t="s">
        <v>154</v>
      </c>
    </row>
    <row r="1171" spans="9:22" x14ac:dyDescent="0.25">
      <c r="I1171" t="s">
        <v>192</v>
      </c>
      <c r="J1171" t="s">
        <v>317</v>
      </c>
      <c r="K1171">
        <v>0</v>
      </c>
      <c r="L1171" t="s">
        <v>154</v>
      </c>
      <c r="N1171" t="s">
        <v>222</v>
      </c>
      <c r="O1171" t="s">
        <v>317</v>
      </c>
      <c r="P1171">
        <v>1.2681970340581504E-3</v>
      </c>
      <c r="Q1171" t="s">
        <v>154</v>
      </c>
      <c r="S1171" t="s">
        <v>253</v>
      </c>
      <c r="T1171" t="s">
        <v>317</v>
      </c>
      <c r="U1171">
        <v>9.1854155438056927E-4</v>
      </c>
      <c r="V1171" t="s">
        <v>154</v>
      </c>
    </row>
    <row r="1172" spans="9:22" x14ac:dyDescent="0.25">
      <c r="I1172" t="s">
        <v>192</v>
      </c>
      <c r="J1172" t="s">
        <v>318</v>
      </c>
      <c r="K1172">
        <v>0</v>
      </c>
      <c r="L1172" t="s">
        <v>154</v>
      </c>
      <c r="N1172" t="s">
        <v>222</v>
      </c>
      <c r="O1172" t="s">
        <v>318</v>
      </c>
      <c r="P1172">
        <v>3.9982950492673426E-3</v>
      </c>
      <c r="Q1172" t="s">
        <v>154</v>
      </c>
      <c r="S1172" t="s">
        <v>253</v>
      </c>
      <c r="T1172" t="s">
        <v>318</v>
      </c>
      <c r="U1172">
        <v>4.6753254806221785E-3</v>
      </c>
      <c r="V1172" t="s">
        <v>154</v>
      </c>
    </row>
    <row r="1173" spans="9:22" x14ac:dyDescent="0.25">
      <c r="I1173" t="s">
        <v>192</v>
      </c>
      <c r="J1173" t="s">
        <v>297</v>
      </c>
      <c r="K1173">
        <v>0</v>
      </c>
      <c r="L1173" t="s">
        <v>154</v>
      </c>
      <c r="N1173" t="s">
        <v>222</v>
      </c>
      <c r="O1173" t="s">
        <v>297</v>
      </c>
      <c r="P1173">
        <v>2.1920587774832169E-2</v>
      </c>
      <c r="Q1173" t="s">
        <v>154</v>
      </c>
      <c r="S1173" t="s">
        <v>253</v>
      </c>
      <c r="T1173" t="s">
        <v>297</v>
      </c>
      <c r="U1173">
        <v>2.5424027058068493E-2</v>
      </c>
      <c r="V1173" t="s">
        <v>154</v>
      </c>
    </row>
    <row r="1174" spans="9:22" x14ac:dyDescent="0.25">
      <c r="I1174" t="s">
        <v>192</v>
      </c>
      <c r="J1174" t="s">
        <v>298</v>
      </c>
      <c r="K1174">
        <v>4.6200003602440186E-3</v>
      </c>
      <c r="L1174" t="s">
        <v>154</v>
      </c>
      <c r="N1174" t="s">
        <v>222</v>
      </c>
      <c r="O1174" t="s">
        <v>298</v>
      </c>
      <c r="P1174">
        <v>4.8136289395891178E-3</v>
      </c>
      <c r="Q1174" t="s">
        <v>154</v>
      </c>
      <c r="S1174" t="s">
        <v>253</v>
      </c>
      <c r="T1174" t="s">
        <v>298</v>
      </c>
      <c r="U1174">
        <v>6.1308182890528456E-3</v>
      </c>
      <c r="V1174" t="s">
        <v>154</v>
      </c>
    </row>
    <row r="1175" spans="9:22" x14ac:dyDescent="0.25">
      <c r="I1175" t="s">
        <v>192</v>
      </c>
      <c r="J1175" t="s">
        <v>299</v>
      </c>
      <c r="K1175">
        <v>5.4016612424647821E-3</v>
      </c>
      <c r="L1175" t="s">
        <v>154</v>
      </c>
      <c r="N1175" t="s">
        <v>222</v>
      </c>
      <c r="O1175" t="s">
        <v>299</v>
      </c>
      <c r="P1175">
        <v>2.4780406668685139E-3</v>
      </c>
      <c r="Q1175" t="s">
        <v>154</v>
      </c>
      <c r="S1175" t="s">
        <v>253</v>
      </c>
      <c r="T1175" t="s">
        <v>299</v>
      </c>
      <c r="U1175">
        <v>3.1507140855091056E-3</v>
      </c>
      <c r="V1175" t="s">
        <v>154</v>
      </c>
    </row>
    <row r="1176" spans="9:22" x14ac:dyDescent="0.25">
      <c r="I1176" t="s">
        <v>192</v>
      </c>
      <c r="J1176" t="s">
        <v>300</v>
      </c>
      <c r="K1176">
        <v>4.2903077671732084E-2</v>
      </c>
      <c r="L1176" t="s">
        <v>154</v>
      </c>
      <c r="N1176" t="s">
        <v>222</v>
      </c>
      <c r="O1176" t="s">
        <v>300</v>
      </c>
      <c r="P1176">
        <v>2.5972337601077554E-2</v>
      </c>
      <c r="Q1176" t="s">
        <v>154</v>
      </c>
      <c r="S1176" t="s">
        <v>253</v>
      </c>
      <c r="T1176" t="s">
        <v>300</v>
      </c>
      <c r="U1176">
        <v>2.4671808928846763E-2</v>
      </c>
      <c r="V1176" t="s">
        <v>154</v>
      </c>
    </row>
    <row r="1177" spans="9:22" x14ac:dyDescent="0.25">
      <c r="I1177" t="s">
        <v>192</v>
      </c>
      <c r="J1177" t="s">
        <v>301</v>
      </c>
      <c r="K1177">
        <v>2.9614532656741503E-4</v>
      </c>
      <c r="L1177" t="s">
        <v>154</v>
      </c>
      <c r="N1177" t="s">
        <v>222</v>
      </c>
      <c r="O1177" t="s">
        <v>301</v>
      </c>
      <c r="P1177">
        <v>3.2218887222462502E-3</v>
      </c>
      <c r="Q1177" t="s">
        <v>154</v>
      </c>
      <c r="S1177" t="s">
        <v>253</v>
      </c>
      <c r="T1177" t="s">
        <v>301</v>
      </c>
      <c r="U1177">
        <v>3.4157960630457973E-3</v>
      </c>
      <c r="V1177" t="s">
        <v>154</v>
      </c>
    </row>
    <row r="1178" spans="9:22" x14ac:dyDescent="0.25">
      <c r="I1178" t="s">
        <v>192</v>
      </c>
      <c r="J1178" t="s">
        <v>319</v>
      </c>
      <c r="K1178">
        <v>0</v>
      </c>
      <c r="L1178" t="s">
        <v>154</v>
      </c>
      <c r="N1178" t="s">
        <v>222</v>
      </c>
      <c r="O1178" t="s">
        <v>319</v>
      </c>
      <c r="P1178">
        <v>3.2633672398543856E-3</v>
      </c>
      <c r="Q1178" t="s">
        <v>154</v>
      </c>
      <c r="S1178" t="s">
        <v>253</v>
      </c>
      <c r="T1178" t="s">
        <v>319</v>
      </c>
      <c r="U1178">
        <v>3.3517379424967452E-3</v>
      </c>
      <c r="V1178" t="s">
        <v>154</v>
      </c>
    </row>
    <row r="1179" spans="9:22" x14ac:dyDescent="0.25">
      <c r="I1179" t="s">
        <v>192</v>
      </c>
      <c r="J1179" t="s">
        <v>320</v>
      </c>
      <c r="K1179">
        <v>0</v>
      </c>
      <c r="L1179" t="s">
        <v>154</v>
      </c>
      <c r="N1179" t="s">
        <v>222</v>
      </c>
      <c r="O1179" t="s">
        <v>320</v>
      </c>
      <c r="P1179">
        <v>1.6655027679455071E-2</v>
      </c>
      <c r="Q1179" t="s">
        <v>154</v>
      </c>
      <c r="S1179" t="s">
        <v>253</v>
      </c>
      <c r="T1179" t="s">
        <v>320</v>
      </c>
      <c r="U1179">
        <v>1.9392317060181991E-2</v>
      </c>
      <c r="V1179" t="s">
        <v>154</v>
      </c>
    </row>
    <row r="1180" spans="9:22" x14ac:dyDescent="0.25">
      <c r="I1180" t="s">
        <v>192</v>
      </c>
      <c r="J1180" t="s">
        <v>302</v>
      </c>
      <c r="K1180">
        <v>0</v>
      </c>
      <c r="L1180" t="s">
        <v>154</v>
      </c>
      <c r="N1180" t="s">
        <v>222</v>
      </c>
      <c r="O1180" t="s">
        <v>302</v>
      </c>
      <c r="P1180">
        <v>4.3044253682812353E-2</v>
      </c>
      <c r="Q1180" t="s">
        <v>154</v>
      </c>
      <c r="S1180" t="s">
        <v>253</v>
      </c>
      <c r="T1180" t="s">
        <v>302</v>
      </c>
      <c r="U1180">
        <v>4.4499685744756226E-2</v>
      </c>
      <c r="V1180" t="s">
        <v>154</v>
      </c>
    </row>
    <row r="1181" spans="9:22" x14ac:dyDescent="0.25">
      <c r="I1181" t="s">
        <v>192</v>
      </c>
      <c r="J1181" t="s">
        <v>303</v>
      </c>
      <c r="K1181">
        <v>3.1762182161164799E-3</v>
      </c>
      <c r="L1181" t="s">
        <v>154</v>
      </c>
      <c r="N1181" t="s">
        <v>222</v>
      </c>
      <c r="O1181" t="s">
        <v>303</v>
      </c>
      <c r="P1181">
        <v>9.9863610469272546E-3</v>
      </c>
      <c r="Q1181" t="s">
        <v>154</v>
      </c>
      <c r="S1181" t="s">
        <v>253</v>
      </c>
      <c r="T1181" t="s">
        <v>303</v>
      </c>
      <c r="U1181">
        <v>1.1757105765026263E-2</v>
      </c>
      <c r="V1181" t="s">
        <v>154</v>
      </c>
    </row>
    <row r="1182" spans="9:22" x14ac:dyDescent="0.25">
      <c r="I1182" t="s">
        <v>192</v>
      </c>
      <c r="J1182" t="s">
        <v>304</v>
      </c>
      <c r="K1182">
        <v>6.0255686514671227E-3</v>
      </c>
      <c r="L1182" t="s">
        <v>154</v>
      </c>
      <c r="N1182" t="s">
        <v>222</v>
      </c>
      <c r="O1182" t="s">
        <v>304</v>
      </c>
      <c r="P1182">
        <v>5.2684581580895997E-3</v>
      </c>
      <c r="Q1182" t="s">
        <v>154</v>
      </c>
      <c r="S1182" t="s">
        <v>253</v>
      </c>
      <c r="T1182" t="s">
        <v>304</v>
      </c>
      <c r="U1182">
        <v>5.9656021631093077E-3</v>
      </c>
      <c r="V1182" t="s">
        <v>154</v>
      </c>
    </row>
    <row r="1183" spans="9:22" x14ac:dyDescent="0.25">
      <c r="I1183" t="s">
        <v>192</v>
      </c>
      <c r="J1183" t="s">
        <v>305</v>
      </c>
      <c r="K1183">
        <v>5.0387116426826986E-2</v>
      </c>
      <c r="L1183" t="s">
        <v>154</v>
      </c>
      <c r="N1183" t="s">
        <v>222</v>
      </c>
      <c r="O1183" t="s">
        <v>305</v>
      </c>
      <c r="P1183">
        <v>4.6379618144156726E-2</v>
      </c>
      <c r="Q1183" t="s">
        <v>154</v>
      </c>
      <c r="S1183" t="s">
        <v>253</v>
      </c>
      <c r="T1183" t="s">
        <v>305</v>
      </c>
      <c r="U1183">
        <v>4.5066076931937774E-2</v>
      </c>
      <c r="V1183" t="s">
        <v>154</v>
      </c>
    </row>
    <row r="1184" spans="9:22" x14ac:dyDescent="0.25">
      <c r="I1184" t="s">
        <v>192</v>
      </c>
      <c r="J1184" t="s">
        <v>306</v>
      </c>
      <c r="K1184">
        <v>0</v>
      </c>
      <c r="L1184" t="s">
        <v>154</v>
      </c>
      <c r="N1184" t="s">
        <v>222</v>
      </c>
      <c r="O1184" t="s">
        <v>306</v>
      </c>
      <c r="P1184">
        <v>6.0148608234954553E-3</v>
      </c>
      <c r="Q1184" t="s">
        <v>154</v>
      </c>
      <c r="S1184" t="s">
        <v>253</v>
      </c>
      <c r="T1184" t="s">
        <v>306</v>
      </c>
      <c r="U1184">
        <v>6.8552036284612724E-3</v>
      </c>
      <c r="V1184" t="s">
        <v>154</v>
      </c>
    </row>
    <row r="1185" spans="9:22" x14ac:dyDescent="0.25">
      <c r="I1185" t="s">
        <v>192</v>
      </c>
      <c r="J1185" t="s">
        <v>321</v>
      </c>
      <c r="K1185">
        <v>0</v>
      </c>
      <c r="L1185" t="s">
        <v>154</v>
      </c>
      <c r="N1185" t="s">
        <v>222</v>
      </c>
      <c r="O1185" t="s">
        <v>321</v>
      </c>
      <c r="P1185">
        <v>6.0620157573386055E-3</v>
      </c>
      <c r="Q1185" t="s">
        <v>154</v>
      </c>
      <c r="S1185" t="s">
        <v>253</v>
      </c>
      <c r="T1185" t="s">
        <v>321</v>
      </c>
      <c r="U1185">
        <v>6.7428264139620725E-3</v>
      </c>
      <c r="V1185" t="s">
        <v>154</v>
      </c>
    </row>
    <row r="1186" spans="9:22" x14ac:dyDescent="0.25">
      <c r="I1186" t="s">
        <v>192</v>
      </c>
      <c r="J1186" t="s">
        <v>322</v>
      </c>
      <c r="K1186">
        <v>0</v>
      </c>
      <c r="L1186" t="s">
        <v>154</v>
      </c>
      <c r="N1186" t="s">
        <v>222</v>
      </c>
      <c r="O1186" t="s">
        <v>322</v>
      </c>
      <c r="P1186">
        <v>3.0425454216387374E-2</v>
      </c>
      <c r="Q1186" t="s">
        <v>154</v>
      </c>
      <c r="S1186" t="s">
        <v>253</v>
      </c>
      <c r="T1186" t="s">
        <v>322</v>
      </c>
      <c r="U1186">
        <v>3.3335825958801128E-2</v>
      </c>
      <c r="V1186" t="s">
        <v>154</v>
      </c>
    </row>
    <row r="1187" spans="9:22" x14ac:dyDescent="0.25">
      <c r="I1187" t="s">
        <v>193</v>
      </c>
      <c r="J1187" t="s">
        <v>153</v>
      </c>
      <c r="K1187">
        <v>0</v>
      </c>
      <c r="L1187" t="s">
        <v>154</v>
      </c>
      <c r="N1187" t="s">
        <v>223</v>
      </c>
      <c r="O1187" t="s">
        <v>153</v>
      </c>
      <c r="P1187">
        <v>3.8210377337348715E-2</v>
      </c>
      <c r="Q1187" t="s">
        <v>154</v>
      </c>
      <c r="S1187" t="s">
        <v>254</v>
      </c>
      <c r="T1187" t="s">
        <v>153</v>
      </c>
      <c r="U1187">
        <v>2.9774302417782929E-2</v>
      </c>
      <c r="V1187" t="s">
        <v>154</v>
      </c>
    </row>
    <row r="1188" spans="9:22" x14ac:dyDescent="0.25">
      <c r="I1188" t="s">
        <v>193</v>
      </c>
      <c r="J1188" t="s">
        <v>155</v>
      </c>
      <c r="K1188">
        <v>5.2210998729723974E-3</v>
      </c>
      <c r="L1188" t="s">
        <v>154</v>
      </c>
      <c r="N1188" t="s">
        <v>223</v>
      </c>
      <c r="O1188" t="s">
        <v>155</v>
      </c>
      <c r="P1188">
        <v>1.1146479689945442E-2</v>
      </c>
      <c r="Q1188" t="s">
        <v>154</v>
      </c>
      <c r="S1188" t="s">
        <v>254</v>
      </c>
      <c r="T1188" t="s">
        <v>155</v>
      </c>
      <c r="U1188">
        <v>6.7590216458214116E-3</v>
      </c>
      <c r="V1188" t="s">
        <v>154</v>
      </c>
    </row>
    <row r="1189" spans="9:22" x14ac:dyDescent="0.25">
      <c r="I1189" t="s">
        <v>193</v>
      </c>
      <c r="J1189" t="s">
        <v>156</v>
      </c>
      <c r="K1189">
        <v>8.9983750543125053E-3</v>
      </c>
      <c r="L1189" t="s">
        <v>154</v>
      </c>
      <c r="N1189" t="s">
        <v>223</v>
      </c>
      <c r="O1189" t="s">
        <v>156</v>
      </c>
      <c r="P1189">
        <v>6.0212854438870967E-3</v>
      </c>
      <c r="Q1189" t="s">
        <v>154</v>
      </c>
      <c r="S1189" t="s">
        <v>254</v>
      </c>
      <c r="T1189" t="s">
        <v>156</v>
      </c>
      <c r="U1189">
        <v>3.4069257208321439E-3</v>
      </c>
      <c r="V1189" t="s">
        <v>154</v>
      </c>
    </row>
    <row r="1190" spans="9:22" x14ac:dyDescent="0.25">
      <c r="I1190" t="s">
        <v>193</v>
      </c>
      <c r="J1190" t="s">
        <v>283</v>
      </c>
      <c r="K1190">
        <v>6.6592270567334438E-2</v>
      </c>
      <c r="L1190" t="s">
        <v>154</v>
      </c>
      <c r="N1190" t="s">
        <v>223</v>
      </c>
      <c r="O1190" t="s">
        <v>283</v>
      </c>
      <c r="P1190">
        <v>4.5759418391832694E-2</v>
      </c>
      <c r="Q1190" t="s">
        <v>154</v>
      </c>
      <c r="S1190" t="s">
        <v>254</v>
      </c>
      <c r="T1190" t="s">
        <v>283</v>
      </c>
      <c r="U1190">
        <v>2.7562105913531528E-2</v>
      </c>
      <c r="V1190" t="s">
        <v>154</v>
      </c>
    </row>
    <row r="1191" spans="9:22" x14ac:dyDescent="0.25">
      <c r="I1191" t="s">
        <v>193</v>
      </c>
      <c r="J1191" t="s">
        <v>284</v>
      </c>
      <c r="K1191">
        <v>2.1494964144144978E-3</v>
      </c>
      <c r="L1191" t="s">
        <v>154</v>
      </c>
      <c r="N1191" t="s">
        <v>223</v>
      </c>
      <c r="O1191" t="s">
        <v>284</v>
      </c>
      <c r="P1191">
        <v>4.9428096042011113E-3</v>
      </c>
      <c r="Q1191" t="s">
        <v>154</v>
      </c>
      <c r="S1191" t="s">
        <v>254</v>
      </c>
      <c r="T1191" t="s">
        <v>284</v>
      </c>
      <c r="U1191">
        <v>4.1112769777357826E-3</v>
      </c>
      <c r="V1191" t="s">
        <v>154</v>
      </c>
    </row>
    <row r="1192" spans="9:22" x14ac:dyDescent="0.25">
      <c r="I1192" t="s">
        <v>193</v>
      </c>
      <c r="J1192" t="s">
        <v>311</v>
      </c>
      <c r="K1192">
        <v>0</v>
      </c>
      <c r="L1192" t="s">
        <v>154</v>
      </c>
      <c r="N1192" t="s">
        <v>223</v>
      </c>
      <c r="O1192" t="s">
        <v>311</v>
      </c>
      <c r="P1192">
        <v>4.7218995304155334E-3</v>
      </c>
      <c r="Q1192" t="s">
        <v>154</v>
      </c>
      <c r="S1192" t="s">
        <v>254</v>
      </c>
      <c r="T1192" t="s">
        <v>311</v>
      </c>
      <c r="U1192">
        <v>3.7686366992045672E-3</v>
      </c>
      <c r="V1192" t="s">
        <v>154</v>
      </c>
    </row>
    <row r="1193" spans="9:22" x14ac:dyDescent="0.25">
      <c r="I1193" t="s">
        <v>193</v>
      </c>
      <c r="J1193" t="s">
        <v>312</v>
      </c>
      <c r="K1193">
        <v>0</v>
      </c>
      <c r="L1193" t="s">
        <v>154</v>
      </c>
      <c r="N1193" t="s">
        <v>223</v>
      </c>
      <c r="O1193" t="s">
        <v>312</v>
      </c>
      <c r="P1193">
        <v>2.1881614356789529E-2</v>
      </c>
      <c r="Q1193" t="s">
        <v>154</v>
      </c>
      <c r="S1193" t="s">
        <v>254</v>
      </c>
      <c r="T1193" t="s">
        <v>312</v>
      </c>
      <c r="U1193">
        <v>2.0285368984625785E-2</v>
      </c>
      <c r="V1193" t="s">
        <v>154</v>
      </c>
    </row>
    <row r="1194" spans="9:22" x14ac:dyDescent="0.25">
      <c r="I1194" t="s">
        <v>193</v>
      </c>
      <c r="J1194" t="s">
        <v>157</v>
      </c>
      <c r="K1194">
        <v>0</v>
      </c>
      <c r="L1194" t="s">
        <v>154</v>
      </c>
      <c r="N1194" t="s">
        <v>223</v>
      </c>
      <c r="O1194" t="s">
        <v>157</v>
      </c>
      <c r="P1194">
        <v>5.9434387939173959E-3</v>
      </c>
      <c r="Q1194" t="s">
        <v>154</v>
      </c>
      <c r="S1194" t="s">
        <v>254</v>
      </c>
      <c r="T1194" t="s">
        <v>157</v>
      </c>
      <c r="U1194">
        <v>7.4127151769067222E-3</v>
      </c>
      <c r="V1194" t="s">
        <v>154</v>
      </c>
    </row>
    <row r="1195" spans="9:22" x14ac:dyDescent="0.25">
      <c r="I1195" t="s">
        <v>193</v>
      </c>
      <c r="J1195" t="s">
        <v>158</v>
      </c>
      <c r="K1195">
        <v>1.6433812051012788E-3</v>
      </c>
      <c r="L1195" t="s">
        <v>154</v>
      </c>
      <c r="N1195" t="s">
        <v>223</v>
      </c>
      <c r="O1195" t="s">
        <v>158</v>
      </c>
      <c r="P1195">
        <v>1.2944185202355815E-3</v>
      </c>
      <c r="Q1195" t="s">
        <v>154</v>
      </c>
      <c r="S1195" t="s">
        <v>254</v>
      </c>
      <c r="T1195" t="s">
        <v>158</v>
      </c>
      <c r="U1195">
        <v>1.8341275349266252E-3</v>
      </c>
      <c r="V1195" t="s">
        <v>154</v>
      </c>
    </row>
    <row r="1196" spans="9:22" x14ac:dyDescent="0.25">
      <c r="I1196" t="s">
        <v>193</v>
      </c>
      <c r="J1196" t="s">
        <v>159</v>
      </c>
      <c r="K1196">
        <v>2.5768604550297763E-3</v>
      </c>
      <c r="L1196" t="s">
        <v>154</v>
      </c>
      <c r="N1196" t="s">
        <v>223</v>
      </c>
      <c r="O1196" t="s">
        <v>159</v>
      </c>
      <c r="P1196">
        <v>5.5994761758026556E-4</v>
      </c>
      <c r="Q1196" t="s">
        <v>154</v>
      </c>
      <c r="S1196" t="s">
        <v>254</v>
      </c>
      <c r="T1196" t="s">
        <v>159</v>
      </c>
      <c r="U1196">
        <v>8.733000610973825E-4</v>
      </c>
      <c r="V1196" t="s">
        <v>154</v>
      </c>
    </row>
    <row r="1197" spans="9:22" x14ac:dyDescent="0.25">
      <c r="I1197" t="s">
        <v>193</v>
      </c>
      <c r="J1197" t="s">
        <v>285</v>
      </c>
      <c r="K1197">
        <v>1.7052107055798356E-2</v>
      </c>
      <c r="L1197" t="s">
        <v>154</v>
      </c>
      <c r="N1197" t="s">
        <v>223</v>
      </c>
      <c r="O1197" t="s">
        <v>285</v>
      </c>
      <c r="P1197">
        <v>6.7539877548216535E-3</v>
      </c>
      <c r="Q1197" t="s">
        <v>154</v>
      </c>
      <c r="S1197" t="s">
        <v>254</v>
      </c>
      <c r="T1197" t="s">
        <v>285</v>
      </c>
      <c r="U1197">
        <v>5.6832593771248526E-3</v>
      </c>
      <c r="V1197" t="s">
        <v>154</v>
      </c>
    </row>
    <row r="1198" spans="9:22" x14ac:dyDescent="0.25">
      <c r="I1198" t="s">
        <v>193</v>
      </c>
      <c r="J1198" t="s">
        <v>286</v>
      </c>
      <c r="K1198">
        <v>1.0912942018430161E-3</v>
      </c>
      <c r="L1198" t="s">
        <v>154</v>
      </c>
      <c r="N1198" t="s">
        <v>223</v>
      </c>
      <c r="O1198" t="s">
        <v>286</v>
      </c>
      <c r="P1198">
        <v>1.1813208619266124E-3</v>
      </c>
      <c r="Q1198" t="s">
        <v>154</v>
      </c>
      <c r="S1198" t="s">
        <v>254</v>
      </c>
      <c r="T1198" t="s">
        <v>286</v>
      </c>
      <c r="U1198">
        <v>8.8675210086160334E-4</v>
      </c>
      <c r="V1198" t="s">
        <v>154</v>
      </c>
    </row>
    <row r="1199" spans="9:22" x14ac:dyDescent="0.25">
      <c r="I1199" t="s">
        <v>193</v>
      </c>
      <c r="J1199" t="s">
        <v>313</v>
      </c>
      <c r="K1199">
        <v>0</v>
      </c>
      <c r="L1199" t="s">
        <v>154</v>
      </c>
      <c r="N1199" t="s">
        <v>223</v>
      </c>
      <c r="O1199" t="s">
        <v>313</v>
      </c>
      <c r="P1199">
        <v>1.1540580282129844E-3</v>
      </c>
      <c r="Q1199" t="s">
        <v>154</v>
      </c>
      <c r="S1199" t="s">
        <v>254</v>
      </c>
      <c r="T1199" t="s">
        <v>313</v>
      </c>
      <c r="U1199">
        <v>7.5233899331149758E-4</v>
      </c>
      <c r="V1199" t="s">
        <v>154</v>
      </c>
    </row>
    <row r="1200" spans="9:22" x14ac:dyDescent="0.25">
      <c r="I1200" t="s">
        <v>193</v>
      </c>
      <c r="J1200" t="s">
        <v>314</v>
      </c>
      <c r="K1200">
        <v>0</v>
      </c>
      <c r="L1200" t="s">
        <v>154</v>
      </c>
      <c r="N1200" t="s">
        <v>223</v>
      </c>
      <c r="O1200" t="s">
        <v>314</v>
      </c>
      <c r="P1200">
        <v>4.8473185010492435E-3</v>
      </c>
      <c r="Q1200" t="s">
        <v>154</v>
      </c>
      <c r="S1200" t="s">
        <v>254</v>
      </c>
      <c r="T1200" t="s">
        <v>314</v>
      </c>
      <c r="U1200">
        <v>5.3100758759846451E-3</v>
      </c>
      <c r="V1200" t="s">
        <v>154</v>
      </c>
    </row>
    <row r="1201" spans="9:22" x14ac:dyDescent="0.25">
      <c r="I1201" t="s">
        <v>193</v>
      </c>
      <c r="J1201" t="s">
        <v>160</v>
      </c>
      <c r="K1201">
        <v>1.2969214820053405E-2</v>
      </c>
      <c r="L1201" t="s">
        <v>154</v>
      </c>
      <c r="N1201" t="s">
        <v>223</v>
      </c>
      <c r="O1201" t="s">
        <v>160</v>
      </c>
      <c r="P1201">
        <v>0.14750754281310452</v>
      </c>
      <c r="Q1201" t="s">
        <v>154</v>
      </c>
      <c r="S1201" t="s">
        <v>254</v>
      </c>
      <c r="T1201" t="s">
        <v>160</v>
      </c>
      <c r="U1201">
        <v>0.19266527805615988</v>
      </c>
      <c r="V1201" t="s">
        <v>154</v>
      </c>
    </row>
    <row r="1202" spans="9:22" x14ac:dyDescent="0.25">
      <c r="I1202" t="s">
        <v>193</v>
      </c>
      <c r="J1202" t="s">
        <v>161</v>
      </c>
      <c r="K1202">
        <v>8.6398076003027388E-2</v>
      </c>
      <c r="L1202" t="s">
        <v>154</v>
      </c>
      <c r="N1202" t="s">
        <v>223</v>
      </c>
      <c r="O1202" t="s">
        <v>161</v>
      </c>
      <c r="P1202">
        <v>3.5543263352738108E-2</v>
      </c>
      <c r="Q1202" t="s">
        <v>154</v>
      </c>
      <c r="S1202" t="s">
        <v>254</v>
      </c>
      <c r="T1202" t="s">
        <v>161</v>
      </c>
      <c r="U1202">
        <v>4.636704548037153E-2</v>
      </c>
      <c r="V1202" t="s">
        <v>154</v>
      </c>
    </row>
    <row r="1203" spans="9:22" x14ac:dyDescent="0.25">
      <c r="I1203" t="s">
        <v>193</v>
      </c>
      <c r="J1203" t="s">
        <v>162</v>
      </c>
      <c r="K1203">
        <v>6.8164476045492597E-2</v>
      </c>
      <c r="L1203" t="s">
        <v>154</v>
      </c>
      <c r="N1203" t="s">
        <v>223</v>
      </c>
      <c r="O1203" t="s">
        <v>162</v>
      </c>
      <c r="P1203">
        <v>2.22058491655279E-2</v>
      </c>
      <c r="Q1203" t="s">
        <v>154</v>
      </c>
      <c r="S1203" t="s">
        <v>254</v>
      </c>
      <c r="T1203" t="s">
        <v>162</v>
      </c>
      <c r="U1203">
        <v>2.3352950757365373E-2</v>
      </c>
      <c r="V1203" t="s">
        <v>154</v>
      </c>
    </row>
    <row r="1204" spans="9:22" x14ac:dyDescent="0.25">
      <c r="I1204" t="s">
        <v>193</v>
      </c>
      <c r="J1204" t="s">
        <v>287</v>
      </c>
      <c r="K1204">
        <v>0.5180711850193146</v>
      </c>
      <c r="L1204" t="s">
        <v>154</v>
      </c>
      <c r="N1204" t="s">
        <v>223</v>
      </c>
      <c r="O1204" t="s">
        <v>287</v>
      </c>
      <c r="P1204">
        <v>0.21859853314785335</v>
      </c>
      <c r="Q1204" t="s">
        <v>154</v>
      </c>
      <c r="S1204" t="s">
        <v>254</v>
      </c>
      <c r="T1204" t="s">
        <v>287</v>
      </c>
      <c r="U1204">
        <v>0.18036368548892975</v>
      </c>
      <c r="V1204" t="s">
        <v>154</v>
      </c>
    </row>
    <row r="1205" spans="9:22" x14ac:dyDescent="0.25">
      <c r="I1205" t="s">
        <v>193</v>
      </c>
      <c r="J1205" t="s">
        <v>288</v>
      </c>
      <c r="K1205">
        <v>4.1577998611653157E-2</v>
      </c>
      <c r="L1205" t="s">
        <v>154</v>
      </c>
      <c r="N1205" t="s">
        <v>223</v>
      </c>
      <c r="O1205" t="s">
        <v>288</v>
      </c>
      <c r="P1205">
        <v>2.8254902892942232E-2</v>
      </c>
      <c r="Q1205" t="s">
        <v>154</v>
      </c>
      <c r="S1205" t="s">
        <v>254</v>
      </c>
      <c r="T1205" t="s">
        <v>288</v>
      </c>
      <c r="U1205">
        <v>2.9387890970470659E-2</v>
      </c>
      <c r="V1205" t="s">
        <v>154</v>
      </c>
    </row>
    <row r="1206" spans="9:22" x14ac:dyDescent="0.25">
      <c r="I1206" t="s">
        <v>193</v>
      </c>
      <c r="J1206" t="s">
        <v>315</v>
      </c>
      <c r="K1206">
        <v>1.9480992738794514E-2</v>
      </c>
      <c r="L1206" t="s">
        <v>154</v>
      </c>
      <c r="N1206" t="s">
        <v>223</v>
      </c>
      <c r="O1206" t="s">
        <v>315</v>
      </c>
      <c r="P1206">
        <v>2.6820471373901797E-2</v>
      </c>
      <c r="Q1206" t="s">
        <v>154</v>
      </c>
      <c r="S1206" t="s">
        <v>254</v>
      </c>
      <c r="T1206" t="s">
        <v>315</v>
      </c>
      <c r="U1206">
        <v>2.6153185611446972E-2</v>
      </c>
      <c r="V1206" t="s">
        <v>154</v>
      </c>
    </row>
    <row r="1207" spans="9:22" x14ac:dyDescent="0.25">
      <c r="I1207" t="s">
        <v>193</v>
      </c>
      <c r="J1207" t="s">
        <v>316</v>
      </c>
      <c r="K1207">
        <v>3.8467705447482736E-3</v>
      </c>
      <c r="L1207" t="s">
        <v>154</v>
      </c>
      <c r="N1207" t="s">
        <v>223</v>
      </c>
      <c r="O1207" t="s">
        <v>316</v>
      </c>
      <c r="P1207">
        <v>0.10868380900403926</v>
      </c>
      <c r="Q1207" t="s">
        <v>154</v>
      </c>
      <c r="S1207" t="s">
        <v>254</v>
      </c>
      <c r="T1207" t="s">
        <v>316</v>
      </c>
      <c r="U1207">
        <v>0.14212827493679284</v>
      </c>
      <c r="V1207" t="s">
        <v>154</v>
      </c>
    </row>
    <row r="1208" spans="9:22" x14ac:dyDescent="0.25">
      <c r="I1208" t="s">
        <v>193</v>
      </c>
      <c r="J1208" t="s">
        <v>163</v>
      </c>
      <c r="K1208">
        <v>0</v>
      </c>
      <c r="L1208" t="s">
        <v>154</v>
      </c>
      <c r="N1208" t="s">
        <v>223</v>
      </c>
      <c r="O1208" t="s">
        <v>163</v>
      </c>
      <c r="P1208">
        <v>7.026302718335457E-3</v>
      </c>
      <c r="Q1208" t="s">
        <v>154</v>
      </c>
      <c r="S1208" t="s">
        <v>254</v>
      </c>
      <c r="T1208" t="s">
        <v>163</v>
      </c>
      <c r="U1208">
        <v>1.2359898527380555E-2</v>
      </c>
      <c r="V1208" t="s">
        <v>154</v>
      </c>
    </row>
    <row r="1209" spans="9:22" x14ac:dyDescent="0.25">
      <c r="I1209" t="s">
        <v>193</v>
      </c>
      <c r="J1209" t="s">
        <v>164</v>
      </c>
      <c r="K1209">
        <v>2.1062498473221241E-3</v>
      </c>
      <c r="L1209" t="s">
        <v>154</v>
      </c>
      <c r="N1209" t="s">
        <v>223</v>
      </c>
      <c r="O1209" t="s">
        <v>164</v>
      </c>
      <c r="P1209">
        <v>1.5588481842036637E-3</v>
      </c>
      <c r="Q1209" t="s">
        <v>154</v>
      </c>
      <c r="S1209" t="s">
        <v>254</v>
      </c>
      <c r="T1209" t="s">
        <v>164</v>
      </c>
      <c r="U1209">
        <v>3.5217014030175142E-3</v>
      </c>
      <c r="V1209" t="s">
        <v>154</v>
      </c>
    </row>
    <row r="1210" spans="9:22" x14ac:dyDescent="0.25">
      <c r="I1210" t="s">
        <v>193</v>
      </c>
      <c r="J1210" t="s">
        <v>165</v>
      </c>
      <c r="K1210">
        <v>1.9217736464521428E-3</v>
      </c>
      <c r="L1210" t="s">
        <v>154</v>
      </c>
      <c r="N1210" t="s">
        <v>223</v>
      </c>
      <c r="O1210" t="s">
        <v>165</v>
      </c>
      <c r="P1210">
        <v>1.0012566309178499E-3</v>
      </c>
      <c r="Q1210" t="s">
        <v>154</v>
      </c>
      <c r="S1210" t="s">
        <v>254</v>
      </c>
      <c r="T1210" t="s">
        <v>165</v>
      </c>
      <c r="U1210">
        <v>1.7940102520393676E-3</v>
      </c>
      <c r="V1210" t="s">
        <v>154</v>
      </c>
    </row>
    <row r="1211" spans="9:22" x14ac:dyDescent="0.25">
      <c r="I1211" t="s">
        <v>193</v>
      </c>
      <c r="J1211" t="s">
        <v>289</v>
      </c>
      <c r="K1211">
        <v>1.2592779898609928E-2</v>
      </c>
      <c r="L1211" t="s">
        <v>154</v>
      </c>
      <c r="N1211" t="s">
        <v>223</v>
      </c>
      <c r="O1211" t="s">
        <v>289</v>
      </c>
      <c r="P1211">
        <v>9.16997675208466E-3</v>
      </c>
      <c r="Q1211" t="s">
        <v>154</v>
      </c>
      <c r="S1211" t="s">
        <v>254</v>
      </c>
      <c r="T1211" t="s">
        <v>289</v>
      </c>
      <c r="U1211">
        <v>1.2444294200650411E-2</v>
      </c>
      <c r="V1211" t="s">
        <v>154</v>
      </c>
    </row>
    <row r="1212" spans="9:22" x14ac:dyDescent="0.25">
      <c r="I1212" t="s">
        <v>193</v>
      </c>
      <c r="J1212" t="s">
        <v>290</v>
      </c>
      <c r="K1212">
        <v>6.8223227861146729E-4</v>
      </c>
      <c r="L1212" t="s">
        <v>154</v>
      </c>
      <c r="N1212" t="s">
        <v>223</v>
      </c>
      <c r="O1212" t="s">
        <v>290</v>
      </c>
      <c r="P1212">
        <v>1.2456572384963443E-3</v>
      </c>
      <c r="Q1212" t="s">
        <v>154</v>
      </c>
      <c r="S1212" t="s">
        <v>254</v>
      </c>
      <c r="T1212" t="s">
        <v>290</v>
      </c>
      <c r="U1212">
        <v>1.9215213692093172E-3</v>
      </c>
      <c r="V1212" t="s">
        <v>154</v>
      </c>
    </row>
    <row r="1213" spans="9:22" x14ac:dyDescent="0.25">
      <c r="I1213" t="s">
        <v>193</v>
      </c>
      <c r="J1213" t="s">
        <v>317</v>
      </c>
      <c r="K1213">
        <v>0</v>
      </c>
      <c r="L1213" t="s">
        <v>154</v>
      </c>
      <c r="N1213" t="s">
        <v>223</v>
      </c>
      <c r="O1213" t="s">
        <v>317</v>
      </c>
      <c r="P1213">
        <v>1.2427820775641617E-3</v>
      </c>
      <c r="Q1213" t="s">
        <v>154</v>
      </c>
      <c r="S1213" t="s">
        <v>254</v>
      </c>
      <c r="T1213" t="s">
        <v>317</v>
      </c>
      <c r="U1213">
        <v>1.8204598334863567E-3</v>
      </c>
      <c r="V1213" t="s">
        <v>154</v>
      </c>
    </row>
    <row r="1214" spans="9:22" x14ac:dyDescent="0.25">
      <c r="I1214" t="s">
        <v>193</v>
      </c>
      <c r="J1214" t="s">
        <v>318</v>
      </c>
      <c r="K1214">
        <v>0</v>
      </c>
      <c r="L1214" t="s">
        <v>154</v>
      </c>
      <c r="N1214" t="s">
        <v>223</v>
      </c>
      <c r="O1214" t="s">
        <v>318</v>
      </c>
      <c r="P1214">
        <v>5.0217264095298855E-3</v>
      </c>
      <c r="Q1214" t="s">
        <v>154</v>
      </c>
      <c r="S1214" t="s">
        <v>254</v>
      </c>
      <c r="T1214" t="s">
        <v>318</v>
      </c>
      <c r="U1214">
        <v>9.2972606317067875E-3</v>
      </c>
      <c r="V1214" t="s">
        <v>154</v>
      </c>
    </row>
    <row r="1215" spans="9:22" x14ac:dyDescent="0.25">
      <c r="I1215" t="s">
        <v>193</v>
      </c>
      <c r="J1215" t="s">
        <v>297</v>
      </c>
      <c r="K1215">
        <v>0</v>
      </c>
      <c r="L1215" t="s">
        <v>154</v>
      </c>
      <c r="N1215" t="s">
        <v>223</v>
      </c>
      <c r="O1215" t="s">
        <v>297</v>
      </c>
      <c r="P1215">
        <v>2.2029196888879089E-2</v>
      </c>
      <c r="Q1215" t="s">
        <v>154</v>
      </c>
      <c r="S1215" t="s">
        <v>254</v>
      </c>
      <c r="T1215" t="s">
        <v>297</v>
      </c>
      <c r="U1215">
        <v>1.8917647150083133E-2</v>
      </c>
      <c r="V1215" t="s">
        <v>154</v>
      </c>
    </row>
    <row r="1216" spans="9:22" x14ac:dyDescent="0.25">
      <c r="I1216" t="s">
        <v>193</v>
      </c>
      <c r="J1216" t="s">
        <v>298</v>
      </c>
      <c r="K1216">
        <v>6.8714530848616711E-3</v>
      </c>
      <c r="L1216" t="s">
        <v>154</v>
      </c>
      <c r="N1216" t="s">
        <v>223</v>
      </c>
      <c r="O1216" t="s">
        <v>298</v>
      </c>
      <c r="P1216">
        <v>4.7980958569219176E-3</v>
      </c>
      <c r="Q1216" t="s">
        <v>154</v>
      </c>
      <c r="S1216" t="s">
        <v>254</v>
      </c>
      <c r="T1216" t="s">
        <v>298</v>
      </c>
      <c r="U1216">
        <v>5.0138731171803941E-3</v>
      </c>
      <c r="V1216" t="s">
        <v>154</v>
      </c>
    </row>
    <row r="1217" spans="9:22" x14ac:dyDescent="0.25">
      <c r="I1217" t="s">
        <v>193</v>
      </c>
      <c r="J1217" t="s">
        <v>299</v>
      </c>
      <c r="K1217">
        <v>7.1049274524813393E-3</v>
      </c>
      <c r="L1217" t="s">
        <v>154</v>
      </c>
      <c r="N1217" t="s">
        <v>223</v>
      </c>
      <c r="O1217" t="s">
        <v>299</v>
      </c>
      <c r="P1217">
        <v>2.4746122323082405E-3</v>
      </c>
      <c r="Q1217" t="s">
        <v>154</v>
      </c>
      <c r="S1217" t="s">
        <v>254</v>
      </c>
      <c r="T1217" t="s">
        <v>299</v>
      </c>
      <c r="U1217">
        <v>2.5575418037472862E-3</v>
      </c>
      <c r="V1217" t="s">
        <v>154</v>
      </c>
    </row>
    <row r="1218" spans="9:22" x14ac:dyDescent="0.25">
      <c r="I1218" t="s">
        <v>193</v>
      </c>
      <c r="J1218" t="s">
        <v>300</v>
      </c>
      <c r="K1218">
        <v>4.859094528506671E-2</v>
      </c>
      <c r="L1218" t="s">
        <v>154</v>
      </c>
      <c r="N1218" t="s">
        <v>223</v>
      </c>
      <c r="O1218" t="s">
        <v>300</v>
      </c>
      <c r="P1218">
        <v>2.4880619224799658E-2</v>
      </c>
      <c r="Q1218" t="s">
        <v>154</v>
      </c>
      <c r="S1218" t="s">
        <v>254</v>
      </c>
      <c r="T1218" t="s">
        <v>300</v>
      </c>
      <c r="U1218">
        <v>1.7838954478980325E-2</v>
      </c>
      <c r="V1218" t="s">
        <v>154</v>
      </c>
    </row>
    <row r="1219" spans="9:22" x14ac:dyDescent="0.25">
      <c r="I1219" t="s">
        <v>193</v>
      </c>
      <c r="J1219" t="s">
        <v>301</v>
      </c>
      <c r="K1219">
        <v>6.3402528739414448E-5</v>
      </c>
      <c r="L1219" t="s">
        <v>154</v>
      </c>
      <c r="N1219" t="s">
        <v>223</v>
      </c>
      <c r="O1219" t="s">
        <v>301</v>
      </c>
      <c r="P1219">
        <v>2.6856148112440093E-3</v>
      </c>
      <c r="Q1219" t="s">
        <v>154</v>
      </c>
      <c r="S1219" t="s">
        <v>254</v>
      </c>
      <c r="T1219" t="s">
        <v>301</v>
      </c>
      <c r="U1219">
        <v>2.7633617245737393E-3</v>
      </c>
      <c r="V1219" t="s">
        <v>154</v>
      </c>
    </row>
    <row r="1220" spans="9:22" x14ac:dyDescent="0.25">
      <c r="I1220" t="s">
        <v>193</v>
      </c>
      <c r="J1220" t="s">
        <v>319</v>
      </c>
      <c r="K1220">
        <v>0</v>
      </c>
      <c r="L1220" t="s">
        <v>154</v>
      </c>
      <c r="N1220" t="s">
        <v>223</v>
      </c>
      <c r="O1220" t="s">
        <v>319</v>
      </c>
      <c r="P1220">
        <v>2.6119269519616658E-3</v>
      </c>
      <c r="Q1220" t="s">
        <v>154</v>
      </c>
      <c r="S1220" t="s">
        <v>254</v>
      </c>
      <c r="T1220" t="s">
        <v>319</v>
      </c>
      <c r="U1220">
        <v>2.5335223993323973E-3</v>
      </c>
      <c r="V1220" t="s">
        <v>154</v>
      </c>
    </row>
    <row r="1221" spans="9:22" x14ac:dyDescent="0.25">
      <c r="I1221" t="s">
        <v>193</v>
      </c>
      <c r="J1221" t="s">
        <v>320</v>
      </c>
      <c r="K1221">
        <v>0</v>
      </c>
      <c r="L1221" t="s">
        <v>154</v>
      </c>
      <c r="N1221" t="s">
        <v>223</v>
      </c>
      <c r="O1221" t="s">
        <v>320</v>
      </c>
      <c r="P1221">
        <v>1.4063296037306182E-2</v>
      </c>
      <c r="Q1221" t="s">
        <v>154</v>
      </c>
      <c r="S1221" t="s">
        <v>254</v>
      </c>
      <c r="T1221" t="s">
        <v>320</v>
      </c>
      <c r="U1221">
        <v>1.4203724218587465E-2</v>
      </c>
      <c r="V1221" t="s">
        <v>154</v>
      </c>
    </row>
    <row r="1222" spans="9:22" x14ac:dyDescent="0.25">
      <c r="I1222" t="s">
        <v>193</v>
      </c>
      <c r="J1222" t="s">
        <v>302</v>
      </c>
      <c r="K1222">
        <v>0</v>
      </c>
      <c r="L1222" t="s">
        <v>154</v>
      </c>
      <c r="N1222" t="s">
        <v>223</v>
      </c>
      <c r="O1222" t="s">
        <v>302</v>
      </c>
      <c r="P1222">
        <v>4.6736283022326373E-2</v>
      </c>
      <c r="Q1222" t="s">
        <v>154</v>
      </c>
      <c r="S1222" t="s">
        <v>254</v>
      </c>
      <c r="T1222" t="s">
        <v>302</v>
      </c>
      <c r="U1222">
        <v>4.1222570545321233E-2</v>
      </c>
      <c r="V1222" t="s">
        <v>154</v>
      </c>
    </row>
    <row r="1223" spans="9:22" x14ac:dyDescent="0.25">
      <c r="I1223" t="s">
        <v>193</v>
      </c>
      <c r="J1223" t="s">
        <v>303</v>
      </c>
      <c r="K1223">
        <v>4.2265213857812607E-3</v>
      </c>
      <c r="L1223" t="s">
        <v>154</v>
      </c>
      <c r="N1223" t="s">
        <v>223</v>
      </c>
      <c r="O1223" t="s">
        <v>303</v>
      </c>
      <c r="P1223">
        <v>1.0889670627651836E-2</v>
      </c>
      <c r="Q1223" t="s">
        <v>154</v>
      </c>
      <c r="S1223" t="s">
        <v>254</v>
      </c>
      <c r="T1223" t="s">
        <v>303</v>
      </c>
      <c r="U1223">
        <v>1.0951832841568162E-2</v>
      </c>
      <c r="V1223" t="s">
        <v>154</v>
      </c>
    </row>
    <row r="1224" spans="9:22" x14ac:dyDescent="0.25">
      <c r="I1224" t="s">
        <v>193</v>
      </c>
      <c r="J1224" t="s">
        <v>304</v>
      </c>
      <c r="K1224">
        <v>7.1772542143637361E-3</v>
      </c>
      <c r="L1224" t="s">
        <v>154</v>
      </c>
      <c r="N1224" t="s">
        <v>223</v>
      </c>
      <c r="O1224" t="s">
        <v>304</v>
      </c>
      <c r="P1224">
        <v>5.3396517167631748E-3</v>
      </c>
      <c r="Q1224" t="s">
        <v>154</v>
      </c>
      <c r="S1224" t="s">
        <v>254</v>
      </c>
      <c r="T1224" t="s">
        <v>304</v>
      </c>
      <c r="U1224">
        <v>5.6051419398702963E-3</v>
      </c>
      <c r="V1224" t="s">
        <v>154</v>
      </c>
    </row>
    <row r="1225" spans="9:22" x14ac:dyDescent="0.25">
      <c r="I1225" t="s">
        <v>193</v>
      </c>
      <c r="J1225" t="s">
        <v>305</v>
      </c>
      <c r="K1225">
        <v>5.2828861767819153E-2</v>
      </c>
      <c r="L1225" t="s">
        <v>154</v>
      </c>
      <c r="N1225" t="s">
        <v>223</v>
      </c>
      <c r="O1225" t="s">
        <v>305</v>
      </c>
      <c r="P1225">
        <v>5.339292012377219E-2</v>
      </c>
      <c r="Q1225" t="s">
        <v>154</v>
      </c>
      <c r="S1225" t="s">
        <v>254</v>
      </c>
      <c r="T1225" t="s">
        <v>305</v>
      </c>
      <c r="U1225">
        <v>3.8077814207908817E-2</v>
      </c>
      <c r="V1225" t="s">
        <v>154</v>
      </c>
    </row>
    <row r="1226" spans="9:22" x14ac:dyDescent="0.25">
      <c r="I1226" t="s">
        <v>193</v>
      </c>
      <c r="J1226" t="s">
        <v>306</v>
      </c>
      <c r="K1226">
        <v>0</v>
      </c>
      <c r="L1226" t="s">
        <v>154</v>
      </c>
      <c r="N1226" t="s">
        <v>223</v>
      </c>
      <c r="O1226" t="s">
        <v>306</v>
      </c>
      <c r="P1226">
        <v>6.1635931242649796E-3</v>
      </c>
      <c r="Q1226" t="s">
        <v>154</v>
      </c>
      <c r="S1226" t="s">
        <v>254</v>
      </c>
      <c r="T1226" t="s">
        <v>306</v>
      </c>
      <c r="U1226">
        <v>5.6059492616659145E-3</v>
      </c>
      <c r="V1226" t="s">
        <v>154</v>
      </c>
    </row>
    <row r="1227" spans="9:22" x14ac:dyDescent="0.25">
      <c r="I1227" t="s">
        <v>193</v>
      </c>
      <c r="J1227" t="s">
        <v>321</v>
      </c>
      <c r="K1227">
        <v>0</v>
      </c>
      <c r="L1227" t="s">
        <v>154</v>
      </c>
      <c r="N1227" t="s">
        <v>223</v>
      </c>
      <c r="O1227" t="s">
        <v>321</v>
      </c>
      <c r="P1227">
        <v>6.1709750367807256E-3</v>
      </c>
      <c r="Q1227" t="s">
        <v>154</v>
      </c>
      <c r="S1227" t="s">
        <v>254</v>
      </c>
      <c r="T1227" t="s">
        <v>321</v>
      </c>
      <c r="U1227">
        <v>5.2104537058579904E-3</v>
      </c>
      <c r="V1227" t="s">
        <v>154</v>
      </c>
    </row>
    <row r="1228" spans="9:22" x14ac:dyDescent="0.25">
      <c r="I1228" t="s">
        <v>193</v>
      </c>
      <c r="J1228" t="s">
        <v>322</v>
      </c>
      <c r="K1228">
        <v>0</v>
      </c>
      <c r="L1228" t="s">
        <v>154</v>
      </c>
      <c r="N1228" t="s">
        <v>223</v>
      </c>
      <c r="O1228" t="s">
        <v>322</v>
      </c>
      <c r="P1228">
        <v>2.9464248151616326E-2</v>
      </c>
      <c r="Q1228" t="s">
        <v>154</v>
      </c>
      <c r="S1228" t="s">
        <v>254</v>
      </c>
      <c r="T1228" t="s">
        <v>322</v>
      </c>
      <c r="U1228">
        <v>2.7499947606543867E-2</v>
      </c>
      <c r="V1228" t="s">
        <v>154</v>
      </c>
    </row>
    <row r="1229" spans="9:22" x14ac:dyDescent="0.25">
      <c r="I1229" t="s">
        <v>194</v>
      </c>
      <c r="J1229" t="s">
        <v>153</v>
      </c>
      <c r="K1229">
        <v>0</v>
      </c>
      <c r="L1229" t="s">
        <v>154</v>
      </c>
      <c r="N1229" t="s">
        <v>224</v>
      </c>
      <c r="O1229" t="s">
        <v>153</v>
      </c>
      <c r="P1229">
        <v>3.4584281416808825E-2</v>
      </c>
      <c r="Q1229" t="s">
        <v>154</v>
      </c>
      <c r="S1229" t="s">
        <v>255</v>
      </c>
      <c r="T1229" t="s">
        <v>153</v>
      </c>
      <c r="U1229">
        <v>3.1678098095399551E-2</v>
      </c>
      <c r="V1229" t="s">
        <v>154</v>
      </c>
    </row>
    <row r="1230" spans="9:22" x14ac:dyDescent="0.25">
      <c r="I1230" t="s">
        <v>194</v>
      </c>
      <c r="J1230" t="s">
        <v>155</v>
      </c>
      <c r="K1230">
        <v>5.2122583009870764E-3</v>
      </c>
      <c r="L1230" t="s">
        <v>154</v>
      </c>
      <c r="N1230" t="s">
        <v>224</v>
      </c>
      <c r="O1230" t="s">
        <v>155</v>
      </c>
      <c r="P1230">
        <v>1.0354523782426035E-2</v>
      </c>
      <c r="Q1230" t="s">
        <v>154</v>
      </c>
      <c r="S1230" t="s">
        <v>255</v>
      </c>
      <c r="T1230" t="s">
        <v>155</v>
      </c>
      <c r="U1230">
        <v>6.9793175310993152E-3</v>
      </c>
      <c r="V1230" t="s">
        <v>154</v>
      </c>
    </row>
    <row r="1231" spans="9:22" x14ac:dyDescent="0.25">
      <c r="I1231" t="s">
        <v>194</v>
      </c>
      <c r="J1231" t="s">
        <v>156</v>
      </c>
      <c r="K1231">
        <v>8.7188309012322784E-3</v>
      </c>
      <c r="L1231" t="s">
        <v>154</v>
      </c>
      <c r="N1231" t="s">
        <v>224</v>
      </c>
      <c r="O1231" t="s">
        <v>156</v>
      </c>
      <c r="P1231">
        <v>5.2307714966602229E-3</v>
      </c>
      <c r="Q1231" t="s">
        <v>154</v>
      </c>
      <c r="S1231" t="s">
        <v>255</v>
      </c>
      <c r="T1231" t="s">
        <v>156</v>
      </c>
      <c r="U1231">
        <v>3.3421912337443242E-3</v>
      </c>
      <c r="V1231" t="s">
        <v>154</v>
      </c>
    </row>
    <row r="1232" spans="9:22" x14ac:dyDescent="0.25">
      <c r="I1232" t="s">
        <v>194</v>
      </c>
      <c r="J1232" t="s">
        <v>283</v>
      </c>
      <c r="K1232">
        <v>6.9178423103182007E-2</v>
      </c>
      <c r="L1232" t="s">
        <v>154</v>
      </c>
      <c r="N1232" t="s">
        <v>224</v>
      </c>
      <c r="O1232" t="s">
        <v>283</v>
      </c>
      <c r="P1232">
        <v>3.6525437966947794E-2</v>
      </c>
      <c r="Q1232" t="s">
        <v>154</v>
      </c>
      <c r="S1232" t="s">
        <v>255</v>
      </c>
      <c r="T1232" t="s">
        <v>283</v>
      </c>
      <c r="U1232">
        <v>3.0459654135353852E-2</v>
      </c>
      <c r="V1232" t="s">
        <v>154</v>
      </c>
    </row>
    <row r="1233" spans="9:22" x14ac:dyDescent="0.25">
      <c r="I1233" t="s">
        <v>194</v>
      </c>
      <c r="J1233" t="s">
        <v>284</v>
      </c>
      <c r="K1233">
        <v>2.9023642480176118E-3</v>
      </c>
      <c r="L1233" t="s">
        <v>154</v>
      </c>
      <c r="N1233" t="s">
        <v>224</v>
      </c>
      <c r="O1233" t="s">
        <v>284</v>
      </c>
      <c r="P1233">
        <v>4.7364909096921284E-3</v>
      </c>
      <c r="Q1233" t="s">
        <v>154</v>
      </c>
      <c r="S1233" t="s">
        <v>255</v>
      </c>
      <c r="T1233" t="s">
        <v>284</v>
      </c>
      <c r="U1233">
        <v>5.04169101834073E-3</v>
      </c>
      <c r="V1233" t="s">
        <v>154</v>
      </c>
    </row>
    <row r="1234" spans="9:22" x14ac:dyDescent="0.25">
      <c r="I1234" t="s">
        <v>194</v>
      </c>
      <c r="J1234" t="s">
        <v>311</v>
      </c>
      <c r="K1234">
        <v>0</v>
      </c>
      <c r="L1234" t="s">
        <v>154</v>
      </c>
      <c r="N1234" t="s">
        <v>224</v>
      </c>
      <c r="O1234" t="s">
        <v>311</v>
      </c>
      <c r="P1234">
        <v>4.6278015615996435E-3</v>
      </c>
      <c r="Q1234" t="s">
        <v>154</v>
      </c>
      <c r="S1234" t="s">
        <v>255</v>
      </c>
      <c r="T1234" t="s">
        <v>311</v>
      </c>
      <c r="U1234">
        <v>5.066454218276323E-3</v>
      </c>
      <c r="V1234" t="s">
        <v>154</v>
      </c>
    </row>
    <row r="1235" spans="9:22" x14ac:dyDescent="0.25">
      <c r="I1235" t="s">
        <v>194</v>
      </c>
      <c r="J1235" t="s">
        <v>312</v>
      </c>
      <c r="K1235">
        <v>0</v>
      </c>
      <c r="L1235" t="s">
        <v>154</v>
      </c>
      <c r="N1235" t="s">
        <v>224</v>
      </c>
      <c r="O1235" t="s">
        <v>312</v>
      </c>
      <c r="P1235">
        <v>2.2609275688441437E-2</v>
      </c>
      <c r="Q1235" t="s">
        <v>154</v>
      </c>
      <c r="S1235" t="s">
        <v>255</v>
      </c>
      <c r="T1235" t="s">
        <v>312</v>
      </c>
      <c r="U1235">
        <v>2.3342699584273065E-2</v>
      </c>
      <c r="V1235" t="s">
        <v>154</v>
      </c>
    </row>
    <row r="1236" spans="9:22" x14ac:dyDescent="0.25">
      <c r="I1236" t="s">
        <v>194</v>
      </c>
      <c r="J1236" t="s">
        <v>157</v>
      </c>
      <c r="K1236">
        <v>0</v>
      </c>
      <c r="L1236" t="s">
        <v>154</v>
      </c>
      <c r="N1236" t="s">
        <v>224</v>
      </c>
      <c r="O1236" t="s">
        <v>157</v>
      </c>
      <c r="P1236">
        <v>5.3024622317666241E-3</v>
      </c>
      <c r="Q1236" t="s">
        <v>154</v>
      </c>
      <c r="S1236" t="s">
        <v>255</v>
      </c>
      <c r="T1236" t="s">
        <v>157</v>
      </c>
      <c r="U1236">
        <v>9.3218205569502929E-3</v>
      </c>
      <c r="V1236" t="s">
        <v>154</v>
      </c>
    </row>
    <row r="1237" spans="9:22" x14ac:dyDescent="0.25">
      <c r="I1237" t="s">
        <v>194</v>
      </c>
      <c r="J1237" t="s">
        <v>158</v>
      </c>
      <c r="K1237">
        <v>1.4702395932539815E-3</v>
      </c>
      <c r="L1237" t="s">
        <v>154</v>
      </c>
      <c r="N1237" t="s">
        <v>224</v>
      </c>
      <c r="O1237" t="s">
        <v>158</v>
      </c>
      <c r="P1237">
        <v>1.2341976947695262E-3</v>
      </c>
      <c r="Q1237" t="s">
        <v>154</v>
      </c>
      <c r="S1237" t="s">
        <v>255</v>
      </c>
      <c r="T1237" t="s">
        <v>158</v>
      </c>
      <c r="U1237">
        <v>2.2490721716996991E-3</v>
      </c>
      <c r="V1237" t="s">
        <v>154</v>
      </c>
    </row>
    <row r="1238" spans="9:22" x14ac:dyDescent="0.25">
      <c r="I1238" t="s">
        <v>194</v>
      </c>
      <c r="J1238" t="s">
        <v>159</v>
      </c>
      <c r="K1238">
        <v>2.2833603240886681E-3</v>
      </c>
      <c r="L1238" t="s">
        <v>154</v>
      </c>
      <c r="N1238" t="s">
        <v>224</v>
      </c>
      <c r="O1238" t="s">
        <v>159</v>
      </c>
      <c r="P1238">
        <v>6.7757670729780696E-4</v>
      </c>
      <c r="Q1238" t="s">
        <v>154</v>
      </c>
      <c r="S1238" t="s">
        <v>255</v>
      </c>
      <c r="T1238" t="s">
        <v>159</v>
      </c>
      <c r="U1238">
        <v>1.1551261607727658E-3</v>
      </c>
      <c r="V1238" t="s">
        <v>154</v>
      </c>
    </row>
    <row r="1239" spans="9:22" x14ac:dyDescent="0.25">
      <c r="I1239" t="s">
        <v>194</v>
      </c>
      <c r="J1239" t="s">
        <v>285</v>
      </c>
      <c r="K1239">
        <v>1.7841536829757261E-2</v>
      </c>
      <c r="L1239" t="s">
        <v>154</v>
      </c>
      <c r="N1239" t="s">
        <v>224</v>
      </c>
      <c r="O1239" t="s">
        <v>285</v>
      </c>
      <c r="P1239">
        <v>6.4553494402838441E-3</v>
      </c>
      <c r="Q1239" t="s">
        <v>154</v>
      </c>
      <c r="S1239" t="s">
        <v>255</v>
      </c>
      <c r="T1239" t="s">
        <v>285</v>
      </c>
      <c r="U1239">
        <v>7.5696097051078676E-3</v>
      </c>
      <c r="V1239" t="s">
        <v>154</v>
      </c>
    </row>
    <row r="1240" spans="9:22" x14ac:dyDescent="0.25">
      <c r="I1240" t="s">
        <v>194</v>
      </c>
      <c r="J1240" t="s">
        <v>286</v>
      </c>
      <c r="K1240">
        <v>1.5602200406552261E-3</v>
      </c>
      <c r="L1240" t="s">
        <v>154</v>
      </c>
      <c r="N1240" t="s">
        <v>224</v>
      </c>
      <c r="O1240" t="s">
        <v>286</v>
      </c>
      <c r="P1240">
        <v>8.9314151674713702E-4</v>
      </c>
      <c r="Q1240" t="s">
        <v>154</v>
      </c>
      <c r="S1240" t="s">
        <v>255</v>
      </c>
      <c r="T1240" t="s">
        <v>286</v>
      </c>
      <c r="U1240">
        <v>1.1716566000977019E-3</v>
      </c>
      <c r="V1240" t="s">
        <v>154</v>
      </c>
    </row>
    <row r="1241" spans="9:22" x14ac:dyDescent="0.25">
      <c r="I1241" t="s">
        <v>194</v>
      </c>
      <c r="J1241" t="s">
        <v>313</v>
      </c>
      <c r="K1241">
        <v>0</v>
      </c>
      <c r="L1241" t="s">
        <v>154</v>
      </c>
      <c r="N1241" t="s">
        <v>224</v>
      </c>
      <c r="O1241" t="s">
        <v>313</v>
      </c>
      <c r="P1241">
        <v>8.532283728682115E-4</v>
      </c>
      <c r="Q1241" t="s">
        <v>154</v>
      </c>
      <c r="S1241" t="s">
        <v>255</v>
      </c>
      <c r="T1241" t="s">
        <v>313</v>
      </c>
      <c r="U1241">
        <v>1.1785564831305055E-3</v>
      </c>
      <c r="V1241" t="s">
        <v>154</v>
      </c>
    </row>
    <row r="1242" spans="9:22" x14ac:dyDescent="0.25">
      <c r="I1242" t="s">
        <v>194</v>
      </c>
      <c r="J1242" t="s">
        <v>314</v>
      </c>
      <c r="K1242">
        <v>0</v>
      </c>
      <c r="L1242" t="s">
        <v>154</v>
      </c>
      <c r="N1242" t="s">
        <v>224</v>
      </c>
      <c r="O1242" t="s">
        <v>314</v>
      </c>
      <c r="P1242">
        <v>3.9375440618001694E-3</v>
      </c>
      <c r="Q1242" t="s">
        <v>154</v>
      </c>
      <c r="S1242" t="s">
        <v>255</v>
      </c>
      <c r="T1242" t="s">
        <v>314</v>
      </c>
      <c r="U1242">
        <v>5.7599414334548243E-3</v>
      </c>
      <c r="V1242" t="s">
        <v>154</v>
      </c>
    </row>
    <row r="1243" spans="9:22" x14ac:dyDescent="0.25">
      <c r="I1243" t="s">
        <v>194</v>
      </c>
      <c r="J1243" t="s">
        <v>160</v>
      </c>
      <c r="K1243">
        <v>1.263551865624611E-2</v>
      </c>
      <c r="L1243" t="s">
        <v>154</v>
      </c>
      <c r="N1243" t="s">
        <v>224</v>
      </c>
      <c r="O1243" t="s">
        <v>160</v>
      </c>
      <c r="P1243">
        <v>0.17142335232891978</v>
      </c>
      <c r="Q1243" t="s">
        <v>154</v>
      </c>
      <c r="S1243" t="s">
        <v>255</v>
      </c>
      <c r="T1243" t="s">
        <v>160</v>
      </c>
      <c r="U1243">
        <v>0.18824888365061646</v>
      </c>
      <c r="V1243" t="s">
        <v>154</v>
      </c>
    </row>
    <row r="1244" spans="9:22" x14ac:dyDescent="0.25">
      <c r="I1244" t="s">
        <v>194</v>
      </c>
      <c r="J1244" t="s">
        <v>161</v>
      </c>
      <c r="K1244">
        <v>8.5914048578136185E-2</v>
      </c>
      <c r="L1244" t="s">
        <v>154</v>
      </c>
      <c r="N1244" t="s">
        <v>224</v>
      </c>
      <c r="O1244" t="s">
        <v>161</v>
      </c>
      <c r="P1244">
        <v>4.4744104087074403E-2</v>
      </c>
      <c r="Q1244" t="s">
        <v>154</v>
      </c>
      <c r="S1244" t="s">
        <v>255</v>
      </c>
      <c r="T1244" t="s">
        <v>161</v>
      </c>
      <c r="U1244">
        <v>4.7039944140611724E-2</v>
      </c>
      <c r="V1244" t="s">
        <v>154</v>
      </c>
    </row>
    <row r="1245" spans="9:22" x14ac:dyDescent="0.25">
      <c r="I1245" t="s">
        <v>194</v>
      </c>
      <c r="J1245" t="s">
        <v>162</v>
      </c>
      <c r="K1245">
        <v>6.7118290856126639E-2</v>
      </c>
      <c r="L1245" t="s">
        <v>154</v>
      </c>
      <c r="N1245" t="s">
        <v>224</v>
      </c>
      <c r="O1245" t="s">
        <v>162</v>
      </c>
      <c r="P1245">
        <v>2.4886734871411846E-2</v>
      </c>
      <c r="Q1245" t="s">
        <v>154</v>
      </c>
      <c r="S1245" t="s">
        <v>255</v>
      </c>
      <c r="T1245" t="s">
        <v>162</v>
      </c>
      <c r="U1245">
        <v>2.3826814863156128E-2</v>
      </c>
      <c r="V1245" t="s">
        <v>154</v>
      </c>
    </row>
    <row r="1246" spans="9:22" x14ac:dyDescent="0.25">
      <c r="I1246" t="s">
        <v>194</v>
      </c>
      <c r="J1246" t="s">
        <v>287</v>
      </c>
      <c r="K1246">
        <v>0.51641646355501836</v>
      </c>
      <c r="L1246" t="s">
        <v>154</v>
      </c>
      <c r="N1246" t="s">
        <v>224</v>
      </c>
      <c r="O1246" t="s">
        <v>287</v>
      </c>
      <c r="P1246">
        <v>0.19560119502166806</v>
      </c>
      <c r="Q1246" t="s">
        <v>154</v>
      </c>
      <c r="S1246" t="s">
        <v>255</v>
      </c>
      <c r="T1246" t="s">
        <v>287</v>
      </c>
      <c r="U1246">
        <v>0.17413205616890831</v>
      </c>
      <c r="V1246" t="s">
        <v>154</v>
      </c>
    </row>
    <row r="1247" spans="9:22" x14ac:dyDescent="0.25">
      <c r="I1247" t="s">
        <v>194</v>
      </c>
      <c r="J1247" t="s">
        <v>288</v>
      </c>
      <c r="K1247">
        <v>4.0796612459476599E-2</v>
      </c>
      <c r="L1247" t="s">
        <v>154</v>
      </c>
      <c r="N1247" t="s">
        <v>224</v>
      </c>
      <c r="O1247" t="s">
        <v>288</v>
      </c>
      <c r="P1247">
        <v>2.5884111253877833E-2</v>
      </c>
      <c r="Q1247" t="s">
        <v>154</v>
      </c>
      <c r="S1247" t="s">
        <v>255</v>
      </c>
      <c r="T1247" t="s">
        <v>288</v>
      </c>
      <c r="U1247">
        <v>2.6155404321114725E-2</v>
      </c>
      <c r="V1247" t="s">
        <v>154</v>
      </c>
    </row>
    <row r="1248" spans="9:22" x14ac:dyDescent="0.25">
      <c r="I1248" t="s">
        <v>194</v>
      </c>
      <c r="J1248" t="s">
        <v>315</v>
      </c>
      <c r="K1248">
        <v>1.9222789936270253E-2</v>
      </c>
      <c r="L1248" t="s">
        <v>154</v>
      </c>
      <c r="N1248" t="s">
        <v>224</v>
      </c>
      <c r="O1248" t="s">
        <v>315</v>
      </c>
      <c r="P1248">
        <v>2.5178350830495948E-2</v>
      </c>
      <c r="Q1248" t="s">
        <v>154</v>
      </c>
      <c r="S1248" t="s">
        <v>255</v>
      </c>
      <c r="T1248" t="s">
        <v>315</v>
      </c>
      <c r="U1248">
        <v>2.6296859819533357E-2</v>
      </c>
      <c r="V1248" t="s">
        <v>154</v>
      </c>
    </row>
    <row r="1249" spans="9:22" x14ac:dyDescent="0.25">
      <c r="I1249" t="s">
        <v>194</v>
      </c>
      <c r="J1249" t="s">
        <v>316</v>
      </c>
      <c r="K1249">
        <v>3.0018441088996853E-3</v>
      </c>
      <c r="L1249" t="s">
        <v>154</v>
      </c>
      <c r="N1249" t="s">
        <v>224</v>
      </c>
      <c r="O1249" t="s">
        <v>316</v>
      </c>
      <c r="P1249">
        <v>0.11888844409816059</v>
      </c>
      <c r="Q1249" t="s">
        <v>154</v>
      </c>
      <c r="S1249" t="s">
        <v>255</v>
      </c>
      <c r="T1249" t="s">
        <v>316</v>
      </c>
      <c r="U1249">
        <v>0.12413666099335992</v>
      </c>
      <c r="V1249" t="s">
        <v>154</v>
      </c>
    </row>
    <row r="1250" spans="9:22" x14ac:dyDescent="0.25">
      <c r="I1250" t="s">
        <v>194</v>
      </c>
      <c r="J1250" t="s">
        <v>163</v>
      </c>
      <c r="K1250">
        <v>0</v>
      </c>
      <c r="L1250" t="s">
        <v>154</v>
      </c>
      <c r="N1250" t="s">
        <v>224</v>
      </c>
      <c r="O1250" t="s">
        <v>163</v>
      </c>
      <c r="P1250">
        <v>7.1686169038938817E-3</v>
      </c>
      <c r="Q1250" t="s">
        <v>154</v>
      </c>
      <c r="S1250" t="s">
        <v>255</v>
      </c>
      <c r="T1250" t="s">
        <v>163</v>
      </c>
      <c r="U1250">
        <v>9.7326388306110574E-3</v>
      </c>
      <c r="V1250" t="s">
        <v>154</v>
      </c>
    </row>
    <row r="1251" spans="9:22" x14ac:dyDescent="0.25">
      <c r="I1251" t="s">
        <v>194</v>
      </c>
      <c r="J1251" t="s">
        <v>164</v>
      </c>
      <c r="K1251">
        <v>1.7952974178848237E-3</v>
      </c>
      <c r="L1251" t="s">
        <v>154</v>
      </c>
      <c r="N1251" t="s">
        <v>224</v>
      </c>
      <c r="O1251" t="s">
        <v>164</v>
      </c>
      <c r="P1251">
        <v>2.2264901041527899E-3</v>
      </c>
      <c r="Q1251" t="s">
        <v>154</v>
      </c>
      <c r="S1251" t="s">
        <v>255</v>
      </c>
      <c r="T1251" t="s">
        <v>164</v>
      </c>
      <c r="U1251">
        <v>2.7499178170245649E-3</v>
      </c>
      <c r="V1251" t="s">
        <v>154</v>
      </c>
    </row>
    <row r="1252" spans="9:22" x14ac:dyDescent="0.25">
      <c r="I1252" t="s">
        <v>194</v>
      </c>
      <c r="J1252" t="s">
        <v>165</v>
      </c>
      <c r="K1252">
        <v>1.6436035076645419E-3</v>
      </c>
      <c r="L1252" t="s">
        <v>154</v>
      </c>
      <c r="N1252" t="s">
        <v>224</v>
      </c>
      <c r="O1252" t="s">
        <v>165</v>
      </c>
      <c r="P1252">
        <v>1.1672694209706987E-3</v>
      </c>
      <c r="Q1252" t="s">
        <v>154</v>
      </c>
      <c r="S1252" t="s">
        <v>255</v>
      </c>
      <c r="T1252" t="s">
        <v>165</v>
      </c>
      <c r="U1252">
        <v>1.4130024056044602E-3</v>
      </c>
      <c r="V1252" t="s">
        <v>154</v>
      </c>
    </row>
    <row r="1253" spans="9:22" x14ac:dyDescent="0.25">
      <c r="I1253" t="s">
        <v>194</v>
      </c>
      <c r="J1253" t="s">
        <v>289</v>
      </c>
      <c r="K1253">
        <v>1.1843917612674748E-2</v>
      </c>
      <c r="L1253" t="s">
        <v>154</v>
      </c>
      <c r="N1253" t="s">
        <v>224</v>
      </c>
      <c r="O1253" t="s">
        <v>289</v>
      </c>
      <c r="P1253">
        <v>9.6963992857831798E-3</v>
      </c>
      <c r="Q1253" t="s">
        <v>154</v>
      </c>
      <c r="S1253" t="s">
        <v>255</v>
      </c>
      <c r="T1253" t="s">
        <v>289</v>
      </c>
      <c r="U1253">
        <v>9.412444899197063E-3</v>
      </c>
      <c r="V1253" t="s">
        <v>154</v>
      </c>
    </row>
    <row r="1254" spans="9:22" x14ac:dyDescent="0.25">
      <c r="I1254" t="s">
        <v>194</v>
      </c>
      <c r="J1254" t="s">
        <v>290</v>
      </c>
      <c r="K1254">
        <v>6.0051056298487211E-4</v>
      </c>
      <c r="L1254" t="s">
        <v>154</v>
      </c>
      <c r="N1254" t="s">
        <v>224</v>
      </c>
      <c r="O1254" t="s">
        <v>290</v>
      </c>
      <c r="P1254">
        <v>1.4051047930527354E-3</v>
      </c>
      <c r="Q1254" t="s">
        <v>154</v>
      </c>
      <c r="S1254" t="s">
        <v>255</v>
      </c>
      <c r="T1254" t="s">
        <v>290</v>
      </c>
      <c r="U1254">
        <v>1.5340068540745609E-3</v>
      </c>
      <c r="V1254" t="s">
        <v>154</v>
      </c>
    </row>
    <row r="1255" spans="9:22" x14ac:dyDescent="0.25">
      <c r="I1255" t="s">
        <v>194</v>
      </c>
      <c r="J1255" t="s">
        <v>317</v>
      </c>
      <c r="K1255">
        <v>0</v>
      </c>
      <c r="L1255" t="s">
        <v>154</v>
      </c>
      <c r="N1255" t="s">
        <v>224</v>
      </c>
      <c r="O1255" t="s">
        <v>317</v>
      </c>
      <c r="P1255">
        <v>1.3776600153040234E-3</v>
      </c>
      <c r="Q1255" t="s">
        <v>154</v>
      </c>
      <c r="S1255" t="s">
        <v>255</v>
      </c>
      <c r="T1255" t="s">
        <v>317</v>
      </c>
      <c r="U1255">
        <v>1.5450051647909672E-3</v>
      </c>
      <c r="V1255" t="s">
        <v>154</v>
      </c>
    </row>
    <row r="1256" spans="9:22" x14ac:dyDescent="0.25">
      <c r="I1256" t="s">
        <v>194</v>
      </c>
      <c r="J1256" t="s">
        <v>318</v>
      </c>
      <c r="K1256">
        <v>0</v>
      </c>
      <c r="L1256" t="s">
        <v>154</v>
      </c>
      <c r="N1256" t="s">
        <v>224</v>
      </c>
      <c r="O1256" t="s">
        <v>318</v>
      </c>
      <c r="P1256">
        <v>5.6232465649837934E-3</v>
      </c>
      <c r="Q1256" t="s">
        <v>154</v>
      </c>
      <c r="S1256" t="s">
        <v>255</v>
      </c>
      <c r="T1256" t="s">
        <v>318</v>
      </c>
      <c r="U1256">
        <v>7.0425987602962294E-3</v>
      </c>
      <c r="V1256" t="s">
        <v>154</v>
      </c>
    </row>
    <row r="1257" spans="9:22" x14ac:dyDescent="0.25">
      <c r="I1257" t="s">
        <v>194</v>
      </c>
      <c r="J1257" t="s">
        <v>297</v>
      </c>
      <c r="K1257">
        <v>0</v>
      </c>
      <c r="L1257" t="s">
        <v>154</v>
      </c>
      <c r="N1257" t="s">
        <v>224</v>
      </c>
      <c r="O1257" t="s">
        <v>297</v>
      </c>
      <c r="P1257">
        <v>2.1607657557463116E-2</v>
      </c>
      <c r="Q1257" t="s">
        <v>154</v>
      </c>
      <c r="S1257" t="s">
        <v>255</v>
      </c>
      <c r="T1257" t="s">
        <v>297</v>
      </c>
      <c r="U1257">
        <v>2.1522583258342817E-2</v>
      </c>
      <c r="V1257" t="s">
        <v>154</v>
      </c>
    </row>
    <row r="1258" spans="9:22" x14ac:dyDescent="0.25">
      <c r="I1258" t="s">
        <v>194</v>
      </c>
      <c r="J1258" t="s">
        <v>298</v>
      </c>
      <c r="K1258">
        <v>7.20379423380672E-3</v>
      </c>
      <c r="L1258" t="s">
        <v>154</v>
      </c>
      <c r="N1258" t="s">
        <v>224</v>
      </c>
      <c r="O1258" t="s">
        <v>298</v>
      </c>
      <c r="P1258">
        <v>5.3647937467006515E-3</v>
      </c>
      <c r="Q1258" t="s">
        <v>154</v>
      </c>
      <c r="S1258" t="s">
        <v>255</v>
      </c>
      <c r="T1258" t="s">
        <v>298</v>
      </c>
      <c r="U1258">
        <v>5.7067728333247405E-3</v>
      </c>
      <c r="V1258" t="s">
        <v>154</v>
      </c>
    </row>
    <row r="1259" spans="9:22" x14ac:dyDescent="0.25">
      <c r="I1259" t="s">
        <v>194</v>
      </c>
      <c r="J1259" t="s">
        <v>299</v>
      </c>
      <c r="K1259">
        <v>7.3458654029794814E-3</v>
      </c>
      <c r="L1259" t="s">
        <v>154</v>
      </c>
      <c r="N1259" t="s">
        <v>224</v>
      </c>
      <c r="O1259" t="s">
        <v>299</v>
      </c>
      <c r="P1259">
        <v>2.8510584350366396E-3</v>
      </c>
      <c r="Q1259" t="s">
        <v>154</v>
      </c>
      <c r="S1259" t="s">
        <v>255</v>
      </c>
      <c r="T1259" t="s">
        <v>299</v>
      </c>
      <c r="U1259">
        <v>2.8438361840814816E-3</v>
      </c>
      <c r="V1259" t="s">
        <v>154</v>
      </c>
    </row>
    <row r="1260" spans="9:22" x14ac:dyDescent="0.25">
      <c r="I1260" t="s">
        <v>194</v>
      </c>
      <c r="J1260" t="s">
        <v>300</v>
      </c>
      <c r="K1260">
        <v>4.8716858242477852E-2</v>
      </c>
      <c r="L1260" t="s">
        <v>154</v>
      </c>
      <c r="N1260" t="s">
        <v>224</v>
      </c>
      <c r="O1260" t="s">
        <v>300</v>
      </c>
      <c r="P1260">
        <v>2.4733010683930762E-2</v>
      </c>
      <c r="Q1260" t="s">
        <v>154</v>
      </c>
      <c r="S1260" t="s">
        <v>255</v>
      </c>
      <c r="T1260" t="s">
        <v>300</v>
      </c>
      <c r="U1260">
        <v>2.0755894837502901E-2</v>
      </c>
      <c r="V1260" t="s">
        <v>154</v>
      </c>
    </row>
    <row r="1261" spans="9:22" x14ac:dyDescent="0.25">
      <c r="I1261" t="s">
        <v>194</v>
      </c>
      <c r="J1261" t="s">
        <v>301</v>
      </c>
      <c r="K1261">
        <v>4.7218989746558896E-4</v>
      </c>
      <c r="L1261" t="s">
        <v>154</v>
      </c>
      <c r="N1261" t="s">
        <v>224</v>
      </c>
      <c r="O1261" t="s">
        <v>301</v>
      </c>
      <c r="P1261">
        <v>3.4410297476940824E-3</v>
      </c>
      <c r="Q1261" t="s">
        <v>154</v>
      </c>
      <c r="S1261" t="s">
        <v>255</v>
      </c>
      <c r="T1261" t="s">
        <v>301</v>
      </c>
      <c r="U1261">
        <v>3.1810106063449536E-3</v>
      </c>
      <c r="V1261" t="s">
        <v>154</v>
      </c>
    </row>
    <row r="1262" spans="9:22" x14ac:dyDescent="0.25">
      <c r="I1262" t="s">
        <v>194</v>
      </c>
      <c r="J1262" t="s">
        <v>319</v>
      </c>
      <c r="K1262">
        <v>0</v>
      </c>
      <c r="L1262" t="s">
        <v>154</v>
      </c>
      <c r="N1262" t="s">
        <v>224</v>
      </c>
      <c r="O1262" t="s">
        <v>319</v>
      </c>
      <c r="P1262">
        <v>3.3980291041613439E-3</v>
      </c>
      <c r="Q1262" t="s">
        <v>154</v>
      </c>
      <c r="S1262" t="s">
        <v>255</v>
      </c>
      <c r="T1262" t="s">
        <v>319</v>
      </c>
      <c r="U1262">
        <v>3.2039841432827875E-3</v>
      </c>
      <c r="V1262" t="s">
        <v>154</v>
      </c>
    </row>
    <row r="1263" spans="9:22" x14ac:dyDescent="0.25">
      <c r="I1263" t="s">
        <v>194</v>
      </c>
      <c r="J1263" t="s">
        <v>320</v>
      </c>
      <c r="K1263">
        <v>0</v>
      </c>
      <c r="L1263" t="s">
        <v>154</v>
      </c>
      <c r="N1263" t="s">
        <v>224</v>
      </c>
      <c r="O1263" t="s">
        <v>320</v>
      </c>
      <c r="P1263">
        <v>1.6632275997848764E-2</v>
      </c>
      <c r="Q1263" t="s">
        <v>154</v>
      </c>
      <c r="S1263" t="s">
        <v>255</v>
      </c>
      <c r="T1263" t="s">
        <v>320</v>
      </c>
      <c r="U1263">
        <v>1.5380084414609438E-2</v>
      </c>
      <c r="V1263" t="s">
        <v>154</v>
      </c>
    </row>
    <row r="1264" spans="9:22" x14ac:dyDescent="0.25">
      <c r="I1264" t="s">
        <v>194</v>
      </c>
      <c r="J1264" t="s">
        <v>302</v>
      </c>
      <c r="K1264">
        <v>0</v>
      </c>
      <c r="L1264" t="s">
        <v>154</v>
      </c>
      <c r="N1264" t="s">
        <v>224</v>
      </c>
      <c r="O1264" t="s">
        <v>302</v>
      </c>
      <c r="P1264">
        <v>4.2184949077920038E-2</v>
      </c>
      <c r="Q1264" t="s">
        <v>154</v>
      </c>
      <c r="S1264" t="s">
        <v>255</v>
      </c>
      <c r="T1264" t="s">
        <v>302</v>
      </c>
      <c r="U1264">
        <v>4.3460687946955859E-2</v>
      </c>
      <c r="V1264" t="s">
        <v>154</v>
      </c>
    </row>
    <row r="1265" spans="9:22" x14ac:dyDescent="0.25">
      <c r="I1265" t="s">
        <v>194</v>
      </c>
      <c r="J1265" t="s">
        <v>303</v>
      </c>
      <c r="K1265">
        <v>4.3425640474921623E-3</v>
      </c>
      <c r="L1265" t="s">
        <v>154</v>
      </c>
      <c r="N1265" t="s">
        <v>224</v>
      </c>
      <c r="O1265" t="s">
        <v>303</v>
      </c>
      <c r="P1265">
        <v>1.1536279125616489E-2</v>
      </c>
      <c r="Q1265" t="s">
        <v>154</v>
      </c>
      <c r="S1265" t="s">
        <v>255</v>
      </c>
      <c r="T1265" t="s">
        <v>303</v>
      </c>
      <c r="U1265">
        <v>1.2198622331997396E-2</v>
      </c>
      <c r="V1265" t="s">
        <v>154</v>
      </c>
    </row>
    <row r="1266" spans="9:22" x14ac:dyDescent="0.25">
      <c r="I1266" t="s">
        <v>194</v>
      </c>
      <c r="J1266" t="s">
        <v>304</v>
      </c>
      <c r="K1266">
        <v>7.1486224766174177E-3</v>
      </c>
      <c r="L1266" t="s">
        <v>154</v>
      </c>
      <c r="N1266" t="s">
        <v>224</v>
      </c>
      <c r="O1266" t="s">
        <v>304</v>
      </c>
      <c r="P1266">
        <v>5.9872763060803188E-3</v>
      </c>
      <c r="Q1266" t="s">
        <v>154</v>
      </c>
      <c r="S1266" t="s">
        <v>255</v>
      </c>
      <c r="T1266" t="s">
        <v>304</v>
      </c>
      <c r="U1266">
        <v>6.2118728745588934E-3</v>
      </c>
      <c r="V1266" t="s">
        <v>154</v>
      </c>
    </row>
    <row r="1267" spans="9:22" x14ac:dyDescent="0.25">
      <c r="I1267" t="s">
        <v>194</v>
      </c>
      <c r="J1267" t="s">
        <v>305</v>
      </c>
      <c r="K1267">
        <v>5.4613975106605872E-2</v>
      </c>
      <c r="L1267" t="s">
        <v>154</v>
      </c>
      <c r="N1267" t="s">
        <v>224</v>
      </c>
      <c r="O1267" t="s">
        <v>305</v>
      </c>
      <c r="P1267">
        <v>4.5726906112348392E-2</v>
      </c>
      <c r="Q1267" t="s">
        <v>154</v>
      </c>
      <c r="S1267" t="s">
        <v>255</v>
      </c>
      <c r="T1267" t="s">
        <v>305</v>
      </c>
      <c r="U1267">
        <v>4.6459916878897459E-2</v>
      </c>
      <c r="V1267" t="s">
        <v>154</v>
      </c>
    </row>
    <row r="1268" spans="9:22" x14ac:dyDescent="0.25">
      <c r="I1268" t="s">
        <v>194</v>
      </c>
      <c r="J1268" t="s">
        <v>306</v>
      </c>
      <c r="K1268">
        <v>0</v>
      </c>
      <c r="L1268" t="s">
        <v>154</v>
      </c>
      <c r="N1268" t="s">
        <v>224</v>
      </c>
      <c r="O1268" t="s">
        <v>306</v>
      </c>
      <c r="P1268">
        <v>6.1920346206457751E-3</v>
      </c>
      <c r="Q1268" t="s">
        <v>154</v>
      </c>
      <c r="S1268" t="s">
        <v>255</v>
      </c>
      <c r="T1268" t="s">
        <v>306</v>
      </c>
      <c r="U1268">
        <v>6.4473890288395935E-3</v>
      </c>
      <c r="V1268" t="s">
        <v>154</v>
      </c>
    </row>
    <row r="1269" spans="9:22" x14ac:dyDescent="0.25">
      <c r="I1269" t="s">
        <v>194</v>
      </c>
      <c r="J1269" t="s">
        <v>321</v>
      </c>
      <c r="K1269">
        <v>0</v>
      </c>
      <c r="L1269" t="s">
        <v>154</v>
      </c>
      <c r="N1269" t="s">
        <v>224</v>
      </c>
      <c r="O1269" t="s">
        <v>321</v>
      </c>
      <c r="P1269">
        <v>6.164807460849007E-3</v>
      </c>
      <c r="Q1269" t="s">
        <v>154</v>
      </c>
      <c r="S1269" t="s">
        <v>255</v>
      </c>
      <c r="T1269" t="s">
        <v>321</v>
      </c>
      <c r="U1269">
        <v>6.347921708875064E-3</v>
      </c>
      <c r="V1269" t="s">
        <v>154</v>
      </c>
    </row>
    <row r="1270" spans="9:22" x14ac:dyDescent="0.25">
      <c r="I1270" t="s">
        <v>194</v>
      </c>
      <c r="J1270" t="s">
        <v>322</v>
      </c>
      <c r="K1270">
        <v>0</v>
      </c>
      <c r="L1270" t="s">
        <v>154</v>
      </c>
      <c r="N1270" t="s">
        <v>224</v>
      </c>
      <c r="O1270" t="s">
        <v>322</v>
      </c>
      <c r="P1270">
        <v>3.088672959584678E-2</v>
      </c>
      <c r="Q1270" t="s">
        <v>154</v>
      </c>
      <c r="S1270" t="s">
        <v>255</v>
      </c>
      <c r="T1270" t="s">
        <v>322</v>
      </c>
      <c r="U1270">
        <v>2.8697295335788835E-2</v>
      </c>
      <c r="V1270" t="s">
        <v>154</v>
      </c>
    </row>
    <row r="1271" spans="9:22" x14ac:dyDescent="0.25">
      <c r="N1271" t="s">
        <v>225</v>
      </c>
      <c r="O1271" t="s">
        <v>153</v>
      </c>
      <c r="P1271">
        <v>3.8224926242930717E-2</v>
      </c>
      <c r="Q1271" t="s">
        <v>154</v>
      </c>
      <c r="S1271" t="s">
        <v>256</v>
      </c>
      <c r="T1271" t="s">
        <v>153</v>
      </c>
      <c r="U1271">
        <v>3.7231052920073684E-2</v>
      </c>
      <c r="V1271" t="s">
        <v>154</v>
      </c>
    </row>
    <row r="1272" spans="9:22" x14ac:dyDescent="0.25">
      <c r="N1272" t="s">
        <v>225</v>
      </c>
      <c r="O1272" t="s">
        <v>155</v>
      </c>
      <c r="P1272">
        <v>1.1119351196272265E-2</v>
      </c>
      <c r="Q1272" t="s">
        <v>154</v>
      </c>
      <c r="S1272" t="s">
        <v>256</v>
      </c>
      <c r="T1272" t="s">
        <v>155</v>
      </c>
      <c r="U1272">
        <v>8.969618424412424E-3</v>
      </c>
      <c r="V1272" t="s">
        <v>154</v>
      </c>
    </row>
    <row r="1273" spans="9:22" x14ac:dyDescent="0.25">
      <c r="N1273" t="s">
        <v>225</v>
      </c>
      <c r="O1273" t="s">
        <v>156</v>
      </c>
      <c r="P1273">
        <v>5.7022276494189195E-3</v>
      </c>
      <c r="Q1273" t="s">
        <v>154</v>
      </c>
      <c r="S1273" t="s">
        <v>256</v>
      </c>
      <c r="T1273" t="s">
        <v>156</v>
      </c>
      <c r="U1273">
        <v>4.3812613025537676E-3</v>
      </c>
      <c r="V1273" t="s">
        <v>154</v>
      </c>
    </row>
    <row r="1274" spans="9:22" x14ac:dyDescent="0.25">
      <c r="N1274" t="s">
        <v>225</v>
      </c>
      <c r="O1274" t="s">
        <v>283</v>
      </c>
      <c r="P1274">
        <v>4.0429936275973598E-2</v>
      </c>
      <c r="Q1274" t="s">
        <v>154</v>
      </c>
      <c r="S1274" t="s">
        <v>256</v>
      </c>
      <c r="T1274" t="s">
        <v>283</v>
      </c>
      <c r="U1274">
        <v>3.2803079031998764E-2</v>
      </c>
      <c r="V1274" t="s">
        <v>154</v>
      </c>
    </row>
    <row r="1275" spans="9:22" x14ac:dyDescent="0.25">
      <c r="N1275" t="s">
        <v>225</v>
      </c>
      <c r="O1275" t="s">
        <v>284</v>
      </c>
      <c r="P1275">
        <v>5.1294311235314865E-3</v>
      </c>
      <c r="Q1275" t="s">
        <v>154</v>
      </c>
      <c r="S1275" t="s">
        <v>256</v>
      </c>
      <c r="T1275" t="s">
        <v>284</v>
      </c>
      <c r="U1275">
        <v>5.1488787637752774E-3</v>
      </c>
      <c r="V1275" t="s">
        <v>154</v>
      </c>
    </row>
    <row r="1276" spans="9:22" x14ac:dyDescent="0.25">
      <c r="N1276" t="s">
        <v>225</v>
      </c>
      <c r="O1276" t="s">
        <v>311</v>
      </c>
      <c r="P1276">
        <v>4.9273605710977268E-3</v>
      </c>
      <c r="Q1276" t="s">
        <v>154</v>
      </c>
      <c r="S1276" t="s">
        <v>256</v>
      </c>
      <c r="T1276" t="s">
        <v>311</v>
      </c>
      <c r="U1276">
        <v>5.2300622706780691E-3</v>
      </c>
      <c r="V1276" t="s">
        <v>154</v>
      </c>
    </row>
    <row r="1277" spans="9:22" x14ac:dyDescent="0.25">
      <c r="N1277" t="s">
        <v>225</v>
      </c>
      <c r="O1277" t="s">
        <v>312</v>
      </c>
      <c r="P1277">
        <v>2.3779368574518112E-2</v>
      </c>
      <c r="Q1277" t="s">
        <v>154</v>
      </c>
      <c r="S1277" t="s">
        <v>256</v>
      </c>
      <c r="T1277" t="s">
        <v>312</v>
      </c>
      <c r="U1277">
        <v>2.5742002527043936E-2</v>
      </c>
      <c r="V1277" t="s">
        <v>154</v>
      </c>
    </row>
    <row r="1278" spans="9:22" x14ac:dyDescent="0.25">
      <c r="N1278" t="s">
        <v>225</v>
      </c>
      <c r="O1278" t="s">
        <v>157</v>
      </c>
      <c r="P1278">
        <v>5.5595415594152809E-3</v>
      </c>
      <c r="Q1278" t="s">
        <v>154</v>
      </c>
      <c r="S1278" t="s">
        <v>256</v>
      </c>
      <c r="T1278" t="s">
        <v>157</v>
      </c>
      <c r="U1278">
        <v>9.7632808476780485E-3</v>
      </c>
      <c r="V1278" t="s">
        <v>154</v>
      </c>
    </row>
    <row r="1279" spans="9:22" x14ac:dyDescent="0.25">
      <c r="N1279" t="s">
        <v>225</v>
      </c>
      <c r="O1279" t="s">
        <v>158</v>
      </c>
      <c r="P1279">
        <v>1.3466773052968541E-3</v>
      </c>
      <c r="Q1279" t="s">
        <v>154</v>
      </c>
      <c r="S1279" t="s">
        <v>256</v>
      </c>
      <c r="T1279" t="s">
        <v>158</v>
      </c>
      <c r="U1279">
        <v>2.9985301170773098E-3</v>
      </c>
      <c r="V1279" t="s">
        <v>154</v>
      </c>
    </row>
    <row r="1280" spans="9:22" x14ac:dyDescent="0.25">
      <c r="N1280" t="s">
        <v>225</v>
      </c>
      <c r="O1280" t="s">
        <v>159</v>
      </c>
      <c r="P1280">
        <v>6.7986496774821985E-4</v>
      </c>
      <c r="Q1280" t="s">
        <v>154</v>
      </c>
      <c r="S1280" t="s">
        <v>256</v>
      </c>
      <c r="T1280" t="s">
        <v>159</v>
      </c>
      <c r="U1280">
        <v>1.5672933995483202E-3</v>
      </c>
      <c r="V1280" t="s">
        <v>154</v>
      </c>
    </row>
    <row r="1281" spans="14:22" x14ac:dyDescent="0.25">
      <c r="N1281" t="s">
        <v>225</v>
      </c>
      <c r="O1281" t="s">
        <v>285</v>
      </c>
      <c r="P1281">
        <v>5.9753240797471305E-3</v>
      </c>
      <c r="Q1281" t="s">
        <v>154</v>
      </c>
      <c r="S1281" t="s">
        <v>256</v>
      </c>
      <c r="T1281" t="s">
        <v>285</v>
      </c>
      <c r="U1281">
        <v>1.0574423648771583E-2</v>
      </c>
      <c r="V1281" t="s">
        <v>154</v>
      </c>
    </row>
    <row r="1282" spans="14:22" x14ac:dyDescent="0.25">
      <c r="N1282" t="s">
        <v>225</v>
      </c>
      <c r="O1282" t="s">
        <v>286</v>
      </c>
      <c r="P1282">
        <v>1.0067577468550382E-3</v>
      </c>
      <c r="Q1282" t="s">
        <v>154</v>
      </c>
      <c r="S1282" t="s">
        <v>256</v>
      </c>
      <c r="T1282" t="s">
        <v>286</v>
      </c>
      <c r="U1282">
        <v>1.4195288908302314E-3</v>
      </c>
      <c r="V1282" t="s">
        <v>154</v>
      </c>
    </row>
    <row r="1283" spans="14:22" x14ac:dyDescent="0.25">
      <c r="N1283" t="s">
        <v>225</v>
      </c>
      <c r="O1283" t="s">
        <v>313</v>
      </c>
      <c r="P1283">
        <v>9.563291941219838E-4</v>
      </c>
      <c r="Q1283" t="s">
        <v>154</v>
      </c>
      <c r="S1283" t="s">
        <v>256</v>
      </c>
      <c r="T1283" t="s">
        <v>313</v>
      </c>
      <c r="U1283">
        <v>1.4350166767681382E-3</v>
      </c>
      <c r="V1283" t="s">
        <v>154</v>
      </c>
    </row>
    <row r="1284" spans="14:22" x14ac:dyDescent="0.25">
      <c r="N1284" t="s">
        <v>225</v>
      </c>
      <c r="O1284" t="s">
        <v>314</v>
      </c>
      <c r="P1284">
        <v>4.3125983406916745E-3</v>
      </c>
      <c r="Q1284" t="s">
        <v>154</v>
      </c>
      <c r="S1284" t="s">
        <v>256</v>
      </c>
      <c r="T1284" t="s">
        <v>314</v>
      </c>
      <c r="U1284">
        <v>7.0182402045491721E-3</v>
      </c>
      <c r="V1284" t="s">
        <v>154</v>
      </c>
    </row>
    <row r="1285" spans="14:22" x14ac:dyDescent="0.25">
      <c r="N1285" t="s">
        <v>225</v>
      </c>
      <c r="O1285" t="s">
        <v>160</v>
      </c>
      <c r="P1285">
        <v>0.17067472168006498</v>
      </c>
      <c r="Q1285" t="s">
        <v>154</v>
      </c>
      <c r="S1285" t="s">
        <v>256</v>
      </c>
      <c r="T1285" t="s">
        <v>160</v>
      </c>
      <c r="U1285">
        <v>0.17367011926180542</v>
      </c>
      <c r="V1285" t="s">
        <v>154</v>
      </c>
    </row>
    <row r="1286" spans="14:22" x14ac:dyDescent="0.25">
      <c r="N1286" t="s">
        <v>225</v>
      </c>
      <c r="O1286" t="s">
        <v>161</v>
      </c>
      <c r="P1286">
        <v>4.2059759101884149E-2</v>
      </c>
      <c r="Q1286" t="s">
        <v>154</v>
      </c>
      <c r="S1286" t="s">
        <v>256</v>
      </c>
      <c r="T1286" t="s">
        <v>161</v>
      </c>
      <c r="U1286">
        <v>4.5456387049882516E-2</v>
      </c>
      <c r="V1286" t="s">
        <v>154</v>
      </c>
    </row>
    <row r="1287" spans="14:22" x14ac:dyDescent="0.25">
      <c r="N1287" t="s">
        <v>225</v>
      </c>
      <c r="O1287" t="s">
        <v>162</v>
      </c>
      <c r="P1287">
        <v>2.2996160853885957E-2</v>
      </c>
      <c r="Q1287" t="s">
        <v>154</v>
      </c>
      <c r="S1287" t="s">
        <v>256</v>
      </c>
      <c r="T1287" t="s">
        <v>162</v>
      </c>
      <c r="U1287">
        <v>2.3549400591976591E-2</v>
      </c>
      <c r="V1287" t="s">
        <v>154</v>
      </c>
    </row>
    <row r="1288" spans="14:22" x14ac:dyDescent="0.25">
      <c r="N1288" t="s">
        <v>225</v>
      </c>
      <c r="O1288" t="s">
        <v>287</v>
      </c>
      <c r="P1288">
        <v>0.18601185617447991</v>
      </c>
      <c r="Q1288" t="s">
        <v>154</v>
      </c>
      <c r="S1288" t="s">
        <v>256</v>
      </c>
      <c r="T1288" t="s">
        <v>287</v>
      </c>
      <c r="U1288">
        <v>0.17108309313107714</v>
      </c>
      <c r="V1288" t="s">
        <v>154</v>
      </c>
    </row>
    <row r="1289" spans="14:22" x14ac:dyDescent="0.25">
      <c r="N1289" t="s">
        <v>225</v>
      </c>
      <c r="O1289" t="s">
        <v>288</v>
      </c>
      <c r="P1289">
        <v>2.7315880082569088E-2</v>
      </c>
      <c r="Q1289" t="s">
        <v>154</v>
      </c>
      <c r="S1289" t="s">
        <v>256</v>
      </c>
      <c r="T1289" t="s">
        <v>288</v>
      </c>
      <c r="U1289">
        <v>2.4474295811765606E-2</v>
      </c>
      <c r="V1289" t="s">
        <v>154</v>
      </c>
    </row>
    <row r="1290" spans="14:22" x14ac:dyDescent="0.25">
      <c r="N1290" t="s">
        <v>225</v>
      </c>
      <c r="O1290" t="s">
        <v>315</v>
      </c>
      <c r="P1290">
        <v>2.7213315291518863E-2</v>
      </c>
      <c r="Q1290" t="s">
        <v>154</v>
      </c>
      <c r="S1290" t="s">
        <v>256</v>
      </c>
      <c r="T1290" t="s">
        <v>315</v>
      </c>
      <c r="U1290">
        <v>2.4124130936645751E-2</v>
      </c>
      <c r="V1290" t="s">
        <v>154</v>
      </c>
    </row>
    <row r="1291" spans="14:22" x14ac:dyDescent="0.25">
      <c r="N1291" t="s">
        <v>225</v>
      </c>
      <c r="O1291" t="s">
        <v>316</v>
      </c>
      <c r="P1291">
        <v>0.1233002910102256</v>
      </c>
      <c r="Q1291" t="s">
        <v>154</v>
      </c>
      <c r="S1291" t="s">
        <v>256</v>
      </c>
      <c r="T1291" t="s">
        <v>316</v>
      </c>
      <c r="U1291">
        <v>0.11527152099312514</v>
      </c>
      <c r="V1291" t="s">
        <v>154</v>
      </c>
    </row>
    <row r="1292" spans="14:22" x14ac:dyDescent="0.25">
      <c r="N1292" t="s">
        <v>225</v>
      </c>
      <c r="O1292" t="s">
        <v>163</v>
      </c>
      <c r="P1292">
        <v>8.142327041642524E-3</v>
      </c>
      <c r="Q1292" t="s">
        <v>154</v>
      </c>
      <c r="S1292" t="s">
        <v>256</v>
      </c>
      <c r="T1292" t="s">
        <v>163</v>
      </c>
      <c r="U1292">
        <v>9.3864158312509174E-3</v>
      </c>
      <c r="V1292" t="s">
        <v>154</v>
      </c>
    </row>
    <row r="1293" spans="14:22" x14ac:dyDescent="0.25">
      <c r="N1293" t="s">
        <v>225</v>
      </c>
      <c r="O1293" t="s">
        <v>164</v>
      </c>
      <c r="P1293">
        <v>1.8475055452743152E-3</v>
      </c>
      <c r="Q1293" t="s">
        <v>154</v>
      </c>
      <c r="S1293" t="s">
        <v>256</v>
      </c>
      <c r="T1293" t="s">
        <v>164</v>
      </c>
      <c r="U1293">
        <v>2.9077728497174811E-3</v>
      </c>
      <c r="V1293" t="s">
        <v>154</v>
      </c>
    </row>
    <row r="1294" spans="14:22" x14ac:dyDescent="0.25">
      <c r="N1294" t="s">
        <v>225</v>
      </c>
      <c r="O1294" t="s">
        <v>165</v>
      </c>
      <c r="P1294">
        <v>1.0907051273438739E-3</v>
      </c>
      <c r="Q1294" t="s">
        <v>154</v>
      </c>
      <c r="S1294" t="s">
        <v>256</v>
      </c>
      <c r="T1294" t="s">
        <v>165</v>
      </c>
      <c r="U1294">
        <v>1.4885126612748613E-3</v>
      </c>
      <c r="V1294" t="s">
        <v>154</v>
      </c>
    </row>
    <row r="1295" spans="14:22" x14ac:dyDescent="0.25">
      <c r="N1295" t="s">
        <v>225</v>
      </c>
      <c r="O1295" t="s">
        <v>289</v>
      </c>
      <c r="P1295">
        <v>9.1885161334962408E-3</v>
      </c>
      <c r="Q1295" t="s">
        <v>154</v>
      </c>
      <c r="S1295" t="s">
        <v>256</v>
      </c>
      <c r="T1295" t="s">
        <v>289</v>
      </c>
      <c r="U1295">
        <v>9.7949462490521059E-3</v>
      </c>
      <c r="V1295" t="s">
        <v>154</v>
      </c>
    </row>
    <row r="1296" spans="14:22" x14ac:dyDescent="0.25">
      <c r="N1296" t="s">
        <v>225</v>
      </c>
      <c r="O1296" t="s">
        <v>290</v>
      </c>
      <c r="P1296">
        <v>1.3164518296577324E-3</v>
      </c>
      <c r="Q1296" t="s">
        <v>154</v>
      </c>
      <c r="S1296" t="s">
        <v>256</v>
      </c>
      <c r="T1296" t="s">
        <v>290</v>
      </c>
      <c r="U1296">
        <v>1.2591861854413511E-3</v>
      </c>
      <c r="V1296" t="s">
        <v>154</v>
      </c>
    </row>
    <row r="1297" spans="14:22" x14ac:dyDescent="0.25">
      <c r="N1297" t="s">
        <v>225</v>
      </c>
      <c r="O1297" t="s">
        <v>317</v>
      </c>
      <c r="P1297">
        <v>1.3133819632092064E-3</v>
      </c>
      <c r="Q1297" t="s">
        <v>154</v>
      </c>
      <c r="S1297" t="s">
        <v>256</v>
      </c>
      <c r="T1297" t="s">
        <v>317</v>
      </c>
      <c r="U1297">
        <v>1.2421313751147184E-3</v>
      </c>
      <c r="V1297" t="s">
        <v>154</v>
      </c>
    </row>
    <row r="1298" spans="14:22" x14ac:dyDescent="0.25">
      <c r="N1298" t="s">
        <v>225</v>
      </c>
      <c r="O1298" t="s">
        <v>318</v>
      </c>
      <c r="P1298">
        <v>6.1313455573603409E-3</v>
      </c>
      <c r="Q1298" t="s">
        <v>154</v>
      </c>
      <c r="S1298" t="s">
        <v>256</v>
      </c>
      <c r="T1298" t="s">
        <v>318</v>
      </c>
      <c r="U1298">
        <v>6.0124617611017105E-3</v>
      </c>
      <c r="V1298" t="s">
        <v>154</v>
      </c>
    </row>
    <row r="1299" spans="14:22" x14ac:dyDescent="0.25">
      <c r="N1299" t="s">
        <v>225</v>
      </c>
      <c r="O1299" t="s">
        <v>297</v>
      </c>
      <c r="P1299">
        <v>2.5919732546922054E-2</v>
      </c>
      <c r="Q1299" t="s">
        <v>154</v>
      </c>
      <c r="S1299" t="s">
        <v>256</v>
      </c>
      <c r="T1299" t="s">
        <v>297</v>
      </c>
      <c r="U1299">
        <v>2.1252958935230697E-2</v>
      </c>
      <c r="V1299" t="s">
        <v>154</v>
      </c>
    </row>
    <row r="1300" spans="14:22" x14ac:dyDescent="0.25">
      <c r="N1300" t="s">
        <v>225</v>
      </c>
      <c r="O1300" t="s">
        <v>298</v>
      </c>
      <c r="P1300">
        <v>5.8962504902897528E-3</v>
      </c>
      <c r="Q1300" t="s">
        <v>154</v>
      </c>
      <c r="S1300" t="s">
        <v>256</v>
      </c>
      <c r="T1300" t="s">
        <v>298</v>
      </c>
      <c r="U1300">
        <v>6.4350619788236642E-3</v>
      </c>
      <c r="V1300" t="s">
        <v>154</v>
      </c>
    </row>
    <row r="1301" spans="14:22" x14ac:dyDescent="0.25">
      <c r="N1301" t="s">
        <v>225</v>
      </c>
      <c r="O1301" t="s">
        <v>299</v>
      </c>
      <c r="P1301">
        <v>2.9706165737120897E-3</v>
      </c>
      <c r="Q1301" t="s">
        <v>154</v>
      </c>
      <c r="S1301" t="s">
        <v>256</v>
      </c>
      <c r="T1301" t="s">
        <v>299</v>
      </c>
      <c r="U1301">
        <v>3.2867416038807975E-3</v>
      </c>
      <c r="V1301" t="s">
        <v>154</v>
      </c>
    </row>
    <row r="1302" spans="14:22" x14ac:dyDescent="0.25">
      <c r="N1302" t="s">
        <v>225</v>
      </c>
      <c r="O1302" t="s">
        <v>300</v>
      </c>
      <c r="P1302">
        <v>2.1867458194301005E-2</v>
      </c>
      <c r="Q1302" t="s">
        <v>154</v>
      </c>
      <c r="S1302" t="s">
        <v>256</v>
      </c>
      <c r="T1302" t="s">
        <v>300</v>
      </c>
      <c r="U1302">
        <v>2.4145904046457285E-2</v>
      </c>
      <c r="V1302" t="s">
        <v>154</v>
      </c>
    </row>
    <row r="1303" spans="14:22" x14ac:dyDescent="0.25">
      <c r="N1303" t="s">
        <v>225</v>
      </c>
      <c r="O1303" t="s">
        <v>301</v>
      </c>
      <c r="P1303">
        <v>3.009537215817335E-3</v>
      </c>
      <c r="Q1303" t="s">
        <v>154</v>
      </c>
      <c r="S1303" t="s">
        <v>256</v>
      </c>
      <c r="T1303" t="s">
        <v>301</v>
      </c>
      <c r="U1303">
        <v>3.6072863900965899E-3</v>
      </c>
      <c r="V1303" t="s">
        <v>154</v>
      </c>
    </row>
    <row r="1304" spans="14:22" x14ac:dyDescent="0.25">
      <c r="N1304" t="s">
        <v>225</v>
      </c>
      <c r="O1304" t="s">
        <v>319</v>
      </c>
      <c r="P1304">
        <v>3.0091299983112598E-3</v>
      </c>
      <c r="Q1304" t="s">
        <v>154</v>
      </c>
      <c r="S1304" t="s">
        <v>256</v>
      </c>
      <c r="T1304" t="s">
        <v>319</v>
      </c>
      <c r="U1304">
        <v>3.6555108890133636E-3</v>
      </c>
      <c r="V1304" t="s">
        <v>154</v>
      </c>
    </row>
    <row r="1305" spans="14:22" x14ac:dyDescent="0.25">
      <c r="N1305" t="s">
        <v>225</v>
      </c>
      <c r="O1305" t="s">
        <v>320</v>
      </c>
      <c r="P1305">
        <v>1.557594493474092E-2</v>
      </c>
      <c r="Q1305" t="s">
        <v>154</v>
      </c>
      <c r="S1305" t="s">
        <v>256</v>
      </c>
      <c r="T1305" t="s">
        <v>320</v>
      </c>
      <c r="U1305">
        <v>1.7449657961411548E-2</v>
      </c>
      <c r="V1305" t="s">
        <v>154</v>
      </c>
    </row>
    <row r="1306" spans="14:22" x14ac:dyDescent="0.25">
      <c r="N1306" t="s">
        <v>225</v>
      </c>
      <c r="O1306" t="s">
        <v>302</v>
      </c>
      <c r="P1306">
        <v>4.1985305072577826E-2</v>
      </c>
      <c r="Q1306" t="s">
        <v>154</v>
      </c>
      <c r="S1306" t="s">
        <v>256</v>
      </c>
      <c r="T1306" t="s">
        <v>302</v>
      </c>
      <c r="U1306">
        <v>4.4261911510877473E-2</v>
      </c>
      <c r="V1306" t="s">
        <v>154</v>
      </c>
    </row>
    <row r="1307" spans="14:22" x14ac:dyDescent="0.25">
      <c r="N1307" t="s">
        <v>225</v>
      </c>
      <c r="O1307" t="s">
        <v>303</v>
      </c>
      <c r="P1307">
        <v>1.1425100474104465E-2</v>
      </c>
      <c r="Q1307" t="s">
        <v>154</v>
      </c>
      <c r="S1307" t="s">
        <v>256</v>
      </c>
      <c r="T1307" t="s">
        <v>303</v>
      </c>
      <c r="U1307">
        <v>1.2931263125158852E-2</v>
      </c>
      <c r="V1307" t="s">
        <v>154</v>
      </c>
    </row>
    <row r="1308" spans="14:22" x14ac:dyDescent="0.25">
      <c r="N1308" t="s">
        <v>225</v>
      </c>
      <c r="O1308" t="s">
        <v>304</v>
      </c>
      <c r="P1308">
        <v>5.707341920362919E-3</v>
      </c>
      <c r="Q1308" t="s">
        <v>154</v>
      </c>
      <c r="S1308" t="s">
        <v>256</v>
      </c>
      <c r="T1308" t="s">
        <v>304</v>
      </c>
      <c r="U1308">
        <v>6.7824309951371254E-3</v>
      </c>
      <c r="V1308" t="s">
        <v>154</v>
      </c>
    </row>
    <row r="1309" spans="14:22" x14ac:dyDescent="0.25">
      <c r="N1309" t="s">
        <v>225</v>
      </c>
      <c r="O1309" t="s">
        <v>305</v>
      </c>
      <c r="P1309">
        <v>4.359306116578901E-2</v>
      </c>
      <c r="Q1309" t="s">
        <v>154</v>
      </c>
      <c r="S1309" t="s">
        <v>256</v>
      </c>
      <c r="T1309" t="s">
        <v>305</v>
      </c>
      <c r="U1309">
        <v>4.773460655099121E-2</v>
      </c>
      <c r="V1309" t="s">
        <v>154</v>
      </c>
    </row>
    <row r="1310" spans="14:22" x14ac:dyDescent="0.25">
      <c r="N1310" t="s">
        <v>225</v>
      </c>
      <c r="O1310" t="s">
        <v>306</v>
      </c>
      <c r="P1310">
        <v>5.967050837032222E-3</v>
      </c>
      <c r="Q1310" t="s">
        <v>154</v>
      </c>
      <c r="S1310" t="s">
        <v>256</v>
      </c>
      <c r="T1310" t="s">
        <v>306</v>
      </c>
      <c r="U1310">
        <v>6.6797493607863769E-3</v>
      </c>
      <c r="V1310" t="s">
        <v>154</v>
      </c>
    </row>
    <row r="1311" spans="14:22" x14ac:dyDescent="0.25">
      <c r="N1311" t="s">
        <v>225</v>
      </c>
      <c r="O1311" t="s">
        <v>321</v>
      </c>
      <c r="P1311">
        <v>6.1063065434923836E-3</v>
      </c>
      <c r="Q1311" t="s">
        <v>154</v>
      </c>
      <c r="S1311" t="s">
        <v>256</v>
      </c>
      <c r="T1311" t="s">
        <v>321</v>
      </c>
      <c r="U1311">
        <v>6.6184872797986367E-3</v>
      </c>
      <c r="V1311" t="s">
        <v>154</v>
      </c>
    </row>
    <row r="1312" spans="14:22" x14ac:dyDescent="0.25">
      <c r="N1312" t="s">
        <v>225</v>
      </c>
      <c r="O1312" t="s">
        <v>322</v>
      </c>
      <c r="P1312">
        <v>2.9215251812317218E-2</v>
      </c>
      <c r="Q1312" t="s">
        <v>154</v>
      </c>
      <c r="S1312" t="s">
        <v>256</v>
      </c>
      <c r="T1312" t="s">
        <v>322</v>
      </c>
      <c r="U1312">
        <v>3.1155785657350055E-2</v>
      </c>
      <c r="V1312" t="s">
        <v>154</v>
      </c>
    </row>
    <row r="1313" spans="19:22" x14ac:dyDescent="0.25">
      <c r="S1313" t="s">
        <v>257</v>
      </c>
      <c r="T1313" t="s">
        <v>153</v>
      </c>
      <c r="U1313">
        <v>4.5741296958866078E-2</v>
      </c>
      <c r="V1313" t="s">
        <v>154</v>
      </c>
    </row>
    <row r="1314" spans="19:22" x14ac:dyDescent="0.25">
      <c r="S1314" t="s">
        <v>257</v>
      </c>
      <c r="T1314" t="s">
        <v>155</v>
      </c>
      <c r="U1314">
        <v>1.0003570982024198E-2</v>
      </c>
      <c r="V1314" t="s">
        <v>154</v>
      </c>
    </row>
    <row r="1315" spans="19:22" x14ac:dyDescent="0.25">
      <c r="S1315" t="s">
        <v>257</v>
      </c>
      <c r="T1315" t="s">
        <v>156</v>
      </c>
      <c r="U1315">
        <v>4.8256947011130367E-3</v>
      </c>
      <c r="V1315" t="s">
        <v>154</v>
      </c>
    </row>
    <row r="1316" spans="19:22" x14ac:dyDescent="0.25">
      <c r="S1316" t="s">
        <v>257</v>
      </c>
      <c r="T1316" t="s">
        <v>283</v>
      </c>
      <c r="U1316">
        <v>3.7128677850180807E-2</v>
      </c>
      <c r="V1316" t="s">
        <v>154</v>
      </c>
    </row>
    <row r="1317" spans="19:22" x14ac:dyDescent="0.25">
      <c r="S1317" t="s">
        <v>257</v>
      </c>
      <c r="T1317" t="s">
        <v>284</v>
      </c>
      <c r="U1317">
        <v>5.4517087734589614E-3</v>
      </c>
      <c r="V1317" t="s">
        <v>154</v>
      </c>
    </row>
    <row r="1318" spans="19:22" x14ac:dyDescent="0.25">
      <c r="S1318" t="s">
        <v>257</v>
      </c>
      <c r="T1318" t="s">
        <v>311</v>
      </c>
      <c r="U1318">
        <v>5.584246464873082E-3</v>
      </c>
      <c r="V1318" t="s">
        <v>154</v>
      </c>
    </row>
    <row r="1319" spans="19:22" x14ac:dyDescent="0.25">
      <c r="S1319" t="s">
        <v>257</v>
      </c>
      <c r="T1319" t="s">
        <v>312</v>
      </c>
      <c r="U1319">
        <v>2.9644753168751762E-2</v>
      </c>
      <c r="V1319" t="s">
        <v>154</v>
      </c>
    </row>
    <row r="1320" spans="19:22" x14ac:dyDescent="0.25">
      <c r="S1320" t="s">
        <v>257</v>
      </c>
      <c r="T1320" t="s">
        <v>157</v>
      </c>
      <c r="U1320">
        <v>9.7058123249601728E-3</v>
      </c>
      <c r="V1320" t="s">
        <v>154</v>
      </c>
    </row>
    <row r="1321" spans="19:22" x14ac:dyDescent="0.25">
      <c r="S1321" t="s">
        <v>257</v>
      </c>
      <c r="T1321" t="s">
        <v>158</v>
      </c>
      <c r="U1321">
        <v>2.9567354094780442E-3</v>
      </c>
      <c r="V1321" t="s">
        <v>154</v>
      </c>
    </row>
    <row r="1322" spans="19:22" x14ac:dyDescent="0.25">
      <c r="S1322" t="s">
        <v>257</v>
      </c>
      <c r="T1322" t="s">
        <v>159</v>
      </c>
      <c r="U1322">
        <v>1.4497147021761861E-3</v>
      </c>
      <c r="V1322" t="s">
        <v>154</v>
      </c>
    </row>
    <row r="1323" spans="19:22" x14ac:dyDescent="0.25">
      <c r="S1323" t="s">
        <v>257</v>
      </c>
      <c r="T1323" t="s">
        <v>285</v>
      </c>
      <c r="U1323">
        <v>9.9101661242556194E-3</v>
      </c>
      <c r="V1323" t="s">
        <v>154</v>
      </c>
    </row>
    <row r="1324" spans="19:22" x14ac:dyDescent="0.25">
      <c r="S1324" t="s">
        <v>257</v>
      </c>
      <c r="T1324" t="s">
        <v>286</v>
      </c>
      <c r="U1324">
        <v>1.4003646378612435E-3</v>
      </c>
      <c r="V1324" t="s">
        <v>154</v>
      </c>
    </row>
    <row r="1325" spans="19:22" x14ac:dyDescent="0.25">
      <c r="S1325" t="s">
        <v>257</v>
      </c>
      <c r="T1325" t="s">
        <v>313</v>
      </c>
      <c r="U1325">
        <v>1.4187870534619115E-3</v>
      </c>
      <c r="V1325" t="s">
        <v>154</v>
      </c>
    </row>
    <row r="1326" spans="19:22" x14ac:dyDescent="0.25">
      <c r="S1326" t="s">
        <v>257</v>
      </c>
      <c r="T1326" t="s">
        <v>314</v>
      </c>
      <c r="U1326">
        <v>7.0978134053930912E-3</v>
      </c>
      <c r="V1326" t="s">
        <v>154</v>
      </c>
    </row>
    <row r="1327" spans="19:22" x14ac:dyDescent="0.25">
      <c r="S1327" t="s">
        <v>257</v>
      </c>
      <c r="T1327" t="s">
        <v>160</v>
      </c>
      <c r="U1327">
        <v>0.17347357409493047</v>
      </c>
      <c r="V1327" t="s">
        <v>154</v>
      </c>
    </row>
    <row r="1328" spans="19:22" x14ac:dyDescent="0.25">
      <c r="S1328" t="s">
        <v>257</v>
      </c>
      <c r="T1328" t="s">
        <v>161</v>
      </c>
      <c r="U1328">
        <v>4.4889676254091848E-2</v>
      </c>
      <c r="V1328" t="s">
        <v>154</v>
      </c>
    </row>
    <row r="1329" spans="19:22" x14ac:dyDescent="0.25">
      <c r="S1329" t="s">
        <v>257</v>
      </c>
      <c r="T1329" t="s">
        <v>162</v>
      </c>
      <c r="U1329">
        <v>2.3561507949888021E-2</v>
      </c>
      <c r="V1329" t="s">
        <v>154</v>
      </c>
    </row>
    <row r="1330" spans="19:22" x14ac:dyDescent="0.25">
      <c r="S1330" t="s">
        <v>257</v>
      </c>
      <c r="T1330" t="s">
        <v>287</v>
      </c>
      <c r="U1330">
        <v>0.16291225962340616</v>
      </c>
      <c r="V1330" t="s">
        <v>154</v>
      </c>
    </row>
    <row r="1331" spans="19:22" x14ac:dyDescent="0.25">
      <c r="S1331" t="s">
        <v>257</v>
      </c>
      <c r="T1331" t="s">
        <v>288</v>
      </c>
      <c r="U1331">
        <v>2.372366358727681E-2</v>
      </c>
      <c r="V1331" t="s">
        <v>154</v>
      </c>
    </row>
    <row r="1332" spans="19:22" x14ac:dyDescent="0.25">
      <c r="S1332" t="s">
        <v>257</v>
      </c>
      <c r="T1332" t="s">
        <v>315</v>
      </c>
      <c r="U1332">
        <v>2.3954955969739476E-2</v>
      </c>
      <c r="V1332" t="s">
        <v>154</v>
      </c>
    </row>
    <row r="1333" spans="19:22" x14ac:dyDescent="0.25">
      <c r="S1333" t="s">
        <v>257</v>
      </c>
      <c r="T1333" t="s">
        <v>316</v>
      </c>
      <c r="U1333">
        <v>0.11122480957860552</v>
      </c>
      <c r="V1333" t="s">
        <v>154</v>
      </c>
    </row>
    <row r="1334" spans="19:22" x14ac:dyDescent="0.25">
      <c r="S1334" t="s">
        <v>257</v>
      </c>
      <c r="T1334" t="s">
        <v>163</v>
      </c>
      <c r="U1334">
        <v>8.9796836626877263E-3</v>
      </c>
      <c r="V1334" t="s">
        <v>154</v>
      </c>
    </row>
    <row r="1335" spans="19:22" x14ac:dyDescent="0.25">
      <c r="S1335" t="s">
        <v>257</v>
      </c>
      <c r="T1335" t="s">
        <v>164</v>
      </c>
      <c r="U1335">
        <v>1.9808035909770092E-3</v>
      </c>
      <c r="V1335" t="s">
        <v>154</v>
      </c>
    </row>
    <row r="1336" spans="19:22" x14ac:dyDescent="0.25">
      <c r="S1336" t="s">
        <v>257</v>
      </c>
      <c r="T1336" t="s">
        <v>165</v>
      </c>
      <c r="U1336">
        <v>9.8270433231236517E-4</v>
      </c>
      <c r="V1336" t="s">
        <v>154</v>
      </c>
    </row>
    <row r="1337" spans="19:22" x14ac:dyDescent="0.25">
      <c r="S1337" t="s">
        <v>257</v>
      </c>
      <c r="T1337" t="s">
        <v>289</v>
      </c>
      <c r="U1337">
        <v>6.6426411843991682E-3</v>
      </c>
      <c r="V1337" t="s">
        <v>154</v>
      </c>
    </row>
    <row r="1338" spans="19:22" x14ac:dyDescent="0.25">
      <c r="S1338" t="s">
        <v>257</v>
      </c>
      <c r="T1338" t="s">
        <v>290</v>
      </c>
      <c r="U1338">
        <v>1.1637979322374754E-3</v>
      </c>
      <c r="V1338" t="s">
        <v>154</v>
      </c>
    </row>
    <row r="1339" spans="19:22" x14ac:dyDescent="0.25">
      <c r="S1339" t="s">
        <v>257</v>
      </c>
      <c r="T1339" t="s">
        <v>317</v>
      </c>
      <c r="U1339">
        <v>1.2417340078902191E-3</v>
      </c>
      <c r="V1339" t="s">
        <v>154</v>
      </c>
    </row>
    <row r="1340" spans="19:22" x14ac:dyDescent="0.25">
      <c r="S1340" t="s">
        <v>257</v>
      </c>
      <c r="T1340" t="s">
        <v>318</v>
      </c>
      <c r="U1340">
        <v>5.4835181044482284E-3</v>
      </c>
      <c r="V1340" t="s">
        <v>154</v>
      </c>
    </row>
    <row r="1341" spans="19:22" x14ac:dyDescent="0.25">
      <c r="S1341" t="s">
        <v>257</v>
      </c>
      <c r="T1341" t="s">
        <v>297</v>
      </c>
      <c r="U1341">
        <v>2.2348255715500205E-2</v>
      </c>
      <c r="V1341" t="s">
        <v>154</v>
      </c>
    </row>
    <row r="1342" spans="19:22" x14ac:dyDescent="0.25">
      <c r="S1342" t="s">
        <v>257</v>
      </c>
      <c r="T1342" t="s">
        <v>298</v>
      </c>
      <c r="U1342">
        <v>4.575303350082334E-3</v>
      </c>
      <c r="V1342" t="s">
        <v>154</v>
      </c>
    </row>
    <row r="1343" spans="19:22" x14ac:dyDescent="0.25">
      <c r="S1343" t="s">
        <v>257</v>
      </c>
      <c r="T1343" t="s">
        <v>299</v>
      </c>
      <c r="U1343">
        <v>2.4841255225579468E-3</v>
      </c>
      <c r="V1343" t="s">
        <v>154</v>
      </c>
    </row>
    <row r="1344" spans="19:22" x14ac:dyDescent="0.25">
      <c r="S1344" t="s">
        <v>257</v>
      </c>
      <c r="T1344" t="s">
        <v>300</v>
      </c>
      <c r="U1344">
        <v>2.1574711305264043E-2</v>
      </c>
      <c r="V1344" t="s">
        <v>154</v>
      </c>
    </row>
    <row r="1345" spans="19:22" x14ac:dyDescent="0.25">
      <c r="S1345" t="s">
        <v>257</v>
      </c>
      <c r="T1345" t="s">
        <v>301</v>
      </c>
      <c r="U1345">
        <v>3.5286314047332248E-3</v>
      </c>
      <c r="V1345" t="s">
        <v>154</v>
      </c>
    </row>
    <row r="1346" spans="19:22" x14ac:dyDescent="0.25">
      <c r="S1346" t="s">
        <v>257</v>
      </c>
      <c r="T1346" t="s">
        <v>319</v>
      </c>
      <c r="U1346">
        <v>3.5746880785742525E-3</v>
      </c>
      <c r="V1346" t="s">
        <v>154</v>
      </c>
    </row>
    <row r="1347" spans="19:22" x14ac:dyDescent="0.25">
      <c r="S1347" t="s">
        <v>257</v>
      </c>
      <c r="T1347" t="s">
        <v>320</v>
      </c>
      <c r="U1347">
        <v>1.7773642518707774E-2</v>
      </c>
      <c r="V1347" t="s">
        <v>154</v>
      </c>
    </row>
    <row r="1348" spans="19:22" x14ac:dyDescent="0.25">
      <c r="S1348" t="s">
        <v>257</v>
      </c>
      <c r="T1348" t="s">
        <v>302</v>
      </c>
      <c r="U1348">
        <v>4.4758966908808547E-2</v>
      </c>
      <c r="V1348" t="s">
        <v>154</v>
      </c>
    </row>
    <row r="1349" spans="19:22" x14ac:dyDescent="0.25">
      <c r="S1349" t="s">
        <v>257</v>
      </c>
      <c r="T1349" t="s">
        <v>303</v>
      </c>
      <c r="U1349">
        <v>1.1747818470038593E-2</v>
      </c>
      <c r="V1349" t="s">
        <v>154</v>
      </c>
    </row>
    <row r="1350" spans="19:22" x14ac:dyDescent="0.25">
      <c r="S1350" t="s">
        <v>257</v>
      </c>
      <c r="T1350" t="s">
        <v>304</v>
      </c>
      <c r="U1350">
        <v>6.110521283174462E-3</v>
      </c>
      <c r="V1350" t="s">
        <v>154</v>
      </c>
    </row>
    <row r="1351" spans="19:22" x14ac:dyDescent="0.25">
      <c r="S1351" t="s">
        <v>257</v>
      </c>
      <c r="T1351" t="s">
        <v>305</v>
      </c>
      <c r="U1351">
        <v>5.0196328607938545E-2</v>
      </c>
      <c r="V1351" t="s">
        <v>154</v>
      </c>
    </row>
    <row r="1352" spans="19:22" x14ac:dyDescent="0.25">
      <c r="S1352" t="s">
        <v>257</v>
      </c>
      <c r="T1352" t="s">
        <v>306</v>
      </c>
      <c r="U1352">
        <v>7.5206501302826296E-3</v>
      </c>
      <c r="V1352" t="s">
        <v>154</v>
      </c>
    </row>
    <row r="1353" spans="19:22" x14ac:dyDescent="0.25">
      <c r="S1353" t="s">
        <v>257</v>
      </c>
      <c r="T1353" t="s">
        <v>321</v>
      </c>
      <c r="U1353">
        <v>7.4000052081857719E-3</v>
      </c>
      <c r="V1353" t="s">
        <v>154</v>
      </c>
    </row>
    <row r="1354" spans="19:22" x14ac:dyDescent="0.25">
      <c r="S1354" t="s">
        <v>257</v>
      </c>
      <c r="T1354" t="s">
        <v>322</v>
      </c>
      <c r="U1354">
        <v>3.3871679066408568E-2</v>
      </c>
      <c r="V1354" t="s">
        <v>154</v>
      </c>
    </row>
    <row r="1355" spans="19:22" x14ac:dyDescent="0.25">
      <c r="S1355" t="s">
        <v>258</v>
      </c>
      <c r="T1355" t="s">
        <v>153</v>
      </c>
      <c r="U1355">
        <v>4.086838854740079E-2</v>
      </c>
      <c r="V1355" t="s">
        <v>154</v>
      </c>
    </row>
    <row r="1356" spans="19:22" x14ac:dyDescent="0.25">
      <c r="S1356" t="s">
        <v>258</v>
      </c>
      <c r="T1356" t="s">
        <v>155</v>
      </c>
      <c r="U1356">
        <v>9.0833362434853838E-3</v>
      </c>
      <c r="V1356" t="s">
        <v>154</v>
      </c>
    </row>
    <row r="1357" spans="19:22" x14ac:dyDescent="0.25">
      <c r="S1357" t="s">
        <v>258</v>
      </c>
      <c r="T1357" t="s">
        <v>156</v>
      </c>
      <c r="U1357">
        <v>4.4460500790567577E-3</v>
      </c>
      <c r="V1357" t="s">
        <v>154</v>
      </c>
    </row>
    <row r="1358" spans="19:22" x14ac:dyDescent="0.25">
      <c r="S1358" t="s">
        <v>258</v>
      </c>
      <c r="T1358" t="s">
        <v>283</v>
      </c>
      <c r="U1358">
        <v>3.487180354649165E-2</v>
      </c>
      <c r="V1358" t="s">
        <v>154</v>
      </c>
    </row>
    <row r="1359" spans="19:22" x14ac:dyDescent="0.25">
      <c r="S1359" t="s">
        <v>258</v>
      </c>
      <c r="T1359" t="s">
        <v>284</v>
      </c>
      <c r="U1359">
        <v>5.7231097977137281E-3</v>
      </c>
      <c r="V1359" t="s">
        <v>154</v>
      </c>
    </row>
    <row r="1360" spans="19:22" x14ac:dyDescent="0.25">
      <c r="S1360" t="s">
        <v>258</v>
      </c>
      <c r="T1360" t="s">
        <v>311</v>
      </c>
      <c r="U1360">
        <v>5.8745882357382935E-3</v>
      </c>
      <c r="V1360" t="s">
        <v>154</v>
      </c>
    </row>
    <row r="1361" spans="19:22" x14ac:dyDescent="0.25">
      <c r="S1361" t="s">
        <v>258</v>
      </c>
      <c r="T1361" t="s">
        <v>312</v>
      </c>
      <c r="U1361">
        <v>2.9552251694521962E-2</v>
      </c>
      <c r="V1361" t="s">
        <v>154</v>
      </c>
    </row>
    <row r="1362" spans="19:22" x14ac:dyDescent="0.25">
      <c r="S1362" t="s">
        <v>258</v>
      </c>
      <c r="T1362" t="s">
        <v>157</v>
      </c>
      <c r="U1362">
        <v>1.0583294955819006E-2</v>
      </c>
      <c r="V1362" t="s">
        <v>154</v>
      </c>
    </row>
    <row r="1363" spans="19:22" x14ac:dyDescent="0.25">
      <c r="S1363" t="s">
        <v>258</v>
      </c>
      <c r="T1363" t="s">
        <v>158</v>
      </c>
      <c r="U1363">
        <v>2.7578161670539394E-3</v>
      </c>
      <c r="V1363" t="s">
        <v>154</v>
      </c>
    </row>
    <row r="1364" spans="19:22" x14ac:dyDescent="0.25">
      <c r="S1364" t="s">
        <v>258</v>
      </c>
      <c r="T1364" t="s">
        <v>159</v>
      </c>
      <c r="U1364">
        <v>1.4046085443616956E-3</v>
      </c>
      <c r="V1364" t="s">
        <v>154</v>
      </c>
    </row>
    <row r="1365" spans="19:22" x14ac:dyDescent="0.25">
      <c r="S1365" t="s">
        <v>258</v>
      </c>
      <c r="T1365" t="s">
        <v>285</v>
      </c>
      <c r="U1365">
        <v>9.8733831850732964E-3</v>
      </c>
      <c r="V1365" t="s">
        <v>154</v>
      </c>
    </row>
    <row r="1366" spans="19:22" x14ac:dyDescent="0.25">
      <c r="S1366" t="s">
        <v>258</v>
      </c>
      <c r="T1366" t="s">
        <v>286</v>
      </c>
      <c r="U1366">
        <v>1.4495436797448682E-3</v>
      </c>
      <c r="V1366" t="s">
        <v>154</v>
      </c>
    </row>
    <row r="1367" spans="19:22" x14ac:dyDescent="0.25">
      <c r="S1367" t="s">
        <v>258</v>
      </c>
      <c r="T1367" t="s">
        <v>313</v>
      </c>
      <c r="U1367">
        <v>1.4702956796888054E-3</v>
      </c>
      <c r="V1367" t="s">
        <v>154</v>
      </c>
    </row>
    <row r="1368" spans="19:22" x14ac:dyDescent="0.25">
      <c r="S1368" t="s">
        <v>258</v>
      </c>
      <c r="T1368" t="s">
        <v>314</v>
      </c>
      <c r="U1368">
        <v>7.2172241378231604E-3</v>
      </c>
      <c r="V1368" t="s">
        <v>154</v>
      </c>
    </row>
    <row r="1369" spans="19:22" x14ac:dyDescent="0.25">
      <c r="S1369" t="s">
        <v>258</v>
      </c>
      <c r="T1369" t="s">
        <v>160</v>
      </c>
      <c r="U1369">
        <v>0.16974576027408006</v>
      </c>
      <c r="V1369" t="s">
        <v>154</v>
      </c>
    </row>
    <row r="1370" spans="19:22" x14ac:dyDescent="0.25">
      <c r="S1370" t="s">
        <v>258</v>
      </c>
      <c r="T1370" t="s">
        <v>161</v>
      </c>
      <c r="U1370">
        <v>4.3076468945744746E-2</v>
      </c>
      <c r="V1370" t="s">
        <v>154</v>
      </c>
    </row>
    <row r="1371" spans="19:22" x14ac:dyDescent="0.25">
      <c r="S1371" t="s">
        <v>258</v>
      </c>
      <c r="T1371" t="s">
        <v>162</v>
      </c>
      <c r="U1371">
        <v>2.2800878070439214E-2</v>
      </c>
      <c r="V1371" t="s">
        <v>154</v>
      </c>
    </row>
    <row r="1372" spans="19:22" x14ac:dyDescent="0.25">
      <c r="S1372" t="s">
        <v>258</v>
      </c>
      <c r="T1372" t="s">
        <v>287</v>
      </c>
      <c r="U1372">
        <v>0.16409672913743226</v>
      </c>
      <c r="V1372" t="s">
        <v>154</v>
      </c>
    </row>
    <row r="1373" spans="19:22" x14ac:dyDescent="0.25">
      <c r="S1373" t="s">
        <v>258</v>
      </c>
      <c r="T1373" t="s">
        <v>288</v>
      </c>
      <c r="U1373">
        <v>2.425899117317816E-2</v>
      </c>
      <c r="V1373" t="s">
        <v>154</v>
      </c>
    </row>
    <row r="1374" spans="19:22" x14ac:dyDescent="0.25">
      <c r="S1374" t="s">
        <v>258</v>
      </c>
      <c r="T1374" t="s">
        <v>315</v>
      </c>
      <c r="U1374">
        <v>2.4268086868495176E-2</v>
      </c>
      <c r="V1374" t="s">
        <v>154</v>
      </c>
    </row>
    <row r="1375" spans="19:22" x14ac:dyDescent="0.25">
      <c r="S1375" t="s">
        <v>258</v>
      </c>
      <c r="T1375" t="s">
        <v>316</v>
      </c>
      <c r="U1375">
        <v>0.11226999458548659</v>
      </c>
      <c r="V1375" t="s">
        <v>154</v>
      </c>
    </row>
    <row r="1376" spans="19:22" x14ac:dyDescent="0.25">
      <c r="S1376" t="s">
        <v>258</v>
      </c>
      <c r="T1376" t="s">
        <v>163</v>
      </c>
      <c r="U1376">
        <v>8.5892845267486247E-3</v>
      </c>
      <c r="V1376" t="s">
        <v>154</v>
      </c>
    </row>
    <row r="1377" spans="19:22" x14ac:dyDescent="0.25">
      <c r="S1377" t="s">
        <v>258</v>
      </c>
      <c r="T1377" t="s">
        <v>164</v>
      </c>
      <c r="U1377">
        <v>2.5921062171915927E-3</v>
      </c>
      <c r="V1377" t="s">
        <v>154</v>
      </c>
    </row>
    <row r="1378" spans="19:22" x14ac:dyDescent="0.25">
      <c r="S1378" t="s">
        <v>258</v>
      </c>
      <c r="T1378" t="s">
        <v>165</v>
      </c>
      <c r="U1378">
        <v>1.3507825112661213E-3</v>
      </c>
      <c r="V1378" t="s">
        <v>154</v>
      </c>
    </row>
    <row r="1379" spans="19:22" x14ac:dyDescent="0.25">
      <c r="S1379" t="s">
        <v>258</v>
      </c>
      <c r="T1379" t="s">
        <v>289</v>
      </c>
      <c r="U1379">
        <v>8.6880841676087728E-3</v>
      </c>
      <c r="V1379" t="s">
        <v>154</v>
      </c>
    </row>
    <row r="1380" spans="19:22" x14ac:dyDescent="0.25">
      <c r="S1380" t="s">
        <v>258</v>
      </c>
      <c r="T1380" t="s">
        <v>290</v>
      </c>
      <c r="U1380">
        <v>1.2935886098943807E-3</v>
      </c>
      <c r="V1380" t="s">
        <v>154</v>
      </c>
    </row>
    <row r="1381" spans="19:22" x14ac:dyDescent="0.25">
      <c r="S1381" t="s">
        <v>258</v>
      </c>
      <c r="T1381" t="s">
        <v>317</v>
      </c>
      <c r="U1381">
        <v>1.3213582724130749E-3</v>
      </c>
      <c r="V1381" t="s">
        <v>154</v>
      </c>
    </row>
    <row r="1382" spans="19:22" x14ac:dyDescent="0.25">
      <c r="S1382" t="s">
        <v>258</v>
      </c>
      <c r="T1382" t="s">
        <v>318</v>
      </c>
      <c r="U1382">
        <v>5.9894466466794572E-3</v>
      </c>
      <c r="V1382" t="s">
        <v>154</v>
      </c>
    </row>
    <row r="1383" spans="19:22" x14ac:dyDescent="0.25">
      <c r="S1383" t="s">
        <v>258</v>
      </c>
      <c r="T1383" t="s">
        <v>297</v>
      </c>
      <c r="U1383">
        <v>2.2075702391972336E-2</v>
      </c>
      <c r="V1383" t="s">
        <v>154</v>
      </c>
    </row>
    <row r="1384" spans="19:22" x14ac:dyDescent="0.25">
      <c r="S1384" t="s">
        <v>258</v>
      </c>
      <c r="T1384" t="s">
        <v>298</v>
      </c>
      <c r="U1384">
        <v>5.5176676050559372E-3</v>
      </c>
      <c r="V1384" t="s">
        <v>154</v>
      </c>
    </row>
    <row r="1385" spans="19:22" x14ac:dyDescent="0.25">
      <c r="S1385" t="s">
        <v>258</v>
      </c>
      <c r="T1385" t="s">
        <v>299</v>
      </c>
      <c r="U1385">
        <v>2.927717585994007E-3</v>
      </c>
      <c r="V1385" t="s">
        <v>154</v>
      </c>
    </row>
    <row r="1386" spans="19:22" x14ac:dyDescent="0.25">
      <c r="S1386" t="s">
        <v>258</v>
      </c>
      <c r="T1386" t="s">
        <v>300</v>
      </c>
      <c r="U1386">
        <v>2.2414706146081969E-2</v>
      </c>
      <c r="V1386" t="s">
        <v>154</v>
      </c>
    </row>
    <row r="1387" spans="19:22" x14ac:dyDescent="0.25">
      <c r="S1387" t="s">
        <v>258</v>
      </c>
      <c r="T1387" t="s">
        <v>301</v>
      </c>
      <c r="U1387">
        <v>3.4396126344657615E-3</v>
      </c>
      <c r="V1387" t="s">
        <v>154</v>
      </c>
    </row>
    <row r="1388" spans="19:22" x14ac:dyDescent="0.25">
      <c r="S1388" t="s">
        <v>258</v>
      </c>
      <c r="T1388" t="s">
        <v>319</v>
      </c>
      <c r="U1388">
        <v>3.6262986447973835E-3</v>
      </c>
      <c r="V1388" t="s">
        <v>154</v>
      </c>
    </row>
    <row r="1389" spans="19:22" x14ac:dyDescent="0.25">
      <c r="S1389" t="s">
        <v>258</v>
      </c>
      <c r="T1389" t="s">
        <v>320</v>
      </c>
      <c r="U1389">
        <v>1.7849646147535567E-2</v>
      </c>
      <c r="V1389" t="s">
        <v>154</v>
      </c>
    </row>
    <row r="1390" spans="19:22" x14ac:dyDescent="0.25">
      <c r="S1390" t="s">
        <v>258</v>
      </c>
      <c r="T1390" t="s">
        <v>302</v>
      </c>
      <c r="U1390">
        <v>4.6120870114079976E-2</v>
      </c>
      <c r="V1390" t="s">
        <v>154</v>
      </c>
    </row>
    <row r="1391" spans="19:22" x14ac:dyDescent="0.25">
      <c r="S1391" t="s">
        <v>258</v>
      </c>
      <c r="T1391" t="s">
        <v>303</v>
      </c>
      <c r="U1391">
        <v>1.2734831014004518E-2</v>
      </c>
      <c r="V1391" t="s">
        <v>154</v>
      </c>
    </row>
    <row r="1392" spans="19:22" x14ac:dyDescent="0.25">
      <c r="S1392" t="s">
        <v>258</v>
      </c>
      <c r="T1392" t="s">
        <v>304</v>
      </c>
      <c r="U1392">
        <v>6.6155545576118161E-3</v>
      </c>
      <c r="V1392" t="s">
        <v>154</v>
      </c>
    </row>
    <row r="1393" spans="19:22" x14ac:dyDescent="0.25">
      <c r="S1393" t="s">
        <v>258</v>
      </c>
      <c r="T1393" t="s">
        <v>305</v>
      </c>
      <c r="U1393">
        <v>5.237558695698688E-2</v>
      </c>
      <c r="V1393" t="s">
        <v>154</v>
      </c>
    </row>
    <row r="1394" spans="19:22" x14ac:dyDescent="0.25">
      <c r="S1394" t="s">
        <v>258</v>
      </c>
      <c r="T1394" t="s">
        <v>306</v>
      </c>
      <c r="U1394">
        <v>7.6318006173231234E-3</v>
      </c>
      <c r="V1394" t="s">
        <v>154</v>
      </c>
    </row>
    <row r="1395" spans="19:22" x14ac:dyDescent="0.25">
      <c r="S1395" t="s">
        <v>258</v>
      </c>
      <c r="T1395" t="s">
        <v>321</v>
      </c>
      <c r="U1395">
        <v>7.4045974641775789E-3</v>
      </c>
      <c r="V1395" t="s">
        <v>154</v>
      </c>
    </row>
    <row r="1396" spans="19:22" x14ac:dyDescent="0.25">
      <c r="S1396" t="s">
        <v>258</v>
      </c>
      <c r="T1396" t="s">
        <v>322</v>
      </c>
      <c r="U1396">
        <v>3.3748153619282961E-2</v>
      </c>
      <c r="V1396" t="s">
        <v>154</v>
      </c>
    </row>
    <row r="1397" spans="19:22" x14ac:dyDescent="0.25">
      <c r="S1397" t="s">
        <v>259</v>
      </c>
      <c r="T1397" t="s">
        <v>153</v>
      </c>
      <c r="U1397">
        <v>3.3069809467470103E-2</v>
      </c>
      <c r="V1397" t="s">
        <v>154</v>
      </c>
    </row>
    <row r="1398" spans="19:22" x14ac:dyDescent="0.25">
      <c r="S1398" t="s">
        <v>259</v>
      </c>
      <c r="T1398" t="s">
        <v>155</v>
      </c>
      <c r="U1398">
        <v>8.7799043955220368E-3</v>
      </c>
      <c r="V1398" t="s">
        <v>154</v>
      </c>
    </row>
    <row r="1399" spans="19:22" x14ac:dyDescent="0.25">
      <c r="S1399" t="s">
        <v>259</v>
      </c>
      <c r="T1399" t="s">
        <v>156</v>
      </c>
      <c r="U1399">
        <v>4.3640026719638705E-3</v>
      </c>
      <c r="V1399" t="s">
        <v>154</v>
      </c>
    </row>
    <row r="1400" spans="19:22" x14ac:dyDescent="0.25">
      <c r="S1400" t="s">
        <v>259</v>
      </c>
      <c r="T1400" t="s">
        <v>283</v>
      </c>
      <c r="U1400">
        <v>3.2242571035619082E-2</v>
      </c>
      <c r="V1400" t="s">
        <v>154</v>
      </c>
    </row>
    <row r="1401" spans="19:22" x14ac:dyDescent="0.25">
      <c r="S1401" t="s">
        <v>259</v>
      </c>
      <c r="T1401" t="s">
        <v>284</v>
      </c>
      <c r="U1401">
        <v>4.8977014285501892E-3</v>
      </c>
      <c r="V1401" t="s">
        <v>154</v>
      </c>
    </row>
    <row r="1402" spans="19:22" x14ac:dyDescent="0.25">
      <c r="S1402" t="s">
        <v>259</v>
      </c>
      <c r="T1402" t="s">
        <v>311</v>
      </c>
      <c r="U1402">
        <v>5.071715776373548E-3</v>
      </c>
      <c r="V1402" t="s">
        <v>154</v>
      </c>
    </row>
    <row r="1403" spans="19:22" x14ac:dyDescent="0.25">
      <c r="S1403" t="s">
        <v>259</v>
      </c>
      <c r="T1403" t="s">
        <v>312</v>
      </c>
      <c r="U1403">
        <v>2.3586232552253148E-2</v>
      </c>
      <c r="V1403" t="s">
        <v>154</v>
      </c>
    </row>
    <row r="1404" spans="19:22" x14ac:dyDescent="0.25">
      <c r="S1404" t="s">
        <v>259</v>
      </c>
      <c r="T1404" t="s">
        <v>157</v>
      </c>
      <c r="U1404">
        <v>6.4250671272303595E-3</v>
      </c>
      <c r="V1404" t="s">
        <v>154</v>
      </c>
    </row>
    <row r="1405" spans="19:22" x14ac:dyDescent="0.25">
      <c r="S1405" t="s">
        <v>259</v>
      </c>
      <c r="T1405" t="s">
        <v>158</v>
      </c>
      <c r="U1405">
        <v>1.7529848135997008E-3</v>
      </c>
      <c r="V1405" t="s">
        <v>154</v>
      </c>
    </row>
    <row r="1406" spans="19:22" x14ac:dyDescent="0.25">
      <c r="S1406" t="s">
        <v>259</v>
      </c>
      <c r="T1406" t="s">
        <v>159</v>
      </c>
      <c r="U1406">
        <v>8.8490828686939912E-4</v>
      </c>
      <c r="V1406" t="s">
        <v>154</v>
      </c>
    </row>
    <row r="1407" spans="19:22" x14ac:dyDescent="0.25">
      <c r="S1407" t="s">
        <v>259</v>
      </c>
      <c r="T1407" t="s">
        <v>285</v>
      </c>
      <c r="U1407">
        <v>7.5152252536277633E-3</v>
      </c>
      <c r="V1407" t="s">
        <v>154</v>
      </c>
    </row>
    <row r="1408" spans="19:22" x14ac:dyDescent="0.25">
      <c r="S1408" t="s">
        <v>259</v>
      </c>
      <c r="T1408" t="s">
        <v>286</v>
      </c>
      <c r="U1408">
        <v>1.1854947520423787E-3</v>
      </c>
      <c r="V1408" t="s">
        <v>154</v>
      </c>
    </row>
    <row r="1409" spans="19:22" x14ac:dyDescent="0.25">
      <c r="S1409" t="s">
        <v>259</v>
      </c>
      <c r="T1409" t="s">
        <v>313</v>
      </c>
      <c r="U1409">
        <v>1.1606794475673297E-3</v>
      </c>
      <c r="V1409" t="s">
        <v>154</v>
      </c>
    </row>
    <row r="1410" spans="19:22" x14ac:dyDescent="0.25">
      <c r="S1410" t="s">
        <v>259</v>
      </c>
      <c r="T1410" t="s">
        <v>314</v>
      </c>
      <c r="U1410">
        <v>5.6823183345716234E-3</v>
      </c>
      <c r="V1410" t="s">
        <v>154</v>
      </c>
    </row>
    <row r="1411" spans="19:22" x14ac:dyDescent="0.25">
      <c r="S1411" t="s">
        <v>259</v>
      </c>
      <c r="T1411" t="s">
        <v>160</v>
      </c>
      <c r="U1411">
        <v>0.1888711304458871</v>
      </c>
      <c r="V1411" t="s">
        <v>154</v>
      </c>
    </row>
    <row r="1412" spans="19:22" x14ac:dyDescent="0.25">
      <c r="S1412" t="s">
        <v>259</v>
      </c>
      <c r="T1412" t="s">
        <v>161</v>
      </c>
      <c r="U1412">
        <v>5.0225040544977312E-2</v>
      </c>
      <c r="V1412" t="s">
        <v>154</v>
      </c>
    </row>
    <row r="1413" spans="19:22" x14ac:dyDescent="0.25">
      <c r="S1413" t="s">
        <v>259</v>
      </c>
      <c r="T1413" t="s">
        <v>162</v>
      </c>
      <c r="U1413">
        <v>2.641359928105896E-2</v>
      </c>
      <c r="V1413" t="s">
        <v>154</v>
      </c>
    </row>
    <row r="1414" spans="19:22" x14ac:dyDescent="0.25">
      <c r="S1414" t="s">
        <v>259</v>
      </c>
      <c r="T1414" t="s">
        <v>287</v>
      </c>
      <c r="U1414">
        <v>0.1931017122453996</v>
      </c>
      <c r="V1414" t="s">
        <v>154</v>
      </c>
    </row>
    <row r="1415" spans="19:22" x14ac:dyDescent="0.25">
      <c r="S1415" t="s">
        <v>259</v>
      </c>
      <c r="T1415" t="s">
        <v>288</v>
      </c>
      <c r="U1415">
        <v>2.7475113669400461E-2</v>
      </c>
      <c r="V1415" t="s">
        <v>154</v>
      </c>
    </row>
    <row r="1416" spans="19:22" x14ac:dyDescent="0.25">
      <c r="S1416" t="s">
        <v>259</v>
      </c>
      <c r="T1416" t="s">
        <v>315</v>
      </c>
      <c r="U1416">
        <v>2.729705373114661E-2</v>
      </c>
      <c r="V1416" t="s">
        <v>154</v>
      </c>
    </row>
    <row r="1417" spans="19:22" x14ac:dyDescent="0.25">
      <c r="S1417" t="s">
        <v>259</v>
      </c>
      <c r="T1417" t="s">
        <v>316</v>
      </c>
      <c r="U1417">
        <v>0.12302490329079493</v>
      </c>
      <c r="V1417" t="s">
        <v>154</v>
      </c>
    </row>
    <row r="1418" spans="19:22" x14ac:dyDescent="0.25">
      <c r="S1418" t="s">
        <v>259</v>
      </c>
      <c r="T1418" t="s">
        <v>163</v>
      </c>
      <c r="U1418">
        <v>1.4616298353790051E-2</v>
      </c>
      <c r="V1418" t="s">
        <v>154</v>
      </c>
    </row>
    <row r="1419" spans="19:22" x14ac:dyDescent="0.25">
      <c r="S1419" t="s">
        <v>259</v>
      </c>
      <c r="T1419" t="s">
        <v>164</v>
      </c>
      <c r="U1419">
        <v>3.8437690006148158E-3</v>
      </c>
      <c r="V1419" t="s">
        <v>154</v>
      </c>
    </row>
    <row r="1420" spans="19:22" x14ac:dyDescent="0.25">
      <c r="S1420" t="s">
        <v>259</v>
      </c>
      <c r="T1420" t="s">
        <v>165</v>
      </c>
      <c r="U1420">
        <v>2.039316561361876E-3</v>
      </c>
      <c r="V1420" t="s">
        <v>154</v>
      </c>
    </row>
    <row r="1421" spans="19:22" x14ac:dyDescent="0.25">
      <c r="S1421" t="s">
        <v>259</v>
      </c>
      <c r="T1421" t="s">
        <v>289</v>
      </c>
      <c r="U1421">
        <v>1.5764137738709355E-2</v>
      </c>
      <c r="V1421" t="s">
        <v>154</v>
      </c>
    </row>
    <row r="1422" spans="19:22" x14ac:dyDescent="0.25">
      <c r="S1422" t="s">
        <v>259</v>
      </c>
      <c r="T1422" t="s">
        <v>290</v>
      </c>
      <c r="U1422">
        <v>2.3289666536737757E-3</v>
      </c>
      <c r="V1422" t="s">
        <v>154</v>
      </c>
    </row>
    <row r="1423" spans="19:22" x14ac:dyDescent="0.25">
      <c r="S1423" t="s">
        <v>259</v>
      </c>
      <c r="T1423" t="s">
        <v>317</v>
      </c>
      <c r="U1423">
        <v>2.3238312248715334E-3</v>
      </c>
      <c r="V1423" t="s">
        <v>154</v>
      </c>
    </row>
    <row r="1424" spans="19:22" x14ac:dyDescent="0.25">
      <c r="S1424" t="s">
        <v>259</v>
      </c>
      <c r="T1424" t="s">
        <v>318</v>
      </c>
      <c r="U1424">
        <v>1.0494063078613105E-2</v>
      </c>
      <c r="V1424" t="s">
        <v>154</v>
      </c>
    </row>
    <row r="1425" spans="19:22" x14ac:dyDescent="0.25">
      <c r="S1425" t="s">
        <v>259</v>
      </c>
      <c r="T1425" t="s">
        <v>297</v>
      </c>
      <c r="U1425">
        <v>1.9221185542038086E-2</v>
      </c>
      <c r="V1425" t="s">
        <v>154</v>
      </c>
    </row>
    <row r="1426" spans="19:22" x14ac:dyDescent="0.25">
      <c r="S1426" t="s">
        <v>259</v>
      </c>
      <c r="T1426" t="s">
        <v>298</v>
      </c>
      <c r="U1426">
        <v>5.0265283048171782E-3</v>
      </c>
      <c r="V1426" t="s">
        <v>154</v>
      </c>
    </row>
    <row r="1427" spans="19:22" x14ac:dyDescent="0.25">
      <c r="S1427" t="s">
        <v>259</v>
      </c>
      <c r="T1427" t="s">
        <v>299</v>
      </c>
      <c r="U1427">
        <v>2.5204861307541013E-3</v>
      </c>
      <c r="V1427" t="s">
        <v>154</v>
      </c>
    </row>
    <row r="1428" spans="19:22" x14ac:dyDescent="0.25">
      <c r="S1428" t="s">
        <v>259</v>
      </c>
      <c r="T1428" t="s">
        <v>300</v>
      </c>
      <c r="U1428">
        <v>1.861108422053866E-2</v>
      </c>
      <c r="V1428" t="s">
        <v>154</v>
      </c>
    </row>
    <row r="1429" spans="19:22" x14ac:dyDescent="0.25">
      <c r="S1429" t="s">
        <v>259</v>
      </c>
      <c r="T1429" t="s">
        <v>301</v>
      </c>
      <c r="U1429">
        <v>2.9485139597912229E-3</v>
      </c>
      <c r="V1429" t="s">
        <v>154</v>
      </c>
    </row>
    <row r="1430" spans="19:22" x14ac:dyDescent="0.25">
      <c r="S1430" t="s">
        <v>259</v>
      </c>
      <c r="T1430" t="s">
        <v>319</v>
      </c>
      <c r="U1430">
        <v>2.9893866332079844E-3</v>
      </c>
      <c r="V1430" t="s">
        <v>154</v>
      </c>
    </row>
    <row r="1431" spans="19:22" x14ac:dyDescent="0.25">
      <c r="S1431" t="s">
        <v>259</v>
      </c>
      <c r="T1431" t="s">
        <v>320</v>
      </c>
      <c r="U1431">
        <v>1.208565077105026E-2</v>
      </c>
      <c r="V1431" t="s">
        <v>154</v>
      </c>
    </row>
    <row r="1432" spans="19:22" x14ac:dyDescent="0.25">
      <c r="S1432" t="s">
        <v>259</v>
      </c>
      <c r="T1432" t="s">
        <v>302</v>
      </c>
      <c r="U1432">
        <v>3.1632116845086815E-2</v>
      </c>
      <c r="V1432" t="s">
        <v>154</v>
      </c>
    </row>
    <row r="1433" spans="19:22" x14ac:dyDescent="0.25">
      <c r="S1433" t="s">
        <v>259</v>
      </c>
      <c r="T1433" t="s">
        <v>303</v>
      </c>
      <c r="U1433">
        <v>8.9700902062829803E-3</v>
      </c>
      <c r="V1433" t="s">
        <v>154</v>
      </c>
    </row>
    <row r="1434" spans="19:22" x14ac:dyDescent="0.25">
      <c r="S1434" t="s">
        <v>259</v>
      </c>
      <c r="T1434" t="s">
        <v>304</v>
      </c>
      <c r="U1434">
        <v>4.4174485654374183E-3</v>
      </c>
      <c r="V1434" t="s">
        <v>154</v>
      </c>
    </row>
    <row r="1435" spans="19:22" x14ac:dyDescent="0.25">
      <c r="S1435" t="s">
        <v>259</v>
      </c>
      <c r="T1435" t="s">
        <v>305</v>
      </c>
      <c r="U1435">
        <v>3.3843371773044133E-2</v>
      </c>
      <c r="V1435" t="s">
        <v>154</v>
      </c>
    </row>
    <row r="1436" spans="19:22" x14ac:dyDescent="0.25">
      <c r="S1436" t="s">
        <v>259</v>
      </c>
      <c r="T1436" t="s">
        <v>306</v>
      </c>
      <c r="U1436">
        <v>5.1089727974716519E-3</v>
      </c>
      <c r="V1436" t="s">
        <v>154</v>
      </c>
    </row>
    <row r="1437" spans="19:22" x14ac:dyDescent="0.25">
      <c r="S1437" t="s">
        <v>259</v>
      </c>
      <c r="T1437" t="s">
        <v>321</v>
      </c>
      <c r="U1437">
        <v>5.1395507168755334E-3</v>
      </c>
      <c r="V1437" t="s">
        <v>154</v>
      </c>
    </row>
    <row r="1438" spans="19:22" x14ac:dyDescent="0.25">
      <c r="S1438" t="s">
        <v>259</v>
      </c>
      <c r="T1438" t="s">
        <v>322</v>
      </c>
      <c r="U1438">
        <v>2.3048062370041731E-2</v>
      </c>
      <c r="V1438" t="s">
        <v>154</v>
      </c>
    </row>
    <row r="1439" spans="19:22" x14ac:dyDescent="0.25">
      <c r="S1439" t="s">
        <v>260</v>
      </c>
      <c r="T1439" t="s">
        <v>153</v>
      </c>
      <c r="U1439">
        <v>3.8400851653982798E-2</v>
      </c>
      <c r="V1439" t="s">
        <v>154</v>
      </c>
    </row>
    <row r="1440" spans="19:22" x14ac:dyDescent="0.25">
      <c r="S1440" t="s">
        <v>260</v>
      </c>
      <c r="T1440" t="s">
        <v>155</v>
      </c>
      <c r="U1440">
        <v>1.0240291224984519E-2</v>
      </c>
      <c r="V1440" t="s">
        <v>154</v>
      </c>
    </row>
    <row r="1441" spans="19:22" x14ac:dyDescent="0.25">
      <c r="S1441" t="s">
        <v>260</v>
      </c>
      <c r="T1441" t="s">
        <v>156</v>
      </c>
      <c r="U1441">
        <v>4.9896417836849758E-3</v>
      </c>
      <c r="V1441" t="s">
        <v>154</v>
      </c>
    </row>
    <row r="1442" spans="19:22" x14ac:dyDescent="0.25">
      <c r="S1442" t="s">
        <v>260</v>
      </c>
      <c r="T1442" t="s">
        <v>283</v>
      </c>
      <c r="U1442">
        <v>3.8665222460466303E-2</v>
      </c>
      <c r="V1442" t="s">
        <v>154</v>
      </c>
    </row>
    <row r="1443" spans="19:22" x14ac:dyDescent="0.25">
      <c r="S1443" t="s">
        <v>260</v>
      </c>
      <c r="T1443" t="s">
        <v>284</v>
      </c>
      <c r="U1443">
        <v>6.1423431142357795E-3</v>
      </c>
      <c r="V1443" t="s">
        <v>154</v>
      </c>
    </row>
    <row r="1444" spans="19:22" x14ac:dyDescent="0.25">
      <c r="S1444" t="s">
        <v>260</v>
      </c>
      <c r="T1444" t="s">
        <v>311</v>
      </c>
      <c r="U1444">
        <v>6.18775431685375E-3</v>
      </c>
      <c r="V1444" t="s">
        <v>154</v>
      </c>
    </row>
    <row r="1445" spans="19:22" x14ac:dyDescent="0.25">
      <c r="S1445" t="s">
        <v>260</v>
      </c>
      <c r="T1445" t="s">
        <v>312</v>
      </c>
      <c r="U1445">
        <v>2.8426954812259854E-2</v>
      </c>
      <c r="V1445" t="s">
        <v>154</v>
      </c>
    </row>
    <row r="1446" spans="19:22" x14ac:dyDescent="0.25">
      <c r="S1446" t="s">
        <v>260</v>
      </c>
      <c r="T1446" t="s">
        <v>157</v>
      </c>
      <c r="U1446">
        <v>9.4081998117067529E-3</v>
      </c>
      <c r="V1446" t="s">
        <v>154</v>
      </c>
    </row>
    <row r="1447" spans="19:22" x14ac:dyDescent="0.25">
      <c r="S1447" t="s">
        <v>260</v>
      </c>
      <c r="T1447" t="s">
        <v>158</v>
      </c>
      <c r="U1447">
        <v>2.5470900532061059E-3</v>
      </c>
      <c r="V1447" t="s">
        <v>154</v>
      </c>
    </row>
    <row r="1448" spans="19:22" x14ac:dyDescent="0.25">
      <c r="S1448" t="s">
        <v>260</v>
      </c>
      <c r="T1448" t="s">
        <v>159</v>
      </c>
      <c r="U1448">
        <v>1.1480573612574804E-3</v>
      </c>
      <c r="V1448" t="s">
        <v>154</v>
      </c>
    </row>
    <row r="1449" spans="19:22" x14ac:dyDescent="0.25">
      <c r="S1449" t="s">
        <v>260</v>
      </c>
      <c r="T1449" t="s">
        <v>285</v>
      </c>
      <c r="U1449">
        <v>7.2818630965509152E-3</v>
      </c>
      <c r="V1449" t="s">
        <v>154</v>
      </c>
    </row>
    <row r="1450" spans="19:22" x14ac:dyDescent="0.25">
      <c r="S1450" t="s">
        <v>260</v>
      </c>
      <c r="T1450" t="s">
        <v>286</v>
      </c>
      <c r="U1450">
        <v>1.0710170529219191E-3</v>
      </c>
      <c r="V1450" t="s">
        <v>154</v>
      </c>
    </row>
    <row r="1451" spans="19:22" x14ac:dyDescent="0.25">
      <c r="S1451" t="s">
        <v>260</v>
      </c>
      <c r="T1451" t="s">
        <v>313</v>
      </c>
      <c r="U1451">
        <v>1.1749061607558042E-3</v>
      </c>
      <c r="V1451" t="s">
        <v>154</v>
      </c>
    </row>
    <row r="1452" spans="19:22" x14ac:dyDescent="0.25">
      <c r="S1452" t="s">
        <v>260</v>
      </c>
      <c r="T1452" t="s">
        <v>314</v>
      </c>
      <c r="U1452">
        <v>6.4925994320543167E-3</v>
      </c>
      <c r="V1452" t="s">
        <v>154</v>
      </c>
    </row>
    <row r="1453" spans="19:22" x14ac:dyDescent="0.25">
      <c r="S1453" t="s">
        <v>260</v>
      </c>
      <c r="T1453" t="s">
        <v>160</v>
      </c>
      <c r="U1453">
        <v>0.167341918920485</v>
      </c>
      <c r="V1453" t="s">
        <v>154</v>
      </c>
    </row>
    <row r="1454" spans="19:22" x14ac:dyDescent="0.25">
      <c r="S1454" t="s">
        <v>260</v>
      </c>
      <c r="T1454" t="s">
        <v>161</v>
      </c>
      <c r="U1454">
        <v>4.7611590414806712E-2</v>
      </c>
      <c r="V1454" t="s">
        <v>154</v>
      </c>
    </row>
    <row r="1455" spans="19:22" x14ac:dyDescent="0.25">
      <c r="S1455" t="s">
        <v>260</v>
      </c>
      <c r="T1455" t="s">
        <v>162</v>
      </c>
      <c r="U1455">
        <v>2.357447590029867E-2</v>
      </c>
      <c r="V1455" t="s">
        <v>154</v>
      </c>
    </row>
    <row r="1456" spans="19:22" x14ac:dyDescent="0.25">
      <c r="S1456" t="s">
        <v>260</v>
      </c>
      <c r="T1456" t="s">
        <v>287</v>
      </c>
      <c r="U1456">
        <v>0.16835785541688428</v>
      </c>
      <c r="V1456" t="s">
        <v>154</v>
      </c>
    </row>
    <row r="1457" spans="19:22" x14ac:dyDescent="0.25">
      <c r="S1457" t="s">
        <v>260</v>
      </c>
      <c r="T1457" t="s">
        <v>288</v>
      </c>
      <c r="U1457">
        <v>2.4273792553851488E-2</v>
      </c>
      <c r="V1457" t="s">
        <v>154</v>
      </c>
    </row>
    <row r="1458" spans="19:22" x14ac:dyDescent="0.25">
      <c r="S1458" t="s">
        <v>260</v>
      </c>
      <c r="T1458" t="s">
        <v>315</v>
      </c>
      <c r="U1458">
        <v>2.4512630039838185E-2</v>
      </c>
      <c r="V1458" t="s">
        <v>154</v>
      </c>
    </row>
    <row r="1459" spans="19:22" x14ac:dyDescent="0.25">
      <c r="S1459" t="s">
        <v>260</v>
      </c>
      <c r="T1459" t="s">
        <v>316</v>
      </c>
      <c r="U1459">
        <v>0.12339392086291227</v>
      </c>
      <c r="V1459" t="s">
        <v>154</v>
      </c>
    </row>
    <row r="1460" spans="19:22" x14ac:dyDescent="0.25">
      <c r="S1460" t="s">
        <v>260</v>
      </c>
      <c r="T1460" t="s">
        <v>163</v>
      </c>
      <c r="U1460">
        <v>2.1852518078328879E-2</v>
      </c>
      <c r="V1460" t="s">
        <v>154</v>
      </c>
    </row>
    <row r="1461" spans="19:22" x14ac:dyDescent="0.25">
      <c r="S1461" t="s">
        <v>260</v>
      </c>
      <c r="T1461" t="s">
        <v>164</v>
      </c>
      <c r="U1461">
        <v>5.6267076432777183E-3</v>
      </c>
      <c r="V1461" t="s">
        <v>154</v>
      </c>
    </row>
    <row r="1462" spans="19:22" x14ac:dyDescent="0.25">
      <c r="S1462" t="s">
        <v>260</v>
      </c>
      <c r="T1462" t="s">
        <v>165</v>
      </c>
      <c r="U1462">
        <v>2.7358352496524626E-3</v>
      </c>
      <c r="V1462" t="s">
        <v>154</v>
      </c>
    </row>
    <row r="1463" spans="19:22" x14ac:dyDescent="0.25">
      <c r="S1463" t="s">
        <v>260</v>
      </c>
      <c r="T1463" t="s">
        <v>289</v>
      </c>
      <c r="U1463">
        <v>1.9678367622092616E-2</v>
      </c>
      <c r="V1463" t="s">
        <v>154</v>
      </c>
    </row>
    <row r="1464" spans="19:22" x14ac:dyDescent="0.25">
      <c r="S1464" t="s">
        <v>260</v>
      </c>
      <c r="T1464" t="s">
        <v>290</v>
      </c>
      <c r="U1464">
        <v>2.9057501746528281E-3</v>
      </c>
      <c r="V1464" t="s">
        <v>154</v>
      </c>
    </row>
    <row r="1465" spans="19:22" x14ac:dyDescent="0.25">
      <c r="S1465" t="s">
        <v>260</v>
      </c>
      <c r="T1465" t="s">
        <v>317</v>
      </c>
      <c r="U1465">
        <v>2.8947246913229897E-3</v>
      </c>
      <c r="V1465" t="s">
        <v>154</v>
      </c>
    </row>
    <row r="1466" spans="19:22" x14ac:dyDescent="0.25">
      <c r="S1466" t="s">
        <v>260</v>
      </c>
      <c r="T1466" t="s">
        <v>318</v>
      </c>
      <c r="U1466">
        <v>1.4022730940587714E-2</v>
      </c>
      <c r="V1466" t="s">
        <v>154</v>
      </c>
    </row>
    <row r="1467" spans="19:22" x14ac:dyDescent="0.25">
      <c r="S1467" t="s">
        <v>260</v>
      </c>
      <c r="T1467" t="s">
        <v>297</v>
      </c>
      <c r="U1467">
        <v>2.268698369287513E-2</v>
      </c>
      <c r="V1467" t="s">
        <v>154</v>
      </c>
    </row>
    <row r="1468" spans="19:22" x14ac:dyDescent="0.25">
      <c r="S1468" t="s">
        <v>260</v>
      </c>
      <c r="T1468" t="s">
        <v>298</v>
      </c>
      <c r="U1468">
        <v>5.5310010386839014E-3</v>
      </c>
      <c r="V1468" t="s">
        <v>154</v>
      </c>
    </row>
    <row r="1469" spans="19:22" x14ac:dyDescent="0.25">
      <c r="S1469" t="s">
        <v>260</v>
      </c>
      <c r="T1469" t="s">
        <v>299</v>
      </c>
      <c r="U1469">
        <v>2.6837350373713088E-3</v>
      </c>
      <c r="V1469" t="s">
        <v>154</v>
      </c>
    </row>
    <row r="1470" spans="19:22" x14ac:dyDescent="0.25">
      <c r="S1470" t="s">
        <v>260</v>
      </c>
      <c r="T1470" t="s">
        <v>300</v>
      </c>
      <c r="U1470">
        <v>1.9398150125473961E-2</v>
      </c>
      <c r="V1470" t="s">
        <v>154</v>
      </c>
    </row>
    <row r="1471" spans="19:22" x14ac:dyDescent="0.25">
      <c r="S1471" t="s">
        <v>260</v>
      </c>
      <c r="T1471" t="s">
        <v>301</v>
      </c>
      <c r="U1471">
        <v>3.4304616558828841E-3</v>
      </c>
      <c r="V1471" t="s">
        <v>154</v>
      </c>
    </row>
    <row r="1472" spans="19:22" x14ac:dyDescent="0.25">
      <c r="S1472" t="s">
        <v>260</v>
      </c>
      <c r="T1472" t="s">
        <v>319</v>
      </c>
      <c r="U1472">
        <v>3.6475444472902742E-3</v>
      </c>
      <c r="V1472" t="s">
        <v>154</v>
      </c>
    </row>
    <row r="1473" spans="19:22" x14ac:dyDescent="0.25">
      <c r="S1473" t="s">
        <v>260</v>
      </c>
      <c r="T1473" t="s">
        <v>320</v>
      </c>
      <c r="U1473">
        <v>1.850215374480137E-2</v>
      </c>
      <c r="V1473" t="s">
        <v>154</v>
      </c>
    </row>
    <row r="1474" spans="19:22" x14ac:dyDescent="0.25">
      <c r="S1474" t="s">
        <v>260</v>
      </c>
      <c r="T1474" t="s">
        <v>302</v>
      </c>
      <c r="U1474">
        <v>3.254785206639927E-2</v>
      </c>
      <c r="V1474" t="s">
        <v>154</v>
      </c>
    </row>
    <row r="1475" spans="19:22" x14ac:dyDescent="0.25">
      <c r="S1475" t="s">
        <v>260</v>
      </c>
      <c r="T1475" t="s">
        <v>303</v>
      </c>
      <c r="U1475">
        <v>9.3789814724234821E-3</v>
      </c>
      <c r="V1475" t="s">
        <v>154</v>
      </c>
    </row>
    <row r="1476" spans="19:22" x14ac:dyDescent="0.25">
      <c r="S1476" t="s">
        <v>260</v>
      </c>
      <c r="T1476" t="s">
        <v>304</v>
      </c>
      <c r="U1476">
        <v>4.6093261287251464E-3</v>
      </c>
      <c r="V1476" t="s">
        <v>154</v>
      </c>
    </row>
    <row r="1477" spans="19:22" x14ac:dyDescent="0.25">
      <c r="S1477" t="s">
        <v>260</v>
      </c>
      <c r="T1477" t="s">
        <v>305</v>
      </c>
      <c r="U1477">
        <v>3.2966593601452994E-2</v>
      </c>
      <c r="V1477" t="s">
        <v>154</v>
      </c>
    </row>
    <row r="1478" spans="19:22" x14ac:dyDescent="0.25">
      <c r="S1478" t="s">
        <v>260</v>
      </c>
      <c r="T1478" t="s">
        <v>306</v>
      </c>
      <c r="U1478">
        <v>5.0466114039532705E-3</v>
      </c>
      <c r="V1478" t="s">
        <v>154</v>
      </c>
    </row>
    <row r="1479" spans="19:22" x14ac:dyDescent="0.25">
      <c r="S1479" t="s">
        <v>260</v>
      </c>
      <c r="T1479" t="s">
        <v>321</v>
      </c>
      <c r="U1479">
        <v>4.9514629471973885E-3</v>
      </c>
      <c r="V1479" t="s">
        <v>154</v>
      </c>
    </row>
    <row r="1480" spans="19:22" x14ac:dyDescent="0.25">
      <c r="S1480" t="s">
        <v>260</v>
      </c>
      <c r="T1480" t="s">
        <v>322</v>
      </c>
      <c r="U1480">
        <v>2.3659531793558869E-2</v>
      </c>
      <c r="V1480" t="s">
        <v>154</v>
      </c>
    </row>
    <row r="1481" spans="19:22" x14ac:dyDescent="0.25">
      <c r="S1481" t="s">
        <v>261</v>
      </c>
      <c r="T1481" t="s">
        <v>153</v>
      </c>
      <c r="U1481">
        <v>3.4691477459948841E-2</v>
      </c>
      <c r="V1481" t="s">
        <v>154</v>
      </c>
    </row>
    <row r="1482" spans="19:22" x14ac:dyDescent="0.25">
      <c r="S1482" t="s">
        <v>261</v>
      </c>
      <c r="T1482" t="s">
        <v>155</v>
      </c>
      <c r="U1482">
        <v>8.7151191786127916E-3</v>
      </c>
      <c r="V1482" t="s">
        <v>154</v>
      </c>
    </row>
    <row r="1483" spans="19:22" x14ac:dyDescent="0.25">
      <c r="S1483" t="s">
        <v>261</v>
      </c>
      <c r="T1483" t="s">
        <v>156</v>
      </c>
      <c r="U1483">
        <v>4.5299219875367582E-3</v>
      </c>
      <c r="V1483" t="s">
        <v>154</v>
      </c>
    </row>
    <row r="1484" spans="19:22" x14ac:dyDescent="0.25">
      <c r="S1484" t="s">
        <v>261</v>
      </c>
      <c r="T1484" t="s">
        <v>283</v>
      </c>
      <c r="U1484">
        <v>3.3926704316797104E-2</v>
      </c>
      <c r="V1484" t="s">
        <v>154</v>
      </c>
    </row>
    <row r="1485" spans="19:22" x14ac:dyDescent="0.25">
      <c r="S1485" t="s">
        <v>261</v>
      </c>
      <c r="T1485" t="s">
        <v>284</v>
      </c>
      <c r="U1485">
        <v>5.6485740185835687E-3</v>
      </c>
      <c r="V1485" t="s">
        <v>154</v>
      </c>
    </row>
    <row r="1486" spans="19:22" x14ac:dyDescent="0.25">
      <c r="S1486" t="s">
        <v>261</v>
      </c>
      <c r="T1486" t="s">
        <v>311</v>
      </c>
      <c r="U1486">
        <v>5.7199851985799506E-3</v>
      </c>
      <c r="V1486" t="s">
        <v>154</v>
      </c>
    </row>
    <row r="1487" spans="19:22" x14ac:dyDescent="0.25">
      <c r="S1487" t="s">
        <v>261</v>
      </c>
      <c r="T1487" t="s">
        <v>312</v>
      </c>
      <c r="U1487">
        <v>2.5964429665762991E-2</v>
      </c>
      <c r="V1487" t="s">
        <v>154</v>
      </c>
    </row>
    <row r="1488" spans="19:22" x14ac:dyDescent="0.25">
      <c r="S1488" t="s">
        <v>261</v>
      </c>
      <c r="T1488" t="s">
        <v>157</v>
      </c>
      <c r="U1488">
        <v>6.4026653056766126E-3</v>
      </c>
      <c r="V1488" t="s">
        <v>154</v>
      </c>
    </row>
    <row r="1489" spans="19:22" x14ac:dyDescent="0.25">
      <c r="S1489" t="s">
        <v>261</v>
      </c>
      <c r="T1489" t="s">
        <v>158</v>
      </c>
      <c r="U1489">
        <v>1.3382599251425661E-3</v>
      </c>
      <c r="V1489" t="s">
        <v>154</v>
      </c>
    </row>
    <row r="1490" spans="19:22" x14ac:dyDescent="0.25">
      <c r="S1490" t="s">
        <v>261</v>
      </c>
      <c r="T1490" t="s">
        <v>159</v>
      </c>
      <c r="U1490">
        <v>6.6224606088601803E-4</v>
      </c>
      <c r="V1490" t="s">
        <v>154</v>
      </c>
    </row>
    <row r="1491" spans="19:22" x14ac:dyDescent="0.25">
      <c r="S1491" t="s">
        <v>261</v>
      </c>
      <c r="T1491" t="s">
        <v>285</v>
      </c>
      <c r="U1491">
        <v>4.7008472780123729E-3</v>
      </c>
      <c r="V1491" t="s">
        <v>154</v>
      </c>
    </row>
    <row r="1492" spans="19:22" x14ac:dyDescent="0.25">
      <c r="S1492" t="s">
        <v>261</v>
      </c>
      <c r="T1492" t="s">
        <v>286</v>
      </c>
      <c r="U1492">
        <v>8.9480327111404702E-4</v>
      </c>
      <c r="V1492" t="s">
        <v>154</v>
      </c>
    </row>
    <row r="1493" spans="19:22" x14ac:dyDescent="0.25">
      <c r="S1493" t="s">
        <v>261</v>
      </c>
      <c r="T1493" t="s">
        <v>313</v>
      </c>
      <c r="U1493">
        <v>9.4332070721487237E-4</v>
      </c>
      <c r="V1493" t="s">
        <v>154</v>
      </c>
    </row>
    <row r="1494" spans="19:22" x14ac:dyDescent="0.25">
      <c r="S1494" t="s">
        <v>261</v>
      </c>
      <c r="T1494" t="s">
        <v>314</v>
      </c>
      <c r="U1494">
        <v>4.5159134549611554E-3</v>
      </c>
      <c r="V1494" t="s">
        <v>154</v>
      </c>
    </row>
    <row r="1495" spans="19:22" x14ac:dyDescent="0.25">
      <c r="S1495" t="s">
        <v>261</v>
      </c>
      <c r="T1495" t="s">
        <v>160</v>
      </c>
      <c r="U1495">
        <v>0.17798630053010037</v>
      </c>
      <c r="V1495" t="s">
        <v>154</v>
      </c>
    </row>
    <row r="1496" spans="19:22" x14ac:dyDescent="0.25">
      <c r="S1496" t="s">
        <v>261</v>
      </c>
      <c r="T1496" t="s">
        <v>161</v>
      </c>
      <c r="U1496">
        <v>4.6903868887790801E-2</v>
      </c>
      <c r="V1496" t="s">
        <v>154</v>
      </c>
    </row>
    <row r="1497" spans="19:22" x14ac:dyDescent="0.25">
      <c r="S1497" t="s">
        <v>261</v>
      </c>
      <c r="T1497" t="s">
        <v>162</v>
      </c>
      <c r="U1497">
        <v>2.4576005912712941E-2</v>
      </c>
      <c r="V1497" t="s">
        <v>154</v>
      </c>
    </row>
    <row r="1498" spans="19:22" x14ac:dyDescent="0.25">
      <c r="S1498" t="s">
        <v>261</v>
      </c>
      <c r="T1498" t="s">
        <v>287</v>
      </c>
      <c r="U1498">
        <v>0.18170879846036164</v>
      </c>
      <c r="V1498" t="s">
        <v>154</v>
      </c>
    </row>
    <row r="1499" spans="19:22" x14ac:dyDescent="0.25">
      <c r="S1499" t="s">
        <v>261</v>
      </c>
      <c r="T1499" t="s">
        <v>288</v>
      </c>
      <c r="U1499">
        <v>2.7477354272278983E-2</v>
      </c>
      <c r="V1499" t="s">
        <v>154</v>
      </c>
    </row>
    <row r="1500" spans="19:22" x14ac:dyDescent="0.25">
      <c r="S1500" t="s">
        <v>261</v>
      </c>
      <c r="T1500" t="s">
        <v>315</v>
      </c>
      <c r="U1500">
        <v>2.757877597084446E-2</v>
      </c>
      <c r="V1500" t="s">
        <v>154</v>
      </c>
    </row>
    <row r="1501" spans="19:22" x14ac:dyDescent="0.25">
      <c r="S1501" t="s">
        <v>261</v>
      </c>
      <c r="T1501" t="s">
        <v>316</v>
      </c>
      <c r="U1501">
        <v>0.12721104786437137</v>
      </c>
      <c r="V1501" t="s">
        <v>154</v>
      </c>
    </row>
    <row r="1502" spans="19:22" x14ac:dyDescent="0.25">
      <c r="S1502" t="s">
        <v>261</v>
      </c>
      <c r="T1502" t="s">
        <v>163</v>
      </c>
      <c r="U1502">
        <v>1.6546977781720748E-2</v>
      </c>
      <c r="V1502" t="s">
        <v>154</v>
      </c>
    </row>
    <row r="1503" spans="19:22" x14ac:dyDescent="0.25">
      <c r="S1503" t="s">
        <v>261</v>
      </c>
      <c r="T1503" t="s">
        <v>164</v>
      </c>
      <c r="U1503">
        <v>4.3322219722252489E-3</v>
      </c>
      <c r="V1503" t="s">
        <v>154</v>
      </c>
    </row>
    <row r="1504" spans="19:22" x14ac:dyDescent="0.25">
      <c r="S1504" t="s">
        <v>261</v>
      </c>
      <c r="T1504" t="s">
        <v>165</v>
      </c>
      <c r="U1504">
        <v>2.4277361162142394E-3</v>
      </c>
      <c r="V1504" t="s">
        <v>154</v>
      </c>
    </row>
    <row r="1505" spans="19:22" x14ac:dyDescent="0.25">
      <c r="S1505" t="s">
        <v>261</v>
      </c>
      <c r="T1505" t="s">
        <v>289</v>
      </c>
      <c r="U1505">
        <v>1.8003784977437289E-2</v>
      </c>
      <c r="V1505" t="s">
        <v>154</v>
      </c>
    </row>
    <row r="1506" spans="19:22" x14ac:dyDescent="0.25">
      <c r="S1506" t="s">
        <v>261</v>
      </c>
      <c r="T1506" t="s">
        <v>290</v>
      </c>
      <c r="U1506">
        <v>2.6635613837152883E-3</v>
      </c>
      <c r="V1506" t="s">
        <v>154</v>
      </c>
    </row>
    <row r="1507" spans="19:22" x14ac:dyDescent="0.25">
      <c r="S1507" t="s">
        <v>261</v>
      </c>
      <c r="T1507" t="s">
        <v>317</v>
      </c>
      <c r="U1507">
        <v>2.7351960127150652E-3</v>
      </c>
      <c r="V1507" t="s">
        <v>154</v>
      </c>
    </row>
    <row r="1508" spans="19:22" x14ac:dyDescent="0.25">
      <c r="S1508" t="s">
        <v>261</v>
      </c>
      <c r="T1508" t="s">
        <v>318</v>
      </c>
      <c r="U1508">
        <v>1.2717918050327555E-2</v>
      </c>
      <c r="V1508" t="s">
        <v>154</v>
      </c>
    </row>
    <row r="1509" spans="19:22" x14ac:dyDescent="0.25">
      <c r="S1509" t="s">
        <v>261</v>
      </c>
      <c r="T1509" t="s">
        <v>297</v>
      </c>
      <c r="U1509">
        <v>1.9987402267325753E-2</v>
      </c>
      <c r="V1509" t="s">
        <v>154</v>
      </c>
    </row>
    <row r="1510" spans="19:22" x14ac:dyDescent="0.25">
      <c r="S1510" t="s">
        <v>261</v>
      </c>
      <c r="T1510" t="s">
        <v>298</v>
      </c>
      <c r="U1510">
        <v>5.2479952467419785E-3</v>
      </c>
      <c r="V1510" t="s">
        <v>154</v>
      </c>
    </row>
    <row r="1511" spans="19:22" x14ac:dyDescent="0.25">
      <c r="S1511" t="s">
        <v>261</v>
      </c>
      <c r="T1511" t="s">
        <v>299</v>
      </c>
      <c r="U1511">
        <v>2.8124101411006247E-3</v>
      </c>
      <c r="V1511" t="s">
        <v>154</v>
      </c>
    </row>
    <row r="1512" spans="19:22" x14ac:dyDescent="0.25">
      <c r="S1512" t="s">
        <v>261</v>
      </c>
      <c r="T1512" t="s">
        <v>300</v>
      </c>
      <c r="U1512">
        <v>1.9735382437711373E-2</v>
      </c>
      <c r="V1512" t="s">
        <v>154</v>
      </c>
    </row>
    <row r="1513" spans="19:22" x14ac:dyDescent="0.25">
      <c r="S1513" t="s">
        <v>261</v>
      </c>
      <c r="T1513" t="s">
        <v>301</v>
      </c>
      <c r="U1513">
        <v>2.9290273136664243E-3</v>
      </c>
      <c r="V1513" t="s">
        <v>154</v>
      </c>
    </row>
    <row r="1514" spans="19:22" x14ac:dyDescent="0.25">
      <c r="S1514" t="s">
        <v>261</v>
      </c>
      <c r="T1514" t="s">
        <v>319</v>
      </c>
      <c r="U1514">
        <v>3.0185008376883721E-3</v>
      </c>
      <c r="V1514" t="s">
        <v>154</v>
      </c>
    </row>
    <row r="1515" spans="19:22" x14ac:dyDescent="0.25">
      <c r="S1515" t="s">
        <v>261</v>
      </c>
      <c r="T1515" t="s">
        <v>320</v>
      </c>
      <c r="U1515">
        <v>1.4426889420432297E-2</v>
      </c>
      <c r="V1515" t="s">
        <v>154</v>
      </c>
    </row>
    <row r="1516" spans="19:22" x14ac:dyDescent="0.25">
      <c r="S1516" t="s">
        <v>261</v>
      </c>
      <c r="T1516" t="s">
        <v>302</v>
      </c>
      <c r="U1516">
        <v>3.5276166013954433E-2</v>
      </c>
      <c r="V1516" t="s">
        <v>154</v>
      </c>
    </row>
    <row r="1517" spans="19:22" x14ac:dyDescent="0.25">
      <c r="S1517" t="s">
        <v>261</v>
      </c>
      <c r="T1517" t="s">
        <v>303</v>
      </c>
      <c r="U1517">
        <v>9.8122667711078079E-3</v>
      </c>
      <c r="V1517" t="s">
        <v>154</v>
      </c>
    </row>
    <row r="1518" spans="19:22" x14ac:dyDescent="0.25">
      <c r="S1518" t="s">
        <v>261</v>
      </c>
      <c r="T1518" t="s">
        <v>304</v>
      </c>
      <c r="U1518">
        <v>4.8982579092151967E-3</v>
      </c>
      <c r="V1518" t="s">
        <v>154</v>
      </c>
    </row>
    <row r="1519" spans="19:22" x14ac:dyDescent="0.25">
      <c r="S1519" t="s">
        <v>261</v>
      </c>
      <c r="T1519" t="s">
        <v>305</v>
      </c>
      <c r="U1519">
        <v>3.5479900986272857E-2</v>
      </c>
      <c r="V1519" t="s">
        <v>154</v>
      </c>
    </row>
    <row r="1520" spans="19:22" x14ac:dyDescent="0.25">
      <c r="S1520" t="s">
        <v>261</v>
      </c>
      <c r="T1520" t="s">
        <v>306</v>
      </c>
      <c r="U1520">
        <v>5.2466047131104511E-3</v>
      </c>
      <c r="V1520" t="s">
        <v>154</v>
      </c>
    </row>
    <row r="1521" spans="19:22" x14ac:dyDescent="0.25">
      <c r="S1521" t="s">
        <v>261</v>
      </c>
      <c r="T1521" t="s">
        <v>321</v>
      </c>
      <c r="U1521">
        <v>5.1716592897335621E-3</v>
      </c>
      <c r="V1521" t="s">
        <v>154</v>
      </c>
    </row>
    <row r="1522" spans="19:22" x14ac:dyDescent="0.25">
      <c r="S1522" t="s">
        <v>261</v>
      </c>
      <c r="T1522" t="s">
        <v>322</v>
      </c>
      <c r="U1522">
        <v>2.4433720630294118E-2</v>
      </c>
      <c r="V1522" t="s">
        <v>154</v>
      </c>
    </row>
    <row r="1523" spans="19:22" x14ac:dyDescent="0.25">
      <c r="S1523" t="s">
        <v>262</v>
      </c>
      <c r="T1523" t="s">
        <v>153</v>
      </c>
      <c r="U1523">
        <v>3.7904319363029369E-2</v>
      </c>
      <c r="V1523" t="s">
        <v>154</v>
      </c>
    </row>
    <row r="1524" spans="19:22" x14ac:dyDescent="0.25">
      <c r="S1524" t="s">
        <v>262</v>
      </c>
      <c r="T1524" t="s">
        <v>155</v>
      </c>
      <c r="U1524">
        <v>9.7130594193704529E-3</v>
      </c>
      <c r="V1524" t="s">
        <v>154</v>
      </c>
    </row>
    <row r="1525" spans="19:22" x14ac:dyDescent="0.25">
      <c r="S1525" t="s">
        <v>262</v>
      </c>
      <c r="T1525" t="s">
        <v>156</v>
      </c>
      <c r="U1525">
        <v>4.987970837026825E-3</v>
      </c>
      <c r="V1525" t="s">
        <v>154</v>
      </c>
    </row>
    <row r="1526" spans="19:22" x14ac:dyDescent="0.25">
      <c r="S1526" t="s">
        <v>262</v>
      </c>
      <c r="T1526" t="s">
        <v>283</v>
      </c>
      <c r="U1526">
        <v>3.4383094709787766E-2</v>
      </c>
      <c r="V1526" t="s">
        <v>154</v>
      </c>
    </row>
    <row r="1527" spans="19:22" x14ac:dyDescent="0.25">
      <c r="S1527" t="s">
        <v>262</v>
      </c>
      <c r="T1527" t="s">
        <v>284</v>
      </c>
      <c r="U1527">
        <v>5.7449057128065618E-3</v>
      </c>
      <c r="V1527" t="s">
        <v>154</v>
      </c>
    </row>
    <row r="1528" spans="19:22" x14ac:dyDescent="0.25">
      <c r="S1528" t="s">
        <v>262</v>
      </c>
      <c r="T1528" t="s">
        <v>311</v>
      </c>
      <c r="U1528">
        <v>5.8877891163135795E-3</v>
      </c>
      <c r="V1528" t="s">
        <v>154</v>
      </c>
    </row>
    <row r="1529" spans="19:22" x14ac:dyDescent="0.25">
      <c r="S1529" t="s">
        <v>262</v>
      </c>
      <c r="T1529" t="s">
        <v>312</v>
      </c>
      <c r="U1529">
        <v>2.7983625423220831E-2</v>
      </c>
      <c r="V1529" t="s">
        <v>154</v>
      </c>
    </row>
    <row r="1530" spans="19:22" x14ac:dyDescent="0.25">
      <c r="S1530" t="s">
        <v>262</v>
      </c>
      <c r="T1530" t="s">
        <v>157</v>
      </c>
      <c r="U1530">
        <v>8.2258734406239851E-3</v>
      </c>
      <c r="V1530" t="s">
        <v>154</v>
      </c>
    </row>
    <row r="1531" spans="19:22" x14ac:dyDescent="0.25">
      <c r="S1531" t="s">
        <v>262</v>
      </c>
      <c r="T1531" t="s">
        <v>158</v>
      </c>
      <c r="U1531">
        <v>2.1689724373396132E-3</v>
      </c>
      <c r="V1531" t="s">
        <v>154</v>
      </c>
    </row>
    <row r="1532" spans="19:22" x14ac:dyDescent="0.25">
      <c r="S1532" t="s">
        <v>262</v>
      </c>
      <c r="T1532" t="s">
        <v>159</v>
      </c>
      <c r="U1532">
        <v>1.0370011083339252E-3</v>
      </c>
      <c r="V1532" t="s">
        <v>154</v>
      </c>
    </row>
    <row r="1533" spans="19:22" x14ac:dyDescent="0.25">
      <c r="S1533" t="s">
        <v>262</v>
      </c>
      <c r="T1533" t="s">
        <v>285</v>
      </c>
      <c r="U1533">
        <v>5.9018897102996685E-3</v>
      </c>
      <c r="V1533" t="s">
        <v>154</v>
      </c>
    </row>
    <row r="1534" spans="19:22" x14ac:dyDescent="0.25">
      <c r="S1534" t="s">
        <v>262</v>
      </c>
      <c r="T1534" t="s">
        <v>286</v>
      </c>
      <c r="U1534">
        <v>9.606652004861859E-4</v>
      </c>
      <c r="V1534" t="s">
        <v>154</v>
      </c>
    </row>
    <row r="1535" spans="19:22" x14ac:dyDescent="0.25">
      <c r="S1535" t="s">
        <v>262</v>
      </c>
      <c r="T1535" t="s">
        <v>313</v>
      </c>
      <c r="U1535">
        <v>1.0621480446956831E-3</v>
      </c>
      <c r="V1535" t="s">
        <v>154</v>
      </c>
    </row>
    <row r="1536" spans="19:22" x14ac:dyDescent="0.25">
      <c r="S1536" t="s">
        <v>262</v>
      </c>
      <c r="T1536" t="s">
        <v>314</v>
      </c>
      <c r="U1536">
        <v>5.2917438910443882E-3</v>
      </c>
      <c r="V1536" t="s">
        <v>154</v>
      </c>
    </row>
    <row r="1537" spans="19:22" x14ac:dyDescent="0.25">
      <c r="S1537" t="s">
        <v>262</v>
      </c>
      <c r="T1537" t="s">
        <v>160</v>
      </c>
      <c r="U1537">
        <v>0.16496146466499809</v>
      </c>
      <c r="V1537" t="s">
        <v>154</v>
      </c>
    </row>
    <row r="1538" spans="19:22" x14ac:dyDescent="0.25">
      <c r="S1538" t="s">
        <v>262</v>
      </c>
      <c r="T1538" t="s">
        <v>161</v>
      </c>
      <c r="U1538">
        <v>4.4667985938874132E-2</v>
      </c>
      <c r="V1538" t="s">
        <v>154</v>
      </c>
    </row>
    <row r="1539" spans="19:22" x14ac:dyDescent="0.25">
      <c r="S1539" t="s">
        <v>262</v>
      </c>
      <c r="T1539" t="s">
        <v>162</v>
      </c>
      <c r="U1539">
        <v>2.3484202988399074E-2</v>
      </c>
      <c r="V1539" t="s">
        <v>154</v>
      </c>
    </row>
    <row r="1540" spans="19:22" x14ac:dyDescent="0.25">
      <c r="S1540" t="s">
        <v>262</v>
      </c>
      <c r="T1540" t="s">
        <v>287</v>
      </c>
      <c r="U1540">
        <v>0.16656816887603729</v>
      </c>
      <c r="V1540" t="s">
        <v>154</v>
      </c>
    </row>
    <row r="1541" spans="19:22" x14ac:dyDescent="0.25">
      <c r="S1541" t="s">
        <v>262</v>
      </c>
      <c r="T1541" t="s">
        <v>288</v>
      </c>
      <c r="U1541">
        <v>2.4377016365474524E-2</v>
      </c>
      <c r="V1541" t="s">
        <v>154</v>
      </c>
    </row>
    <row r="1542" spans="19:22" x14ac:dyDescent="0.25">
      <c r="S1542" t="s">
        <v>262</v>
      </c>
      <c r="T1542" t="s">
        <v>315</v>
      </c>
      <c r="U1542">
        <v>2.4753959578367724E-2</v>
      </c>
      <c r="V1542" t="s">
        <v>154</v>
      </c>
    </row>
    <row r="1543" spans="19:22" x14ac:dyDescent="0.25">
      <c r="S1543" t="s">
        <v>262</v>
      </c>
      <c r="T1543" t="s">
        <v>316</v>
      </c>
      <c r="U1543">
        <v>0.11973586896542678</v>
      </c>
      <c r="V1543" t="s">
        <v>154</v>
      </c>
    </row>
    <row r="1544" spans="19:22" x14ac:dyDescent="0.25">
      <c r="S1544" t="s">
        <v>262</v>
      </c>
      <c r="T1544" t="s">
        <v>163</v>
      </c>
      <c r="U1544">
        <v>1.7543690847761563E-2</v>
      </c>
      <c r="V1544" t="s">
        <v>154</v>
      </c>
    </row>
    <row r="1545" spans="19:22" x14ac:dyDescent="0.25">
      <c r="S1545" t="s">
        <v>262</v>
      </c>
      <c r="T1545" t="s">
        <v>164</v>
      </c>
      <c r="U1545">
        <v>4.7825841102363447E-3</v>
      </c>
      <c r="V1545" t="s">
        <v>154</v>
      </c>
    </row>
    <row r="1546" spans="19:22" x14ac:dyDescent="0.25">
      <c r="S1546" t="s">
        <v>262</v>
      </c>
      <c r="T1546" t="s">
        <v>165</v>
      </c>
      <c r="U1546">
        <v>2.4640605968944108E-3</v>
      </c>
      <c r="V1546" t="s">
        <v>154</v>
      </c>
    </row>
    <row r="1547" spans="19:22" x14ac:dyDescent="0.25">
      <c r="S1547" t="s">
        <v>262</v>
      </c>
      <c r="T1547" t="s">
        <v>289</v>
      </c>
      <c r="U1547">
        <v>1.7672594806670286E-2</v>
      </c>
      <c r="V1547" t="s">
        <v>154</v>
      </c>
    </row>
    <row r="1548" spans="19:22" x14ac:dyDescent="0.25">
      <c r="S1548" t="s">
        <v>262</v>
      </c>
      <c r="T1548" t="s">
        <v>290</v>
      </c>
      <c r="U1548">
        <v>2.5878899652955608E-3</v>
      </c>
      <c r="V1548" t="s">
        <v>154</v>
      </c>
    </row>
    <row r="1549" spans="19:22" x14ac:dyDescent="0.25">
      <c r="S1549" t="s">
        <v>262</v>
      </c>
      <c r="T1549" t="s">
        <v>317</v>
      </c>
      <c r="U1549">
        <v>2.6176469220331334E-3</v>
      </c>
      <c r="V1549" t="s">
        <v>154</v>
      </c>
    </row>
    <row r="1550" spans="19:22" x14ac:dyDescent="0.25">
      <c r="S1550" t="s">
        <v>262</v>
      </c>
      <c r="T1550" t="s">
        <v>318</v>
      </c>
      <c r="U1550">
        <v>1.2208111581209631E-2</v>
      </c>
      <c r="V1550" t="s">
        <v>154</v>
      </c>
    </row>
    <row r="1551" spans="19:22" x14ac:dyDescent="0.25">
      <c r="S1551" t="s">
        <v>262</v>
      </c>
      <c r="T1551" t="s">
        <v>297</v>
      </c>
      <c r="U1551">
        <v>2.3449557609612513E-2</v>
      </c>
      <c r="V1551" t="s">
        <v>154</v>
      </c>
    </row>
    <row r="1552" spans="19:22" x14ac:dyDescent="0.25">
      <c r="S1552" t="s">
        <v>262</v>
      </c>
      <c r="T1552" t="s">
        <v>298</v>
      </c>
      <c r="U1552">
        <v>7.130639029184694E-3</v>
      </c>
      <c r="V1552" t="s">
        <v>154</v>
      </c>
    </row>
    <row r="1553" spans="19:22" x14ac:dyDescent="0.25">
      <c r="S1553" t="s">
        <v>262</v>
      </c>
      <c r="T1553" t="s">
        <v>299</v>
      </c>
      <c r="U1553">
        <v>3.7727751293793982E-3</v>
      </c>
      <c r="V1553" t="s">
        <v>154</v>
      </c>
    </row>
    <row r="1554" spans="19:22" x14ac:dyDescent="0.25">
      <c r="S1554" t="s">
        <v>262</v>
      </c>
      <c r="T1554" t="s">
        <v>300</v>
      </c>
      <c r="U1554">
        <v>2.6653294676777021E-2</v>
      </c>
      <c r="V1554" t="s">
        <v>154</v>
      </c>
    </row>
    <row r="1555" spans="19:22" x14ac:dyDescent="0.25">
      <c r="S1555" t="s">
        <v>262</v>
      </c>
      <c r="T1555" t="s">
        <v>301</v>
      </c>
      <c r="U1555">
        <v>4.2598973423825567E-3</v>
      </c>
      <c r="V1555" t="s">
        <v>154</v>
      </c>
    </row>
    <row r="1556" spans="19:22" x14ac:dyDescent="0.25">
      <c r="S1556" t="s">
        <v>262</v>
      </c>
      <c r="T1556" t="s">
        <v>319</v>
      </c>
      <c r="U1556">
        <v>4.3998794698612764E-3</v>
      </c>
      <c r="V1556" t="s">
        <v>154</v>
      </c>
    </row>
    <row r="1557" spans="19:22" x14ac:dyDescent="0.25">
      <c r="S1557" t="s">
        <v>262</v>
      </c>
      <c r="T1557" t="s">
        <v>320</v>
      </c>
      <c r="U1557">
        <v>1.9866383528570685E-2</v>
      </c>
      <c r="V1557" t="s">
        <v>154</v>
      </c>
    </row>
    <row r="1558" spans="19:22" x14ac:dyDescent="0.25">
      <c r="S1558" t="s">
        <v>262</v>
      </c>
      <c r="T1558" t="s">
        <v>302</v>
      </c>
      <c r="U1558">
        <v>3.8468883454782075E-2</v>
      </c>
      <c r="V1558" t="s">
        <v>154</v>
      </c>
    </row>
    <row r="1559" spans="19:22" x14ac:dyDescent="0.25">
      <c r="S1559" t="s">
        <v>262</v>
      </c>
      <c r="T1559" t="s">
        <v>303</v>
      </c>
      <c r="U1559">
        <v>1.1320339969302158E-2</v>
      </c>
      <c r="V1559" t="s">
        <v>154</v>
      </c>
    </row>
    <row r="1560" spans="19:22" x14ac:dyDescent="0.25">
      <c r="S1560" t="s">
        <v>262</v>
      </c>
      <c r="T1560" t="s">
        <v>304</v>
      </c>
      <c r="U1560">
        <v>5.5171288985389564E-3</v>
      </c>
      <c r="V1560" t="s">
        <v>154</v>
      </c>
    </row>
    <row r="1561" spans="19:22" x14ac:dyDescent="0.25">
      <c r="S1561" t="s">
        <v>262</v>
      </c>
      <c r="T1561" t="s">
        <v>305</v>
      </c>
      <c r="U1561">
        <v>3.7634369986671114E-2</v>
      </c>
      <c r="V1561" t="s">
        <v>154</v>
      </c>
    </row>
    <row r="1562" spans="19:22" x14ac:dyDescent="0.25">
      <c r="S1562" t="s">
        <v>262</v>
      </c>
      <c r="T1562" t="s">
        <v>306</v>
      </c>
      <c r="U1562">
        <v>5.8049394876039766E-3</v>
      </c>
      <c r="V1562" t="s">
        <v>154</v>
      </c>
    </row>
    <row r="1563" spans="19:22" x14ac:dyDescent="0.25">
      <c r="S1563" t="s">
        <v>262</v>
      </c>
      <c r="T1563" t="s">
        <v>321</v>
      </c>
      <c r="U1563">
        <v>5.8799994375396559E-3</v>
      </c>
      <c r="V1563" t="s">
        <v>154</v>
      </c>
    </row>
    <row r="1564" spans="19:22" x14ac:dyDescent="0.25">
      <c r="S1564" t="s">
        <v>262</v>
      </c>
      <c r="T1564" t="s">
        <v>322</v>
      </c>
      <c r="U1564">
        <v>2.6163607357733265E-2</v>
      </c>
      <c r="V1564" t="s">
        <v>154</v>
      </c>
    </row>
    <row r="1565" spans="19:22" x14ac:dyDescent="0.25">
      <c r="S1565" t="s">
        <v>263</v>
      </c>
      <c r="T1565" t="s">
        <v>153</v>
      </c>
      <c r="U1565">
        <v>3.3437647163088481E-2</v>
      </c>
      <c r="V1565" t="s">
        <v>154</v>
      </c>
    </row>
    <row r="1566" spans="19:22" x14ac:dyDescent="0.25">
      <c r="S1566" t="s">
        <v>263</v>
      </c>
      <c r="T1566" t="s">
        <v>155</v>
      </c>
      <c r="U1566">
        <v>9.3418244864355068E-3</v>
      </c>
      <c r="V1566" t="s">
        <v>154</v>
      </c>
    </row>
    <row r="1567" spans="19:22" x14ac:dyDescent="0.25">
      <c r="S1567" t="s">
        <v>263</v>
      </c>
      <c r="T1567" t="s">
        <v>156</v>
      </c>
      <c r="U1567">
        <v>4.6964299233599538E-3</v>
      </c>
      <c r="V1567" t="s">
        <v>154</v>
      </c>
    </row>
    <row r="1568" spans="19:22" x14ac:dyDescent="0.25">
      <c r="S1568" t="s">
        <v>263</v>
      </c>
      <c r="T1568" t="s">
        <v>283</v>
      </c>
      <c r="U1568">
        <v>3.145083484287841E-2</v>
      </c>
      <c r="V1568" t="s">
        <v>154</v>
      </c>
    </row>
    <row r="1569" spans="19:22" x14ac:dyDescent="0.25">
      <c r="S1569" t="s">
        <v>263</v>
      </c>
      <c r="T1569" t="s">
        <v>284</v>
      </c>
      <c r="U1569">
        <v>4.1449721336717709E-3</v>
      </c>
      <c r="V1569" t="s">
        <v>154</v>
      </c>
    </row>
    <row r="1570" spans="19:22" x14ac:dyDescent="0.25">
      <c r="S1570" t="s">
        <v>263</v>
      </c>
      <c r="T1570" t="s">
        <v>311</v>
      </c>
      <c r="U1570">
        <v>4.0377072610580248E-3</v>
      </c>
      <c r="V1570" t="s">
        <v>154</v>
      </c>
    </row>
    <row r="1571" spans="19:22" x14ac:dyDescent="0.25">
      <c r="S1571" t="s">
        <v>263</v>
      </c>
      <c r="T1571" t="s">
        <v>312</v>
      </c>
      <c r="U1571">
        <v>2.1005207740944064E-2</v>
      </c>
      <c r="V1571" t="s">
        <v>154</v>
      </c>
    </row>
    <row r="1572" spans="19:22" x14ac:dyDescent="0.25">
      <c r="S1572" t="s">
        <v>263</v>
      </c>
      <c r="T1572" t="s">
        <v>157</v>
      </c>
      <c r="U1572">
        <v>6.857778575885945E-3</v>
      </c>
      <c r="V1572" t="s">
        <v>154</v>
      </c>
    </row>
    <row r="1573" spans="19:22" x14ac:dyDescent="0.25">
      <c r="S1573" t="s">
        <v>263</v>
      </c>
      <c r="T1573" t="s">
        <v>158</v>
      </c>
      <c r="U1573">
        <v>2.4617192412904627E-3</v>
      </c>
      <c r="V1573" t="s">
        <v>154</v>
      </c>
    </row>
    <row r="1574" spans="19:22" x14ac:dyDescent="0.25">
      <c r="S1574" t="s">
        <v>263</v>
      </c>
      <c r="T1574" t="s">
        <v>159</v>
      </c>
      <c r="U1574">
        <v>1.2462261593521127E-3</v>
      </c>
      <c r="V1574" t="s">
        <v>154</v>
      </c>
    </row>
    <row r="1575" spans="19:22" x14ac:dyDescent="0.25">
      <c r="S1575" t="s">
        <v>263</v>
      </c>
      <c r="T1575" t="s">
        <v>285</v>
      </c>
      <c r="U1575">
        <v>9.5284444530939622E-3</v>
      </c>
      <c r="V1575" t="s">
        <v>154</v>
      </c>
    </row>
    <row r="1576" spans="19:22" x14ac:dyDescent="0.25">
      <c r="S1576" t="s">
        <v>263</v>
      </c>
      <c r="T1576" t="s">
        <v>286</v>
      </c>
      <c r="U1576">
        <v>1.491153243488997E-3</v>
      </c>
      <c r="V1576" t="s">
        <v>154</v>
      </c>
    </row>
    <row r="1577" spans="19:22" x14ac:dyDescent="0.25">
      <c r="S1577" t="s">
        <v>263</v>
      </c>
      <c r="T1577" t="s">
        <v>313</v>
      </c>
      <c r="U1577">
        <v>1.4875176735858718E-3</v>
      </c>
      <c r="V1577" t="s">
        <v>154</v>
      </c>
    </row>
    <row r="1578" spans="19:22" x14ac:dyDescent="0.25">
      <c r="S1578" t="s">
        <v>263</v>
      </c>
      <c r="T1578" t="s">
        <v>314</v>
      </c>
      <c r="U1578">
        <v>7.0534661293787356E-3</v>
      </c>
      <c r="V1578" t="s">
        <v>154</v>
      </c>
    </row>
    <row r="1579" spans="19:22" x14ac:dyDescent="0.25">
      <c r="S1579" t="s">
        <v>263</v>
      </c>
      <c r="T1579" t="s">
        <v>160</v>
      </c>
      <c r="U1579">
        <v>0.18932485013725536</v>
      </c>
      <c r="V1579" t="s">
        <v>154</v>
      </c>
    </row>
    <row r="1580" spans="19:22" x14ac:dyDescent="0.25">
      <c r="S1580" t="s">
        <v>263</v>
      </c>
      <c r="T1580" t="s">
        <v>161</v>
      </c>
      <c r="U1580">
        <v>5.1394295618493513E-2</v>
      </c>
      <c r="V1580" t="s">
        <v>154</v>
      </c>
    </row>
    <row r="1581" spans="19:22" x14ac:dyDescent="0.25">
      <c r="S1581" t="s">
        <v>263</v>
      </c>
      <c r="T1581" t="s">
        <v>162</v>
      </c>
      <c r="U1581">
        <v>2.5704289822842098E-2</v>
      </c>
      <c r="V1581" t="s">
        <v>154</v>
      </c>
    </row>
    <row r="1582" spans="19:22" x14ac:dyDescent="0.25">
      <c r="S1582" t="s">
        <v>263</v>
      </c>
      <c r="T1582" t="s">
        <v>287</v>
      </c>
      <c r="U1582">
        <v>0.17827102503462031</v>
      </c>
      <c r="V1582" t="s">
        <v>154</v>
      </c>
    </row>
    <row r="1583" spans="19:22" x14ac:dyDescent="0.25">
      <c r="S1583" t="s">
        <v>263</v>
      </c>
      <c r="T1583" t="s">
        <v>288</v>
      </c>
      <c r="U1583">
        <v>2.4621899368302745E-2</v>
      </c>
      <c r="V1583" t="s">
        <v>154</v>
      </c>
    </row>
    <row r="1584" spans="19:22" x14ac:dyDescent="0.25">
      <c r="S1584" t="s">
        <v>263</v>
      </c>
      <c r="T1584" t="s">
        <v>315</v>
      </c>
      <c r="U1584">
        <v>2.465323397703394E-2</v>
      </c>
      <c r="V1584" t="s">
        <v>154</v>
      </c>
    </row>
    <row r="1585" spans="19:22" x14ac:dyDescent="0.25">
      <c r="S1585" t="s">
        <v>263</v>
      </c>
      <c r="T1585" t="s">
        <v>316</v>
      </c>
      <c r="U1585">
        <v>0.12451362641148113</v>
      </c>
      <c r="V1585" t="s">
        <v>154</v>
      </c>
    </row>
    <row r="1586" spans="19:22" x14ac:dyDescent="0.25">
      <c r="S1586" t="s">
        <v>263</v>
      </c>
      <c r="T1586" t="s">
        <v>163</v>
      </c>
      <c r="U1586">
        <v>1.3168640679806368E-2</v>
      </c>
      <c r="V1586" t="s">
        <v>154</v>
      </c>
    </row>
    <row r="1587" spans="19:22" x14ac:dyDescent="0.25">
      <c r="S1587" t="s">
        <v>263</v>
      </c>
      <c r="T1587" t="s">
        <v>164</v>
      </c>
      <c r="U1587">
        <v>3.6479312248276973E-3</v>
      </c>
      <c r="V1587" t="s">
        <v>154</v>
      </c>
    </row>
    <row r="1588" spans="19:22" x14ac:dyDescent="0.25">
      <c r="S1588" t="s">
        <v>263</v>
      </c>
      <c r="T1588" t="s">
        <v>165</v>
      </c>
      <c r="U1588">
        <v>1.9641837045702264E-3</v>
      </c>
      <c r="V1588" t="s">
        <v>154</v>
      </c>
    </row>
    <row r="1589" spans="19:22" x14ac:dyDescent="0.25">
      <c r="S1589" t="s">
        <v>263</v>
      </c>
      <c r="T1589" t="s">
        <v>289</v>
      </c>
      <c r="U1589">
        <v>1.463950527779311E-2</v>
      </c>
      <c r="V1589" t="s">
        <v>154</v>
      </c>
    </row>
    <row r="1590" spans="19:22" x14ac:dyDescent="0.25">
      <c r="S1590" t="s">
        <v>263</v>
      </c>
      <c r="T1590" t="s">
        <v>290</v>
      </c>
      <c r="U1590">
        <v>1.9866311164563242E-3</v>
      </c>
      <c r="V1590" t="s">
        <v>154</v>
      </c>
    </row>
    <row r="1591" spans="19:22" x14ac:dyDescent="0.25">
      <c r="S1591" t="s">
        <v>263</v>
      </c>
      <c r="T1591" t="s">
        <v>317</v>
      </c>
      <c r="U1591">
        <v>1.9046026810350973E-3</v>
      </c>
      <c r="V1591" t="s">
        <v>154</v>
      </c>
    </row>
    <row r="1592" spans="19:22" x14ac:dyDescent="0.25">
      <c r="S1592" t="s">
        <v>263</v>
      </c>
      <c r="T1592" t="s">
        <v>318</v>
      </c>
      <c r="U1592">
        <v>9.1164033822434959E-3</v>
      </c>
      <c r="V1592" t="s">
        <v>154</v>
      </c>
    </row>
    <row r="1593" spans="19:22" x14ac:dyDescent="0.25">
      <c r="S1593" t="s">
        <v>263</v>
      </c>
      <c r="T1593" t="s">
        <v>297</v>
      </c>
      <c r="U1593">
        <v>2.1285639946375414E-2</v>
      </c>
      <c r="V1593" t="s">
        <v>154</v>
      </c>
    </row>
    <row r="1594" spans="19:22" x14ac:dyDescent="0.25">
      <c r="S1594" t="s">
        <v>263</v>
      </c>
      <c r="T1594" t="s">
        <v>298</v>
      </c>
      <c r="U1594">
        <v>5.3601771419761381E-3</v>
      </c>
      <c r="V1594" t="s">
        <v>154</v>
      </c>
    </row>
    <row r="1595" spans="19:22" x14ac:dyDescent="0.25">
      <c r="S1595" t="s">
        <v>263</v>
      </c>
      <c r="T1595" t="s">
        <v>299</v>
      </c>
      <c r="U1595">
        <v>2.6767788820394179E-3</v>
      </c>
      <c r="V1595" t="s">
        <v>154</v>
      </c>
    </row>
    <row r="1596" spans="19:22" x14ac:dyDescent="0.25">
      <c r="S1596" t="s">
        <v>263</v>
      </c>
      <c r="T1596" t="s">
        <v>300</v>
      </c>
      <c r="U1596">
        <v>2.0376267615497757E-2</v>
      </c>
      <c r="V1596" t="s">
        <v>154</v>
      </c>
    </row>
    <row r="1597" spans="19:22" x14ac:dyDescent="0.25">
      <c r="S1597" t="s">
        <v>263</v>
      </c>
      <c r="T1597" t="s">
        <v>301</v>
      </c>
      <c r="U1597">
        <v>2.8800093172186847E-3</v>
      </c>
      <c r="V1597" t="s">
        <v>154</v>
      </c>
    </row>
    <row r="1598" spans="19:22" x14ac:dyDescent="0.25">
      <c r="S1598" t="s">
        <v>263</v>
      </c>
      <c r="T1598" t="s">
        <v>319</v>
      </c>
      <c r="U1598">
        <v>2.7909048185628185E-3</v>
      </c>
      <c r="V1598" t="s">
        <v>154</v>
      </c>
    </row>
    <row r="1599" spans="19:22" x14ac:dyDescent="0.25">
      <c r="S1599" t="s">
        <v>263</v>
      </c>
      <c r="T1599" t="s">
        <v>320</v>
      </c>
      <c r="U1599">
        <v>1.3945356924338598E-2</v>
      </c>
      <c r="V1599" t="s">
        <v>154</v>
      </c>
    </row>
    <row r="1600" spans="19:22" x14ac:dyDescent="0.25">
      <c r="S1600" t="s">
        <v>263</v>
      </c>
      <c r="T1600" t="s">
        <v>302</v>
      </c>
      <c r="U1600">
        <v>3.6122938897343269E-2</v>
      </c>
      <c r="V1600" t="s">
        <v>154</v>
      </c>
    </row>
    <row r="1601" spans="19:22" x14ac:dyDescent="0.25">
      <c r="S1601" t="s">
        <v>263</v>
      </c>
      <c r="T1601" t="s">
        <v>303</v>
      </c>
      <c r="U1601">
        <v>1.0515553332485135E-2</v>
      </c>
      <c r="V1601" t="s">
        <v>154</v>
      </c>
    </row>
    <row r="1602" spans="19:22" x14ac:dyDescent="0.25">
      <c r="S1602" t="s">
        <v>263</v>
      </c>
      <c r="T1602" t="s">
        <v>304</v>
      </c>
      <c r="U1602">
        <v>5.2080213167453957E-3</v>
      </c>
      <c r="V1602" t="s">
        <v>154</v>
      </c>
    </row>
    <row r="1603" spans="19:22" x14ac:dyDescent="0.25">
      <c r="S1603" t="s">
        <v>263</v>
      </c>
      <c r="T1603" t="s">
        <v>305</v>
      </c>
      <c r="U1603">
        <v>3.7710199172862523E-2</v>
      </c>
      <c r="V1603" t="s">
        <v>154</v>
      </c>
    </row>
    <row r="1604" spans="19:22" x14ac:dyDescent="0.25">
      <c r="S1604" t="s">
        <v>263</v>
      </c>
      <c r="T1604" t="s">
        <v>306</v>
      </c>
      <c r="U1604">
        <v>5.3523465405547694E-3</v>
      </c>
      <c r="V1604" t="s">
        <v>154</v>
      </c>
    </row>
    <row r="1605" spans="19:22" x14ac:dyDescent="0.25">
      <c r="S1605" t="s">
        <v>263</v>
      </c>
      <c r="T1605" t="s">
        <v>321</v>
      </c>
      <c r="U1605">
        <v>5.2842184180435679E-3</v>
      </c>
      <c r="V1605" t="s">
        <v>154</v>
      </c>
    </row>
    <row r="1606" spans="19:22" x14ac:dyDescent="0.25">
      <c r="S1606" t="s">
        <v>263</v>
      </c>
      <c r="T1606" t="s">
        <v>322</v>
      </c>
      <c r="U1606">
        <v>2.7339540211681952E-2</v>
      </c>
      <c r="V1606" t="s">
        <v>154</v>
      </c>
    </row>
    <row r="1607" spans="19:22" x14ac:dyDescent="0.25">
      <c r="S1607" t="s">
        <v>264</v>
      </c>
      <c r="T1607" t="s">
        <v>153</v>
      </c>
      <c r="U1607">
        <v>4.2332743221051211E-2</v>
      </c>
      <c r="V1607" t="s">
        <v>154</v>
      </c>
    </row>
    <row r="1608" spans="19:22" x14ac:dyDescent="0.25">
      <c r="S1608" t="s">
        <v>264</v>
      </c>
      <c r="T1608" t="s">
        <v>155</v>
      </c>
      <c r="U1608">
        <v>1.1658160067577023E-2</v>
      </c>
      <c r="V1608" t="s">
        <v>154</v>
      </c>
    </row>
    <row r="1609" spans="19:22" x14ac:dyDescent="0.25">
      <c r="S1609" t="s">
        <v>264</v>
      </c>
      <c r="T1609" t="s">
        <v>156</v>
      </c>
      <c r="U1609">
        <v>5.3877048371066948E-3</v>
      </c>
      <c r="V1609" t="s">
        <v>154</v>
      </c>
    </row>
    <row r="1610" spans="19:22" x14ac:dyDescent="0.25">
      <c r="S1610" t="s">
        <v>264</v>
      </c>
      <c r="T1610" t="s">
        <v>283</v>
      </c>
      <c r="U1610">
        <v>3.7237955542523044E-2</v>
      </c>
      <c r="V1610" t="s">
        <v>154</v>
      </c>
    </row>
    <row r="1611" spans="19:22" x14ac:dyDescent="0.25">
      <c r="S1611" t="s">
        <v>264</v>
      </c>
      <c r="T1611" t="s">
        <v>284</v>
      </c>
      <c r="U1611">
        <v>5.5504150161330892E-3</v>
      </c>
      <c r="V1611" t="s">
        <v>154</v>
      </c>
    </row>
    <row r="1612" spans="19:22" x14ac:dyDescent="0.25">
      <c r="S1612" t="s">
        <v>264</v>
      </c>
      <c r="T1612" t="s">
        <v>311</v>
      </c>
      <c r="U1612">
        <v>5.7386861313586616E-3</v>
      </c>
      <c r="V1612" t="s">
        <v>154</v>
      </c>
    </row>
    <row r="1613" spans="19:22" x14ac:dyDescent="0.25">
      <c r="S1613" t="s">
        <v>264</v>
      </c>
      <c r="T1613" t="s">
        <v>312</v>
      </c>
      <c r="U1613">
        <v>2.774571435240801E-2</v>
      </c>
      <c r="V1613" t="s">
        <v>154</v>
      </c>
    </row>
    <row r="1614" spans="19:22" x14ac:dyDescent="0.25">
      <c r="S1614" t="s">
        <v>264</v>
      </c>
      <c r="T1614" t="s">
        <v>157</v>
      </c>
      <c r="U1614">
        <v>1.0609902149667415E-2</v>
      </c>
      <c r="V1614" t="s">
        <v>154</v>
      </c>
    </row>
    <row r="1615" spans="19:22" x14ac:dyDescent="0.25">
      <c r="S1615" t="s">
        <v>264</v>
      </c>
      <c r="T1615" t="s">
        <v>158</v>
      </c>
      <c r="U1615">
        <v>3.3731457029631678E-3</v>
      </c>
      <c r="V1615" t="s">
        <v>154</v>
      </c>
    </row>
    <row r="1616" spans="19:22" x14ac:dyDescent="0.25">
      <c r="S1616" t="s">
        <v>264</v>
      </c>
      <c r="T1616" t="s">
        <v>159</v>
      </c>
      <c r="U1616">
        <v>1.4538777377686271E-3</v>
      </c>
      <c r="V1616" t="s">
        <v>154</v>
      </c>
    </row>
    <row r="1617" spans="19:22" x14ac:dyDescent="0.25">
      <c r="S1617" t="s">
        <v>264</v>
      </c>
      <c r="T1617" t="s">
        <v>285</v>
      </c>
      <c r="U1617">
        <v>1.0382351114173136E-2</v>
      </c>
      <c r="V1617" t="s">
        <v>154</v>
      </c>
    </row>
    <row r="1618" spans="19:22" x14ac:dyDescent="0.25">
      <c r="S1618" t="s">
        <v>264</v>
      </c>
      <c r="T1618" t="s">
        <v>286</v>
      </c>
      <c r="U1618">
        <v>1.833963168180482E-3</v>
      </c>
      <c r="V1618" t="s">
        <v>154</v>
      </c>
    </row>
    <row r="1619" spans="19:22" x14ac:dyDescent="0.25">
      <c r="S1619" t="s">
        <v>264</v>
      </c>
      <c r="T1619" t="s">
        <v>313</v>
      </c>
      <c r="U1619">
        <v>1.8910993381722051E-3</v>
      </c>
      <c r="V1619" t="s">
        <v>154</v>
      </c>
    </row>
    <row r="1620" spans="19:22" x14ac:dyDescent="0.25">
      <c r="S1620" t="s">
        <v>264</v>
      </c>
      <c r="T1620" t="s">
        <v>314</v>
      </c>
      <c r="U1620">
        <v>8.2914165826002417E-3</v>
      </c>
      <c r="V1620" t="s">
        <v>154</v>
      </c>
    </row>
    <row r="1621" spans="19:22" x14ac:dyDescent="0.25">
      <c r="S1621" t="s">
        <v>264</v>
      </c>
      <c r="T1621" t="s">
        <v>160</v>
      </c>
      <c r="U1621">
        <v>0.16372401409963747</v>
      </c>
      <c r="V1621" t="s">
        <v>154</v>
      </c>
    </row>
    <row r="1622" spans="19:22" x14ac:dyDescent="0.25">
      <c r="S1622" t="s">
        <v>264</v>
      </c>
      <c r="T1622" t="s">
        <v>161</v>
      </c>
      <c r="U1622">
        <v>4.1294897594527591E-2</v>
      </c>
      <c r="V1622" t="s">
        <v>154</v>
      </c>
    </row>
    <row r="1623" spans="19:22" x14ac:dyDescent="0.25">
      <c r="S1623" t="s">
        <v>264</v>
      </c>
      <c r="T1623" t="s">
        <v>162</v>
      </c>
      <c r="U1623">
        <v>2.1051172589701534E-2</v>
      </c>
      <c r="V1623" t="s">
        <v>154</v>
      </c>
    </row>
    <row r="1624" spans="19:22" x14ac:dyDescent="0.25">
      <c r="S1624" t="s">
        <v>264</v>
      </c>
      <c r="T1624" t="s">
        <v>287</v>
      </c>
      <c r="U1624">
        <v>0.16624746643782132</v>
      </c>
      <c r="V1624" t="s">
        <v>154</v>
      </c>
    </row>
    <row r="1625" spans="19:22" x14ac:dyDescent="0.25">
      <c r="S1625" t="s">
        <v>264</v>
      </c>
      <c r="T1625" t="s">
        <v>288</v>
      </c>
      <c r="U1625">
        <v>2.6834095251034553E-2</v>
      </c>
      <c r="V1625" t="s">
        <v>154</v>
      </c>
    </row>
    <row r="1626" spans="19:22" x14ac:dyDescent="0.25">
      <c r="S1626" t="s">
        <v>264</v>
      </c>
      <c r="T1626" t="s">
        <v>315</v>
      </c>
      <c r="U1626">
        <v>2.6962929787164941E-2</v>
      </c>
      <c r="V1626" t="s">
        <v>154</v>
      </c>
    </row>
    <row r="1627" spans="19:22" x14ac:dyDescent="0.25">
      <c r="S1627" t="s">
        <v>264</v>
      </c>
      <c r="T1627" t="s">
        <v>316</v>
      </c>
      <c r="U1627">
        <v>0.12306544685525514</v>
      </c>
      <c r="V1627" t="s">
        <v>154</v>
      </c>
    </row>
    <row r="1628" spans="19:22" x14ac:dyDescent="0.25">
      <c r="S1628" t="s">
        <v>264</v>
      </c>
      <c r="T1628" t="s">
        <v>163</v>
      </c>
      <c r="U1628">
        <v>1.448476374870499E-2</v>
      </c>
      <c r="V1628" t="s">
        <v>154</v>
      </c>
    </row>
    <row r="1629" spans="19:22" x14ac:dyDescent="0.25">
      <c r="S1629" t="s">
        <v>264</v>
      </c>
      <c r="T1629" t="s">
        <v>164</v>
      </c>
      <c r="U1629">
        <v>3.7413346124524479E-3</v>
      </c>
      <c r="V1629" t="s">
        <v>154</v>
      </c>
    </row>
    <row r="1630" spans="19:22" x14ac:dyDescent="0.25">
      <c r="S1630" t="s">
        <v>264</v>
      </c>
      <c r="T1630" t="s">
        <v>165</v>
      </c>
      <c r="U1630">
        <v>1.9881061465011488E-3</v>
      </c>
      <c r="V1630" t="s">
        <v>154</v>
      </c>
    </row>
    <row r="1631" spans="19:22" x14ac:dyDescent="0.25">
      <c r="S1631" t="s">
        <v>264</v>
      </c>
      <c r="T1631" t="s">
        <v>289</v>
      </c>
      <c r="U1631">
        <v>1.2650735247427689E-2</v>
      </c>
      <c r="V1631" t="s">
        <v>154</v>
      </c>
    </row>
    <row r="1632" spans="19:22" x14ac:dyDescent="0.25">
      <c r="S1632" t="s">
        <v>264</v>
      </c>
      <c r="T1632" t="s">
        <v>290</v>
      </c>
      <c r="U1632">
        <v>1.8245094462489681E-3</v>
      </c>
      <c r="V1632" t="s">
        <v>154</v>
      </c>
    </row>
    <row r="1633" spans="19:22" x14ac:dyDescent="0.25">
      <c r="S1633" t="s">
        <v>264</v>
      </c>
      <c r="T1633" t="s">
        <v>317</v>
      </c>
      <c r="U1633">
        <v>1.8819124289820007E-3</v>
      </c>
      <c r="V1633" t="s">
        <v>154</v>
      </c>
    </row>
    <row r="1634" spans="19:22" x14ac:dyDescent="0.25">
      <c r="S1634" t="s">
        <v>264</v>
      </c>
      <c r="T1634" t="s">
        <v>318</v>
      </c>
      <c r="U1634">
        <v>8.9698042090444168E-3</v>
      </c>
      <c r="V1634" t="s">
        <v>154</v>
      </c>
    </row>
    <row r="1635" spans="19:22" x14ac:dyDescent="0.25">
      <c r="S1635" t="s">
        <v>264</v>
      </c>
      <c r="T1635" t="s">
        <v>297</v>
      </c>
      <c r="U1635">
        <v>1.9574496481831745E-2</v>
      </c>
      <c r="V1635" t="s">
        <v>154</v>
      </c>
    </row>
    <row r="1636" spans="19:22" x14ac:dyDescent="0.25">
      <c r="S1636" t="s">
        <v>264</v>
      </c>
      <c r="T1636" t="s">
        <v>298</v>
      </c>
      <c r="U1636">
        <v>4.7537140415426365E-3</v>
      </c>
      <c r="V1636" t="s">
        <v>154</v>
      </c>
    </row>
    <row r="1637" spans="19:22" x14ac:dyDescent="0.25">
      <c r="S1637" t="s">
        <v>264</v>
      </c>
      <c r="T1637" t="s">
        <v>299</v>
      </c>
      <c r="U1637">
        <v>2.4418917891844069E-3</v>
      </c>
      <c r="V1637" t="s">
        <v>154</v>
      </c>
    </row>
    <row r="1638" spans="19:22" x14ac:dyDescent="0.25">
      <c r="S1638" t="s">
        <v>264</v>
      </c>
      <c r="T1638" t="s">
        <v>300</v>
      </c>
      <c r="U1638">
        <v>1.9249639080732274E-2</v>
      </c>
      <c r="V1638" t="s">
        <v>154</v>
      </c>
    </row>
    <row r="1639" spans="19:22" x14ac:dyDescent="0.25">
      <c r="S1639" t="s">
        <v>264</v>
      </c>
      <c r="T1639" t="s">
        <v>301</v>
      </c>
      <c r="U1639">
        <v>3.0765371876124285E-3</v>
      </c>
      <c r="V1639" t="s">
        <v>154</v>
      </c>
    </row>
    <row r="1640" spans="19:22" x14ac:dyDescent="0.25">
      <c r="S1640" t="s">
        <v>264</v>
      </c>
      <c r="T1640" t="s">
        <v>319</v>
      </c>
      <c r="U1640">
        <v>3.0829184793666267E-3</v>
      </c>
      <c r="V1640" t="s">
        <v>154</v>
      </c>
    </row>
    <row r="1641" spans="19:22" x14ac:dyDescent="0.25">
      <c r="S1641" t="s">
        <v>264</v>
      </c>
      <c r="T1641" t="s">
        <v>320</v>
      </c>
      <c r="U1641">
        <v>1.3388840449548536E-2</v>
      </c>
      <c r="V1641" t="s">
        <v>154</v>
      </c>
    </row>
    <row r="1642" spans="19:22" x14ac:dyDescent="0.25">
      <c r="S1642" t="s">
        <v>264</v>
      </c>
      <c r="T1642" t="s">
        <v>302</v>
      </c>
      <c r="U1642">
        <v>4.3923626395845003E-2</v>
      </c>
      <c r="V1642" t="s">
        <v>154</v>
      </c>
    </row>
    <row r="1643" spans="19:22" x14ac:dyDescent="0.25">
      <c r="S1643" t="s">
        <v>264</v>
      </c>
      <c r="T1643" t="s">
        <v>303</v>
      </c>
      <c r="U1643">
        <v>1.157418304405144E-2</v>
      </c>
      <c r="V1643" t="s">
        <v>154</v>
      </c>
    </row>
    <row r="1644" spans="19:22" x14ac:dyDescent="0.25">
      <c r="S1644" t="s">
        <v>264</v>
      </c>
      <c r="T1644" t="s">
        <v>304</v>
      </c>
      <c r="U1644">
        <v>5.7376514556162052E-3</v>
      </c>
      <c r="V1644" t="s">
        <v>154</v>
      </c>
    </row>
    <row r="1645" spans="19:22" x14ac:dyDescent="0.25">
      <c r="S1645" t="s">
        <v>264</v>
      </c>
      <c r="T1645" t="s">
        <v>305</v>
      </c>
      <c r="U1645">
        <v>4.071600166998425E-2</v>
      </c>
      <c r="V1645" t="s">
        <v>154</v>
      </c>
    </row>
    <row r="1646" spans="19:22" x14ac:dyDescent="0.25">
      <c r="S1646" t="s">
        <v>264</v>
      </c>
      <c r="T1646" t="s">
        <v>306</v>
      </c>
      <c r="U1646">
        <v>6.3391250515504906E-3</v>
      </c>
      <c r="V1646" t="s">
        <v>154</v>
      </c>
    </row>
    <row r="1647" spans="19:22" x14ac:dyDescent="0.25">
      <c r="S1647" t="s">
        <v>264</v>
      </c>
      <c r="T1647" t="s">
        <v>321</v>
      </c>
      <c r="U1647">
        <v>6.4320549845629871E-3</v>
      </c>
      <c r="V1647" t="s">
        <v>154</v>
      </c>
    </row>
    <row r="1648" spans="19:22" x14ac:dyDescent="0.25">
      <c r="S1648" t="s">
        <v>264</v>
      </c>
      <c r="T1648" t="s">
        <v>322</v>
      </c>
      <c r="U1648">
        <v>3.1500996472387167E-2</v>
      </c>
      <c r="V1648" t="s">
        <v>154</v>
      </c>
    </row>
    <row r="1649" spans="19:22" x14ac:dyDescent="0.25">
      <c r="S1649" t="s">
        <v>265</v>
      </c>
      <c r="T1649" t="s">
        <v>153</v>
      </c>
      <c r="U1649">
        <v>3.5536048458661096E-2</v>
      </c>
      <c r="V1649" t="s">
        <v>154</v>
      </c>
    </row>
    <row r="1650" spans="19:22" x14ac:dyDescent="0.25">
      <c r="S1650" t="s">
        <v>265</v>
      </c>
      <c r="T1650" t="s">
        <v>155</v>
      </c>
      <c r="U1650">
        <v>9.8836961344022783E-3</v>
      </c>
      <c r="V1650" t="s">
        <v>154</v>
      </c>
    </row>
    <row r="1651" spans="19:22" x14ac:dyDescent="0.25">
      <c r="S1651" t="s">
        <v>265</v>
      </c>
      <c r="T1651" t="s">
        <v>156</v>
      </c>
      <c r="U1651">
        <v>4.8846123734568141E-3</v>
      </c>
      <c r="V1651" t="s">
        <v>154</v>
      </c>
    </row>
    <row r="1652" spans="19:22" x14ac:dyDescent="0.25">
      <c r="S1652" t="s">
        <v>265</v>
      </c>
      <c r="T1652" t="s">
        <v>283</v>
      </c>
      <c r="U1652">
        <v>3.1157715208843965E-2</v>
      </c>
      <c r="V1652" t="s">
        <v>154</v>
      </c>
    </row>
    <row r="1653" spans="19:22" x14ac:dyDescent="0.25">
      <c r="S1653" t="s">
        <v>265</v>
      </c>
      <c r="T1653" t="s">
        <v>284</v>
      </c>
      <c r="U1653">
        <v>4.286930789242846E-3</v>
      </c>
      <c r="V1653" t="s">
        <v>154</v>
      </c>
    </row>
    <row r="1654" spans="19:22" x14ac:dyDescent="0.25">
      <c r="S1654" t="s">
        <v>265</v>
      </c>
      <c r="T1654" t="s">
        <v>311</v>
      </c>
      <c r="U1654">
        <v>4.3375724427307258E-3</v>
      </c>
      <c r="V1654" t="s">
        <v>154</v>
      </c>
    </row>
    <row r="1655" spans="19:22" x14ac:dyDescent="0.25">
      <c r="S1655" t="s">
        <v>265</v>
      </c>
      <c r="T1655" t="s">
        <v>312</v>
      </c>
      <c r="U1655">
        <v>2.2443711396977224E-2</v>
      </c>
      <c r="V1655" t="s">
        <v>154</v>
      </c>
    </row>
    <row r="1656" spans="19:22" x14ac:dyDescent="0.25">
      <c r="S1656" t="s">
        <v>265</v>
      </c>
      <c r="T1656" t="s">
        <v>157</v>
      </c>
      <c r="U1656">
        <v>7.1388040350699612E-3</v>
      </c>
      <c r="V1656" t="s">
        <v>154</v>
      </c>
    </row>
    <row r="1657" spans="19:22" x14ac:dyDescent="0.25">
      <c r="S1657" t="s">
        <v>265</v>
      </c>
      <c r="T1657" t="s">
        <v>158</v>
      </c>
      <c r="U1657">
        <v>2.3476116322795454E-3</v>
      </c>
      <c r="V1657" t="s">
        <v>154</v>
      </c>
    </row>
    <row r="1658" spans="19:22" x14ac:dyDescent="0.25">
      <c r="S1658" t="s">
        <v>265</v>
      </c>
      <c r="T1658" t="s">
        <v>159</v>
      </c>
      <c r="U1658">
        <v>1.1871869864304501E-3</v>
      </c>
      <c r="V1658" t="s">
        <v>154</v>
      </c>
    </row>
    <row r="1659" spans="19:22" x14ac:dyDescent="0.25">
      <c r="S1659" t="s">
        <v>265</v>
      </c>
      <c r="T1659" t="s">
        <v>285</v>
      </c>
      <c r="U1659">
        <v>9.5268259947148496E-3</v>
      </c>
      <c r="V1659" t="s">
        <v>154</v>
      </c>
    </row>
    <row r="1660" spans="19:22" x14ac:dyDescent="0.25">
      <c r="S1660" t="s">
        <v>265</v>
      </c>
      <c r="T1660" t="s">
        <v>286</v>
      </c>
      <c r="U1660">
        <v>1.4799762104439253E-3</v>
      </c>
      <c r="V1660" t="s">
        <v>154</v>
      </c>
    </row>
    <row r="1661" spans="19:22" x14ac:dyDescent="0.25">
      <c r="S1661" t="s">
        <v>265</v>
      </c>
      <c r="T1661" t="s">
        <v>313</v>
      </c>
      <c r="U1661">
        <v>1.4695022220474804E-3</v>
      </c>
      <c r="V1661" t="s">
        <v>154</v>
      </c>
    </row>
    <row r="1662" spans="19:22" x14ac:dyDescent="0.25">
      <c r="S1662" t="s">
        <v>265</v>
      </c>
      <c r="T1662" t="s">
        <v>314</v>
      </c>
      <c r="U1662">
        <v>5.9507465767861647E-3</v>
      </c>
      <c r="V1662" t="s">
        <v>154</v>
      </c>
    </row>
    <row r="1663" spans="19:22" x14ac:dyDescent="0.25">
      <c r="S1663" t="s">
        <v>265</v>
      </c>
      <c r="T1663" t="s">
        <v>160</v>
      </c>
      <c r="U1663">
        <v>0.17655590749753941</v>
      </c>
      <c r="V1663" t="s">
        <v>154</v>
      </c>
    </row>
    <row r="1664" spans="19:22" x14ac:dyDescent="0.25">
      <c r="S1664" t="s">
        <v>265</v>
      </c>
      <c r="T1664" t="s">
        <v>161</v>
      </c>
      <c r="U1664">
        <v>4.8077733549022832E-2</v>
      </c>
      <c r="V1664" t="s">
        <v>154</v>
      </c>
    </row>
    <row r="1665" spans="19:22" x14ac:dyDescent="0.25">
      <c r="S1665" t="s">
        <v>265</v>
      </c>
      <c r="T1665" t="s">
        <v>162</v>
      </c>
      <c r="U1665">
        <v>2.4923766864340679E-2</v>
      </c>
      <c r="V1665" t="s">
        <v>154</v>
      </c>
    </row>
    <row r="1666" spans="19:22" x14ac:dyDescent="0.25">
      <c r="S1666" t="s">
        <v>265</v>
      </c>
      <c r="T1666" t="s">
        <v>287</v>
      </c>
      <c r="U1666">
        <v>0.17800277242563195</v>
      </c>
      <c r="V1666" t="s">
        <v>154</v>
      </c>
    </row>
    <row r="1667" spans="19:22" x14ac:dyDescent="0.25">
      <c r="S1667" t="s">
        <v>265</v>
      </c>
      <c r="T1667" t="s">
        <v>288</v>
      </c>
      <c r="U1667">
        <v>2.5615187139141717E-2</v>
      </c>
      <c r="V1667" t="s">
        <v>154</v>
      </c>
    </row>
    <row r="1668" spans="19:22" x14ac:dyDescent="0.25">
      <c r="S1668" t="s">
        <v>265</v>
      </c>
      <c r="T1668" t="s">
        <v>315</v>
      </c>
      <c r="U1668">
        <v>2.5797972294749266E-2</v>
      </c>
      <c r="V1668" t="s">
        <v>154</v>
      </c>
    </row>
    <row r="1669" spans="19:22" x14ac:dyDescent="0.25">
      <c r="S1669" t="s">
        <v>265</v>
      </c>
      <c r="T1669" t="s">
        <v>316</v>
      </c>
      <c r="U1669">
        <v>0.12657420051920595</v>
      </c>
      <c r="V1669" t="s">
        <v>154</v>
      </c>
    </row>
    <row r="1670" spans="19:22" x14ac:dyDescent="0.25">
      <c r="S1670" t="s">
        <v>265</v>
      </c>
      <c r="T1670" t="s">
        <v>163</v>
      </c>
      <c r="U1670">
        <v>1.3408550714569444E-2</v>
      </c>
      <c r="V1670" t="s">
        <v>154</v>
      </c>
    </row>
    <row r="1671" spans="19:22" x14ac:dyDescent="0.25">
      <c r="S1671" t="s">
        <v>265</v>
      </c>
      <c r="T1671" t="s">
        <v>164</v>
      </c>
      <c r="U1671">
        <v>3.8511587838098273E-3</v>
      </c>
      <c r="V1671" t="s">
        <v>154</v>
      </c>
    </row>
    <row r="1672" spans="19:22" x14ac:dyDescent="0.25">
      <c r="S1672" t="s">
        <v>265</v>
      </c>
      <c r="T1672" t="s">
        <v>165</v>
      </c>
      <c r="U1672">
        <v>1.9464985157876431E-3</v>
      </c>
      <c r="V1672" t="s">
        <v>154</v>
      </c>
    </row>
    <row r="1673" spans="19:22" x14ac:dyDescent="0.25">
      <c r="S1673" t="s">
        <v>265</v>
      </c>
      <c r="T1673" t="s">
        <v>289</v>
      </c>
      <c r="U1673">
        <v>1.3239872803305783E-2</v>
      </c>
      <c r="V1673" t="s">
        <v>154</v>
      </c>
    </row>
    <row r="1674" spans="19:22" x14ac:dyDescent="0.25">
      <c r="S1674" t="s">
        <v>265</v>
      </c>
      <c r="T1674" t="s">
        <v>290</v>
      </c>
      <c r="U1674">
        <v>1.8658352173488656E-3</v>
      </c>
      <c r="V1674" t="s">
        <v>154</v>
      </c>
    </row>
    <row r="1675" spans="19:22" x14ac:dyDescent="0.25">
      <c r="S1675" t="s">
        <v>265</v>
      </c>
      <c r="T1675" t="s">
        <v>317</v>
      </c>
      <c r="U1675">
        <v>1.862079634851128E-3</v>
      </c>
      <c r="V1675" t="s">
        <v>154</v>
      </c>
    </row>
    <row r="1676" spans="19:22" x14ac:dyDescent="0.25">
      <c r="S1676" t="s">
        <v>265</v>
      </c>
      <c r="T1676" t="s">
        <v>318</v>
      </c>
      <c r="U1676">
        <v>8.7794705327559498E-3</v>
      </c>
      <c r="V1676" t="s">
        <v>154</v>
      </c>
    </row>
    <row r="1677" spans="19:22" x14ac:dyDescent="0.25">
      <c r="S1677" t="s">
        <v>265</v>
      </c>
      <c r="T1677" t="s">
        <v>297</v>
      </c>
      <c r="U1677">
        <v>2.1635742445207325E-2</v>
      </c>
      <c r="V1677" t="s">
        <v>154</v>
      </c>
    </row>
    <row r="1678" spans="19:22" x14ac:dyDescent="0.25">
      <c r="S1678" t="s">
        <v>265</v>
      </c>
      <c r="T1678" t="s">
        <v>298</v>
      </c>
      <c r="U1678">
        <v>5.9277738499653992E-3</v>
      </c>
      <c r="V1678" t="s">
        <v>154</v>
      </c>
    </row>
    <row r="1679" spans="19:22" x14ac:dyDescent="0.25">
      <c r="S1679" t="s">
        <v>265</v>
      </c>
      <c r="T1679" t="s">
        <v>299</v>
      </c>
      <c r="U1679">
        <v>3.0246379291189035E-3</v>
      </c>
      <c r="V1679" t="s">
        <v>154</v>
      </c>
    </row>
    <row r="1680" spans="19:22" x14ac:dyDescent="0.25">
      <c r="S1680" t="s">
        <v>265</v>
      </c>
      <c r="T1680" t="s">
        <v>300</v>
      </c>
      <c r="U1680">
        <v>2.2402660144592659E-2</v>
      </c>
      <c r="V1680" t="s">
        <v>154</v>
      </c>
    </row>
    <row r="1681" spans="19:22" x14ac:dyDescent="0.25">
      <c r="S1681" t="s">
        <v>265</v>
      </c>
      <c r="T1681" t="s">
        <v>301</v>
      </c>
      <c r="U1681">
        <v>3.1035279384946379E-3</v>
      </c>
      <c r="V1681" t="s">
        <v>154</v>
      </c>
    </row>
    <row r="1682" spans="19:22" x14ac:dyDescent="0.25">
      <c r="S1682" t="s">
        <v>265</v>
      </c>
      <c r="T1682" t="s">
        <v>319</v>
      </c>
      <c r="U1682">
        <v>3.0878043790785251E-3</v>
      </c>
      <c r="V1682" t="s">
        <v>154</v>
      </c>
    </row>
    <row r="1683" spans="19:22" x14ac:dyDescent="0.25">
      <c r="S1683" t="s">
        <v>265</v>
      </c>
      <c r="T1683" t="s">
        <v>320</v>
      </c>
      <c r="U1683">
        <v>1.4807994545968249E-2</v>
      </c>
      <c r="V1683" t="s">
        <v>154</v>
      </c>
    </row>
    <row r="1684" spans="19:22" x14ac:dyDescent="0.25">
      <c r="S1684" t="s">
        <v>265</v>
      </c>
      <c r="T1684" t="s">
        <v>302</v>
      </c>
      <c r="U1684">
        <v>3.8347984168670586E-2</v>
      </c>
      <c r="V1684" t="s">
        <v>154</v>
      </c>
    </row>
    <row r="1685" spans="19:22" x14ac:dyDescent="0.25">
      <c r="S1685" t="s">
        <v>265</v>
      </c>
      <c r="T1685" t="s">
        <v>303</v>
      </c>
      <c r="U1685">
        <v>1.1358079937567279E-2</v>
      </c>
      <c r="V1685" t="s">
        <v>154</v>
      </c>
    </row>
    <row r="1686" spans="19:22" x14ac:dyDescent="0.25">
      <c r="S1686" t="s">
        <v>265</v>
      </c>
      <c r="T1686" t="s">
        <v>304</v>
      </c>
      <c r="U1686">
        <v>5.5736592330322375E-3</v>
      </c>
      <c r="V1686" t="s">
        <v>154</v>
      </c>
    </row>
    <row r="1687" spans="19:22" x14ac:dyDescent="0.25">
      <c r="S1687" t="s">
        <v>265</v>
      </c>
      <c r="T1687" t="s">
        <v>305</v>
      </c>
      <c r="U1687">
        <v>3.9912480855429776E-2</v>
      </c>
      <c r="V1687" t="s">
        <v>154</v>
      </c>
    </row>
    <row r="1688" spans="19:22" x14ac:dyDescent="0.25">
      <c r="S1688" t="s">
        <v>265</v>
      </c>
      <c r="T1688" t="s">
        <v>306</v>
      </c>
      <c r="U1688">
        <v>5.6570501837365835E-3</v>
      </c>
      <c r="V1688" t="s">
        <v>154</v>
      </c>
    </row>
    <row r="1689" spans="19:22" x14ac:dyDescent="0.25">
      <c r="S1689" t="s">
        <v>265</v>
      </c>
      <c r="T1689" t="s">
        <v>321</v>
      </c>
      <c r="U1689">
        <v>5.5646699931878821E-3</v>
      </c>
      <c r="V1689" t="s">
        <v>154</v>
      </c>
    </row>
    <row r="1690" spans="19:22" x14ac:dyDescent="0.25">
      <c r="S1690" t="s">
        <v>265</v>
      </c>
      <c r="T1690" t="s">
        <v>322</v>
      </c>
      <c r="U1690">
        <v>2.7463987441802944E-2</v>
      </c>
      <c r="V1690" t="s">
        <v>154</v>
      </c>
    </row>
    <row r="1691" spans="19:22" x14ac:dyDescent="0.25">
      <c r="S1691" t="s">
        <v>266</v>
      </c>
      <c r="T1691" t="s">
        <v>153</v>
      </c>
      <c r="U1691">
        <v>4.1219923185594066E-2</v>
      </c>
      <c r="V1691" t="s">
        <v>154</v>
      </c>
    </row>
    <row r="1692" spans="19:22" x14ac:dyDescent="0.25">
      <c r="S1692" t="s">
        <v>266</v>
      </c>
      <c r="T1692" t="s">
        <v>155</v>
      </c>
      <c r="U1692">
        <v>1.1450461059031742E-2</v>
      </c>
      <c r="V1692" t="s">
        <v>154</v>
      </c>
    </row>
    <row r="1693" spans="19:22" x14ac:dyDescent="0.25">
      <c r="S1693" t="s">
        <v>266</v>
      </c>
      <c r="T1693" t="s">
        <v>156</v>
      </c>
      <c r="U1693">
        <v>5.4861364580632401E-3</v>
      </c>
      <c r="V1693" t="s">
        <v>154</v>
      </c>
    </row>
    <row r="1694" spans="19:22" x14ac:dyDescent="0.25">
      <c r="S1694" t="s">
        <v>266</v>
      </c>
      <c r="T1694" t="s">
        <v>283</v>
      </c>
      <c r="U1694">
        <v>4.0885755676881977E-2</v>
      </c>
      <c r="V1694" t="s">
        <v>154</v>
      </c>
    </row>
    <row r="1695" spans="19:22" x14ac:dyDescent="0.25">
      <c r="S1695" t="s">
        <v>266</v>
      </c>
      <c r="T1695" t="s">
        <v>284</v>
      </c>
      <c r="U1695">
        <v>6.1602186202303422E-3</v>
      </c>
      <c r="V1695" t="s">
        <v>154</v>
      </c>
    </row>
    <row r="1696" spans="19:22" x14ac:dyDescent="0.25">
      <c r="S1696" t="s">
        <v>266</v>
      </c>
      <c r="T1696" t="s">
        <v>311</v>
      </c>
      <c r="U1696">
        <v>6.0966740093635619E-3</v>
      </c>
      <c r="V1696" t="s">
        <v>154</v>
      </c>
    </row>
    <row r="1697" spans="19:22" x14ac:dyDescent="0.25">
      <c r="S1697" t="s">
        <v>266</v>
      </c>
      <c r="T1697" t="s">
        <v>312</v>
      </c>
      <c r="U1697">
        <v>2.7645015331912926E-2</v>
      </c>
      <c r="V1697" t="s">
        <v>154</v>
      </c>
    </row>
    <row r="1698" spans="19:22" x14ac:dyDescent="0.25">
      <c r="S1698" t="s">
        <v>266</v>
      </c>
      <c r="T1698" t="s">
        <v>157</v>
      </c>
      <c r="U1698">
        <v>9.3220003434038336E-3</v>
      </c>
      <c r="V1698" t="s">
        <v>154</v>
      </c>
    </row>
    <row r="1699" spans="19:22" x14ac:dyDescent="0.25">
      <c r="S1699" t="s">
        <v>266</v>
      </c>
      <c r="T1699" t="s">
        <v>158</v>
      </c>
      <c r="U1699">
        <v>2.2118235099883509E-3</v>
      </c>
      <c r="V1699" t="s">
        <v>154</v>
      </c>
    </row>
    <row r="1700" spans="19:22" x14ac:dyDescent="0.25">
      <c r="S1700" t="s">
        <v>266</v>
      </c>
      <c r="T1700" t="s">
        <v>159</v>
      </c>
      <c r="U1700">
        <v>1.1742027562213352E-3</v>
      </c>
      <c r="V1700" t="s">
        <v>154</v>
      </c>
    </row>
    <row r="1701" spans="19:22" x14ac:dyDescent="0.25">
      <c r="S1701" t="s">
        <v>266</v>
      </c>
      <c r="T1701" t="s">
        <v>285</v>
      </c>
      <c r="U1701">
        <v>9.9340654120089623E-3</v>
      </c>
      <c r="V1701" t="s">
        <v>154</v>
      </c>
    </row>
    <row r="1702" spans="19:22" x14ac:dyDescent="0.25">
      <c r="S1702" t="s">
        <v>266</v>
      </c>
      <c r="T1702" t="s">
        <v>286</v>
      </c>
      <c r="U1702">
        <v>1.4732402311653245E-3</v>
      </c>
      <c r="V1702" t="s">
        <v>154</v>
      </c>
    </row>
    <row r="1703" spans="19:22" x14ac:dyDescent="0.25">
      <c r="S1703" t="s">
        <v>266</v>
      </c>
      <c r="T1703" t="s">
        <v>313</v>
      </c>
      <c r="U1703">
        <v>1.4573987963926987E-3</v>
      </c>
      <c r="V1703" t="s">
        <v>154</v>
      </c>
    </row>
    <row r="1704" spans="19:22" x14ac:dyDescent="0.25">
      <c r="S1704" t="s">
        <v>266</v>
      </c>
      <c r="T1704" t="s">
        <v>314</v>
      </c>
      <c r="U1704">
        <v>6.2786557083488719E-3</v>
      </c>
      <c r="V1704" t="s">
        <v>154</v>
      </c>
    </row>
    <row r="1705" spans="19:22" x14ac:dyDescent="0.25">
      <c r="S1705" t="s">
        <v>266</v>
      </c>
      <c r="T1705" t="s">
        <v>160</v>
      </c>
      <c r="U1705">
        <v>0.17504459037683215</v>
      </c>
      <c r="V1705" t="s">
        <v>154</v>
      </c>
    </row>
    <row r="1706" spans="19:22" x14ac:dyDescent="0.25">
      <c r="S1706" t="s">
        <v>266</v>
      </c>
      <c r="T1706" t="s">
        <v>161</v>
      </c>
      <c r="U1706">
        <v>4.5919899414572057E-2</v>
      </c>
      <c r="V1706" t="s">
        <v>154</v>
      </c>
    </row>
    <row r="1707" spans="19:22" x14ac:dyDescent="0.25">
      <c r="S1707" t="s">
        <v>266</v>
      </c>
      <c r="T1707" t="s">
        <v>162</v>
      </c>
      <c r="U1707">
        <v>2.2751955470711894E-2</v>
      </c>
      <c r="V1707" t="s">
        <v>154</v>
      </c>
    </row>
    <row r="1708" spans="19:22" x14ac:dyDescent="0.25">
      <c r="S1708" t="s">
        <v>266</v>
      </c>
      <c r="T1708" t="s">
        <v>287</v>
      </c>
      <c r="U1708">
        <v>0.16374201966102234</v>
      </c>
      <c r="V1708" t="s">
        <v>154</v>
      </c>
    </row>
    <row r="1709" spans="19:22" x14ac:dyDescent="0.25">
      <c r="S1709" t="s">
        <v>266</v>
      </c>
      <c r="T1709" t="s">
        <v>288</v>
      </c>
      <c r="U1709">
        <v>2.7016770176774601E-2</v>
      </c>
      <c r="V1709" t="s">
        <v>154</v>
      </c>
    </row>
    <row r="1710" spans="19:22" x14ac:dyDescent="0.25">
      <c r="S1710" t="s">
        <v>266</v>
      </c>
      <c r="T1710" t="s">
        <v>315</v>
      </c>
      <c r="U1710">
        <v>2.7560943772698982E-2</v>
      </c>
      <c r="V1710" t="s">
        <v>154</v>
      </c>
    </row>
    <row r="1711" spans="19:22" x14ac:dyDescent="0.25">
      <c r="S1711" t="s">
        <v>266</v>
      </c>
      <c r="T1711" t="s">
        <v>316</v>
      </c>
      <c r="U1711">
        <v>0.12391872844523356</v>
      </c>
      <c r="V1711" t="s">
        <v>154</v>
      </c>
    </row>
    <row r="1712" spans="19:22" x14ac:dyDescent="0.25">
      <c r="S1712" t="s">
        <v>266</v>
      </c>
      <c r="T1712" t="s">
        <v>163</v>
      </c>
      <c r="U1712">
        <v>1.1016617605884935E-2</v>
      </c>
      <c r="V1712" t="s">
        <v>154</v>
      </c>
    </row>
    <row r="1713" spans="19:22" x14ac:dyDescent="0.25">
      <c r="S1713" t="s">
        <v>266</v>
      </c>
      <c r="T1713" t="s">
        <v>164</v>
      </c>
      <c r="U1713">
        <v>2.5878170480730569E-3</v>
      </c>
      <c r="V1713" t="s">
        <v>154</v>
      </c>
    </row>
    <row r="1714" spans="19:22" x14ac:dyDescent="0.25">
      <c r="S1714" t="s">
        <v>266</v>
      </c>
      <c r="T1714" t="s">
        <v>165</v>
      </c>
      <c r="U1714">
        <v>1.3744251134183039E-3</v>
      </c>
      <c r="V1714" t="s">
        <v>154</v>
      </c>
    </row>
    <row r="1715" spans="19:22" x14ac:dyDescent="0.25">
      <c r="S1715" t="s">
        <v>266</v>
      </c>
      <c r="T1715" t="s">
        <v>289</v>
      </c>
      <c r="U1715">
        <v>1.0897893905293918E-2</v>
      </c>
      <c r="V1715" t="s">
        <v>154</v>
      </c>
    </row>
    <row r="1716" spans="19:22" x14ac:dyDescent="0.25">
      <c r="S1716" t="s">
        <v>266</v>
      </c>
      <c r="T1716" t="s">
        <v>290</v>
      </c>
      <c r="U1716">
        <v>1.8590485649949337E-3</v>
      </c>
      <c r="V1716" t="s">
        <v>154</v>
      </c>
    </row>
    <row r="1717" spans="19:22" x14ac:dyDescent="0.25">
      <c r="S1717" t="s">
        <v>266</v>
      </c>
      <c r="T1717" t="s">
        <v>317</v>
      </c>
      <c r="U1717">
        <v>1.9308280416484411E-3</v>
      </c>
      <c r="V1717" t="s">
        <v>154</v>
      </c>
    </row>
    <row r="1718" spans="19:22" x14ac:dyDescent="0.25">
      <c r="S1718" t="s">
        <v>266</v>
      </c>
      <c r="T1718" t="s">
        <v>318</v>
      </c>
      <c r="U1718">
        <v>7.8903283029423815E-3</v>
      </c>
      <c r="V1718" t="s">
        <v>154</v>
      </c>
    </row>
    <row r="1719" spans="19:22" x14ac:dyDescent="0.25">
      <c r="S1719" t="s">
        <v>266</v>
      </c>
      <c r="T1719" t="s">
        <v>297</v>
      </c>
      <c r="U1719">
        <v>2.4784837040264948E-2</v>
      </c>
      <c r="V1719" t="s">
        <v>154</v>
      </c>
    </row>
    <row r="1720" spans="19:22" x14ac:dyDescent="0.25">
      <c r="S1720" t="s">
        <v>266</v>
      </c>
      <c r="T1720" t="s">
        <v>298</v>
      </c>
      <c r="U1720">
        <v>5.6377831318041504E-3</v>
      </c>
      <c r="V1720" t="s">
        <v>154</v>
      </c>
    </row>
    <row r="1721" spans="19:22" x14ac:dyDescent="0.25">
      <c r="S1721" t="s">
        <v>266</v>
      </c>
      <c r="T1721" t="s">
        <v>299</v>
      </c>
      <c r="U1721">
        <v>2.5736500634791779E-3</v>
      </c>
      <c r="V1721" t="s">
        <v>154</v>
      </c>
    </row>
    <row r="1722" spans="19:22" x14ac:dyDescent="0.25">
      <c r="S1722" t="s">
        <v>266</v>
      </c>
      <c r="T1722" t="s">
        <v>300</v>
      </c>
      <c r="U1722">
        <v>1.6688724586320251E-2</v>
      </c>
      <c r="V1722" t="s">
        <v>154</v>
      </c>
    </row>
    <row r="1723" spans="19:22" x14ac:dyDescent="0.25">
      <c r="S1723" t="s">
        <v>266</v>
      </c>
      <c r="T1723" t="s">
        <v>301</v>
      </c>
      <c r="U1723">
        <v>2.3710101201923342E-3</v>
      </c>
      <c r="V1723" t="s">
        <v>154</v>
      </c>
    </row>
    <row r="1724" spans="19:22" x14ac:dyDescent="0.25">
      <c r="S1724" t="s">
        <v>266</v>
      </c>
      <c r="T1724" t="s">
        <v>319</v>
      </c>
      <c r="U1724">
        <v>2.5334147002357929E-3</v>
      </c>
      <c r="V1724" t="s">
        <v>154</v>
      </c>
    </row>
    <row r="1725" spans="19:22" x14ac:dyDescent="0.25">
      <c r="S1725" t="s">
        <v>266</v>
      </c>
      <c r="T1725" t="s">
        <v>320</v>
      </c>
      <c r="U1725">
        <v>1.3586691404719999E-2</v>
      </c>
      <c r="V1725" t="s">
        <v>154</v>
      </c>
    </row>
    <row r="1726" spans="19:22" x14ac:dyDescent="0.25">
      <c r="S1726" t="s">
        <v>266</v>
      </c>
      <c r="T1726" t="s">
        <v>302</v>
      </c>
      <c r="U1726">
        <v>4.3105773641259879E-2</v>
      </c>
      <c r="V1726" t="s">
        <v>154</v>
      </c>
    </row>
    <row r="1727" spans="19:22" x14ac:dyDescent="0.25">
      <c r="S1727" t="s">
        <v>266</v>
      </c>
      <c r="T1727" t="s">
        <v>303</v>
      </c>
      <c r="U1727">
        <v>1.0384648004651269E-2</v>
      </c>
      <c r="V1727" t="s">
        <v>154</v>
      </c>
    </row>
    <row r="1728" spans="19:22" x14ac:dyDescent="0.25">
      <c r="S1728" t="s">
        <v>266</v>
      </c>
      <c r="T1728" t="s">
        <v>304</v>
      </c>
      <c r="U1728">
        <v>5.2114677341193304E-3</v>
      </c>
      <c r="V1728" t="s">
        <v>154</v>
      </c>
    </row>
    <row r="1729" spans="19:22" x14ac:dyDescent="0.25">
      <c r="S1729" t="s">
        <v>266</v>
      </c>
      <c r="T1729" t="s">
        <v>305</v>
      </c>
      <c r="U1729">
        <v>3.8399825704087523E-2</v>
      </c>
      <c r="V1729" t="s">
        <v>154</v>
      </c>
    </row>
    <row r="1730" spans="19:22" x14ac:dyDescent="0.25">
      <c r="S1730" t="s">
        <v>266</v>
      </c>
      <c r="T1730" t="s">
        <v>306</v>
      </c>
      <c r="U1730">
        <v>5.7093962475527286E-3</v>
      </c>
      <c r="V1730" t="s">
        <v>154</v>
      </c>
    </row>
    <row r="1731" spans="19:22" x14ac:dyDescent="0.25">
      <c r="S1731" t="s">
        <v>266</v>
      </c>
      <c r="T1731" t="s">
        <v>321</v>
      </c>
      <c r="U1731">
        <v>5.8316943244498612E-3</v>
      </c>
      <c r="V1731" t="s">
        <v>154</v>
      </c>
    </row>
    <row r="1732" spans="19:22" x14ac:dyDescent="0.25">
      <c r="S1732" t="s">
        <v>266</v>
      </c>
      <c r="T1732" t="s">
        <v>322</v>
      </c>
      <c r="U1732">
        <v>2.8873646298158195E-2</v>
      </c>
      <c r="V1732" t="s">
        <v>154</v>
      </c>
    </row>
    <row r="1733" spans="19:22" x14ac:dyDescent="0.25">
      <c r="S1733" t="s">
        <v>267</v>
      </c>
      <c r="T1733" t="s">
        <v>153</v>
      </c>
      <c r="U1733">
        <v>4.1554316109571332E-2</v>
      </c>
      <c r="V1733" t="s">
        <v>154</v>
      </c>
    </row>
    <row r="1734" spans="19:22" x14ac:dyDescent="0.25">
      <c r="S1734" t="s">
        <v>267</v>
      </c>
      <c r="T1734" t="s">
        <v>155</v>
      </c>
      <c r="U1734">
        <v>1.0877673955504924E-2</v>
      </c>
      <c r="V1734" t="s">
        <v>154</v>
      </c>
    </row>
    <row r="1735" spans="19:22" x14ac:dyDescent="0.25">
      <c r="S1735" t="s">
        <v>267</v>
      </c>
      <c r="T1735" t="s">
        <v>156</v>
      </c>
      <c r="U1735">
        <v>5.3942057990129738E-3</v>
      </c>
      <c r="V1735" t="s">
        <v>154</v>
      </c>
    </row>
    <row r="1736" spans="19:22" x14ac:dyDescent="0.25">
      <c r="S1736" t="s">
        <v>267</v>
      </c>
      <c r="T1736" t="s">
        <v>283</v>
      </c>
      <c r="U1736">
        <v>4.3861190655353342E-2</v>
      </c>
      <c r="V1736" t="s">
        <v>154</v>
      </c>
    </row>
    <row r="1737" spans="19:22" x14ac:dyDescent="0.25">
      <c r="S1737" t="s">
        <v>267</v>
      </c>
      <c r="T1737" t="s">
        <v>284</v>
      </c>
      <c r="U1737">
        <v>6.3563944076754286E-3</v>
      </c>
      <c r="V1737" t="s">
        <v>154</v>
      </c>
    </row>
    <row r="1738" spans="19:22" x14ac:dyDescent="0.25">
      <c r="S1738" t="s">
        <v>267</v>
      </c>
      <c r="T1738" t="s">
        <v>311</v>
      </c>
      <c r="U1738">
        <v>6.1596948316757806E-3</v>
      </c>
      <c r="V1738" t="s">
        <v>154</v>
      </c>
    </row>
    <row r="1739" spans="19:22" x14ac:dyDescent="0.25">
      <c r="S1739" t="s">
        <v>267</v>
      </c>
      <c r="T1739" t="s">
        <v>312</v>
      </c>
      <c r="U1739">
        <v>2.6317707224449104E-2</v>
      </c>
      <c r="V1739" t="s">
        <v>154</v>
      </c>
    </row>
    <row r="1740" spans="19:22" x14ac:dyDescent="0.25">
      <c r="S1740" t="s">
        <v>267</v>
      </c>
      <c r="T1740" t="s">
        <v>157</v>
      </c>
      <c r="U1740">
        <v>8.9720565470490267E-3</v>
      </c>
      <c r="V1740" t="s">
        <v>154</v>
      </c>
    </row>
    <row r="1741" spans="19:22" x14ac:dyDescent="0.25">
      <c r="S1741" t="s">
        <v>267</v>
      </c>
      <c r="T1741" t="s">
        <v>158</v>
      </c>
      <c r="U1741">
        <v>2.0692439582041832E-3</v>
      </c>
      <c r="V1741" t="s">
        <v>154</v>
      </c>
    </row>
    <row r="1742" spans="19:22" x14ac:dyDescent="0.25">
      <c r="S1742" t="s">
        <v>267</v>
      </c>
      <c r="T1742" t="s">
        <v>159</v>
      </c>
      <c r="U1742">
        <v>1.2428676719217198E-3</v>
      </c>
      <c r="V1742" t="s">
        <v>154</v>
      </c>
    </row>
    <row r="1743" spans="19:22" x14ac:dyDescent="0.25">
      <c r="S1743" t="s">
        <v>267</v>
      </c>
      <c r="T1743" t="s">
        <v>285</v>
      </c>
      <c r="U1743">
        <v>1.0466381215453253E-2</v>
      </c>
      <c r="V1743" t="s">
        <v>154</v>
      </c>
    </row>
    <row r="1744" spans="19:22" x14ac:dyDescent="0.25">
      <c r="S1744" t="s">
        <v>267</v>
      </c>
      <c r="T1744" t="s">
        <v>286</v>
      </c>
      <c r="U1744">
        <v>1.5306320221590596E-3</v>
      </c>
      <c r="V1744" t="s">
        <v>154</v>
      </c>
    </row>
    <row r="1745" spans="19:22" x14ac:dyDescent="0.25">
      <c r="S1745" t="s">
        <v>267</v>
      </c>
      <c r="T1745" t="s">
        <v>313</v>
      </c>
      <c r="U1745">
        <v>1.4824935478313045E-3</v>
      </c>
      <c r="V1745" t="s">
        <v>154</v>
      </c>
    </row>
    <row r="1746" spans="19:22" x14ac:dyDescent="0.25">
      <c r="S1746" t="s">
        <v>267</v>
      </c>
      <c r="T1746" t="s">
        <v>314</v>
      </c>
      <c r="U1746">
        <v>5.931664422451086E-3</v>
      </c>
      <c r="V1746" t="s">
        <v>154</v>
      </c>
    </row>
    <row r="1747" spans="19:22" x14ac:dyDescent="0.25">
      <c r="S1747" t="s">
        <v>267</v>
      </c>
      <c r="T1747" t="s">
        <v>160</v>
      </c>
      <c r="U1747">
        <v>0.16652619048519149</v>
      </c>
      <c r="V1747" t="s">
        <v>154</v>
      </c>
    </row>
    <row r="1748" spans="19:22" x14ac:dyDescent="0.25">
      <c r="S1748" t="s">
        <v>267</v>
      </c>
      <c r="T1748" t="s">
        <v>161</v>
      </c>
      <c r="U1748">
        <v>4.1343039213653426E-2</v>
      </c>
      <c r="V1748" t="s">
        <v>154</v>
      </c>
    </row>
    <row r="1749" spans="19:22" x14ac:dyDescent="0.25">
      <c r="S1749" t="s">
        <v>267</v>
      </c>
      <c r="T1749" t="s">
        <v>162</v>
      </c>
      <c r="U1749">
        <v>2.201676404042811E-2</v>
      </c>
      <c r="V1749" t="s">
        <v>154</v>
      </c>
    </row>
    <row r="1750" spans="19:22" x14ac:dyDescent="0.25">
      <c r="S1750" t="s">
        <v>267</v>
      </c>
      <c r="T1750" t="s">
        <v>287</v>
      </c>
      <c r="U1750">
        <v>0.18213039848637444</v>
      </c>
      <c r="V1750" t="s">
        <v>154</v>
      </c>
    </row>
    <row r="1751" spans="19:22" x14ac:dyDescent="0.25">
      <c r="S1751" t="s">
        <v>267</v>
      </c>
      <c r="T1751" t="s">
        <v>288</v>
      </c>
      <c r="U1751">
        <v>2.8051721461067859E-2</v>
      </c>
      <c r="V1751" t="s">
        <v>154</v>
      </c>
    </row>
    <row r="1752" spans="19:22" x14ac:dyDescent="0.25">
      <c r="S1752" t="s">
        <v>267</v>
      </c>
      <c r="T1752" t="s">
        <v>315</v>
      </c>
      <c r="U1752">
        <v>2.7518623568676695E-2</v>
      </c>
      <c r="V1752" t="s">
        <v>154</v>
      </c>
    </row>
    <row r="1753" spans="19:22" x14ac:dyDescent="0.25">
      <c r="S1753" t="s">
        <v>267</v>
      </c>
      <c r="T1753" t="s">
        <v>316</v>
      </c>
      <c r="U1753">
        <v>0.11893279474998293</v>
      </c>
      <c r="V1753" t="s">
        <v>154</v>
      </c>
    </row>
    <row r="1754" spans="19:22" x14ac:dyDescent="0.25">
      <c r="S1754" t="s">
        <v>267</v>
      </c>
      <c r="T1754" t="s">
        <v>163</v>
      </c>
      <c r="U1754">
        <v>1.0742970242836495E-2</v>
      </c>
      <c r="V1754" t="s">
        <v>154</v>
      </c>
    </row>
    <row r="1755" spans="19:22" x14ac:dyDescent="0.25">
      <c r="S1755" t="s">
        <v>267</v>
      </c>
      <c r="T1755" t="s">
        <v>164</v>
      </c>
      <c r="U1755">
        <v>2.2474477577508105E-3</v>
      </c>
      <c r="V1755" t="s">
        <v>154</v>
      </c>
    </row>
    <row r="1756" spans="19:22" x14ac:dyDescent="0.25">
      <c r="S1756" t="s">
        <v>267</v>
      </c>
      <c r="T1756" t="s">
        <v>165</v>
      </c>
      <c r="U1756">
        <v>1.171476750430282E-3</v>
      </c>
      <c r="V1756" t="s">
        <v>154</v>
      </c>
    </row>
    <row r="1757" spans="19:22" x14ac:dyDescent="0.25">
      <c r="S1757" t="s">
        <v>267</v>
      </c>
      <c r="T1757" t="s">
        <v>289</v>
      </c>
      <c r="U1757">
        <v>9.5617779650931864E-3</v>
      </c>
      <c r="V1757" t="s">
        <v>154</v>
      </c>
    </row>
    <row r="1758" spans="19:22" x14ac:dyDescent="0.25">
      <c r="S1758" t="s">
        <v>267</v>
      </c>
      <c r="T1758" t="s">
        <v>290</v>
      </c>
      <c r="U1758">
        <v>1.7616827555801606E-3</v>
      </c>
      <c r="V1758" t="s">
        <v>154</v>
      </c>
    </row>
    <row r="1759" spans="19:22" x14ac:dyDescent="0.25">
      <c r="S1759" t="s">
        <v>267</v>
      </c>
      <c r="T1759" t="s">
        <v>317</v>
      </c>
      <c r="U1759">
        <v>1.8391016436239184E-3</v>
      </c>
      <c r="V1759" t="s">
        <v>154</v>
      </c>
    </row>
    <row r="1760" spans="19:22" x14ac:dyDescent="0.25">
      <c r="S1760" t="s">
        <v>267</v>
      </c>
      <c r="T1760" t="s">
        <v>318</v>
      </c>
      <c r="U1760">
        <v>7.5433915412333914E-3</v>
      </c>
      <c r="V1760" t="s">
        <v>154</v>
      </c>
    </row>
    <row r="1761" spans="19:22" x14ac:dyDescent="0.25">
      <c r="S1761" t="s">
        <v>267</v>
      </c>
      <c r="T1761" t="s">
        <v>297</v>
      </c>
      <c r="U1761">
        <v>2.4527818673599006E-2</v>
      </c>
      <c r="V1761" t="s">
        <v>154</v>
      </c>
    </row>
    <row r="1762" spans="19:22" x14ac:dyDescent="0.25">
      <c r="S1762" t="s">
        <v>267</v>
      </c>
      <c r="T1762" t="s">
        <v>298</v>
      </c>
      <c r="U1762">
        <v>4.9535587684481552E-3</v>
      </c>
      <c r="V1762" t="s">
        <v>154</v>
      </c>
    </row>
    <row r="1763" spans="19:22" x14ac:dyDescent="0.25">
      <c r="S1763" t="s">
        <v>267</v>
      </c>
      <c r="T1763" t="s">
        <v>299</v>
      </c>
      <c r="U1763">
        <v>2.3358027129858731E-3</v>
      </c>
      <c r="V1763" t="s">
        <v>154</v>
      </c>
    </row>
    <row r="1764" spans="19:22" x14ac:dyDescent="0.25">
      <c r="S1764" t="s">
        <v>267</v>
      </c>
      <c r="T1764" t="s">
        <v>300</v>
      </c>
      <c r="U1764">
        <v>1.702529938789293E-2</v>
      </c>
      <c r="V1764" t="s">
        <v>154</v>
      </c>
    </row>
    <row r="1765" spans="19:22" x14ac:dyDescent="0.25">
      <c r="S1765" t="s">
        <v>267</v>
      </c>
      <c r="T1765" t="s">
        <v>301</v>
      </c>
      <c r="U1765">
        <v>2.7447844542052647E-3</v>
      </c>
      <c r="V1765" t="s">
        <v>154</v>
      </c>
    </row>
    <row r="1766" spans="19:22" x14ac:dyDescent="0.25">
      <c r="S1766" t="s">
        <v>267</v>
      </c>
      <c r="T1766" t="s">
        <v>319</v>
      </c>
      <c r="U1766">
        <v>2.9721358434738158E-3</v>
      </c>
      <c r="V1766" t="s">
        <v>154</v>
      </c>
    </row>
    <row r="1767" spans="19:22" x14ac:dyDescent="0.25">
      <c r="S1767" t="s">
        <v>267</v>
      </c>
      <c r="T1767" t="s">
        <v>320</v>
      </c>
      <c r="U1767">
        <v>1.4652408040825675E-2</v>
      </c>
      <c r="V1767" t="s">
        <v>154</v>
      </c>
    </row>
    <row r="1768" spans="19:22" x14ac:dyDescent="0.25">
      <c r="S1768" t="s">
        <v>267</v>
      </c>
      <c r="T1768" t="s">
        <v>302</v>
      </c>
      <c r="U1768">
        <v>4.0285301785645503E-2</v>
      </c>
      <c r="V1768" t="s">
        <v>154</v>
      </c>
    </row>
    <row r="1769" spans="19:22" x14ac:dyDescent="0.25">
      <c r="S1769" t="s">
        <v>267</v>
      </c>
      <c r="T1769" t="s">
        <v>303</v>
      </c>
      <c r="U1769">
        <v>1.0032848861265143E-2</v>
      </c>
      <c r="V1769" t="s">
        <v>154</v>
      </c>
    </row>
    <row r="1770" spans="19:22" x14ac:dyDescent="0.25">
      <c r="S1770" t="s">
        <v>267</v>
      </c>
      <c r="T1770" t="s">
        <v>304</v>
      </c>
      <c r="U1770">
        <v>5.278060527507674E-3</v>
      </c>
      <c r="V1770" t="s">
        <v>154</v>
      </c>
    </row>
    <row r="1771" spans="19:22" x14ac:dyDescent="0.25">
      <c r="S1771" t="s">
        <v>267</v>
      </c>
      <c r="T1771" t="s">
        <v>305</v>
      </c>
      <c r="U1771">
        <v>3.9621520640786931E-2</v>
      </c>
      <c r="V1771" t="s">
        <v>154</v>
      </c>
    </row>
    <row r="1772" spans="19:22" x14ac:dyDescent="0.25">
      <c r="S1772" t="s">
        <v>267</v>
      </c>
      <c r="T1772" t="s">
        <v>306</v>
      </c>
      <c r="U1772">
        <v>5.8835173670723044E-3</v>
      </c>
      <c r="V1772" t="s">
        <v>154</v>
      </c>
    </row>
    <row r="1773" spans="19:22" x14ac:dyDescent="0.25">
      <c r="S1773" t="s">
        <v>267</v>
      </c>
      <c r="T1773" t="s">
        <v>321</v>
      </c>
      <c r="U1773">
        <v>6.0968345151352571E-3</v>
      </c>
      <c r="V1773" t="s">
        <v>154</v>
      </c>
    </row>
    <row r="1774" spans="19:22" x14ac:dyDescent="0.25">
      <c r="S1774" t="s">
        <v>267</v>
      </c>
      <c r="T1774" t="s">
        <v>322</v>
      </c>
      <c r="U1774">
        <v>2.9986205390926991E-2</v>
      </c>
      <c r="V1774" t="s">
        <v>154</v>
      </c>
    </row>
    <row r="1775" spans="19:22" x14ac:dyDescent="0.25">
      <c r="S1775" t="s">
        <v>268</v>
      </c>
      <c r="T1775" t="s">
        <v>153</v>
      </c>
      <c r="U1775">
        <v>4.2140635603783332E-2</v>
      </c>
      <c r="V1775" t="s">
        <v>154</v>
      </c>
    </row>
    <row r="1776" spans="19:22" x14ac:dyDescent="0.25">
      <c r="S1776" t="s">
        <v>268</v>
      </c>
      <c r="T1776" t="s">
        <v>155</v>
      </c>
      <c r="U1776">
        <v>1.1467607788073963E-2</v>
      </c>
      <c r="V1776" t="s">
        <v>154</v>
      </c>
    </row>
    <row r="1777" spans="19:22" x14ac:dyDescent="0.25">
      <c r="S1777" t="s">
        <v>268</v>
      </c>
      <c r="T1777" t="s">
        <v>156</v>
      </c>
      <c r="U1777">
        <v>5.3684469714875126E-3</v>
      </c>
      <c r="V1777" t="s">
        <v>154</v>
      </c>
    </row>
    <row r="1778" spans="19:22" x14ac:dyDescent="0.25">
      <c r="S1778" t="s">
        <v>268</v>
      </c>
      <c r="T1778" t="s">
        <v>283</v>
      </c>
      <c r="U1778">
        <v>3.5131221169991525E-2</v>
      </c>
      <c r="V1778" t="s">
        <v>154</v>
      </c>
    </row>
    <row r="1779" spans="19:22" x14ac:dyDescent="0.25">
      <c r="S1779" t="s">
        <v>268</v>
      </c>
      <c r="T1779" t="s">
        <v>284</v>
      </c>
      <c r="U1779">
        <v>5.4095290712831753E-3</v>
      </c>
      <c r="V1779" t="s">
        <v>154</v>
      </c>
    </row>
    <row r="1780" spans="19:22" x14ac:dyDescent="0.25">
      <c r="S1780" t="s">
        <v>268</v>
      </c>
      <c r="T1780" t="s">
        <v>311</v>
      </c>
      <c r="U1780">
        <v>5.577317716819314E-3</v>
      </c>
      <c r="V1780" t="s">
        <v>154</v>
      </c>
    </row>
    <row r="1781" spans="19:22" x14ac:dyDescent="0.25">
      <c r="S1781" t="s">
        <v>268</v>
      </c>
      <c r="T1781" t="s">
        <v>312</v>
      </c>
      <c r="U1781">
        <v>2.5785317765242271E-2</v>
      </c>
      <c r="V1781" t="s">
        <v>154</v>
      </c>
    </row>
    <row r="1782" spans="19:22" x14ac:dyDescent="0.25">
      <c r="S1782" t="s">
        <v>268</v>
      </c>
      <c r="T1782" t="s">
        <v>157</v>
      </c>
      <c r="U1782">
        <v>8.1539824132109556E-3</v>
      </c>
      <c r="V1782" t="s">
        <v>154</v>
      </c>
    </row>
    <row r="1783" spans="19:22" x14ac:dyDescent="0.25">
      <c r="S1783" t="s">
        <v>268</v>
      </c>
      <c r="T1783" t="s">
        <v>158</v>
      </c>
      <c r="U1783">
        <v>2.37676401686696E-3</v>
      </c>
      <c r="V1783" t="s">
        <v>154</v>
      </c>
    </row>
    <row r="1784" spans="19:22" x14ac:dyDescent="0.25">
      <c r="S1784" t="s">
        <v>268</v>
      </c>
      <c r="T1784" t="s">
        <v>159</v>
      </c>
      <c r="U1784">
        <v>1.1887567240005052E-3</v>
      </c>
      <c r="V1784" t="s">
        <v>154</v>
      </c>
    </row>
    <row r="1785" spans="19:22" x14ac:dyDescent="0.25">
      <c r="S1785" t="s">
        <v>268</v>
      </c>
      <c r="T1785" t="s">
        <v>285</v>
      </c>
      <c r="U1785">
        <v>1.0243181166762837E-2</v>
      </c>
      <c r="V1785" t="s">
        <v>154</v>
      </c>
    </row>
    <row r="1786" spans="19:22" x14ac:dyDescent="0.25">
      <c r="S1786" t="s">
        <v>268</v>
      </c>
      <c r="T1786" t="s">
        <v>286</v>
      </c>
      <c r="U1786">
        <v>1.7116940793447315E-3</v>
      </c>
      <c r="V1786" t="s">
        <v>154</v>
      </c>
    </row>
    <row r="1787" spans="19:22" x14ac:dyDescent="0.25">
      <c r="S1787" t="s">
        <v>268</v>
      </c>
      <c r="T1787" t="s">
        <v>313</v>
      </c>
      <c r="U1787">
        <v>1.6993974894199356E-3</v>
      </c>
      <c r="V1787" t="s">
        <v>154</v>
      </c>
    </row>
    <row r="1788" spans="19:22" x14ac:dyDescent="0.25">
      <c r="S1788" t="s">
        <v>268</v>
      </c>
      <c r="T1788" t="s">
        <v>314</v>
      </c>
      <c r="U1788">
        <v>6.9949570540777904E-3</v>
      </c>
      <c r="V1788" t="s">
        <v>154</v>
      </c>
    </row>
    <row r="1789" spans="19:22" x14ac:dyDescent="0.25">
      <c r="S1789" t="s">
        <v>268</v>
      </c>
      <c r="T1789" t="s">
        <v>160</v>
      </c>
      <c r="U1789">
        <v>0.18059169684525025</v>
      </c>
      <c r="V1789" t="s">
        <v>154</v>
      </c>
    </row>
    <row r="1790" spans="19:22" x14ac:dyDescent="0.25">
      <c r="S1790" t="s">
        <v>268</v>
      </c>
      <c r="T1790" t="s">
        <v>161</v>
      </c>
      <c r="U1790">
        <v>4.6112333064223451E-2</v>
      </c>
      <c r="V1790" t="s">
        <v>154</v>
      </c>
    </row>
    <row r="1791" spans="19:22" x14ac:dyDescent="0.25">
      <c r="S1791" t="s">
        <v>268</v>
      </c>
      <c r="T1791" t="s">
        <v>162</v>
      </c>
      <c r="U1791">
        <v>2.218908164941823E-2</v>
      </c>
      <c r="V1791" t="s">
        <v>154</v>
      </c>
    </row>
    <row r="1792" spans="19:22" x14ac:dyDescent="0.25">
      <c r="S1792" t="s">
        <v>268</v>
      </c>
      <c r="T1792" t="s">
        <v>287</v>
      </c>
      <c r="U1792">
        <v>0.16965097476831822</v>
      </c>
      <c r="V1792" t="s">
        <v>154</v>
      </c>
    </row>
    <row r="1793" spans="19:22" x14ac:dyDescent="0.25">
      <c r="S1793" t="s">
        <v>268</v>
      </c>
      <c r="T1793" t="s">
        <v>288</v>
      </c>
      <c r="U1793">
        <v>2.8889818996688493E-2</v>
      </c>
      <c r="V1793" t="s">
        <v>154</v>
      </c>
    </row>
    <row r="1794" spans="19:22" x14ac:dyDescent="0.25">
      <c r="S1794" t="s">
        <v>268</v>
      </c>
      <c r="T1794" t="s">
        <v>315</v>
      </c>
      <c r="U1794">
        <v>2.9676158850602447E-2</v>
      </c>
      <c r="V1794" t="s">
        <v>154</v>
      </c>
    </row>
    <row r="1795" spans="19:22" x14ac:dyDescent="0.25">
      <c r="S1795" t="s">
        <v>268</v>
      </c>
      <c r="T1795" t="s">
        <v>316</v>
      </c>
      <c r="U1795">
        <v>0.13074787324545786</v>
      </c>
      <c r="V1795" t="s">
        <v>154</v>
      </c>
    </row>
    <row r="1796" spans="19:22" x14ac:dyDescent="0.25">
      <c r="S1796" t="s">
        <v>268</v>
      </c>
      <c r="T1796" t="s">
        <v>163</v>
      </c>
      <c r="U1796">
        <v>1.2265378826611557E-2</v>
      </c>
      <c r="V1796" t="s">
        <v>154</v>
      </c>
    </row>
    <row r="1797" spans="19:22" x14ac:dyDescent="0.25">
      <c r="S1797" t="s">
        <v>268</v>
      </c>
      <c r="T1797" t="s">
        <v>164</v>
      </c>
      <c r="U1797">
        <v>2.7945985882142032E-3</v>
      </c>
      <c r="V1797" t="s">
        <v>154</v>
      </c>
    </row>
    <row r="1798" spans="19:22" x14ac:dyDescent="0.25">
      <c r="S1798" t="s">
        <v>268</v>
      </c>
      <c r="T1798" t="s">
        <v>165</v>
      </c>
      <c r="U1798">
        <v>1.4692733506622435E-3</v>
      </c>
      <c r="V1798" t="s">
        <v>154</v>
      </c>
    </row>
    <row r="1799" spans="19:22" x14ac:dyDescent="0.25">
      <c r="S1799" t="s">
        <v>268</v>
      </c>
      <c r="T1799" t="s">
        <v>289</v>
      </c>
      <c r="U1799">
        <v>1.0988112215530898E-2</v>
      </c>
      <c r="V1799" t="s">
        <v>154</v>
      </c>
    </row>
    <row r="1800" spans="19:22" x14ac:dyDescent="0.25">
      <c r="S1800" t="s">
        <v>268</v>
      </c>
      <c r="T1800" t="s">
        <v>290</v>
      </c>
      <c r="U1800">
        <v>1.6428617388525725E-3</v>
      </c>
      <c r="V1800" t="s">
        <v>154</v>
      </c>
    </row>
    <row r="1801" spans="19:22" x14ac:dyDescent="0.25">
      <c r="S1801" t="s">
        <v>268</v>
      </c>
      <c r="T1801" t="s">
        <v>317</v>
      </c>
      <c r="U1801">
        <v>1.6478898165062643E-3</v>
      </c>
      <c r="V1801" t="s">
        <v>154</v>
      </c>
    </row>
    <row r="1802" spans="19:22" x14ac:dyDescent="0.25">
      <c r="S1802" t="s">
        <v>268</v>
      </c>
      <c r="T1802" t="s">
        <v>318</v>
      </c>
      <c r="U1802">
        <v>6.7266893142246976E-3</v>
      </c>
      <c r="V1802" t="s">
        <v>154</v>
      </c>
    </row>
    <row r="1803" spans="19:22" x14ac:dyDescent="0.25">
      <c r="S1803" t="s">
        <v>268</v>
      </c>
      <c r="T1803" t="s">
        <v>297</v>
      </c>
      <c r="U1803">
        <v>2.3142440957647736E-2</v>
      </c>
      <c r="V1803" t="s">
        <v>154</v>
      </c>
    </row>
    <row r="1804" spans="19:22" x14ac:dyDescent="0.25">
      <c r="S1804" t="s">
        <v>268</v>
      </c>
      <c r="T1804" t="s">
        <v>298</v>
      </c>
      <c r="U1804">
        <v>5.4620374383449908E-3</v>
      </c>
      <c r="V1804" t="s">
        <v>154</v>
      </c>
    </row>
    <row r="1805" spans="19:22" x14ac:dyDescent="0.25">
      <c r="S1805" t="s">
        <v>268</v>
      </c>
      <c r="T1805" t="s">
        <v>299</v>
      </c>
      <c r="U1805">
        <v>2.4319035367380538E-3</v>
      </c>
      <c r="V1805" t="s">
        <v>154</v>
      </c>
    </row>
    <row r="1806" spans="19:22" x14ac:dyDescent="0.25">
      <c r="S1806" t="s">
        <v>268</v>
      </c>
      <c r="T1806" t="s">
        <v>300</v>
      </c>
      <c r="U1806">
        <v>1.6415679617602368E-2</v>
      </c>
      <c r="V1806" t="s">
        <v>154</v>
      </c>
    </row>
    <row r="1807" spans="19:22" x14ac:dyDescent="0.25">
      <c r="S1807" t="s">
        <v>268</v>
      </c>
      <c r="T1807" t="s">
        <v>301</v>
      </c>
      <c r="U1807">
        <v>2.3121276161371749E-3</v>
      </c>
      <c r="V1807" t="s">
        <v>154</v>
      </c>
    </row>
    <row r="1808" spans="19:22" x14ac:dyDescent="0.25">
      <c r="S1808" t="s">
        <v>268</v>
      </c>
      <c r="T1808" t="s">
        <v>319</v>
      </c>
      <c r="U1808">
        <v>2.4067648862530055E-3</v>
      </c>
      <c r="V1808" t="s">
        <v>154</v>
      </c>
    </row>
    <row r="1809" spans="19:22" x14ac:dyDescent="0.25">
      <c r="S1809" t="s">
        <v>268</v>
      </c>
      <c r="T1809" t="s">
        <v>320</v>
      </c>
      <c r="U1809">
        <v>1.2552140344577103E-2</v>
      </c>
      <c r="V1809" t="s">
        <v>154</v>
      </c>
    </row>
    <row r="1810" spans="19:22" x14ac:dyDescent="0.25">
      <c r="S1810" t="s">
        <v>268</v>
      </c>
      <c r="T1810" t="s">
        <v>302</v>
      </c>
      <c r="U1810">
        <v>3.9816830452296878E-2</v>
      </c>
      <c r="V1810" t="s">
        <v>154</v>
      </c>
    </row>
    <row r="1811" spans="19:22" x14ac:dyDescent="0.25">
      <c r="S1811" t="s">
        <v>268</v>
      </c>
      <c r="T1811" t="s">
        <v>303</v>
      </c>
      <c r="U1811">
        <v>1.0368324873545644E-2</v>
      </c>
      <c r="V1811" t="s">
        <v>154</v>
      </c>
    </row>
    <row r="1812" spans="19:22" x14ac:dyDescent="0.25">
      <c r="S1812" t="s">
        <v>268</v>
      </c>
      <c r="T1812" t="s">
        <v>304</v>
      </c>
      <c r="U1812">
        <v>4.8849813697955441E-3</v>
      </c>
      <c r="V1812" t="s">
        <v>154</v>
      </c>
    </row>
    <row r="1813" spans="19:22" x14ac:dyDescent="0.25">
      <c r="S1813" t="s">
        <v>268</v>
      </c>
      <c r="T1813" t="s">
        <v>305</v>
      </c>
      <c r="U1813">
        <v>3.3264584195264436E-2</v>
      </c>
      <c r="V1813" t="s">
        <v>154</v>
      </c>
    </row>
    <row r="1814" spans="19:22" x14ac:dyDescent="0.25">
      <c r="S1814" t="s">
        <v>268</v>
      </c>
      <c r="T1814" t="s">
        <v>306</v>
      </c>
      <c r="U1814">
        <v>5.1465791270765057E-3</v>
      </c>
      <c r="V1814" t="s">
        <v>154</v>
      </c>
    </row>
    <row r="1815" spans="19:22" x14ac:dyDescent="0.25">
      <c r="S1815" t="s">
        <v>268</v>
      </c>
      <c r="T1815" t="s">
        <v>321</v>
      </c>
      <c r="U1815">
        <v>5.4489804644763844E-3</v>
      </c>
      <c r="V1815" t="s">
        <v>154</v>
      </c>
    </row>
    <row r="1816" spans="19:22" x14ac:dyDescent="0.25">
      <c r="S1816" t="s">
        <v>268</v>
      </c>
      <c r="T1816" t="s">
        <v>322</v>
      </c>
      <c r="U1816">
        <v>2.7705074819318404E-2</v>
      </c>
      <c r="V1816" t="s">
        <v>154</v>
      </c>
    </row>
    <row r="1817" spans="19:22" x14ac:dyDescent="0.25">
      <c r="S1817" t="s">
        <v>269</v>
      </c>
      <c r="T1817" t="s">
        <v>153</v>
      </c>
      <c r="U1817">
        <v>3.6192673932276216E-2</v>
      </c>
      <c r="V1817" t="s">
        <v>154</v>
      </c>
    </row>
    <row r="1818" spans="19:22" x14ac:dyDescent="0.25">
      <c r="S1818" t="s">
        <v>269</v>
      </c>
      <c r="T1818" t="s">
        <v>155</v>
      </c>
      <c r="U1818">
        <v>9.9254733593268536E-3</v>
      </c>
      <c r="V1818" t="s">
        <v>154</v>
      </c>
    </row>
    <row r="1819" spans="19:22" x14ac:dyDescent="0.25">
      <c r="S1819" t="s">
        <v>269</v>
      </c>
      <c r="T1819" t="s">
        <v>156</v>
      </c>
      <c r="U1819">
        <v>4.6310565062120338E-3</v>
      </c>
      <c r="V1819" t="s">
        <v>154</v>
      </c>
    </row>
    <row r="1820" spans="19:22" x14ac:dyDescent="0.25">
      <c r="S1820" t="s">
        <v>269</v>
      </c>
      <c r="T1820" t="s">
        <v>283</v>
      </c>
      <c r="U1820">
        <v>2.6345196150377847E-2</v>
      </c>
      <c r="V1820" t="s">
        <v>154</v>
      </c>
    </row>
    <row r="1821" spans="19:22" x14ac:dyDescent="0.25">
      <c r="S1821" t="s">
        <v>269</v>
      </c>
      <c r="T1821" t="s">
        <v>284</v>
      </c>
      <c r="U1821">
        <v>3.5122992326171248E-3</v>
      </c>
      <c r="V1821" t="s">
        <v>154</v>
      </c>
    </row>
    <row r="1822" spans="19:22" x14ac:dyDescent="0.25">
      <c r="S1822" t="s">
        <v>269</v>
      </c>
      <c r="T1822" t="s">
        <v>311</v>
      </c>
      <c r="U1822">
        <v>3.7899724420993102E-3</v>
      </c>
      <c r="V1822" t="s">
        <v>154</v>
      </c>
    </row>
    <row r="1823" spans="19:22" x14ac:dyDescent="0.25">
      <c r="S1823" t="s">
        <v>269</v>
      </c>
      <c r="T1823" t="s">
        <v>312</v>
      </c>
      <c r="U1823">
        <v>1.9008184269067925E-2</v>
      </c>
      <c r="V1823" t="s">
        <v>154</v>
      </c>
    </row>
    <row r="1824" spans="19:22" x14ac:dyDescent="0.25">
      <c r="S1824" t="s">
        <v>269</v>
      </c>
      <c r="T1824" t="s">
        <v>157</v>
      </c>
      <c r="U1824">
        <v>7.8699202641936625E-3</v>
      </c>
      <c r="V1824" t="s">
        <v>154</v>
      </c>
    </row>
    <row r="1825" spans="19:22" x14ac:dyDescent="0.25">
      <c r="S1825" t="s">
        <v>269</v>
      </c>
      <c r="T1825" t="s">
        <v>158</v>
      </c>
      <c r="U1825">
        <v>2.0411262364429601E-3</v>
      </c>
      <c r="V1825" t="s">
        <v>154</v>
      </c>
    </row>
    <row r="1826" spans="19:22" x14ac:dyDescent="0.25">
      <c r="S1826" t="s">
        <v>269</v>
      </c>
      <c r="T1826" t="s">
        <v>159</v>
      </c>
      <c r="U1826">
        <v>1.1039322698629124E-3</v>
      </c>
      <c r="V1826" t="s">
        <v>154</v>
      </c>
    </row>
    <row r="1827" spans="19:22" x14ac:dyDescent="0.25">
      <c r="S1827" t="s">
        <v>269</v>
      </c>
      <c r="T1827" t="s">
        <v>285</v>
      </c>
      <c r="U1827">
        <v>7.7225738375001751E-3</v>
      </c>
      <c r="V1827" t="s">
        <v>154</v>
      </c>
    </row>
    <row r="1828" spans="19:22" x14ac:dyDescent="0.25">
      <c r="S1828" t="s">
        <v>269</v>
      </c>
      <c r="T1828" t="s">
        <v>286</v>
      </c>
      <c r="U1828">
        <v>1.4140659861514721E-3</v>
      </c>
      <c r="V1828" t="s">
        <v>154</v>
      </c>
    </row>
    <row r="1829" spans="19:22" x14ac:dyDescent="0.25">
      <c r="S1829" t="s">
        <v>269</v>
      </c>
      <c r="T1829" t="s">
        <v>313</v>
      </c>
      <c r="U1829">
        <v>1.5706451659633436E-3</v>
      </c>
      <c r="V1829" t="s">
        <v>154</v>
      </c>
    </row>
    <row r="1830" spans="19:22" x14ac:dyDescent="0.25">
      <c r="S1830" t="s">
        <v>269</v>
      </c>
      <c r="T1830" t="s">
        <v>314</v>
      </c>
      <c r="U1830">
        <v>6.6121581454485281E-3</v>
      </c>
      <c r="V1830" t="s">
        <v>154</v>
      </c>
    </row>
    <row r="1831" spans="19:22" x14ac:dyDescent="0.25">
      <c r="S1831" t="s">
        <v>269</v>
      </c>
      <c r="T1831" t="s">
        <v>160</v>
      </c>
      <c r="U1831">
        <v>0.19794969303506713</v>
      </c>
      <c r="V1831" t="s">
        <v>154</v>
      </c>
    </row>
    <row r="1832" spans="19:22" x14ac:dyDescent="0.25">
      <c r="S1832" t="s">
        <v>269</v>
      </c>
      <c r="T1832" t="s">
        <v>161</v>
      </c>
      <c r="U1832">
        <v>4.8601127734488096E-2</v>
      </c>
      <c r="V1832" t="s">
        <v>154</v>
      </c>
    </row>
    <row r="1833" spans="19:22" x14ac:dyDescent="0.25">
      <c r="S1833" t="s">
        <v>269</v>
      </c>
      <c r="T1833" t="s">
        <v>162</v>
      </c>
      <c r="U1833">
        <v>2.409482692271327E-2</v>
      </c>
      <c r="V1833" t="s">
        <v>154</v>
      </c>
    </row>
    <row r="1834" spans="19:22" x14ac:dyDescent="0.25">
      <c r="S1834" t="s">
        <v>269</v>
      </c>
      <c r="T1834" t="s">
        <v>287</v>
      </c>
      <c r="U1834">
        <v>0.17436901075488048</v>
      </c>
      <c r="V1834" t="s">
        <v>154</v>
      </c>
    </row>
    <row r="1835" spans="19:22" x14ac:dyDescent="0.25">
      <c r="S1835" t="s">
        <v>269</v>
      </c>
      <c r="T1835" t="s">
        <v>288</v>
      </c>
      <c r="U1835">
        <v>2.7808890652249462E-2</v>
      </c>
      <c r="V1835" t="s">
        <v>154</v>
      </c>
    </row>
    <row r="1836" spans="19:22" x14ac:dyDescent="0.25">
      <c r="S1836" t="s">
        <v>269</v>
      </c>
      <c r="T1836" t="s">
        <v>315</v>
      </c>
      <c r="U1836">
        <v>2.8664671359921574E-2</v>
      </c>
      <c r="V1836" t="s">
        <v>154</v>
      </c>
    </row>
    <row r="1837" spans="19:22" x14ac:dyDescent="0.25">
      <c r="S1837" t="s">
        <v>269</v>
      </c>
      <c r="T1837" t="s">
        <v>316</v>
      </c>
      <c r="U1837">
        <v>0.13910694162517726</v>
      </c>
      <c r="V1837" t="s">
        <v>154</v>
      </c>
    </row>
    <row r="1838" spans="19:22" x14ac:dyDescent="0.25">
      <c r="S1838" t="s">
        <v>269</v>
      </c>
      <c r="T1838" t="s">
        <v>163</v>
      </c>
      <c r="U1838">
        <v>1.3368177957368462E-2</v>
      </c>
      <c r="V1838" t="s">
        <v>154</v>
      </c>
    </row>
    <row r="1839" spans="19:22" x14ac:dyDescent="0.25">
      <c r="S1839" t="s">
        <v>269</v>
      </c>
      <c r="T1839" t="s">
        <v>164</v>
      </c>
      <c r="U1839">
        <v>3.4733393593655757E-3</v>
      </c>
      <c r="V1839" t="s">
        <v>154</v>
      </c>
    </row>
    <row r="1840" spans="19:22" x14ac:dyDescent="0.25">
      <c r="S1840" t="s">
        <v>269</v>
      </c>
      <c r="T1840" t="s">
        <v>165</v>
      </c>
      <c r="U1840">
        <v>1.8495822645265391E-3</v>
      </c>
      <c r="V1840" t="s">
        <v>154</v>
      </c>
    </row>
    <row r="1841" spans="19:22" x14ac:dyDescent="0.25">
      <c r="S1841" t="s">
        <v>269</v>
      </c>
      <c r="T1841" t="s">
        <v>289</v>
      </c>
      <c r="U1841">
        <v>1.2164583532817262E-2</v>
      </c>
      <c r="V1841" t="s">
        <v>154</v>
      </c>
    </row>
    <row r="1842" spans="19:22" x14ac:dyDescent="0.25">
      <c r="S1842" t="s">
        <v>269</v>
      </c>
      <c r="T1842" t="s">
        <v>290</v>
      </c>
      <c r="U1842">
        <v>1.5320768590396537E-3</v>
      </c>
      <c r="V1842" t="s">
        <v>154</v>
      </c>
    </row>
    <row r="1843" spans="19:22" x14ac:dyDescent="0.25">
      <c r="S1843" t="s">
        <v>269</v>
      </c>
      <c r="T1843" t="s">
        <v>317</v>
      </c>
      <c r="U1843">
        <v>1.6174161309797602E-3</v>
      </c>
      <c r="V1843" t="s">
        <v>154</v>
      </c>
    </row>
    <row r="1844" spans="19:22" x14ac:dyDescent="0.25">
      <c r="S1844" t="s">
        <v>269</v>
      </c>
      <c r="T1844" t="s">
        <v>318</v>
      </c>
      <c r="U1844">
        <v>6.4606878009485155E-3</v>
      </c>
      <c r="V1844" t="s">
        <v>154</v>
      </c>
    </row>
    <row r="1845" spans="19:22" x14ac:dyDescent="0.25">
      <c r="S1845" t="s">
        <v>269</v>
      </c>
      <c r="T1845" t="s">
        <v>297</v>
      </c>
      <c r="U1845">
        <v>2.163166665318951E-2</v>
      </c>
      <c r="V1845" t="s">
        <v>154</v>
      </c>
    </row>
    <row r="1846" spans="19:22" x14ac:dyDescent="0.25">
      <c r="S1846" t="s">
        <v>269</v>
      </c>
      <c r="T1846" t="s">
        <v>298</v>
      </c>
      <c r="U1846">
        <v>5.4366848220766774E-3</v>
      </c>
      <c r="V1846" t="s">
        <v>154</v>
      </c>
    </row>
    <row r="1847" spans="19:22" x14ac:dyDescent="0.25">
      <c r="S1847" t="s">
        <v>269</v>
      </c>
      <c r="T1847" t="s">
        <v>299</v>
      </c>
      <c r="U1847">
        <v>2.6631847047929656E-3</v>
      </c>
      <c r="V1847" t="s">
        <v>154</v>
      </c>
    </row>
    <row r="1848" spans="19:22" x14ac:dyDescent="0.25">
      <c r="S1848" t="s">
        <v>269</v>
      </c>
      <c r="T1848" t="s">
        <v>300</v>
      </c>
      <c r="U1848">
        <v>1.8095764137474529E-2</v>
      </c>
      <c r="V1848" t="s">
        <v>154</v>
      </c>
    </row>
    <row r="1849" spans="19:22" x14ac:dyDescent="0.25">
      <c r="S1849" t="s">
        <v>269</v>
      </c>
      <c r="T1849" t="s">
        <v>301</v>
      </c>
      <c r="U1849">
        <v>2.800692904689418E-3</v>
      </c>
      <c r="V1849" t="s">
        <v>154</v>
      </c>
    </row>
    <row r="1850" spans="19:22" x14ac:dyDescent="0.25">
      <c r="S1850" t="s">
        <v>269</v>
      </c>
      <c r="T1850" t="s">
        <v>319</v>
      </c>
      <c r="U1850">
        <v>2.8346466236123108E-3</v>
      </c>
      <c r="V1850" t="s">
        <v>154</v>
      </c>
    </row>
    <row r="1851" spans="19:22" x14ac:dyDescent="0.25">
      <c r="S1851" t="s">
        <v>269</v>
      </c>
      <c r="T1851" t="s">
        <v>320</v>
      </c>
      <c r="U1851">
        <v>1.3538839664603246E-2</v>
      </c>
      <c r="V1851" t="s">
        <v>154</v>
      </c>
    </row>
    <row r="1852" spans="19:22" x14ac:dyDescent="0.25">
      <c r="S1852" t="s">
        <v>269</v>
      </c>
      <c r="T1852" t="s">
        <v>302</v>
      </c>
      <c r="U1852">
        <v>3.5780380446441724E-2</v>
      </c>
      <c r="V1852" t="s">
        <v>154</v>
      </c>
    </row>
    <row r="1853" spans="19:22" x14ac:dyDescent="0.25">
      <c r="S1853" t="s">
        <v>269</v>
      </c>
      <c r="T1853" t="s">
        <v>303</v>
      </c>
      <c r="U1853">
        <v>1.0383277098556187E-2</v>
      </c>
      <c r="V1853" t="s">
        <v>154</v>
      </c>
    </row>
    <row r="1854" spans="19:22" x14ac:dyDescent="0.25">
      <c r="S1854" t="s">
        <v>269</v>
      </c>
      <c r="T1854" t="s">
        <v>304</v>
      </c>
      <c r="U1854">
        <v>4.9915202715699941E-3</v>
      </c>
      <c r="V1854" t="s">
        <v>154</v>
      </c>
    </row>
    <row r="1855" spans="19:22" x14ac:dyDescent="0.25">
      <c r="S1855" t="s">
        <v>269</v>
      </c>
      <c r="T1855" t="s">
        <v>305</v>
      </c>
      <c r="U1855">
        <v>3.3970136505161556E-2</v>
      </c>
      <c r="V1855" t="s">
        <v>154</v>
      </c>
    </row>
    <row r="1856" spans="19:22" x14ac:dyDescent="0.25">
      <c r="S1856" t="s">
        <v>269</v>
      </c>
      <c r="T1856" t="s">
        <v>306</v>
      </c>
      <c r="U1856">
        <v>4.9102429586246228E-3</v>
      </c>
      <c r="V1856" t="s">
        <v>154</v>
      </c>
    </row>
    <row r="1857" spans="19:22" x14ac:dyDescent="0.25">
      <c r="S1857" t="s">
        <v>269</v>
      </c>
      <c r="T1857" t="s">
        <v>321</v>
      </c>
      <c r="U1857">
        <v>4.9118311494380272E-3</v>
      </c>
      <c r="V1857" t="s">
        <v>154</v>
      </c>
    </row>
    <row r="1858" spans="19:22" x14ac:dyDescent="0.25">
      <c r="S1858" t="s">
        <v>269</v>
      </c>
      <c r="T1858" t="s">
        <v>322</v>
      </c>
      <c r="U1858">
        <v>2.5250828272682563E-2</v>
      </c>
      <c r="V1858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3B97-E538-424D-A94B-C941D6CC1E9D}">
  <dimension ref="A9:AN5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25">
      <c r="A10" t="s">
        <v>104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151</v>
      </c>
      <c r="L10" t="s">
        <v>30</v>
      </c>
      <c r="N10" t="s">
        <v>13</v>
      </c>
      <c r="O10" t="s">
        <v>116</v>
      </c>
      <c r="P10" t="s">
        <v>151</v>
      </c>
      <c r="Q10" t="s">
        <v>30</v>
      </c>
      <c r="S10" t="s">
        <v>13</v>
      </c>
      <c r="T10" t="s">
        <v>116</v>
      </c>
      <c r="U10" t="s">
        <v>151</v>
      </c>
      <c r="V10" t="s">
        <v>30</v>
      </c>
      <c r="X10" t="s">
        <v>270</v>
      </c>
      <c r="Y10" t="s">
        <v>151</v>
      </c>
      <c r="Z10" t="s">
        <v>116</v>
      </c>
      <c r="AA10" t="s">
        <v>13</v>
      </c>
      <c r="AC10" t="s">
        <v>13</v>
      </c>
      <c r="AD10" t="s">
        <v>116</v>
      </c>
      <c r="AE10" t="s">
        <v>151</v>
      </c>
      <c r="AG10" t="s">
        <v>13</v>
      </c>
      <c r="AH10" t="s">
        <v>116</v>
      </c>
      <c r="AI10" t="s">
        <v>276</v>
      </c>
      <c r="AK10" t="s">
        <v>47</v>
      </c>
      <c r="AL10" t="s">
        <v>116</v>
      </c>
      <c r="AM10" t="s">
        <v>277</v>
      </c>
      <c r="AN10" t="s">
        <v>278</v>
      </c>
    </row>
    <row r="11" spans="1:40" x14ac:dyDescent="0.25">
      <c r="A11" t="str">
        <f>IFERROR(IF(Veda!D5=A10,"ok","x"),"")</f>
        <v>ok</v>
      </c>
      <c r="C11" t="s">
        <v>325</v>
      </c>
      <c r="D11" t="s">
        <v>143</v>
      </c>
      <c r="E11" t="s">
        <v>326</v>
      </c>
      <c r="F11" t="s">
        <v>325</v>
      </c>
      <c r="G11" t="s">
        <v>143</v>
      </c>
      <c r="I11" t="s">
        <v>152</v>
      </c>
      <c r="J11" t="s">
        <v>327</v>
      </c>
      <c r="K11">
        <v>0.99999999999999889</v>
      </c>
      <c r="L11" t="s">
        <v>154</v>
      </c>
      <c r="N11" t="s">
        <v>195</v>
      </c>
      <c r="O11" t="s">
        <v>327</v>
      </c>
      <c r="P11">
        <v>0.99999999999999767</v>
      </c>
      <c r="Q11" t="s">
        <v>154</v>
      </c>
      <c r="S11" t="s">
        <v>226</v>
      </c>
      <c r="T11" t="s">
        <v>327</v>
      </c>
      <c r="U11">
        <v>0.99999999999999889</v>
      </c>
      <c r="V11" t="s">
        <v>154</v>
      </c>
      <c r="X11">
        <v>1</v>
      </c>
      <c r="Y11">
        <v>1.0000000000000002</v>
      </c>
      <c r="Z11" t="s">
        <v>327</v>
      </c>
      <c r="AA11" t="s">
        <v>25</v>
      </c>
      <c r="AC11" t="s">
        <v>22</v>
      </c>
      <c r="AD11" t="s">
        <v>327</v>
      </c>
      <c r="AE11">
        <v>1</v>
      </c>
      <c r="AG11" t="s">
        <v>97</v>
      </c>
      <c r="AH11" t="s">
        <v>327</v>
      </c>
      <c r="AI11">
        <v>0.46052005111059247</v>
      </c>
      <c r="AK11">
        <v>2020</v>
      </c>
      <c r="AL11" t="s">
        <v>325</v>
      </c>
      <c r="AM11">
        <v>0.3053540196973476</v>
      </c>
      <c r="AN11" t="s">
        <v>279</v>
      </c>
    </row>
    <row r="12" spans="1:40" x14ac:dyDescent="0.25">
      <c r="I12" t="s">
        <v>166</v>
      </c>
      <c r="J12" t="s">
        <v>327</v>
      </c>
      <c r="K12">
        <v>1.0000000000000022</v>
      </c>
      <c r="L12" t="s">
        <v>154</v>
      </c>
      <c r="N12" t="s">
        <v>196</v>
      </c>
      <c r="O12" t="s">
        <v>327</v>
      </c>
      <c r="P12">
        <v>0.99999999999999967</v>
      </c>
      <c r="Q12" t="s">
        <v>154</v>
      </c>
      <c r="S12" t="s">
        <v>227</v>
      </c>
      <c r="T12" t="s">
        <v>327</v>
      </c>
      <c r="U12">
        <v>1.0000000000000013</v>
      </c>
      <c r="V12" t="s">
        <v>154</v>
      </c>
      <c r="AC12" t="s">
        <v>19</v>
      </c>
      <c r="AD12" t="s">
        <v>327</v>
      </c>
      <c r="AE12">
        <v>1</v>
      </c>
      <c r="AK12">
        <v>2021</v>
      </c>
      <c r="AL12" t="s">
        <v>325</v>
      </c>
      <c r="AM12">
        <v>0.30699614484801707</v>
      </c>
      <c r="AN12" t="s">
        <v>279</v>
      </c>
    </row>
    <row r="13" spans="1:40" x14ac:dyDescent="0.25">
      <c r="I13" t="s">
        <v>167</v>
      </c>
      <c r="J13" t="s">
        <v>327</v>
      </c>
      <c r="K13">
        <v>1.000000000000002</v>
      </c>
      <c r="L13" t="s">
        <v>154</v>
      </c>
      <c r="N13" t="s">
        <v>197</v>
      </c>
      <c r="O13" t="s">
        <v>327</v>
      </c>
      <c r="P13">
        <v>1.0000000000000009</v>
      </c>
      <c r="Q13" t="s">
        <v>154</v>
      </c>
      <c r="S13" t="s">
        <v>228</v>
      </c>
      <c r="T13" t="s">
        <v>327</v>
      </c>
      <c r="U13">
        <v>1.0000000000000004</v>
      </c>
      <c r="V13" t="s">
        <v>154</v>
      </c>
      <c r="AK13">
        <v>2022</v>
      </c>
      <c r="AL13" t="s">
        <v>325</v>
      </c>
      <c r="AM13">
        <v>0.28403614521636705</v>
      </c>
      <c r="AN13" t="s">
        <v>279</v>
      </c>
    </row>
    <row r="14" spans="1:40" x14ac:dyDescent="0.25">
      <c r="I14" t="s">
        <v>168</v>
      </c>
      <c r="J14" t="s">
        <v>327</v>
      </c>
      <c r="K14">
        <v>1.0000000000000007</v>
      </c>
      <c r="L14" t="s">
        <v>154</v>
      </c>
      <c r="N14" t="s">
        <v>198</v>
      </c>
      <c r="O14" t="s">
        <v>327</v>
      </c>
      <c r="P14">
        <v>1.0000000000000009</v>
      </c>
      <c r="Q14" t="s">
        <v>154</v>
      </c>
      <c r="S14" t="s">
        <v>229</v>
      </c>
      <c r="T14" t="s">
        <v>327</v>
      </c>
      <c r="U14">
        <v>1.0000000000000024</v>
      </c>
      <c r="V14" t="s">
        <v>154</v>
      </c>
      <c r="AK14">
        <v>2025</v>
      </c>
      <c r="AL14" t="s">
        <v>325</v>
      </c>
      <c r="AM14">
        <v>0.24374166666666666</v>
      </c>
      <c r="AN14" t="s">
        <v>279</v>
      </c>
    </row>
    <row r="15" spans="1:40" x14ac:dyDescent="0.25">
      <c r="I15" t="s">
        <v>169</v>
      </c>
      <c r="J15" t="s">
        <v>327</v>
      </c>
      <c r="K15">
        <v>1.0000000000000004</v>
      </c>
      <c r="L15" t="s">
        <v>154</v>
      </c>
      <c r="N15" t="s">
        <v>199</v>
      </c>
      <c r="O15" t="s">
        <v>327</v>
      </c>
      <c r="P15">
        <v>0.99999999999999845</v>
      </c>
      <c r="Q15" t="s">
        <v>154</v>
      </c>
      <c r="S15" t="s">
        <v>230</v>
      </c>
      <c r="T15" t="s">
        <v>327</v>
      </c>
      <c r="U15">
        <v>1</v>
      </c>
      <c r="V15" t="s">
        <v>154</v>
      </c>
      <c r="AK15">
        <v>2026</v>
      </c>
      <c r="AL15" t="s">
        <v>325</v>
      </c>
      <c r="AM15">
        <v>0.24279166666666671</v>
      </c>
      <c r="AN15" t="s">
        <v>279</v>
      </c>
    </row>
    <row r="16" spans="1:40" x14ac:dyDescent="0.25">
      <c r="I16" t="s">
        <v>170</v>
      </c>
      <c r="J16" t="s">
        <v>327</v>
      </c>
      <c r="K16">
        <v>0.99999999999999978</v>
      </c>
      <c r="L16" t="s">
        <v>154</v>
      </c>
      <c r="N16" t="s">
        <v>200</v>
      </c>
      <c r="O16" t="s">
        <v>327</v>
      </c>
      <c r="P16">
        <v>0.99999999999999589</v>
      </c>
      <c r="Q16" t="s">
        <v>154</v>
      </c>
      <c r="S16" t="s">
        <v>231</v>
      </c>
      <c r="T16" t="s">
        <v>327</v>
      </c>
      <c r="U16">
        <v>0.99999999999999889</v>
      </c>
      <c r="V16" t="s">
        <v>154</v>
      </c>
      <c r="AK16">
        <v>2027</v>
      </c>
      <c r="AL16" t="s">
        <v>325</v>
      </c>
      <c r="AM16">
        <v>0.24156666666666668</v>
      </c>
      <c r="AN16" t="s">
        <v>279</v>
      </c>
    </row>
    <row r="17" spans="9:40" x14ac:dyDescent="0.25">
      <c r="I17" t="s">
        <v>171</v>
      </c>
      <c r="J17" t="s">
        <v>327</v>
      </c>
      <c r="K17">
        <v>0.99999999999999767</v>
      </c>
      <c r="L17" t="s">
        <v>154</v>
      </c>
      <c r="N17" t="s">
        <v>201</v>
      </c>
      <c r="O17" t="s">
        <v>327</v>
      </c>
      <c r="P17">
        <v>1.0000000000000016</v>
      </c>
      <c r="Q17" t="s">
        <v>154</v>
      </c>
      <c r="S17" t="s">
        <v>232</v>
      </c>
      <c r="T17" t="s">
        <v>327</v>
      </c>
      <c r="U17">
        <v>1.0000000000000007</v>
      </c>
      <c r="V17" t="s">
        <v>154</v>
      </c>
      <c r="AK17">
        <v>2028</v>
      </c>
      <c r="AL17" t="s">
        <v>325</v>
      </c>
      <c r="AM17">
        <v>0.24865000000000004</v>
      </c>
      <c r="AN17" t="s">
        <v>279</v>
      </c>
    </row>
    <row r="18" spans="9:40" x14ac:dyDescent="0.25">
      <c r="I18" t="s">
        <v>172</v>
      </c>
      <c r="J18" t="s">
        <v>327</v>
      </c>
      <c r="K18">
        <v>1.0000000000000002</v>
      </c>
      <c r="L18" t="s">
        <v>154</v>
      </c>
      <c r="N18" t="s">
        <v>202</v>
      </c>
      <c r="O18" t="s">
        <v>327</v>
      </c>
      <c r="P18">
        <v>0.99999999999999922</v>
      </c>
      <c r="Q18" t="s">
        <v>154</v>
      </c>
      <c r="S18" t="s">
        <v>233</v>
      </c>
      <c r="T18" t="s">
        <v>327</v>
      </c>
      <c r="U18">
        <v>1.0000000000000022</v>
      </c>
      <c r="V18" t="s">
        <v>154</v>
      </c>
      <c r="AK18">
        <v>2029</v>
      </c>
      <c r="AL18" t="s">
        <v>325</v>
      </c>
      <c r="AM18">
        <v>0.29857499999999998</v>
      </c>
      <c r="AN18" t="s">
        <v>279</v>
      </c>
    </row>
    <row r="19" spans="9:40" x14ac:dyDescent="0.25">
      <c r="I19" t="s">
        <v>173</v>
      </c>
      <c r="J19" t="s">
        <v>327</v>
      </c>
      <c r="K19">
        <v>0.99999999999999722</v>
      </c>
      <c r="L19" t="s">
        <v>154</v>
      </c>
      <c r="N19" t="s">
        <v>203</v>
      </c>
      <c r="O19" t="s">
        <v>327</v>
      </c>
      <c r="P19">
        <v>1.0000000000000022</v>
      </c>
      <c r="Q19" t="s">
        <v>154</v>
      </c>
      <c r="S19" t="s">
        <v>234</v>
      </c>
      <c r="T19" t="s">
        <v>327</v>
      </c>
      <c r="U19">
        <v>0.99999999999999734</v>
      </c>
      <c r="V19" t="s">
        <v>154</v>
      </c>
      <c r="AK19">
        <v>2030</v>
      </c>
      <c r="AL19" t="s">
        <v>325</v>
      </c>
      <c r="AM19">
        <v>0.29982499999999995</v>
      </c>
      <c r="AN19" t="s">
        <v>279</v>
      </c>
    </row>
    <row r="20" spans="9:40" x14ac:dyDescent="0.25">
      <c r="I20" t="s">
        <v>174</v>
      </c>
      <c r="J20" t="s">
        <v>327</v>
      </c>
      <c r="K20">
        <v>1.0000000000000009</v>
      </c>
      <c r="L20" t="s">
        <v>154</v>
      </c>
      <c r="N20" t="s">
        <v>204</v>
      </c>
      <c r="O20" t="s">
        <v>327</v>
      </c>
      <c r="P20">
        <v>1.0000000000000004</v>
      </c>
      <c r="Q20" t="s">
        <v>154</v>
      </c>
      <c r="S20" t="s">
        <v>235</v>
      </c>
      <c r="T20" t="s">
        <v>327</v>
      </c>
      <c r="U20">
        <v>1.0000000000000027</v>
      </c>
      <c r="V20" t="s">
        <v>154</v>
      </c>
      <c r="AK20">
        <v>2031</v>
      </c>
      <c r="AL20" t="s">
        <v>325</v>
      </c>
      <c r="AM20">
        <v>0.29724999999999996</v>
      </c>
      <c r="AN20" t="s">
        <v>279</v>
      </c>
    </row>
    <row r="21" spans="9:40" x14ac:dyDescent="0.25">
      <c r="I21" t="s">
        <v>175</v>
      </c>
      <c r="J21" t="s">
        <v>327</v>
      </c>
      <c r="K21">
        <v>0.99999999999999911</v>
      </c>
      <c r="L21" t="s">
        <v>154</v>
      </c>
      <c r="N21" t="s">
        <v>205</v>
      </c>
      <c r="O21" t="s">
        <v>327</v>
      </c>
      <c r="P21">
        <v>0.99999999999999645</v>
      </c>
      <c r="Q21" t="s">
        <v>154</v>
      </c>
      <c r="S21" t="s">
        <v>236</v>
      </c>
      <c r="T21" t="s">
        <v>327</v>
      </c>
      <c r="U21">
        <v>0.99999999999999645</v>
      </c>
      <c r="V21" t="s">
        <v>154</v>
      </c>
      <c r="AK21">
        <v>2032</v>
      </c>
      <c r="AL21" t="s">
        <v>325</v>
      </c>
      <c r="AM21">
        <v>0.29033333333333328</v>
      </c>
      <c r="AN21" t="s">
        <v>279</v>
      </c>
    </row>
    <row r="22" spans="9:40" x14ac:dyDescent="0.25">
      <c r="I22" t="s">
        <v>176</v>
      </c>
      <c r="J22" t="s">
        <v>327</v>
      </c>
      <c r="K22">
        <v>1.0000000000000018</v>
      </c>
      <c r="L22" t="s">
        <v>154</v>
      </c>
      <c r="N22" t="s">
        <v>206</v>
      </c>
      <c r="O22" t="s">
        <v>327</v>
      </c>
      <c r="P22">
        <v>0.99999999999999822</v>
      </c>
      <c r="Q22" t="s">
        <v>154</v>
      </c>
      <c r="S22" t="s">
        <v>237</v>
      </c>
      <c r="T22" t="s">
        <v>327</v>
      </c>
      <c r="U22">
        <v>0.99999999999999944</v>
      </c>
      <c r="V22" t="s">
        <v>154</v>
      </c>
      <c r="AK22">
        <v>2033</v>
      </c>
      <c r="AL22" t="s">
        <v>325</v>
      </c>
      <c r="AM22">
        <v>0.28668333333333335</v>
      </c>
      <c r="AN22" t="s">
        <v>279</v>
      </c>
    </row>
    <row r="23" spans="9:40" x14ac:dyDescent="0.25">
      <c r="I23" t="s">
        <v>177</v>
      </c>
      <c r="J23" t="s">
        <v>327</v>
      </c>
      <c r="K23">
        <v>1.0000000000000009</v>
      </c>
      <c r="L23" t="s">
        <v>154</v>
      </c>
      <c r="N23" t="s">
        <v>207</v>
      </c>
      <c r="O23" t="s">
        <v>327</v>
      </c>
      <c r="P23">
        <v>0.99999999999999956</v>
      </c>
      <c r="Q23" t="s">
        <v>154</v>
      </c>
      <c r="S23" t="s">
        <v>238</v>
      </c>
      <c r="T23" t="s">
        <v>327</v>
      </c>
      <c r="U23">
        <v>1.000000000000004</v>
      </c>
      <c r="V23" t="s">
        <v>154</v>
      </c>
      <c r="AK23">
        <v>2034</v>
      </c>
      <c r="AL23" t="s">
        <v>325</v>
      </c>
      <c r="AM23">
        <v>0.29926666666666668</v>
      </c>
      <c r="AN23" t="s">
        <v>279</v>
      </c>
    </row>
    <row r="24" spans="9:40" x14ac:dyDescent="0.25">
      <c r="I24" t="s">
        <v>178</v>
      </c>
      <c r="J24" t="s">
        <v>327</v>
      </c>
      <c r="K24">
        <v>1.000000000000002</v>
      </c>
      <c r="L24" t="s">
        <v>154</v>
      </c>
      <c r="N24" t="s">
        <v>208</v>
      </c>
      <c r="O24" t="s">
        <v>327</v>
      </c>
      <c r="P24">
        <v>1.000000000000004</v>
      </c>
      <c r="Q24" t="s">
        <v>154</v>
      </c>
      <c r="S24" t="s">
        <v>239</v>
      </c>
      <c r="T24" t="s">
        <v>327</v>
      </c>
      <c r="U24">
        <v>0.99999999999999545</v>
      </c>
      <c r="V24" t="s">
        <v>154</v>
      </c>
      <c r="AK24">
        <v>2035</v>
      </c>
      <c r="AL24" t="s">
        <v>325</v>
      </c>
      <c r="AM24">
        <v>0.28968333333333335</v>
      </c>
      <c r="AN24" t="s">
        <v>279</v>
      </c>
    </row>
    <row r="25" spans="9:40" x14ac:dyDescent="0.25">
      <c r="I25" t="s">
        <v>179</v>
      </c>
      <c r="J25" t="s">
        <v>327</v>
      </c>
      <c r="K25">
        <v>1.0000000000000016</v>
      </c>
      <c r="L25" t="s">
        <v>154</v>
      </c>
      <c r="N25" t="s">
        <v>209</v>
      </c>
      <c r="O25" t="s">
        <v>327</v>
      </c>
      <c r="P25">
        <v>1</v>
      </c>
      <c r="Q25" t="s">
        <v>154</v>
      </c>
      <c r="S25" t="s">
        <v>240</v>
      </c>
      <c r="T25" t="s">
        <v>327</v>
      </c>
      <c r="U25">
        <v>1.0000000000000018</v>
      </c>
      <c r="V25" t="s">
        <v>154</v>
      </c>
      <c r="AK25">
        <v>2036</v>
      </c>
      <c r="AL25" t="s">
        <v>325</v>
      </c>
      <c r="AM25">
        <v>0.29370000000000002</v>
      </c>
      <c r="AN25" t="s">
        <v>279</v>
      </c>
    </row>
    <row r="26" spans="9:40" x14ac:dyDescent="0.25">
      <c r="I26" t="s">
        <v>180</v>
      </c>
      <c r="J26" t="s">
        <v>327</v>
      </c>
      <c r="K26">
        <v>1.0000000000000011</v>
      </c>
      <c r="L26" t="s">
        <v>154</v>
      </c>
      <c r="N26" t="s">
        <v>210</v>
      </c>
      <c r="O26" t="s">
        <v>327</v>
      </c>
      <c r="P26">
        <v>0.99999999999999578</v>
      </c>
      <c r="Q26" t="s">
        <v>154</v>
      </c>
      <c r="S26" t="s">
        <v>241</v>
      </c>
      <c r="T26" t="s">
        <v>327</v>
      </c>
      <c r="U26">
        <v>1.0000000000000029</v>
      </c>
      <c r="V26" t="s">
        <v>154</v>
      </c>
      <c r="AK26">
        <v>2037</v>
      </c>
      <c r="AL26" t="s">
        <v>325</v>
      </c>
      <c r="AM26">
        <v>0.29800833333333338</v>
      </c>
      <c r="AN26" t="s">
        <v>279</v>
      </c>
    </row>
    <row r="27" spans="9:40" x14ac:dyDescent="0.25">
      <c r="I27" t="s">
        <v>181</v>
      </c>
      <c r="J27" t="s">
        <v>327</v>
      </c>
      <c r="K27">
        <v>1.0000000000000029</v>
      </c>
      <c r="L27" t="s">
        <v>154</v>
      </c>
      <c r="N27" t="s">
        <v>211</v>
      </c>
      <c r="O27" t="s">
        <v>327</v>
      </c>
      <c r="P27">
        <v>0.99999999999999534</v>
      </c>
      <c r="Q27" t="s">
        <v>154</v>
      </c>
      <c r="S27" t="s">
        <v>242</v>
      </c>
      <c r="T27" t="s">
        <v>327</v>
      </c>
      <c r="U27">
        <v>0.99999999999999778</v>
      </c>
      <c r="V27" t="s">
        <v>154</v>
      </c>
      <c r="AK27">
        <v>2038</v>
      </c>
      <c r="AL27" t="s">
        <v>325</v>
      </c>
      <c r="AM27">
        <v>0.29666666666666669</v>
      </c>
      <c r="AN27" t="s">
        <v>279</v>
      </c>
    </row>
    <row r="28" spans="9:40" x14ac:dyDescent="0.25">
      <c r="I28" t="s">
        <v>182</v>
      </c>
      <c r="J28" t="s">
        <v>327</v>
      </c>
      <c r="K28">
        <v>0.99999999999999889</v>
      </c>
      <c r="L28" t="s">
        <v>154</v>
      </c>
      <c r="N28" t="s">
        <v>212</v>
      </c>
      <c r="O28" t="s">
        <v>327</v>
      </c>
      <c r="P28">
        <v>1.0000000000000011</v>
      </c>
      <c r="Q28" t="s">
        <v>154</v>
      </c>
      <c r="S28" t="s">
        <v>243</v>
      </c>
      <c r="T28" t="s">
        <v>327</v>
      </c>
      <c r="U28">
        <v>0.99999999999999778</v>
      </c>
      <c r="V28" t="s">
        <v>154</v>
      </c>
      <c r="AK28">
        <v>2039</v>
      </c>
      <c r="AL28" t="s">
        <v>325</v>
      </c>
      <c r="AM28">
        <v>0.33744166666666664</v>
      </c>
      <c r="AN28" t="s">
        <v>279</v>
      </c>
    </row>
    <row r="29" spans="9:40" x14ac:dyDescent="0.25">
      <c r="I29" t="s">
        <v>183</v>
      </c>
      <c r="J29" t="s">
        <v>327</v>
      </c>
      <c r="K29">
        <v>1.0000000000000027</v>
      </c>
      <c r="L29" t="s">
        <v>154</v>
      </c>
      <c r="N29" t="s">
        <v>213</v>
      </c>
      <c r="O29" t="s">
        <v>327</v>
      </c>
      <c r="P29">
        <v>1.0000000000000042</v>
      </c>
      <c r="Q29" t="s">
        <v>154</v>
      </c>
      <c r="S29" t="s">
        <v>244</v>
      </c>
      <c r="T29" t="s">
        <v>327</v>
      </c>
      <c r="U29">
        <v>1.0000000000000018</v>
      </c>
      <c r="V29" t="s">
        <v>154</v>
      </c>
      <c r="AK29">
        <v>2040</v>
      </c>
      <c r="AL29" t="s">
        <v>325</v>
      </c>
      <c r="AM29">
        <v>0.3338916666666667</v>
      </c>
      <c r="AN29" t="s">
        <v>279</v>
      </c>
    </row>
    <row r="30" spans="9:40" x14ac:dyDescent="0.25">
      <c r="I30" t="s">
        <v>184</v>
      </c>
      <c r="J30" t="s">
        <v>327</v>
      </c>
      <c r="K30">
        <v>1.0000000000000016</v>
      </c>
      <c r="L30" t="s">
        <v>154</v>
      </c>
      <c r="N30" t="s">
        <v>214</v>
      </c>
      <c r="O30" t="s">
        <v>327</v>
      </c>
      <c r="P30">
        <v>0.99999999999999878</v>
      </c>
      <c r="Q30" t="s">
        <v>154</v>
      </c>
      <c r="S30" t="s">
        <v>245</v>
      </c>
      <c r="T30" t="s">
        <v>327</v>
      </c>
      <c r="U30">
        <v>0.99999999999999833</v>
      </c>
      <c r="V30" t="s">
        <v>154</v>
      </c>
      <c r="AK30">
        <v>2041</v>
      </c>
      <c r="AL30" t="s">
        <v>325</v>
      </c>
      <c r="AM30">
        <v>0.33834999999999998</v>
      </c>
      <c r="AN30" t="s">
        <v>279</v>
      </c>
    </row>
    <row r="31" spans="9:40" x14ac:dyDescent="0.25">
      <c r="I31" t="s">
        <v>185</v>
      </c>
      <c r="J31" t="s">
        <v>327</v>
      </c>
      <c r="K31">
        <v>0.99999999999999711</v>
      </c>
      <c r="L31" t="s">
        <v>154</v>
      </c>
      <c r="N31" t="s">
        <v>215</v>
      </c>
      <c r="O31" t="s">
        <v>327</v>
      </c>
      <c r="P31">
        <v>0.99999999999999711</v>
      </c>
      <c r="Q31" t="s">
        <v>154</v>
      </c>
      <c r="S31" t="s">
        <v>246</v>
      </c>
      <c r="T31" t="s">
        <v>327</v>
      </c>
      <c r="U31">
        <v>1.0000000000000016</v>
      </c>
      <c r="V31" t="s">
        <v>154</v>
      </c>
      <c r="AK31">
        <v>2042</v>
      </c>
      <c r="AL31" t="s">
        <v>325</v>
      </c>
      <c r="AM31">
        <v>0.3399833333333333</v>
      </c>
      <c r="AN31" t="s">
        <v>279</v>
      </c>
    </row>
    <row r="32" spans="9:40" x14ac:dyDescent="0.25">
      <c r="I32" t="s">
        <v>186</v>
      </c>
      <c r="J32" t="s">
        <v>327</v>
      </c>
      <c r="K32">
        <v>0.99999999999999789</v>
      </c>
      <c r="L32" t="s">
        <v>154</v>
      </c>
      <c r="N32" t="s">
        <v>216</v>
      </c>
      <c r="O32" t="s">
        <v>327</v>
      </c>
      <c r="P32">
        <v>0.99999999999999889</v>
      </c>
      <c r="Q32" t="s">
        <v>154</v>
      </c>
      <c r="S32" t="s">
        <v>247</v>
      </c>
      <c r="T32" t="s">
        <v>327</v>
      </c>
      <c r="U32">
        <v>0.99999999999999745</v>
      </c>
      <c r="V32" t="s">
        <v>154</v>
      </c>
      <c r="AK32">
        <v>2043</v>
      </c>
      <c r="AL32" t="s">
        <v>325</v>
      </c>
      <c r="AM32">
        <v>0.34648333333333331</v>
      </c>
      <c r="AN32" t="s">
        <v>279</v>
      </c>
    </row>
    <row r="33" spans="9:40" x14ac:dyDescent="0.25">
      <c r="I33" t="s">
        <v>187</v>
      </c>
      <c r="J33" t="s">
        <v>327</v>
      </c>
      <c r="K33">
        <v>1.0000000000000022</v>
      </c>
      <c r="L33" t="s">
        <v>154</v>
      </c>
      <c r="N33" t="s">
        <v>217</v>
      </c>
      <c r="O33" t="s">
        <v>327</v>
      </c>
      <c r="P33">
        <v>1.0000000000000013</v>
      </c>
      <c r="Q33" t="s">
        <v>154</v>
      </c>
      <c r="S33" t="s">
        <v>248</v>
      </c>
      <c r="T33" t="s">
        <v>327</v>
      </c>
      <c r="U33">
        <v>1.0000000000000007</v>
      </c>
      <c r="V33" t="s">
        <v>154</v>
      </c>
      <c r="AK33">
        <v>2044</v>
      </c>
      <c r="AL33" t="s">
        <v>325</v>
      </c>
      <c r="AM33">
        <v>0.29149166666666665</v>
      </c>
      <c r="AN33" t="s">
        <v>279</v>
      </c>
    </row>
    <row r="34" spans="9:40" x14ac:dyDescent="0.25">
      <c r="I34" t="s">
        <v>188</v>
      </c>
      <c r="J34" t="s">
        <v>327</v>
      </c>
      <c r="K34">
        <v>0.99999999999999867</v>
      </c>
      <c r="L34" t="s">
        <v>154</v>
      </c>
      <c r="N34" t="s">
        <v>218</v>
      </c>
      <c r="O34" t="s">
        <v>327</v>
      </c>
      <c r="P34">
        <v>0.99999999999999767</v>
      </c>
      <c r="Q34" t="s">
        <v>154</v>
      </c>
      <c r="S34" t="s">
        <v>249</v>
      </c>
      <c r="T34" t="s">
        <v>327</v>
      </c>
      <c r="U34">
        <v>0.999999999999999</v>
      </c>
      <c r="V34" t="s">
        <v>154</v>
      </c>
      <c r="AK34">
        <v>2045</v>
      </c>
      <c r="AL34" t="s">
        <v>325</v>
      </c>
      <c r="AM34">
        <v>0.28179999999999999</v>
      </c>
      <c r="AN34" t="s">
        <v>279</v>
      </c>
    </row>
    <row r="35" spans="9:40" x14ac:dyDescent="0.25">
      <c r="I35" t="s">
        <v>189</v>
      </c>
      <c r="J35" t="s">
        <v>327</v>
      </c>
      <c r="K35">
        <v>1.0000000000000024</v>
      </c>
      <c r="L35" t="s">
        <v>154</v>
      </c>
      <c r="N35" t="s">
        <v>219</v>
      </c>
      <c r="O35" t="s">
        <v>327</v>
      </c>
      <c r="P35">
        <v>1.0000000000000036</v>
      </c>
      <c r="Q35" t="s">
        <v>154</v>
      </c>
      <c r="S35" t="s">
        <v>250</v>
      </c>
      <c r="T35" t="s">
        <v>327</v>
      </c>
      <c r="U35">
        <v>0.99999999999999545</v>
      </c>
      <c r="V35" t="s">
        <v>154</v>
      </c>
      <c r="AK35">
        <v>2046</v>
      </c>
      <c r="AL35" t="s">
        <v>325</v>
      </c>
      <c r="AM35">
        <v>0.29248333333333337</v>
      </c>
      <c r="AN35" t="s">
        <v>279</v>
      </c>
    </row>
    <row r="36" spans="9:40" x14ac:dyDescent="0.25">
      <c r="I36" t="s">
        <v>190</v>
      </c>
      <c r="J36" t="s">
        <v>327</v>
      </c>
      <c r="K36">
        <v>0.99999999999999789</v>
      </c>
      <c r="L36" t="s">
        <v>154</v>
      </c>
      <c r="N36" t="s">
        <v>220</v>
      </c>
      <c r="O36" t="s">
        <v>327</v>
      </c>
      <c r="P36">
        <v>0.99999999999999856</v>
      </c>
      <c r="Q36" t="s">
        <v>154</v>
      </c>
      <c r="S36" t="s">
        <v>251</v>
      </c>
      <c r="T36" t="s">
        <v>327</v>
      </c>
      <c r="U36">
        <v>1.0000000000000016</v>
      </c>
      <c r="V36" t="s">
        <v>154</v>
      </c>
      <c r="AK36">
        <v>2047</v>
      </c>
      <c r="AL36" t="s">
        <v>325</v>
      </c>
      <c r="AM36">
        <v>0.28919166666666668</v>
      </c>
      <c r="AN36" t="s">
        <v>279</v>
      </c>
    </row>
    <row r="37" spans="9:40" x14ac:dyDescent="0.25">
      <c r="I37" t="s">
        <v>191</v>
      </c>
      <c r="J37" t="s">
        <v>327</v>
      </c>
      <c r="K37">
        <v>1.0000000000000009</v>
      </c>
      <c r="L37" t="s">
        <v>154</v>
      </c>
      <c r="N37" t="s">
        <v>221</v>
      </c>
      <c r="O37" t="s">
        <v>327</v>
      </c>
      <c r="P37">
        <v>0.99999999999999656</v>
      </c>
      <c r="Q37" t="s">
        <v>154</v>
      </c>
      <c r="S37" t="s">
        <v>252</v>
      </c>
      <c r="T37" t="s">
        <v>327</v>
      </c>
      <c r="U37">
        <v>1.0000000000000011</v>
      </c>
      <c r="V37" t="s">
        <v>154</v>
      </c>
      <c r="AK37">
        <v>2048</v>
      </c>
      <c r="AL37" t="s">
        <v>325</v>
      </c>
      <c r="AM37">
        <v>0.29289999999999999</v>
      </c>
      <c r="AN37" t="s">
        <v>279</v>
      </c>
    </row>
    <row r="38" spans="9:40" x14ac:dyDescent="0.25">
      <c r="I38" t="s">
        <v>192</v>
      </c>
      <c r="J38" t="s">
        <v>327</v>
      </c>
      <c r="K38">
        <v>1.0000000000000013</v>
      </c>
      <c r="L38" t="s">
        <v>154</v>
      </c>
      <c r="N38" t="s">
        <v>222</v>
      </c>
      <c r="O38" t="s">
        <v>327</v>
      </c>
      <c r="P38">
        <v>0.99999999999999678</v>
      </c>
      <c r="Q38" t="s">
        <v>154</v>
      </c>
      <c r="S38" t="s">
        <v>253</v>
      </c>
      <c r="T38" t="s">
        <v>327</v>
      </c>
      <c r="U38">
        <v>1.0000000000000033</v>
      </c>
      <c r="V38" t="s">
        <v>154</v>
      </c>
      <c r="AK38">
        <v>2049</v>
      </c>
      <c r="AL38" t="s">
        <v>325</v>
      </c>
      <c r="AM38">
        <v>0.29490833333333327</v>
      </c>
      <c r="AN38" t="s">
        <v>279</v>
      </c>
    </row>
    <row r="39" spans="9:40" x14ac:dyDescent="0.25">
      <c r="I39" t="s">
        <v>193</v>
      </c>
      <c r="J39" t="s">
        <v>327</v>
      </c>
      <c r="K39">
        <v>0.99999999999999911</v>
      </c>
      <c r="L39" t="s">
        <v>154</v>
      </c>
      <c r="N39" t="s">
        <v>223</v>
      </c>
      <c r="O39" t="s">
        <v>327</v>
      </c>
      <c r="P39">
        <v>0.99999999999999944</v>
      </c>
      <c r="Q39" t="s">
        <v>154</v>
      </c>
      <c r="S39" t="s">
        <v>254</v>
      </c>
      <c r="T39" t="s">
        <v>327</v>
      </c>
      <c r="U39">
        <v>0.99999999999999578</v>
      </c>
      <c r="V39" t="s">
        <v>154</v>
      </c>
      <c r="AK39">
        <v>2050</v>
      </c>
      <c r="AL39" t="s">
        <v>325</v>
      </c>
      <c r="AM39">
        <v>0.29420000000000002</v>
      </c>
      <c r="AN39" t="s">
        <v>279</v>
      </c>
    </row>
    <row r="40" spans="9:40" x14ac:dyDescent="0.25">
      <c r="I40" t="s">
        <v>194</v>
      </c>
      <c r="J40" t="s">
        <v>327</v>
      </c>
      <c r="K40">
        <v>1.000000000000002</v>
      </c>
      <c r="L40" t="s">
        <v>154</v>
      </c>
      <c r="N40" t="s">
        <v>224</v>
      </c>
      <c r="O40" t="s">
        <v>327</v>
      </c>
      <c r="P40">
        <v>1.0000000000000011</v>
      </c>
      <c r="Q40" t="s">
        <v>154</v>
      </c>
      <c r="S40" t="s">
        <v>255</v>
      </c>
      <c r="T40" t="s">
        <v>327</v>
      </c>
      <c r="U40">
        <v>1.0000000000000024</v>
      </c>
      <c r="V40" t="s">
        <v>154</v>
      </c>
    </row>
    <row r="41" spans="9:40" x14ac:dyDescent="0.25">
      <c r="N41" t="s">
        <v>225</v>
      </c>
      <c r="O41" t="s">
        <v>327</v>
      </c>
      <c r="P41">
        <v>1.0000000000000022</v>
      </c>
      <c r="Q41" t="s">
        <v>154</v>
      </c>
      <c r="S41" t="s">
        <v>256</v>
      </c>
      <c r="T41" t="s">
        <v>327</v>
      </c>
      <c r="U41">
        <v>1.0000000000000038</v>
      </c>
      <c r="V41" t="s">
        <v>154</v>
      </c>
    </row>
    <row r="42" spans="9:40" x14ac:dyDescent="0.25">
      <c r="S42" t="s">
        <v>257</v>
      </c>
      <c r="T42" t="s">
        <v>327</v>
      </c>
      <c r="U42">
        <v>1.0000000000000016</v>
      </c>
      <c r="V42" t="s">
        <v>154</v>
      </c>
    </row>
    <row r="43" spans="9:40" x14ac:dyDescent="0.25">
      <c r="S43" t="s">
        <v>258</v>
      </c>
      <c r="T43" t="s">
        <v>327</v>
      </c>
      <c r="U43">
        <v>1.0000000000000013</v>
      </c>
      <c r="V43" t="s">
        <v>154</v>
      </c>
    </row>
    <row r="44" spans="9:40" x14ac:dyDescent="0.25">
      <c r="S44" t="s">
        <v>259</v>
      </c>
      <c r="T44" t="s">
        <v>327</v>
      </c>
      <c r="U44">
        <v>0.99999999999999778</v>
      </c>
      <c r="V44" t="s">
        <v>154</v>
      </c>
    </row>
    <row r="45" spans="9:40" x14ac:dyDescent="0.25">
      <c r="S45" t="s">
        <v>260</v>
      </c>
      <c r="T45" t="s">
        <v>327</v>
      </c>
      <c r="U45">
        <v>1.0000000000000024</v>
      </c>
      <c r="V45" t="s">
        <v>154</v>
      </c>
    </row>
    <row r="46" spans="9:40" x14ac:dyDescent="0.25">
      <c r="S46" t="s">
        <v>261</v>
      </c>
      <c r="T46" t="s">
        <v>327</v>
      </c>
      <c r="U46">
        <v>1.0000000000000009</v>
      </c>
      <c r="V46" t="s">
        <v>154</v>
      </c>
    </row>
    <row r="47" spans="9:40" x14ac:dyDescent="0.25">
      <c r="S47" t="s">
        <v>262</v>
      </c>
      <c r="T47" t="s">
        <v>327</v>
      </c>
      <c r="U47">
        <v>0.99999999999999667</v>
      </c>
      <c r="V47" t="s">
        <v>154</v>
      </c>
    </row>
    <row r="48" spans="9:40" x14ac:dyDescent="0.25">
      <c r="S48" t="s">
        <v>263</v>
      </c>
      <c r="T48" t="s">
        <v>327</v>
      </c>
      <c r="U48">
        <v>0.99999999999999911</v>
      </c>
      <c r="V48" t="s">
        <v>154</v>
      </c>
    </row>
    <row r="49" spans="19:22" x14ac:dyDescent="0.25">
      <c r="S49" t="s">
        <v>264</v>
      </c>
      <c r="T49" t="s">
        <v>327</v>
      </c>
      <c r="U49">
        <v>1.0000000000000033</v>
      </c>
      <c r="V49" t="s">
        <v>154</v>
      </c>
    </row>
    <row r="50" spans="19:22" x14ac:dyDescent="0.25">
      <c r="S50" t="s">
        <v>265</v>
      </c>
      <c r="T50" t="s">
        <v>327</v>
      </c>
      <c r="U50">
        <v>1.0000000000000007</v>
      </c>
      <c r="V50" t="s">
        <v>154</v>
      </c>
    </row>
    <row r="51" spans="19:22" x14ac:dyDescent="0.25">
      <c r="S51" t="s">
        <v>266</v>
      </c>
      <c r="T51" t="s">
        <v>327</v>
      </c>
      <c r="U51">
        <v>1.0000000000000042</v>
      </c>
      <c r="V51" t="s">
        <v>154</v>
      </c>
    </row>
    <row r="52" spans="19:22" x14ac:dyDescent="0.25">
      <c r="S52" t="s">
        <v>267</v>
      </c>
      <c r="T52" t="s">
        <v>327</v>
      </c>
      <c r="U52">
        <v>1.0000000000000062</v>
      </c>
      <c r="V52" t="s">
        <v>154</v>
      </c>
    </row>
    <row r="53" spans="19:22" x14ac:dyDescent="0.25">
      <c r="S53" t="s">
        <v>268</v>
      </c>
      <c r="T53" t="s">
        <v>327</v>
      </c>
      <c r="U53">
        <v>1.0000000000000004</v>
      </c>
      <c r="V53" t="s">
        <v>154</v>
      </c>
    </row>
    <row r="54" spans="19:22" x14ac:dyDescent="0.25">
      <c r="S54" t="s">
        <v>269</v>
      </c>
      <c r="T54" t="s">
        <v>327</v>
      </c>
      <c r="U54">
        <v>0.99999999999999678</v>
      </c>
      <c r="V54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594E-BA18-4063-92FE-75D7883D7BC4}">
  <dimension ref="A9:AN538"/>
  <sheetViews>
    <sheetView tabSelected="1"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151</v>
      </c>
      <c r="L10" t="s">
        <v>30</v>
      </c>
      <c r="N10" t="s">
        <v>13</v>
      </c>
      <c r="O10" t="s">
        <v>116</v>
      </c>
      <c r="P10" t="s">
        <v>151</v>
      </c>
      <c r="Q10" t="s">
        <v>30</v>
      </c>
      <c r="S10" t="s">
        <v>13</v>
      </c>
      <c r="T10" t="s">
        <v>116</v>
      </c>
      <c r="U10" t="s">
        <v>151</v>
      </c>
      <c r="V10" t="s">
        <v>30</v>
      </c>
      <c r="X10" t="s">
        <v>270</v>
      </c>
      <c r="Y10" t="s">
        <v>151</v>
      </c>
      <c r="Z10" t="s">
        <v>116</v>
      </c>
      <c r="AA10" t="s">
        <v>13</v>
      </c>
      <c r="AC10" t="s">
        <v>13</v>
      </c>
      <c r="AD10" t="s">
        <v>116</v>
      </c>
      <c r="AE10" t="s">
        <v>151</v>
      </c>
      <c r="AG10" t="s">
        <v>13</v>
      </c>
      <c r="AH10" t="s">
        <v>116</v>
      </c>
      <c r="AI10" t="s">
        <v>276</v>
      </c>
      <c r="AK10" t="s">
        <v>47</v>
      </c>
      <c r="AL10" t="s">
        <v>116</v>
      </c>
      <c r="AM10" t="s">
        <v>277</v>
      </c>
      <c r="AN10" t="s">
        <v>278</v>
      </c>
    </row>
    <row r="11" spans="1:40" x14ac:dyDescent="0.25">
      <c r="A11" t="str">
        <f>IFERROR(IF(Veda!D5=A10,"ok","x"),"")</f>
        <v>x</v>
      </c>
      <c r="C11" t="s">
        <v>328</v>
      </c>
      <c r="D11" t="s">
        <v>143</v>
      </c>
      <c r="E11" t="s">
        <v>272</v>
      </c>
      <c r="F11" t="s">
        <v>329</v>
      </c>
      <c r="G11" t="s">
        <v>143</v>
      </c>
      <c r="I11" t="s">
        <v>152</v>
      </c>
      <c r="J11" t="s">
        <v>334</v>
      </c>
      <c r="K11">
        <v>0.24121458590140887</v>
      </c>
      <c r="L11" t="s">
        <v>154</v>
      </c>
      <c r="N11" t="s">
        <v>195</v>
      </c>
      <c r="O11" t="s">
        <v>334</v>
      </c>
      <c r="P11">
        <v>0.1383157717538448</v>
      </c>
      <c r="Q11" t="s">
        <v>154</v>
      </c>
      <c r="S11" t="s">
        <v>226</v>
      </c>
      <c r="T11" t="s">
        <v>334</v>
      </c>
      <c r="U11">
        <v>0.13910535193704812</v>
      </c>
      <c r="V11" t="s">
        <v>154</v>
      </c>
      <c r="X11">
        <v>0.11426940639269406</v>
      </c>
      <c r="Y11">
        <v>0.16087081189037786</v>
      </c>
      <c r="Z11" t="s">
        <v>334</v>
      </c>
      <c r="AA11" t="s">
        <v>25</v>
      </c>
      <c r="AC11" t="s">
        <v>22</v>
      </c>
      <c r="AD11" t="s">
        <v>334</v>
      </c>
      <c r="AE11">
        <v>0.11269970189415161</v>
      </c>
      <c r="AG11" t="s">
        <v>97</v>
      </c>
      <c r="AH11" t="s">
        <v>334</v>
      </c>
      <c r="AI11">
        <v>0.22923241370012826</v>
      </c>
      <c r="AK11">
        <v>2020</v>
      </c>
      <c r="AL11" t="s">
        <v>328</v>
      </c>
      <c r="AM11">
        <v>0.23974469689443209</v>
      </c>
      <c r="AN11" t="s">
        <v>279</v>
      </c>
    </row>
    <row r="12" spans="1:40" x14ac:dyDescent="0.25">
      <c r="C12" t="s">
        <v>330</v>
      </c>
      <c r="E12" t="s">
        <v>274</v>
      </c>
      <c r="G12" t="s">
        <v>143</v>
      </c>
      <c r="I12" t="s">
        <v>152</v>
      </c>
      <c r="J12" t="s">
        <v>335</v>
      </c>
      <c r="K12">
        <v>0</v>
      </c>
      <c r="L12" t="s">
        <v>154</v>
      </c>
      <c r="N12" t="s">
        <v>195</v>
      </c>
      <c r="O12" t="s">
        <v>335</v>
      </c>
      <c r="P12">
        <v>0.14614448733219704</v>
      </c>
      <c r="Q12" t="s">
        <v>154</v>
      </c>
      <c r="S12" t="s">
        <v>226</v>
      </c>
      <c r="T12" t="s">
        <v>335</v>
      </c>
      <c r="U12">
        <v>0.13723903763382622</v>
      </c>
      <c r="V12" t="s">
        <v>154</v>
      </c>
      <c r="X12">
        <v>0.11426940639269406</v>
      </c>
      <c r="Y12">
        <v>5.2547713165767528E-2</v>
      </c>
      <c r="Z12" t="s">
        <v>335</v>
      </c>
      <c r="AA12" t="s">
        <v>25</v>
      </c>
      <c r="AC12" t="s">
        <v>22</v>
      </c>
      <c r="AD12" t="s">
        <v>335</v>
      </c>
      <c r="AE12">
        <v>9.2655116767532547E-2</v>
      </c>
      <c r="AG12" t="s">
        <v>97</v>
      </c>
      <c r="AH12" t="s">
        <v>335</v>
      </c>
      <c r="AI12">
        <v>0.37189328673798538</v>
      </c>
      <c r="AK12">
        <v>2020</v>
      </c>
      <c r="AL12" t="s">
        <v>330</v>
      </c>
      <c r="AM12">
        <v>0.34158869418057353</v>
      </c>
      <c r="AN12" t="s">
        <v>279</v>
      </c>
    </row>
    <row r="13" spans="1:40" x14ac:dyDescent="0.25">
      <c r="C13" t="s">
        <v>331</v>
      </c>
      <c r="E13" t="s">
        <v>332</v>
      </c>
      <c r="G13" t="s">
        <v>143</v>
      </c>
      <c r="I13" t="s">
        <v>152</v>
      </c>
      <c r="J13" t="s">
        <v>336</v>
      </c>
      <c r="K13">
        <v>8.1365284355749273E-3</v>
      </c>
      <c r="L13" t="s">
        <v>154</v>
      </c>
      <c r="N13" t="s">
        <v>195</v>
      </c>
      <c r="O13" t="s">
        <v>336</v>
      </c>
      <c r="P13">
        <v>2.56076474527182E-2</v>
      </c>
      <c r="Q13" t="s">
        <v>154</v>
      </c>
      <c r="S13" t="s">
        <v>226</v>
      </c>
      <c r="T13" t="s">
        <v>336</v>
      </c>
      <c r="U13">
        <v>2.6101427330050862E-2</v>
      </c>
      <c r="V13" t="s">
        <v>154</v>
      </c>
      <c r="X13">
        <v>2.0776255707762557E-2</v>
      </c>
      <c r="Y13">
        <v>3.5896543437005365E-2</v>
      </c>
      <c r="Z13" t="s">
        <v>336</v>
      </c>
      <c r="AA13" t="s">
        <v>25</v>
      </c>
      <c r="AC13" t="s">
        <v>22</v>
      </c>
      <c r="AD13" t="s">
        <v>336</v>
      </c>
      <c r="AE13">
        <v>2.1605047093516867E-2</v>
      </c>
      <c r="AG13" t="s">
        <v>97</v>
      </c>
      <c r="AH13" t="s">
        <v>336</v>
      </c>
      <c r="AI13">
        <v>0.15771000762898768</v>
      </c>
      <c r="AK13">
        <v>2020</v>
      </c>
      <c r="AL13" t="s">
        <v>331</v>
      </c>
      <c r="AM13">
        <v>0.39921360937249245</v>
      </c>
      <c r="AN13" t="s">
        <v>279</v>
      </c>
    </row>
    <row r="14" spans="1:40" x14ac:dyDescent="0.25">
      <c r="C14" t="s">
        <v>333</v>
      </c>
      <c r="I14" t="s">
        <v>152</v>
      </c>
      <c r="J14" t="s">
        <v>337</v>
      </c>
      <c r="K14">
        <v>0.24983824760007134</v>
      </c>
      <c r="L14" t="s">
        <v>154</v>
      </c>
      <c r="N14" t="s">
        <v>195</v>
      </c>
      <c r="O14" t="s">
        <v>337</v>
      </c>
      <c r="P14">
        <v>9.7243808740611212E-2</v>
      </c>
      <c r="Q14" t="s">
        <v>154</v>
      </c>
      <c r="S14" t="s">
        <v>226</v>
      </c>
      <c r="T14" t="s">
        <v>337</v>
      </c>
      <c r="U14">
        <v>8.1103346915398916E-2</v>
      </c>
      <c r="V14" t="s">
        <v>154</v>
      </c>
      <c r="X14">
        <v>0.11552511415525114</v>
      </c>
      <c r="Y14">
        <v>0.16263862301005233</v>
      </c>
      <c r="Z14" t="s">
        <v>337</v>
      </c>
      <c r="AA14" t="s">
        <v>25</v>
      </c>
      <c r="AC14" t="s">
        <v>22</v>
      </c>
      <c r="AD14" t="s">
        <v>337</v>
      </c>
      <c r="AE14">
        <v>0.11291933324386726</v>
      </c>
      <c r="AG14" t="s">
        <v>97</v>
      </c>
      <c r="AH14" t="s">
        <v>337</v>
      </c>
      <c r="AI14">
        <v>0.20781020817728479</v>
      </c>
      <c r="AK14">
        <v>2020</v>
      </c>
      <c r="AL14" t="s">
        <v>333</v>
      </c>
      <c r="AM14">
        <v>0.24086907834189222</v>
      </c>
      <c r="AN14" t="s">
        <v>279</v>
      </c>
    </row>
    <row r="15" spans="1:40" x14ac:dyDescent="0.25">
      <c r="I15" t="s">
        <v>152</v>
      </c>
      <c r="J15" t="s">
        <v>338</v>
      </c>
      <c r="K15">
        <v>0</v>
      </c>
      <c r="L15" t="s">
        <v>154</v>
      </c>
      <c r="N15" t="s">
        <v>195</v>
      </c>
      <c r="O15" t="s">
        <v>338</v>
      </c>
      <c r="P15">
        <v>0.1012894308172239</v>
      </c>
      <c r="Q15" t="s">
        <v>154</v>
      </c>
      <c r="S15" t="s">
        <v>226</v>
      </c>
      <c r="T15" t="s">
        <v>338</v>
      </c>
      <c r="U15">
        <v>8.9399249368262934E-2</v>
      </c>
      <c r="V15" t="s">
        <v>154</v>
      </c>
      <c r="X15">
        <v>0.11552511415525114</v>
      </c>
      <c r="Y15">
        <v>5.3125160563193538E-2</v>
      </c>
      <c r="Z15" t="s">
        <v>338</v>
      </c>
      <c r="AA15" t="s">
        <v>25</v>
      </c>
      <c r="AC15" t="s">
        <v>22</v>
      </c>
      <c r="AD15" t="s">
        <v>338</v>
      </c>
      <c r="AE15">
        <v>9.3062010897009939E-2</v>
      </c>
      <c r="AG15" t="s">
        <v>97</v>
      </c>
      <c r="AH15" t="s">
        <v>338</v>
      </c>
      <c r="AI15">
        <v>0.40587937953255193</v>
      </c>
      <c r="AK15">
        <v>2021</v>
      </c>
      <c r="AL15" t="s">
        <v>328</v>
      </c>
      <c r="AM15">
        <v>0.24645030382857577</v>
      </c>
      <c r="AN15" t="s">
        <v>279</v>
      </c>
    </row>
    <row r="16" spans="1:40" x14ac:dyDescent="0.25">
      <c r="I16" t="s">
        <v>152</v>
      </c>
      <c r="J16" t="s">
        <v>339</v>
      </c>
      <c r="K16">
        <v>1.5631488719833032E-2</v>
      </c>
      <c r="L16" t="s">
        <v>154</v>
      </c>
      <c r="N16" t="s">
        <v>195</v>
      </c>
      <c r="O16" t="s">
        <v>339</v>
      </c>
      <c r="P16">
        <v>1.7773375267235776E-2</v>
      </c>
      <c r="Q16" t="s">
        <v>154</v>
      </c>
      <c r="S16" t="s">
        <v>226</v>
      </c>
      <c r="T16" t="s">
        <v>339</v>
      </c>
      <c r="U16">
        <v>1.4434608148246401E-2</v>
      </c>
      <c r="V16" t="s">
        <v>154</v>
      </c>
      <c r="X16">
        <v>2.1004566210045664E-2</v>
      </c>
      <c r="Y16">
        <v>3.6291010947302131E-2</v>
      </c>
      <c r="Z16" t="s">
        <v>339</v>
      </c>
      <c r="AA16" t="s">
        <v>25</v>
      </c>
      <c r="AC16" t="s">
        <v>22</v>
      </c>
      <c r="AD16" t="s">
        <v>339</v>
      </c>
      <c r="AE16">
        <v>2.1815804585764455E-2</v>
      </c>
      <c r="AG16" t="s">
        <v>97</v>
      </c>
      <c r="AH16" t="s">
        <v>339</v>
      </c>
      <c r="AI16">
        <v>0.20270755574529264</v>
      </c>
      <c r="AK16">
        <v>2021</v>
      </c>
      <c r="AL16" t="s">
        <v>330</v>
      </c>
      <c r="AM16">
        <v>0.3756045438491129</v>
      </c>
      <c r="AN16" t="s">
        <v>279</v>
      </c>
    </row>
    <row r="17" spans="9:40" x14ac:dyDescent="0.25">
      <c r="I17" t="s">
        <v>152</v>
      </c>
      <c r="J17" t="s">
        <v>340</v>
      </c>
      <c r="K17">
        <v>0.30999795895549009</v>
      </c>
      <c r="L17" t="s">
        <v>154</v>
      </c>
      <c r="N17" t="s">
        <v>195</v>
      </c>
      <c r="O17" t="s">
        <v>340</v>
      </c>
      <c r="P17">
        <v>8.1307427997053899E-2</v>
      </c>
      <c r="Q17" t="s">
        <v>154</v>
      </c>
      <c r="S17" t="s">
        <v>226</v>
      </c>
      <c r="T17" t="s">
        <v>340</v>
      </c>
      <c r="U17">
        <v>8.1619928327485478E-2</v>
      </c>
      <c r="V17" t="s">
        <v>154</v>
      </c>
      <c r="X17">
        <v>0.11552511415525114</v>
      </c>
      <c r="Y17">
        <v>0.16263862301005233</v>
      </c>
      <c r="Z17" t="s">
        <v>340</v>
      </c>
      <c r="AA17" t="s">
        <v>25</v>
      </c>
      <c r="AC17" t="s">
        <v>22</v>
      </c>
      <c r="AD17" t="s">
        <v>340</v>
      </c>
      <c r="AE17">
        <v>0.13322218356135063</v>
      </c>
      <c r="AG17" t="s">
        <v>97</v>
      </c>
      <c r="AH17" t="s">
        <v>340</v>
      </c>
      <c r="AI17">
        <v>0.32953594935213926</v>
      </c>
      <c r="AK17">
        <v>2021</v>
      </c>
      <c r="AL17" t="s">
        <v>331</v>
      </c>
      <c r="AM17">
        <v>0.38272369981898219</v>
      </c>
      <c r="AN17" t="s">
        <v>279</v>
      </c>
    </row>
    <row r="18" spans="9:40" x14ac:dyDescent="0.25">
      <c r="I18" t="s">
        <v>152</v>
      </c>
      <c r="J18" t="s">
        <v>341</v>
      </c>
      <c r="K18">
        <v>0</v>
      </c>
      <c r="L18" t="s">
        <v>154</v>
      </c>
      <c r="N18" t="s">
        <v>195</v>
      </c>
      <c r="O18" t="s">
        <v>341</v>
      </c>
      <c r="P18">
        <v>9.5525762173155226E-2</v>
      </c>
      <c r="Q18" t="s">
        <v>154</v>
      </c>
      <c r="S18" t="s">
        <v>226</v>
      </c>
      <c r="T18" t="s">
        <v>341</v>
      </c>
      <c r="U18">
        <v>9.3111458003214465E-2</v>
      </c>
      <c r="V18" t="s">
        <v>154</v>
      </c>
      <c r="X18">
        <v>0.11552511415525114</v>
      </c>
      <c r="Y18">
        <v>5.3125160563193538E-2</v>
      </c>
      <c r="Z18" t="s">
        <v>341</v>
      </c>
      <c r="AA18" t="s">
        <v>25</v>
      </c>
      <c r="AC18" t="s">
        <v>22</v>
      </c>
      <c r="AD18" t="s">
        <v>341</v>
      </c>
      <c r="AE18">
        <v>0.10794184921893428</v>
      </c>
      <c r="AG18" t="s">
        <v>97</v>
      </c>
      <c r="AH18" t="s">
        <v>341</v>
      </c>
      <c r="AI18">
        <v>0.42214021752104158</v>
      </c>
      <c r="AK18">
        <v>2021</v>
      </c>
      <c r="AL18" t="s">
        <v>333</v>
      </c>
      <c r="AM18">
        <v>0.22320603189539737</v>
      </c>
      <c r="AN18" t="s">
        <v>279</v>
      </c>
    </row>
    <row r="19" spans="9:40" x14ac:dyDescent="0.25">
      <c r="I19" t="s">
        <v>152</v>
      </c>
      <c r="J19" t="s">
        <v>342</v>
      </c>
      <c r="K19">
        <v>2.6937320972513772E-2</v>
      </c>
      <c r="L19" t="s">
        <v>154</v>
      </c>
      <c r="N19" t="s">
        <v>195</v>
      </c>
      <c r="O19" t="s">
        <v>342</v>
      </c>
      <c r="P19">
        <v>1.3887205835562138E-2</v>
      </c>
      <c r="Q19" t="s">
        <v>154</v>
      </c>
      <c r="S19" t="s">
        <v>226</v>
      </c>
      <c r="T19" t="s">
        <v>342</v>
      </c>
      <c r="U19">
        <v>1.4125900009745019E-2</v>
      </c>
      <c r="V19" t="s">
        <v>154</v>
      </c>
      <c r="X19">
        <v>2.1004566210045664E-2</v>
      </c>
      <c r="Y19">
        <v>3.6291010947302131E-2</v>
      </c>
      <c r="Z19" t="s">
        <v>342</v>
      </c>
      <c r="AA19" t="s">
        <v>25</v>
      </c>
      <c r="AC19" t="s">
        <v>22</v>
      </c>
      <c r="AD19" t="s">
        <v>342</v>
      </c>
      <c r="AE19">
        <v>2.5444132683398131E-2</v>
      </c>
      <c r="AG19" t="s">
        <v>97</v>
      </c>
      <c r="AH19" t="s">
        <v>342</v>
      </c>
      <c r="AI19">
        <v>0.27171650924181345</v>
      </c>
      <c r="AK19">
        <v>2022</v>
      </c>
      <c r="AL19" t="s">
        <v>328</v>
      </c>
      <c r="AM19">
        <v>0.25478850504588313</v>
      </c>
      <c r="AN19" t="s">
        <v>279</v>
      </c>
    </row>
    <row r="20" spans="9:40" x14ac:dyDescent="0.25">
      <c r="I20" t="s">
        <v>152</v>
      </c>
      <c r="J20" t="s">
        <v>343</v>
      </c>
      <c r="K20">
        <v>0.14513669719864811</v>
      </c>
      <c r="L20" t="s">
        <v>154</v>
      </c>
      <c r="N20" t="s">
        <v>195</v>
      </c>
      <c r="O20" t="s">
        <v>343</v>
      </c>
      <c r="P20">
        <v>0.12482425795922122</v>
      </c>
      <c r="Q20" t="s">
        <v>154</v>
      </c>
      <c r="S20" t="s">
        <v>226</v>
      </c>
      <c r="T20" t="s">
        <v>343</v>
      </c>
      <c r="U20">
        <v>0.14273069973685987</v>
      </c>
      <c r="V20" t="s">
        <v>154</v>
      </c>
      <c r="X20">
        <v>0.11301369863013698</v>
      </c>
      <c r="Y20">
        <v>0.15910300077070333</v>
      </c>
      <c r="Z20" t="s">
        <v>343</v>
      </c>
      <c r="AA20" t="s">
        <v>25</v>
      </c>
      <c r="AC20" t="s">
        <v>22</v>
      </c>
      <c r="AD20" t="s">
        <v>343</v>
      </c>
      <c r="AE20">
        <v>0.13789882380245319</v>
      </c>
      <c r="AG20" t="s">
        <v>97</v>
      </c>
      <c r="AH20" t="s">
        <v>343</v>
      </c>
      <c r="AI20">
        <v>0.12924165493743245</v>
      </c>
      <c r="AK20">
        <v>2022</v>
      </c>
      <c r="AL20" t="s">
        <v>330</v>
      </c>
      <c r="AM20">
        <v>0.33776913495513355</v>
      </c>
      <c r="AN20" t="s">
        <v>279</v>
      </c>
    </row>
    <row r="21" spans="9:40" x14ac:dyDescent="0.25">
      <c r="I21" t="s">
        <v>152</v>
      </c>
      <c r="J21" t="s">
        <v>344</v>
      </c>
      <c r="K21">
        <v>0</v>
      </c>
      <c r="L21" t="s">
        <v>154</v>
      </c>
      <c r="N21" t="s">
        <v>195</v>
      </c>
      <c r="O21" t="s">
        <v>344</v>
      </c>
      <c r="P21">
        <v>0.13360760017643236</v>
      </c>
      <c r="Q21" t="s">
        <v>154</v>
      </c>
      <c r="S21" t="s">
        <v>226</v>
      </c>
      <c r="T21" t="s">
        <v>344</v>
      </c>
      <c r="U21">
        <v>0.154700469809333</v>
      </c>
      <c r="V21" t="s">
        <v>154</v>
      </c>
      <c r="X21">
        <v>0.11301369863013698</v>
      </c>
      <c r="Y21">
        <v>5.197026576834151E-2</v>
      </c>
      <c r="Z21" t="s">
        <v>344</v>
      </c>
      <c r="AA21" t="s">
        <v>25</v>
      </c>
      <c r="AC21" t="s">
        <v>22</v>
      </c>
      <c r="AD21" t="s">
        <v>344</v>
      </c>
      <c r="AE21">
        <v>0.11268774617277542</v>
      </c>
      <c r="AG21" t="s">
        <v>97</v>
      </c>
      <c r="AH21" t="s">
        <v>344</v>
      </c>
      <c r="AI21">
        <v>0.3154872895541172</v>
      </c>
      <c r="AK21">
        <v>2022</v>
      </c>
      <c r="AL21" t="s">
        <v>331</v>
      </c>
      <c r="AM21">
        <v>0.34928230678631039</v>
      </c>
      <c r="AN21" t="s">
        <v>279</v>
      </c>
    </row>
    <row r="22" spans="9:40" x14ac:dyDescent="0.25">
      <c r="I22" t="s">
        <v>152</v>
      </c>
      <c r="J22" t="s">
        <v>345</v>
      </c>
      <c r="K22">
        <v>3.1071722164587802E-3</v>
      </c>
      <c r="L22" t="s">
        <v>154</v>
      </c>
      <c r="N22" t="s">
        <v>195</v>
      </c>
      <c r="O22" t="s">
        <v>345</v>
      </c>
      <c r="P22">
        <v>2.4473224494741871E-2</v>
      </c>
      <c r="Q22" t="s">
        <v>154</v>
      </c>
      <c r="S22" t="s">
        <v>226</v>
      </c>
      <c r="T22" t="s">
        <v>345</v>
      </c>
      <c r="U22">
        <v>2.6328522780527597E-2</v>
      </c>
      <c r="V22" t="s">
        <v>154</v>
      </c>
      <c r="X22">
        <v>2.0547945205479451E-2</v>
      </c>
      <c r="Y22">
        <v>3.5502075926708607E-2</v>
      </c>
      <c r="Z22" t="s">
        <v>345</v>
      </c>
      <c r="AA22" t="s">
        <v>25</v>
      </c>
      <c r="AC22" t="s">
        <v>22</v>
      </c>
      <c r="AD22" t="s">
        <v>345</v>
      </c>
      <c r="AE22">
        <v>2.8048250079245576E-2</v>
      </c>
      <c r="AG22" t="s">
        <v>97</v>
      </c>
      <c r="AH22" t="s">
        <v>345</v>
      </c>
      <c r="AI22">
        <v>6.9390026499655422E-2</v>
      </c>
      <c r="AK22">
        <v>2022</v>
      </c>
      <c r="AL22" t="s">
        <v>333</v>
      </c>
      <c r="AM22">
        <v>0.19430463407814128</v>
      </c>
      <c r="AN22" t="s">
        <v>279</v>
      </c>
    </row>
    <row r="23" spans="9:40" x14ac:dyDescent="0.25">
      <c r="I23" t="s">
        <v>166</v>
      </c>
      <c r="J23" t="s">
        <v>334</v>
      </c>
      <c r="K23">
        <v>0.23966038427964961</v>
      </c>
      <c r="L23" t="s">
        <v>154</v>
      </c>
      <c r="N23" t="s">
        <v>196</v>
      </c>
      <c r="O23" t="s">
        <v>334</v>
      </c>
      <c r="P23">
        <v>0.12742717773544404</v>
      </c>
      <c r="Q23" t="s">
        <v>154</v>
      </c>
      <c r="S23" t="s">
        <v>227</v>
      </c>
      <c r="T23" t="s">
        <v>334</v>
      </c>
      <c r="U23">
        <v>0.14453911183763379</v>
      </c>
      <c r="V23" t="s">
        <v>154</v>
      </c>
      <c r="AC23" t="s">
        <v>19</v>
      </c>
      <c r="AD23" t="s">
        <v>334</v>
      </c>
      <c r="AE23">
        <v>0.11477008865237799</v>
      </c>
      <c r="AK23">
        <v>2025</v>
      </c>
      <c r="AL23" t="s">
        <v>328</v>
      </c>
      <c r="AM23">
        <v>0.20649999999999999</v>
      </c>
      <c r="AN23" t="s">
        <v>279</v>
      </c>
    </row>
    <row r="24" spans="9:40" x14ac:dyDescent="0.25">
      <c r="I24" t="s">
        <v>166</v>
      </c>
      <c r="J24" t="s">
        <v>335</v>
      </c>
      <c r="K24">
        <v>0</v>
      </c>
      <c r="L24" t="s">
        <v>154</v>
      </c>
      <c r="N24" t="s">
        <v>196</v>
      </c>
      <c r="O24" t="s">
        <v>335</v>
      </c>
      <c r="P24">
        <v>0.12887813673294138</v>
      </c>
      <c r="Q24" t="s">
        <v>154</v>
      </c>
      <c r="S24" t="s">
        <v>227</v>
      </c>
      <c r="T24" t="s">
        <v>335</v>
      </c>
      <c r="U24">
        <v>0.14636339768683773</v>
      </c>
      <c r="V24" t="s">
        <v>154</v>
      </c>
      <c r="AC24" t="s">
        <v>19</v>
      </c>
      <c r="AD24" t="s">
        <v>335</v>
      </c>
      <c r="AE24">
        <v>0.11346439850147436</v>
      </c>
      <c r="AK24">
        <v>2025</v>
      </c>
      <c r="AL24" t="s">
        <v>330</v>
      </c>
      <c r="AM24">
        <v>0.27543333333333336</v>
      </c>
      <c r="AN24" t="s">
        <v>279</v>
      </c>
    </row>
    <row r="25" spans="9:40" x14ac:dyDescent="0.25">
      <c r="I25" t="s">
        <v>166</v>
      </c>
      <c r="J25" t="s">
        <v>336</v>
      </c>
      <c r="K25">
        <v>1.0707573690630115E-2</v>
      </c>
      <c r="L25" t="s">
        <v>154</v>
      </c>
      <c r="N25" t="s">
        <v>196</v>
      </c>
      <c r="O25" t="s">
        <v>336</v>
      </c>
      <c r="P25">
        <v>2.3215432214881801E-2</v>
      </c>
      <c r="Q25" t="s">
        <v>154</v>
      </c>
      <c r="S25" t="s">
        <v>227</v>
      </c>
      <c r="T25" t="s">
        <v>336</v>
      </c>
      <c r="U25">
        <v>2.6390805395116953E-2</v>
      </c>
      <c r="V25" t="s">
        <v>154</v>
      </c>
      <c r="AC25" t="s">
        <v>19</v>
      </c>
      <c r="AD25" t="s">
        <v>336</v>
      </c>
      <c r="AE25">
        <v>2.0939866540928102E-2</v>
      </c>
      <c r="AK25">
        <v>2025</v>
      </c>
      <c r="AL25" t="s">
        <v>331</v>
      </c>
      <c r="AM25">
        <v>0.29716666666666663</v>
      </c>
      <c r="AN25" t="s">
        <v>279</v>
      </c>
    </row>
    <row r="26" spans="9:40" x14ac:dyDescent="0.25">
      <c r="I26" t="s">
        <v>166</v>
      </c>
      <c r="J26" t="s">
        <v>337</v>
      </c>
      <c r="K26">
        <v>0.23027924106381364</v>
      </c>
      <c r="L26" t="s">
        <v>154</v>
      </c>
      <c r="N26" t="s">
        <v>196</v>
      </c>
      <c r="O26" t="s">
        <v>337</v>
      </c>
      <c r="P26">
        <v>0.10394633913858767</v>
      </c>
      <c r="Q26" t="s">
        <v>154</v>
      </c>
      <c r="S26" t="s">
        <v>227</v>
      </c>
      <c r="T26" t="s">
        <v>337</v>
      </c>
      <c r="U26">
        <v>8.9093051314217339E-2</v>
      </c>
      <c r="V26" t="s">
        <v>154</v>
      </c>
      <c r="AC26" t="s">
        <v>19</v>
      </c>
      <c r="AD26" t="s">
        <v>337</v>
      </c>
      <c r="AE26">
        <v>0.11600961702825868</v>
      </c>
      <c r="AK26">
        <v>2025</v>
      </c>
      <c r="AL26" t="s">
        <v>333</v>
      </c>
      <c r="AM26">
        <v>0.19586666666666666</v>
      </c>
      <c r="AN26" t="s">
        <v>279</v>
      </c>
    </row>
    <row r="27" spans="9:40" x14ac:dyDescent="0.25">
      <c r="I27" t="s">
        <v>166</v>
      </c>
      <c r="J27" t="s">
        <v>338</v>
      </c>
      <c r="K27">
        <v>0</v>
      </c>
      <c r="L27" t="s">
        <v>154</v>
      </c>
      <c r="N27" t="s">
        <v>196</v>
      </c>
      <c r="O27" t="s">
        <v>338</v>
      </c>
      <c r="P27">
        <v>0.11060517598018571</v>
      </c>
      <c r="Q27" t="s">
        <v>154</v>
      </c>
      <c r="S27" t="s">
        <v>227</v>
      </c>
      <c r="T27" t="s">
        <v>338</v>
      </c>
      <c r="U27">
        <v>9.1679094167000222E-2</v>
      </c>
      <c r="V27" t="s">
        <v>154</v>
      </c>
      <c r="AC27" t="s">
        <v>19</v>
      </c>
      <c r="AD27" t="s">
        <v>338</v>
      </c>
      <c r="AE27">
        <v>0.11471612504287561</v>
      </c>
      <c r="AK27">
        <v>2026</v>
      </c>
      <c r="AL27" t="s">
        <v>328</v>
      </c>
      <c r="AM27">
        <v>0.19673333333333334</v>
      </c>
      <c r="AN27" t="s">
        <v>279</v>
      </c>
    </row>
    <row r="28" spans="9:40" x14ac:dyDescent="0.25">
      <c r="I28" t="s">
        <v>166</v>
      </c>
      <c r="J28" t="s">
        <v>339</v>
      </c>
      <c r="K28">
        <v>1.6913746193130318E-2</v>
      </c>
      <c r="L28" t="s">
        <v>154</v>
      </c>
      <c r="N28" t="s">
        <v>196</v>
      </c>
      <c r="O28" t="s">
        <v>339</v>
      </c>
      <c r="P28">
        <v>2.0331503319931662E-2</v>
      </c>
      <c r="Q28" t="s">
        <v>154</v>
      </c>
      <c r="S28" t="s">
        <v>227</v>
      </c>
      <c r="T28" t="s">
        <v>339</v>
      </c>
      <c r="U28">
        <v>1.5034675459165306E-2</v>
      </c>
      <c r="V28" t="s">
        <v>154</v>
      </c>
      <c r="AC28" t="s">
        <v>19</v>
      </c>
      <c r="AD28" t="s">
        <v>339</v>
      </c>
      <c r="AE28">
        <v>2.1176362725377665E-2</v>
      </c>
      <c r="AK28">
        <v>2026</v>
      </c>
      <c r="AL28" t="s">
        <v>330</v>
      </c>
      <c r="AM28">
        <v>0.28056666666666669</v>
      </c>
      <c r="AN28" t="s">
        <v>279</v>
      </c>
    </row>
    <row r="29" spans="9:40" x14ac:dyDescent="0.25">
      <c r="I29" t="s">
        <v>166</v>
      </c>
      <c r="J29" t="s">
        <v>340</v>
      </c>
      <c r="K29">
        <v>0.32001256850989312</v>
      </c>
      <c r="L29" t="s">
        <v>154</v>
      </c>
      <c r="N29" t="s">
        <v>196</v>
      </c>
      <c r="O29" t="s">
        <v>340</v>
      </c>
      <c r="P29">
        <v>9.6711461250982636E-2</v>
      </c>
      <c r="Q29" t="s">
        <v>154</v>
      </c>
      <c r="S29" t="s">
        <v>227</v>
      </c>
      <c r="T29" t="s">
        <v>340</v>
      </c>
      <c r="U29">
        <v>7.6064031592797288E-2</v>
      </c>
      <c r="V29" t="s">
        <v>154</v>
      </c>
      <c r="AC29" t="s">
        <v>19</v>
      </c>
      <c r="AD29" t="s">
        <v>340</v>
      </c>
      <c r="AE29">
        <v>0.11628537663356397</v>
      </c>
      <c r="AK29">
        <v>2026</v>
      </c>
      <c r="AL29" t="s">
        <v>331</v>
      </c>
      <c r="AM29">
        <v>0.3022333333333333</v>
      </c>
      <c r="AN29" t="s">
        <v>279</v>
      </c>
    </row>
    <row r="30" spans="9:40" x14ac:dyDescent="0.25">
      <c r="I30" t="s">
        <v>166</v>
      </c>
      <c r="J30" t="s">
        <v>341</v>
      </c>
      <c r="K30">
        <v>0</v>
      </c>
      <c r="L30" t="s">
        <v>154</v>
      </c>
      <c r="N30" t="s">
        <v>196</v>
      </c>
      <c r="O30" t="s">
        <v>341</v>
      </c>
      <c r="P30">
        <v>9.9930139645679691E-2</v>
      </c>
      <c r="Q30" t="s">
        <v>154</v>
      </c>
      <c r="S30" t="s">
        <v>227</v>
      </c>
      <c r="T30" t="s">
        <v>341</v>
      </c>
      <c r="U30">
        <v>8.7779863088769894E-2</v>
      </c>
      <c r="V30" t="s">
        <v>154</v>
      </c>
      <c r="AC30" t="s">
        <v>19</v>
      </c>
      <c r="AD30" t="s">
        <v>341</v>
      </c>
      <c r="AE30">
        <v>0.11463863346806891</v>
      </c>
      <c r="AK30">
        <v>2026</v>
      </c>
      <c r="AL30" t="s">
        <v>333</v>
      </c>
      <c r="AM30">
        <v>0.19163333333333332</v>
      </c>
      <c r="AN30" t="s">
        <v>279</v>
      </c>
    </row>
    <row r="31" spans="9:40" x14ac:dyDescent="0.25">
      <c r="I31" t="s">
        <v>166</v>
      </c>
      <c r="J31" t="s">
        <v>342</v>
      </c>
      <c r="K31">
        <v>3.073221091962219E-2</v>
      </c>
      <c r="L31" t="s">
        <v>154</v>
      </c>
      <c r="N31" t="s">
        <v>196</v>
      </c>
      <c r="O31" t="s">
        <v>342</v>
      </c>
      <c r="P31">
        <v>1.747797688728802E-2</v>
      </c>
      <c r="Q31" t="s">
        <v>154</v>
      </c>
      <c r="S31" t="s">
        <v>227</v>
      </c>
      <c r="T31" t="s">
        <v>342</v>
      </c>
      <c r="U31">
        <v>1.2882105876066984E-2</v>
      </c>
      <c r="V31" t="s">
        <v>154</v>
      </c>
      <c r="AC31" t="s">
        <v>19</v>
      </c>
      <c r="AD31" t="s">
        <v>342</v>
      </c>
      <c r="AE31">
        <v>2.1222390595869754E-2</v>
      </c>
      <c r="AK31">
        <v>2027</v>
      </c>
      <c r="AL31" t="s">
        <v>328</v>
      </c>
      <c r="AM31">
        <v>0.20446666666666666</v>
      </c>
      <c r="AN31" t="s">
        <v>279</v>
      </c>
    </row>
    <row r="32" spans="9:40" x14ac:dyDescent="0.25">
      <c r="I32" t="s">
        <v>166</v>
      </c>
      <c r="J32" t="s">
        <v>343</v>
      </c>
      <c r="K32">
        <v>0.14681704705239804</v>
      </c>
      <c r="L32" t="s">
        <v>154</v>
      </c>
      <c r="N32" t="s">
        <v>196</v>
      </c>
      <c r="O32" t="s">
        <v>343</v>
      </c>
      <c r="P32">
        <v>0.12232671914544796</v>
      </c>
      <c r="Q32" t="s">
        <v>154</v>
      </c>
      <c r="S32" t="s">
        <v>227</v>
      </c>
      <c r="T32" t="s">
        <v>343</v>
      </c>
      <c r="U32">
        <v>0.13495519320560911</v>
      </c>
      <c r="V32" t="s">
        <v>154</v>
      </c>
      <c r="AC32" t="s">
        <v>19</v>
      </c>
      <c r="AD32" t="s">
        <v>343</v>
      </c>
      <c r="AE32">
        <v>0.11377003699141115</v>
      </c>
      <c r="AK32">
        <v>2027</v>
      </c>
      <c r="AL32" t="s">
        <v>330</v>
      </c>
      <c r="AM32">
        <v>0.29189999999999999</v>
      </c>
      <c r="AN32" t="s">
        <v>279</v>
      </c>
    </row>
    <row r="33" spans="9:40" x14ac:dyDescent="0.25">
      <c r="I33" t="s">
        <v>166</v>
      </c>
      <c r="J33" t="s">
        <v>344</v>
      </c>
      <c r="K33">
        <v>0</v>
      </c>
      <c r="L33" t="s">
        <v>154</v>
      </c>
      <c r="N33" t="s">
        <v>196</v>
      </c>
      <c r="O33" t="s">
        <v>344</v>
      </c>
      <c r="P33">
        <v>0.12542312724166058</v>
      </c>
      <c r="Q33" t="s">
        <v>154</v>
      </c>
      <c r="S33" t="s">
        <v>227</v>
      </c>
      <c r="T33" t="s">
        <v>344</v>
      </c>
      <c r="U33">
        <v>0.15007863861667919</v>
      </c>
      <c r="V33" t="s">
        <v>154</v>
      </c>
      <c r="AC33" t="s">
        <v>19</v>
      </c>
      <c r="AD33" t="s">
        <v>344</v>
      </c>
      <c r="AE33">
        <v>0.11212780515938271</v>
      </c>
      <c r="AK33">
        <v>2027</v>
      </c>
      <c r="AL33" t="s">
        <v>331</v>
      </c>
      <c r="AM33">
        <v>0.28859999999999997</v>
      </c>
      <c r="AN33" t="s">
        <v>279</v>
      </c>
    </row>
    <row r="34" spans="9:40" x14ac:dyDescent="0.25">
      <c r="I34" t="s">
        <v>166</v>
      </c>
      <c r="J34" t="s">
        <v>345</v>
      </c>
      <c r="K34">
        <v>4.8772282908651618E-3</v>
      </c>
      <c r="L34" t="s">
        <v>154</v>
      </c>
      <c r="N34" t="s">
        <v>196</v>
      </c>
      <c r="O34" t="s">
        <v>345</v>
      </c>
      <c r="P34">
        <v>2.3726810706968447E-2</v>
      </c>
      <c r="Q34" t="s">
        <v>154</v>
      </c>
      <c r="S34" t="s">
        <v>227</v>
      </c>
      <c r="T34" t="s">
        <v>345</v>
      </c>
      <c r="U34">
        <v>2.5140031760107553E-2</v>
      </c>
      <c r="V34" t="s">
        <v>154</v>
      </c>
      <c r="AC34" t="s">
        <v>19</v>
      </c>
      <c r="AD34" t="s">
        <v>345</v>
      </c>
      <c r="AE34">
        <v>2.0879298660411088E-2</v>
      </c>
      <c r="AK34">
        <v>2027</v>
      </c>
      <c r="AL34" t="s">
        <v>333</v>
      </c>
      <c r="AM34">
        <v>0.18130000000000002</v>
      </c>
      <c r="AN34" t="s">
        <v>279</v>
      </c>
    </row>
    <row r="35" spans="9:40" x14ac:dyDescent="0.25">
      <c r="I35" t="s">
        <v>167</v>
      </c>
      <c r="J35" t="s">
        <v>334</v>
      </c>
      <c r="K35">
        <v>0.22406822619104097</v>
      </c>
      <c r="L35" t="s">
        <v>154</v>
      </c>
      <c r="N35" t="s">
        <v>197</v>
      </c>
      <c r="O35" t="s">
        <v>334</v>
      </c>
      <c r="P35">
        <v>0.11251745036214847</v>
      </c>
      <c r="Q35" t="s">
        <v>154</v>
      </c>
      <c r="S35" t="s">
        <v>228</v>
      </c>
      <c r="T35" t="s">
        <v>334</v>
      </c>
      <c r="U35">
        <v>0.13176206764750564</v>
      </c>
      <c r="V35" t="s">
        <v>154</v>
      </c>
      <c r="AK35">
        <v>2028</v>
      </c>
      <c r="AL35" t="s">
        <v>328</v>
      </c>
      <c r="AM35">
        <v>0.20706666666666665</v>
      </c>
      <c r="AN35" t="s">
        <v>279</v>
      </c>
    </row>
    <row r="36" spans="9:40" x14ac:dyDescent="0.25">
      <c r="I36" t="s">
        <v>167</v>
      </c>
      <c r="J36" t="s">
        <v>335</v>
      </c>
      <c r="K36">
        <v>0</v>
      </c>
      <c r="L36" t="s">
        <v>154</v>
      </c>
      <c r="N36" t="s">
        <v>197</v>
      </c>
      <c r="O36" t="s">
        <v>335</v>
      </c>
      <c r="P36">
        <v>0.11424341396925465</v>
      </c>
      <c r="Q36" t="s">
        <v>154</v>
      </c>
      <c r="S36" t="s">
        <v>228</v>
      </c>
      <c r="T36" t="s">
        <v>335</v>
      </c>
      <c r="U36">
        <v>0.13564112590054886</v>
      </c>
      <c r="V36" t="s">
        <v>154</v>
      </c>
      <c r="AK36">
        <v>2028</v>
      </c>
      <c r="AL36" t="s">
        <v>330</v>
      </c>
      <c r="AM36">
        <v>0.29613333333333336</v>
      </c>
      <c r="AN36" t="s">
        <v>279</v>
      </c>
    </row>
    <row r="37" spans="9:40" x14ac:dyDescent="0.25">
      <c r="I37" t="s">
        <v>167</v>
      </c>
      <c r="J37" t="s">
        <v>336</v>
      </c>
      <c r="K37">
        <v>6.0143154574992296E-3</v>
      </c>
      <c r="L37" t="s">
        <v>154</v>
      </c>
      <c r="N37" t="s">
        <v>197</v>
      </c>
      <c r="O37" t="s">
        <v>336</v>
      </c>
      <c r="P37">
        <v>2.1812500606334984E-2</v>
      </c>
      <c r="Q37" t="s">
        <v>154</v>
      </c>
      <c r="S37" t="s">
        <v>228</v>
      </c>
      <c r="T37" t="s">
        <v>336</v>
      </c>
      <c r="U37">
        <v>2.4460663403613477E-2</v>
      </c>
      <c r="V37" t="s">
        <v>154</v>
      </c>
      <c r="AK37">
        <v>2028</v>
      </c>
      <c r="AL37" t="s">
        <v>331</v>
      </c>
      <c r="AM37">
        <v>0.30693333333333334</v>
      </c>
      <c r="AN37" t="s">
        <v>279</v>
      </c>
    </row>
    <row r="38" spans="9:40" x14ac:dyDescent="0.25">
      <c r="I38" t="s">
        <v>167</v>
      </c>
      <c r="J38" t="s">
        <v>337</v>
      </c>
      <c r="K38">
        <v>0.29692597288083261</v>
      </c>
      <c r="L38" t="s">
        <v>154</v>
      </c>
      <c r="N38" t="s">
        <v>197</v>
      </c>
      <c r="O38" t="s">
        <v>337</v>
      </c>
      <c r="P38">
        <v>0.12609110624616068</v>
      </c>
      <c r="Q38" t="s">
        <v>154</v>
      </c>
      <c r="S38" t="s">
        <v>228</v>
      </c>
      <c r="T38" t="s">
        <v>337</v>
      </c>
      <c r="U38">
        <v>0.10041880688115468</v>
      </c>
      <c r="V38" t="s">
        <v>154</v>
      </c>
      <c r="AK38">
        <v>2028</v>
      </c>
      <c r="AL38" t="s">
        <v>333</v>
      </c>
      <c r="AM38">
        <v>0.18446666666666667</v>
      </c>
      <c r="AN38" t="s">
        <v>279</v>
      </c>
    </row>
    <row r="39" spans="9:40" x14ac:dyDescent="0.25">
      <c r="I39" t="s">
        <v>167</v>
      </c>
      <c r="J39" t="s">
        <v>338</v>
      </c>
      <c r="K39">
        <v>7.7749396857454845E-4</v>
      </c>
      <c r="L39" t="s">
        <v>154</v>
      </c>
      <c r="N39" t="s">
        <v>197</v>
      </c>
      <c r="O39" t="s">
        <v>338</v>
      </c>
      <c r="P39">
        <v>0.12592753655036554</v>
      </c>
      <c r="Q39" t="s">
        <v>154</v>
      </c>
      <c r="S39" t="s">
        <v>228</v>
      </c>
      <c r="T39" t="s">
        <v>338</v>
      </c>
      <c r="U39">
        <v>0.1041327250892034</v>
      </c>
      <c r="V39" t="s">
        <v>154</v>
      </c>
      <c r="AK39">
        <v>2029</v>
      </c>
      <c r="AL39" t="s">
        <v>328</v>
      </c>
      <c r="AM39">
        <v>0.24726666666666666</v>
      </c>
      <c r="AN39" t="s">
        <v>279</v>
      </c>
    </row>
    <row r="40" spans="9:40" x14ac:dyDescent="0.25">
      <c r="I40" t="s">
        <v>167</v>
      </c>
      <c r="J40" t="s">
        <v>339</v>
      </c>
      <c r="K40">
        <v>2.2811342676044132E-2</v>
      </c>
      <c r="L40" t="s">
        <v>154</v>
      </c>
      <c r="N40" t="s">
        <v>197</v>
      </c>
      <c r="O40" t="s">
        <v>339</v>
      </c>
      <c r="P40">
        <v>2.4950606903943927E-2</v>
      </c>
      <c r="Q40" t="s">
        <v>154</v>
      </c>
      <c r="S40" t="s">
        <v>228</v>
      </c>
      <c r="T40" t="s">
        <v>339</v>
      </c>
      <c r="U40">
        <v>1.8573900513042765E-2</v>
      </c>
      <c r="V40" t="s">
        <v>154</v>
      </c>
      <c r="AK40">
        <v>2029</v>
      </c>
      <c r="AL40" t="s">
        <v>330</v>
      </c>
      <c r="AM40">
        <v>0.35266666666666663</v>
      </c>
      <c r="AN40" t="s">
        <v>279</v>
      </c>
    </row>
    <row r="41" spans="9:40" x14ac:dyDescent="0.25">
      <c r="I41" t="s">
        <v>167</v>
      </c>
      <c r="J41" t="s">
        <v>340</v>
      </c>
      <c r="K41">
        <v>0.24506145236974772</v>
      </c>
      <c r="L41" t="s">
        <v>154</v>
      </c>
      <c r="N41" t="s">
        <v>197</v>
      </c>
      <c r="O41" t="s">
        <v>340</v>
      </c>
      <c r="P41">
        <v>7.2061188823786537E-2</v>
      </c>
      <c r="Q41" t="s">
        <v>154</v>
      </c>
      <c r="S41" t="s">
        <v>228</v>
      </c>
      <c r="T41" t="s">
        <v>340</v>
      </c>
      <c r="U41">
        <v>9.2621496170348885E-2</v>
      </c>
      <c r="V41" t="s">
        <v>154</v>
      </c>
      <c r="AK41">
        <v>2029</v>
      </c>
      <c r="AL41" t="s">
        <v>331</v>
      </c>
      <c r="AM41">
        <v>0.37473333333333336</v>
      </c>
      <c r="AN41" t="s">
        <v>279</v>
      </c>
    </row>
    <row r="42" spans="9:40" x14ac:dyDescent="0.25">
      <c r="I42" t="s">
        <v>167</v>
      </c>
      <c r="J42" t="s">
        <v>341</v>
      </c>
      <c r="K42">
        <v>1.0335683007043879E-3</v>
      </c>
      <c r="L42" t="s">
        <v>154</v>
      </c>
      <c r="N42" t="s">
        <v>197</v>
      </c>
      <c r="O42" t="s">
        <v>341</v>
      </c>
      <c r="P42">
        <v>6.6765029187016489E-2</v>
      </c>
      <c r="Q42" t="s">
        <v>154</v>
      </c>
      <c r="S42" t="s">
        <v>228</v>
      </c>
      <c r="T42" t="s">
        <v>341</v>
      </c>
      <c r="U42">
        <v>0.1075245511843155</v>
      </c>
      <c r="V42" t="s">
        <v>154</v>
      </c>
      <c r="AK42">
        <v>2029</v>
      </c>
      <c r="AL42" t="s">
        <v>333</v>
      </c>
      <c r="AM42">
        <v>0.21963333333333332</v>
      </c>
      <c r="AN42" t="s">
        <v>279</v>
      </c>
    </row>
    <row r="43" spans="9:40" x14ac:dyDescent="0.25">
      <c r="I43" t="s">
        <v>167</v>
      </c>
      <c r="J43" t="s">
        <v>342</v>
      </c>
      <c r="K43">
        <v>2.0592506037653037E-2</v>
      </c>
      <c r="L43" t="s">
        <v>154</v>
      </c>
      <c r="N43" t="s">
        <v>197</v>
      </c>
      <c r="O43" t="s">
        <v>342</v>
      </c>
      <c r="P43">
        <v>1.2738958225579099E-2</v>
      </c>
      <c r="Q43" t="s">
        <v>154</v>
      </c>
      <c r="S43" t="s">
        <v>228</v>
      </c>
      <c r="T43" t="s">
        <v>342</v>
      </c>
      <c r="U43">
        <v>1.6443538677808796E-2</v>
      </c>
      <c r="V43" t="s">
        <v>154</v>
      </c>
      <c r="AK43">
        <v>2030</v>
      </c>
      <c r="AL43" t="s">
        <v>328</v>
      </c>
      <c r="AM43">
        <v>0.26043333333333335</v>
      </c>
      <c r="AN43" t="s">
        <v>279</v>
      </c>
    </row>
    <row r="44" spans="9:40" x14ac:dyDescent="0.25">
      <c r="I44" t="s">
        <v>167</v>
      </c>
      <c r="J44" t="s">
        <v>343</v>
      </c>
      <c r="K44">
        <v>0.17870034012597547</v>
      </c>
      <c r="L44" t="s">
        <v>154</v>
      </c>
      <c r="N44" t="s">
        <v>197</v>
      </c>
      <c r="O44" t="s">
        <v>343</v>
      </c>
      <c r="P44">
        <v>0.15111130434894679</v>
      </c>
      <c r="Q44" t="s">
        <v>154</v>
      </c>
      <c r="S44" t="s">
        <v>228</v>
      </c>
      <c r="T44" t="s">
        <v>343</v>
      </c>
      <c r="U44">
        <v>0.12409768265902707</v>
      </c>
      <c r="V44" t="s">
        <v>154</v>
      </c>
      <c r="AK44">
        <v>2030</v>
      </c>
      <c r="AL44" t="s">
        <v>330</v>
      </c>
      <c r="AM44">
        <v>0.35720000000000002</v>
      </c>
      <c r="AN44" t="s">
        <v>279</v>
      </c>
    </row>
    <row r="45" spans="9:40" x14ac:dyDescent="0.25">
      <c r="I45" t="s">
        <v>167</v>
      </c>
      <c r="J45" t="s">
        <v>344</v>
      </c>
      <c r="K45">
        <v>0</v>
      </c>
      <c r="L45" t="s">
        <v>154</v>
      </c>
      <c r="N45" t="s">
        <v>197</v>
      </c>
      <c r="O45" t="s">
        <v>344</v>
      </c>
      <c r="P45">
        <v>0.14053559010891045</v>
      </c>
      <c r="Q45" t="s">
        <v>154</v>
      </c>
      <c r="S45" t="s">
        <v>228</v>
      </c>
      <c r="T45" t="s">
        <v>344</v>
      </c>
      <c r="U45">
        <v>0.12095548296565896</v>
      </c>
      <c r="V45" t="s">
        <v>154</v>
      </c>
      <c r="AK45">
        <v>2030</v>
      </c>
      <c r="AL45" t="s">
        <v>331</v>
      </c>
      <c r="AM45">
        <v>0.35946666666666666</v>
      </c>
      <c r="AN45" t="s">
        <v>279</v>
      </c>
    </row>
    <row r="46" spans="9:40" x14ac:dyDescent="0.25">
      <c r="I46" t="s">
        <v>167</v>
      </c>
      <c r="J46" t="s">
        <v>345</v>
      </c>
      <c r="K46">
        <v>4.0147819919299733E-3</v>
      </c>
      <c r="L46" t="s">
        <v>154</v>
      </c>
      <c r="N46" t="s">
        <v>197</v>
      </c>
      <c r="O46" t="s">
        <v>345</v>
      </c>
      <c r="P46">
        <v>3.1245314667553339E-2</v>
      </c>
      <c r="Q46" t="s">
        <v>154</v>
      </c>
      <c r="S46" t="s">
        <v>228</v>
      </c>
      <c r="T46" t="s">
        <v>345</v>
      </c>
      <c r="U46">
        <v>2.3367958907772369E-2</v>
      </c>
      <c r="V46" t="s">
        <v>154</v>
      </c>
      <c r="AK46">
        <v>2030</v>
      </c>
      <c r="AL46" t="s">
        <v>333</v>
      </c>
      <c r="AM46">
        <v>0.22220000000000004</v>
      </c>
      <c r="AN46" t="s">
        <v>279</v>
      </c>
    </row>
    <row r="47" spans="9:40" x14ac:dyDescent="0.25">
      <c r="I47" t="s">
        <v>168</v>
      </c>
      <c r="J47" t="s">
        <v>334</v>
      </c>
      <c r="K47">
        <v>0.23484901773939404</v>
      </c>
      <c r="L47" t="s">
        <v>154</v>
      </c>
      <c r="N47" t="s">
        <v>198</v>
      </c>
      <c r="O47" t="s">
        <v>334</v>
      </c>
      <c r="P47">
        <v>0.12217564496427967</v>
      </c>
      <c r="Q47" t="s">
        <v>154</v>
      </c>
      <c r="S47" t="s">
        <v>229</v>
      </c>
      <c r="T47" t="s">
        <v>334</v>
      </c>
      <c r="U47">
        <v>0.13843261767352683</v>
      </c>
      <c r="V47" t="s">
        <v>154</v>
      </c>
      <c r="AK47">
        <v>2031</v>
      </c>
      <c r="AL47" t="s">
        <v>328</v>
      </c>
      <c r="AM47">
        <v>0.25243333333333334</v>
      </c>
      <c r="AN47" t="s">
        <v>279</v>
      </c>
    </row>
    <row r="48" spans="9:40" x14ac:dyDescent="0.25">
      <c r="I48" t="s">
        <v>168</v>
      </c>
      <c r="J48" t="s">
        <v>335</v>
      </c>
      <c r="K48">
        <v>0</v>
      </c>
      <c r="L48" t="s">
        <v>154</v>
      </c>
      <c r="N48" t="s">
        <v>198</v>
      </c>
      <c r="O48" t="s">
        <v>335</v>
      </c>
      <c r="P48">
        <v>0.12208645764374457</v>
      </c>
      <c r="Q48" t="s">
        <v>154</v>
      </c>
      <c r="S48" t="s">
        <v>229</v>
      </c>
      <c r="T48" t="s">
        <v>335</v>
      </c>
      <c r="U48">
        <v>0.14368453528142122</v>
      </c>
      <c r="V48" t="s">
        <v>154</v>
      </c>
      <c r="AK48">
        <v>2031</v>
      </c>
      <c r="AL48" t="s">
        <v>330</v>
      </c>
      <c r="AM48">
        <v>0.36193333333333327</v>
      </c>
      <c r="AN48" t="s">
        <v>279</v>
      </c>
    </row>
    <row r="49" spans="9:40" x14ac:dyDescent="0.25">
      <c r="I49" t="s">
        <v>168</v>
      </c>
      <c r="J49" t="s">
        <v>336</v>
      </c>
      <c r="K49">
        <v>5.8056677434892142E-3</v>
      </c>
      <c r="L49" t="s">
        <v>154</v>
      </c>
      <c r="N49" t="s">
        <v>198</v>
      </c>
      <c r="O49" t="s">
        <v>336</v>
      </c>
      <c r="P49">
        <v>2.4053843381551622E-2</v>
      </c>
      <c r="Q49" t="s">
        <v>154</v>
      </c>
      <c r="S49" t="s">
        <v>229</v>
      </c>
      <c r="T49" t="s">
        <v>336</v>
      </c>
      <c r="U49">
        <v>2.5952510678196455E-2</v>
      </c>
      <c r="V49" t="s">
        <v>154</v>
      </c>
      <c r="AK49">
        <v>2031</v>
      </c>
      <c r="AL49" t="s">
        <v>331</v>
      </c>
      <c r="AM49">
        <v>0.35790000000000005</v>
      </c>
      <c r="AN49" t="s">
        <v>279</v>
      </c>
    </row>
    <row r="50" spans="9:40" x14ac:dyDescent="0.25">
      <c r="I50" t="s">
        <v>168</v>
      </c>
      <c r="J50" t="s">
        <v>337</v>
      </c>
      <c r="K50">
        <v>0.27386996447422668</v>
      </c>
      <c r="L50" t="s">
        <v>154</v>
      </c>
      <c r="N50" t="s">
        <v>198</v>
      </c>
      <c r="O50" t="s">
        <v>337</v>
      </c>
      <c r="P50">
        <v>0.12509570043755214</v>
      </c>
      <c r="Q50" t="s">
        <v>154</v>
      </c>
      <c r="S50" t="s">
        <v>229</v>
      </c>
      <c r="T50" t="s">
        <v>337</v>
      </c>
      <c r="U50">
        <v>0.10174056759632071</v>
      </c>
      <c r="V50" t="s">
        <v>154</v>
      </c>
      <c r="AK50">
        <v>2031</v>
      </c>
      <c r="AL50" t="s">
        <v>333</v>
      </c>
      <c r="AM50">
        <v>0.21673333333333336</v>
      </c>
      <c r="AN50" t="s">
        <v>279</v>
      </c>
    </row>
    <row r="51" spans="9:40" x14ac:dyDescent="0.25">
      <c r="I51" t="s">
        <v>168</v>
      </c>
      <c r="J51" t="s">
        <v>338</v>
      </c>
      <c r="K51">
        <v>3.5204303711111211E-4</v>
      </c>
      <c r="L51" t="s">
        <v>154</v>
      </c>
      <c r="N51" t="s">
        <v>198</v>
      </c>
      <c r="O51" t="s">
        <v>338</v>
      </c>
      <c r="P51">
        <v>0.11780180212756233</v>
      </c>
      <c r="Q51" t="s">
        <v>154</v>
      </c>
      <c r="S51" t="s">
        <v>229</v>
      </c>
      <c r="T51" t="s">
        <v>338</v>
      </c>
      <c r="U51">
        <v>0.10183611824061374</v>
      </c>
      <c r="V51" t="s">
        <v>154</v>
      </c>
      <c r="AK51">
        <v>2032</v>
      </c>
      <c r="AL51" t="s">
        <v>328</v>
      </c>
      <c r="AM51">
        <v>0.23313333333333333</v>
      </c>
      <c r="AN51" t="s">
        <v>279</v>
      </c>
    </row>
    <row r="52" spans="9:40" x14ac:dyDescent="0.25">
      <c r="I52" t="s">
        <v>168</v>
      </c>
      <c r="J52" t="s">
        <v>339</v>
      </c>
      <c r="K52">
        <v>1.7829740340129938E-2</v>
      </c>
      <c r="L52" t="s">
        <v>154</v>
      </c>
      <c r="N52" t="s">
        <v>198</v>
      </c>
      <c r="O52" t="s">
        <v>339</v>
      </c>
      <c r="P52">
        <v>2.6599362312654716E-2</v>
      </c>
      <c r="Q52" t="s">
        <v>154</v>
      </c>
      <c r="S52" t="s">
        <v>229</v>
      </c>
      <c r="T52" t="s">
        <v>339</v>
      </c>
      <c r="U52">
        <v>1.8329755149572923E-2</v>
      </c>
      <c r="V52" t="s">
        <v>154</v>
      </c>
      <c r="AK52">
        <v>2032</v>
      </c>
      <c r="AL52" t="s">
        <v>330</v>
      </c>
      <c r="AM52">
        <v>0.32329999999999998</v>
      </c>
      <c r="AN52" t="s">
        <v>279</v>
      </c>
    </row>
    <row r="53" spans="9:40" x14ac:dyDescent="0.25">
      <c r="I53" t="s">
        <v>168</v>
      </c>
      <c r="J53" t="s">
        <v>340</v>
      </c>
      <c r="K53">
        <v>0.26270858271518754</v>
      </c>
      <c r="L53" t="s">
        <v>154</v>
      </c>
      <c r="N53" t="s">
        <v>198</v>
      </c>
      <c r="O53" t="s">
        <v>340</v>
      </c>
      <c r="P53">
        <v>5.8467574633352067E-2</v>
      </c>
      <c r="Q53" t="s">
        <v>154</v>
      </c>
      <c r="S53" t="s">
        <v>229</v>
      </c>
      <c r="T53" t="s">
        <v>340</v>
      </c>
      <c r="U53">
        <v>8.8452729431556451E-2</v>
      </c>
      <c r="V53" t="s">
        <v>154</v>
      </c>
      <c r="AK53">
        <v>2032</v>
      </c>
      <c r="AL53" t="s">
        <v>331</v>
      </c>
      <c r="AM53">
        <v>0.37810000000000005</v>
      </c>
      <c r="AN53" t="s">
        <v>279</v>
      </c>
    </row>
    <row r="54" spans="9:40" x14ac:dyDescent="0.25">
      <c r="I54" t="s">
        <v>168</v>
      </c>
      <c r="J54" t="s">
        <v>341</v>
      </c>
      <c r="K54">
        <v>7.3574809223807334E-4</v>
      </c>
      <c r="L54" t="s">
        <v>154</v>
      </c>
      <c r="N54" t="s">
        <v>198</v>
      </c>
      <c r="O54" t="s">
        <v>341</v>
      </c>
      <c r="P54">
        <v>4.5930716931403374E-2</v>
      </c>
      <c r="Q54" t="s">
        <v>154</v>
      </c>
      <c r="S54" t="s">
        <v>229</v>
      </c>
      <c r="T54" t="s">
        <v>341</v>
      </c>
      <c r="U54">
        <v>9.9266062749683137E-2</v>
      </c>
      <c r="V54" t="s">
        <v>154</v>
      </c>
      <c r="AK54">
        <v>2032</v>
      </c>
      <c r="AL54" t="s">
        <v>333</v>
      </c>
      <c r="AM54">
        <v>0.2268</v>
      </c>
      <c r="AN54" t="s">
        <v>279</v>
      </c>
    </row>
    <row r="55" spans="9:40" x14ac:dyDescent="0.25">
      <c r="I55" t="s">
        <v>168</v>
      </c>
      <c r="J55" t="s">
        <v>342</v>
      </c>
      <c r="K55">
        <v>2.0485375507800937E-2</v>
      </c>
      <c r="L55" t="s">
        <v>154</v>
      </c>
      <c r="N55" t="s">
        <v>198</v>
      </c>
      <c r="O55" t="s">
        <v>342</v>
      </c>
      <c r="P55">
        <v>1.0784708750010088E-2</v>
      </c>
      <c r="Q55" t="s">
        <v>154</v>
      </c>
      <c r="S55" t="s">
        <v>229</v>
      </c>
      <c r="T55" t="s">
        <v>342</v>
      </c>
      <c r="U55">
        <v>1.579505363298539E-2</v>
      </c>
      <c r="V55" t="s">
        <v>154</v>
      </c>
      <c r="AK55">
        <v>2033</v>
      </c>
      <c r="AL55" t="s">
        <v>328</v>
      </c>
      <c r="AM55">
        <v>0.23543333333333336</v>
      </c>
      <c r="AN55" t="s">
        <v>279</v>
      </c>
    </row>
    <row r="56" spans="9:40" x14ac:dyDescent="0.25">
      <c r="I56" t="s">
        <v>168</v>
      </c>
      <c r="J56" t="s">
        <v>343</v>
      </c>
      <c r="K56">
        <v>0.17923791848417128</v>
      </c>
      <c r="L56" t="s">
        <v>154</v>
      </c>
      <c r="N56" t="s">
        <v>198</v>
      </c>
      <c r="O56" t="s">
        <v>343</v>
      </c>
      <c r="P56">
        <v>0.15955623436411082</v>
      </c>
      <c r="Q56" t="s">
        <v>154</v>
      </c>
      <c r="S56" t="s">
        <v>229</v>
      </c>
      <c r="T56" t="s">
        <v>343</v>
      </c>
      <c r="U56">
        <v>0.12039251228707282</v>
      </c>
      <c r="V56" t="s">
        <v>154</v>
      </c>
      <c r="AK56">
        <v>2033</v>
      </c>
      <c r="AL56" t="s">
        <v>330</v>
      </c>
      <c r="AM56">
        <v>0.34283333333333332</v>
      </c>
      <c r="AN56" t="s">
        <v>279</v>
      </c>
    </row>
    <row r="57" spans="9:40" x14ac:dyDescent="0.25">
      <c r="I57" t="s">
        <v>168</v>
      </c>
      <c r="J57" t="s">
        <v>344</v>
      </c>
      <c r="K57">
        <v>0</v>
      </c>
      <c r="L57" t="s">
        <v>154</v>
      </c>
      <c r="N57" t="s">
        <v>198</v>
      </c>
      <c r="O57" t="s">
        <v>344</v>
      </c>
      <c r="P57">
        <v>0.15356525306671798</v>
      </c>
      <c r="Q57" t="s">
        <v>154</v>
      </c>
      <c r="S57" t="s">
        <v>229</v>
      </c>
      <c r="T57" t="s">
        <v>344</v>
      </c>
      <c r="U57">
        <v>0.12242881439107538</v>
      </c>
      <c r="V57" t="s">
        <v>154</v>
      </c>
      <c r="AK57">
        <v>2033</v>
      </c>
      <c r="AL57" t="s">
        <v>331</v>
      </c>
      <c r="AM57">
        <v>0.35420000000000001</v>
      </c>
      <c r="AN57" t="s">
        <v>279</v>
      </c>
    </row>
    <row r="58" spans="9:40" x14ac:dyDescent="0.25">
      <c r="I58" t="s">
        <v>168</v>
      </c>
      <c r="J58" t="s">
        <v>345</v>
      </c>
      <c r="K58">
        <v>4.1259418662517606E-3</v>
      </c>
      <c r="L58" t="s">
        <v>154</v>
      </c>
      <c r="N58" t="s">
        <v>198</v>
      </c>
      <c r="O58" t="s">
        <v>345</v>
      </c>
      <c r="P58">
        <v>3.3882701387061474E-2</v>
      </c>
      <c r="Q58" t="s">
        <v>154</v>
      </c>
      <c r="S58" t="s">
        <v>229</v>
      </c>
      <c r="T58" t="s">
        <v>345</v>
      </c>
      <c r="U58">
        <v>2.3688722887977472E-2</v>
      </c>
      <c r="V58" t="s">
        <v>154</v>
      </c>
      <c r="AK58">
        <v>2033</v>
      </c>
      <c r="AL58" t="s">
        <v>333</v>
      </c>
      <c r="AM58">
        <v>0.21426666666666669</v>
      </c>
      <c r="AN58" t="s">
        <v>279</v>
      </c>
    </row>
    <row r="59" spans="9:40" x14ac:dyDescent="0.25">
      <c r="I59" t="s">
        <v>169</v>
      </c>
      <c r="J59" t="s">
        <v>334</v>
      </c>
      <c r="K59">
        <v>0.23088802764037436</v>
      </c>
      <c r="L59" t="s">
        <v>154</v>
      </c>
      <c r="N59" t="s">
        <v>199</v>
      </c>
      <c r="O59" t="s">
        <v>334</v>
      </c>
      <c r="P59">
        <v>0.12004414261322403</v>
      </c>
      <c r="Q59" t="s">
        <v>154</v>
      </c>
      <c r="S59" t="s">
        <v>230</v>
      </c>
      <c r="T59" t="s">
        <v>334</v>
      </c>
      <c r="U59">
        <v>0.15290783339082359</v>
      </c>
      <c r="V59" t="s">
        <v>154</v>
      </c>
      <c r="AK59">
        <v>2034</v>
      </c>
      <c r="AL59" t="s">
        <v>328</v>
      </c>
      <c r="AM59">
        <v>0.25466666666666665</v>
      </c>
      <c r="AN59" t="s">
        <v>279</v>
      </c>
    </row>
    <row r="60" spans="9:40" x14ac:dyDescent="0.25">
      <c r="I60" t="s">
        <v>169</v>
      </c>
      <c r="J60" t="s">
        <v>335</v>
      </c>
      <c r="K60">
        <v>0</v>
      </c>
      <c r="L60" t="s">
        <v>154</v>
      </c>
      <c r="N60" t="s">
        <v>199</v>
      </c>
      <c r="O60" t="s">
        <v>335</v>
      </c>
      <c r="P60">
        <v>0.12363514700603756</v>
      </c>
      <c r="Q60" t="s">
        <v>154</v>
      </c>
      <c r="S60" t="s">
        <v>230</v>
      </c>
      <c r="T60" t="s">
        <v>335</v>
      </c>
      <c r="U60">
        <v>0.15521629455464325</v>
      </c>
      <c r="V60" t="s">
        <v>154</v>
      </c>
      <c r="AK60">
        <v>2034</v>
      </c>
      <c r="AL60" t="s">
        <v>330</v>
      </c>
      <c r="AM60">
        <v>0.3402</v>
      </c>
      <c r="AN60" t="s">
        <v>279</v>
      </c>
    </row>
    <row r="61" spans="9:40" x14ac:dyDescent="0.25">
      <c r="I61" t="s">
        <v>169</v>
      </c>
      <c r="J61" t="s">
        <v>336</v>
      </c>
      <c r="K61">
        <v>5.7425107348442837E-3</v>
      </c>
      <c r="L61" t="s">
        <v>154</v>
      </c>
      <c r="N61" t="s">
        <v>199</v>
      </c>
      <c r="O61" t="s">
        <v>336</v>
      </c>
      <c r="P61">
        <v>2.3248730613895773E-2</v>
      </c>
      <c r="Q61" t="s">
        <v>154</v>
      </c>
      <c r="S61" t="s">
        <v>230</v>
      </c>
      <c r="T61" t="s">
        <v>336</v>
      </c>
      <c r="U61">
        <v>3.0154332914478374E-2</v>
      </c>
      <c r="V61" t="s">
        <v>154</v>
      </c>
      <c r="AK61">
        <v>2034</v>
      </c>
      <c r="AL61" t="s">
        <v>331</v>
      </c>
      <c r="AM61">
        <v>0.37543333333333334</v>
      </c>
      <c r="AN61" t="s">
        <v>279</v>
      </c>
    </row>
    <row r="62" spans="9:40" x14ac:dyDescent="0.25">
      <c r="I62" t="s">
        <v>169</v>
      </c>
      <c r="J62" t="s">
        <v>337</v>
      </c>
      <c r="K62">
        <v>0.29260840758011292</v>
      </c>
      <c r="L62" t="s">
        <v>154</v>
      </c>
      <c r="N62" t="s">
        <v>199</v>
      </c>
      <c r="O62" t="s">
        <v>337</v>
      </c>
      <c r="P62">
        <v>0.12429876262147237</v>
      </c>
      <c r="Q62" t="s">
        <v>154</v>
      </c>
      <c r="S62" t="s">
        <v>230</v>
      </c>
      <c r="T62" t="s">
        <v>337</v>
      </c>
      <c r="U62">
        <v>9.4077832839924089E-2</v>
      </c>
      <c r="V62" t="s">
        <v>154</v>
      </c>
      <c r="AK62">
        <v>2034</v>
      </c>
      <c r="AL62" t="s">
        <v>333</v>
      </c>
      <c r="AM62">
        <v>0.22676666666666667</v>
      </c>
      <c r="AN62" t="s">
        <v>279</v>
      </c>
    </row>
    <row r="63" spans="9:40" x14ac:dyDescent="0.25">
      <c r="I63" t="s">
        <v>169</v>
      </c>
      <c r="J63" t="s">
        <v>338</v>
      </c>
      <c r="K63">
        <v>6.6492998776749191E-4</v>
      </c>
      <c r="L63" t="s">
        <v>154</v>
      </c>
      <c r="N63" t="s">
        <v>199</v>
      </c>
      <c r="O63" t="s">
        <v>338</v>
      </c>
      <c r="P63">
        <v>0.11946583101398271</v>
      </c>
      <c r="Q63" t="s">
        <v>154</v>
      </c>
      <c r="S63" t="s">
        <v>230</v>
      </c>
      <c r="T63" t="s">
        <v>338</v>
      </c>
      <c r="U63">
        <v>9.6426589953812814E-2</v>
      </c>
      <c r="V63" t="s">
        <v>154</v>
      </c>
      <c r="AK63">
        <v>2035</v>
      </c>
      <c r="AL63" t="s">
        <v>328</v>
      </c>
      <c r="AM63">
        <v>0.24510000000000001</v>
      </c>
      <c r="AN63" t="s">
        <v>279</v>
      </c>
    </row>
    <row r="64" spans="9:40" x14ac:dyDescent="0.25">
      <c r="I64" t="s">
        <v>169</v>
      </c>
      <c r="J64" t="s">
        <v>339</v>
      </c>
      <c r="K64">
        <v>2.1413374213824731E-2</v>
      </c>
      <c r="L64" t="s">
        <v>154</v>
      </c>
      <c r="N64" t="s">
        <v>199</v>
      </c>
      <c r="O64" t="s">
        <v>339</v>
      </c>
      <c r="P64">
        <v>2.2961582730459864E-2</v>
      </c>
      <c r="Q64" t="s">
        <v>154</v>
      </c>
      <c r="S64" t="s">
        <v>230</v>
      </c>
      <c r="T64" t="s">
        <v>339</v>
      </c>
      <c r="U64">
        <v>1.9472693242448203E-2</v>
      </c>
      <c r="V64" t="s">
        <v>154</v>
      </c>
      <c r="AK64">
        <v>2035</v>
      </c>
      <c r="AL64" t="s">
        <v>330</v>
      </c>
      <c r="AM64">
        <v>0.3241</v>
      </c>
      <c r="AN64" t="s">
        <v>279</v>
      </c>
    </row>
    <row r="65" spans="9:40" x14ac:dyDescent="0.25">
      <c r="I65" t="s">
        <v>169</v>
      </c>
      <c r="J65" t="s">
        <v>340</v>
      </c>
      <c r="K65">
        <v>0.23337619951574859</v>
      </c>
      <c r="L65" t="s">
        <v>154</v>
      </c>
      <c r="N65" t="s">
        <v>199</v>
      </c>
      <c r="O65" t="s">
        <v>340</v>
      </c>
      <c r="P65">
        <v>8.8800668098450969E-2</v>
      </c>
      <c r="Q65" t="s">
        <v>154</v>
      </c>
      <c r="S65" t="s">
        <v>230</v>
      </c>
      <c r="T65" t="s">
        <v>340</v>
      </c>
      <c r="U65">
        <v>7.4243584270463819E-2</v>
      </c>
      <c r="V65" t="s">
        <v>154</v>
      </c>
      <c r="AK65">
        <v>2035</v>
      </c>
      <c r="AL65" t="s">
        <v>331</v>
      </c>
      <c r="AM65">
        <v>0.36600000000000005</v>
      </c>
      <c r="AN65" t="s">
        <v>279</v>
      </c>
    </row>
    <row r="66" spans="9:40" x14ac:dyDescent="0.25">
      <c r="I66" t="s">
        <v>169</v>
      </c>
      <c r="J66" t="s">
        <v>341</v>
      </c>
      <c r="K66">
        <v>7.6839928748782111E-4</v>
      </c>
      <c r="L66" t="s">
        <v>154</v>
      </c>
      <c r="N66" t="s">
        <v>199</v>
      </c>
      <c r="O66" t="s">
        <v>341</v>
      </c>
      <c r="P66">
        <v>8.7999858624679586E-2</v>
      </c>
      <c r="Q66" t="s">
        <v>154</v>
      </c>
      <c r="S66" t="s">
        <v>230</v>
      </c>
      <c r="T66" t="s">
        <v>341</v>
      </c>
      <c r="U66">
        <v>7.313100952629728E-2</v>
      </c>
      <c r="V66" t="s">
        <v>154</v>
      </c>
      <c r="AK66">
        <v>2035</v>
      </c>
      <c r="AL66" t="s">
        <v>333</v>
      </c>
      <c r="AM66">
        <v>0.22353333333333333</v>
      </c>
      <c r="AN66" t="s">
        <v>279</v>
      </c>
    </row>
    <row r="67" spans="9:40" x14ac:dyDescent="0.25">
      <c r="I67" t="s">
        <v>169</v>
      </c>
      <c r="J67" t="s">
        <v>342</v>
      </c>
      <c r="K67">
        <v>1.8586172002112149E-2</v>
      </c>
      <c r="L67" t="s">
        <v>154</v>
      </c>
      <c r="N67" t="s">
        <v>199</v>
      </c>
      <c r="O67" t="s">
        <v>342</v>
      </c>
      <c r="P67">
        <v>1.3304707734379454E-2</v>
      </c>
      <c r="Q67" t="s">
        <v>154</v>
      </c>
      <c r="S67" t="s">
        <v>230</v>
      </c>
      <c r="T67" t="s">
        <v>342</v>
      </c>
      <c r="U67">
        <v>1.2601507270383059E-2</v>
      </c>
      <c r="V67" t="s">
        <v>154</v>
      </c>
      <c r="AK67">
        <v>2036</v>
      </c>
      <c r="AL67" t="s">
        <v>328</v>
      </c>
      <c r="AM67">
        <v>0.25606666666666666</v>
      </c>
      <c r="AN67" t="s">
        <v>279</v>
      </c>
    </row>
    <row r="68" spans="9:40" x14ac:dyDescent="0.25">
      <c r="I68" t="s">
        <v>169</v>
      </c>
      <c r="J68" t="s">
        <v>343</v>
      </c>
      <c r="K68">
        <v>0.19172038194783717</v>
      </c>
      <c r="L68" t="s">
        <v>154</v>
      </c>
      <c r="N68" t="s">
        <v>199</v>
      </c>
      <c r="O68" t="s">
        <v>343</v>
      </c>
      <c r="P68">
        <v>0.13122136045456145</v>
      </c>
      <c r="Q68" t="s">
        <v>154</v>
      </c>
      <c r="S68" t="s">
        <v>230</v>
      </c>
      <c r="T68" t="s">
        <v>343</v>
      </c>
      <c r="U68">
        <v>0.13174676207772831</v>
      </c>
      <c r="V68" t="s">
        <v>154</v>
      </c>
      <c r="AK68">
        <v>2036</v>
      </c>
      <c r="AL68" t="s">
        <v>330</v>
      </c>
      <c r="AM68">
        <v>0.33800000000000002</v>
      </c>
      <c r="AN68" t="s">
        <v>279</v>
      </c>
    </row>
    <row r="69" spans="9:40" x14ac:dyDescent="0.25">
      <c r="I69" t="s">
        <v>169</v>
      </c>
      <c r="J69" t="s">
        <v>344</v>
      </c>
      <c r="K69">
        <v>0</v>
      </c>
      <c r="L69" t="s">
        <v>154</v>
      </c>
      <c r="N69" t="s">
        <v>199</v>
      </c>
      <c r="O69" t="s">
        <v>344</v>
      </c>
      <c r="P69">
        <v>0.1226784498095202</v>
      </c>
      <c r="Q69" t="s">
        <v>154</v>
      </c>
      <c r="S69" t="s">
        <v>230</v>
      </c>
      <c r="T69" t="s">
        <v>344</v>
      </c>
      <c r="U69">
        <v>0.13438639248763345</v>
      </c>
      <c r="V69" t="s">
        <v>154</v>
      </c>
      <c r="AK69">
        <v>2036</v>
      </c>
      <c r="AL69" t="s">
        <v>331</v>
      </c>
      <c r="AM69">
        <v>0.3584</v>
      </c>
      <c r="AN69" t="s">
        <v>279</v>
      </c>
    </row>
    <row r="70" spans="9:40" x14ac:dyDescent="0.25">
      <c r="I70" t="s">
        <v>169</v>
      </c>
      <c r="J70" t="s">
        <v>345</v>
      </c>
      <c r="K70">
        <v>4.2315970898910635E-3</v>
      </c>
      <c r="L70" t="s">
        <v>154</v>
      </c>
      <c r="N70" t="s">
        <v>199</v>
      </c>
      <c r="O70" t="s">
        <v>345</v>
      </c>
      <c r="P70">
        <v>2.2340758679334504E-2</v>
      </c>
      <c r="Q70" t="s">
        <v>154</v>
      </c>
      <c r="S70" t="s">
        <v>230</v>
      </c>
      <c r="T70" t="s">
        <v>345</v>
      </c>
      <c r="U70">
        <v>2.5635167471363771E-2</v>
      </c>
      <c r="V70" t="s">
        <v>154</v>
      </c>
      <c r="AK70">
        <v>2036</v>
      </c>
      <c r="AL70" t="s">
        <v>333</v>
      </c>
      <c r="AM70">
        <v>0.22233333333333336</v>
      </c>
      <c r="AN70" t="s">
        <v>279</v>
      </c>
    </row>
    <row r="71" spans="9:40" x14ac:dyDescent="0.25">
      <c r="I71" t="s">
        <v>170</v>
      </c>
      <c r="J71" t="s">
        <v>334</v>
      </c>
      <c r="K71">
        <v>0.20237267221413255</v>
      </c>
      <c r="L71" t="s">
        <v>154</v>
      </c>
      <c r="N71" t="s">
        <v>200</v>
      </c>
      <c r="O71" t="s">
        <v>334</v>
      </c>
      <c r="P71">
        <v>0.13260578464225525</v>
      </c>
      <c r="Q71" t="s">
        <v>154</v>
      </c>
      <c r="S71" t="s">
        <v>231</v>
      </c>
      <c r="T71" t="s">
        <v>334</v>
      </c>
      <c r="U71">
        <v>0.12702721084290641</v>
      </c>
      <c r="V71" t="s">
        <v>154</v>
      </c>
      <c r="AK71">
        <v>2037</v>
      </c>
      <c r="AL71" t="s">
        <v>328</v>
      </c>
      <c r="AM71">
        <v>0.25936666666666669</v>
      </c>
      <c r="AN71" t="s">
        <v>279</v>
      </c>
    </row>
    <row r="72" spans="9:40" x14ac:dyDescent="0.25">
      <c r="I72" t="s">
        <v>170</v>
      </c>
      <c r="J72" t="s">
        <v>335</v>
      </c>
      <c r="K72">
        <v>0</v>
      </c>
      <c r="L72" t="s">
        <v>154</v>
      </c>
      <c r="N72" t="s">
        <v>200</v>
      </c>
      <c r="O72" t="s">
        <v>335</v>
      </c>
      <c r="P72">
        <v>0.11286077842031501</v>
      </c>
      <c r="Q72" t="s">
        <v>154</v>
      </c>
      <c r="S72" t="s">
        <v>231</v>
      </c>
      <c r="T72" t="s">
        <v>335</v>
      </c>
      <c r="U72">
        <v>0.13093192496138936</v>
      </c>
      <c r="V72" t="s">
        <v>154</v>
      </c>
      <c r="AK72">
        <v>2037</v>
      </c>
      <c r="AL72" t="s">
        <v>330</v>
      </c>
      <c r="AM72">
        <v>0.3455333333333333</v>
      </c>
      <c r="AN72" t="s">
        <v>279</v>
      </c>
    </row>
    <row r="73" spans="9:40" x14ac:dyDescent="0.25">
      <c r="I73" t="s">
        <v>170</v>
      </c>
      <c r="J73" t="s">
        <v>336</v>
      </c>
      <c r="K73">
        <v>1.3935071388207133E-2</v>
      </c>
      <c r="L73" t="s">
        <v>154</v>
      </c>
      <c r="N73" t="s">
        <v>200</v>
      </c>
      <c r="O73" t="s">
        <v>336</v>
      </c>
      <c r="P73">
        <v>2.1886283855320245E-2</v>
      </c>
      <c r="Q73" t="s">
        <v>154</v>
      </c>
      <c r="S73" t="s">
        <v>231</v>
      </c>
      <c r="T73" t="s">
        <v>336</v>
      </c>
      <c r="U73">
        <v>2.4049278458089043E-2</v>
      </c>
      <c r="V73" t="s">
        <v>154</v>
      </c>
      <c r="AK73">
        <v>2037</v>
      </c>
      <c r="AL73" t="s">
        <v>331</v>
      </c>
      <c r="AM73">
        <v>0.36190000000000005</v>
      </c>
      <c r="AN73" t="s">
        <v>279</v>
      </c>
    </row>
    <row r="74" spans="9:40" x14ac:dyDescent="0.25">
      <c r="I74" t="s">
        <v>170</v>
      </c>
      <c r="J74" t="s">
        <v>337</v>
      </c>
      <c r="K74">
        <v>0.2808626696491362</v>
      </c>
      <c r="L74" t="s">
        <v>154</v>
      </c>
      <c r="N74" t="s">
        <v>200</v>
      </c>
      <c r="O74" t="s">
        <v>337</v>
      </c>
      <c r="P74">
        <v>0.13018541315228613</v>
      </c>
      <c r="Q74" t="s">
        <v>154</v>
      </c>
      <c r="S74" t="s">
        <v>231</v>
      </c>
      <c r="T74" t="s">
        <v>337</v>
      </c>
      <c r="U74">
        <v>9.7846293445794152E-2</v>
      </c>
      <c r="V74" t="s">
        <v>154</v>
      </c>
      <c r="AK74">
        <v>2037</v>
      </c>
      <c r="AL74" t="s">
        <v>333</v>
      </c>
      <c r="AM74">
        <v>0.22523333333333331</v>
      </c>
      <c r="AN74" t="s">
        <v>279</v>
      </c>
    </row>
    <row r="75" spans="9:40" x14ac:dyDescent="0.25">
      <c r="I75" t="s">
        <v>170</v>
      </c>
      <c r="J75" t="s">
        <v>338</v>
      </c>
      <c r="K75">
        <v>1.6620788855009892E-3</v>
      </c>
      <c r="L75" t="s">
        <v>154</v>
      </c>
      <c r="N75" t="s">
        <v>200</v>
      </c>
      <c r="O75" t="s">
        <v>338</v>
      </c>
      <c r="P75">
        <v>0.10929304642135529</v>
      </c>
      <c r="Q75" t="s">
        <v>154</v>
      </c>
      <c r="S75" t="s">
        <v>231</v>
      </c>
      <c r="T75" t="s">
        <v>338</v>
      </c>
      <c r="U75">
        <v>9.7103557694005305E-2</v>
      </c>
      <c r="V75" t="s">
        <v>154</v>
      </c>
      <c r="AK75">
        <v>2038</v>
      </c>
      <c r="AL75" t="s">
        <v>328</v>
      </c>
      <c r="AM75">
        <v>0.24306666666666668</v>
      </c>
      <c r="AN75" t="s">
        <v>279</v>
      </c>
    </row>
    <row r="76" spans="9:40" x14ac:dyDescent="0.25">
      <c r="I76" t="s">
        <v>170</v>
      </c>
      <c r="J76" t="s">
        <v>339</v>
      </c>
      <c r="K76">
        <v>3.0559855149666498E-2</v>
      </c>
      <c r="L76" t="s">
        <v>154</v>
      </c>
      <c r="N76" t="s">
        <v>200</v>
      </c>
      <c r="O76" t="s">
        <v>339</v>
      </c>
      <c r="P76">
        <v>2.4062374933460935E-2</v>
      </c>
      <c r="Q76" t="s">
        <v>154</v>
      </c>
      <c r="S76" t="s">
        <v>231</v>
      </c>
      <c r="T76" t="s">
        <v>339</v>
      </c>
      <c r="U76">
        <v>1.7422248272916406E-2</v>
      </c>
      <c r="V76" t="s">
        <v>154</v>
      </c>
      <c r="AK76">
        <v>2038</v>
      </c>
      <c r="AL76" t="s">
        <v>330</v>
      </c>
      <c r="AM76">
        <v>0.3596333333333333</v>
      </c>
      <c r="AN76" t="s">
        <v>279</v>
      </c>
    </row>
    <row r="77" spans="9:40" x14ac:dyDescent="0.25">
      <c r="I77" t="s">
        <v>170</v>
      </c>
      <c r="J77" t="s">
        <v>340</v>
      </c>
      <c r="K77">
        <v>0.22929939117566875</v>
      </c>
      <c r="L77" t="s">
        <v>154</v>
      </c>
      <c r="N77" t="s">
        <v>200</v>
      </c>
      <c r="O77" t="s">
        <v>340</v>
      </c>
      <c r="P77">
        <v>9.7078575097347491E-2</v>
      </c>
      <c r="Q77" t="s">
        <v>154</v>
      </c>
      <c r="S77" t="s">
        <v>231</v>
      </c>
      <c r="T77" t="s">
        <v>340</v>
      </c>
      <c r="U77">
        <v>9.0590472143702208E-2</v>
      </c>
      <c r="V77" t="s">
        <v>154</v>
      </c>
      <c r="AK77">
        <v>2038</v>
      </c>
      <c r="AL77" t="s">
        <v>331</v>
      </c>
      <c r="AM77">
        <v>0.37416666666666659</v>
      </c>
      <c r="AN77" t="s">
        <v>279</v>
      </c>
    </row>
    <row r="78" spans="9:40" x14ac:dyDescent="0.25">
      <c r="I78" t="s">
        <v>170</v>
      </c>
      <c r="J78" t="s">
        <v>341</v>
      </c>
      <c r="K78">
        <v>4.0748550555780097E-3</v>
      </c>
      <c r="L78" t="s">
        <v>154</v>
      </c>
      <c r="N78" t="s">
        <v>200</v>
      </c>
      <c r="O78" t="s">
        <v>341</v>
      </c>
      <c r="P78">
        <v>6.2378787277421549E-2</v>
      </c>
      <c r="Q78" t="s">
        <v>154</v>
      </c>
      <c r="S78" t="s">
        <v>231</v>
      </c>
      <c r="T78" t="s">
        <v>341</v>
      </c>
      <c r="U78">
        <v>0.10817505352551235</v>
      </c>
      <c r="V78" t="s">
        <v>154</v>
      </c>
      <c r="AK78">
        <v>2038</v>
      </c>
      <c r="AL78" t="s">
        <v>333</v>
      </c>
      <c r="AM78">
        <v>0.20979999999999999</v>
      </c>
      <c r="AN78" t="s">
        <v>279</v>
      </c>
    </row>
    <row r="79" spans="9:40" x14ac:dyDescent="0.25">
      <c r="I79" t="s">
        <v>170</v>
      </c>
      <c r="J79" t="s">
        <v>342</v>
      </c>
      <c r="K79">
        <v>2.6631785939615165E-2</v>
      </c>
      <c r="L79" t="s">
        <v>154</v>
      </c>
      <c r="N79" t="s">
        <v>200</v>
      </c>
      <c r="O79" t="s">
        <v>342</v>
      </c>
      <c r="P79">
        <v>1.2783567588237411E-2</v>
      </c>
      <c r="Q79" t="s">
        <v>154</v>
      </c>
      <c r="S79" t="s">
        <v>231</v>
      </c>
      <c r="T79" t="s">
        <v>342</v>
      </c>
      <c r="U79">
        <v>1.6343391940876154E-2</v>
      </c>
      <c r="V79" t="s">
        <v>154</v>
      </c>
      <c r="AK79">
        <v>2039</v>
      </c>
      <c r="AL79" t="s">
        <v>328</v>
      </c>
      <c r="AM79">
        <v>0.29899999999999999</v>
      </c>
      <c r="AN79" t="s">
        <v>279</v>
      </c>
    </row>
    <row r="80" spans="9:40" x14ac:dyDescent="0.25">
      <c r="I80" t="s">
        <v>170</v>
      </c>
      <c r="J80" t="s">
        <v>343</v>
      </c>
      <c r="K80">
        <v>0.19796482003324778</v>
      </c>
      <c r="L80" t="s">
        <v>154</v>
      </c>
      <c r="N80" t="s">
        <v>200</v>
      </c>
      <c r="O80" t="s">
        <v>343</v>
      </c>
      <c r="P80">
        <v>0.14901513640376346</v>
      </c>
      <c r="Q80" t="s">
        <v>154</v>
      </c>
      <c r="S80" t="s">
        <v>231</v>
      </c>
      <c r="T80" t="s">
        <v>343</v>
      </c>
      <c r="U80">
        <v>0.13351477246609433</v>
      </c>
      <c r="V80" t="s">
        <v>154</v>
      </c>
      <c r="AK80">
        <v>2039</v>
      </c>
      <c r="AL80" t="s">
        <v>330</v>
      </c>
      <c r="AM80">
        <v>0.40266666666666667</v>
      </c>
      <c r="AN80" t="s">
        <v>279</v>
      </c>
    </row>
    <row r="81" spans="9:40" x14ac:dyDescent="0.25">
      <c r="I81" t="s">
        <v>170</v>
      </c>
      <c r="J81" t="s">
        <v>344</v>
      </c>
      <c r="K81">
        <v>0</v>
      </c>
      <c r="L81" t="s">
        <v>154</v>
      </c>
      <c r="N81" t="s">
        <v>200</v>
      </c>
      <c r="O81" t="s">
        <v>344</v>
      </c>
      <c r="P81">
        <v>0.12170065296319754</v>
      </c>
      <c r="Q81" t="s">
        <v>154</v>
      </c>
      <c r="S81" t="s">
        <v>231</v>
      </c>
      <c r="T81" t="s">
        <v>344</v>
      </c>
      <c r="U81">
        <v>0.13238738546210543</v>
      </c>
      <c r="V81" t="s">
        <v>154</v>
      </c>
      <c r="AK81">
        <v>2039</v>
      </c>
      <c r="AL81" t="s">
        <v>331</v>
      </c>
      <c r="AM81">
        <v>0.40093333333333331</v>
      </c>
      <c r="AN81" t="s">
        <v>279</v>
      </c>
    </row>
    <row r="82" spans="9:40" x14ac:dyDescent="0.25">
      <c r="I82" t="s">
        <v>170</v>
      </c>
      <c r="J82" t="s">
        <v>345</v>
      </c>
      <c r="K82">
        <v>1.2636800509246754E-2</v>
      </c>
      <c r="L82" t="s">
        <v>154</v>
      </c>
      <c r="N82" t="s">
        <v>200</v>
      </c>
      <c r="O82" t="s">
        <v>345</v>
      </c>
      <c r="P82">
        <v>2.6149599245035599E-2</v>
      </c>
      <c r="Q82" t="s">
        <v>154</v>
      </c>
      <c r="S82" t="s">
        <v>231</v>
      </c>
      <c r="T82" t="s">
        <v>345</v>
      </c>
      <c r="U82">
        <v>2.4608410786607787E-2</v>
      </c>
      <c r="V82" t="s">
        <v>154</v>
      </c>
      <c r="AK82">
        <v>2039</v>
      </c>
      <c r="AL82" t="s">
        <v>333</v>
      </c>
      <c r="AM82">
        <v>0.24716666666666665</v>
      </c>
      <c r="AN82" t="s">
        <v>279</v>
      </c>
    </row>
    <row r="83" spans="9:40" x14ac:dyDescent="0.25">
      <c r="I83" t="s">
        <v>171</v>
      </c>
      <c r="J83" t="s">
        <v>334</v>
      </c>
      <c r="K83">
        <v>0.20351377382546706</v>
      </c>
      <c r="L83" t="s">
        <v>154</v>
      </c>
      <c r="N83" t="s">
        <v>201</v>
      </c>
      <c r="O83" t="s">
        <v>334</v>
      </c>
      <c r="P83">
        <v>0.10516002503454495</v>
      </c>
      <c r="Q83" t="s">
        <v>154</v>
      </c>
      <c r="S83" t="s">
        <v>232</v>
      </c>
      <c r="T83" t="s">
        <v>334</v>
      </c>
      <c r="U83">
        <v>0.14089684932123553</v>
      </c>
      <c r="V83" t="s">
        <v>154</v>
      </c>
      <c r="AK83">
        <v>2040</v>
      </c>
      <c r="AL83" t="s">
        <v>328</v>
      </c>
      <c r="AM83">
        <v>0.28130000000000005</v>
      </c>
      <c r="AN83" t="s">
        <v>279</v>
      </c>
    </row>
    <row r="84" spans="9:40" x14ac:dyDescent="0.25">
      <c r="I84" t="s">
        <v>171</v>
      </c>
      <c r="J84" t="s">
        <v>335</v>
      </c>
      <c r="K84">
        <v>0</v>
      </c>
      <c r="L84" t="s">
        <v>154</v>
      </c>
      <c r="N84" t="s">
        <v>201</v>
      </c>
      <c r="O84" t="s">
        <v>335</v>
      </c>
      <c r="P84">
        <v>0.10408150610362851</v>
      </c>
      <c r="Q84" t="s">
        <v>154</v>
      </c>
      <c r="S84" t="s">
        <v>232</v>
      </c>
      <c r="T84" t="s">
        <v>335</v>
      </c>
      <c r="U84">
        <v>0.14889741956240543</v>
      </c>
      <c r="V84" t="s">
        <v>154</v>
      </c>
      <c r="AK84">
        <v>2040</v>
      </c>
      <c r="AL84" t="s">
        <v>330</v>
      </c>
      <c r="AM84">
        <v>0.41739999999999999</v>
      </c>
      <c r="AN84" t="s">
        <v>279</v>
      </c>
    </row>
    <row r="85" spans="9:40" x14ac:dyDescent="0.25">
      <c r="I85" t="s">
        <v>171</v>
      </c>
      <c r="J85" t="s">
        <v>336</v>
      </c>
      <c r="K85">
        <v>1.5908501684253024E-2</v>
      </c>
      <c r="L85" t="s">
        <v>154</v>
      </c>
      <c r="N85" t="s">
        <v>201</v>
      </c>
      <c r="O85" t="s">
        <v>336</v>
      </c>
      <c r="P85">
        <v>2.1587876120612717E-2</v>
      </c>
      <c r="Q85" t="s">
        <v>154</v>
      </c>
      <c r="S85" t="s">
        <v>232</v>
      </c>
      <c r="T85" t="s">
        <v>336</v>
      </c>
      <c r="U85">
        <v>2.6023255946809733E-2</v>
      </c>
      <c r="V85" t="s">
        <v>154</v>
      </c>
      <c r="AK85">
        <v>2040</v>
      </c>
      <c r="AL85" t="s">
        <v>331</v>
      </c>
      <c r="AM85">
        <v>0.39130000000000004</v>
      </c>
      <c r="AN85" t="s">
        <v>279</v>
      </c>
    </row>
    <row r="86" spans="9:40" x14ac:dyDescent="0.25">
      <c r="I86" t="s">
        <v>171</v>
      </c>
      <c r="J86" t="s">
        <v>337</v>
      </c>
      <c r="K86">
        <v>0.27839521278912333</v>
      </c>
      <c r="L86" t="s">
        <v>154</v>
      </c>
      <c r="N86" t="s">
        <v>201</v>
      </c>
      <c r="O86" t="s">
        <v>337</v>
      </c>
      <c r="P86">
        <v>0.1270570546912019</v>
      </c>
      <c r="Q86" t="s">
        <v>154</v>
      </c>
      <c r="S86" t="s">
        <v>232</v>
      </c>
      <c r="T86" t="s">
        <v>337</v>
      </c>
      <c r="U86">
        <v>9.3504560544863405E-2</v>
      </c>
      <c r="V86" t="s">
        <v>154</v>
      </c>
      <c r="AK86">
        <v>2040</v>
      </c>
      <c r="AL86" t="s">
        <v>333</v>
      </c>
      <c r="AM86">
        <v>0.24556666666666663</v>
      </c>
      <c r="AN86" t="s">
        <v>279</v>
      </c>
    </row>
    <row r="87" spans="9:40" x14ac:dyDescent="0.25">
      <c r="I87" t="s">
        <v>171</v>
      </c>
      <c r="J87" t="s">
        <v>338</v>
      </c>
      <c r="K87">
        <v>2.4297598070273495E-3</v>
      </c>
      <c r="L87" t="s">
        <v>154</v>
      </c>
      <c r="N87" t="s">
        <v>201</v>
      </c>
      <c r="O87" t="s">
        <v>338</v>
      </c>
      <c r="P87">
        <v>0.12345549602978531</v>
      </c>
      <c r="Q87" t="s">
        <v>154</v>
      </c>
      <c r="S87" t="s">
        <v>232</v>
      </c>
      <c r="T87" t="s">
        <v>338</v>
      </c>
      <c r="U87">
        <v>9.7783423111233558E-2</v>
      </c>
      <c r="V87" t="s">
        <v>154</v>
      </c>
      <c r="AK87">
        <v>2041</v>
      </c>
      <c r="AL87" t="s">
        <v>328</v>
      </c>
      <c r="AM87">
        <v>0.28540000000000004</v>
      </c>
      <c r="AN87" t="s">
        <v>279</v>
      </c>
    </row>
    <row r="88" spans="9:40" x14ac:dyDescent="0.25">
      <c r="I88" t="s">
        <v>171</v>
      </c>
      <c r="J88" t="s">
        <v>339</v>
      </c>
      <c r="K88">
        <v>3.2095982757639335E-2</v>
      </c>
      <c r="L88" t="s">
        <v>154</v>
      </c>
      <c r="N88" t="s">
        <v>201</v>
      </c>
      <c r="O88" t="s">
        <v>339</v>
      </c>
      <c r="P88">
        <v>2.6963186259532555E-2</v>
      </c>
      <c r="Q88" t="s">
        <v>154</v>
      </c>
      <c r="S88" t="s">
        <v>232</v>
      </c>
      <c r="T88" t="s">
        <v>339</v>
      </c>
      <c r="U88">
        <v>1.6625716338699161E-2</v>
      </c>
      <c r="V88" t="s">
        <v>154</v>
      </c>
      <c r="AK88">
        <v>2041</v>
      </c>
      <c r="AL88" t="s">
        <v>330</v>
      </c>
      <c r="AM88">
        <v>0.38749999999999996</v>
      </c>
      <c r="AN88" t="s">
        <v>279</v>
      </c>
    </row>
    <row r="89" spans="9:40" x14ac:dyDescent="0.25">
      <c r="I89" t="s">
        <v>171</v>
      </c>
      <c r="J89" t="s">
        <v>340</v>
      </c>
      <c r="K89">
        <v>0.2358351190275961</v>
      </c>
      <c r="L89" t="s">
        <v>154</v>
      </c>
      <c r="N89" t="s">
        <v>201</v>
      </c>
      <c r="O89" t="s">
        <v>340</v>
      </c>
      <c r="P89">
        <v>5.9016182848034657E-2</v>
      </c>
      <c r="Q89" t="s">
        <v>154</v>
      </c>
      <c r="S89" t="s">
        <v>232</v>
      </c>
      <c r="T89" t="s">
        <v>340</v>
      </c>
      <c r="U89">
        <v>8.2022892511405904E-2</v>
      </c>
      <c r="V89" t="s">
        <v>154</v>
      </c>
      <c r="AK89">
        <v>2041</v>
      </c>
      <c r="AL89" t="s">
        <v>331</v>
      </c>
      <c r="AM89">
        <v>0.43613333333333332</v>
      </c>
      <c r="AN89" t="s">
        <v>279</v>
      </c>
    </row>
    <row r="90" spans="9:40" x14ac:dyDescent="0.25">
      <c r="I90" t="s">
        <v>171</v>
      </c>
      <c r="J90" t="s">
        <v>341</v>
      </c>
      <c r="K90">
        <v>5.025293234289312E-3</v>
      </c>
      <c r="L90" t="s">
        <v>154</v>
      </c>
      <c r="N90" t="s">
        <v>201</v>
      </c>
      <c r="O90" t="s">
        <v>341</v>
      </c>
      <c r="P90">
        <v>5.6574528687348948E-2</v>
      </c>
      <c r="Q90" t="s">
        <v>154</v>
      </c>
      <c r="S90" t="s">
        <v>232</v>
      </c>
      <c r="T90" t="s">
        <v>341</v>
      </c>
      <c r="U90">
        <v>9.6090395672860165E-2</v>
      </c>
      <c r="V90" t="s">
        <v>154</v>
      </c>
      <c r="AK90">
        <v>2041</v>
      </c>
      <c r="AL90" t="s">
        <v>333</v>
      </c>
      <c r="AM90">
        <v>0.2443666666666667</v>
      </c>
      <c r="AN90" t="s">
        <v>279</v>
      </c>
    </row>
    <row r="91" spans="9:40" x14ac:dyDescent="0.25">
      <c r="I91" t="s">
        <v>171</v>
      </c>
      <c r="J91" t="s">
        <v>342</v>
      </c>
      <c r="K91">
        <v>2.8111634253382867E-2</v>
      </c>
      <c r="L91" t="s">
        <v>154</v>
      </c>
      <c r="N91" t="s">
        <v>201</v>
      </c>
      <c r="O91" t="s">
        <v>342</v>
      </c>
      <c r="P91">
        <v>1.5293423037562846E-2</v>
      </c>
      <c r="Q91" t="s">
        <v>154</v>
      </c>
      <c r="S91" t="s">
        <v>232</v>
      </c>
      <c r="T91" t="s">
        <v>342</v>
      </c>
      <c r="U91">
        <v>1.3956691759790437E-2</v>
      </c>
      <c r="V91" t="s">
        <v>154</v>
      </c>
      <c r="AK91">
        <v>2042</v>
      </c>
      <c r="AL91" t="s">
        <v>328</v>
      </c>
      <c r="AM91">
        <v>0.29430000000000001</v>
      </c>
      <c r="AN91" t="s">
        <v>279</v>
      </c>
    </row>
    <row r="92" spans="9:40" x14ac:dyDescent="0.25">
      <c r="I92" t="s">
        <v>171</v>
      </c>
      <c r="J92" t="s">
        <v>343</v>
      </c>
      <c r="K92">
        <v>0.18520222549199866</v>
      </c>
      <c r="L92" t="s">
        <v>154</v>
      </c>
      <c r="N92" t="s">
        <v>201</v>
      </c>
      <c r="O92" t="s">
        <v>343</v>
      </c>
      <c r="P92">
        <v>0.1635664775912794</v>
      </c>
      <c r="Q92" t="s">
        <v>154</v>
      </c>
      <c r="S92" t="s">
        <v>232</v>
      </c>
      <c r="T92" t="s">
        <v>343</v>
      </c>
      <c r="U92">
        <v>0.12516888203659557</v>
      </c>
      <c r="V92" t="s">
        <v>154</v>
      </c>
      <c r="AK92">
        <v>2042</v>
      </c>
      <c r="AL92" t="s">
        <v>330</v>
      </c>
      <c r="AM92">
        <v>0.41036666666666671</v>
      </c>
      <c r="AN92" t="s">
        <v>279</v>
      </c>
    </row>
    <row r="93" spans="9:40" x14ac:dyDescent="0.25">
      <c r="I93" t="s">
        <v>171</v>
      </c>
      <c r="J93" t="s">
        <v>344</v>
      </c>
      <c r="K93">
        <v>0</v>
      </c>
      <c r="L93" t="s">
        <v>154</v>
      </c>
      <c r="N93" t="s">
        <v>201</v>
      </c>
      <c r="O93" t="s">
        <v>344</v>
      </c>
      <c r="P93">
        <v>0.16460288624291169</v>
      </c>
      <c r="Q93" t="s">
        <v>154</v>
      </c>
      <c r="S93" t="s">
        <v>232</v>
      </c>
      <c r="T93" t="s">
        <v>344</v>
      </c>
      <c r="U93">
        <v>0.13443840903376925</v>
      </c>
      <c r="V93" t="s">
        <v>154</v>
      </c>
      <c r="AK93">
        <v>2042</v>
      </c>
      <c r="AL93" t="s">
        <v>331</v>
      </c>
      <c r="AM93">
        <v>0.41063333333333335</v>
      </c>
      <c r="AN93" t="s">
        <v>279</v>
      </c>
    </row>
    <row r="94" spans="9:40" x14ac:dyDescent="0.25">
      <c r="I94" t="s">
        <v>171</v>
      </c>
      <c r="J94" t="s">
        <v>345</v>
      </c>
      <c r="K94">
        <v>1.3482497129220642E-2</v>
      </c>
      <c r="L94" t="s">
        <v>154</v>
      </c>
      <c r="N94" t="s">
        <v>201</v>
      </c>
      <c r="O94" t="s">
        <v>345</v>
      </c>
      <c r="P94">
        <v>3.2641357353558012E-2</v>
      </c>
      <c r="Q94" t="s">
        <v>154</v>
      </c>
      <c r="S94" t="s">
        <v>232</v>
      </c>
      <c r="T94" t="s">
        <v>345</v>
      </c>
      <c r="U94">
        <v>2.4591504160332501E-2</v>
      </c>
      <c r="V94" t="s">
        <v>154</v>
      </c>
      <c r="AK94">
        <v>2042</v>
      </c>
      <c r="AL94" t="s">
        <v>333</v>
      </c>
      <c r="AM94">
        <v>0.24463333333333334</v>
      </c>
      <c r="AN94" t="s">
        <v>279</v>
      </c>
    </row>
    <row r="95" spans="9:40" x14ac:dyDescent="0.25">
      <c r="I95" t="s">
        <v>172</v>
      </c>
      <c r="J95" t="s">
        <v>334</v>
      </c>
      <c r="K95">
        <v>0.2108140814822291</v>
      </c>
      <c r="L95" t="s">
        <v>154</v>
      </c>
      <c r="N95" t="s">
        <v>202</v>
      </c>
      <c r="O95" t="s">
        <v>334</v>
      </c>
      <c r="P95">
        <v>0.11675787839976443</v>
      </c>
      <c r="Q95" t="s">
        <v>154</v>
      </c>
      <c r="S95" t="s">
        <v>233</v>
      </c>
      <c r="T95" t="s">
        <v>334</v>
      </c>
      <c r="U95">
        <v>0.11753995599153504</v>
      </c>
      <c r="V95" t="s">
        <v>154</v>
      </c>
      <c r="AK95">
        <v>2043</v>
      </c>
      <c r="AL95" t="s">
        <v>328</v>
      </c>
      <c r="AM95">
        <v>0.29063333333333335</v>
      </c>
      <c r="AN95" t="s">
        <v>279</v>
      </c>
    </row>
    <row r="96" spans="9:40" x14ac:dyDescent="0.25">
      <c r="I96" t="s">
        <v>172</v>
      </c>
      <c r="J96" t="s">
        <v>335</v>
      </c>
      <c r="K96">
        <v>1.1217117238937213E-5</v>
      </c>
      <c r="L96" t="s">
        <v>154</v>
      </c>
      <c r="N96" t="s">
        <v>202</v>
      </c>
      <c r="O96" t="s">
        <v>335</v>
      </c>
      <c r="P96">
        <v>9.6339190777582392E-2</v>
      </c>
      <c r="Q96" t="s">
        <v>154</v>
      </c>
      <c r="S96" t="s">
        <v>233</v>
      </c>
      <c r="T96" t="s">
        <v>335</v>
      </c>
      <c r="U96">
        <v>0.12352541062678569</v>
      </c>
      <c r="V96" t="s">
        <v>154</v>
      </c>
      <c r="AK96">
        <v>2043</v>
      </c>
      <c r="AL96" t="s">
        <v>330</v>
      </c>
      <c r="AM96">
        <v>0.4121333333333333</v>
      </c>
      <c r="AN96" t="s">
        <v>279</v>
      </c>
    </row>
    <row r="97" spans="9:40" x14ac:dyDescent="0.25">
      <c r="I97" t="s">
        <v>172</v>
      </c>
      <c r="J97" t="s">
        <v>336</v>
      </c>
      <c r="K97">
        <v>1.8738817180121638E-2</v>
      </c>
      <c r="L97" t="s">
        <v>154</v>
      </c>
      <c r="N97" t="s">
        <v>202</v>
      </c>
      <c r="O97" t="s">
        <v>336</v>
      </c>
      <c r="P97">
        <v>2.2717013947633154E-2</v>
      </c>
      <c r="Q97" t="s">
        <v>154</v>
      </c>
      <c r="S97" t="s">
        <v>233</v>
      </c>
      <c r="T97" t="s">
        <v>336</v>
      </c>
      <c r="U97">
        <v>2.3134466801592923E-2</v>
      </c>
      <c r="V97" t="s">
        <v>154</v>
      </c>
      <c r="AK97">
        <v>2043</v>
      </c>
      <c r="AL97" t="s">
        <v>331</v>
      </c>
      <c r="AM97">
        <v>0.43196666666666667</v>
      </c>
      <c r="AN97" t="s">
        <v>279</v>
      </c>
    </row>
    <row r="98" spans="9:40" x14ac:dyDescent="0.25">
      <c r="I98" t="s">
        <v>172</v>
      </c>
      <c r="J98" t="s">
        <v>337</v>
      </c>
      <c r="K98">
        <v>0.25762551051331034</v>
      </c>
      <c r="L98" t="s">
        <v>154</v>
      </c>
      <c r="N98" t="s">
        <v>202</v>
      </c>
      <c r="O98" t="s">
        <v>337</v>
      </c>
      <c r="P98">
        <v>0.15189043304426175</v>
      </c>
      <c r="Q98" t="s">
        <v>154</v>
      </c>
      <c r="S98" t="s">
        <v>233</v>
      </c>
      <c r="T98" t="s">
        <v>337</v>
      </c>
      <c r="U98">
        <v>0.10835570029931049</v>
      </c>
      <c r="V98" t="s">
        <v>154</v>
      </c>
      <c r="AK98">
        <v>2043</v>
      </c>
      <c r="AL98" t="s">
        <v>333</v>
      </c>
      <c r="AM98">
        <v>0.25120000000000003</v>
      </c>
      <c r="AN98" t="s">
        <v>279</v>
      </c>
    </row>
    <row r="99" spans="9:40" x14ac:dyDescent="0.25">
      <c r="I99" t="s">
        <v>172</v>
      </c>
      <c r="J99" t="s">
        <v>338</v>
      </c>
      <c r="K99">
        <v>4.379199020278615E-3</v>
      </c>
      <c r="L99" t="s">
        <v>154</v>
      </c>
      <c r="N99" t="s">
        <v>202</v>
      </c>
      <c r="O99" t="s">
        <v>338</v>
      </c>
      <c r="P99">
        <v>0.11901460956585772</v>
      </c>
      <c r="Q99" t="s">
        <v>154</v>
      </c>
      <c r="S99" t="s">
        <v>233</v>
      </c>
      <c r="T99" t="s">
        <v>338</v>
      </c>
      <c r="U99">
        <v>0.11815068668406561</v>
      </c>
      <c r="V99" t="s">
        <v>154</v>
      </c>
      <c r="AK99">
        <v>2044</v>
      </c>
      <c r="AL99" t="s">
        <v>328</v>
      </c>
      <c r="AM99">
        <v>0.24106666666666668</v>
      </c>
      <c r="AN99" t="s">
        <v>279</v>
      </c>
    </row>
    <row r="100" spans="9:40" x14ac:dyDescent="0.25">
      <c r="I100" t="s">
        <v>172</v>
      </c>
      <c r="J100" t="s">
        <v>339</v>
      </c>
      <c r="K100">
        <v>3.7085493634724839E-2</v>
      </c>
      <c r="L100" t="s">
        <v>154</v>
      </c>
      <c r="N100" t="s">
        <v>202</v>
      </c>
      <c r="O100" t="s">
        <v>339</v>
      </c>
      <c r="P100">
        <v>3.0122891053557057E-2</v>
      </c>
      <c r="Q100" t="s">
        <v>154</v>
      </c>
      <c r="S100" t="s">
        <v>233</v>
      </c>
      <c r="T100" t="s">
        <v>339</v>
      </c>
      <c r="U100">
        <v>2.1625007324728905E-2</v>
      </c>
      <c r="V100" t="s">
        <v>154</v>
      </c>
      <c r="AK100">
        <v>2044</v>
      </c>
      <c r="AL100" t="s">
        <v>330</v>
      </c>
      <c r="AM100">
        <v>0.34293333333333331</v>
      </c>
      <c r="AN100" t="s">
        <v>279</v>
      </c>
    </row>
    <row r="101" spans="9:40" x14ac:dyDescent="0.25">
      <c r="I101" t="s">
        <v>172</v>
      </c>
      <c r="J101" t="s">
        <v>340</v>
      </c>
      <c r="K101">
        <v>0.21852954289112797</v>
      </c>
      <c r="L101" t="s">
        <v>154</v>
      </c>
      <c r="N101" t="s">
        <v>202</v>
      </c>
      <c r="O101" t="s">
        <v>340</v>
      </c>
      <c r="P101">
        <v>5.5269678422099414E-2</v>
      </c>
      <c r="Q101" t="s">
        <v>154</v>
      </c>
      <c r="S101" t="s">
        <v>233</v>
      </c>
      <c r="T101" t="s">
        <v>340</v>
      </c>
      <c r="U101">
        <v>7.53786828745482E-2</v>
      </c>
      <c r="V101" t="s">
        <v>154</v>
      </c>
      <c r="AK101">
        <v>2044</v>
      </c>
      <c r="AL101" t="s">
        <v>331</v>
      </c>
      <c r="AM101">
        <v>0.37496666666666667</v>
      </c>
      <c r="AN101" t="s">
        <v>279</v>
      </c>
    </row>
    <row r="102" spans="9:40" x14ac:dyDescent="0.25">
      <c r="I102" t="s">
        <v>172</v>
      </c>
      <c r="J102" t="s">
        <v>341</v>
      </c>
      <c r="K102">
        <v>5.7267486969714964E-3</v>
      </c>
      <c r="L102" t="s">
        <v>154</v>
      </c>
      <c r="N102" t="s">
        <v>202</v>
      </c>
      <c r="O102" t="s">
        <v>341</v>
      </c>
      <c r="P102">
        <v>3.821971098535145E-2</v>
      </c>
      <c r="Q102" t="s">
        <v>154</v>
      </c>
      <c r="S102" t="s">
        <v>233</v>
      </c>
      <c r="T102" t="s">
        <v>341</v>
      </c>
      <c r="U102">
        <v>7.8773966605453966E-2</v>
      </c>
      <c r="V102" t="s">
        <v>154</v>
      </c>
      <c r="AK102">
        <v>2044</v>
      </c>
      <c r="AL102" t="s">
        <v>333</v>
      </c>
      <c r="AM102">
        <v>0.20699999999999999</v>
      </c>
      <c r="AN102" t="s">
        <v>279</v>
      </c>
    </row>
    <row r="103" spans="9:40" x14ac:dyDescent="0.25">
      <c r="I103" t="s">
        <v>172</v>
      </c>
      <c r="J103" t="s">
        <v>342</v>
      </c>
      <c r="K103">
        <v>2.8683246812371149E-2</v>
      </c>
      <c r="L103" t="s">
        <v>154</v>
      </c>
      <c r="N103" t="s">
        <v>202</v>
      </c>
      <c r="O103" t="s">
        <v>342</v>
      </c>
      <c r="P103">
        <v>1.1768289605222708E-2</v>
      </c>
      <c r="Q103" t="s">
        <v>154</v>
      </c>
      <c r="S103" t="s">
        <v>233</v>
      </c>
      <c r="T103" t="s">
        <v>342</v>
      </c>
      <c r="U103">
        <v>1.5878319365224929E-2</v>
      </c>
      <c r="V103" t="s">
        <v>154</v>
      </c>
      <c r="AK103">
        <v>2045</v>
      </c>
      <c r="AL103" t="s">
        <v>328</v>
      </c>
      <c r="AM103">
        <v>0.23880000000000001</v>
      </c>
      <c r="AN103" t="s">
        <v>279</v>
      </c>
    </row>
    <row r="104" spans="9:40" x14ac:dyDescent="0.25">
      <c r="I104" t="s">
        <v>172</v>
      </c>
      <c r="J104" t="s">
        <v>343</v>
      </c>
      <c r="K104">
        <v>0.19810734539924343</v>
      </c>
      <c r="L104" t="s">
        <v>154</v>
      </c>
      <c r="N104" t="s">
        <v>202</v>
      </c>
      <c r="O104" t="s">
        <v>343</v>
      </c>
      <c r="P104">
        <v>0.17612321267116091</v>
      </c>
      <c r="Q104" t="s">
        <v>154</v>
      </c>
      <c r="S104" t="s">
        <v>233</v>
      </c>
      <c r="T104" t="s">
        <v>343</v>
      </c>
      <c r="U104">
        <v>0.13818267791823433</v>
      </c>
      <c r="V104" t="s">
        <v>154</v>
      </c>
      <c r="AK104">
        <v>2045</v>
      </c>
      <c r="AL104" t="s">
        <v>330</v>
      </c>
      <c r="AM104">
        <v>0.33806666666666668</v>
      </c>
      <c r="AN104" t="s">
        <v>279</v>
      </c>
    </row>
    <row r="105" spans="9:40" x14ac:dyDescent="0.25">
      <c r="I105" t="s">
        <v>172</v>
      </c>
      <c r="J105" t="s">
        <v>344</v>
      </c>
      <c r="K105">
        <v>0</v>
      </c>
      <c r="L105" t="s">
        <v>154</v>
      </c>
      <c r="N105" t="s">
        <v>202</v>
      </c>
      <c r="O105" t="s">
        <v>344</v>
      </c>
      <c r="P105">
        <v>0.14890142770049494</v>
      </c>
      <c r="Q105" t="s">
        <v>154</v>
      </c>
      <c r="S105" t="s">
        <v>233</v>
      </c>
      <c r="T105" t="s">
        <v>344</v>
      </c>
      <c r="U105">
        <v>0.15094658727754623</v>
      </c>
      <c r="V105" t="s">
        <v>154</v>
      </c>
      <c r="AK105">
        <v>2045</v>
      </c>
      <c r="AL105" t="s">
        <v>331</v>
      </c>
      <c r="AM105">
        <v>0.34486666666666665</v>
      </c>
      <c r="AN105" t="s">
        <v>279</v>
      </c>
    </row>
    <row r="106" spans="9:40" x14ac:dyDescent="0.25">
      <c r="I106" t="s">
        <v>172</v>
      </c>
      <c r="J106" t="s">
        <v>345</v>
      </c>
      <c r="K106">
        <v>2.0298797252382563E-2</v>
      </c>
      <c r="L106" t="s">
        <v>154</v>
      </c>
      <c r="N106" t="s">
        <v>202</v>
      </c>
      <c r="O106" t="s">
        <v>345</v>
      </c>
      <c r="P106">
        <v>3.2875663827013311E-2</v>
      </c>
      <c r="Q106" t="s">
        <v>154</v>
      </c>
      <c r="S106" t="s">
        <v>233</v>
      </c>
      <c r="T106" t="s">
        <v>345</v>
      </c>
      <c r="U106">
        <v>2.8508538230975898E-2</v>
      </c>
      <c r="V106" t="s">
        <v>154</v>
      </c>
      <c r="AK106">
        <v>2045</v>
      </c>
      <c r="AL106" t="s">
        <v>333</v>
      </c>
      <c r="AM106">
        <v>0.20546666666666669</v>
      </c>
      <c r="AN106" t="s">
        <v>279</v>
      </c>
    </row>
    <row r="107" spans="9:40" x14ac:dyDescent="0.25">
      <c r="I107" t="s">
        <v>173</v>
      </c>
      <c r="J107" t="s">
        <v>334</v>
      </c>
      <c r="K107">
        <v>0.20306252799319516</v>
      </c>
      <c r="L107" t="s">
        <v>154</v>
      </c>
      <c r="N107" t="s">
        <v>203</v>
      </c>
      <c r="O107" t="s">
        <v>334</v>
      </c>
      <c r="P107">
        <v>0.12221138194328082</v>
      </c>
      <c r="Q107" t="s">
        <v>154</v>
      </c>
      <c r="S107" t="s">
        <v>234</v>
      </c>
      <c r="T107" t="s">
        <v>334</v>
      </c>
      <c r="U107">
        <v>0.11942527514700595</v>
      </c>
      <c r="V107" t="s">
        <v>154</v>
      </c>
      <c r="AK107">
        <v>2046</v>
      </c>
      <c r="AL107" t="s">
        <v>328</v>
      </c>
      <c r="AM107">
        <v>0.25586666666666669</v>
      </c>
      <c r="AN107" t="s">
        <v>279</v>
      </c>
    </row>
    <row r="108" spans="9:40" x14ac:dyDescent="0.25">
      <c r="I108" t="s">
        <v>173</v>
      </c>
      <c r="J108" t="s">
        <v>335</v>
      </c>
      <c r="K108">
        <v>8.2594748144609972E-7</v>
      </c>
      <c r="L108" t="s">
        <v>154</v>
      </c>
      <c r="N108" t="s">
        <v>203</v>
      </c>
      <c r="O108" t="s">
        <v>335</v>
      </c>
      <c r="P108">
        <v>9.1088220125775818E-2</v>
      </c>
      <c r="Q108" t="s">
        <v>154</v>
      </c>
      <c r="S108" t="s">
        <v>234</v>
      </c>
      <c r="T108" t="s">
        <v>335</v>
      </c>
      <c r="U108">
        <v>0.12487868044215089</v>
      </c>
      <c r="V108" t="s">
        <v>154</v>
      </c>
      <c r="AK108">
        <v>2046</v>
      </c>
      <c r="AL108" t="s">
        <v>330</v>
      </c>
      <c r="AM108">
        <v>0.33913333333333334</v>
      </c>
      <c r="AN108" t="s">
        <v>279</v>
      </c>
    </row>
    <row r="109" spans="9:40" x14ac:dyDescent="0.25">
      <c r="I109" t="s">
        <v>173</v>
      </c>
      <c r="J109" t="s">
        <v>336</v>
      </c>
      <c r="K109">
        <v>1.7759250003058259E-2</v>
      </c>
      <c r="L109" t="s">
        <v>154</v>
      </c>
      <c r="N109" t="s">
        <v>203</v>
      </c>
      <c r="O109" t="s">
        <v>336</v>
      </c>
      <c r="P109">
        <v>1.8171103403701205E-2</v>
      </c>
      <c r="Q109" t="s">
        <v>154</v>
      </c>
      <c r="S109" t="s">
        <v>234</v>
      </c>
      <c r="T109" t="s">
        <v>336</v>
      </c>
      <c r="U109">
        <v>2.284605410791448E-2</v>
      </c>
      <c r="V109" t="s">
        <v>154</v>
      </c>
      <c r="AK109">
        <v>2046</v>
      </c>
      <c r="AL109" t="s">
        <v>331</v>
      </c>
      <c r="AM109">
        <v>0.36833333333333335</v>
      </c>
      <c r="AN109" t="s">
        <v>279</v>
      </c>
    </row>
    <row r="110" spans="9:40" x14ac:dyDescent="0.25">
      <c r="I110" t="s">
        <v>173</v>
      </c>
      <c r="J110" t="s">
        <v>337</v>
      </c>
      <c r="K110">
        <v>0.27192085412634998</v>
      </c>
      <c r="L110" t="s">
        <v>154</v>
      </c>
      <c r="N110" t="s">
        <v>203</v>
      </c>
      <c r="O110" t="s">
        <v>337</v>
      </c>
      <c r="P110">
        <v>0.18996917600355845</v>
      </c>
      <c r="Q110" t="s">
        <v>154</v>
      </c>
      <c r="S110" t="s">
        <v>234</v>
      </c>
      <c r="T110" t="s">
        <v>337</v>
      </c>
      <c r="U110">
        <v>0.12058561098583076</v>
      </c>
      <c r="V110" t="s">
        <v>154</v>
      </c>
      <c r="AK110">
        <v>2046</v>
      </c>
      <c r="AL110" t="s">
        <v>333</v>
      </c>
      <c r="AM110">
        <v>0.20660000000000001</v>
      </c>
      <c r="AN110" t="s">
        <v>279</v>
      </c>
    </row>
    <row r="111" spans="9:40" x14ac:dyDescent="0.25">
      <c r="I111" t="s">
        <v>173</v>
      </c>
      <c r="J111" t="s">
        <v>338</v>
      </c>
      <c r="K111">
        <v>4.4167041227716588E-3</v>
      </c>
      <c r="L111" t="s">
        <v>154</v>
      </c>
      <c r="N111" t="s">
        <v>203</v>
      </c>
      <c r="O111" t="s">
        <v>338</v>
      </c>
      <c r="P111">
        <v>0.13640557289404967</v>
      </c>
      <c r="Q111" t="s">
        <v>154</v>
      </c>
      <c r="S111" t="s">
        <v>234</v>
      </c>
      <c r="T111" t="s">
        <v>338</v>
      </c>
      <c r="U111">
        <v>0.13262667613749937</v>
      </c>
      <c r="V111" t="s">
        <v>154</v>
      </c>
      <c r="AK111">
        <v>2047</v>
      </c>
      <c r="AL111" t="s">
        <v>328</v>
      </c>
      <c r="AM111">
        <v>0.25490000000000002</v>
      </c>
      <c r="AN111" t="s">
        <v>279</v>
      </c>
    </row>
    <row r="112" spans="9:40" x14ac:dyDescent="0.25">
      <c r="I112" t="s">
        <v>173</v>
      </c>
      <c r="J112" t="s">
        <v>339</v>
      </c>
      <c r="K112">
        <v>3.7392699143623268E-2</v>
      </c>
      <c r="L112" t="s">
        <v>154</v>
      </c>
      <c r="N112" t="s">
        <v>203</v>
      </c>
      <c r="O112" t="s">
        <v>339</v>
      </c>
      <c r="P112">
        <v>2.9191437980389798E-2</v>
      </c>
      <c r="Q112" t="s">
        <v>154</v>
      </c>
      <c r="S112" t="s">
        <v>234</v>
      </c>
      <c r="T112" t="s">
        <v>339</v>
      </c>
      <c r="U112">
        <v>2.4231755715514742E-2</v>
      </c>
      <c r="V112" t="s">
        <v>154</v>
      </c>
      <c r="AK112">
        <v>2047</v>
      </c>
      <c r="AL112" t="s">
        <v>330</v>
      </c>
      <c r="AM112">
        <v>0.34736666666666666</v>
      </c>
      <c r="AN112" t="s">
        <v>279</v>
      </c>
    </row>
    <row r="113" spans="9:40" x14ac:dyDescent="0.25">
      <c r="I113" t="s">
        <v>173</v>
      </c>
      <c r="J113" t="s">
        <v>340</v>
      </c>
      <c r="K113">
        <v>0.22391033650408126</v>
      </c>
      <c r="L113" t="s">
        <v>154</v>
      </c>
      <c r="N113" t="s">
        <v>203</v>
      </c>
      <c r="O113" t="s">
        <v>340</v>
      </c>
      <c r="P113">
        <v>5.0065677641485277E-2</v>
      </c>
      <c r="Q113" t="s">
        <v>154</v>
      </c>
      <c r="S113" t="s">
        <v>234</v>
      </c>
      <c r="T113" t="s">
        <v>340</v>
      </c>
      <c r="U113">
        <v>6.6891299751895186E-2</v>
      </c>
      <c r="V113" t="s">
        <v>154</v>
      </c>
      <c r="AK113">
        <v>2047</v>
      </c>
      <c r="AL113" t="s">
        <v>331</v>
      </c>
      <c r="AM113">
        <v>0.34186666666666671</v>
      </c>
      <c r="AN113" t="s">
        <v>279</v>
      </c>
    </row>
    <row r="114" spans="9:40" x14ac:dyDescent="0.25">
      <c r="I114" t="s">
        <v>173</v>
      </c>
      <c r="J114" t="s">
        <v>341</v>
      </c>
      <c r="K114">
        <v>5.7876695945472149E-3</v>
      </c>
      <c r="L114" t="s">
        <v>154</v>
      </c>
      <c r="N114" t="s">
        <v>203</v>
      </c>
      <c r="O114" t="s">
        <v>341</v>
      </c>
      <c r="P114">
        <v>4.5031448855464916E-2</v>
      </c>
      <c r="Q114" t="s">
        <v>154</v>
      </c>
      <c r="S114" t="s">
        <v>234</v>
      </c>
      <c r="T114" t="s">
        <v>341</v>
      </c>
      <c r="U114">
        <v>6.9804677931764134E-2</v>
      </c>
      <c r="V114" t="s">
        <v>154</v>
      </c>
      <c r="AK114">
        <v>2047</v>
      </c>
      <c r="AL114" t="s">
        <v>333</v>
      </c>
      <c r="AM114">
        <v>0.21263333333333334</v>
      </c>
      <c r="AN114" t="s">
        <v>279</v>
      </c>
    </row>
    <row r="115" spans="9:40" x14ac:dyDescent="0.25">
      <c r="I115" t="s">
        <v>173</v>
      </c>
      <c r="J115" t="s">
        <v>342</v>
      </c>
      <c r="K115">
        <v>2.9363601065265758E-2</v>
      </c>
      <c r="L115" t="s">
        <v>154</v>
      </c>
      <c r="N115" t="s">
        <v>203</v>
      </c>
      <c r="O115" t="s">
        <v>342</v>
      </c>
      <c r="P115">
        <v>7.1215459676222843E-3</v>
      </c>
      <c r="Q115" t="s">
        <v>154</v>
      </c>
      <c r="S115" t="s">
        <v>234</v>
      </c>
      <c r="T115" t="s">
        <v>342</v>
      </c>
      <c r="U115">
        <v>1.5600823009799879E-2</v>
      </c>
      <c r="V115" t="s">
        <v>154</v>
      </c>
      <c r="AK115">
        <v>2048</v>
      </c>
      <c r="AL115" t="s">
        <v>328</v>
      </c>
      <c r="AM115">
        <v>0.2515</v>
      </c>
      <c r="AN115" t="s">
        <v>279</v>
      </c>
    </row>
    <row r="116" spans="9:40" x14ac:dyDescent="0.25">
      <c r="I116" t="s">
        <v>173</v>
      </c>
      <c r="J116" t="s">
        <v>343</v>
      </c>
      <c r="K116">
        <v>0.18859689243220878</v>
      </c>
      <c r="L116" t="s">
        <v>154</v>
      </c>
      <c r="N116" t="s">
        <v>203</v>
      </c>
      <c r="O116" t="s">
        <v>343</v>
      </c>
      <c r="P116">
        <v>0.14564786348226455</v>
      </c>
      <c r="Q116" t="s">
        <v>154</v>
      </c>
      <c r="S116" t="s">
        <v>234</v>
      </c>
      <c r="T116" t="s">
        <v>343</v>
      </c>
      <c r="U116">
        <v>0.12793254441446153</v>
      </c>
      <c r="V116" t="s">
        <v>154</v>
      </c>
      <c r="AK116">
        <v>2048</v>
      </c>
      <c r="AL116" t="s">
        <v>330</v>
      </c>
      <c r="AM116">
        <v>0.33630000000000004</v>
      </c>
      <c r="AN116" t="s">
        <v>279</v>
      </c>
    </row>
    <row r="117" spans="9:40" x14ac:dyDescent="0.25">
      <c r="I117" t="s">
        <v>173</v>
      </c>
      <c r="J117" t="s">
        <v>344</v>
      </c>
      <c r="K117">
        <v>0</v>
      </c>
      <c r="L117" t="s">
        <v>154</v>
      </c>
      <c r="N117" t="s">
        <v>203</v>
      </c>
      <c r="O117" t="s">
        <v>344</v>
      </c>
      <c r="P117">
        <v>0.13890073758964194</v>
      </c>
      <c r="Q117" t="s">
        <v>154</v>
      </c>
      <c r="S117" t="s">
        <v>234</v>
      </c>
      <c r="T117" t="s">
        <v>344</v>
      </c>
      <c r="U117">
        <v>0.14919558274994976</v>
      </c>
      <c r="V117" t="s">
        <v>154</v>
      </c>
      <c r="AK117">
        <v>2048</v>
      </c>
      <c r="AL117" t="s">
        <v>331</v>
      </c>
      <c r="AM117">
        <v>0.36353333333333332</v>
      </c>
      <c r="AN117" t="s">
        <v>279</v>
      </c>
    </row>
    <row r="118" spans="9:40" x14ac:dyDescent="0.25">
      <c r="I118" t="s">
        <v>173</v>
      </c>
      <c r="J118" t="s">
        <v>345</v>
      </c>
      <c r="K118">
        <v>1.7788639067414388E-2</v>
      </c>
      <c r="L118" t="s">
        <v>154</v>
      </c>
      <c r="N118" t="s">
        <v>203</v>
      </c>
      <c r="O118" t="s">
        <v>345</v>
      </c>
      <c r="P118">
        <v>2.6195834112767439E-2</v>
      </c>
      <c r="Q118" t="s">
        <v>154</v>
      </c>
      <c r="S118" t="s">
        <v>234</v>
      </c>
      <c r="T118" t="s">
        <v>345</v>
      </c>
      <c r="U118">
        <v>2.5981019606210607E-2</v>
      </c>
      <c r="V118" t="s">
        <v>154</v>
      </c>
      <c r="AK118">
        <v>2048</v>
      </c>
      <c r="AL118" t="s">
        <v>333</v>
      </c>
      <c r="AM118">
        <v>0.22026666666666664</v>
      </c>
      <c r="AN118" t="s">
        <v>279</v>
      </c>
    </row>
    <row r="119" spans="9:40" x14ac:dyDescent="0.25">
      <c r="I119" t="s">
        <v>174</v>
      </c>
      <c r="J119" t="s">
        <v>334</v>
      </c>
      <c r="K119">
        <v>0.20250075127844139</v>
      </c>
      <c r="L119" t="s">
        <v>154</v>
      </c>
      <c r="N119" t="s">
        <v>204</v>
      </c>
      <c r="O119" t="s">
        <v>334</v>
      </c>
      <c r="P119">
        <v>0.11174858872102725</v>
      </c>
      <c r="Q119" t="s">
        <v>154</v>
      </c>
      <c r="S119" t="s">
        <v>235</v>
      </c>
      <c r="T119" t="s">
        <v>334</v>
      </c>
      <c r="U119">
        <v>0.1313047891860174</v>
      </c>
      <c r="V119" t="s">
        <v>154</v>
      </c>
      <c r="AK119">
        <v>2049</v>
      </c>
      <c r="AL119" t="s">
        <v>328</v>
      </c>
      <c r="AM119">
        <v>0.25479999999999997</v>
      </c>
      <c r="AN119" t="s">
        <v>279</v>
      </c>
    </row>
    <row r="120" spans="9:40" x14ac:dyDescent="0.25">
      <c r="I120" t="s">
        <v>174</v>
      </c>
      <c r="J120" t="s">
        <v>335</v>
      </c>
      <c r="K120">
        <v>1.0037735975254481E-6</v>
      </c>
      <c r="L120" t="s">
        <v>154</v>
      </c>
      <c r="N120" t="s">
        <v>204</v>
      </c>
      <c r="O120" t="s">
        <v>335</v>
      </c>
      <c r="P120">
        <v>0.11613323435266593</v>
      </c>
      <c r="Q120" t="s">
        <v>154</v>
      </c>
      <c r="S120" t="s">
        <v>235</v>
      </c>
      <c r="T120" t="s">
        <v>335</v>
      </c>
      <c r="U120">
        <v>0.13654736055132774</v>
      </c>
      <c r="V120" t="s">
        <v>154</v>
      </c>
      <c r="AK120">
        <v>2049</v>
      </c>
      <c r="AL120" t="s">
        <v>330</v>
      </c>
      <c r="AM120">
        <v>0.35383333333333328</v>
      </c>
      <c r="AN120" t="s">
        <v>279</v>
      </c>
    </row>
    <row r="121" spans="9:40" x14ac:dyDescent="0.25">
      <c r="I121" t="s">
        <v>174</v>
      </c>
      <c r="J121" t="s">
        <v>336</v>
      </c>
      <c r="K121">
        <v>1.7429693261504963E-2</v>
      </c>
      <c r="L121" t="s">
        <v>154</v>
      </c>
      <c r="N121" t="s">
        <v>204</v>
      </c>
      <c r="O121" t="s">
        <v>336</v>
      </c>
      <c r="P121">
        <v>2.3089465792808798E-2</v>
      </c>
      <c r="Q121" t="s">
        <v>154</v>
      </c>
      <c r="S121" t="s">
        <v>235</v>
      </c>
      <c r="T121" t="s">
        <v>336</v>
      </c>
      <c r="U121">
        <v>2.4502285857551119E-2</v>
      </c>
      <c r="V121" t="s">
        <v>154</v>
      </c>
      <c r="AK121">
        <v>2049</v>
      </c>
      <c r="AL121" t="s">
        <v>331</v>
      </c>
      <c r="AM121">
        <v>0.3586333333333333</v>
      </c>
      <c r="AN121" t="s">
        <v>279</v>
      </c>
    </row>
    <row r="122" spans="9:40" x14ac:dyDescent="0.25">
      <c r="I122" t="s">
        <v>174</v>
      </c>
      <c r="J122" t="s">
        <v>337</v>
      </c>
      <c r="K122">
        <v>0.27713048691896675</v>
      </c>
      <c r="L122" t="s">
        <v>154</v>
      </c>
      <c r="N122" t="s">
        <v>204</v>
      </c>
      <c r="O122" t="s">
        <v>337</v>
      </c>
      <c r="P122">
        <v>0.12551971037102744</v>
      </c>
      <c r="Q122" t="s">
        <v>154</v>
      </c>
      <c r="S122" t="s">
        <v>235</v>
      </c>
      <c r="T122" t="s">
        <v>337</v>
      </c>
      <c r="U122">
        <v>0.10382371226881788</v>
      </c>
      <c r="V122" t="s">
        <v>154</v>
      </c>
      <c r="AK122">
        <v>2049</v>
      </c>
      <c r="AL122" t="s">
        <v>333</v>
      </c>
      <c r="AM122">
        <v>0.21236666666666668</v>
      </c>
      <c r="AN122" t="s">
        <v>279</v>
      </c>
    </row>
    <row r="123" spans="9:40" x14ac:dyDescent="0.25">
      <c r="I123" t="s">
        <v>174</v>
      </c>
      <c r="J123" t="s">
        <v>338</v>
      </c>
      <c r="K123">
        <v>4.4719634669732264E-3</v>
      </c>
      <c r="L123" t="s">
        <v>154</v>
      </c>
      <c r="N123" t="s">
        <v>204</v>
      </c>
      <c r="O123" t="s">
        <v>338</v>
      </c>
      <c r="P123">
        <v>0.13077591810042516</v>
      </c>
      <c r="Q123" t="s">
        <v>154</v>
      </c>
      <c r="S123" t="s">
        <v>235</v>
      </c>
      <c r="T123" t="s">
        <v>338</v>
      </c>
      <c r="U123">
        <v>0.11570434933882257</v>
      </c>
      <c r="V123" t="s">
        <v>154</v>
      </c>
      <c r="AK123">
        <v>2050</v>
      </c>
      <c r="AL123" t="s">
        <v>328</v>
      </c>
      <c r="AM123">
        <v>0.25133333333333335</v>
      </c>
      <c r="AN123" t="s">
        <v>279</v>
      </c>
    </row>
    <row r="124" spans="9:40" x14ac:dyDescent="0.25">
      <c r="I124" t="s">
        <v>174</v>
      </c>
      <c r="J124" t="s">
        <v>339</v>
      </c>
      <c r="K124">
        <v>3.7734986473993218E-2</v>
      </c>
      <c r="L124" t="s">
        <v>154</v>
      </c>
      <c r="N124" t="s">
        <v>204</v>
      </c>
      <c r="O124" t="s">
        <v>339</v>
      </c>
      <c r="P124">
        <v>2.6265361262006109E-2</v>
      </c>
      <c r="Q124" t="s">
        <v>154</v>
      </c>
      <c r="S124" t="s">
        <v>235</v>
      </c>
      <c r="T124" t="s">
        <v>339</v>
      </c>
      <c r="U124">
        <v>2.1226307977551449E-2</v>
      </c>
      <c r="V124" t="s">
        <v>154</v>
      </c>
      <c r="AK124">
        <v>2050</v>
      </c>
      <c r="AL124" t="s">
        <v>330</v>
      </c>
      <c r="AM124">
        <v>0.32946666666666663</v>
      </c>
      <c r="AN124" t="s">
        <v>279</v>
      </c>
    </row>
    <row r="125" spans="9:40" x14ac:dyDescent="0.25">
      <c r="I125" t="s">
        <v>174</v>
      </c>
      <c r="J125" t="s">
        <v>340</v>
      </c>
      <c r="K125">
        <v>0.23354269506862971</v>
      </c>
      <c r="L125" t="s">
        <v>154</v>
      </c>
      <c r="N125" t="s">
        <v>204</v>
      </c>
      <c r="O125" t="s">
        <v>340</v>
      </c>
      <c r="P125">
        <v>6.0214684024771419E-2</v>
      </c>
      <c r="Q125" t="s">
        <v>154</v>
      </c>
      <c r="S125" t="s">
        <v>235</v>
      </c>
      <c r="T125" t="s">
        <v>340</v>
      </c>
      <c r="U125">
        <v>0.10110719925224831</v>
      </c>
      <c r="V125" t="s">
        <v>154</v>
      </c>
      <c r="AK125">
        <v>2050</v>
      </c>
      <c r="AL125" t="s">
        <v>331</v>
      </c>
      <c r="AM125">
        <v>0.38443333333333335</v>
      </c>
      <c r="AN125" t="s">
        <v>279</v>
      </c>
    </row>
    <row r="126" spans="9:40" x14ac:dyDescent="0.25">
      <c r="I126" t="s">
        <v>174</v>
      </c>
      <c r="J126" t="s">
        <v>341</v>
      </c>
      <c r="K126">
        <v>6.2721296365212346E-3</v>
      </c>
      <c r="L126" t="s">
        <v>154</v>
      </c>
      <c r="N126" t="s">
        <v>204</v>
      </c>
      <c r="O126" t="s">
        <v>341</v>
      </c>
      <c r="P126">
        <v>6.2426690884168565E-2</v>
      </c>
      <c r="Q126" t="s">
        <v>154</v>
      </c>
      <c r="S126" t="s">
        <v>235</v>
      </c>
      <c r="T126" t="s">
        <v>341</v>
      </c>
      <c r="U126">
        <v>0.10605048075632588</v>
      </c>
      <c r="V126" t="s">
        <v>154</v>
      </c>
      <c r="AK126">
        <v>2050</v>
      </c>
      <c r="AL126" t="s">
        <v>333</v>
      </c>
      <c r="AM126">
        <v>0.21156666666666665</v>
      </c>
      <c r="AN126" t="s">
        <v>279</v>
      </c>
    </row>
    <row r="127" spans="9:40" x14ac:dyDescent="0.25">
      <c r="I127" t="s">
        <v>174</v>
      </c>
      <c r="J127" t="s">
        <v>342</v>
      </c>
      <c r="K127">
        <v>3.1167547150635758E-2</v>
      </c>
      <c r="L127" t="s">
        <v>154</v>
      </c>
      <c r="N127" t="s">
        <v>204</v>
      </c>
      <c r="O127" t="s">
        <v>342</v>
      </c>
      <c r="P127">
        <v>1.4258722642296762E-2</v>
      </c>
      <c r="Q127" t="s">
        <v>154</v>
      </c>
      <c r="S127" t="s">
        <v>235</v>
      </c>
      <c r="T127" t="s">
        <v>342</v>
      </c>
      <c r="U127">
        <v>2.2295419854936407E-2</v>
      </c>
      <c r="V127" t="s">
        <v>154</v>
      </c>
    </row>
    <row r="128" spans="9:40" x14ac:dyDescent="0.25">
      <c r="I128" t="s">
        <v>174</v>
      </c>
      <c r="J128" t="s">
        <v>343</v>
      </c>
      <c r="K128">
        <v>0.17463321388601721</v>
      </c>
      <c r="L128" t="s">
        <v>154</v>
      </c>
      <c r="N128" t="s">
        <v>204</v>
      </c>
      <c r="O128" t="s">
        <v>343</v>
      </c>
      <c r="P128">
        <v>0.14732941046499154</v>
      </c>
      <c r="Q128" t="s">
        <v>154</v>
      </c>
      <c r="S128" t="s">
        <v>235</v>
      </c>
      <c r="T128" t="s">
        <v>343</v>
      </c>
      <c r="U128">
        <v>0.10355177009355614</v>
      </c>
      <c r="V128" t="s">
        <v>154</v>
      </c>
    </row>
    <row r="129" spans="9:22" x14ac:dyDescent="0.25">
      <c r="I129" t="s">
        <v>174</v>
      </c>
      <c r="J129" t="s">
        <v>344</v>
      </c>
      <c r="K129">
        <v>0</v>
      </c>
      <c r="L129" t="s">
        <v>154</v>
      </c>
      <c r="N129" t="s">
        <v>204</v>
      </c>
      <c r="O129" t="s">
        <v>344</v>
      </c>
      <c r="P129">
        <v>0.15244369694707066</v>
      </c>
      <c r="Q129" t="s">
        <v>154</v>
      </c>
      <c r="S129" t="s">
        <v>235</v>
      </c>
      <c r="T129" t="s">
        <v>344</v>
      </c>
      <c r="U129">
        <v>0.11472599531447683</v>
      </c>
      <c r="V129" t="s">
        <v>154</v>
      </c>
    </row>
    <row r="130" spans="9:22" x14ac:dyDescent="0.25">
      <c r="I130" t="s">
        <v>174</v>
      </c>
      <c r="J130" t="s">
        <v>345</v>
      </c>
      <c r="K130">
        <v>1.5115529084719947E-2</v>
      </c>
      <c r="L130" t="s">
        <v>154</v>
      </c>
      <c r="N130" t="s">
        <v>204</v>
      </c>
      <c r="O130" t="s">
        <v>345</v>
      </c>
      <c r="P130">
        <v>2.9794516436740793E-2</v>
      </c>
      <c r="Q130" t="s">
        <v>154</v>
      </c>
      <c r="S130" t="s">
        <v>235</v>
      </c>
      <c r="T130" t="s">
        <v>345</v>
      </c>
      <c r="U130">
        <v>1.9160329548370957E-2</v>
      </c>
      <c r="V130" t="s">
        <v>154</v>
      </c>
    </row>
    <row r="131" spans="9:22" x14ac:dyDescent="0.25">
      <c r="I131" t="s">
        <v>175</v>
      </c>
      <c r="J131" t="s">
        <v>334</v>
      </c>
      <c r="K131">
        <v>0.19973787263363887</v>
      </c>
      <c r="L131" t="s">
        <v>154</v>
      </c>
      <c r="N131" t="s">
        <v>205</v>
      </c>
      <c r="O131" t="s">
        <v>334</v>
      </c>
      <c r="P131">
        <v>0.115685642112775</v>
      </c>
      <c r="Q131" t="s">
        <v>154</v>
      </c>
      <c r="S131" t="s">
        <v>236</v>
      </c>
      <c r="T131" t="s">
        <v>334</v>
      </c>
      <c r="U131">
        <v>0.12975414243394179</v>
      </c>
      <c r="V131" t="s">
        <v>154</v>
      </c>
    </row>
    <row r="132" spans="9:22" x14ac:dyDescent="0.25">
      <c r="I132" t="s">
        <v>175</v>
      </c>
      <c r="J132" t="s">
        <v>335</v>
      </c>
      <c r="K132">
        <v>1.3261624436049157E-7</v>
      </c>
      <c r="L132" t="s">
        <v>154</v>
      </c>
      <c r="N132" t="s">
        <v>205</v>
      </c>
      <c r="O132" t="s">
        <v>335</v>
      </c>
      <c r="P132">
        <v>0.10883901813086218</v>
      </c>
      <c r="Q132" t="s">
        <v>154</v>
      </c>
      <c r="S132" t="s">
        <v>236</v>
      </c>
      <c r="T132" t="s">
        <v>335</v>
      </c>
      <c r="U132">
        <v>0.13795006005922716</v>
      </c>
      <c r="V132" t="s">
        <v>154</v>
      </c>
    </row>
    <row r="133" spans="9:22" x14ac:dyDescent="0.25">
      <c r="I133" t="s">
        <v>175</v>
      </c>
      <c r="J133" t="s">
        <v>336</v>
      </c>
      <c r="K133">
        <v>1.5550860265105873E-2</v>
      </c>
      <c r="L133" t="s">
        <v>154</v>
      </c>
      <c r="N133" t="s">
        <v>205</v>
      </c>
      <c r="O133" t="s">
        <v>336</v>
      </c>
      <c r="P133">
        <v>2.3327189341221591E-2</v>
      </c>
      <c r="Q133" t="s">
        <v>154</v>
      </c>
      <c r="S133" t="s">
        <v>236</v>
      </c>
      <c r="T133" t="s">
        <v>336</v>
      </c>
      <c r="U133">
        <v>2.414031452611692E-2</v>
      </c>
      <c r="V133" t="s">
        <v>154</v>
      </c>
    </row>
    <row r="134" spans="9:22" x14ac:dyDescent="0.25">
      <c r="I134" t="s">
        <v>175</v>
      </c>
      <c r="J134" t="s">
        <v>337</v>
      </c>
      <c r="K134">
        <v>0.28035910917216439</v>
      </c>
      <c r="L134" t="s">
        <v>154</v>
      </c>
      <c r="N134" t="s">
        <v>205</v>
      </c>
      <c r="O134" t="s">
        <v>337</v>
      </c>
      <c r="P134">
        <v>0.14015389479416282</v>
      </c>
      <c r="Q134" t="s">
        <v>154</v>
      </c>
      <c r="S134" t="s">
        <v>236</v>
      </c>
      <c r="T134" t="s">
        <v>337</v>
      </c>
      <c r="U134">
        <v>0.10032029458751661</v>
      </c>
      <c r="V134" t="s">
        <v>154</v>
      </c>
    </row>
    <row r="135" spans="9:22" x14ac:dyDescent="0.25">
      <c r="I135" t="s">
        <v>175</v>
      </c>
      <c r="J135" t="s">
        <v>338</v>
      </c>
      <c r="K135">
        <v>3.3449225588860778E-3</v>
      </c>
      <c r="L135" t="s">
        <v>154</v>
      </c>
      <c r="N135" t="s">
        <v>205</v>
      </c>
      <c r="O135" t="s">
        <v>338</v>
      </c>
      <c r="P135">
        <v>0.13003765511414822</v>
      </c>
      <c r="Q135" t="s">
        <v>154</v>
      </c>
      <c r="S135" t="s">
        <v>236</v>
      </c>
      <c r="T135" t="s">
        <v>338</v>
      </c>
      <c r="U135">
        <v>0.11640639584610647</v>
      </c>
      <c r="V135" t="s">
        <v>154</v>
      </c>
    </row>
    <row r="136" spans="9:22" x14ac:dyDescent="0.25">
      <c r="I136" t="s">
        <v>175</v>
      </c>
      <c r="J136" t="s">
        <v>339</v>
      </c>
      <c r="K136">
        <v>3.4506531283764408E-2</v>
      </c>
      <c r="L136" t="s">
        <v>154</v>
      </c>
      <c r="N136" t="s">
        <v>205</v>
      </c>
      <c r="O136" t="s">
        <v>339</v>
      </c>
      <c r="P136">
        <v>2.6646656021463933E-2</v>
      </c>
      <c r="Q136" t="s">
        <v>154</v>
      </c>
      <c r="S136" t="s">
        <v>236</v>
      </c>
      <c r="T136" t="s">
        <v>339</v>
      </c>
      <c r="U136">
        <v>2.1007923406602312E-2</v>
      </c>
      <c r="V136" t="s">
        <v>154</v>
      </c>
    </row>
    <row r="137" spans="9:22" x14ac:dyDescent="0.25">
      <c r="I137" t="s">
        <v>175</v>
      </c>
      <c r="J137" t="s">
        <v>340</v>
      </c>
      <c r="K137">
        <v>0.24753264309342263</v>
      </c>
      <c r="L137" t="s">
        <v>154</v>
      </c>
      <c r="N137" t="s">
        <v>205</v>
      </c>
      <c r="O137" t="s">
        <v>340</v>
      </c>
      <c r="P137">
        <v>5.9243542484865248E-2</v>
      </c>
      <c r="Q137" t="s">
        <v>154</v>
      </c>
      <c r="S137" t="s">
        <v>236</v>
      </c>
      <c r="T137" t="s">
        <v>340</v>
      </c>
      <c r="U137">
        <v>9.0160023487611318E-2</v>
      </c>
      <c r="V137" t="s">
        <v>154</v>
      </c>
    </row>
    <row r="138" spans="9:22" x14ac:dyDescent="0.25">
      <c r="I138" t="s">
        <v>175</v>
      </c>
      <c r="J138" t="s">
        <v>341</v>
      </c>
      <c r="K138">
        <v>5.9604874853610322E-3</v>
      </c>
      <c r="L138" t="s">
        <v>154</v>
      </c>
      <c r="N138" t="s">
        <v>205</v>
      </c>
      <c r="O138" t="s">
        <v>341</v>
      </c>
      <c r="P138">
        <v>5.0928581376815045E-2</v>
      </c>
      <c r="Q138" t="s">
        <v>154</v>
      </c>
      <c r="S138" t="s">
        <v>236</v>
      </c>
      <c r="T138" t="s">
        <v>341</v>
      </c>
      <c r="U138">
        <v>9.0524865771761082E-2</v>
      </c>
      <c r="V138" t="s">
        <v>154</v>
      </c>
    </row>
    <row r="139" spans="9:22" x14ac:dyDescent="0.25">
      <c r="I139" t="s">
        <v>175</v>
      </c>
      <c r="J139" t="s">
        <v>342</v>
      </c>
      <c r="K139">
        <v>3.1626942260809754E-2</v>
      </c>
      <c r="L139" t="s">
        <v>154</v>
      </c>
      <c r="N139" t="s">
        <v>205</v>
      </c>
      <c r="O139" t="s">
        <v>342</v>
      </c>
      <c r="P139">
        <v>9.8530277089545169E-3</v>
      </c>
      <c r="Q139" t="s">
        <v>154</v>
      </c>
      <c r="S139" t="s">
        <v>236</v>
      </c>
      <c r="T139" t="s">
        <v>342</v>
      </c>
      <c r="U139">
        <v>1.8951315738406003E-2</v>
      </c>
      <c r="V139" t="s">
        <v>154</v>
      </c>
    </row>
    <row r="140" spans="9:22" x14ac:dyDescent="0.25">
      <c r="I140" t="s">
        <v>175</v>
      </c>
      <c r="J140" t="s">
        <v>343</v>
      </c>
      <c r="K140">
        <v>0.1687649270463015</v>
      </c>
      <c r="L140" t="s">
        <v>154</v>
      </c>
      <c r="N140" t="s">
        <v>205</v>
      </c>
      <c r="O140" t="s">
        <v>343</v>
      </c>
      <c r="P140">
        <v>0.15135134671939832</v>
      </c>
      <c r="Q140" t="s">
        <v>154</v>
      </c>
      <c r="S140" t="s">
        <v>236</v>
      </c>
      <c r="T140" t="s">
        <v>343</v>
      </c>
      <c r="U140">
        <v>0.1149860402714858</v>
      </c>
      <c r="V140" t="s">
        <v>154</v>
      </c>
    </row>
    <row r="141" spans="9:22" x14ac:dyDescent="0.25">
      <c r="I141" t="s">
        <v>175</v>
      </c>
      <c r="J141" t="s">
        <v>344</v>
      </c>
      <c r="K141">
        <v>0</v>
      </c>
      <c r="L141" t="s">
        <v>154</v>
      </c>
      <c r="N141" t="s">
        <v>205</v>
      </c>
      <c r="O141" t="s">
        <v>344</v>
      </c>
      <c r="P141">
        <v>0.15285242728806361</v>
      </c>
      <c r="Q141" t="s">
        <v>154</v>
      </c>
      <c r="S141" t="s">
        <v>236</v>
      </c>
      <c r="T141" t="s">
        <v>344</v>
      </c>
      <c r="U141">
        <v>0.13210287219630676</v>
      </c>
      <c r="V141" t="s">
        <v>154</v>
      </c>
    </row>
    <row r="142" spans="9:22" x14ac:dyDescent="0.25">
      <c r="I142" t="s">
        <v>175</v>
      </c>
      <c r="J142" t="s">
        <v>345</v>
      </c>
      <c r="K142">
        <v>1.2615571584300237E-2</v>
      </c>
      <c r="L142" t="s">
        <v>154</v>
      </c>
      <c r="N142" t="s">
        <v>205</v>
      </c>
      <c r="O142" t="s">
        <v>345</v>
      </c>
      <c r="P142">
        <v>3.1081018907265959E-2</v>
      </c>
      <c r="Q142" t="s">
        <v>154</v>
      </c>
      <c r="S142" t="s">
        <v>236</v>
      </c>
      <c r="T142" t="s">
        <v>345</v>
      </c>
      <c r="U142">
        <v>2.3695751674914278E-2</v>
      </c>
      <c r="V142" t="s">
        <v>154</v>
      </c>
    </row>
    <row r="143" spans="9:22" x14ac:dyDescent="0.25">
      <c r="I143" t="s">
        <v>176</v>
      </c>
      <c r="J143" t="s">
        <v>334</v>
      </c>
      <c r="K143">
        <v>0.20110716572249743</v>
      </c>
      <c r="L143" t="s">
        <v>154</v>
      </c>
      <c r="N143" t="s">
        <v>206</v>
      </c>
      <c r="O143" t="s">
        <v>334</v>
      </c>
      <c r="P143">
        <v>9.7178282450926731E-2</v>
      </c>
      <c r="Q143" t="s">
        <v>154</v>
      </c>
      <c r="S143" t="s">
        <v>237</v>
      </c>
      <c r="T143" t="s">
        <v>334</v>
      </c>
      <c r="U143">
        <v>0.12860202614846378</v>
      </c>
      <c r="V143" t="s">
        <v>154</v>
      </c>
    </row>
    <row r="144" spans="9:22" x14ac:dyDescent="0.25">
      <c r="I144" t="s">
        <v>176</v>
      </c>
      <c r="J144" t="s">
        <v>335</v>
      </c>
      <c r="K144">
        <v>0</v>
      </c>
      <c r="L144" t="s">
        <v>154</v>
      </c>
      <c r="N144" t="s">
        <v>206</v>
      </c>
      <c r="O144" t="s">
        <v>335</v>
      </c>
      <c r="P144">
        <v>0.10119259228098471</v>
      </c>
      <c r="Q144" t="s">
        <v>154</v>
      </c>
      <c r="S144" t="s">
        <v>237</v>
      </c>
      <c r="T144" t="s">
        <v>335</v>
      </c>
      <c r="U144">
        <v>0.13024667331901091</v>
      </c>
      <c r="V144" t="s">
        <v>154</v>
      </c>
    </row>
    <row r="145" spans="9:22" x14ac:dyDescent="0.25">
      <c r="I145" t="s">
        <v>176</v>
      </c>
      <c r="J145" t="s">
        <v>336</v>
      </c>
      <c r="K145">
        <v>5.446356489542609E-3</v>
      </c>
      <c r="L145" t="s">
        <v>154</v>
      </c>
      <c r="N145" t="s">
        <v>206</v>
      </c>
      <c r="O145" t="s">
        <v>336</v>
      </c>
      <c r="P145">
        <v>2.5597288663410728E-2</v>
      </c>
      <c r="Q145" t="s">
        <v>154</v>
      </c>
      <c r="S145" t="s">
        <v>237</v>
      </c>
      <c r="T145" t="s">
        <v>336</v>
      </c>
      <c r="U145">
        <v>2.350108734252963E-2</v>
      </c>
      <c r="V145" t="s">
        <v>154</v>
      </c>
    </row>
    <row r="146" spans="9:22" x14ac:dyDescent="0.25">
      <c r="I146" t="s">
        <v>176</v>
      </c>
      <c r="J146" t="s">
        <v>337</v>
      </c>
      <c r="K146">
        <v>0.2863284808354567</v>
      </c>
      <c r="L146" t="s">
        <v>154</v>
      </c>
      <c r="N146" t="s">
        <v>206</v>
      </c>
      <c r="O146" t="s">
        <v>337</v>
      </c>
      <c r="P146">
        <v>0.16721554539805014</v>
      </c>
      <c r="Q146" t="s">
        <v>154</v>
      </c>
      <c r="S146" t="s">
        <v>237</v>
      </c>
      <c r="T146" t="s">
        <v>337</v>
      </c>
      <c r="U146">
        <v>0.10261303674352244</v>
      </c>
      <c r="V146" t="s">
        <v>154</v>
      </c>
    </row>
    <row r="147" spans="9:22" x14ac:dyDescent="0.25">
      <c r="I147" t="s">
        <v>176</v>
      </c>
      <c r="J147" t="s">
        <v>338</v>
      </c>
      <c r="K147">
        <v>1.4551567998310811E-3</v>
      </c>
      <c r="L147" t="s">
        <v>154</v>
      </c>
      <c r="N147" t="s">
        <v>206</v>
      </c>
      <c r="O147" t="s">
        <v>338</v>
      </c>
      <c r="P147">
        <v>0.14596211210940555</v>
      </c>
      <c r="Q147" t="s">
        <v>154</v>
      </c>
      <c r="S147" t="s">
        <v>237</v>
      </c>
      <c r="T147" t="s">
        <v>338</v>
      </c>
      <c r="U147">
        <v>0.11063231325119088</v>
      </c>
      <c r="V147" t="s">
        <v>154</v>
      </c>
    </row>
    <row r="148" spans="9:22" x14ac:dyDescent="0.25">
      <c r="I148" t="s">
        <v>176</v>
      </c>
      <c r="J148" t="s">
        <v>339</v>
      </c>
      <c r="K148">
        <v>2.0626110639800927E-2</v>
      </c>
      <c r="L148" t="s">
        <v>154</v>
      </c>
      <c r="N148" t="s">
        <v>206</v>
      </c>
      <c r="O148" t="s">
        <v>339</v>
      </c>
      <c r="P148">
        <v>4.4009494439113402E-2</v>
      </c>
      <c r="Q148" t="s">
        <v>154</v>
      </c>
      <c r="S148" t="s">
        <v>237</v>
      </c>
      <c r="T148" t="s">
        <v>339</v>
      </c>
      <c r="U148">
        <v>2.0308011082277169E-2</v>
      </c>
      <c r="V148" t="s">
        <v>154</v>
      </c>
    </row>
    <row r="149" spans="9:22" x14ac:dyDescent="0.25">
      <c r="I149" t="s">
        <v>176</v>
      </c>
      <c r="J149" t="s">
        <v>340</v>
      </c>
      <c r="K149">
        <v>0.25041594304720394</v>
      </c>
      <c r="L149" t="s">
        <v>154</v>
      </c>
      <c r="N149" t="s">
        <v>206</v>
      </c>
      <c r="O149" t="s">
        <v>340</v>
      </c>
      <c r="P149">
        <v>3.7156222270927637E-2</v>
      </c>
      <c r="Q149" t="s">
        <v>154</v>
      </c>
      <c r="S149" t="s">
        <v>237</v>
      </c>
      <c r="T149" t="s">
        <v>340</v>
      </c>
      <c r="U149">
        <v>9.1053228469432881E-2</v>
      </c>
      <c r="V149" t="s">
        <v>154</v>
      </c>
    </row>
    <row r="150" spans="9:22" x14ac:dyDescent="0.25">
      <c r="I150" t="s">
        <v>176</v>
      </c>
      <c r="J150" t="s">
        <v>341</v>
      </c>
      <c r="K150">
        <v>6.4508181844738655E-3</v>
      </c>
      <c r="L150" t="s">
        <v>154</v>
      </c>
      <c r="N150" t="s">
        <v>206</v>
      </c>
      <c r="O150" t="s">
        <v>341</v>
      </c>
      <c r="P150">
        <v>4.6307691915975127E-2</v>
      </c>
      <c r="Q150" t="s">
        <v>154</v>
      </c>
      <c r="S150" t="s">
        <v>237</v>
      </c>
      <c r="T150" t="s">
        <v>341</v>
      </c>
      <c r="U150">
        <v>0.10015112281316241</v>
      </c>
      <c r="V150" t="s">
        <v>154</v>
      </c>
    </row>
    <row r="151" spans="9:22" x14ac:dyDescent="0.25">
      <c r="I151" t="s">
        <v>176</v>
      </c>
      <c r="J151" t="s">
        <v>342</v>
      </c>
      <c r="K151">
        <v>2.5164892292686973E-2</v>
      </c>
      <c r="L151" t="s">
        <v>154</v>
      </c>
      <c r="N151" t="s">
        <v>206</v>
      </c>
      <c r="O151" t="s">
        <v>342</v>
      </c>
      <c r="P151">
        <v>1.3176825608582975E-2</v>
      </c>
      <c r="Q151" t="s">
        <v>154</v>
      </c>
      <c r="S151" t="s">
        <v>237</v>
      </c>
      <c r="T151" t="s">
        <v>342</v>
      </c>
      <c r="U151">
        <v>1.6238907220458967E-2</v>
      </c>
      <c r="V151" t="s">
        <v>154</v>
      </c>
    </row>
    <row r="152" spans="9:22" x14ac:dyDescent="0.25">
      <c r="I152" t="s">
        <v>176</v>
      </c>
      <c r="J152" t="s">
        <v>343</v>
      </c>
      <c r="K152">
        <v>0.19922366847612732</v>
      </c>
      <c r="L152" t="s">
        <v>154</v>
      </c>
      <c r="N152" t="s">
        <v>206</v>
      </c>
      <c r="O152" t="s">
        <v>343</v>
      </c>
      <c r="P152">
        <v>0.15305164099683216</v>
      </c>
      <c r="Q152" t="s">
        <v>154</v>
      </c>
      <c r="S152" t="s">
        <v>237</v>
      </c>
      <c r="T152" t="s">
        <v>343</v>
      </c>
      <c r="U152">
        <v>0.12581108451331618</v>
      </c>
      <c r="V152" t="s">
        <v>154</v>
      </c>
    </row>
    <row r="153" spans="9:22" x14ac:dyDescent="0.25">
      <c r="I153" t="s">
        <v>176</v>
      </c>
      <c r="J153" t="s">
        <v>344</v>
      </c>
      <c r="K153">
        <v>0</v>
      </c>
      <c r="L153" t="s">
        <v>154</v>
      </c>
      <c r="N153" t="s">
        <v>206</v>
      </c>
      <c r="O153" t="s">
        <v>344</v>
      </c>
      <c r="P153">
        <v>0.13813457053381711</v>
      </c>
      <c r="Q153" t="s">
        <v>154</v>
      </c>
      <c r="S153" t="s">
        <v>237</v>
      </c>
      <c r="T153" t="s">
        <v>344</v>
      </c>
      <c r="U153">
        <v>0.12689931671885885</v>
      </c>
      <c r="V153" t="s">
        <v>154</v>
      </c>
    </row>
    <row r="154" spans="9:22" x14ac:dyDescent="0.25">
      <c r="I154" t="s">
        <v>176</v>
      </c>
      <c r="J154" t="s">
        <v>345</v>
      </c>
      <c r="K154">
        <v>3.7814075123809823E-3</v>
      </c>
      <c r="L154" t="s">
        <v>154</v>
      </c>
      <c r="N154" t="s">
        <v>206</v>
      </c>
      <c r="O154" t="s">
        <v>345</v>
      </c>
      <c r="P154">
        <v>3.1017733331971997E-2</v>
      </c>
      <c r="Q154" t="s">
        <v>154</v>
      </c>
      <c r="S154" t="s">
        <v>237</v>
      </c>
      <c r="T154" t="s">
        <v>345</v>
      </c>
      <c r="U154">
        <v>2.3943192377775376E-2</v>
      </c>
      <c r="V154" t="s">
        <v>154</v>
      </c>
    </row>
    <row r="155" spans="9:22" x14ac:dyDescent="0.25">
      <c r="I155" t="s">
        <v>177</v>
      </c>
      <c r="J155" t="s">
        <v>334</v>
      </c>
      <c r="K155">
        <v>0.20951015782980037</v>
      </c>
      <c r="L155" t="s">
        <v>154</v>
      </c>
      <c r="N155" t="s">
        <v>207</v>
      </c>
      <c r="O155" t="s">
        <v>334</v>
      </c>
      <c r="P155">
        <v>0.10903376656414808</v>
      </c>
      <c r="Q155" t="s">
        <v>154</v>
      </c>
      <c r="S155" t="s">
        <v>238</v>
      </c>
      <c r="T155" t="s">
        <v>334</v>
      </c>
      <c r="U155">
        <v>0.11752378143448139</v>
      </c>
      <c r="V155" t="s">
        <v>154</v>
      </c>
    </row>
    <row r="156" spans="9:22" x14ac:dyDescent="0.25">
      <c r="I156" t="s">
        <v>177</v>
      </c>
      <c r="J156" t="s">
        <v>335</v>
      </c>
      <c r="K156">
        <v>0</v>
      </c>
      <c r="L156" t="s">
        <v>154</v>
      </c>
      <c r="N156" t="s">
        <v>207</v>
      </c>
      <c r="O156" t="s">
        <v>335</v>
      </c>
      <c r="P156">
        <v>0.12012549572744079</v>
      </c>
      <c r="Q156" t="s">
        <v>154</v>
      </c>
      <c r="S156" t="s">
        <v>238</v>
      </c>
      <c r="T156" t="s">
        <v>335</v>
      </c>
      <c r="U156">
        <v>0.12207394427198379</v>
      </c>
      <c r="V156" t="s">
        <v>154</v>
      </c>
    </row>
    <row r="157" spans="9:22" x14ac:dyDescent="0.25">
      <c r="I157" t="s">
        <v>177</v>
      </c>
      <c r="J157" t="s">
        <v>336</v>
      </c>
      <c r="K157">
        <v>4.8385666163273883E-3</v>
      </c>
      <c r="L157" t="s">
        <v>154</v>
      </c>
      <c r="N157" t="s">
        <v>207</v>
      </c>
      <c r="O157" t="s">
        <v>336</v>
      </c>
      <c r="P157">
        <v>2.3846364110517725E-2</v>
      </c>
      <c r="Q157" t="s">
        <v>154</v>
      </c>
      <c r="S157" t="s">
        <v>238</v>
      </c>
      <c r="T157" t="s">
        <v>336</v>
      </c>
      <c r="U157">
        <v>2.2073376214754123E-2</v>
      </c>
      <c r="V157" t="s">
        <v>154</v>
      </c>
    </row>
    <row r="158" spans="9:22" x14ac:dyDescent="0.25">
      <c r="I158" t="s">
        <v>177</v>
      </c>
      <c r="J158" t="s">
        <v>337</v>
      </c>
      <c r="K158">
        <v>0.28873237029573684</v>
      </c>
      <c r="L158" t="s">
        <v>154</v>
      </c>
      <c r="N158" t="s">
        <v>207</v>
      </c>
      <c r="O158" t="s">
        <v>337</v>
      </c>
      <c r="P158">
        <v>0.13181308158195876</v>
      </c>
      <c r="Q158" t="s">
        <v>154</v>
      </c>
      <c r="S158" t="s">
        <v>238</v>
      </c>
      <c r="T158" t="s">
        <v>337</v>
      </c>
      <c r="U158">
        <v>0.10253107012948813</v>
      </c>
      <c r="V158" t="s">
        <v>154</v>
      </c>
    </row>
    <row r="159" spans="9:22" x14ac:dyDescent="0.25">
      <c r="I159" t="s">
        <v>177</v>
      </c>
      <c r="J159" t="s">
        <v>338</v>
      </c>
      <c r="K159">
        <v>1.3541668368929518E-3</v>
      </c>
      <c r="L159" t="s">
        <v>154</v>
      </c>
      <c r="N159" t="s">
        <v>207</v>
      </c>
      <c r="O159" t="s">
        <v>338</v>
      </c>
      <c r="P159">
        <v>0.15120633336375633</v>
      </c>
      <c r="Q159" t="s">
        <v>154</v>
      </c>
      <c r="S159" t="s">
        <v>238</v>
      </c>
      <c r="T159" t="s">
        <v>338</v>
      </c>
      <c r="U159">
        <v>0.11661076958930586</v>
      </c>
      <c r="V159" t="s">
        <v>154</v>
      </c>
    </row>
    <row r="160" spans="9:22" x14ac:dyDescent="0.25">
      <c r="I160" t="s">
        <v>177</v>
      </c>
      <c r="J160" t="s">
        <v>339</v>
      </c>
      <c r="K160">
        <v>2.0828411712962739E-2</v>
      </c>
      <c r="L160" t="s">
        <v>154</v>
      </c>
      <c r="N160" t="s">
        <v>207</v>
      </c>
      <c r="O160" t="s">
        <v>339</v>
      </c>
      <c r="P160">
        <v>3.1489915037586788E-2</v>
      </c>
      <c r="Q160" t="s">
        <v>154</v>
      </c>
      <c r="S160" t="s">
        <v>238</v>
      </c>
      <c r="T160" t="s">
        <v>339</v>
      </c>
      <c r="U160">
        <v>2.1141774970776447E-2</v>
      </c>
      <c r="V160" t="s">
        <v>154</v>
      </c>
    </row>
    <row r="161" spans="9:22" x14ac:dyDescent="0.25">
      <c r="I161" t="s">
        <v>177</v>
      </c>
      <c r="J161" t="s">
        <v>340</v>
      </c>
      <c r="K161">
        <v>0.22388165908149921</v>
      </c>
      <c r="L161" t="s">
        <v>154</v>
      </c>
      <c r="N161" t="s">
        <v>207</v>
      </c>
      <c r="O161" t="s">
        <v>340</v>
      </c>
      <c r="P161">
        <v>6.7639759641447333E-2</v>
      </c>
      <c r="Q161" t="s">
        <v>154</v>
      </c>
      <c r="S161" t="s">
        <v>238</v>
      </c>
      <c r="T161" t="s">
        <v>340</v>
      </c>
      <c r="U161">
        <v>8.1940335665849101E-2</v>
      </c>
      <c r="V161" t="s">
        <v>154</v>
      </c>
    </row>
    <row r="162" spans="9:22" x14ac:dyDescent="0.25">
      <c r="I162" t="s">
        <v>177</v>
      </c>
      <c r="J162" t="s">
        <v>341</v>
      </c>
      <c r="K162">
        <v>4.2887861009364946E-3</v>
      </c>
      <c r="L162" t="s">
        <v>154</v>
      </c>
      <c r="N162" t="s">
        <v>207</v>
      </c>
      <c r="O162" t="s">
        <v>341</v>
      </c>
      <c r="P162">
        <v>8.3482849043031868E-2</v>
      </c>
      <c r="Q162" t="s">
        <v>154</v>
      </c>
      <c r="S162" t="s">
        <v>238</v>
      </c>
      <c r="T162" t="s">
        <v>341</v>
      </c>
      <c r="U162">
        <v>9.8618457856942648E-2</v>
      </c>
      <c r="V162" t="s">
        <v>154</v>
      </c>
    </row>
    <row r="163" spans="9:22" x14ac:dyDescent="0.25">
      <c r="I163" t="s">
        <v>177</v>
      </c>
      <c r="J163" t="s">
        <v>342</v>
      </c>
      <c r="K163">
        <v>2.1307050209539578E-2</v>
      </c>
      <c r="L163" t="s">
        <v>154</v>
      </c>
      <c r="N163" t="s">
        <v>207</v>
      </c>
      <c r="O163" t="s">
        <v>342</v>
      </c>
      <c r="P163">
        <v>1.7883242644751923E-2</v>
      </c>
      <c r="Q163" t="s">
        <v>154</v>
      </c>
      <c r="S163" t="s">
        <v>238</v>
      </c>
      <c r="T163" t="s">
        <v>342</v>
      </c>
      <c r="U163">
        <v>1.4216143262644095E-2</v>
      </c>
      <c r="V163" t="s">
        <v>154</v>
      </c>
    </row>
    <row r="164" spans="9:22" x14ac:dyDescent="0.25">
      <c r="I164" t="s">
        <v>177</v>
      </c>
      <c r="J164" t="s">
        <v>343</v>
      </c>
      <c r="K164">
        <v>0.22155859352169988</v>
      </c>
      <c r="L164" t="s">
        <v>154</v>
      </c>
      <c r="N164" t="s">
        <v>207</v>
      </c>
      <c r="O164" t="s">
        <v>343</v>
      </c>
      <c r="P164">
        <v>0.1149315406098205</v>
      </c>
      <c r="Q164" t="s">
        <v>154</v>
      </c>
      <c r="S164" t="s">
        <v>238</v>
      </c>
      <c r="T164" t="s">
        <v>343</v>
      </c>
      <c r="U164">
        <v>0.13716570042103945</v>
      </c>
      <c r="V164" t="s">
        <v>154</v>
      </c>
    </row>
    <row r="165" spans="9:22" x14ac:dyDescent="0.25">
      <c r="I165" t="s">
        <v>177</v>
      </c>
      <c r="J165" t="s">
        <v>344</v>
      </c>
      <c r="K165">
        <v>0</v>
      </c>
      <c r="L165" t="s">
        <v>154</v>
      </c>
      <c r="N165" t="s">
        <v>207</v>
      </c>
      <c r="O165" t="s">
        <v>344</v>
      </c>
      <c r="P165">
        <v>0.12700409017205286</v>
      </c>
      <c r="Q165" t="s">
        <v>154</v>
      </c>
      <c r="S165" t="s">
        <v>238</v>
      </c>
      <c r="T165" t="s">
        <v>344</v>
      </c>
      <c r="U165">
        <v>0.14063832556422182</v>
      </c>
      <c r="V165" t="s">
        <v>154</v>
      </c>
    </row>
    <row r="166" spans="9:22" x14ac:dyDescent="0.25">
      <c r="I166" t="s">
        <v>177</v>
      </c>
      <c r="J166" t="s">
        <v>345</v>
      </c>
      <c r="K166">
        <v>3.700237794605482E-3</v>
      </c>
      <c r="L166" t="s">
        <v>154</v>
      </c>
      <c r="N166" t="s">
        <v>207</v>
      </c>
      <c r="O166" t="s">
        <v>345</v>
      </c>
      <c r="P166">
        <v>2.1543561503486616E-2</v>
      </c>
      <c r="Q166" t="s">
        <v>154</v>
      </c>
      <c r="S166" t="s">
        <v>238</v>
      </c>
      <c r="T166" t="s">
        <v>345</v>
      </c>
      <c r="U166">
        <v>2.546632061851721E-2</v>
      </c>
      <c r="V166" t="s">
        <v>154</v>
      </c>
    </row>
    <row r="167" spans="9:22" x14ac:dyDescent="0.25">
      <c r="I167" t="s">
        <v>178</v>
      </c>
      <c r="J167" t="s">
        <v>334</v>
      </c>
      <c r="K167">
        <v>0.2011824682586881</v>
      </c>
      <c r="L167" t="s">
        <v>154</v>
      </c>
      <c r="N167" t="s">
        <v>208</v>
      </c>
      <c r="O167" t="s">
        <v>334</v>
      </c>
      <c r="P167">
        <v>0.11766210680757827</v>
      </c>
      <c r="Q167" t="s">
        <v>154</v>
      </c>
      <c r="S167" t="s">
        <v>239</v>
      </c>
      <c r="T167" t="s">
        <v>334</v>
      </c>
      <c r="U167">
        <v>0.11047796974211771</v>
      </c>
      <c r="V167" t="s">
        <v>154</v>
      </c>
    </row>
    <row r="168" spans="9:22" x14ac:dyDescent="0.25">
      <c r="I168" t="s">
        <v>178</v>
      </c>
      <c r="J168" t="s">
        <v>335</v>
      </c>
      <c r="K168">
        <v>0</v>
      </c>
      <c r="L168" t="s">
        <v>154</v>
      </c>
      <c r="N168" t="s">
        <v>208</v>
      </c>
      <c r="O168" t="s">
        <v>335</v>
      </c>
      <c r="P168">
        <v>9.4765378792555435E-2</v>
      </c>
      <c r="Q168" t="s">
        <v>154</v>
      </c>
      <c r="S168" t="s">
        <v>239</v>
      </c>
      <c r="T168" t="s">
        <v>335</v>
      </c>
      <c r="U168">
        <v>0.12494600041138865</v>
      </c>
      <c r="V168" t="s">
        <v>154</v>
      </c>
    </row>
    <row r="169" spans="9:22" x14ac:dyDescent="0.25">
      <c r="I169" t="s">
        <v>178</v>
      </c>
      <c r="J169" t="s">
        <v>336</v>
      </c>
      <c r="K169">
        <v>5.1470213257601982E-3</v>
      </c>
      <c r="L169" t="s">
        <v>154</v>
      </c>
      <c r="N169" t="s">
        <v>208</v>
      </c>
      <c r="O169" t="s">
        <v>336</v>
      </c>
      <c r="P169">
        <v>2.2054714645277172E-2</v>
      </c>
      <c r="Q169" t="s">
        <v>154</v>
      </c>
      <c r="S169" t="s">
        <v>239</v>
      </c>
      <c r="T169" t="s">
        <v>336</v>
      </c>
      <c r="U169">
        <v>2.4005669176261242E-2</v>
      </c>
      <c r="V169" t="s">
        <v>154</v>
      </c>
    </row>
    <row r="170" spans="9:22" x14ac:dyDescent="0.25">
      <c r="I170" t="s">
        <v>178</v>
      </c>
      <c r="J170" t="s">
        <v>337</v>
      </c>
      <c r="K170">
        <v>0.28317035180186739</v>
      </c>
      <c r="L170" t="s">
        <v>154</v>
      </c>
      <c r="N170" t="s">
        <v>208</v>
      </c>
      <c r="O170" t="s">
        <v>337</v>
      </c>
      <c r="P170">
        <v>0.15972956781564196</v>
      </c>
      <c r="Q170" t="s">
        <v>154</v>
      </c>
      <c r="S170" t="s">
        <v>239</v>
      </c>
      <c r="T170" t="s">
        <v>337</v>
      </c>
      <c r="U170">
        <v>0.11647438260297525</v>
      </c>
      <c r="V170" t="s">
        <v>154</v>
      </c>
    </row>
    <row r="171" spans="9:22" x14ac:dyDescent="0.25">
      <c r="I171" t="s">
        <v>178</v>
      </c>
      <c r="J171" t="s">
        <v>338</v>
      </c>
      <c r="K171">
        <v>1.6060193525863882E-3</v>
      </c>
      <c r="L171" t="s">
        <v>154</v>
      </c>
      <c r="N171" t="s">
        <v>208</v>
      </c>
      <c r="O171" t="s">
        <v>338</v>
      </c>
      <c r="P171">
        <v>0.10179272681039642</v>
      </c>
      <c r="Q171" t="s">
        <v>154</v>
      </c>
      <c r="S171" t="s">
        <v>239</v>
      </c>
      <c r="T171" t="s">
        <v>338</v>
      </c>
      <c r="U171">
        <v>0.12894053651496526</v>
      </c>
      <c r="V171" t="s">
        <v>154</v>
      </c>
    </row>
    <row r="172" spans="9:22" x14ac:dyDescent="0.25">
      <c r="I172" t="s">
        <v>178</v>
      </c>
      <c r="J172" t="s">
        <v>339</v>
      </c>
      <c r="K172">
        <v>2.2851097108789201E-2</v>
      </c>
      <c r="L172" t="s">
        <v>154</v>
      </c>
      <c r="N172" t="s">
        <v>208</v>
      </c>
      <c r="O172" t="s">
        <v>339</v>
      </c>
      <c r="P172">
        <v>3.5492929879109902E-2</v>
      </c>
      <c r="Q172" t="s">
        <v>154</v>
      </c>
      <c r="S172" t="s">
        <v>239</v>
      </c>
      <c r="T172" t="s">
        <v>339</v>
      </c>
      <c r="U172">
        <v>2.2846886131472687E-2</v>
      </c>
      <c r="V172" t="s">
        <v>154</v>
      </c>
    </row>
    <row r="173" spans="9:22" x14ac:dyDescent="0.25">
      <c r="I173" t="s">
        <v>178</v>
      </c>
      <c r="J173" t="s">
        <v>340</v>
      </c>
      <c r="K173">
        <v>0.22385234612352478</v>
      </c>
      <c r="L173" t="s">
        <v>154</v>
      </c>
      <c r="N173" t="s">
        <v>208</v>
      </c>
      <c r="O173" t="s">
        <v>340</v>
      </c>
      <c r="P173">
        <v>7.6238461456318463E-2</v>
      </c>
      <c r="Q173" t="s">
        <v>154</v>
      </c>
      <c r="S173" t="s">
        <v>239</v>
      </c>
      <c r="T173" t="s">
        <v>340</v>
      </c>
      <c r="U173">
        <v>8.7028311217666618E-2</v>
      </c>
      <c r="V173" t="s">
        <v>154</v>
      </c>
    </row>
    <row r="174" spans="9:22" x14ac:dyDescent="0.25">
      <c r="I174" t="s">
        <v>178</v>
      </c>
      <c r="J174" t="s">
        <v>341</v>
      </c>
      <c r="K174">
        <v>5.0654670706368346E-3</v>
      </c>
      <c r="L174" t="s">
        <v>154</v>
      </c>
      <c r="N174" t="s">
        <v>208</v>
      </c>
      <c r="O174" t="s">
        <v>341</v>
      </c>
      <c r="P174">
        <v>4.2377643496081994E-2</v>
      </c>
      <c r="Q174" t="s">
        <v>154</v>
      </c>
      <c r="S174" t="s">
        <v>239</v>
      </c>
      <c r="T174" t="s">
        <v>341</v>
      </c>
      <c r="U174">
        <v>9.5841819924053717E-2</v>
      </c>
      <c r="V174" t="s">
        <v>154</v>
      </c>
    </row>
    <row r="175" spans="9:22" x14ac:dyDescent="0.25">
      <c r="I175" t="s">
        <v>178</v>
      </c>
      <c r="J175" t="s">
        <v>342</v>
      </c>
      <c r="K175">
        <v>2.2172986125540257E-2</v>
      </c>
      <c r="L175" t="s">
        <v>154</v>
      </c>
      <c r="N175" t="s">
        <v>208</v>
      </c>
      <c r="O175" t="s">
        <v>342</v>
      </c>
      <c r="P175">
        <v>1.3981500617116239E-2</v>
      </c>
      <c r="Q175" t="s">
        <v>154</v>
      </c>
      <c r="S175" t="s">
        <v>239</v>
      </c>
      <c r="T175" t="s">
        <v>342</v>
      </c>
      <c r="U175">
        <v>1.6338134455531183E-2</v>
      </c>
      <c r="V175" t="s">
        <v>154</v>
      </c>
    </row>
    <row r="176" spans="9:22" x14ac:dyDescent="0.25">
      <c r="I176" t="s">
        <v>178</v>
      </c>
      <c r="J176" t="s">
        <v>343</v>
      </c>
      <c r="K176">
        <v>0.23038247480852361</v>
      </c>
      <c r="L176" t="s">
        <v>154</v>
      </c>
      <c r="N176" t="s">
        <v>208</v>
      </c>
      <c r="O176" t="s">
        <v>343</v>
      </c>
      <c r="P176">
        <v>0.17280789019852152</v>
      </c>
      <c r="Q176" t="s">
        <v>154</v>
      </c>
      <c r="S176" t="s">
        <v>239</v>
      </c>
      <c r="T176" t="s">
        <v>343</v>
      </c>
      <c r="U176">
        <v>0.11790285076569654</v>
      </c>
      <c r="V176" t="s">
        <v>154</v>
      </c>
    </row>
    <row r="177" spans="9:22" x14ac:dyDescent="0.25">
      <c r="I177" t="s">
        <v>178</v>
      </c>
      <c r="J177" t="s">
        <v>344</v>
      </c>
      <c r="K177">
        <v>0</v>
      </c>
      <c r="L177" t="s">
        <v>154</v>
      </c>
      <c r="N177" t="s">
        <v>208</v>
      </c>
      <c r="O177" t="s">
        <v>344</v>
      </c>
      <c r="P177">
        <v>0.12779782792104682</v>
      </c>
      <c r="Q177" t="s">
        <v>154</v>
      </c>
      <c r="S177" t="s">
        <v>239</v>
      </c>
      <c r="T177" t="s">
        <v>344</v>
      </c>
      <c r="U177">
        <v>0.13237112028941528</v>
      </c>
      <c r="V177" t="s">
        <v>154</v>
      </c>
    </row>
    <row r="178" spans="9:22" x14ac:dyDescent="0.25">
      <c r="I178" t="s">
        <v>178</v>
      </c>
      <c r="J178" t="s">
        <v>345</v>
      </c>
      <c r="K178">
        <v>4.5697680240852495E-3</v>
      </c>
      <c r="L178" t="s">
        <v>154</v>
      </c>
      <c r="N178" t="s">
        <v>208</v>
      </c>
      <c r="O178" t="s">
        <v>345</v>
      </c>
      <c r="P178">
        <v>3.5299251560359721E-2</v>
      </c>
      <c r="Q178" t="s">
        <v>154</v>
      </c>
      <c r="S178" t="s">
        <v>239</v>
      </c>
      <c r="T178" t="s">
        <v>345</v>
      </c>
      <c r="U178">
        <v>2.2826318768451263E-2</v>
      </c>
      <c r="V178" t="s">
        <v>154</v>
      </c>
    </row>
    <row r="179" spans="9:22" x14ac:dyDescent="0.25">
      <c r="I179" t="s">
        <v>179</v>
      </c>
      <c r="J179" t="s">
        <v>334</v>
      </c>
      <c r="K179">
        <v>0.19162075006999094</v>
      </c>
      <c r="L179" t="s">
        <v>154</v>
      </c>
      <c r="N179" t="s">
        <v>209</v>
      </c>
      <c r="O179" t="s">
        <v>334</v>
      </c>
      <c r="P179">
        <v>0.11817875617295735</v>
      </c>
      <c r="Q179" t="s">
        <v>154</v>
      </c>
      <c r="S179" t="s">
        <v>240</v>
      </c>
      <c r="T179" t="s">
        <v>334</v>
      </c>
      <c r="U179">
        <v>0.12429407063383094</v>
      </c>
      <c r="V179" t="s">
        <v>154</v>
      </c>
    </row>
    <row r="180" spans="9:22" x14ac:dyDescent="0.25">
      <c r="I180" t="s">
        <v>179</v>
      </c>
      <c r="J180" t="s">
        <v>335</v>
      </c>
      <c r="K180">
        <v>0</v>
      </c>
      <c r="L180" t="s">
        <v>154</v>
      </c>
      <c r="N180" t="s">
        <v>209</v>
      </c>
      <c r="O180" t="s">
        <v>335</v>
      </c>
      <c r="P180">
        <v>0.11358496126510065</v>
      </c>
      <c r="Q180" t="s">
        <v>154</v>
      </c>
      <c r="S180" t="s">
        <v>240</v>
      </c>
      <c r="T180" t="s">
        <v>335</v>
      </c>
      <c r="U180">
        <v>0.12865312924178418</v>
      </c>
      <c r="V180" t="s">
        <v>154</v>
      </c>
    </row>
    <row r="181" spans="9:22" x14ac:dyDescent="0.25">
      <c r="I181" t="s">
        <v>179</v>
      </c>
      <c r="J181" t="s">
        <v>336</v>
      </c>
      <c r="K181">
        <v>7.2318172260582257E-3</v>
      </c>
      <c r="L181" t="s">
        <v>154</v>
      </c>
      <c r="N181" t="s">
        <v>209</v>
      </c>
      <c r="O181" t="s">
        <v>336</v>
      </c>
      <c r="P181">
        <v>2.3036839049677824E-2</v>
      </c>
      <c r="Q181" t="s">
        <v>154</v>
      </c>
      <c r="S181" t="s">
        <v>240</v>
      </c>
      <c r="T181" t="s">
        <v>336</v>
      </c>
      <c r="U181">
        <v>2.3265392048731435E-2</v>
      </c>
      <c r="V181" t="s">
        <v>154</v>
      </c>
    </row>
    <row r="182" spans="9:22" x14ac:dyDescent="0.25">
      <c r="I182" t="s">
        <v>179</v>
      </c>
      <c r="J182" t="s">
        <v>337</v>
      </c>
      <c r="K182">
        <v>0.27897403394623449</v>
      </c>
      <c r="L182" t="s">
        <v>154</v>
      </c>
      <c r="N182" t="s">
        <v>209</v>
      </c>
      <c r="O182" t="s">
        <v>337</v>
      </c>
      <c r="P182">
        <v>0.11738388582619118</v>
      </c>
      <c r="Q182" t="s">
        <v>154</v>
      </c>
      <c r="S182" t="s">
        <v>240</v>
      </c>
      <c r="T182" t="s">
        <v>337</v>
      </c>
      <c r="U182">
        <v>0.10355221316519322</v>
      </c>
      <c r="V182" t="s">
        <v>154</v>
      </c>
    </row>
    <row r="183" spans="9:22" x14ac:dyDescent="0.25">
      <c r="I183" t="s">
        <v>179</v>
      </c>
      <c r="J183" t="s">
        <v>338</v>
      </c>
      <c r="K183">
        <v>2.1763636726344236E-3</v>
      </c>
      <c r="L183" t="s">
        <v>154</v>
      </c>
      <c r="N183" t="s">
        <v>209</v>
      </c>
      <c r="O183" t="s">
        <v>338</v>
      </c>
      <c r="P183">
        <v>0.11359382491607917</v>
      </c>
      <c r="Q183" t="s">
        <v>154</v>
      </c>
      <c r="S183" t="s">
        <v>240</v>
      </c>
      <c r="T183" t="s">
        <v>338</v>
      </c>
      <c r="U183">
        <v>0.12012691384122662</v>
      </c>
      <c r="V183" t="s">
        <v>154</v>
      </c>
    </row>
    <row r="184" spans="9:22" x14ac:dyDescent="0.25">
      <c r="I184" t="s">
        <v>179</v>
      </c>
      <c r="J184" t="s">
        <v>339</v>
      </c>
      <c r="K184">
        <v>2.4068334280091388E-2</v>
      </c>
      <c r="L184" t="s">
        <v>154</v>
      </c>
      <c r="N184" t="s">
        <v>209</v>
      </c>
      <c r="O184" t="s">
        <v>339</v>
      </c>
      <c r="P184">
        <v>2.5395414037935559E-2</v>
      </c>
      <c r="Q184" t="s">
        <v>154</v>
      </c>
      <c r="S184" t="s">
        <v>240</v>
      </c>
      <c r="T184" t="s">
        <v>339</v>
      </c>
      <c r="U184">
        <v>2.1026479725081572E-2</v>
      </c>
      <c r="V184" t="s">
        <v>154</v>
      </c>
    </row>
    <row r="185" spans="9:22" x14ac:dyDescent="0.25">
      <c r="I185" t="s">
        <v>179</v>
      </c>
      <c r="J185" t="s">
        <v>340</v>
      </c>
      <c r="K185">
        <v>0.28235025530370755</v>
      </c>
      <c r="L185" t="s">
        <v>154</v>
      </c>
      <c r="N185" t="s">
        <v>209</v>
      </c>
      <c r="O185" t="s">
        <v>340</v>
      </c>
      <c r="P185">
        <v>8.3104227982530227E-2</v>
      </c>
      <c r="Q185" t="s">
        <v>154</v>
      </c>
      <c r="S185" t="s">
        <v>240</v>
      </c>
      <c r="T185" t="s">
        <v>340</v>
      </c>
      <c r="U185">
        <v>7.9188416733021919E-2</v>
      </c>
      <c r="V185" t="s">
        <v>154</v>
      </c>
    </row>
    <row r="186" spans="9:22" x14ac:dyDescent="0.25">
      <c r="I186" t="s">
        <v>179</v>
      </c>
      <c r="J186" t="s">
        <v>341</v>
      </c>
      <c r="K186">
        <v>7.7072711255972036E-3</v>
      </c>
      <c r="L186" t="s">
        <v>154</v>
      </c>
      <c r="N186" t="s">
        <v>209</v>
      </c>
      <c r="O186" t="s">
        <v>341</v>
      </c>
      <c r="P186">
        <v>7.8295940424109284E-2</v>
      </c>
      <c r="Q186" t="s">
        <v>154</v>
      </c>
      <c r="S186" t="s">
        <v>240</v>
      </c>
      <c r="T186" t="s">
        <v>341</v>
      </c>
      <c r="U186">
        <v>9.6386888728860309E-2</v>
      </c>
      <c r="V186" t="s">
        <v>154</v>
      </c>
    </row>
    <row r="187" spans="9:22" x14ac:dyDescent="0.25">
      <c r="I187" t="s">
        <v>179</v>
      </c>
      <c r="J187" t="s">
        <v>342</v>
      </c>
      <c r="K187">
        <v>3.2231317851390898E-2</v>
      </c>
      <c r="L187" t="s">
        <v>154</v>
      </c>
      <c r="N187" t="s">
        <v>209</v>
      </c>
      <c r="O187" t="s">
        <v>342</v>
      </c>
      <c r="P187">
        <v>1.7331052074810289E-2</v>
      </c>
      <c r="Q187" t="s">
        <v>154</v>
      </c>
      <c r="S187" t="s">
        <v>240</v>
      </c>
      <c r="T187" t="s">
        <v>342</v>
      </c>
      <c r="U187">
        <v>1.4693176016845475E-2</v>
      </c>
      <c r="V187" t="s">
        <v>154</v>
      </c>
    </row>
    <row r="188" spans="9:22" x14ac:dyDescent="0.25">
      <c r="I188" t="s">
        <v>179</v>
      </c>
      <c r="J188" t="s">
        <v>343</v>
      </c>
      <c r="K188">
        <v>0.1702490050878564</v>
      </c>
      <c r="L188" t="s">
        <v>154</v>
      </c>
      <c r="N188" t="s">
        <v>209</v>
      </c>
      <c r="O188" t="s">
        <v>343</v>
      </c>
      <c r="P188">
        <v>0.14421710554190351</v>
      </c>
      <c r="Q188" t="s">
        <v>154</v>
      </c>
      <c r="S188" t="s">
        <v>240</v>
      </c>
      <c r="T188" t="s">
        <v>343</v>
      </c>
      <c r="U188">
        <v>0.12732873776616813</v>
      </c>
      <c r="V188" t="s">
        <v>154</v>
      </c>
    </row>
    <row r="189" spans="9:22" x14ac:dyDescent="0.25">
      <c r="I189" t="s">
        <v>179</v>
      </c>
      <c r="J189" t="s">
        <v>344</v>
      </c>
      <c r="K189">
        <v>0</v>
      </c>
      <c r="L189" t="s">
        <v>154</v>
      </c>
      <c r="N189" t="s">
        <v>209</v>
      </c>
      <c r="O189" t="s">
        <v>344</v>
      </c>
      <c r="P189">
        <v>0.13835151252202318</v>
      </c>
      <c r="Q189" t="s">
        <v>154</v>
      </c>
      <c r="S189" t="s">
        <v>240</v>
      </c>
      <c r="T189" t="s">
        <v>344</v>
      </c>
      <c r="U189">
        <v>0.13775351708307812</v>
      </c>
      <c r="V189" t="s">
        <v>154</v>
      </c>
    </row>
    <row r="190" spans="9:22" x14ac:dyDescent="0.25">
      <c r="I190" t="s">
        <v>179</v>
      </c>
      <c r="J190" t="s">
        <v>345</v>
      </c>
      <c r="K190">
        <v>3.3908514364400046E-3</v>
      </c>
      <c r="L190" t="s">
        <v>154</v>
      </c>
      <c r="N190" t="s">
        <v>209</v>
      </c>
      <c r="O190" t="s">
        <v>345</v>
      </c>
      <c r="P190">
        <v>2.7526480186681856E-2</v>
      </c>
      <c r="Q190" t="s">
        <v>154</v>
      </c>
      <c r="S190" t="s">
        <v>240</v>
      </c>
      <c r="T190" t="s">
        <v>345</v>
      </c>
      <c r="U190">
        <v>2.3731065016179827E-2</v>
      </c>
      <c r="V190" t="s">
        <v>154</v>
      </c>
    </row>
    <row r="191" spans="9:22" x14ac:dyDescent="0.25">
      <c r="I191" t="s">
        <v>180</v>
      </c>
      <c r="J191" t="s">
        <v>334</v>
      </c>
      <c r="K191">
        <v>0.19920550184369304</v>
      </c>
      <c r="L191" t="s">
        <v>154</v>
      </c>
      <c r="N191" t="s">
        <v>210</v>
      </c>
      <c r="O191" t="s">
        <v>334</v>
      </c>
      <c r="P191">
        <v>0.10779070203265652</v>
      </c>
      <c r="Q191" t="s">
        <v>154</v>
      </c>
      <c r="S191" t="s">
        <v>241</v>
      </c>
      <c r="T191" t="s">
        <v>334</v>
      </c>
      <c r="U191">
        <v>0.11347357202704791</v>
      </c>
      <c r="V191" t="s">
        <v>154</v>
      </c>
    </row>
    <row r="192" spans="9:22" x14ac:dyDescent="0.25">
      <c r="I192" t="s">
        <v>180</v>
      </c>
      <c r="J192" t="s">
        <v>335</v>
      </c>
      <c r="K192">
        <v>0</v>
      </c>
      <c r="L192" t="s">
        <v>154</v>
      </c>
      <c r="N192" t="s">
        <v>210</v>
      </c>
      <c r="O192" t="s">
        <v>335</v>
      </c>
      <c r="P192">
        <v>0.10785474206441628</v>
      </c>
      <c r="Q192" t="s">
        <v>154</v>
      </c>
      <c r="S192" t="s">
        <v>241</v>
      </c>
      <c r="T192" t="s">
        <v>335</v>
      </c>
      <c r="U192">
        <v>0.10997596284970725</v>
      </c>
      <c r="V192" t="s">
        <v>154</v>
      </c>
    </row>
    <row r="193" spans="9:22" x14ac:dyDescent="0.25">
      <c r="I193" t="s">
        <v>180</v>
      </c>
      <c r="J193" t="s">
        <v>336</v>
      </c>
      <c r="K193">
        <v>7.562579917022973E-3</v>
      </c>
      <c r="L193" t="s">
        <v>154</v>
      </c>
      <c r="N193" t="s">
        <v>210</v>
      </c>
      <c r="O193" t="s">
        <v>336</v>
      </c>
      <c r="P193">
        <v>2.1888463953938644E-2</v>
      </c>
      <c r="Q193" t="s">
        <v>154</v>
      </c>
      <c r="S193" t="s">
        <v>241</v>
      </c>
      <c r="T193" t="s">
        <v>336</v>
      </c>
      <c r="U193">
        <v>2.1613118303664147E-2</v>
      </c>
      <c r="V193" t="s">
        <v>154</v>
      </c>
    </row>
    <row r="194" spans="9:22" x14ac:dyDescent="0.25">
      <c r="I194" t="s">
        <v>180</v>
      </c>
      <c r="J194" t="s">
        <v>337</v>
      </c>
      <c r="K194">
        <v>0.28402263673302608</v>
      </c>
      <c r="L194" t="s">
        <v>154</v>
      </c>
      <c r="N194" t="s">
        <v>210</v>
      </c>
      <c r="O194" t="s">
        <v>337</v>
      </c>
      <c r="P194">
        <v>0.1217690734184035</v>
      </c>
      <c r="Q194" t="s">
        <v>154</v>
      </c>
      <c r="S194" t="s">
        <v>241</v>
      </c>
      <c r="T194" t="s">
        <v>337</v>
      </c>
      <c r="U194">
        <v>0.14324127093471214</v>
      </c>
      <c r="V194" t="s">
        <v>154</v>
      </c>
    </row>
    <row r="195" spans="9:22" x14ac:dyDescent="0.25">
      <c r="I195" t="s">
        <v>180</v>
      </c>
      <c r="J195" t="s">
        <v>338</v>
      </c>
      <c r="K195">
        <v>2.0234530764915255E-3</v>
      </c>
      <c r="L195" t="s">
        <v>154</v>
      </c>
      <c r="N195" t="s">
        <v>210</v>
      </c>
      <c r="O195" t="s">
        <v>338</v>
      </c>
      <c r="P195">
        <v>0.12261170315879237</v>
      </c>
      <c r="Q195" t="s">
        <v>154</v>
      </c>
      <c r="S195" t="s">
        <v>241</v>
      </c>
      <c r="T195" t="s">
        <v>338</v>
      </c>
      <c r="U195">
        <v>0.14040737743455795</v>
      </c>
      <c r="V195" t="s">
        <v>154</v>
      </c>
    </row>
    <row r="196" spans="9:22" x14ac:dyDescent="0.25">
      <c r="I196" t="s">
        <v>180</v>
      </c>
      <c r="J196" t="s">
        <v>339</v>
      </c>
      <c r="K196">
        <v>2.456138456874072E-2</v>
      </c>
      <c r="L196" t="s">
        <v>154</v>
      </c>
      <c r="N196" t="s">
        <v>210</v>
      </c>
      <c r="O196" t="s">
        <v>339</v>
      </c>
      <c r="P196">
        <v>2.3323677924067841E-2</v>
      </c>
      <c r="Q196" t="s">
        <v>154</v>
      </c>
      <c r="S196" t="s">
        <v>241</v>
      </c>
      <c r="T196" t="s">
        <v>339</v>
      </c>
      <c r="U196">
        <v>2.6737638218316172E-2</v>
      </c>
      <c r="V196" t="s">
        <v>154</v>
      </c>
    </row>
    <row r="197" spans="9:22" x14ac:dyDescent="0.25">
      <c r="I197" t="s">
        <v>180</v>
      </c>
      <c r="J197" t="s">
        <v>340</v>
      </c>
      <c r="K197">
        <v>0.27702430982003551</v>
      </c>
      <c r="L197" t="s">
        <v>154</v>
      </c>
      <c r="N197" t="s">
        <v>210</v>
      </c>
      <c r="O197" t="s">
        <v>340</v>
      </c>
      <c r="P197">
        <v>9.5062751350146094E-2</v>
      </c>
      <c r="Q197" t="s">
        <v>154</v>
      </c>
      <c r="S197" t="s">
        <v>241</v>
      </c>
      <c r="T197" t="s">
        <v>340</v>
      </c>
      <c r="U197">
        <v>5.0740010604350239E-2</v>
      </c>
      <c r="V197" t="s">
        <v>154</v>
      </c>
    </row>
    <row r="198" spans="9:22" x14ac:dyDescent="0.25">
      <c r="I198" t="s">
        <v>180</v>
      </c>
      <c r="J198" t="s">
        <v>341</v>
      </c>
      <c r="K198">
        <v>7.7039689542017899E-3</v>
      </c>
      <c r="L198" t="s">
        <v>154</v>
      </c>
      <c r="N198" t="s">
        <v>210</v>
      </c>
      <c r="O198" t="s">
        <v>341</v>
      </c>
      <c r="P198">
        <v>8.4149113356878427E-2</v>
      </c>
      <c r="Q198" t="s">
        <v>154</v>
      </c>
      <c r="S198" t="s">
        <v>241</v>
      </c>
      <c r="T198" t="s">
        <v>341</v>
      </c>
      <c r="U198">
        <v>5.6791138808298398E-2</v>
      </c>
      <c r="V198" t="s">
        <v>154</v>
      </c>
    </row>
    <row r="199" spans="9:22" x14ac:dyDescent="0.25">
      <c r="I199" t="s">
        <v>180</v>
      </c>
      <c r="J199" t="s">
        <v>342</v>
      </c>
      <c r="K199">
        <v>3.0723991069800251E-2</v>
      </c>
      <c r="L199" t="s">
        <v>154</v>
      </c>
      <c r="N199" t="s">
        <v>210</v>
      </c>
      <c r="O199" t="s">
        <v>342</v>
      </c>
      <c r="P199">
        <v>1.599407836172765E-2</v>
      </c>
      <c r="Q199" t="s">
        <v>154</v>
      </c>
      <c r="S199" t="s">
        <v>241</v>
      </c>
      <c r="T199" t="s">
        <v>342</v>
      </c>
      <c r="U199">
        <v>9.4892580405542184E-3</v>
      </c>
      <c r="V199" t="s">
        <v>154</v>
      </c>
    </row>
    <row r="200" spans="9:22" x14ac:dyDescent="0.25">
      <c r="I200" t="s">
        <v>180</v>
      </c>
      <c r="J200" t="s">
        <v>343</v>
      </c>
      <c r="K200">
        <v>0.16391276803626514</v>
      </c>
      <c r="L200" t="s">
        <v>154</v>
      </c>
      <c r="N200" t="s">
        <v>210</v>
      </c>
      <c r="O200" t="s">
        <v>343</v>
      </c>
      <c r="P200">
        <v>0.135376298326633</v>
      </c>
      <c r="Q200" t="s">
        <v>154</v>
      </c>
      <c r="S200" t="s">
        <v>241</v>
      </c>
      <c r="T200" t="s">
        <v>343</v>
      </c>
      <c r="U200">
        <v>0.14473039579638328</v>
      </c>
      <c r="V200" t="s">
        <v>154</v>
      </c>
    </row>
    <row r="201" spans="9:22" x14ac:dyDescent="0.25">
      <c r="I201" t="s">
        <v>180</v>
      </c>
      <c r="J201" t="s">
        <v>344</v>
      </c>
      <c r="K201">
        <v>0</v>
      </c>
      <c r="L201" t="s">
        <v>154</v>
      </c>
      <c r="N201" t="s">
        <v>210</v>
      </c>
      <c r="O201" t="s">
        <v>344</v>
      </c>
      <c r="P201">
        <v>0.13624256662369225</v>
      </c>
      <c r="Q201" t="s">
        <v>154</v>
      </c>
      <c r="S201" t="s">
        <v>241</v>
      </c>
      <c r="T201" t="s">
        <v>344</v>
      </c>
      <c r="U201">
        <v>0.15469472552861635</v>
      </c>
      <c r="V201" t="s">
        <v>154</v>
      </c>
    </row>
    <row r="202" spans="9:22" x14ac:dyDescent="0.25">
      <c r="I202" t="s">
        <v>180</v>
      </c>
      <c r="J202" t="s">
        <v>345</v>
      </c>
      <c r="K202">
        <v>3.2594059807241537E-3</v>
      </c>
      <c r="L202" t="s">
        <v>154</v>
      </c>
      <c r="N202" t="s">
        <v>210</v>
      </c>
      <c r="O202" t="s">
        <v>345</v>
      </c>
      <c r="P202">
        <v>2.7936829428643159E-2</v>
      </c>
      <c r="Q202" t="s">
        <v>154</v>
      </c>
      <c r="S202" t="s">
        <v>241</v>
      </c>
      <c r="T202" t="s">
        <v>345</v>
      </c>
      <c r="U202">
        <v>2.8105531453794914E-2</v>
      </c>
      <c r="V202" t="s">
        <v>154</v>
      </c>
    </row>
    <row r="203" spans="9:22" x14ac:dyDescent="0.25">
      <c r="I203" t="s">
        <v>181</v>
      </c>
      <c r="J203" t="s">
        <v>334</v>
      </c>
      <c r="K203">
        <v>0.1900765359595962</v>
      </c>
      <c r="L203" t="s">
        <v>154</v>
      </c>
      <c r="N203" t="s">
        <v>211</v>
      </c>
      <c r="O203" t="s">
        <v>334</v>
      </c>
      <c r="P203">
        <v>0.10731063036240454</v>
      </c>
      <c r="Q203" t="s">
        <v>154</v>
      </c>
      <c r="S203" t="s">
        <v>242</v>
      </c>
      <c r="T203" t="s">
        <v>334</v>
      </c>
      <c r="U203">
        <v>0.10836996164861734</v>
      </c>
      <c r="V203" t="s">
        <v>154</v>
      </c>
    </row>
    <row r="204" spans="9:22" x14ac:dyDescent="0.25">
      <c r="I204" t="s">
        <v>181</v>
      </c>
      <c r="J204" t="s">
        <v>335</v>
      </c>
      <c r="K204">
        <v>0</v>
      </c>
      <c r="L204" t="s">
        <v>154</v>
      </c>
      <c r="N204" t="s">
        <v>211</v>
      </c>
      <c r="O204" t="s">
        <v>335</v>
      </c>
      <c r="P204">
        <v>9.9670030166872287E-2</v>
      </c>
      <c r="Q204" t="s">
        <v>154</v>
      </c>
      <c r="S204" t="s">
        <v>242</v>
      </c>
      <c r="T204" t="s">
        <v>335</v>
      </c>
      <c r="U204">
        <v>0.12165878382518905</v>
      </c>
      <c r="V204" t="s">
        <v>154</v>
      </c>
    </row>
    <row r="205" spans="9:22" x14ac:dyDescent="0.25">
      <c r="I205" t="s">
        <v>181</v>
      </c>
      <c r="J205" t="s">
        <v>336</v>
      </c>
      <c r="K205">
        <v>8.1886099568600559E-3</v>
      </c>
      <c r="L205" t="s">
        <v>154</v>
      </c>
      <c r="N205" t="s">
        <v>211</v>
      </c>
      <c r="O205" t="s">
        <v>336</v>
      </c>
      <c r="P205">
        <v>2.1167154063888572E-2</v>
      </c>
      <c r="Q205" t="s">
        <v>154</v>
      </c>
      <c r="S205" t="s">
        <v>242</v>
      </c>
      <c r="T205" t="s">
        <v>336</v>
      </c>
      <c r="U205">
        <v>2.2262463412631064E-2</v>
      </c>
      <c r="V205" t="s">
        <v>154</v>
      </c>
    </row>
    <row r="206" spans="9:22" x14ac:dyDescent="0.25">
      <c r="I206" t="s">
        <v>181</v>
      </c>
      <c r="J206" t="s">
        <v>337</v>
      </c>
      <c r="K206">
        <v>0.27796266535039088</v>
      </c>
      <c r="L206" t="s">
        <v>154</v>
      </c>
      <c r="N206" t="s">
        <v>211</v>
      </c>
      <c r="O206" t="s">
        <v>337</v>
      </c>
      <c r="P206">
        <v>0.1317067100379225</v>
      </c>
      <c r="Q206" t="s">
        <v>154</v>
      </c>
      <c r="S206" t="s">
        <v>242</v>
      </c>
      <c r="T206" t="s">
        <v>337</v>
      </c>
      <c r="U206">
        <v>0.12895161211922371</v>
      </c>
      <c r="V206" t="s">
        <v>154</v>
      </c>
    </row>
    <row r="207" spans="9:22" x14ac:dyDescent="0.25">
      <c r="I207" t="s">
        <v>181</v>
      </c>
      <c r="J207" t="s">
        <v>338</v>
      </c>
      <c r="K207">
        <v>2.2944550384160975E-3</v>
      </c>
      <c r="L207" t="s">
        <v>154</v>
      </c>
      <c r="N207" t="s">
        <v>211</v>
      </c>
      <c r="O207" t="s">
        <v>338</v>
      </c>
      <c r="P207">
        <v>0.11208150403935642</v>
      </c>
      <c r="Q207" t="s">
        <v>154</v>
      </c>
      <c r="S207" t="s">
        <v>242</v>
      </c>
      <c r="T207" t="s">
        <v>338</v>
      </c>
      <c r="U207">
        <v>0.13145631755272547</v>
      </c>
      <c r="V207" t="s">
        <v>154</v>
      </c>
    </row>
    <row r="208" spans="9:22" x14ac:dyDescent="0.25">
      <c r="I208" t="s">
        <v>181</v>
      </c>
      <c r="J208" t="s">
        <v>339</v>
      </c>
      <c r="K208">
        <v>2.5389987879143358E-2</v>
      </c>
      <c r="L208" t="s">
        <v>154</v>
      </c>
      <c r="N208" t="s">
        <v>211</v>
      </c>
      <c r="O208" t="s">
        <v>339</v>
      </c>
      <c r="P208">
        <v>2.2934168526912577E-2</v>
      </c>
      <c r="Q208" t="s">
        <v>154</v>
      </c>
      <c r="S208" t="s">
        <v>242</v>
      </c>
      <c r="T208" t="s">
        <v>339</v>
      </c>
      <c r="U208">
        <v>2.6151391405606631E-2</v>
      </c>
      <c r="V208" t="s">
        <v>154</v>
      </c>
    </row>
    <row r="209" spans="9:22" x14ac:dyDescent="0.25">
      <c r="I209" t="s">
        <v>181</v>
      </c>
      <c r="J209" t="s">
        <v>340</v>
      </c>
      <c r="K209">
        <v>0.27882792436541126</v>
      </c>
      <c r="L209" t="s">
        <v>154</v>
      </c>
      <c r="N209" t="s">
        <v>211</v>
      </c>
      <c r="O209" t="s">
        <v>340</v>
      </c>
      <c r="P209">
        <v>7.6030232944852782E-2</v>
      </c>
      <c r="Q209" t="s">
        <v>154</v>
      </c>
      <c r="S209" t="s">
        <v>242</v>
      </c>
      <c r="T209" t="s">
        <v>340</v>
      </c>
      <c r="U209">
        <v>6.0645248890210494E-2</v>
      </c>
      <c r="V209" t="s">
        <v>154</v>
      </c>
    </row>
    <row r="210" spans="9:22" x14ac:dyDescent="0.25">
      <c r="I210" t="s">
        <v>181</v>
      </c>
      <c r="J210" t="s">
        <v>341</v>
      </c>
      <c r="K210">
        <v>7.0390587467121764E-3</v>
      </c>
      <c r="L210" t="s">
        <v>154</v>
      </c>
      <c r="N210" t="s">
        <v>211</v>
      </c>
      <c r="O210" t="s">
        <v>341</v>
      </c>
      <c r="P210">
        <v>6.9535784730567013E-2</v>
      </c>
      <c r="Q210" t="s">
        <v>154</v>
      </c>
      <c r="S210" t="s">
        <v>242</v>
      </c>
      <c r="T210" t="s">
        <v>341</v>
      </c>
      <c r="U210">
        <v>6.1634508372543514E-2</v>
      </c>
      <c r="V210" t="s">
        <v>154</v>
      </c>
    </row>
    <row r="211" spans="9:22" x14ac:dyDescent="0.25">
      <c r="I211" t="s">
        <v>181</v>
      </c>
      <c r="J211" t="s">
        <v>342</v>
      </c>
      <c r="K211">
        <v>3.2554243353759317E-2</v>
      </c>
      <c r="L211" t="s">
        <v>154</v>
      </c>
      <c r="N211" t="s">
        <v>211</v>
      </c>
      <c r="O211" t="s">
        <v>342</v>
      </c>
      <c r="P211">
        <v>1.3579786222229554E-2</v>
      </c>
      <c r="Q211" t="s">
        <v>154</v>
      </c>
      <c r="S211" t="s">
        <v>242</v>
      </c>
      <c r="T211" t="s">
        <v>342</v>
      </c>
      <c r="U211">
        <v>1.2265372582229463E-2</v>
      </c>
      <c r="V211" t="s">
        <v>154</v>
      </c>
    </row>
    <row r="212" spans="9:22" x14ac:dyDescent="0.25">
      <c r="I212" t="s">
        <v>181</v>
      </c>
      <c r="J212" t="s">
        <v>343</v>
      </c>
      <c r="K212">
        <v>0.17342862963400862</v>
      </c>
      <c r="L212" t="s">
        <v>154</v>
      </c>
      <c r="N212" t="s">
        <v>211</v>
      </c>
      <c r="O212" t="s">
        <v>343</v>
      </c>
      <c r="P212">
        <v>0.15224232636094931</v>
      </c>
      <c r="Q212" t="s">
        <v>154</v>
      </c>
      <c r="S212" t="s">
        <v>242</v>
      </c>
      <c r="T212" t="s">
        <v>343</v>
      </c>
      <c r="U212">
        <v>0.1484278578669955</v>
      </c>
      <c r="V212" t="s">
        <v>154</v>
      </c>
    </row>
    <row r="213" spans="9:22" x14ac:dyDescent="0.25">
      <c r="I213" t="s">
        <v>181</v>
      </c>
      <c r="J213" t="s">
        <v>344</v>
      </c>
      <c r="K213">
        <v>0</v>
      </c>
      <c r="L213" t="s">
        <v>154</v>
      </c>
      <c r="N213" t="s">
        <v>211</v>
      </c>
      <c r="O213" t="s">
        <v>344</v>
      </c>
      <c r="P213">
        <v>0.1639468042124971</v>
      </c>
      <c r="Q213" t="s">
        <v>154</v>
      </c>
      <c r="S213" t="s">
        <v>242</v>
      </c>
      <c r="T213" t="s">
        <v>344</v>
      </c>
      <c r="U213">
        <v>0.14950536821565391</v>
      </c>
      <c r="V213" t="s">
        <v>154</v>
      </c>
    </row>
    <row r="214" spans="9:22" x14ac:dyDescent="0.25">
      <c r="I214" t="s">
        <v>181</v>
      </c>
      <c r="J214" t="s">
        <v>345</v>
      </c>
      <c r="K214">
        <v>4.2378897157050368E-3</v>
      </c>
      <c r="L214" t="s">
        <v>154</v>
      </c>
      <c r="N214" t="s">
        <v>211</v>
      </c>
      <c r="O214" t="s">
        <v>345</v>
      </c>
      <c r="P214">
        <v>2.9794868331542674E-2</v>
      </c>
      <c r="Q214" t="s">
        <v>154</v>
      </c>
      <c r="S214" t="s">
        <v>242</v>
      </c>
      <c r="T214" t="s">
        <v>345</v>
      </c>
      <c r="U214">
        <v>2.8671114108371702E-2</v>
      </c>
      <c r="V214" t="s">
        <v>154</v>
      </c>
    </row>
    <row r="215" spans="9:22" x14ac:dyDescent="0.25">
      <c r="I215" t="s">
        <v>182</v>
      </c>
      <c r="J215" t="s">
        <v>334</v>
      </c>
      <c r="K215">
        <v>0.19154507481522651</v>
      </c>
      <c r="L215" t="s">
        <v>154</v>
      </c>
      <c r="N215" t="s">
        <v>212</v>
      </c>
      <c r="O215" t="s">
        <v>334</v>
      </c>
      <c r="P215">
        <v>0.12812130498892613</v>
      </c>
      <c r="Q215" t="s">
        <v>154</v>
      </c>
      <c r="S215" t="s">
        <v>243</v>
      </c>
      <c r="T215" t="s">
        <v>334</v>
      </c>
      <c r="U215">
        <v>0.1008603527151555</v>
      </c>
      <c r="V215" t="s">
        <v>154</v>
      </c>
    </row>
    <row r="216" spans="9:22" x14ac:dyDescent="0.25">
      <c r="I216" t="s">
        <v>182</v>
      </c>
      <c r="J216" t="s">
        <v>335</v>
      </c>
      <c r="K216">
        <v>0</v>
      </c>
      <c r="L216" t="s">
        <v>154</v>
      </c>
      <c r="N216" t="s">
        <v>212</v>
      </c>
      <c r="O216" t="s">
        <v>335</v>
      </c>
      <c r="P216">
        <v>0.13061475677880802</v>
      </c>
      <c r="Q216" t="s">
        <v>154</v>
      </c>
      <c r="S216" t="s">
        <v>243</v>
      </c>
      <c r="T216" t="s">
        <v>335</v>
      </c>
      <c r="U216">
        <v>0.10572553960665186</v>
      </c>
      <c r="V216" t="s">
        <v>154</v>
      </c>
    </row>
    <row r="217" spans="9:22" x14ac:dyDescent="0.25">
      <c r="I217" t="s">
        <v>182</v>
      </c>
      <c r="J217" t="s">
        <v>336</v>
      </c>
      <c r="K217">
        <v>7.8489762160671439E-3</v>
      </c>
      <c r="L217" t="s">
        <v>154</v>
      </c>
      <c r="N217" t="s">
        <v>212</v>
      </c>
      <c r="O217" t="s">
        <v>336</v>
      </c>
      <c r="P217">
        <v>2.4366445757782473E-2</v>
      </c>
      <c r="Q217" t="s">
        <v>154</v>
      </c>
      <c r="S217" t="s">
        <v>243</v>
      </c>
      <c r="T217" t="s">
        <v>336</v>
      </c>
      <c r="U217">
        <v>2.0031254701352433E-2</v>
      </c>
      <c r="V217" t="s">
        <v>154</v>
      </c>
    </row>
    <row r="218" spans="9:22" x14ac:dyDescent="0.25">
      <c r="I218" t="s">
        <v>182</v>
      </c>
      <c r="J218" t="s">
        <v>337</v>
      </c>
      <c r="K218">
        <v>0.28585226439900996</v>
      </c>
      <c r="L218" t="s">
        <v>154</v>
      </c>
      <c r="N218" t="s">
        <v>212</v>
      </c>
      <c r="O218" t="s">
        <v>337</v>
      </c>
      <c r="P218">
        <v>0.10778169414535925</v>
      </c>
      <c r="Q218" t="s">
        <v>154</v>
      </c>
      <c r="S218" t="s">
        <v>243</v>
      </c>
      <c r="T218" t="s">
        <v>337</v>
      </c>
      <c r="U218">
        <v>0.13436491793079752</v>
      </c>
      <c r="V218" t="s">
        <v>154</v>
      </c>
    </row>
    <row r="219" spans="9:22" x14ac:dyDescent="0.25">
      <c r="I219" t="s">
        <v>182</v>
      </c>
      <c r="J219" t="s">
        <v>338</v>
      </c>
      <c r="K219">
        <v>1.9215109228349111E-3</v>
      </c>
      <c r="L219" t="s">
        <v>154</v>
      </c>
      <c r="N219" t="s">
        <v>212</v>
      </c>
      <c r="O219" t="s">
        <v>338</v>
      </c>
      <c r="P219">
        <v>0.11375420183125987</v>
      </c>
      <c r="Q219" t="s">
        <v>154</v>
      </c>
      <c r="S219" t="s">
        <v>243</v>
      </c>
      <c r="T219" t="s">
        <v>338</v>
      </c>
      <c r="U219">
        <v>0.1314309430905185</v>
      </c>
      <c r="V219" t="s">
        <v>154</v>
      </c>
    </row>
    <row r="220" spans="9:22" x14ac:dyDescent="0.25">
      <c r="I220" t="s">
        <v>182</v>
      </c>
      <c r="J220" t="s">
        <v>339</v>
      </c>
      <c r="K220">
        <v>2.6839119018741017E-2</v>
      </c>
      <c r="L220" t="s">
        <v>154</v>
      </c>
      <c r="N220" t="s">
        <v>212</v>
      </c>
      <c r="O220" t="s">
        <v>339</v>
      </c>
      <c r="P220">
        <v>2.2652526161196836E-2</v>
      </c>
      <c r="Q220" t="s">
        <v>154</v>
      </c>
      <c r="S220" t="s">
        <v>243</v>
      </c>
      <c r="T220" t="s">
        <v>339</v>
      </c>
      <c r="U220">
        <v>2.5404677855769234E-2</v>
      </c>
      <c r="V220" t="s">
        <v>154</v>
      </c>
    </row>
    <row r="221" spans="9:22" x14ac:dyDescent="0.25">
      <c r="I221" t="s">
        <v>182</v>
      </c>
      <c r="J221" t="s">
        <v>340</v>
      </c>
      <c r="K221">
        <v>0.25992389366619767</v>
      </c>
      <c r="L221" t="s">
        <v>154</v>
      </c>
      <c r="N221" t="s">
        <v>212</v>
      </c>
      <c r="O221" t="s">
        <v>340</v>
      </c>
      <c r="P221">
        <v>8.9773402276229819E-2</v>
      </c>
      <c r="Q221" t="s">
        <v>154</v>
      </c>
      <c r="S221" t="s">
        <v>243</v>
      </c>
      <c r="T221" t="s">
        <v>340</v>
      </c>
      <c r="U221">
        <v>5.6738687206117404E-2</v>
      </c>
      <c r="V221" t="s">
        <v>154</v>
      </c>
    </row>
    <row r="222" spans="9:22" x14ac:dyDescent="0.25">
      <c r="I222" t="s">
        <v>182</v>
      </c>
      <c r="J222" t="s">
        <v>341</v>
      </c>
      <c r="K222">
        <v>6.0483490598571554E-3</v>
      </c>
      <c r="L222" t="s">
        <v>154</v>
      </c>
      <c r="N222" t="s">
        <v>212</v>
      </c>
      <c r="O222" t="s">
        <v>341</v>
      </c>
      <c r="P222">
        <v>8.3099751653642015E-2</v>
      </c>
      <c r="Q222" t="s">
        <v>154</v>
      </c>
      <c r="S222" t="s">
        <v>243</v>
      </c>
      <c r="T222" t="s">
        <v>341</v>
      </c>
      <c r="U222">
        <v>5.9905385242872859E-2</v>
      </c>
      <c r="V222" t="s">
        <v>154</v>
      </c>
    </row>
    <row r="223" spans="9:22" x14ac:dyDescent="0.25">
      <c r="I223" t="s">
        <v>182</v>
      </c>
      <c r="J223" t="s">
        <v>342</v>
      </c>
      <c r="K223">
        <v>3.1334159584829935E-2</v>
      </c>
      <c r="L223" t="s">
        <v>154</v>
      </c>
      <c r="N223" t="s">
        <v>212</v>
      </c>
      <c r="O223" t="s">
        <v>342</v>
      </c>
      <c r="P223">
        <v>1.9128152797088151E-2</v>
      </c>
      <c r="Q223" t="s">
        <v>154</v>
      </c>
      <c r="S223" t="s">
        <v>243</v>
      </c>
      <c r="T223" t="s">
        <v>342</v>
      </c>
      <c r="U223">
        <v>1.1809583997877066E-2</v>
      </c>
      <c r="V223" t="s">
        <v>154</v>
      </c>
    </row>
    <row r="224" spans="9:22" x14ac:dyDescent="0.25">
      <c r="I224" t="s">
        <v>182</v>
      </c>
      <c r="J224" t="s">
        <v>343</v>
      </c>
      <c r="K224">
        <v>0.18420545744002001</v>
      </c>
      <c r="L224" t="s">
        <v>154</v>
      </c>
      <c r="N224" t="s">
        <v>212</v>
      </c>
      <c r="O224" t="s">
        <v>343</v>
      </c>
      <c r="P224">
        <v>0.12281740725219423</v>
      </c>
      <c r="Q224" t="s">
        <v>154</v>
      </c>
      <c r="S224" t="s">
        <v>243</v>
      </c>
      <c r="T224" t="s">
        <v>343</v>
      </c>
      <c r="U224">
        <v>0.16302034159188064</v>
      </c>
      <c r="V224" t="s">
        <v>154</v>
      </c>
    </row>
    <row r="225" spans="9:22" x14ac:dyDescent="0.25">
      <c r="I225" t="s">
        <v>182</v>
      </c>
      <c r="J225" t="s">
        <v>344</v>
      </c>
      <c r="K225">
        <v>0</v>
      </c>
      <c r="L225" t="s">
        <v>154</v>
      </c>
      <c r="N225" t="s">
        <v>212</v>
      </c>
      <c r="O225" t="s">
        <v>344</v>
      </c>
      <c r="P225">
        <v>0.13323728034068585</v>
      </c>
      <c r="Q225" t="s">
        <v>154</v>
      </c>
      <c r="S225" t="s">
        <v>243</v>
      </c>
      <c r="T225" t="s">
        <v>344</v>
      </c>
      <c r="U225">
        <v>0.15999583798221165</v>
      </c>
      <c r="V225" t="s">
        <v>154</v>
      </c>
    </row>
    <row r="226" spans="9:22" x14ac:dyDescent="0.25">
      <c r="I226" t="s">
        <v>182</v>
      </c>
      <c r="J226" t="s">
        <v>345</v>
      </c>
      <c r="K226">
        <v>4.4811948772145102E-3</v>
      </c>
      <c r="L226" t="s">
        <v>154</v>
      </c>
      <c r="N226" t="s">
        <v>212</v>
      </c>
      <c r="O226" t="s">
        <v>345</v>
      </c>
      <c r="P226">
        <v>2.4653076016828538E-2</v>
      </c>
      <c r="Q226" t="s">
        <v>154</v>
      </c>
      <c r="S226" t="s">
        <v>243</v>
      </c>
      <c r="T226" t="s">
        <v>345</v>
      </c>
      <c r="U226">
        <v>3.0712478078793064E-2</v>
      </c>
      <c r="V226" t="s">
        <v>154</v>
      </c>
    </row>
    <row r="227" spans="9:22" x14ac:dyDescent="0.25">
      <c r="I227" t="s">
        <v>183</v>
      </c>
      <c r="J227" t="s">
        <v>334</v>
      </c>
      <c r="K227">
        <v>0.20023282271098686</v>
      </c>
      <c r="L227" t="s">
        <v>154</v>
      </c>
      <c r="N227" t="s">
        <v>213</v>
      </c>
      <c r="O227" t="s">
        <v>334</v>
      </c>
      <c r="P227">
        <v>0.11529593208133342</v>
      </c>
      <c r="Q227" t="s">
        <v>154</v>
      </c>
      <c r="S227" t="s">
        <v>244</v>
      </c>
      <c r="T227" t="s">
        <v>334</v>
      </c>
      <c r="U227">
        <v>0.11382428515742059</v>
      </c>
      <c r="V227" t="s">
        <v>154</v>
      </c>
    </row>
    <row r="228" spans="9:22" x14ac:dyDescent="0.25">
      <c r="I228" t="s">
        <v>183</v>
      </c>
      <c r="J228" t="s">
        <v>335</v>
      </c>
      <c r="K228">
        <v>0</v>
      </c>
      <c r="L228" t="s">
        <v>154</v>
      </c>
      <c r="N228" t="s">
        <v>213</v>
      </c>
      <c r="O228" t="s">
        <v>335</v>
      </c>
      <c r="P228">
        <v>0.12228024847302213</v>
      </c>
      <c r="Q228" t="s">
        <v>154</v>
      </c>
      <c r="S228" t="s">
        <v>244</v>
      </c>
      <c r="T228" t="s">
        <v>335</v>
      </c>
      <c r="U228">
        <v>0.12210316112054126</v>
      </c>
      <c r="V228" t="s">
        <v>154</v>
      </c>
    </row>
    <row r="229" spans="9:22" x14ac:dyDescent="0.25">
      <c r="I229" t="s">
        <v>183</v>
      </c>
      <c r="J229" t="s">
        <v>336</v>
      </c>
      <c r="K229">
        <v>5.8132773872576361E-3</v>
      </c>
      <c r="L229" t="s">
        <v>154</v>
      </c>
      <c r="N229" t="s">
        <v>213</v>
      </c>
      <c r="O229" t="s">
        <v>336</v>
      </c>
      <c r="P229">
        <v>2.3374511136842618E-2</v>
      </c>
      <c r="Q229" t="s">
        <v>154</v>
      </c>
      <c r="S229" t="s">
        <v>244</v>
      </c>
      <c r="T229" t="s">
        <v>336</v>
      </c>
      <c r="U229">
        <v>2.2925544437901551E-2</v>
      </c>
      <c r="V229" t="s">
        <v>154</v>
      </c>
    </row>
    <row r="230" spans="9:22" x14ac:dyDescent="0.25">
      <c r="I230" t="s">
        <v>183</v>
      </c>
      <c r="J230" t="s">
        <v>337</v>
      </c>
      <c r="K230">
        <v>0.28022709804006685</v>
      </c>
      <c r="L230" t="s">
        <v>154</v>
      </c>
      <c r="N230" t="s">
        <v>213</v>
      </c>
      <c r="O230" t="s">
        <v>337</v>
      </c>
      <c r="P230">
        <v>0.10883166477279568</v>
      </c>
      <c r="Q230" t="s">
        <v>154</v>
      </c>
      <c r="S230" t="s">
        <v>244</v>
      </c>
      <c r="T230" t="s">
        <v>337</v>
      </c>
      <c r="U230">
        <v>0.14521334511208372</v>
      </c>
      <c r="V230" t="s">
        <v>154</v>
      </c>
    </row>
    <row r="231" spans="9:22" x14ac:dyDescent="0.25">
      <c r="I231" t="s">
        <v>183</v>
      </c>
      <c r="J231" t="s">
        <v>338</v>
      </c>
      <c r="K231">
        <v>1.6599855757167123E-3</v>
      </c>
      <c r="L231" t="s">
        <v>154</v>
      </c>
      <c r="N231" t="s">
        <v>213</v>
      </c>
      <c r="O231" t="s">
        <v>338</v>
      </c>
      <c r="P231">
        <v>0.12323896006974973</v>
      </c>
      <c r="Q231" t="s">
        <v>154</v>
      </c>
      <c r="S231" t="s">
        <v>244</v>
      </c>
      <c r="T231" t="s">
        <v>338</v>
      </c>
      <c r="U231">
        <v>0.14360406684725685</v>
      </c>
      <c r="V231" t="s">
        <v>154</v>
      </c>
    </row>
    <row r="232" spans="9:22" x14ac:dyDescent="0.25">
      <c r="I232" t="s">
        <v>183</v>
      </c>
      <c r="J232" t="s">
        <v>339</v>
      </c>
      <c r="K232">
        <v>2.4383344100220333E-2</v>
      </c>
      <c r="L232" t="s">
        <v>154</v>
      </c>
      <c r="N232" t="s">
        <v>213</v>
      </c>
      <c r="O232" t="s">
        <v>339</v>
      </c>
      <c r="P232">
        <v>2.266179205476368E-2</v>
      </c>
      <c r="Q232" t="s">
        <v>154</v>
      </c>
      <c r="S232" t="s">
        <v>244</v>
      </c>
      <c r="T232" t="s">
        <v>339</v>
      </c>
      <c r="U232">
        <v>2.9484174662229717E-2</v>
      </c>
      <c r="V232" t="s">
        <v>154</v>
      </c>
    </row>
    <row r="233" spans="9:22" x14ac:dyDescent="0.25">
      <c r="I233" t="s">
        <v>183</v>
      </c>
      <c r="J233" t="s">
        <v>340</v>
      </c>
      <c r="K233">
        <v>0.24530954252815076</v>
      </c>
      <c r="L233" t="s">
        <v>154</v>
      </c>
      <c r="N233" t="s">
        <v>213</v>
      </c>
      <c r="O233" t="s">
        <v>340</v>
      </c>
      <c r="P233">
        <v>8.2184963112407916E-2</v>
      </c>
      <c r="Q233" t="s">
        <v>154</v>
      </c>
      <c r="S233" t="s">
        <v>244</v>
      </c>
      <c r="T233" t="s">
        <v>340</v>
      </c>
      <c r="U233">
        <v>6.6966623722566718E-2</v>
      </c>
      <c r="V233" t="s">
        <v>154</v>
      </c>
    </row>
    <row r="234" spans="9:22" x14ac:dyDescent="0.25">
      <c r="I234" t="s">
        <v>183</v>
      </c>
      <c r="J234" t="s">
        <v>341</v>
      </c>
      <c r="K234">
        <v>5.8057852199541468E-3</v>
      </c>
      <c r="L234" t="s">
        <v>154</v>
      </c>
      <c r="N234" t="s">
        <v>213</v>
      </c>
      <c r="O234" t="s">
        <v>341</v>
      </c>
      <c r="P234">
        <v>9.2449842453174447E-2</v>
      </c>
      <c r="Q234" t="s">
        <v>154</v>
      </c>
      <c r="S234" t="s">
        <v>244</v>
      </c>
      <c r="T234" t="s">
        <v>341</v>
      </c>
      <c r="U234">
        <v>6.5796627803810501E-2</v>
      </c>
      <c r="V234" t="s">
        <v>154</v>
      </c>
    </row>
    <row r="235" spans="9:22" x14ac:dyDescent="0.25">
      <c r="I235" t="s">
        <v>183</v>
      </c>
      <c r="J235" t="s">
        <v>342</v>
      </c>
      <c r="K235">
        <v>2.556896334416095E-2</v>
      </c>
      <c r="L235" t="s">
        <v>154</v>
      </c>
      <c r="N235" t="s">
        <v>213</v>
      </c>
      <c r="O235" t="s">
        <v>342</v>
      </c>
      <c r="P235">
        <v>1.5013054248009158E-2</v>
      </c>
      <c r="Q235" t="s">
        <v>154</v>
      </c>
      <c r="S235" t="s">
        <v>244</v>
      </c>
      <c r="T235" t="s">
        <v>342</v>
      </c>
      <c r="U235">
        <v>1.4431446051422471E-2</v>
      </c>
      <c r="V235" t="s">
        <v>154</v>
      </c>
    </row>
    <row r="236" spans="9:22" x14ac:dyDescent="0.25">
      <c r="I236" t="s">
        <v>183</v>
      </c>
      <c r="J236" t="s">
        <v>343</v>
      </c>
      <c r="K236">
        <v>0.2066123704475569</v>
      </c>
      <c r="L236" t="s">
        <v>154</v>
      </c>
      <c r="N236" t="s">
        <v>213</v>
      </c>
      <c r="O236" t="s">
        <v>343</v>
      </c>
      <c r="P236">
        <v>0.13162836412304821</v>
      </c>
      <c r="Q236" t="s">
        <v>154</v>
      </c>
      <c r="S236" t="s">
        <v>244</v>
      </c>
      <c r="T236" t="s">
        <v>343</v>
      </c>
      <c r="U236">
        <v>0.12570787304166414</v>
      </c>
      <c r="V236" t="s">
        <v>154</v>
      </c>
    </row>
    <row r="237" spans="9:22" x14ac:dyDescent="0.25">
      <c r="I237" t="s">
        <v>183</v>
      </c>
      <c r="J237" t="s">
        <v>344</v>
      </c>
      <c r="K237">
        <v>0</v>
      </c>
      <c r="L237" t="s">
        <v>154</v>
      </c>
      <c r="N237" t="s">
        <v>213</v>
      </c>
      <c r="O237" t="s">
        <v>344</v>
      </c>
      <c r="P237">
        <v>0.13847707951679167</v>
      </c>
      <c r="Q237" t="s">
        <v>154</v>
      </c>
      <c r="S237" t="s">
        <v>244</v>
      </c>
      <c r="T237" t="s">
        <v>344</v>
      </c>
      <c r="U237">
        <v>0.12640682647870299</v>
      </c>
      <c r="V237" t="s">
        <v>154</v>
      </c>
    </row>
    <row r="238" spans="9:22" x14ac:dyDescent="0.25">
      <c r="I238" t="s">
        <v>183</v>
      </c>
      <c r="J238" t="s">
        <v>345</v>
      </c>
      <c r="K238">
        <v>4.3868106459315579E-3</v>
      </c>
      <c r="L238" t="s">
        <v>154</v>
      </c>
      <c r="N238" t="s">
        <v>213</v>
      </c>
      <c r="O238" t="s">
        <v>345</v>
      </c>
      <c r="P238">
        <v>2.4563587958065656E-2</v>
      </c>
      <c r="Q238" t="s">
        <v>154</v>
      </c>
      <c r="S238" t="s">
        <v>244</v>
      </c>
      <c r="T238" t="s">
        <v>345</v>
      </c>
      <c r="U238">
        <v>2.3536025564401323E-2</v>
      </c>
      <c r="V238" t="s">
        <v>154</v>
      </c>
    </row>
    <row r="239" spans="9:22" x14ac:dyDescent="0.25">
      <c r="I239" t="s">
        <v>184</v>
      </c>
      <c r="J239" t="s">
        <v>334</v>
      </c>
      <c r="K239">
        <v>0.19136806367624304</v>
      </c>
      <c r="L239" t="s">
        <v>154</v>
      </c>
      <c r="N239" t="s">
        <v>214</v>
      </c>
      <c r="O239" t="s">
        <v>334</v>
      </c>
      <c r="P239">
        <v>9.5994047792409082E-2</v>
      </c>
      <c r="Q239" t="s">
        <v>154</v>
      </c>
      <c r="S239" t="s">
        <v>245</v>
      </c>
      <c r="T239" t="s">
        <v>334</v>
      </c>
      <c r="U239">
        <v>0.10966287668517249</v>
      </c>
      <c r="V239" t="s">
        <v>154</v>
      </c>
    </row>
    <row r="240" spans="9:22" x14ac:dyDescent="0.25">
      <c r="I240" t="s">
        <v>184</v>
      </c>
      <c r="J240" t="s">
        <v>335</v>
      </c>
      <c r="K240">
        <v>0</v>
      </c>
      <c r="L240" t="s">
        <v>154</v>
      </c>
      <c r="N240" t="s">
        <v>214</v>
      </c>
      <c r="O240" t="s">
        <v>335</v>
      </c>
      <c r="P240">
        <v>0.10230530418134752</v>
      </c>
      <c r="Q240" t="s">
        <v>154</v>
      </c>
      <c r="S240" t="s">
        <v>245</v>
      </c>
      <c r="T240" t="s">
        <v>335</v>
      </c>
      <c r="U240">
        <v>0.12217274195922403</v>
      </c>
      <c r="V240" t="s">
        <v>154</v>
      </c>
    </row>
    <row r="241" spans="9:22" x14ac:dyDescent="0.25">
      <c r="I241" t="s">
        <v>184</v>
      </c>
      <c r="J241" t="s">
        <v>336</v>
      </c>
      <c r="K241">
        <v>6.5498199623654973E-3</v>
      </c>
      <c r="L241" t="s">
        <v>154</v>
      </c>
      <c r="N241" t="s">
        <v>214</v>
      </c>
      <c r="O241" t="s">
        <v>336</v>
      </c>
      <c r="P241">
        <v>1.8617505919563713E-2</v>
      </c>
      <c r="Q241" t="s">
        <v>154</v>
      </c>
      <c r="S241" t="s">
        <v>245</v>
      </c>
      <c r="T241" t="s">
        <v>336</v>
      </c>
      <c r="U241">
        <v>2.0874372268851492E-2</v>
      </c>
      <c r="V241" t="s">
        <v>154</v>
      </c>
    </row>
    <row r="242" spans="9:22" x14ac:dyDescent="0.25">
      <c r="I242" t="s">
        <v>184</v>
      </c>
      <c r="J242" t="s">
        <v>337</v>
      </c>
      <c r="K242">
        <v>0.2800994828233237</v>
      </c>
      <c r="L242" t="s">
        <v>154</v>
      </c>
      <c r="N242" t="s">
        <v>214</v>
      </c>
      <c r="O242" t="s">
        <v>337</v>
      </c>
      <c r="P242">
        <v>0.13739869236694388</v>
      </c>
      <c r="Q242" t="s">
        <v>154</v>
      </c>
      <c r="S242" t="s">
        <v>245</v>
      </c>
      <c r="T242" t="s">
        <v>337</v>
      </c>
      <c r="U242">
        <v>0.13137453652800951</v>
      </c>
      <c r="V242" t="s">
        <v>154</v>
      </c>
    </row>
    <row r="243" spans="9:22" x14ac:dyDescent="0.25">
      <c r="I243" t="s">
        <v>184</v>
      </c>
      <c r="J243" t="s">
        <v>338</v>
      </c>
      <c r="K243">
        <v>2.02727288153312E-3</v>
      </c>
      <c r="L243" t="s">
        <v>154</v>
      </c>
      <c r="N243" t="s">
        <v>214</v>
      </c>
      <c r="O243" t="s">
        <v>338</v>
      </c>
      <c r="P243">
        <v>0.11740533687240075</v>
      </c>
      <c r="Q243" t="s">
        <v>154</v>
      </c>
      <c r="S243" t="s">
        <v>245</v>
      </c>
      <c r="T243" t="s">
        <v>338</v>
      </c>
      <c r="U243">
        <v>0.13464962435690853</v>
      </c>
      <c r="V243" t="s">
        <v>154</v>
      </c>
    </row>
    <row r="244" spans="9:22" x14ac:dyDescent="0.25">
      <c r="I244" t="s">
        <v>184</v>
      </c>
      <c r="J244" t="s">
        <v>339</v>
      </c>
      <c r="K244">
        <v>2.3854830515055863E-2</v>
      </c>
      <c r="L244" t="s">
        <v>154</v>
      </c>
      <c r="N244" t="s">
        <v>214</v>
      </c>
      <c r="O244" t="s">
        <v>339</v>
      </c>
      <c r="P244">
        <v>2.3837594950623389E-2</v>
      </c>
      <c r="Q244" t="s">
        <v>154</v>
      </c>
      <c r="S244" t="s">
        <v>245</v>
      </c>
      <c r="T244" t="s">
        <v>339</v>
      </c>
      <c r="U244">
        <v>2.5284714247849165E-2</v>
      </c>
      <c r="V244" t="s">
        <v>154</v>
      </c>
    </row>
    <row r="245" spans="9:22" x14ac:dyDescent="0.25">
      <c r="I245" t="s">
        <v>184</v>
      </c>
      <c r="J245" t="s">
        <v>340</v>
      </c>
      <c r="K245">
        <v>0.25881353212936126</v>
      </c>
      <c r="L245" t="s">
        <v>154</v>
      </c>
      <c r="N245" t="s">
        <v>214</v>
      </c>
      <c r="O245" t="s">
        <v>340</v>
      </c>
      <c r="P245">
        <v>4.9024350759039013E-2</v>
      </c>
      <c r="Q245" t="s">
        <v>154</v>
      </c>
      <c r="S245" t="s">
        <v>245</v>
      </c>
      <c r="T245" t="s">
        <v>340</v>
      </c>
      <c r="U245">
        <v>5.1749658860403731E-2</v>
      </c>
      <c r="V245" t="s">
        <v>154</v>
      </c>
    </row>
    <row r="246" spans="9:22" x14ac:dyDescent="0.25">
      <c r="I246" t="s">
        <v>184</v>
      </c>
      <c r="J246" t="s">
        <v>341</v>
      </c>
      <c r="K246">
        <v>6.7320527779609783E-3</v>
      </c>
      <c r="L246" t="s">
        <v>154</v>
      </c>
      <c r="N246" t="s">
        <v>214</v>
      </c>
      <c r="O246" t="s">
        <v>341</v>
      </c>
      <c r="P246">
        <v>4.7946153494285618E-2</v>
      </c>
      <c r="Q246" t="s">
        <v>154</v>
      </c>
      <c r="S246" t="s">
        <v>245</v>
      </c>
      <c r="T246" t="s">
        <v>341</v>
      </c>
      <c r="U246">
        <v>6.8635390058763415E-2</v>
      </c>
      <c r="V246" t="s">
        <v>154</v>
      </c>
    </row>
    <row r="247" spans="9:22" x14ac:dyDescent="0.25">
      <c r="I247" t="s">
        <v>184</v>
      </c>
      <c r="J247" t="s">
        <v>342</v>
      </c>
      <c r="K247">
        <v>2.85346563067242E-2</v>
      </c>
      <c r="L247" t="s">
        <v>154</v>
      </c>
      <c r="N247" t="s">
        <v>214</v>
      </c>
      <c r="O247" t="s">
        <v>342</v>
      </c>
      <c r="P247">
        <v>8.7977821614753093E-3</v>
      </c>
      <c r="Q247" t="s">
        <v>154</v>
      </c>
      <c r="S247" t="s">
        <v>245</v>
      </c>
      <c r="T247" t="s">
        <v>342</v>
      </c>
      <c r="U247">
        <v>1.353964235221416E-2</v>
      </c>
      <c r="V247" t="s">
        <v>154</v>
      </c>
    </row>
    <row r="248" spans="9:22" x14ac:dyDescent="0.25">
      <c r="I248" t="s">
        <v>184</v>
      </c>
      <c r="J248" t="s">
        <v>343</v>
      </c>
      <c r="K248">
        <v>0.19802279243254642</v>
      </c>
      <c r="L248" t="s">
        <v>154</v>
      </c>
      <c r="N248" t="s">
        <v>214</v>
      </c>
      <c r="O248" t="s">
        <v>343</v>
      </c>
      <c r="P248">
        <v>0.17886100950158115</v>
      </c>
      <c r="Q248" t="s">
        <v>154</v>
      </c>
      <c r="S248" t="s">
        <v>245</v>
      </c>
      <c r="T248" t="s">
        <v>343</v>
      </c>
      <c r="U248">
        <v>0.15517231075333662</v>
      </c>
      <c r="V248" t="s">
        <v>154</v>
      </c>
    </row>
    <row r="249" spans="9:22" x14ac:dyDescent="0.25">
      <c r="I249" t="s">
        <v>184</v>
      </c>
      <c r="J249" t="s">
        <v>344</v>
      </c>
      <c r="K249">
        <v>0</v>
      </c>
      <c r="L249" t="s">
        <v>154</v>
      </c>
      <c r="N249" t="s">
        <v>214</v>
      </c>
      <c r="O249" t="s">
        <v>344</v>
      </c>
      <c r="P249">
        <v>0.18675604008968671</v>
      </c>
      <c r="Q249" t="s">
        <v>154</v>
      </c>
      <c r="S249" t="s">
        <v>245</v>
      </c>
      <c r="T249" t="s">
        <v>344</v>
      </c>
      <c r="U249">
        <v>0.14060940326788995</v>
      </c>
      <c r="V249" t="s">
        <v>154</v>
      </c>
    </row>
    <row r="250" spans="9:22" x14ac:dyDescent="0.25">
      <c r="I250" t="s">
        <v>184</v>
      </c>
      <c r="J250" t="s">
        <v>345</v>
      </c>
      <c r="K250">
        <v>3.9974964948873747E-3</v>
      </c>
      <c r="L250" t="s">
        <v>154</v>
      </c>
      <c r="N250" t="s">
        <v>214</v>
      </c>
      <c r="O250" t="s">
        <v>345</v>
      </c>
      <c r="P250">
        <v>3.3056181910642621E-2</v>
      </c>
      <c r="Q250" t="s">
        <v>154</v>
      </c>
      <c r="S250" t="s">
        <v>245</v>
      </c>
      <c r="T250" t="s">
        <v>345</v>
      </c>
      <c r="U250">
        <v>2.627472866137523E-2</v>
      </c>
      <c r="V250" t="s">
        <v>154</v>
      </c>
    </row>
    <row r="251" spans="9:22" x14ac:dyDescent="0.25">
      <c r="I251" t="s">
        <v>185</v>
      </c>
      <c r="J251" t="s">
        <v>334</v>
      </c>
      <c r="K251">
        <v>0.2001927753240261</v>
      </c>
      <c r="L251" t="s">
        <v>154</v>
      </c>
      <c r="N251" t="s">
        <v>215</v>
      </c>
      <c r="O251" t="s">
        <v>334</v>
      </c>
      <c r="P251">
        <v>9.7046352666675342E-2</v>
      </c>
      <c r="Q251" t="s">
        <v>154</v>
      </c>
      <c r="S251" t="s">
        <v>246</v>
      </c>
      <c r="T251" t="s">
        <v>334</v>
      </c>
      <c r="U251">
        <v>0.11452168979458557</v>
      </c>
      <c r="V251" t="s">
        <v>154</v>
      </c>
    </row>
    <row r="252" spans="9:22" x14ac:dyDescent="0.25">
      <c r="I252" t="s">
        <v>185</v>
      </c>
      <c r="J252" t="s">
        <v>335</v>
      </c>
      <c r="K252">
        <v>0</v>
      </c>
      <c r="L252" t="s">
        <v>154</v>
      </c>
      <c r="N252" t="s">
        <v>215</v>
      </c>
      <c r="O252" t="s">
        <v>335</v>
      </c>
      <c r="P252">
        <v>0.10013928558295623</v>
      </c>
      <c r="Q252" t="s">
        <v>154</v>
      </c>
      <c r="S252" t="s">
        <v>246</v>
      </c>
      <c r="T252" t="s">
        <v>335</v>
      </c>
      <c r="U252">
        <v>0.12299763748551452</v>
      </c>
      <c r="V252" t="s">
        <v>154</v>
      </c>
    </row>
    <row r="253" spans="9:22" x14ac:dyDescent="0.25">
      <c r="I253" t="s">
        <v>185</v>
      </c>
      <c r="J253" t="s">
        <v>336</v>
      </c>
      <c r="K253">
        <v>1.0457351457523214E-2</v>
      </c>
      <c r="L253" t="s">
        <v>154</v>
      </c>
      <c r="N253" t="s">
        <v>215</v>
      </c>
      <c r="O253" t="s">
        <v>336</v>
      </c>
      <c r="P253">
        <v>2.1965820147612832E-2</v>
      </c>
      <c r="Q253" t="s">
        <v>154</v>
      </c>
      <c r="S253" t="s">
        <v>246</v>
      </c>
      <c r="T253" t="s">
        <v>336</v>
      </c>
      <c r="U253">
        <v>2.1199173333839524E-2</v>
      </c>
      <c r="V253" t="s">
        <v>154</v>
      </c>
    </row>
    <row r="254" spans="9:22" x14ac:dyDescent="0.25">
      <c r="I254" t="s">
        <v>185</v>
      </c>
      <c r="J254" t="s">
        <v>337</v>
      </c>
      <c r="K254">
        <v>0.27511482257648756</v>
      </c>
      <c r="L254" t="s">
        <v>154</v>
      </c>
      <c r="N254" t="s">
        <v>215</v>
      </c>
      <c r="O254" t="s">
        <v>337</v>
      </c>
      <c r="P254">
        <v>0.15859879238544425</v>
      </c>
      <c r="Q254" t="s">
        <v>154</v>
      </c>
      <c r="S254" t="s">
        <v>246</v>
      </c>
      <c r="T254" t="s">
        <v>337</v>
      </c>
      <c r="U254">
        <v>0.12650811361945405</v>
      </c>
      <c r="V254" t="s">
        <v>154</v>
      </c>
    </row>
    <row r="255" spans="9:22" x14ac:dyDescent="0.25">
      <c r="I255" t="s">
        <v>185</v>
      </c>
      <c r="J255" t="s">
        <v>338</v>
      </c>
      <c r="K255">
        <v>5.9193629998017573E-4</v>
      </c>
      <c r="L255" t="s">
        <v>154</v>
      </c>
      <c r="N255" t="s">
        <v>215</v>
      </c>
      <c r="O255" t="s">
        <v>338</v>
      </c>
      <c r="P255">
        <v>0.13833642990556572</v>
      </c>
      <c r="Q255" t="s">
        <v>154</v>
      </c>
      <c r="S255" t="s">
        <v>246</v>
      </c>
      <c r="T255" t="s">
        <v>338</v>
      </c>
      <c r="U255">
        <v>0.13372710253882125</v>
      </c>
      <c r="V255" t="s">
        <v>154</v>
      </c>
    </row>
    <row r="256" spans="9:22" x14ac:dyDescent="0.25">
      <c r="I256" t="s">
        <v>185</v>
      </c>
      <c r="J256" t="s">
        <v>339</v>
      </c>
      <c r="K256">
        <v>2.8980707887248717E-2</v>
      </c>
      <c r="L256" t="s">
        <v>154</v>
      </c>
      <c r="N256" t="s">
        <v>215</v>
      </c>
      <c r="O256" t="s">
        <v>339</v>
      </c>
      <c r="P256">
        <v>3.210290025279032E-2</v>
      </c>
      <c r="Q256" t="s">
        <v>154</v>
      </c>
      <c r="S256" t="s">
        <v>246</v>
      </c>
      <c r="T256" t="s">
        <v>339</v>
      </c>
      <c r="U256">
        <v>2.344332263152768E-2</v>
      </c>
      <c r="V256" t="s">
        <v>154</v>
      </c>
    </row>
    <row r="257" spans="9:22" x14ac:dyDescent="0.25">
      <c r="I257" t="s">
        <v>185</v>
      </c>
      <c r="J257" t="s">
        <v>340</v>
      </c>
      <c r="K257">
        <v>0.23399949395983169</v>
      </c>
      <c r="L257" t="s">
        <v>154</v>
      </c>
      <c r="N257" t="s">
        <v>215</v>
      </c>
      <c r="O257" t="s">
        <v>340</v>
      </c>
      <c r="P257">
        <v>4.3538745769748394E-2</v>
      </c>
      <c r="Q257" t="s">
        <v>154</v>
      </c>
      <c r="S257" t="s">
        <v>246</v>
      </c>
      <c r="T257" t="s">
        <v>340</v>
      </c>
      <c r="U257">
        <v>7.3019707648767751E-2</v>
      </c>
      <c r="V257" t="s">
        <v>154</v>
      </c>
    </row>
    <row r="258" spans="9:22" x14ac:dyDescent="0.25">
      <c r="I258" t="s">
        <v>185</v>
      </c>
      <c r="J258" t="s">
        <v>341</v>
      </c>
      <c r="K258">
        <v>2.4993433976935662E-3</v>
      </c>
      <c r="L258" t="s">
        <v>154</v>
      </c>
      <c r="N258" t="s">
        <v>215</v>
      </c>
      <c r="O258" t="s">
        <v>341</v>
      </c>
      <c r="P258">
        <v>3.8674292529926643E-2</v>
      </c>
      <c r="Q258" t="s">
        <v>154</v>
      </c>
      <c r="S258" t="s">
        <v>246</v>
      </c>
      <c r="T258" t="s">
        <v>341</v>
      </c>
      <c r="U258">
        <v>8.1933890821452277E-2</v>
      </c>
      <c r="V258" t="s">
        <v>154</v>
      </c>
    </row>
    <row r="259" spans="9:22" x14ac:dyDescent="0.25">
      <c r="I259" t="s">
        <v>185</v>
      </c>
      <c r="J259" t="s">
        <v>342</v>
      </c>
      <c r="K259">
        <v>2.4297785150002162E-2</v>
      </c>
      <c r="L259" t="s">
        <v>154</v>
      </c>
      <c r="N259" t="s">
        <v>215</v>
      </c>
      <c r="O259" t="s">
        <v>342</v>
      </c>
      <c r="P259">
        <v>9.7710502124395936E-3</v>
      </c>
      <c r="Q259" t="s">
        <v>154</v>
      </c>
      <c r="S259" t="s">
        <v>246</v>
      </c>
      <c r="T259" t="s">
        <v>342</v>
      </c>
      <c r="U259">
        <v>1.7634339897239597E-2</v>
      </c>
      <c r="V259" t="s">
        <v>154</v>
      </c>
    </row>
    <row r="260" spans="9:22" x14ac:dyDescent="0.25">
      <c r="I260" t="s">
        <v>185</v>
      </c>
      <c r="J260" t="s">
        <v>343</v>
      </c>
      <c r="K260">
        <v>0.21436546729358666</v>
      </c>
      <c r="L260" t="s">
        <v>154</v>
      </c>
      <c r="N260" t="s">
        <v>215</v>
      </c>
      <c r="O260" t="s">
        <v>343</v>
      </c>
      <c r="P260">
        <v>0.17636203129225933</v>
      </c>
      <c r="Q260" t="s">
        <v>154</v>
      </c>
      <c r="S260" t="s">
        <v>246</v>
      </c>
      <c r="T260" t="s">
        <v>343</v>
      </c>
      <c r="U260">
        <v>0.13224289750574328</v>
      </c>
      <c r="V260" t="s">
        <v>154</v>
      </c>
    </row>
    <row r="261" spans="9:22" x14ac:dyDescent="0.25">
      <c r="I261" t="s">
        <v>185</v>
      </c>
      <c r="J261" t="s">
        <v>344</v>
      </c>
      <c r="K261">
        <v>0</v>
      </c>
      <c r="L261" t="s">
        <v>154</v>
      </c>
      <c r="N261" t="s">
        <v>215</v>
      </c>
      <c r="O261" t="s">
        <v>344</v>
      </c>
      <c r="P261">
        <v>0.15196995752654274</v>
      </c>
      <c r="Q261" t="s">
        <v>154</v>
      </c>
      <c r="S261" t="s">
        <v>246</v>
      </c>
      <c r="T261" t="s">
        <v>344</v>
      </c>
      <c r="U261">
        <v>0.12987053424231723</v>
      </c>
      <c r="V261" t="s">
        <v>154</v>
      </c>
    </row>
    <row r="262" spans="9:22" x14ac:dyDescent="0.25">
      <c r="I262" t="s">
        <v>185</v>
      </c>
      <c r="J262" t="s">
        <v>345</v>
      </c>
      <c r="K262">
        <v>9.5003166536172523E-3</v>
      </c>
      <c r="L262" t="s">
        <v>154</v>
      </c>
      <c r="N262" t="s">
        <v>215</v>
      </c>
      <c r="O262" t="s">
        <v>345</v>
      </c>
      <c r="P262">
        <v>3.1494341728035793E-2</v>
      </c>
      <c r="Q262" t="s">
        <v>154</v>
      </c>
      <c r="S262" t="s">
        <v>246</v>
      </c>
      <c r="T262" t="s">
        <v>345</v>
      </c>
      <c r="U262">
        <v>2.2901590480738896E-2</v>
      </c>
      <c r="V262" t="s">
        <v>154</v>
      </c>
    </row>
    <row r="263" spans="9:22" x14ac:dyDescent="0.25">
      <c r="I263" t="s">
        <v>186</v>
      </c>
      <c r="J263" t="s">
        <v>334</v>
      </c>
      <c r="K263">
        <v>0.1960825690119368</v>
      </c>
      <c r="L263" t="s">
        <v>154</v>
      </c>
      <c r="N263" t="s">
        <v>216</v>
      </c>
      <c r="O263" t="s">
        <v>334</v>
      </c>
      <c r="P263">
        <v>9.3388766856057404E-2</v>
      </c>
      <c r="Q263" t="s">
        <v>154</v>
      </c>
      <c r="S263" t="s">
        <v>247</v>
      </c>
      <c r="T263" t="s">
        <v>334</v>
      </c>
      <c r="U263">
        <v>0.11368130772271025</v>
      </c>
      <c r="V263" t="s">
        <v>154</v>
      </c>
    </row>
    <row r="264" spans="9:22" x14ac:dyDescent="0.25">
      <c r="I264" t="s">
        <v>186</v>
      </c>
      <c r="J264" t="s">
        <v>335</v>
      </c>
      <c r="K264">
        <v>0</v>
      </c>
      <c r="L264" t="s">
        <v>154</v>
      </c>
      <c r="N264" t="s">
        <v>216</v>
      </c>
      <c r="O264" t="s">
        <v>335</v>
      </c>
      <c r="P264">
        <v>7.9140470120616729E-2</v>
      </c>
      <c r="Q264" t="s">
        <v>154</v>
      </c>
      <c r="S264" t="s">
        <v>247</v>
      </c>
      <c r="T264" t="s">
        <v>335</v>
      </c>
      <c r="U264">
        <v>0.11240422879024151</v>
      </c>
      <c r="V264" t="s">
        <v>154</v>
      </c>
    </row>
    <row r="265" spans="9:22" x14ac:dyDescent="0.25">
      <c r="I265" t="s">
        <v>186</v>
      </c>
      <c r="J265" t="s">
        <v>336</v>
      </c>
      <c r="K265">
        <v>8.8832485720355819E-3</v>
      </c>
      <c r="L265" t="s">
        <v>154</v>
      </c>
      <c r="N265" t="s">
        <v>216</v>
      </c>
      <c r="O265" t="s">
        <v>336</v>
      </c>
      <c r="P265">
        <v>2.0405135279449725E-2</v>
      </c>
      <c r="Q265" t="s">
        <v>154</v>
      </c>
      <c r="S265" t="s">
        <v>247</v>
      </c>
      <c r="T265" t="s">
        <v>336</v>
      </c>
      <c r="U265">
        <v>2.153603919881841E-2</v>
      </c>
      <c r="V265" t="s">
        <v>154</v>
      </c>
    </row>
    <row r="266" spans="9:22" x14ac:dyDescent="0.25">
      <c r="I266" t="s">
        <v>186</v>
      </c>
      <c r="J266" t="s">
        <v>337</v>
      </c>
      <c r="K266">
        <v>0.27692877011514366</v>
      </c>
      <c r="L266" t="s">
        <v>154</v>
      </c>
      <c r="N266" t="s">
        <v>216</v>
      </c>
      <c r="O266" t="s">
        <v>337</v>
      </c>
      <c r="P266">
        <v>0.18928241454688494</v>
      </c>
      <c r="Q266" t="s">
        <v>154</v>
      </c>
      <c r="S266" t="s">
        <v>247</v>
      </c>
      <c r="T266" t="s">
        <v>337</v>
      </c>
      <c r="U266">
        <v>0.13202811147834201</v>
      </c>
      <c r="V266" t="s">
        <v>154</v>
      </c>
    </row>
    <row r="267" spans="9:22" x14ac:dyDescent="0.25">
      <c r="I267" t="s">
        <v>186</v>
      </c>
      <c r="J267" t="s">
        <v>338</v>
      </c>
      <c r="K267">
        <v>5.409105921629965E-4</v>
      </c>
      <c r="L267" t="s">
        <v>154</v>
      </c>
      <c r="N267" t="s">
        <v>216</v>
      </c>
      <c r="O267" t="s">
        <v>338</v>
      </c>
      <c r="P267">
        <v>0.14353556791100278</v>
      </c>
      <c r="Q267" t="s">
        <v>154</v>
      </c>
      <c r="S267" t="s">
        <v>247</v>
      </c>
      <c r="T267" t="s">
        <v>338</v>
      </c>
      <c r="U267">
        <v>0.13725504464321281</v>
      </c>
      <c r="V267" t="s">
        <v>154</v>
      </c>
    </row>
    <row r="268" spans="9:22" x14ac:dyDescent="0.25">
      <c r="I268" t="s">
        <v>186</v>
      </c>
      <c r="J268" t="s">
        <v>339</v>
      </c>
      <c r="K268">
        <v>2.8217512595061566E-2</v>
      </c>
      <c r="L268" t="s">
        <v>154</v>
      </c>
      <c r="N268" t="s">
        <v>216</v>
      </c>
      <c r="O268" t="s">
        <v>339</v>
      </c>
      <c r="P268">
        <v>3.5316087220391437E-2</v>
      </c>
      <c r="Q268" t="s">
        <v>154</v>
      </c>
      <c r="S268" t="s">
        <v>247</v>
      </c>
      <c r="T268" t="s">
        <v>339</v>
      </c>
      <c r="U268">
        <v>2.5089535109369232E-2</v>
      </c>
      <c r="V268" t="s">
        <v>154</v>
      </c>
    </row>
    <row r="269" spans="9:22" x14ac:dyDescent="0.25">
      <c r="I269" t="s">
        <v>186</v>
      </c>
      <c r="J269" t="s">
        <v>340</v>
      </c>
      <c r="K269">
        <v>0.23932055718461157</v>
      </c>
      <c r="L269" t="s">
        <v>154</v>
      </c>
      <c r="N269" t="s">
        <v>216</v>
      </c>
      <c r="O269" t="s">
        <v>340</v>
      </c>
      <c r="P269">
        <v>2.0533269422918627E-2</v>
      </c>
      <c r="Q269" t="s">
        <v>154</v>
      </c>
      <c r="S269" t="s">
        <v>247</v>
      </c>
      <c r="T269" t="s">
        <v>340</v>
      </c>
      <c r="U269">
        <v>6.9930111062019865E-2</v>
      </c>
      <c r="V269" t="s">
        <v>154</v>
      </c>
    </row>
    <row r="270" spans="9:22" x14ac:dyDescent="0.25">
      <c r="I270" t="s">
        <v>186</v>
      </c>
      <c r="J270" t="s">
        <v>341</v>
      </c>
      <c r="K270">
        <v>2.1949448484247631E-3</v>
      </c>
      <c r="L270" t="s">
        <v>154</v>
      </c>
      <c r="N270" t="s">
        <v>216</v>
      </c>
      <c r="O270" t="s">
        <v>341</v>
      </c>
      <c r="P270">
        <v>1.5129379003419636E-2</v>
      </c>
      <c r="Q270" t="s">
        <v>154</v>
      </c>
      <c r="S270" t="s">
        <v>247</v>
      </c>
      <c r="T270" t="s">
        <v>341</v>
      </c>
      <c r="U270">
        <v>7.4733922189772636E-2</v>
      </c>
      <c r="V270" t="s">
        <v>154</v>
      </c>
    </row>
    <row r="271" spans="9:22" x14ac:dyDescent="0.25">
      <c r="I271" t="s">
        <v>186</v>
      </c>
      <c r="J271" t="s">
        <v>342</v>
      </c>
      <c r="K271">
        <v>2.3603873466734017E-2</v>
      </c>
      <c r="L271" t="s">
        <v>154</v>
      </c>
      <c r="N271" t="s">
        <v>216</v>
      </c>
      <c r="O271" t="s">
        <v>342</v>
      </c>
      <c r="P271">
        <v>3.9981822063343579E-3</v>
      </c>
      <c r="Q271" t="s">
        <v>154</v>
      </c>
      <c r="S271" t="s">
        <v>247</v>
      </c>
      <c r="T271" t="s">
        <v>342</v>
      </c>
      <c r="U271">
        <v>1.3673163773059195E-2</v>
      </c>
      <c r="V271" t="s">
        <v>154</v>
      </c>
    </row>
    <row r="272" spans="9:22" x14ac:dyDescent="0.25">
      <c r="I272" t="s">
        <v>186</v>
      </c>
      <c r="J272" t="s">
        <v>343</v>
      </c>
      <c r="K272">
        <v>0.21555470234834176</v>
      </c>
      <c r="L272" t="s">
        <v>154</v>
      </c>
      <c r="N272" t="s">
        <v>216</v>
      </c>
      <c r="O272" t="s">
        <v>343</v>
      </c>
      <c r="P272">
        <v>0.20555061168450053</v>
      </c>
      <c r="Q272" t="s">
        <v>154</v>
      </c>
      <c r="S272" t="s">
        <v>247</v>
      </c>
      <c r="T272" t="s">
        <v>343</v>
      </c>
      <c r="U272">
        <v>0.13365321097980778</v>
      </c>
      <c r="V272" t="s">
        <v>154</v>
      </c>
    </row>
    <row r="273" spans="9:22" x14ac:dyDescent="0.25">
      <c r="I273" t="s">
        <v>186</v>
      </c>
      <c r="J273" t="s">
        <v>344</v>
      </c>
      <c r="K273">
        <v>0</v>
      </c>
      <c r="L273" t="s">
        <v>154</v>
      </c>
      <c r="N273" t="s">
        <v>216</v>
      </c>
      <c r="O273" t="s">
        <v>344</v>
      </c>
      <c r="P273">
        <v>0.15922258011759696</v>
      </c>
      <c r="Q273" t="s">
        <v>154</v>
      </c>
      <c r="S273" t="s">
        <v>247</v>
      </c>
      <c r="T273" t="s">
        <v>344</v>
      </c>
      <c r="U273">
        <v>0.14101571429957652</v>
      </c>
      <c r="V273" t="s">
        <v>154</v>
      </c>
    </row>
    <row r="274" spans="9:22" x14ac:dyDescent="0.25">
      <c r="I274" t="s">
        <v>186</v>
      </c>
      <c r="J274" t="s">
        <v>345</v>
      </c>
      <c r="K274">
        <v>8.6729112655451589E-3</v>
      </c>
      <c r="L274" t="s">
        <v>154</v>
      </c>
      <c r="N274" t="s">
        <v>216</v>
      </c>
      <c r="O274" t="s">
        <v>345</v>
      </c>
      <c r="P274">
        <v>3.4497535630825804E-2</v>
      </c>
      <c r="Q274" t="s">
        <v>154</v>
      </c>
      <c r="S274" t="s">
        <v>247</v>
      </c>
      <c r="T274" t="s">
        <v>345</v>
      </c>
      <c r="U274">
        <v>2.4999610753067232E-2</v>
      </c>
      <c r="V274" t="s">
        <v>154</v>
      </c>
    </row>
    <row r="275" spans="9:22" x14ac:dyDescent="0.25">
      <c r="I275" t="s">
        <v>187</v>
      </c>
      <c r="J275" t="s">
        <v>334</v>
      </c>
      <c r="K275">
        <v>0.19198137196577808</v>
      </c>
      <c r="L275" t="s">
        <v>154</v>
      </c>
      <c r="N275" t="s">
        <v>217</v>
      </c>
      <c r="O275" t="s">
        <v>334</v>
      </c>
      <c r="P275">
        <v>8.6448343154168647E-2</v>
      </c>
      <c r="Q275" t="s">
        <v>154</v>
      </c>
      <c r="S275" t="s">
        <v>248</v>
      </c>
      <c r="T275" t="s">
        <v>334</v>
      </c>
      <c r="U275">
        <v>0.11530045304347002</v>
      </c>
      <c r="V275" t="s">
        <v>154</v>
      </c>
    </row>
    <row r="276" spans="9:22" x14ac:dyDescent="0.25">
      <c r="I276" t="s">
        <v>187</v>
      </c>
      <c r="J276" t="s">
        <v>335</v>
      </c>
      <c r="K276">
        <v>0</v>
      </c>
      <c r="L276" t="s">
        <v>154</v>
      </c>
      <c r="N276" t="s">
        <v>217</v>
      </c>
      <c r="O276" t="s">
        <v>335</v>
      </c>
      <c r="P276">
        <v>6.8882009878768177E-2</v>
      </c>
      <c r="Q276" t="s">
        <v>154</v>
      </c>
      <c r="S276" t="s">
        <v>248</v>
      </c>
      <c r="T276" t="s">
        <v>335</v>
      </c>
      <c r="U276">
        <v>0.11905403724656956</v>
      </c>
      <c r="V276" t="s">
        <v>154</v>
      </c>
    </row>
    <row r="277" spans="9:22" x14ac:dyDescent="0.25">
      <c r="I277" t="s">
        <v>187</v>
      </c>
      <c r="J277" t="s">
        <v>336</v>
      </c>
      <c r="K277">
        <v>9.4231493009667572E-3</v>
      </c>
      <c r="L277" t="s">
        <v>154</v>
      </c>
      <c r="N277" t="s">
        <v>217</v>
      </c>
      <c r="O277" t="s">
        <v>336</v>
      </c>
      <c r="P277">
        <v>1.7728388368710636E-2</v>
      </c>
      <c r="Q277" t="s">
        <v>154</v>
      </c>
      <c r="S277" t="s">
        <v>248</v>
      </c>
      <c r="T277" t="s">
        <v>336</v>
      </c>
      <c r="U277">
        <v>2.2236682469162012E-2</v>
      </c>
      <c r="V277" t="s">
        <v>154</v>
      </c>
    </row>
    <row r="278" spans="9:22" x14ac:dyDescent="0.25">
      <c r="I278" t="s">
        <v>187</v>
      </c>
      <c r="J278" t="s">
        <v>337</v>
      </c>
      <c r="K278">
        <v>0.28600730453472711</v>
      </c>
      <c r="L278" t="s">
        <v>154</v>
      </c>
      <c r="N278" t="s">
        <v>217</v>
      </c>
      <c r="O278" t="s">
        <v>337</v>
      </c>
      <c r="P278">
        <v>0.18961691708067574</v>
      </c>
      <c r="Q278" t="s">
        <v>154</v>
      </c>
      <c r="S278" t="s">
        <v>248</v>
      </c>
      <c r="T278" t="s">
        <v>337</v>
      </c>
      <c r="U278">
        <v>0.13590145800511552</v>
      </c>
      <c r="V278" t="s">
        <v>154</v>
      </c>
    </row>
    <row r="279" spans="9:22" x14ac:dyDescent="0.25">
      <c r="I279" t="s">
        <v>187</v>
      </c>
      <c r="J279" t="s">
        <v>338</v>
      </c>
      <c r="K279">
        <v>8.3586801922201648E-4</v>
      </c>
      <c r="L279" t="s">
        <v>154</v>
      </c>
      <c r="N279" t="s">
        <v>217</v>
      </c>
      <c r="O279" t="s">
        <v>338</v>
      </c>
      <c r="P279">
        <v>0.12765434703778603</v>
      </c>
      <c r="Q279" t="s">
        <v>154</v>
      </c>
      <c r="S279" t="s">
        <v>248</v>
      </c>
      <c r="T279" t="s">
        <v>338</v>
      </c>
      <c r="U279">
        <v>0.13792759232968596</v>
      </c>
      <c r="V279" t="s">
        <v>154</v>
      </c>
    </row>
    <row r="280" spans="9:22" x14ac:dyDescent="0.25">
      <c r="I280" t="s">
        <v>187</v>
      </c>
      <c r="J280" t="s">
        <v>339</v>
      </c>
      <c r="K280">
        <v>2.9481891227908813E-2</v>
      </c>
      <c r="L280" t="s">
        <v>154</v>
      </c>
      <c r="N280" t="s">
        <v>217</v>
      </c>
      <c r="O280" t="s">
        <v>339</v>
      </c>
      <c r="P280">
        <v>3.168337995422487E-2</v>
      </c>
      <c r="Q280" t="s">
        <v>154</v>
      </c>
      <c r="S280" t="s">
        <v>248</v>
      </c>
      <c r="T280" t="s">
        <v>339</v>
      </c>
      <c r="U280">
        <v>2.4766358460790946E-2</v>
      </c>
      <c r="V280" t="s">
        <v>154</v>
      </c>
    </row>
    <row r="281" spans="9:22" x14ac:dyDescent="0.25">
      <c r="I281" t="s">
        <v>187</v>
      </c>
      <c r="J281" t="s">
        <v>340</v>
      </c>
      <c r="K281">
        <v>0.22573548396446727</v>
      </c>
      <c r="L281" t="s">
        <v>154</v>
      </c>
      <c r="N281" t="s">
        <v>217</v>
      </c>
      <c r="O281" t="s">
        <v>340</v>
      </c>
      <c r="P281">
        <v>3.4911038744099718E-2</v>
      </c>
      <c r="Q281" t="s">
        <v>154</v>
      </c>
      <c r="S281" t="s">
        <v>248</v>
      </c>
      <c r="T281" t="s">
        <v>340</v>
      </c>
      <c r="U281">
        <v>7.4653800579269514E-2</v>
      </c>
      <c r="V281" t="s">
        <v>154</v>
      </c>
    </row>
    <row r="282" spans="9:22" x14ac:dyDescent="0.25">
      <c r="I282" t="s">
        <v>187</v>
      </c>
      <c r="J282" t="s">
        <v>341</v>
      </c>
      <c r="K282">
        <v>2.5706159497807576E-3</v>
      </c>
      <c r="L282" t="s">
        <v>154</v>
      </c>
      <c r="N282" t="s">
        <v>217</v>
      </c>
      <c r="O282" t="s">
        <v>341</v>
      </c>
      <c r="P282">
        <v>1.5932836001052785E-2</v>
      </c>
      <c r="Q282" t="s">
        <v>154</v>
      </c>
      <c r="S282" t="s">
        <v>248</v>
      </c>
      <c r="T282" t="s">
        <v>341</v>
      </c>
      <c r="U282">
        <v>7.78326994145358E-2</v>
      </c>
      <c r="V282" t="s">
        <v>154</v>
      </c>
    </row>
    <row r="283" spans="9:22" x14ac:dyDescent="0.25">
      <c r="I283" t="s">
        <v>187</v>
      </c>
      <c r="J283" t="s">
        <v>342</v>
      </c>
      <c r="K283">
        <v>2.2964377901137718E-2</v>
      </c>
      <c r="L283" t="s">
        <v>154</v>
      </c>
      <c r="N283" t="s">
        <v>217</v>
      </c>
      <c r="O283" t="s">
        <v>342</v>
      </c>
      <c r="P283">
        <v>5.3785244124064761E-3</v>
      </c>
      <c r="Q283" t="s">
        <v>154</v>
      </c>
      <c r="S283" t="s">
        <v>248</v>
      </c>
      <c r="T283" t="s">
        <v>342</v>
      </c>
      <c r="U283">
        <v>1.5568788555745042E-2</v>
      </c>
      <c r="V283" t="s">
        <v>154</v>
      </c>
    </row>
    <row r="284" spans="9:22" x14ac:dyDescent="0.25">
      <c r="I284" t="s">
        <v>187</v>
      </c>
      <c r="J284" t="s">
        <v>343</v>
      </c>
      <c r="K284">
        <v>0.22182919283272906</v>
      </c>
      <c r="L284" t="s">
        <v>154</v>
      </c>
      <c r="N284" t="s">
        <v>217</v>
      </c>
      <c r="O284" t="s">
        <v>343</v>
      </c>
      <c r="P284">
        <v>0.20949159703657683</v>
      </c>
      <c r="Q284" t="s">
        <v>154</v>
      </c>
      <c r="S284" t="s">
        <v>248</v>
      </c>
      <c r="T284" t="s">
        <v>343</v>
      </c>
      <c r="U284">
        <v>0.12784885182330638</v>
      </c>
      <c r="V284" t="s">
        <v>154</v>
      </c>
    </row>
    <row r="285" spans="9:22" x14ac:dyDescent="0.25">
      <c r="I285" t="s">
        <v>187</v>
      </c>
      <c r="J285" t="s">
        <v>344</v>
      </c>
      <c r="K285">
        <v>0</v>
      </c>
      <c r="L285" t="s">
        <v>154</v>
      </c>
      <c r="N285" t="s">
        <v>217</v>
      </c>
      <c r="O285" t="s">
        <v>344</v>
      </c>
      <c r="P285">
        <v>0.17639839236064589</v>
      </c>
      <c r="Q285" t="s">
        <v>154</v>
      </c>
      <c r="S285" t="s">
        <v>248</v>
      </c>
      <c r="T285" t="s">
        <v>344</v>
      </c>
      <c r="U285">
        <v>0.1263167114317503</v>
      </c>
      <c r="V285" t="s">
        <v>154</v>
      </c>
    </row>
    <row r="286" spans="9:22" x14ac:dyDescent="0.25">
      <c r="I286" t="s">
        <v>187</v>
      </c>
      <c r="J286" t="s">
        <v>345</v>
      </c>
      <c r="K286">
        <v>9.1707443032847044E-3</v>
      </c>
      <c r="L286" t="s">
        <v>154</v>
      </c>
      <c r="N286" t="s">
        <v>217</v>
      </c>
      <c r="O286" t="s">
        <v>345</v>
      </c>
      <c r="P286">
        <v>3.5874225970885507E-2</v>
      </c>
      <c r="Q286" t="s">
        <v>154</v>
      </c>
      <c r="S286" t="s">
        <v>248</v>
      </c>
      <c r="T286" t="s">
        <v>345</v>
      </c>
      <c r="U286">
        <v>2.259256664059963E-2</v>
      </c>
      <c r="V286" t="s">
        <v>154</v>
      </c>
    </row>
    <row r="287" spans="9:22" x14ac:dyDescent="0.25">
      <c r="I287" t="s">
        <v>188</v>
      </c>
      <c r="J287" t="s">
        <v>334</v>
      </c>
      <c r="K287">
        <v>0.20086600658985071</v>
      </c>
      <c r="L287" t="s">
        <v>154</v>
      </c>
      <c r="N287" t="s">
        <v>218</v>
      </c>
      <c r="O287" t="s">
        <v>334</v>
      </c>
      <c r="P287">
        <v>9.5316867448378834E-2</v>
      </c>
      <c r="Q287" t="s">
        <v>154</v>
      </c>
      <c r="S287" t="s">
        <v>249</v>
      </c>
      <c r="T287" t="s">
        <v>334</v>
      </c>
      <c r="U287">
        <v>0.118731895740138</v>
      </c>
      <c r="V287" t="s">
        <v>154</v>
      </c>
    </row>
    <row r="288" spans="9:22" x14ac:dyDescent="0.25">
      <c r="I288" t="s">
        <v>188</v>
      </c>
      <c r="J288" t="s">
        <v>335</v>
      </c>
      <c r="K288">
        <v>0</v>
      </c>
      <c r="L288" t="s">
        <v>154</v>
      </c>
      <c r="N288" t="s">
        <v>218</v>
      </c>
      <c r="O288" t="s">
        <v>335</v>
      </c>
      <c r="P288">
        <v>8.4480481835487495E-2</v>
      </c>
      <c r="Q288" t="s">
        <v>154</v>
      </c>
      <c r="S288" t="s">
        <v>249</v>
      </c>
      <c r="T288" t="s">
        <v>335</v>
      </c>
      <c r="U288">
        <v>0.12106396843781608</v>
      </c>
      <c r="V288" t="s">
        <v>154</v>
      </c>
    </row>
    <row r="289" spans="9:22" x14ac:dyDescent="0.25">
      <c r="I289" t="s">
        <v>188</v>
      </c>
      <c r="J289" t="s">
        <v>336</v>
      </c>
      <c r="K289">
        <v>1.083840882720814E-2</v>
      </c>
      <c r="L289" t="s">
        <v>154</v>
      </c>
      <c r="N289" t="s">
        <v>218</v>
      </c>
      <c r="O289" t="s">
        <v>336</v>
      </c>
      <c r="P289">
        <v>1.7684779163579679E-2</v>
      </c>
      <c r="Q289" t="s">
        <v>154</v>
      </c>
      <c r="S289" t="s">
        <v>249</v>
      </c>
      <c r="T289" t="s">
        <v>336</v>
      </c>
      <c r="U289">
        <v>2.2595327871444814E-2</v>
      </c>
      <c r="V289" t="s">
        <v>154</v>
      </c>
    </row>
    <row r="290" spans="9:22" x14ac:dyDescent="0.25">
      <c r="I290" t="s">
        <v>188</v>
      </c>
      <c r="J290" t="s">
        <v>337</v>
      </c>
      <c r="K290">
        <v>0.29947594062043975</v>
      </c>
      <c r="L290" t="s">
        <v>154</v>
      </c>
      <c r="N290" t="s">
        <v>218</v>
      </c>
      <c r="O290" t="s">
        <v>337</v>
      </c>
      <c r="P290">
        <v>0.18243020943247942</v>
      </c>
      <c r="Q290" t="s">
        <v>154</v>
      </c>
      <c r="S290" t="s">
        <v>249</v>
      </c>
      <c r="T290" t="s">
        <v>337</v>
      </c>
      <c r="U290">
        <v>0.13364428610198861</v>
      </c>
      <c r="V290" t="s">
        <v>154</v>
      </c>
    </row>
    <row r="291" spans="9:22" x14ac:dyDescent="0.25">
      <c r="I291" t="s">
        <v>188</v>
      </c>
      <c r="J291" t="s">
        <v>338</v>
      </c>
      <c r="K291">
        <v>1.4196970705729439E-3</v>
      </c>
      <c r="L291" t="s">
        <v>154</v>
      </c>
      <c r="N291" t="s">
        <v>218</v>
      </c>
      <c r="O291" t="s">
        <v>338</v>
      </c>
      <c r="P291">
        <v>0.13811100333125256</v>
      </c>
      <c r="Q291" t="s">
        <v>154</v>
      </c>
      <c r="S291" t="s">
        <v>249</v>
      </c>
      <c r="T291" t="s">
        <v>338</v>
      </c>
      <c r="U291">
        <v>0.137923637946153</v>
      </c>
      <c r="V291" t="s">
        <v>154</v>
      </c>
    </row>
    <row r="292" spans="9:22" x14ac:dyDescent="0.25">
      <c r="I292" t="s">
        <v>188</v>
      </c>
      <c r="J292" t="s">
        <v>339</v>
      </c>
      <c r="K292">
        <v>3.0072498042069542E-2</v>
      </c>
      <c r="L292" t="s">
        <v>154</v>
      </c>
      <c r="N292" t="s">
        <v>218</v>
      </c>
      <c r="O292" t="s">
        <v>339</v>
      </c>
      <c r="P292">
        <v>3.2206485688544964E-2</v>
      </c>
      <c r="Q292" t="s">
        <v>154</v>
      </c>
      <c r="S292" t="s">
        <v>249</v>
      </c>
      <c r="T292" t="s">
        <v>339</v>
      </c>
      <c r="U292">
        <v>2.5544761658966242E-2</v>
      </c>
      <c r="V292" t="s">
        <v>154</v>
      </c>
    </row>
    <row r="293" spans="9:22" x14ac:dyDescent="0.25">
      <c r="I293" t="s">
        <v>188</v>
      </c>
      <c r="J293" t="s">
        <v>340</v>
      </c>
      <c r="K293">
        <v>0.25615029083843005</v>
      </c>
      <c r="L293" t="s">
        <v>154</v>
      </c>
      <c r="N293" t="s">
        <v>218</v>
      </c>
      <c r="O293" t="s">
        <v>340</v>
      </c>
      <c r="P293">
        <v>4.1495118458733125E-2</v>
      </c>
      <c r="Q293" t="s">
        <v>154</v>
      </c>
      <c r="S293" t="s">
        <v>249</v>
      </c>
      <c r="T293" t="s">
        <v>340</v>
      </c>
      <c r="U293">
        <v>6.7770365061798815E-2</v>
      </c>
      <c r="V293" t="s">
        <v>154</v>
      </c>
    </row>
    <row r="294" spans="9:22" x14ac:dyDescent="0.25">
      <c r="I294" t="s">
        <v>188</v>
      </c>
      <c r="J294" t="s">
        <v>341</v>
      </c>
      <c r="K294">
        <v>4.0303237077458087E-3</v>
      </c>
      <c r="L294" t="s">
        <v>154</v>
      </c>
      <c r="N294" t="s">
        <v>218</v>
      </c>
      <c r="O294" t="s">
        <v>341</v>
      </c>
      <c r="P294">
        <v>2.7956309675706319E-2</v>
      </c>
      <c r="Q294" t="s">
        <v>154</v>
      </c>
      <c r="S294" t="s">
        <v>249</v>
      </c>
      <c r="T294" t="s">
        <v>341</v>
      </c>
      <c r="U294">
        <v>6.9555178709647614E-2</v>
      </c>
      <c r="V294" t="s">
        <v>154</v>
      </c>
    </row>
    <row r="295" spans="9:22" x14ac:dyDescent="0.25">
      <c r="I295" t="s">
        <v>188</v>
      </c>
      <c r="J295" t="s">
        <v>342</v>
      </c>
      <c r="K295">
        <v>2.8191767980635701E-2</v>
      </c>
      <c r="L295" t="s">
        <v>154</v>
      </c>
      <c r="N295" t="s">
        <v>218</v>
      </c>
      <c r="O295" t="s">
        <v>342</v>
      </c>
      <c r="P295">
        <v>7.3343942431530031E-3</v>
      </c>
      <c r="Q295" t="s">
        <v>154</v>
      </c>
      <c r="S295" t="s">
        <v>249</v>
      </c>
      <c r="T295" t="s">
        <v>342</v>
      </c>
      <c r="U295">
        <v>1.5567936798386212E-2</v>
      </c>
      <c r="V295" t="s">
        <v>154</v>
      </c>
    </row>
    <row r="296" spans="9:22" x14ac:dyDescent="0.25">
      <c r="I296" t="s">
        <v>188</v>
      </c>
      <c r="J296" t="s">
        <v>343</v>
      </c>
      <c r="K296">
        <v>0.16324485507280281</v>
      </c>
      <c r="L296" t="s">
        <v>154</v>
      </c>
      <c r="N296" t="s">
        <v>218</v>
      </c>
      <c r="O296" t="s">
        <v>343</v>
      </c>
      <c r="P296">
        <v>0.19538729204171915</v>
      </c>
      <c r="Q296" t="s">
        <v>154</v>
      </c>
      <c r="S296" t="s">
        <v>249</v>
      </c>
      <c r="T296" t="s">
        <v>343</v>
      </c>
      <c r="U296">
        <v>0.13518637526750887</v>
      </c>
      <c r="V296" t="s">
        <v>154</v>
      </c>
    </row>
    <row r="297" spans="9:22" x14ac:dyDescent="0.25">
      <c r="I297" t="s">
        <v>188</v>
      </c>
      <c r="J297" t="s">
        <v>344</v>
      </c>
      <c r="K297">
        <v>0</v>
      </c>
      <c r="L297" t="s">
        <v>154</v>
      </c>
      <c r="N297" t="s">
        <v>218</v>
      </c>
      <c r="O297" t="s">
        <v>344</v>
      </c>
      <c r="P297">
        <v>0.14581381665948967</v>
      </c>
      <c r="Q297" t="s">
        <v>154</v>
      </c>
      <c r="S297" t="s">
        <v>249</v>
      </c>
      <c r="T297" t="s">
        <v>344</v>
      </c>
      <c r="U297">
        <v>0.12988369118557885</v>
      </c>
      <c r="V297" t="s">
        <v>154</v>
      </c>
    </row>
    <row r="298" spans="9:22" x14ac:dyDescent="0.25">
      <c r="I298" t="s">
        <v>188</v>
      </c>
      <c r="J298" t="s">
        <v>345</v>
      </c>
      <c r="K298">
        <v>5.7102112502432486E-3</v>
      </c>
      <c r="L298" t="s">
        <v>154</v>
      </c>
      <c r="N298" t="s">
        <v>218</v>
      </c>
      <c r="O298" t="s">
        <v>345</v>
      </c>
      <c r="P298">
        <v>3.1783242021473479E-2</v>
      </c>
      <c r="Q298" t="s">
        <v>154</v>
      </c>
      <c r="S298" t="s">
        <v>249</v>
      </c>
      <c r="T298" t="s">
        <v>345</v>
      </c>
      <c r="U298">
        <v>2.2532575220571872E-2</v>
      </c>
      <c r="V298" t="s">
        <v>154</v>
      </c>
    </row>
    <row r="299" spans="9:22" x14ac:dyDescent="0.25">
      <c r="I299" t="s">
        <v>189</v>
      </c>
      <c r="J299" t="s">
        <v>334</v>
      </c>
      <c r="K299">
        <v>0.20163507625476315</v>
      </c>
      <c r="L299" t="s">
        <v>154</v>
      </c>
      <c r="N299" t="s">
        <v>219</v>
      </c>
      <c r="O299" t="s">
        <v>334</v>
      </c>
      <c r="P299">
        <v>0.11666607539286557</v>
      </c>
      <c r="Q299" t="s">
        <v>154</v>
      </c>
      <c r="S299" t="s">
        <v>250</v>
      </c>
      <c r="T299" t="s">
        <v>334</v>
      </c>
      <c r="U299">
        <v>9.6023633538966341E-2</v>
      </c>
      <c r="V299" t="s">
        <v>154</v>
      </c>
    </row>
    <row r="300" spans="9:22" x14ac:dyDescent="0.25">
      <c r="I300" t="s">
        <v>189</v>
      </c>
      <c r="J300" t="s">
        <v>335</v>
      </c>
      <c r="K300">
        <v>0</v>
      </c>
      <c r="L300" t="s">
        <v>154</v>
      </c>
      <c r="N300" t="s">
        <v>219</v>
      </c>
      <c r="O300" t="s">
        <v>335</v>
      </c>
      <c r="P300">
        <v>0.11120808670918575</v>
      </c>
      <c r="Q300" t="s">
        <v>154</v>
      </c>
      <c r="S300" t="s">
        <v>250</v>
      </c>
      <c r="T300" t="s">
        <v>335</v>
      </c>
      <c r="U300">
        <v>0.10692173796308448</v>
      </c>
      <c r="V300" t="s">
        <v>154</v>
      </c>
    </row>
    <row r="301" spans="9:22" x14ac:dyDescent="0.25">
      <c r="I301" t="s">
        <v>189</v>
      </c>
      <c r="J301" t="s">
        <v>336</v>
      </c>
      <c r="K301">
        <v>1.2544819201821433E-2</v>
      </c>
      <c r="L301" t="s">
        <v>154</v>
      </c>
      <c r="N301" t="s">
        <v>219</v>
      </c>
      <c r="O301" t="s">
        <v>336</v>
      </c>
      <c r="P301">
        <v>2.2730867665965496E-2</v>
      </c>
      <c r="Q301" t="s">
        <v>154</v>
      </c>
      <c r="S301" t="s">
        <v>250</v>
      </c>
      <c r="T301" t="s">
        <v>336</v>
      </c>
      <c r="U301">
        <v>1.839769727220587E-2</v>
      </c>
      <c r="V301" t="s">
        <v>154</v>
      </c>
    </row>
    <row r="302" spans="9:22" x14ac:dyDescent="0.25">
      <c r="I302" t="s">
        <v>189</v>
      </c>
      <c r="J302" t="s">
        <v>337</v>
      </c>
      <c r="K302">
        <v>0.28752117464947968</v>
      </c>
      <c r="L302" t="s">
        <v>154</v>
      </c>
      <c r="N302" t="s">
        <v>219</v>
      </c>
      <c r="O302" t="s">
        <v>337</v>
      </c>
      <c r="P302">
        <v>0.15488060797037478</v>
      </c>
      <c r="Q302" t="s">
        <v>154</v>
      </c>
      <c r="S302" t="s">
        <v>250</v>
      </c>
      <c r="T302" t="s">
        <v>337</v>
      </c>
      <c r="U302">
        <v>0.13020439466200967</v>
      </c>
      <c r="V302" t="s">
        <v>154</v>
      </c>
    </row>
    <row r="303" spans="9:22" x14ac:dyDescent="0.25">
      <c r="I303" t="s">
        <v>189</v>
      </c>
      <c r="J303" t="s">
        <v>338</v>
      </c>
      <c r="K303">
        <v>2.021412965219451E-3</v>
      </c>
      <c r="L303" t="s">
        <v>154</v>
      </c>
      <c r="N303" t="s">
        <v>219</v>
      </c>
      <c r="O303" t="s">
        <v>338</v>
      </c>
      <c r="P303">
        <v>0.1334728524901484</v>
      </c>
      <c r="Q303" t="s">
        <v>154</v>
      </c>
      <c r="S303" t="s">
        <v>250</v>
      </c>
      <c r="T303" t="s">
        <v>338</v>
      </c>
      <c r="U303">
        <v>0.12441168652825002</v>
      </c>
      <c r="V303" t="s">
        <v>154</v>
      </c>
    </row>
    <row r="304" spans="9:22" x14ac:dyDescent="0.25">
      <c r="I304" t="s">
        <v>189</v>
      </c>
      <c r="J304" t="s">
        <v>339</v>
      </c>
      <c r="K304">
        <v>3.2730313391158852E-2</v>
      </c>
      <c r="L304" t="s">
        <v>154</v>
      </c>
      <c r="N304" t="s">
        <v>219</v>
      </c>
      <c r="O304" t="s">
        <v>339</v>
      </c>
      <c r="P304">
        <v>2.8111688548993326E-2</v>
      </c>
      <c r="Q304" t="s">
        <v>154</v>
      </c>
      <c r="S304" t="s">
        <v>250</v>
      </c>
      <c r="T304" t="s">
        <v>339</v>
      </c>
      <c r="U304">
        <v>2.3641383388744754E-2</v>
      </c>
      <c r="V304" t="s">
        <v>154</v>
      </c>
    </row>
    <row r="305" spans="9:22" x14ac:dyDescent="0.25">
      <c r="I305" t="s">
        <v>189</v>
      </c>
      <c r="J305" t="s">
        <v>340</v>
      </c>
      <c r="K305">
        <v>0.26078973971515629</v>
      </c>
      <c r="L305" t="s">
        <v>154</v>
      </c>
      <c r="N305" t="s">
        <v>219</v>
      </c>
      <c r="O305" t="s">
        <v>340</v>
      </c>
      <c r="P305">
        <v>5.0942613425784926E-2</v>
      </c>
      <c r="Q305" t="s">
        <v>154</v>
      </c>
      <c r="S305" t="s">
        <v>250</v>
      </c>
      <c r="T305" t="s">
        <v>340</v>
      </c>
      <c r="U305">
        <v>5.1081314631845322E-2</v>
      </c>
      <c r="V305" t="s">
        <v>154</v>
      </c>
    </row>
    <row r="306" spans="9:22" x14ac:dyDescent="0.25">
      <c r="I306" t="s">
        <v>189</v>
      </c>
      <c r="J306" t="s">
        <v>341</v>
      </c>
      <c r="K306">
        <v>5.2774262093155753E-3</v>
      </c>
      <c r="L306" t="s">
        <v>154</v>
      </c>
      <c r="N306" t="s">
        <v>219</v>
      </c>
      <c r="O306" t="s">
        <v>341</v>
      </c>
      <c r="P306">
        <v>4.8603637038568279E-2</v>
      </c>
      <c r="Q306" t="s">
        <v>154</v>
      </c>
      <c r="S306" t="s">
        <v>250</v>
      </c>
      <c r="T306" t="s">
        <v>341</v>
      </c>
      <c r="U306">
        <v>5.6842135397440735E-2</v>
      </c>
      <c r="V306" t="s">
        <v>154</v>
      </c>
    </row>
    <row r="307" spans="9:22" x14ac:dyDescent="0.25">
      <c r="I307" t="s">
        <v>189</v>
      </c>
      <c r="J307" t="s">
        <v>342</v>
      </c>
      <c r="K307">
        <v>3.2627808801377986E-2</v>
      </c>
      <c r="L307" t="s">
        <v>154</v>
      </c>
      <c r="N307" t="s">
        <v>219</v>
      </c>
      <c r="O307" t="s">
        <v>342</v>
      </c>
      <c r="P307">
        <v>9.4922033653468442E-3</v>
      </c>
      <c r="Q307" t="s">
        <v>154</v>
      </c>
      <c r="S307" t="s">
        <v>250</v>
      </c>
      <c r="T307" t="s">
        <v>342</v>
      </c>
      <c r="U307">
        <v>9.5237529257658788E-3</v>
      </c>
      <c r="V307" t="s">
        <v>154</v>
      </c>
    </row>
    <row r="308" spans="9:22" x14ac:dyDescent="0.25">
      <c r="I308" t="s">
        <v>189</v>
      </c>
      <c r="J308" t="s">
        <v>343</v>
      </c>
      <c r="K308">
        <v>0.15708436010490773</v>
      </c>
      <c r="L308" t="s">
        <v>154</v>
      </c>
      <c r="N308" t="s">
        <v>219</v>
      </c>
      <c r="O308" t="s">
        <v>343</v>
      </c>
      <c r="P308">
        <v>0.15165961804463346</v>
      </c>
      <c r="Q308" t="s">
        <v>154</v>
      </c>
      <c r="S308" t="s">
        <v>250</v>
      </c>
      <c r="T308" t="s">
        <v>343</v>
      </c>
      <c r="U308">
        <v>0.17010668882846586</v>
      </c>
      <c r="V308" t="s">
        <v>154</v>
      </c>
    </row>
    <row r="309" spans="9:22" x14ac:dyDescent="0.25">
      <c r="I309" t="s">
        <v>189</v>
      </c>
      <c r="J309" t="s">
        <v>344</v>
      </c>
      <c r="K309">
        <v>0</v>
      </c>
      <c r="L309" t="s">
        <v>154</v>
      </c>
      <c r="N309" t="s">
        <v>219</v>
      </c>
      <c r="O309" t="s">
        <v>344</v>
      </c>
      <c r="P309">
        <v>0.14446294182096339</v>
      </c>
      <c r="Q309" t="s">
        <v>154</v>
      </c>
      <c r="S309" t="s">
        <v>250</v>
      </c>
      <c r="T309" t="s">
        <v>344</v>
      </c>
      <c r="U309">
        <v>0.18137563990110459</v>
      </c>
      <c r="V309" t="s">
        <v>154</v>
      </c>
    </row>
    <row r="310" spans="9:22" x14ac:dyDescent="0.25">
      <c r="I310" t="s">
        <v>189</v>
      </c>
      <c r="J310" t="s">
        <v>345</v>
      </c>
      <c r="K310">
        <v>7.7678687068023456E-3</v>
      </c>
      <c r="L310" t="s">
        <v>154</v>
      </c>
      <c r="N310" t="s">
        <v>219</v>
      </c>
      <c r="O310" t="s">
        <v>345</v>
      </c>
      <c r="P310">
        <v>2.7768807527173322E-2</v>
      </c>
      <c r="Q310" t="s">
        <v>154</v>
      </c>
      <c r="S310" t="s">
        <v>250</v>
      </c>
      <c r="T310" t="s">
        <v>345</v>
      </c>
      <c r="U310">
        <v>3.1469934962111944E-2</v>
      </c>
      <c r="V310" t="s">
        <v>154</v>
      </c>
    </row>
    <row r="311" spans="9:22" x14ac:dyDescent="0.25">
      <c r="I311" t="s">
        <v>190</v>
      </c>
      <c r="J311" t="s">
        <v>334</v>
      </c>
      <c r="K311">
        <v>0.2004512506324401</v>
      </c>
      <c r="L311" t="s">
        <v>154</v>
      </c>
      <c r="N311" t="s">
        <v>220</v>
      </c>
      <c r="O311" t="s">
        <v>334</v>
      </c>
      <c r="P311">
        <v>0.10644908528232466</v>
      </c>
      <c r="Q311" t="s">
        <v>154</v>
      </c>
      <c r="S311" t="s">
        <v>251</v>
      </c>
      <c r="T311" t="s">
        <v>334</v>
      </c>
      <c r="U311">
        <v>9.9312059823812637E-2</v>
      </c>
      <c r="V311" t="s">
        <v>154</v>
      </c>
    </row>
    <row r="312" spans="9:22" x14ac:dyDescent="0.25">
      <c r="I312" t="s">
        <v>190</v>
      </c>
      <c r="J312" t="s">
        <v>335</v>
      </c>
      <c r="K312">
        <v>0</v>
      </c>
      <c r="L312" t="s">
        <v>154</v>
      </c>
      <c r="N312" t="s">
        <v>220</v>
      </c>
      <c r="O312" t="s">
        <v>335</v>
      </c>
      <c r="P312">
        <v>0.11068667673346341</v>
      </c>
      <c r="Q312" t="s">
        <v>154</v>
      </c>
      <c r="S312" t="s">
        <v>251</v>
      </c>
      <c r="T312" t="s">
        <v>335</v>
      </c>
      <c r="U312">
        <v>0.10435414723574016</v>
      </c>
      <c r="V312" t="s">
        <v>154</v>
      </c>
    </row>
    <row r="313" spans="9:22" x14ac:dyDescent="0.25">
      <c r="I313" t="s">
        <v>190</v>
      </c>
      <c r="J313" t="s">
        <v>336</v>
      </c>
      <c r="K313">
        <v>1.2519625284009166E-2</v>
      </c>
      <c r="L313" t="s">
        <v>154</v>
      </c>
      <c r="N313" t="s">
        <v>220</v>
      </c>
      <c r="O313" t="s">
        <v>336</v>
      </c>
      <c r="P313">
        <v>2.0863370428735137E-2</v>
      </c>
      <c r="Q313" t="s">
        <v>154</v>
      </c>
      <c r="S313" t="s">
        <v>251</v>
      </c>
      <c r="T313" t="s">
        <v>336</v>
      </c>
      <c r="U313">
        <v>1.9835099149224777E-2</v>
      </c>
      <c r="V313" t="s">
        <v>154</v>
      </c>
    </row>
    <row r="314" spans="9:22" x14ac:dyDescent="0.25">
      <c r="I314" t="s">
        <v>190</v>
      </c>
      <c r="J314" t="s">
        <v>337</v>
      </c>
      <c r="K314">
        <v>0.29184095024143653</v>
      </c>
      <c r="L314" t="s">
        <v>154</v>
      </c>
      <c r="N314" t="s">
        <v>220</v>
      </c>
      <c r="O314" t="s">
        <v>337</v>
      </c>
      <c r="P314">
        <v>0.13113412534809443</v>
      </c>
      <c r="Q314" t="s">
        <v>154</v>
      </c>
      <c r="S314" t="s">
        <v>251</v>
      </c>
      <c r="T314" t="s">
        <v>337</v>
      </c>
      <c r="U314">
        <v>0.12077933837323279</v>
      </c>
      <c r="V314" t="s">
        <v>154</v>
      </c>
    </row>
    <row r="315" spans="9:22" x14ac:dyDescent="0.25">
      <c r="I315" t="s">
        <v>190</v>
      </c>
      <c r="J315" t="s">
        <v>338</v>
      </c>
      <c r="K315">
        <v>1.9994098666648408E-3</v>
      </c>
      <c r="L315" t="s">
        <v>154</v>
      </c>
      <c r="N315" t="s">
        <v>220</v>
      </c>
      <c r="O315" t="s">
        <v>338</v>
      </c>
      <c r="P315">
        <v>0.13315223028546516</v>
      </c>
      <c r="Q315" t="s">
        <v>154</v>
      </c>
      <c r="S315" t="s">
        <v>251</v>
      </c>
      <c r="T315" t="s">
        <v>338</v>
      </c>
      <c r="U315">
        <v>0.10617072234620512</v>
      </c>
      <c r="V315" t="s">
        <v>154</v>
      </c>
    </row>
    <row r="316" spans="9:22" x14ac:dyDescent="0.25">
      <c r="I316" t="s">
        <v>190</v>
      </c>
      <c r="J316" t="s">
        <v>339</v>
      </c>
      <c r="K316">
        <v>3.1762690479817231E-2</v>
      </c>
      <c r="L316" t="s">
        <v>154</v>
      </c>
      <c r="N316" t="s">
        <v>220</v>
      </c>
      <c r="O316" t="s">
        <v>339</v>
      </c>
      <c r="P316">
        <v>2.5706038852256339E-2</v>
      </c>
      <c r="Q316" t="s">
        <v>154</v>
      </c>
      <c r="S316" t="s">
        <v>251</v>
      </c>
      <c r="T316" t="s">
        <v>339</v>
      </c>
      <c r="U316">
        <v>2.2040739513641019E-2</v>
      </c>
      <c r="V316" t="s">
        <v>154</v>
      </c>
    </row>
    <row r="317" spans="9:22" x14ac:dyDescent="0.25">
      <c r="I317" t="s">
        <v>190</v>
      </c>
      <c r="J317" t="s">
        <v>340</v>
      </c>
      <c r="K317">
        <v>0.25087677638192801</v>
      </c>
      <c r="L317" t="s">
        <v>154</v>
      </c>
      <c r="N317" t="s">
        <v>220</v>
      </c>
      <c r="O317" t="s">
        <v>340</v>
      </c>
      <c r="P317">
        <v>6.5470100694013642E-2</v>
      </c>
      <c r="Q317" t="s">
        <v>154</v>
      </c>
      <c r="S317" t="s">
        <v>251</v>
      </c>
      <c r="T317" t="s">
        <v>340</v>
      </c>
      <c r="U317">
        <v>5.6880193463738293E-2</v>
      </c>
      <c r="V317" t="s">
        <v>154</v>
      </c>
    </row>
    <row r="318" spans="9:22" x14ac:dyDescent="0.25">
      <c r="I318" t="s">
        <v>190</v>
      </c>
      <c r="J318" t="s">
        <v>341</v>
      </c>
      <c r="K318">
        <v>4.7571868293489403E-3</v>
      </c>
      <c r="L318" t="s">
        <v>154</v>
      </c>
      <c r="N318" t="s">
        <v>220</v>
      </c>
      <c r="O318" t="s">
        <v>341</v>
      </c>
      <c r="P318">
        <v>6.841818515303863E-2</v>
      </c>
      <c r="Q318" t="s">
        <v>154</v>
      </c>
      <c r="S318" t="s">
        <v>251</v>
      </c>
      <c r="T318" t="s">
        <v>341</v>
      </c>
      <c r="U318">
        <v>5.377807746144328E-2</v>
      </c>
      <c r="V318" t="s">
        <v>154</v>
      </c>
    </row>
    <row r="319" spans="9:22" x14ac:dyDescent="0.25">
      <c r="I319" t="s">
        <v>190</v>
      </c>
      <c r="J319" t="s">
        <v>342</v>
      </c>
      <c r="K319">
        <v>2.9349376286824744E-2</v>
      </c>
      <c r="L319" t="s">
        <v>154</v>
      </c>
      <c r="N319" t="s">
        <v>220</v>
      </c>
      <c r="O319" t="s">
        <v>342</v>
      </c>
      <c r="P319">
        <v>1.3222368562616549E-2</v>
      </c>
      <c r="Q319" t="s">
        <v>154</v>
      </c>
      <c r="S319" t="s">
        <v>251</v>
      </c>
      <c r="T319" t="s">
        <v>342</v>
      </c>
      <c r="U319">
        <v>1.1358194312364138E-2</v>
      </c>
      <c r="V319" t="s">
        <v>154</v>
      </c>
    </row>
    <row r="320" spans="9:22" x14ac:dyDescent="0.25">
      <c r="I320" t="s">
        <v>190</v>
      </c>
      <c r="J320" t="s">
        <v>343</v>
      </c>
      <c r="K320">
        <v>0.16766854612257584</v>
      </c>
      <c r="L320" t="s">
        <v>154</v>
      </c>
      <c r="N320" t="s">
        <v>220</v>
      </c>
      <c r="O320" t="s">
        <v>343</v>
      </c>
      <c r="P320">
        <v>0.14648306571831865</v>
      </c>
      <c r="Q320" t="s">
        <v>154</v>
      </c>
      <c r="S320" t="s">
        <v>251</v>
      </c>
      <c r="T320" t="s">
        <v>343</v>
      </c>
      <c r="U320">
        <v>0.17843660292878297</v>
      </c>
      <c r="V320" t="s">
        <v>154</v>
      </c>
    </row>
    <row r="321" spans="9:22" x14ac:dyDescent="0.25">
      <c r="I321" t="s">
        <v>190</v>
      </c>
      <c r="J321" t="s">
        <v>344</v>
      </c>
      <c r="K321">
        <v>0</v>
      </c>
      <c r="L321" t="s">
        <v>154</v>
      </c>
      <c r="N321" t="s">
        <v>220</v>
      </c>
      <c r="O321" t="s">
        <v>344</v>
      </c>
      <c r="P321">
        <v>0.14994456648427587</v>
      </c>
      <c r="Q321" t="s">
        <v>154</v>
      </c>
      <c r="S321" t="s">
        <v>251</v>
      </c>
      <c r="T321" t="s">
        <v>344</v>
      </c>
      <c r="U321">
        <v>0.19311166071946734</v>
      </c>
      <c r="V321" t="s">
        <v>154</v>
      </c>
    </row>
    <row r="322" spans="9:22" x14ac:dyDescent="0.25">
      <c r="I322" t="s">
        <v>190</v>
      </c>
      <c r="J322" t="s">
        <v>345</v>
      </c>
      <c r="K322">
        <v>8.7741878749524656E-3</v>
      </c>
      <c r="L322" t="s">
        <v>154</v>
      </c>
      <c r="N322" t="s">
        <v>220</v>
      </c>
      <c r="O322" t="s">
        <v>345</v>
      </c>
      <c r="P322">
        <v>2.8470186457396133E-2</v>
      </c>
      <c r="Q322" t="s">
        <v>154</v>
      </c>
      <c r="S322" t="s">
        <v>251</v>
      </c>
      <c r="T322" t="s">
        <v>345</v>
      </c>
      <c r="U322">
        <v>3.394316467234907E-2</v>
      </c>
      <c r="V322" t="s">
        <v>154</v>
      </c>
    </row>
    <row r="323" spans="9:22" x14ac:dyDescent="0.25">
      <c r="I323" t="s">
        <v>191</v>
      </c>
      <c r="J323" t="s">
        <v>334</v>
      </c>
      <c r="K323">
        <v>0.19188344998920864</v>
      </c>
      <c r="L323" t="s">
        <v>154</v>
      </c>
      <c r="N323" t="s">
        <v>221</v>
      </c>
      <c r="O323" t="s">
        <v>334</v>
      </c>
      <c r="P323">
        <v>9.7728776707231721E-2</v>
      </c>
      <c r="Q323" t="s">
        <v>154</v>
      </c>
      <c r="S323" t="s">
        <v>252</v>
      </c>
      <c r="T323" t="s">
        <v>334</v>
      </c>
      <c r="U323">
        <v>0.10267470282755291</v>
      </c>
      <c r="V323" t="s">
        <v>154</v>
      </c>
    </row>
    <row r="324" spans="9:22" x14ac:dyDescent="0.25">
      <c r="I324" t="s">
        <v>191</v>
      </c>
      <c r="J324" t="s">
        <v>335</v>
      </c>
      <c r="K324">
        <v>0</v>
      </c>
      <c r="L324" t="s">
        <v>154</v>
      </c>
      <c r="N324" t="s">
        <v>221</v>
      </c>
      <c r="O324" t="s">
        <v>335</v>
      </c>
      <c r="P324">
        <v>0.1004550666079729</v>
      </c>
      <c r="Q324" t="s">
        <v>154</v>
      </c>
      <c r="S324" t="s">
        <v>252</v>
      </c>
      <c r="T324" t="s">
        <v>335</v>
      </c>
      <c r="U324">
        <v>9.9494182352974317E-2</v>
      </c>
      <c r="V324" t="s">
        <v>154</v>
      </c>
    </row>
    <row r="325" spans="9:22" x14ac:dyDescent="0.25">
      <c r="I325" t="s">
        <v>191</v>
      </c>
      <c r="J325" t="s">
        <v>336</v>
      </c>
      <c r="K325">
        <v>7.3908905197502773E-3</v>
      </c>
      <c r="L325" t="s">
        <v>154</v>
      </c>
      <c r="N325" t="s">
        <v>221</v>
      </c>
      <c r="O325" t="s">
        <v>336</v>
      </c>
      <c r="P325">
        <v>1.9027821036056599E-2</v>
      </c>
      <c r="Q325" t="s">
        <v>154</v>
      </c>
      <c r="S325" t="s">
        <v>252</v>
      </c>
      <c r="T325" t="s">
        <v>336</v>
      </c>
      <c r="U325">
        <v>2.0250228360098422E-2</v>
      </c>
      <c r="V325" t="s">
        <v>154</v>
      </c>
    </row>
    <row r="326" spans="9:22" x14ac:dyDescent="0.25">
      <c r="I326" t="s">
        <v>191</v>
      </c>
      <c r="J326" t="s">
        <v>337</v>
      </c>
      <c r="K326">
        <v>0.28893748929978058</v>
      </c>
      <c r="L326" t="s">
        <v>154</v>
      </c>
      <c r="N326" t="s">
        <v>221</v>
      </c>
      <c r="O326" t="s">
        <v>337</v>
      </c>
      <c r="P326">
        <v>0.15132178443950126</v>
      </c>
      <c r="Q326" t="s">
        <v>154</v>
      </c>
      <c r="S326" t="s">
        <v>252</v>
      </c>
      <c r="T326" t="s">
        <v>337</v>
      </c>
      <c r="U326">
        <v>0.12478984093101664</v>
      </c>
      <c r="V326" t="s">
        <v>154</v>
      </c>
    </row>
    <row r="327" spans="9:22" x14ac:dyDescent="0.25">
      <c r="I327" t="s">
        <v>191</v>
      </c>
      <c r="J327" t="s">
        <v>338</v>
      </c>
      <c r="K327">
        <v>1.8242174484881044E-3</v>
      </c>
      <c r="L327" t="s">
        <v>154</v>
      </c>
      <c r="N327" t="s">
        <v>221</v>
      </c>
      <c r="O327" t="s">
        <v>338</v>
      </c>
      <c r="P327">
        <v>0.13576792386821021</v>
      </c>
      <c r="Q327" t="s">
        <v>154</v>
      </c>
      <c r="S327" t="s">
        <v>252</v>
      </c>
      <c r="T327" t="s">
        <v>338</v>
      </c>
      <c r="U327">
        <v>0.11254950390054135</v>
      </c>
      <c r="V327" t="s">
        <v>154</v>
      </c>
    </row>
    <row r="328" spans="9:22" x14ac:dyDescent="0.25">
      <c r="I328" t="s">
        <v>191</v>
      </c>
      <c r="J328" t="s">
        <v>339</v>
      </c>
      <c r="K328">
        <v>2.7243383437669876E-2</v>
      </c>
      <c r="L328" t="s">
        <v>154</v>
      </c>
      <c r="N328" t="s">
        <v>221</v>
      </c>
      <c r="O328" t="s">
        <v>339</v>
      </c>
      <c r="P328">
        <v>2.7590314509432289E-2</v>
      </c>
      <c r="Q328" t="s">
        <v>154</v>
      </c>
      <c r="S328" t="s">
        <v>252</v>
      </c>
      <c r="T328" t="s">
        <v>339</v>
      </c>
      <c r="U328">
        <v>2.2516579943141858E-2</v>
      </c>
      <c r="V328" t="s">
        <v>154</v>
      </c>
    </row>
    <row r="329" spans="9:22" x14ac:dyDescent="0.25">
      <c r="I329" t="s">
        <v>191</v>
      </c>
      <c r="J329" t="s">
        <v>340</v>
      </c>
      <c r="K329">
        <v>0.2650956805175757</v>
      </c>
      <c r="L329" t="s">
        <v>154</v>
      </c>
      <c r="N329" t="s">
        <v>221</v>
      </c>
      <c r="O329" t="s">
        <v>340</v>
      </c>
      <c r="P329">
        <v>4.8821524038884442E-2</v>
      </c>
      <c r="Q329" t="s">
        <v>154</v>
      </c>
      <c r="S329" t="s">
        <v>252</v>
      </c>
      <c r="T329" t="s">
        <v>340</v>
      </c>
      <c r="U329">
        <v>8.1942676321299118E-2</v>
      </c>
      <c r="V329" t="s">
        <v>154</v>
      </c>
    </row>
    <row r="330" spans="9:22" x14ac:dyDescent="0.25">
      <c r="I330" t="s">
        <v>191</v>
      </c>
      <c r="J330" t="s">
        <v>341</v>
      </c>
      <c r="K330">
        <v>5.2468286383369868E-3</v>
      </c>
      <c r="L330" t="s">
        <v>154</v>
      </c>
      <c r="N330" t="s">
        <v>221</v>
      </c>
      <c r="O330" t="s">
        <v>341</v>
      </c>
      <c r="P330">
        <v>4.3990365936859448E-2</v>
      </c>
      <c r="Q330" t="s">
        <v>154</v>
      </c>
      <c r="S330" t="s">
        <v>252</v>
      </c>
      <c r="T330" t="s">
        <v>341</v>
      </c>
      <c r="U330">
        <v>7.3294073966903087E-2</v>
      </c>
      <c r="V330" t="s">
        <v>154</v>
      </c>
    </row>
    <row r="331" spans="9:22" x14ac:dyDescent="0.25">
      <c r="I331" t="s">
        <v>191</v>
      </c>
      <c r="J331" t="s">
        <v>342</v>
      </c>
      <c r="K331">
        <v>2.9963770431903961E-2</v>
      </c>
      <c r="L331" t="s">
        <v>154</v>
      </c>
      <c r="N331" t="s">
        <v>221</v>
      </c>
      <c r="O331" t="s">
        <v>342</v>
      </c>
      <c r="P331">
        <v>9.3575014407504438E-3</v>
      </c>
      <c r="Q331" t="s">
        <v>154</v>
      </c>
      <c r="S331" t="s">
        <v>252</v>
      </c>
      <c r="T331" t="s">
        <v>342</v>
      </c>
      <c r="U331">
        <v>1.4951937536075415E-2</v>
      </c>
      <c r="V331" t="s">
        <v>154</v>
      </c>
    </row>
    <row r="332" spans="9:22" x14ac:dyDescent="0.25">
      <c r="I332" t="s">
        <v>191</v>
      </c>
      <c r="J332" t="s">
        <v>343</v>
      </c>
      <c r="K332">
        <v>0.17806957955324051</v>
      </c>
      <c r="L332" t="s">
        <v>154</v>
      </c>
      <c r="N332" t="s">
        <v>221</v>
      </c>
      <c r="O332" t="s">
        <v>343</v>
      </c>
      <c r="P332">
        <v>0.17798645314104936</v>
      </c>
      <c r="Q332" t="s">
        <v>154</v>
      </c>
      <c r="S332" t="s">
        <v>252</v>
      </c>
      <c r="T332" t="s">
        <v>343</v>
      </c>
      <c r="U332">
        <v>0.15248176309352923</v>
      </c>
      <c r="V332" t="s">
        <v>154</v>
      </c>
    </row>
    <row r="333" spans="9:22" x14ac:dyDescent="0.25">
      <c r="I333" t="s">
        <v>191</v>
      </c>
      <c r="J333" t="s">
        <v>344</v>
      </c>
      <c r="K333">
        <v>0</v>
      </c>
      <c r="L333" t="s">
        <v>154</v>
      </c>
      <c r="N333" t="s">
        <v>221</v>
      </c>
      <c r="O333" t="s">
        <v>344</v>
      </c>
      <c r="P333">
        <v>0.15667508896226895</v>
      </c>
      <c r="Q333" t="s">
        <v>154</v>
      </c>
      <c r="S333" t="s">
        <v>252</v>
      </c>
      <c r="T333" t="s">
        <v>344</v>
      </c>
      <c r="U333">
        <v>0.16494938307505452</v>
      </c>
      <c r="V333" t="s">
        <v>154</v>
      </c>
    </row>
    <row r="334" spans="9:22" x14ac:dyDescent="0.25">
      <c r="I334" t="s">
        <v>191</v>
      </c>
      <c r="J334" t="s">
        <v>345</v>
      </c>
      <c r="K334">
        <v>4.3447101640463059E-3</v>
      </c>
      <c r="L334" t="s">
        <v>154</v>
      </c>
      <c r="N334" t="s">
        <v>221</v>
      </c>
      <c r="O334" t="s">
        <v>345</v>
      </c>
      <c r="P334">
        <v>3.1277379311778958E-2</v>
      </c>
      <c r="Q334" t="s">
        <v>154</v>
      </c>
      <c r="S334" t="s">
        <v>252</v>
      </c>
      <c r="T334" t="s">
        <v>345</v>
      </c>
      <c r="U334">
        <v>3.0105127691814289E-2</v>
      </c>
      <c r="V334" t="s">
        <v>154</v>
      </c>
    </row>
    <row r="335" spans="9:22" x14ac:dyDescent="0.25">
      <c r="I335" t="s">
        <v>192</v>
      </c>
      <c r="J335" t="s">
        <v>334</v>
      </c>
      <c r="K335">
        <v>0.19549652387891786</v>
      </c>
      <c r="L335" t="s">
        <v>154</v>
      </c>
      <c r="N335" t="s">
        <v>222</v>
      </c>
      <c r="O335" t="s">
        <v>334</v>
      </c>
      <c r="P335">
        <v>0.13294396223666571</v>
      </c>
      <c r="Q335" t="s">
        <v>154</v>
      </c>
      <c r="S335" t="s">
        <v>253</v>
      </c>
      <c r="T335" t="s">
        <v>334</v>
      </c>
      <c r="U335">
        <v>9.8232483595465936E-2</v>
      </c>
      <c r="V335" t="s">
        <v>154</v>
      </c>
    </row>
    <row r="336" spans="9:22" x14ac:dyDescent="0.25">
      <c r="I336" t="s">
        <v>192</v>
      </c>
      <c r="J336" t="s">
        <v>335</v>
      </c>
      <c r="K336">
        <v>0</v>
      </c>
      <c r="L336" t="s">
        <v>154</v>
      </c>
      <c r="N336" t="s">
        <v>222</v>
      </c>
      <c r="O336" t="s">
        <v>335</v>
      </c>
      <c r="P336">
        <v>0.11179807963172657</v>
      </c>
      <c r="Q336" t="s">
        <v>154</v>
      </c>
      <c r="S336" t="s">
        <v>253</v>
      </c>
      <c r="T336" t="s">
        <v>335</v>
      </c>
      <c r="U336">
        <v>9.953093481285108E-2</v>
      </c>
      <c r="V336" t="s">
        <v>154</v>
      </c>
    </row>
    <row r="337" spans="9:22" x14ac:dyDescent="0.25">
      <c r="I337" t="s">
        <v>192</v>
      </c>
      <c r="J337" t="s">
        <v>336</v>
      </c>
      <c r="K337">
        <v>8.9019121197221468E-3</v>
      </c>
      <c r="L337" t="s">
        <v>154</v>
      </c>
      <c r="N337" t="s">
        <v>222</v>
      </c>
      <c r="O337" t="s">
        <v>336</v>
      </c>
      <c r="P337">
        <v>2.395427991387131E-2</v>
      </c>
      <c r="Q337" t="s">
        <v>154</v>
      </c>
      <c r="S337" t="s">
        <v>253</v>
      </c>
      <c r="T337" t="s">
        <v>336</v>
      </c>
      <c r="U337">
        <v>1.8796698677731743E-2</v>
      </c>
      <c r="V337" t="s">
        <v>154</v>
      </c>
    </row>
    <row r="338" spans="9:22" x14ac:dyDescent="0.25">
      <c r="I338" t="s">
        <v>192</v>
      </c>
      <c r="J338" t="s">
        <v>337</v>
      </c>
      <c r="K338">
        <v>0.28680999349181946</v>
      </c>
      <c r="L338" t="s">
        <v>154</v>
      </c>
      <c r="N338" t="s">
        <v>222</v>
      </c>
      <c r="O338" t="s">
        <v>337</v>
      </c>
      <c r="P338">
        <v>0.19429688269325682</v>
      </c>
      <c r="Q338" t="s">
        <v>154</v>
      </c>
      <c r="S338" t="s">
        <v>253</v>
      </c>
      <c r="T338" t="s">
        <v>337</v>
      </c>
      <c r="U338">
        <v>0.12929348645757152</v>
      </c>
      <c r="V338" t="s">
        <v>154</v>
      </c>
    </row>
    <row r="339" spans="9:22" x14ac:dyDescent="0.25">
      <c r="I339" t="s">
        <v>192</v>
      </c>
      <c r="J339" t="s">
        <v>338</v>
      </c>
      <c r="K339">
        <v>1.6490709829676421E-3</v>
      </c>
      <c r="L339" t="s">
        <v>154</v>
      </c>
      <c r="N339" t="s">
        <v>222</v>
      </c>
      <c r="O339" t="s">
        <v>338</v>
      </c>
      <c r="P339">
        <v>0.14569302843210383</v>
      </c>
      <c r="Q339" t="s">
        <v>154</v>
      </c>
      <c r="S339" t="s">
        <v>253</v>
      </c>
      <c r="T339" t="s">
        <v>338</v>
      </c>
      <c r="U339">
        <v>0.11964447365591717</v>
      </c>
      <c r="V339" t="s">
        <v>154</v>
      </c>
    </row>
    <row r="340" spans="9:22" x14ac:dyDescent="0.25">
      <c r="I340" t="s">
        <v>192</v>
      </c>
      <c r="J340" t="s">
        <v>339</v>
      </c>
      <c r="K340">
        <v>2.7364245616356201E-2</v>
      </c>
      <c r="L340" t="s">
        <v>154</v>
      </c>
      <c r="N340" t="s">
        <v>222</v>
      </c>
      <c r="O340" t="s">
        <v>339</v>
      </c>
      <c r="P340">
        <v>3.2631360966813745E-2</v>
      </c>
      <c r="Q340" t="s">
        <v>154</v>
      </c>
      <c r="S340" t="s">
        <v>253</v>
      </c>
      <c r="T340" t="s">
        <v>339</v>
      </c>
      <c r="U340">
        <v>2.3409856434591585E-2</v>
      </c>
      <c r="V340" t="s">
        <v>154</v>
      </c>
    </row>
    <row r="341" spans="9:22" x14ac:dyDescent="0.25">
      <c r="I341" t="s">
        <v>192</v>
      </c>
      <c r="J341" t="s">
        <v>340</v>
      </c>
      <c r="K341">
        <v>0.25832694042967758</v>
      </c>
      <c r="L341" t="s">
        <v>154</v>
      </c>
      <c r="N341" t="s">
        <v>222</v>
      </c>
      <c r="O341" t="s">
        <v>340</v>
      </c>
      <c r="P341">
        <v>4.0010681457556103E-2</v>
      </c>
      <c r="Q341" t="s">
        <v>154</v>
      </c>
      <c r="S341" t="s">
        <v>253</v>
      </c>
      <c r="T341" t="s">
        <v>340</v>
      </c>
      <c r="U341">
        <v>7.2416566805209096E-2</v>
      </c>
      <c r="V341" t="s">
        <v>154</v>
      </c>
    </row>
    <row r="342" spans="9:22" x14ac:dyDescent="0.25">
      <c r="I342" t="s">
        <v>192</v>
      </c>
      <c r="J342" t="s">
        <v>341</v>
      </c>
      <c r="K342">
        <v>5.2673904657394317E-3</v>
      </c>
      <c r="L342" t="s">
        <v>154</v>
      </c>
      <c r="N342" t="s">
        <v>222</v>
      </c>
      <c r="O342" t="s">
        <v>341</v>
      </c>
      <c r="P342">
        <v>3.4500955083856769E-2</v>
      </c>
      <c r="Q342" t="s">
        <v>154</v>
      </c>
      <c r="S342" t="s">
        <v>253</v>
      </c>
      <c r="T342" t="s">
        <v>341</v>
      </c>
      <c r="U342">
        <v>6.8556296848453005E-2</v>
      </c>
      <c r="V342" t="s">
        <v>154</v>
      </c>
    </row>
    <row r="343" spans="9:22" x14ac:dyDescent="0.25">
      <c r="I343" t="s">
        <v>192</v>
      </c>
      <c r="J343" t="s">
        <v>342</v>
      </c>
      <c r="K343">
        <v>2.952212374187449E-2</v>
      </c>
      <c r="L343" t="s">
        <v>154</v>
      </c>
      <c r="N343" t="s">
        <v>222</v>
      </c>
      <c r="O343" t="s">
        <v>342</v>
      </c>
      <c r="P343">
        <v>7.4375981758339092E-3</v>
      </c>
      <c r="Q343" t="s">
        <v>154</v>
      </c>
      <c r="S343" t="s">
        <v>253</v>
      </c>
      <c r="T343" t="s">
        <v>342</v>
      </c>
      <c r="U343">
        <v>1.3915159263738373E-2</v>
      </c>
      <c r="V343" t="s">
        <v>154</v>
      </c>
    </row>
    <row r="344" spans="9:22" x14ac:dyDescent="0.25">
      <c r="I344" t="s">
        <v>192</v>
      </c>
      <c r="J344" t="s">
        <v>343</v>
      </c>
      <c r="K344">
        <v>0.18165283507342087</v>
      </c>
      <c r="L344" t="s">
        <v>154</v>
      </c>
      <c r="N344" t="s">
        <v>222</v>
      </c>
      <c r="O344" t="s">
        <v>343</v>
      </c>
      <c r="P344">
        <v>0.13195893732009717</v>
      </c>
      <c r="Q344" t="s">
        <v>154</v>
      </c>
      <c r="S344" t="s">
        <v>253</v>
      </c>
      <c r="T344" t="s">
        <v>343</v>
      </c>
      <c r="U344">
        <v>0.15726672639699435</v>
      </c>
      <c r="V344" t="s">
        <v>154</v>
      </c>
    </row>
    <row r="345" spans="9:22" x14ac:dyDescent="0.25">
      <c r="I345" t="s">
        <v>192</v>
      </c>
      <c r="J345" t="s">
        <v>344</v>
      </c>
      <c r="K345">
        <v>0</v>
      </c>
      <c r="L345" t="s">
        <v>154</v>
      </c>
      <c r="N345" t="s">
        <v>222</v>
      </c>
      <c r="O345" t="s">
        <v>344</v>
      </c>
      <c r="P345">
        <v>0.12311130483344937</v>
      </c>
      <c r="Q345" t="s">
        <v>154</v>
      </c>
      <c r="S345" t="s">
        <v>253</v>
      </c>
      <c r="T345" t="s">
        <v>344</v>
      </c>
      <c r="U345">
        <v>0.16956088015594481</v>
      </c>
      <c r="V345" t="s">
        <v>154</v>
      </c>
    </row>
    <row r="346" spans="9:22" x14ac:dyDescent="0.25">
      <c r="I346" t="s">
        <v>192</v>
      </c>
      <c r="J346" t="s">
        <v>345</v>
      </c>
      <c r="K346">
        <v>5.0089641995056319E-3</v>
      </c>
      <c r="L346" t="s">
        <v>154</v>
      </c>
      <c r="N346" t="s">
        <v>222</v>
      </c>
      <c r="O346" t="s">
        <v>345</v>
      </c>
      <c r="P346">
        <v>2.166292925476547E-2</v>
      </c>
      <c r="Q346" t="s">
        <v>154</v>
      </c>
      <c r="S346" t="s">
        <v>253</v>
      </c>
      <c r="T346" t="s">
        <v>345</v>
      </c>
      <c r="U346">
        <v>2.9376436895534767E-2</v>
      </c>
      <c r="V346" t="s">
        <v>154</v>
      </c>
    </row>
    <row r="347" spans="9:22" x14ac:dyDescent="0.25">
      <c r="I347" t="s">
        <v>193</v>
      </c>
      <c r="J347" t="s">
        <v>334</v>
      </c>
      <c r="K347">
        <v>0.19647521840021495</v>
      </c>
      <c r="L347" t="s">
        <v>154</v>
      </c>
      <c r="N347" t="s">
        <v>223</v>
      </c>
      <c r="O347" t="s">
        <v>334</v>
      </c>
      <c r="P347">
        <v>0.12162011864109948</v>
      </c>
      <c r="Q347" t="s">
        <v>154</v>
      </c>
      <c r="S347" t="s">
        <v>254</v>
      </c>
      <c r="T347" t="s">
        <v>334</v>
      </c>
      <c r="U347">
        <v>0.11319480603231376</v>
      </c>
      <c r="V347" t="s">
        <v>154</v>
      </c>
    </row>
    <row r="348" spans="9:22" x14ac:dyDescent="0.25">
      <c r="I348" t="s">
        <v>193</v>
      </c>
      <c r="J348" t="s">
        <v>335</v>
      </c>
      <c r="K348">
        <v>0</v>
      </c>
      <c r="L348" t="s">
        <v>154</v>
      </c>
      <c r="N348" t="s">
        <v>223</v>
      </c>
      <c r="O348" t="s">
        <v>335</v>
      </c>
      <c r="P348">
        <v>0.10810967352656872</v>
      </c>
      <c r="Q348" t="s">
        <v>154</v>
      </c>
      <c r="S348" t="s">
        <v>254</v>
      </c>
      <c r="T348" t="s">
        <v>335</v>
      </c>
      <c r="U348">
        <v>0.1227532597720128</v>
      </c>
      <c r="V348" t="s">
        <v>154</v>
      </c>
    </row>
    <row r="349" spans="9:22" x14ac:dyDescent="0.25">
      <c r="I349" t="s">
        <v>193</v>
      </c>
      <c r="J349" t="s">
        <v>336</v>
      </c>
      <c r="K349">
        <v>7.6906873434855168E-3</v>
      </c>
      <c r="L349" t="s">
        <v>154</v>
      </c>
      <c r="N349" t="s">
        <v>223</v>
      </c>
      <c r="O349" t="s">
        <v>336</v>
      </c>
      <c r="P349">
        <v>2.2409785525749584E-2</v>
      </c>
      <c r="Q349" t="s">
        <v>154</v>
      </c>
      <c r="S349" t="s">
        <v>254</v>
      </c>
      <c r="T349" t="s">
        <v>336</v>
      </c>
      <c r="U349">
        <v>2.2418261352697103E-2</v>
      </c>
      <c r="V349" t="s">
        <v>154</v>
      </c>
    </row>
    <row r="350" spans="9:22" x14ac:dyDescent="0.25">
      <c r="I350" t="s">
        <v>193</v>
      </c>
      <c r="J350" t="s">
        <v>337</v>
      </c>
      <c r="K350">
        <v>0.2930280754852938</v>
      </c>
      <c r="L350" t="s">
        <v>154</v>
      </c>
      <c r="N350" t="s">
        <v>223</v>
      </c>
      <c r="O350" t="s">
        <v>337</v>
      </c>
      <c r="P350">
        <v>0.18130040882063145</v>
      </c>
      <c r="Q350" t="s">
        <v>154</v>
      </c>
      <c r="S350" t="s">
        <v>254</v>
      </c>
      <c r="T350" t="s">
        <v>337</v>
      </c>
      <c r="U350">
        <v>0.10717343655442113</v>
      </c>
      <c r="V350" t="s">
        <v>154</v>
      </c>
    </row>
    <row r="351" spans="9:22" x14ac:dyDescent="0.25">
      <c r="I351" t="s">
        <v>193</v>
      </c>
      <c r="J351" t="s">
        <v>338</v>
      </c>
      <c r="K351">
        <v>1.5395924471751231E-3</v>
      </c>
      <c r="L351" t="s">
        <v>154</v>
      </c>
      <c r="N351" t="s">
        <v>223</v>
      </c>
      <c r="O351" t="s">
        <v>338</v>
      </c>
      <c r="P351">
        <v>0.13848538622625334</v>
      </c>
      <c r="Q351" t="s">
        <v>154</v>
      </c>
      <c r="S351" t="s">
        <v>254</v>
      </c>
      <c r="T351" t="s">
        <v>338</v>
      </c>
      <c r="U351">
        <v>0.12433591467592768</v>
      </c>
      <c r="V351" t="s">
        <v>154</v>
      </c>
    </row>
    <row r="352" spans="9:22" x14ac:dyDescent="0.25">
      <c r="I352" t="s">
        <v>193</v>
      </c>
      <c r="J352" t="s">
        <v>339</v>
      </c>
      <c r="K352">
        <v>2.7689067706296984E-2</v>
      </c>
      <c r="L352" t="s">
        <v>154</v>
      </c>
      <c r="N352" t="s">
        <v>223</v>
      </c>
      <c r="O352" t="s">
        <v>339</v>
      </c>
      <c r="P352">
        <v>3.2311556848805975E-2</v>
      </c>
      <c r="Q352" t="s">
        <v>154</v>
      </c>
      <c r="S352" t="s">
        <v>254</v>
      </c>
      <c r="T352" t="s">
        <v>339</v>
      </c>
      <c r="U352">
        <v>2.1701354452491058E-2</v>
      </c>
      <c r="V352" t="s">
        <v>154</v>
      </c>
    </row>
    <row r="353" spans="9:22" x14ac:dyDescent="0.25">
      <c r="I353" t="s">
        <v>193</v>
      </c>
      <c r="J353" t="s">
        <v>340</v>
      </c>
      <c r="K353">
        <v>0.238416456965063</v>
      </c>
      <c r="L353" t="s">
        <v>154</v>
      </c>
      <c r="N353" t="s">
        <v>223</v>
      </c>
      <c r="O353" t="s">
        <v>340</v>
      </c>
      <c r="P353">
        <v>4.1225815672813686E-2</v>
      </c>
      <c r="Q353" t="s">
        <v>154</v>
      </c>
      <c r="S353" t="s">
        <v>254</v>
      </c>
      <c r="T353" t="s">
        <v>340</v>
      </c>
      <c r="U353">
        <v>0.10148132656574078</v>
      </c>
      <c r="V353" t="s">
        <v>154</v>
      </c>
    </row>
    <row r="354" spans="9:22" x14ac:dyDescent="0.25">
      <c r="I354" t="s">
        <v>193</v>
      </c>
      <c r="J354" t="s">
        <v>341</v>
      </c>
      <c r="K354">
        <v>3.8602287560388169E-3</v>
      </c>
      <c r="L354" t="s">
        <v>154</v>
      </c>
      <c r="N354" t="s">
        <v>223</v>
      </c>
      <c r="O354" t="s">
        <v>341</v>
      </c>
      <c r="P354">
        <v>3.3364117948387367E-2</v>
      </c>
      <c r="Q354" t="s">
        <v>154</v>
      </c>
      <c r="S354" t="s">
        <v>254</v>
      </c>
      <c r="T354" t="s">
        <v>341</v>
      </c>
      <c r="U354">
        <v>0.11546632984202561</v>
      </c>
      <c r="V354" t="s">
        <v>154</v>
      </c>
    </row>
    <row r="355" spans="9:22" x14ac:dyDescent="0.25">
      <c r="I355" t="s">
        <v>193</v>
      </c>
      <c r="J355" t="s">
        <v>342</v>
      </c>
      <c r="K355">
        <v>2.3790366687075581E-2</v>
      </c>
      <c r="L355" t="s">
        <v>154</v>
      </c>
      <c r="N355" t="s">
        <v>223</v>
      </c>
      <c r="O355" t="s">
        <v>342</v>
      </c>
      <c r="P355">
        <v>8.4825272989019485E-3</v>
      </c>
      <c r="Q355" t="s">
        <v>154</v>
      </c>
      <c r="S355" t="s">
        <v>254</v>
      </c>
      <c r="T355" t="s">
        <v>342</v>
      </c>
      <c r="U355">
        <v>2.0917577353039327E-2</v>
      </c>
      <c r="V355" t="s">
        <v>154</v>
      </c>
    </row>
    <row r="356" spans="9:22" x14ac:dyDescent="0.25">
      <c r="I356" t="s">
        <v>193</v>
      </c>
      <c r="J356" t="s">
        <v>343</v>
      </c>
      <c r="K356">
        <v>0.20163501117215735</v>
      </c>
      <c r="L356" t="s">
        <v>154</v>
      </c>
      <c r="N356" t="s">
        <v>223</v>
      </c>
      <c r="O356" t="s">
        <v>343</v>
      </c>
      <c r="P356">
        <v>0.15608652301925938</v>
      </c>
      <c r="Q356" t="s">
        <v>154</v>
      </c>
      <c r="S356" t="s">
        <v>254</v>
      </c>
      <c r="T356" t="s">
        <v>343</v>
      </c>
      <c r="U356">
        <v>0.10925542656349729</v>
      </c>
      <c r="V356" t="s">
        <v>154</v>
      </c>
    </row>
    <row r="357" spans="9:22" x14ac:dyDescent="0.25">
      <c r="I357" t="s">
        <v>193</v>
      </c>
      <c r="J357" t="s">
        <v>344</v>
      </c>
      <c r="K357">
        <v>0</v>
      </c>
      <c r="L357" t="s">
        <v>154</v>
      </c>
      <c r="N357" t="s">
        <v>223</v>
      </c>
      <c r="O357" t="s">
        <v>344</v>
      </c>
      <c r="P357">
        <v>0.13261194461307388</v>
      </c>
      <c r="Q357" t="s">
        <v>154</v>
      </c>
      <c r="S357" t="s">
        <v>254</v>
      </c>
      <c r="T357" t="s">
        <v>344</v>
      </c>
      <c r="U357">
        <v>0.12142415034689998</v>
      </c>
      <c r="V357" t="s">
        <v>154</v>
      </c>
    </row>
    <row r="358" spans="9:22" x14ac:dyDescent="0.25">
      <c r="I358" t="s">
        <v>193</v>
      </c>
      <c r="J358" t="s">
        <v>345</v>
      </c>
      <c r="K358">
        <v>5.8752950371979869E-3</v>
      </c>
      <c r="L358" t="s">
        <v>154</v>
      </c>
      <c r="N358" t="s">
        <v>223</v>
      </c>
      <c r="O358" t="s">
        <v>345</v>
      </c>
      <c r="P358">
        <v>2.3992141858454649E-2</v>
      </c>
      <c r="Q358" t="s">
        <v>154</v>
      </c>
      <c r="S358" t="s">
        <v>254</v>
      </c>
      <c r="T358" t="s">
        <v>345</v>
      </c>
      <c r="U358">
        <v>1.9878156488929308E-2</v>
      </c>
      <c r="V358" t="s">
        <v>154</v>
      </c>
    </row>
    <row r="359" spans="9:22" x14ac:dyDescent="0.25">
      <c r="I359" t="s">
        <v>194</v>
      </c>
      <c r="J359" t="s">
        <v>334</v>
      </c>
      <c r="K359">
        <v>0.19463289636537681</v>
      </c>
      <c r="L359" t="s">
        <v>154</v>
      </c>
      <c r="N359" t="s">
        <v>224</v>
      </c>
      <c r="O359" t="s">
        <v>334</v>
      </c>
      <c r="P359">
        <v>0.12562024247350365</v>
      </c>
      <c r="Q359" t="s">
        <v>154</v>
      </c>
      <c r="S359" t="s">
        <v>255</v>
      </c>
      <c r="T359" t="s">
        <v>334</v>
      </c>
      <c r="U359">
        <v>0.10776539662480432</v>
      </c>
      <c r="V359" t="s">
        <v>154</v>
      </c>
    </row>
    <row r="360" spans="9:22" x14ac:dyDescent="0.25">
      <c r="I360" t="s">
        <v>194</v>
      </c>
      <c r="J360" t="s">
        <v>335</v>
      </c>
      <c r="K360">
        <v>0</v>
      </c>
      <c r="L360" t="s">
        <v>154</v>
      </c>
      <c r="N360" t="s">
        <v>224</v>
      </c>
      <c r="O360" t="s">
        <v>335</v>
      </c>
      <c r="P360">
        <v>0.11597398833698955</v>
      </c>
      <c r="Q360" t="s">
        <v>154</v>
      </c>
      <c r="S360" t="s">
        <v>255</v>
      </c>
      <c r="T360" t="s">
        <v>335</v>
      </c>
      <c r="U360">
        <v>0.11243271987739664</v>
      </c>
      <c r="V360" t="s">
        <v>154</v>
      </c>
    </row>
    <row r="361" spans="9:22" x14ac:dyDescent="0.25">
      <c r="I361" t="s">
        <v>194</v>
      </c>
      <c r="J361" t="s">
        <v>336</v>
      </c>
      <c r="K361">
        <v>8.3699654517352326E-3</v>
      </c>
      <c r="L361" t="s">
        <v>154</v>
      </c>
      <c r="N361" t="s">
        <v>224</v>
      </c>
      <c r="O361" t="s">
        <v>336</v>
      </c>
      <c r="P361">
        <v>2.3255472854051981E-2</v>
      </c>
      <c r="Q361" t="s">
        <v>154</v>
      </c>
      <c r="S361" t="s">
        <v>255</v>
      </c>
      <c r="T361" t="s">
        <v>336</v>
      </c>
      <c r="U361">
        <v>2.1627705996774865E-2</v>
      </c>
      <c r="V361" t="s">
        <v>154</v>
      </c>
    </row>
    <row r="362" spans="9:22" x14ac:dyDescent="0.25">
      <c r="I362" t="s">
        <v>194</v>
      </c>
      <c r="J362" t="s">
        <v>337</v>
      </c>
      <c r="K362">
        <v>0.30374452417315922</v>
      </c>
      <c r="L362" t="s">
        <v>154</v>
      </c>
      <c r="N362" t="s">
        <v>224</v>
      </c>
      <c r="O362" t="s">
        <v>337</v>
      </c>
      <c r="P362">
        <v>0.16024000582824677</v>
      </c>
      <c r="Q362" t="s">
        <v>154</v>
      </c>
      <c r="S362" t="s">
        <v>255</v>
      </c>
      <c r="T362" t="s">
        <v>337</v>
      </c>
      <c r="U362">
        <v>0.11213355189298958</v>
      </c>
      <c r="V362" t="s">
        <v>154</v>
      </c>
    </row>
    <row r="363" spans="9:22" x14ac:dyDescent="0.25">
      <c r="I363" t="s">
        <v>194</v>
      </c>
      <c r="J363" t="s">
        <v>338</v>
      </c>
      <c r="K363">
        <v>1.1355423633178372E-3</v>
      </c>
      <c r="L363" t="s">
        <v>154</v>
      </c>
      <c r="N363" t="s">
        <v>224</v>
      </c>
      <c r="O363" t="s">
        <v>338</v>
      </c>
      <c r="P363">
        <v>0.14280427939998705</v>
      </c>
      <c r="Q363" t="s">
        <v>154</v>
      </c>
      <c r="S363" t="s">
        <v>255</v>
      </c>
      <c r="T363" t="s">
        <v>338</v>
      </c>
      <c r="U363">
        <v>0.12068949025651597</v>
      </c>
      <c r="V363" t="s">
        <v>154</v>
      </c>
    </row>
    <row r="364" spans="9:22" x14ac:dyDescent="0.25">
      <c r="I364" t="s">
        <v>194</v>
      </c>
      <c r="J364" t="s">
        <v>339</v>
      </c>
      <c r="K364">
        <v>2.8355269927497765E-2</v>
      </c>
      <c r="L364" t="s">
        <v>154</v>
      </c>
      <c r="N364" t="s">
        <v>224</v>
      </c>
      <c r="O364" t="s">
        <v>339</v>
      </c>
      <c r="P364">
        <v>2.7386440805274179E-2</v>
      </c>
      <c r="Q364" t="s">
        <v>154</v>
      </c>
      <c r="S364" t="s">
        <v>255</v>
      </c>
      <c r="T364" t="s">
        <v>339</v>
      </c>
      <c r="U364">
        <v>2.1538513672504988E-2</v>
      </c>
      <c r="V364" t="s">
        <v>154</v>
      </c>
    </row>
    <row r="365" spans="9:22" x14ac:dyDescent="0.25">
      <c r="I365" t="s">
        <v>194</v>
      </c>
      <c r="J365" t="s">
        <v>340</v>
      </c>
      <c r="K365">
        <v>0.23035289520212168</v>
      </c>
      <c r="L365" t="s">
        <v>154</v>
      </c>
      <c r="N365" t="s">
        <v>224</v>
      </c>
      <c r="O365" t="s">
        <v>340</v>
      </c>
      <c r="P365">
        <v>5.464248136817474E-2</v>
      </c>
      <c r="Q365" t="s">
        <v>154</v>
      </c>
      <c r="S365" t="s">
        <v>255</v>
      </c>
      <c r="T365" t="s">
        <v>340</v>
      </c>
      <c r="U365">
        <v>0.10350814898266465</v>
      </c>
      <c r="V365" t="s">
        <v>154</v>
      </c>
    </row>
    <row r="366" spans="9:22" x14ac:dyDescent="0.25">
      <c r="I366" t="s">
        <v>194</v>
      </c>
      <c r="J366" t="s">
        <v>341</v>
      </c>
      <c r="K366">
        <v>2.9146786535639122E-3</v>
      </c>
      <c r="L366" t="s">
        <v>154</v>
      </c>
      <c r="N366" t="s">
        <v>224</v>
      </c>
      <c r="O366" t="s">
        <v>341</v>
      </c>
      <c r="P366">
        <v>5.4910219413254364E-2</v>
      </c>
      <c r="Q366" t="s">
        <v>154</v>
      </c>
      <c r="S366" t="s">
        <v>255</v>
      </c>
      <c r="T366" t="s">
        <v>341</v>
      </c>
      <c r="U366">
        <v>0.10154777888390842</v>
      </c>
      <c r="V366" t="s">
        <v>154</v>
      </c>
    </row>
    <row r="367" spans="9:22" x14ac:dyDescent="0.25">
      <c r="I367" t="s">
        <v>194</v>
      </c>
      <c r="J367" t="s">
        <v>342</v>
      </c>
      <c r="K367">
        <v>2.1800169223589905E-2</v>
      </c>
      <c r="L367" t="s">
        <v>154</v>
      </c>
      <c r="N367" t="s">
        <v>224</v>
      </c>
      <c r="O367" t="s">
        <v>342</v>
      </c>
      <c r="P367">
        <v>1.0382352500801535E-2</v>
      </c>
      <c r="Q367" t="s">
        <v>154</v>
      </c>
      <c r="S367" t="s">
        <v>255</v>
      </c>
      <c r="T367" t="s">
        <v>342</v>
      </c>
      <c r="U367">
        <v>1.8919444130795618E-2</v>
      </c>
      <c r="V367" t="s">
        <v>154</v>
      </c>
    </row>
    <row r="368" spans="9:22" x14ac:dyDescent="0.25">
      <c r="I368" t="s">
        <v>194</v>
      </c>
      <c r="J368" t="s">
        <v>343</v>
      </c>
      <c r="K368">
        <v>0.20166477609759234</v>
      </c>
      <c r="L368" t="s">
        <v>154</v>
      </c>
      <c r="N368" t="s">
        <v>224</v>
      </c>
      <c r="O368" t="s">
        <v>343</v>
      </c>
      <c r="P368">
        <v>0.13545164400096804</v>
      </c>
      <c r="Q368" t="s">
        <v>154</v>
      </c>
      <c r="S368" t="s">
        <v>255</v>
      </c>
      <c r="T368" t="s">
        <v>343</v>
      </c>
      <c r="U368">
        <v>0.1251078192920432</v>
      </c>
      <c r="V368" t="s">
        <v>154</v>
      </c>
    </row>
    <row r="369" spans="9:22" x14ac:dyDescent="0.25">
      <c r="I369" t="s">
        <v>194</v>
      </c>
      <c r="J369" t="s">
        <v>344</v>
      </c>
      <c r="K369">
        <v>0</v>
      </c>
      <c r="L369" t="s">
        <v>154</v>
      </c>
      <c r="N369" t="s">
        <v>224</v>
      </c>
      <c r="O369" t="s">
        <v>344</v>
      </c>
      <c r="P369">
        <v>0.12620534899188907</v>
      </c>
      <c r="Q369" t="s">
        <v>154</v>
      </c>
      <c r="S369" t="s">
        <v>255</v>
      </c>
      <c r="T369" t="s">
        <v>344</v>
      </c>
      <c r="U369">
        <v>0.12964515422297848</v>
      </c>
      <c r="V369" t="s">
        <v>154</v>
      </c>
    </row>
    <row r="370" spans="9:22" x14ac:dyDescent="0.25">
      <c r="I370" t="s">
        <v>194</v>
      </c>
      <c r="J370" t="s">
        <v>345</v>
      </c>
      <c r="K370">
        <v>7.029282542047246E-3</v>
      </c>
      <c r="L370" t="s">
        <v>154</v>
      </c>
      <c r="N370" t="s">
        <v>224</v>
      </c>
      <c r="O370" t="s">
        <v>345</v>
      </c>
      <c r="P370">
        <v>2.3127524026860174E-2</v>
      </c>
      <c r="Q370" t="s">
        <v>154</v>
      </c>
      <c r="S370" t="s">
        <v>255</v>
      </c>
      <c r="T370" t="s">
        <v>345</v>
      </c>
      <c r="U370">
        <v>2.5084276166625806E-2</v>
      </c>
      <c r="V370" t="s">
        <v>154</v>
      </c>
    </row>
    <row r="371" spans="9:22" x14ac:dyDescent="0.25">
      <c r="N371" t="s">
        <v>225</v>
      </c>
      <c r="O371" t="s">
        <v>334</v>
      </c>
      <c r="P371">
        <v>0.11669820396630427</v>
      </c>
      <c r="Q371" t="s">
        <v>154</v>
      </c>
      <c r="S371" t="s">
        <v>256</v>
      </c>
      <c r="T371" t="s">
        <v>334</v>
      </c>
      <c r="U371">
        <v>0.10699634071580483</v>
      </c>
      <c r="V371" t="s">
        <v>154</v>
      </c>
    </row>
    <row r="372" spans="9:22" x14ac:dyDescent="0.25">
      <c r="N372" t="s">
        <v>225</v>
      </c>
      <c r="O372" t="s">
        <v>335</v>
      </c>
      <c r="P372">
        <v>0.12076148026053603</v>
      </c>
      <c r="Q372" t="s">
        <v>154</v>
      </c>
      <c r="S372" t="s">
        <v>256</v>
      </c>
      <c r="T372" t="s">
        <v>335</v>
      </c>
      <c r="U372">
        <v>0.102425607781943</v>
      </c>
      <c r="V372" t="s">
        <v>154</v>
      </c>
    </row>
    <row r="373" spans="9:22" x14ac:dyDescent="0.25">
      <c r="N373" t="s">
        <v>225</v>
      </c>
      <c r="O373" t="s">
        <v>336</v>
      </c>
      <c r="P373">
        <v>2.2629655696124004E-2</v>
      </c>
      <c r="Q373" t="s">
        <v>154</v>
      </c>
      <c r="S373" t="s">
        <v>256</v>
      </c>
      <c r="T373" t="s">
        <v>336</v>
      </c>
      <c r="U373">
        <v>1.9287348151101134E-2</v>
      </c>
      <c r="V373" t="s">
        <v>154</v>
      </c>
    </row>
    <row r="374" spans="9:22" x14ac:dyDescent="0.25">
      <c r="N374" t="s">
        <v>225</v>
      </c>
      <c r="O374" t="s">
        <v>337</v>
      </c>
      <c r="P374">
        <v>0.14346401824240296</v>
      </c>
      <c r="Q374" t="s">
        <v>154</v>
      </c>
      <c r="S374" t="s">
        <v>256</v>
      </c>
      <c r="T374" t="s">
        <v>337</v>
      </c>
      <c r="U374">
        <v>0.12229401843897718</v>
      </c>
      <c r="V374" t="s">
        <v>154</v>
      </c>
    </row>
    <row r="375" spans="9:22" x14ac:dyDescent="0.25">
      <c r="N375" t="s">
        <v>225</v>
      </c>
      <c r="O375" t="s">
        <v>338</v>
      </c>
      <c r="P375">
        <v>0.13813390824400831</v>
      </c>
      <c r="Q375" t="s">
        <v>154</v>
      </c>
      <c r="S375" t="s">
        <v>256</v>
      </c>
      <c r="T375" t="s">
        <v>338</v>
      </c>
      <c r="U375">
        <v>0.12412939808083849</v>
      </c>
      <c r="V375" t="s">
        <v>154</v>
      </c>
    </row>
    <row r="376" spans="9:22" x14ac:dyDescent="0.25">
      <c r="N376" t="s">
        <v>225</v>
      </c>
      <c r="O376" t="s">
        <v>339</v>
      </c>
      <c r="P376">
        <v>2.7445626335350418E-2</v>
      </c>
      <c r="Q376" t="s">
        <v>154</v>
      </c>
      <c r="S376" t="s">
        <v>256</v>
      </c>
      <c r="T376" t="s">
        <v>339</v>
      </c>
      <c r="U376">
        <v>2.2585235677540533E-2</v>
      </c>
      <c r="V376" t="s">
        <v>154</v>
      </c>
    </row>
    <row r="377" spans="9:22" x14ac:dyDescent="0.25">
      <c r="N377" t="s">
        <v>225</v>
      </c>
      <c r="O377" t="s">
        <v>340</v>
      </c>
      <c r="P377">
        <v>6.0270478247107108E-2</v>
      </c>
      <c r="Q377" t="s">
        <v>154</v>
      </c>
      <c r="S377" t="s">
        <v>256</v>
      </c>
      <c r="T377" t="s">
        <v>340</v>
      </c>
      <c r="U377">
        <v>8.7761080196781582E-2</v>
      </c>
      <c r="V377" t="s">
        <v>154</v>
      </c>
    </row>
    <row r="378" spans="9:22" x14ac:dyDescent="0.25">
      <c r="N378" t="s">
        <v>225</v>
      </c>
      <c r="O378" t="s">
        <v>341</v>
      </c>
      <c r="P378">
        <v>6.1229749683041922E-2</v>
      </c>
      <c r="Q378" t="s">
        <v>154</v>
      </c>
      <c r="S378" t="s">
        <v>256</v>
      </c>
      <c r="T378" t="s">
        <v>341</v>
      </c>
      <c r="U378">
        <v>8.2791448795378142E-2</v>
      </c>
      <c r="V378" t="s">
        <v>154</v>
      </c>
    </row>
    <row r="379" spans="9:22" x14ac:dyDescent="0.25">
      <c r="N379" t="s">
        <v>225</v>
      </c>
      <c r="O379" t="s">
        <v>342</v>
      </c>
      <c r="P379">
        <v>1.3647710487743032E-2</v>
      </c>
      <c r="Q379" t="s">
        <v>154</v>
      </c>
      <c r="S379" t="s">
        <v>256</v>
      </c>
      <c r="T379" t="s">
        <v>342</v>
      </c>
      <c r="U379">
        <v>1.5771888562874332E-2</v>
      </c>
      <c r="V379" t="s">
        <v>154</v>
      </c>
    </row>
    <row r="380" spans="9:22" x14ac:dyDescent="0.25">
      <c r="N380" t="s">
        <v>225</v>
      </c>
      <c r="O380" t="s">
        <v>343</v>
      </c>
      <c r="P380">
        <v>0.14058950006728199</v>
      </c>
      <c r="Q380" t="s">
        <v>154</v>
      </c>
      <c r="S380" t="s">
        <v>256</v>
      </c>
      <c r="T380" t="s">
        <v>343</v>
      </c>
      <c r="U380">
        <v>0.14213146475278732</v>
      </c>
      <c r="V380" t="s">
        <v>154</v>
      </c>
    </row>
    <row r="381" spans="9:22" x14ac:dyDescent="0.25">
      <c r="N381" t="s">
        <v>225</v>
      </c>
      <c r="O381" t="s">
        <v>344</v>
      </c>
      <c r="P381">
        <v>0.13158172889210537</v>
      </c>
      <c r="Q381" t="s">
        <v>154</v>
      </c>
      <c r="S381" t="s">
        <v>256</v>
      </c>
      <c r="T381" t="s">
        <v>344</v>
      </c>
      <c r="U381">
        <v>0.14657637640677904</v>
      </c>
      <c r="V381" t="s">
        <v>154</v>
      </c>
    </row>
    <row r="382" spans="9:22" x14ac:dyDescent="0.25">
      <c r="N382" t="s">
        <v>225</v>
      </c>
      <c r="O382" t="s">
        <v>345</v>
      </c>
      <c r="P382">
        <v>2.3547939877996867E-2</v>
      </c>
      <c r="Q382" t="s">
        <v>154</v>
      </c>
      <c r="S382" t="s">
        <v>256</v>
      </c>
      <c r="T382" t="s">
        <v>345</v>
      </c>
      <c r="U382">
        <v>2.7249792439198114E-2</v>
      </c>
      <c r="V382" t="s">
        <v>154</v>
      </c>
    </row>
    <row r="383" spans="9:22" x14ac:dyDescent="0.25">
      <c r="S383" t="s">
        <v>257</v>
      </c>
      <c r="T383" t="s">
        <v>334</v>
      </c>
      <c r="U383">
        <v>0.10780366544182308</v>
      </c>
      <c r="V383" t="s">
        <v>154</v>
      </c>
    </row>
    <row r="384" spans="9:22" x14ac:dyDescent="0.25">
      <c r="S384" t="s">
        <v>257</v>
      </c>
      <c r="T384" t="s">
        <v>335</v>
      </c>
      <c r="U384">
        <v>0.11451063460463566</v>
      </c>
      <c r="V384" t="s">
        <v>154</v>
      </c>
    </row>
    <row r="385" spans="19:22" x14ac:dyDescent="0.25">
      <c r="S385" t="s">
        <v>257</v>
      </c>
      <c r="T385" t="s">
        <v>336</v>
      </c>
      <c r="U385">
        <v>2.2993063384867955E-2</v>
      </c>
      <c r="V385" t="s">
        <v>154</v>
      </c>
    </row>
    <row r="386" spans="19:22" x14ac:dyDescent="0.25">
      <c r="S386" t="s">
        <v>257</v>
      </c>
      <c r="T386" t="s">
        <v>337</v>
      </c>
      <c r="U386">
        <v>0.12826147835737417</v>
      </c>
      <c r="V386" t="s">
        <v>154</v>
      </c>
    </row>
    <row r="387" spans="19:22" x14ac:dyDescent="0.25">
      <c r="S387" t="s">
        <v>257</v>
      </c>
      <c r="T387" t="s">
        <v>338</v>
      </c>
      <c r="U387">
        <v>0.12575458359027331</v>
      </c>
      <c r="V387" t="s">
        <v>154</v>
      </c>
    </row>
    <row r="388" spans="19:22" x14ac:dyDescent="0.25">
      <c r="S388" t="s">
        <v>257</v>
      </c>
      <c r="T388" t="s">
        <v>339</v>
      </c>
      <c r="U388">
        <v>2.3372408957177189E-2</v>
      </c>
      <c r="V388" t="s">
        <v>154</v>
      </c>
    </row>
    <row r="389" spans="19:22" x14ac:dyDescent="0.25">
      <c r="S389" t="s">
        <v>257</v>
      </c>
      <c r="T389" t="s">
        <v>340</v>
      </c>
      <c r="U389">
        <v>6.4459433106802549E-2</v>
      </c>
      <c r="V389" t="s">
        <v>154</v>
      </c>
    </row>
    <row r="390" spans="19:22" x14ac:dyDescent="0.25">
      <c r="S390" t="s">
        <v>257</v>
      </c>
      <c r="T390" t="s">
        <v>341</v>
      </c>
      <c r="U390">
        <v>6.1482732322752427E-2</v>
      </c>
      <c r="V390" t="s">
        <v>154</v>
      </c>
    </row>
    <row r="391" spans="19:22" x14ac:dyDescent="0.25">
      <c r="S391" t="s">
        <v>257</v>
      </c>
      <c r="T391" t="s">
        <v>342</v>
      </c>
      <c r="U391">
        <v>1.0528251225926107E-2</v>
      </c>
      <c r="V391" t="s">
        <v>154</v>
      </c>
    </row>
    <row r="392" spans="19:22" x14ac:dyDescent="0.25">
      <c r="S392" t="s">
        <v>257</v>
      </c>
      <c r="T392" t="s">
        <v>343</v>
      </c>
      <c r="U392">
        <v>0.14694544246248906</v>
      </c>
      <c r="V392" t="s">
        <v>154</v>
      </c>
    </row>
    <row r="393" spans="19:22" x14ac:dyDescent="0.25">
      <c r="S393" t="s">
        <v>257</v>
      </c>
      <c r="T393" t="s">
        <v>344</v>
      </c>
      <c r="U393">
        <v>0.16481879686527623</v>
      </c>
      <c r="V393" t="s">
        <v>154</v>
      </c>
    </row>
    <row r="394" spans="19:22" x14ac:dyDescent="0.25">
      <c r="S394" t="s">
        <v>257</v>
      </c>
      <c r="T394" t="s">
        <v>345</v>
      </c>
      <c r="U394">
        <v>2.906950968060381E-2</v>
      </c>
      <c r="V394" t="s">
        <v>154</v>
      </c>
    </row>
    <row r="395" spans="19:22" x14ac:dyDescent="0.25">
      <c r="S395" t="s">
        <v>258</v>
      </c>
      <c r="T395" t="s">
        <v>334</v>
      </c>
      <c r="U395">
        <v>0.10698672717352646</v>
      </c>
      <c r="V395" t="s">
        <v>154</v>
      </c>
    </row>
    <row r="396" spans="19:22" x14ac:dyDescent="0.25">
      <c r="S396" t="s">
        <v>258</v>
      </c>
      <c r="T396" t="s">
        <v>335</v>
      </c>
      <c r="U396">
        <v>0.1092630363641984</v>
      </c>
      <c r="V396" t="s">
        <v>154</v>
      </c>
    </row>
    <row r="397" spans="19:22" x14ac:dyDescent="0.25">
      <c r="S397" t="s">
        <v>258</v>
      </c>
      <c r="T397" t="s">
        <v>336</v>
      </c>
      <c r="U397">
        <v>2.1684203766957229E-2</v>
      </c>
      <c r="V397" t="s">
        <v>154</v>
      </c>
    </row>
    <row r="398" spans="19:22" x14ac:dyDescent="0.25">
      <c r="S398" t="s">
        <v>258</v>
      </c>
      <c r="T398" t="s">
        <v>337</v>
      </c>
      <c r="U398">
        <v>0.11755380306460543</v>
      </c>
      <c r="V398" t="s">
        <v>154</v>
      </c>
    </row>
    <row r="399" spans="19:22" x14ac:dyDescent="0.25">
      <c r="S399" t="s">
        <v>258</v>
      </c>
      <c r="T399" t="s">
        <v>338</v>
      </c>
      <c r="U399">
        <v>0.12131084034689973</v>
      </c>
      <c r="V399" t="s">
        <v>154</v>
      </c>
    </row>
    <row r="400" spans="19:22" x14ac:dyDescent="0.25">
      <c r="S400" t="s">
        <v>258</v>
      </c>
      <c r="T400" t="s">
        <v>339</v>
      </c>
      <c r="U400">
        <v>2.1875791258578917E-2</v>
      </c>
      <c r="V400" t="s">
        <v>154</v>
      </c>
    </row>
    <row r="401" spans="19:22" x14ac:dyDescent="0.25">
      <c r="S401" t="s">
        <v>258</v>
      </c>
      <c r="T401" t="s">
        <v>340</v>
      </c>
      <c r="U401">
        <v>8.1355504626172012E-2</v>
      </c>
      <c r="V401" t="s">
        <v>154</v>
      </c>
    </row>
    <row r="402" spans="19:22" x14ac:dyDescent="0.25">
      <c r="S402" t="s">
        <v>258</v>
      </c>
      <c r="T402" t="s">
        <v>341</v>
      </c>
      <c r="U402">
        <v>7.2806388310099862E-2</v>
      </c>
      <c r="V402" t="s">
        <v>154</v>
      </c>
    </row>
    <row r="403" spans="19:22" x14ac:dyDescent="0.25">
      <c r="S403" t="s">
        <v>258</v>
      </c>
      <c r="T403" t="s">
        <v>342</v>
      </c>
      <c r="U403">
        <v>1.4677314092189668E-2</v>
      </c>
      <c r="V403" t="s">
        <v>154</v>
      </c>
    </row>
    <row r="404" spans="19:22" x14ac:dyDescent="0.25">
      <c r="S404" t="s">
        <v>258</v>
      </c>
      <c r="T404" t="s">
        <v>343</v>
      </c>
      <c r="U404">
        <v>0.1446884965182802</v>
      </c>
      <c r="V404" t="s">
        <v>154</v>
      </c>
    </row>
    <row r="405" spans="19:22" x14ac:dyDescent="0.25">
      <c r="S405" t="s">
        <v>258</v>
      </c>
      <c r="T405" t="s">
        <v>344</v>
      </c>
      <c r="U405">
        <v>0.15827333191858894</v>
      </c>
      <c r="V405" t="s">
        <v>154</v>
      </c>
    </row>
    <row r="406" spans="19:22" x14ac:dyDescent="0.25">
      <c r="S406" t="s">
        <v>258</v>
      </c>
      <c r="T406" t="s">
        <v>345</v>
      </c>
      <c r="U406">
        <v>2.9524562559904523E-2</v>
      </c>
      <c r="V406" t="s">
        <v>154</v>
      </c>
    </row>
    <row r="407" spans="19:22" x14ac:dyDescent="0.25">
      <c r="S407" t="s">
        <v>259</v>
      </c>
      <c r="T407" t="s">
        <v>334</v>
      </c>
      <c r="U407">
        <v>0.14969161728815347</v>
      </c>
      <c r="V407" t="s">
        <v>154</v>
      </c>
    </row>
    <row r="408" spans="19:22" x14ac:dyDescent="0.25">
      <c r="S408" t="s">
        <v>259</v>
      </c>
      <c r="T408" t="s">
        <v>335</v>
      </c>
      <c r="U408">
        <v>0.14871774337500127</v>
      </c>
      <c r="V408" t="s">
        <v>154</v>
      </c>
    </row>
    <row r="409" spans="19:22" x14ac:dyDescent="0.25">
      <c r="S409" t="s">
        <v>259</v>
      </c>
      <c r="T409" t="s">
        <v>336</v>
      </c>
      <c r="U409">
        <v>2.9196139455831268E-2</v>
      </c>
      <c r="V409" t="s">
        <v>154</v>
      </c>
    </row>
    <row r="410" spans="19:22" x14ac:dyDescent="0.25">
      <c r="S410" t="s">
        <v>259</v>
      </c>
      <c r="T410" t="s">
        <v>337</v>
      </c>
      <c r="U410">
        <v>0.12383506318335366</v>
      </c>
      <c r="V410" t="s">
        <v>154</v>
      </c>
    </row>
    <row r="411" spans="19:22" x14ac:dyDescent="0.25">
      <c r="S411" t="s">
        <v>259</v>
      </c>
      <c r="T411" t="s">
        <v>338</v>
      </c>
      <c r="U411">
        <v>0.11070697624614891</v>
      </c>
      <c r="V411" t="s">
        <v>154</v>
      </c>
    </row>
    <row r="412" spans="19:22" x14ac:dyDescent="0.25">
      <c r="S412" t="s">
        <v>259</v>
      </c>
      <c r="T412" t="s">
        <v>339</v>
      </c>
      <c r="U412">
        <v>2.2318990146739978E-2</v>
      </c>
      <c r="V412" t="s">
        <v>154</v>
      </c>
    </row>
    <row r="413" spans="19:22" x14ac:dyDescent="0.25">
      <c r="S413" t="s">
        <v>259</v>
      </c>
      <c r="T413" t="s">
        <v>340</v>
      </c>
      <c r="U413">
        <v>6.4897752508502479E-2</v>
      </c>
      <c r="V413" t="s">
        <v>154</v>
      </c>
    </row>
    <row r="414" spans="19:22" x14ac:dyDescent="0.25">
      <c r="S414" t="s">
        <v>259</v>
      </c>
      <c r="T414" t="s">
        <v>341</v>
      </c>
      <c r="U414">
        <v>6.5451247610279109E-2</v>
      </c>
      <c r="V414" t="s">
        <v>154</v>
      </c>
    </row>
    <row r="415" spans="19:22" x14ac:dyDescent="0.25">
      <c r="S415" t="s">
        <v>259</v>
      </c>
      <c r="T415" t="s">
        <v>342</v>
      </c>
      <c r="U415">
        <v>1.173882712367149E-2</v>
      </c>
      <c r="V415" t="s">
        <v>154</v>
      </c>
    </row>
    <row r="416" spans="19:22" x14ac:dyDescent="0.25">
      <c r="S416" t="s">
        <v>259</v>
      </c>
      <c r="T416" t="s">
        <v>343</v>
      </c>
      <c r="U416">
        <v>0.12497706775002808</v>
      </c>
      <c r="V416" t="s">
        <v>154</v>
      </c>
    </row>
    <row r="417" spans="19:22" x14ac:dyDescent="0.25">
      <c r="S417" t="s">
        <v>259</v>
      </c>
      <c r="T417" t="s">
        <v>344</v>
      </c>
      <c r="U417">
        <v>0.12379555124755859</v>
      </c>
      <c r="V417" t="s">
        <v>154</v>
      </c>
    </row>
    <row r="418" spans="19:22" x14ac:dyDescent="0.25">
      <c r="S418" t="s">
        <v>259</v>
      </c>
      <c r="T418" t="s">
        <v>345</v>
      </c>
      <c r="U418">
        <v>2.4673024064729484E-2</v>
      </c>
      <c r="V418" t="s">
        <v>154</v>
      </c>
    </row>
    <row r="419" spans="19:22" x14ac:dyDescent="0.25">
      <c r="S419" t="s">
        <v>260</v>
      </c>
      <c r="T419" t="s">
        <v>334</v>
      </c>
      <c r="U419">
        <v>0.14227908139974346</v>
      </c>
      <c r="V419" t="s">
        <v>154</v>
      </c>
    </row>
    <row r="420" spans="19:22" x14ac:dyDescent="0.25">
      <c r="S420" t="s">
        <v>260</v>
      </c>
      <c r="T420" t="s">
        <v>335</v>
      </c>
      <c r="U420">
        <v>0.15509672035170816</v>
      </c>
      <c r="V420" t="s">
        <v>154</v>
      </c>
    </row>
    <row r="421" spans="19:22" x14ac:dyDescent="0.25">
      <c r="S421" t="s">
        <v>260</v>
      </c>
      <c r="T421" t="s">
        <v>336</v>
      </c>
      <c r="U421">
        <v>2.8126241741397887E-2</v>
      </c>
      <c r="V421" t="s">
        <v>154</v>
      </c>
    </row>
    <row r="422" spans="19:22" x14ac:dyDescent="0.25">
      <c r="S422" t="s">
        <v>260</v>
      </c>
      <c r="T422" t="s">
        <v>337</v>
      </c>
      <c r="U422">
        <v>0.11994468821477833</v>
      </c>
      <c r="V422" t="s">
        <v>154</v>
      </c>
    </row>
    <row r="423" spans="19:22" x14ac:dyDescent="0.25">
      <c r="S423" t="s">
        <v>260</v>
      </c>
      <c r="T423" t="s">
        <v>338</v>
      </c>
      <c r="U423">
        <v>0.12103312222060608</v>
      </c>
      <c r="V423" t="s">
        <v>154</v>
      </c>
    </row>
    <row r="424" spans="19:22" x14ac:dyDescent="0.25">
      <c r="S424" t="s">
        <v>260</v>
      </c>
      <c r="T424" t="s">
        <v>339</v>
      </c>
      <c r="U424">
        <v>2.2548014242543428E-2</v>
      </c>
      <c r="V424" t="s">
        <v>154</v>
      </c>
    </row>
    <row r="425" spans="19:22" x14ac:dyDescent="0.25">
      <c r="S425" t="s">
        <v>260</v>
      </c>
      <c r="T425" t="s">
        <v>340</v>
      </c>
      <c r="U425">
        <v>5.0015542749703976E-2</v>
      </c>
      <c r="V425" t="s">
        <v>154</v>
      </c>
    </row>
    <row r="426" spans="19:22" x14ac:dyDescent="0.25">
      <c r="S426" t="s">
        <v>260</v>
      </c>
      <c r="T426" t="s">
        <v>341</v>
      </c>
      <c r="U426">
        <v>4.699820764187683E-2</v>
      </c>
      <c r="V426" t="s">
        <v>154</v>
      </c>
    </row>
    <row r="427" spans="19:22" x14ac:dyDescent="0.25">
      <c r="S427" t="s">
        <v>260</v>
      </c>
      <c r="T427" t="s">
        <v>342</v>
      </c>
      <c r="U427">
        <v>7.8693998901710194E-3</v>
      </c>
      <c r="V427" t="s">
        <v>154</v>
      </c>
    </row>
    <row r="428" spans="19:22" x14ac:dyDescent="0.25">
      <c r="S428" t="s">
        <v>260</v>
      </c>
      <c r="T428" t="s">
        <v>343</v>
      </c>
      <c r="U428">
        <v>0.13661427203564194</v>
      </c>
      <c r="V428" t="s">
        <v>154</v>
      </c>
    </row>
    <row r="429" spans="19:22" x14ac:dyDescent="0.25">
      <c r="S429" t="s">
        <v>260</v>
      </c>
      <c r="T429" t="s">
        <v>344</v>
      </c>
      <c r="U429">
        <v>0.141779366827187</v>
      </c>
      <c r="V429" t="s">
        <v>154</v>
      </c>
    </row>
    <row r="430" spans="19:22" x14ac:dyDescent="0.25">
      <c r="S430" t="s">
        <v>260</v>
      </c>
      <c r="T430" t="s">
        <v>345</v>
      </c>
      <c r="U430">
        <v>2.7695342684644228E-2</v>
      </c>
      <c r="V430" t="s">
        <v>154</v>
      </c>
    </row>
    <row r="431" spans="19:22" x14ac:dyDescent="0.25">
      <c r="S431" t="s">
        <v>261</v>
      </c>
      <c r="T431" t="s">
        <v>334</v>
      </c>
      <c r="U431">
        <v>0.16688168577218712</v>
      </c>
      <c r="V431" t="s">
        <v>154</v>
      </c>
    </row>
    <row r="432" spans="19:22" x14ac:dyDescent="0.25">
      <c r="S432" t="s">
        <v>261</v>
      </c>
      <c r="T432" t="s">
        <v>335</v>
      </c>
      <c r="U432">
        <v>0.16802851049160916</v>
      </c>
      <c r="V432" t="s">
        <v>154</v>
      </c>
    </row>
    <row r="433" spans="19:22" x14ac:dyDescent="0.25">
      <c r="S433" t="s">
        <v>261</v>
      </c>
      <c r="T433" t="s">
        <v>336</v>
      </c>
      <c r="U433">
        <v>3.2437733324113933E-2</v>
      </c>
      <c r="V433" t="s">
        <v>154</v>
      </c>
    </row>
    <row r="434" spans="19:22" x14ac:dyDescent="0.25">
      <c r="S434" t="s">
        <v>261</v>
      </c>
      <c r="T434" t="s">
        <v>337</v>
      </c>
      <c r="U434">
        <v>0.11563634790210951</v>
      </c>
      <c r="V434" t="s">
        <v>154</v>
      </c>
    </row>
    <row r="435" spans="19:22" x14ac:dyDescent="0.25">
      <c r="S435" t="s">
        <v>261</v>
      </c>
      <c r="T435" t="s">
        <v>338</v>
      </c>
      <c r="U435">
        <v>0.11191980281603706</v>
      </c>
      <c r="V435" t="s">
        <v>154</v>
      </c>
    </row>
    <row r="436" spans="19:22" x14ac:dyDescent="0.25">
      <c r="S436" t="s">
        <v>261</v>
      </c>
      <c r="T436" t="s">
        <v>339</v>
      </c>
      <c r="U436">
        <v>2.3413911481227557E-2</v>
      </c>
      <c r="V436" t="s">
        <v>154</v>
      </c>
    </row>
    <row r="437" spans="19:22" x14ac:dyDescent="0.25">
      <c r="S437" t="s">
        <v>261</v>
      </c>
      <c r="T437" t="s">
        <v>340</v>
      </c>
      <c r="U437">
        <v>4.7816401132837812E-2</v>
      </c>
      <c r="V437" t="s">
        <v>154</v>
      </c>
    </row>
    <row r="438" spans="19:22" x14ac:dyDescent="0.25">
      <c r="S438" t="s">
        <v>261</v>
      </c>
      <c r="T438" t="s">
        <v>341</v>
      </c>
      <c r="U438">
        <v>4.812836123433005E-2</v>
      </c>
      <c r="V438" t="s">
        <v>154</v>
      </c>
    </row>
    <row r="439" spans="19:22" x14ac:dyDescent="0.25">
      <c r="S439" t="s">
        <v>261</v>
      </c>
      <c r="T439" t="s">
        <v>342</v>
      </c>
      <c r="U439">
        <v>8.1984672016405819E-3</v>
      </c>
      <c r="V439" t="s">
        <v>154</v>
      </c>
    </row>
    <row r="440" spans="19:22" x14ac:dyDescent="0.25">
      <c r="S440" t="s">
        <v>261</v>
      </c>
      <c r="T440" t="s">
        <v>343</v>
      </c>
      <c r="U440">
        <v>0.12143613975103712</v>
      </c>
      <c r="V440" t="s">
        <v>154</v>
      </c>
    </row>
    <row r="441" spans="19:22" x14ac:dyDescent="0.25">
      <c r="S441" t="s">
        <v>261</v>
      </c>
      <c r="T441" t="s">
        <v>344</v>
      </c>
      <c r="U441">
        <v>0.13012538791060807</v>
      </c>
      <c r="V441" t="s">
        <v>154</v>
      </c>
    </row>
    <row r="442" spans="19:22" x14ac:dyDescent="0.25">
      <c r="S442" t="s">
        <v>261</v>
      </c>
      <c r="T442" t="s">
        <v>345</v>
      </c>
      <c r="U442">
        <v>2.597725098226298E-2</v>
      </c>
      <c r="V442" t="s">
        <v>154</v>
      </c>
    </row>
    <row r="443" spans="19:22" x14ac:dyDescent="0.25">
      <c r="S443" t="s">
        <v>262</v>
      </c>
      <c r="T443" t="s">
        <v>334</v>
      </c>
      <c r="U443">
        <v>0.17632081835513722</v>
      </c>
      <c r="V443" t="s">
        <v>154</v>
      </c>
    </row>
    <row r="444" spans="19:22" x14ac:dyDescent="0.25">
      <c r="S444" t="s">
        <v>262</v>
      </c>
      <c r="T444" t="s">
        <v>335</v>
      </c>
      <c r="U444">
        <v>0.17175470492869363</v>
      </c>
      <c r="V444" t="s">
        <v>154</v>
      </c>
    </row>
    <row r="445" spans="19:22" x14ac:dyDescent="0.25">
      <c r="S445" t="s">
        <v>262</v>
      </c>
      <c r="T445" t="s">
        <v>336</v>
      </c>
      <c r="U445">
        <v>3.3549465381566154E-2</v>
      </c>
      <c r="V445" t="s">
        <v>154</v>
      </c>
    </row>
    <row r="446" spans="19:22" x14ac:dyDescent="0.25">
      <c r="S446" t="s">
        <v>262</v>
      </c>
      <c r="T446" t="s">
        <v>337</v>
      </c>
      <c r="U446">
        <v>9.7629544989742301E-2</v>
      </c>
      <c r="V446" t="s">
        <v>154</v>
      </c>
    </row>
    <row r="447" spans="19:22" x14ac:dyDescent="0.25">
      <c r="S447" t="s">
        <v>262</v>
      </c>
      <c r="T447" t="s">
        <v>338</v>
      </c>
      <c r="U447">
        <v>9.7624503844465735E-2</v>
      </c>
      <c r="V447" t="s">
        <v>154</v>
      </c>
    </row>
    <row r="448" spans="19:22" x14ac:dyDescent="0.25">
      <c r="S448" t="s">
        <v>262</v>
      </c>
      <c r="T448" t="s">
        <v>339</v>
      </c>
      <c r="U448">
        <v>1.9633607998364042E-2</v>
      </c>
      <c r="V448" t="s">
        <v>154</v>
      </c>
    </row>
    <row r="449" spans="19:22" x14ac:dyDescent="0.25">
      <c r="S449" t="s">
        <v>262</v>
      </c>
      <c r="T449" t="s">
        <v>340</v>
      </c>
      <c r="U449">
        <v>4.389475060823856E-2</v>
      </c>
      <c r="V449" t="s">
        <v>154</v>
      </c>
    </row>
    <row r="450" spans="19:22" x14ac:dyDescent="0.25">
      <c r="S450" t="s">
        <v>262</v>
      </c>
      <c r="T450" t="s">
        <v>341</v>
      </c>
      <c r="U450">
        <v>4.5116500974774057E-2</v>
      </c>
      <c r="V450" t="s">
        <v>154</v>
      </c>
    </row>
    <row r="451" spans="19:22" x14ac:dyDescent="0.25">
      <c r="S451" t="s">
        <v>262</v>
      </c>
      <c r="T451" t="s">
        <v>342</v>
      </c>
      <c r="U451">
        <v>7.218459937726204E-3</v>
      </c>
      <c r="V451" t="s">
        <v>154</v>
      </c>
    </row>
    <row r="452" spans="19:22" x14ac:dyDescent="0.25">
      <c r="S452" t="s">
        <v>262</v>
      </c>
      <c r="T452" t="s">
        <v>343</v>
      </c>
      <c r="U452">
        <v>0.13454322185677997</v>
      </c>
      <c r="V452" t="s">
        <v>154</v>
      </c>
    </row>
    <row r="453" spans="19:22" x14ac:dyDescent="0.25">
      <c r="S453" t="s">
        <v>262</v>
      </c>
      <c r="T453" t="s">
        <v>344</v>
      </c>
      <c r="U453">
        <v>0.1447792177993048</v>
      </c>
      <c r="V453" t="s">
        <v>154</v>
      </c>
    </row>
    <row r="454" spans="19:22" x14ac:dyDescent="0.25">
      <c r="S454" t="s">
        <v>262</v>
      </c>
      <c r="T454" t="s">
        <v>345</v>
      </c>
      <c r="U454">
        <v>2.7935203325204019E-2</v>
      </c>
      <c r="V454" t="s">
        <v>154</v>
      </c>
    </row>
    <row r="455" spans="19:22" x14ac:dyDescent="0.25">
      <c r="S455" t="s">
        <v>263</v>
      </c>
      <c r="T455" t="s">
        <v>334</v>
      </c>
      <c r="U455">
        <v>0.12367773030313824</v>
      </c>
      <c r="V455" t="s">
        <v>154</v>
      </c>
    </row>
    <row r="456" spans="19:22" x14ac:dyDescent="0.25">
      <c r="S456" t="s">
        <v>263</v>
      </c>
      <c r="T456" t="s">
        <v>335</v>
      </c>
      <c r="U456">
        <v>0.12253304582624922</v>
      </c>
      <c r="V456" t="s">
        <v>154</v>
      </c>
    </row>
    <row r="457" spans="19:22" x14ac:dyDescent="0.25">
      <c r="S457" t="s">
        <v>263</v>
      </c>
      <c r="T457" t="s">
        <v>336</v>
      </c>
      <c r="U457">
        <v>2.2457491022958517E-2</v>
      </c>
      <c r="V457" t="s">
        <v>154</v>
      </c>
    </row>
    <row r="458" spans="19:22" x14ac:dyDescent="0.25">
      <c r="S458" t="s">
        <v>263</v>
      </c>
      <c r="T458" t="s">
        <v>337</v>
      </c>
      <c r="U458">
        <v>0.11618703580314534</v>
      </c>
      <c r="V458" t="s">
        <v>154</v>
      </c>
    </row>
    <row r="459" spans="19:22" x14ac:dyDescent="0.25">
      <c r="S459" t="s">
        <v>263</v>
      </c>
      <c r="T459" t="s">
        <v>338</v>
      </c>
      <c r="U459">
        <v>0.1161527832686408</v>
      </c>
      <c r="V459" t="s">
        <v>154</v>
      </c>
    </row>
    <row r="460" spans="19:22" x14ac:dyDescent="0.25">
      <c r="S460" t="s">
        <v>263</v>
      </c>
      <c r="T460" t="s">
        <v>339</v>
      </c>
      <c r="U460">
        <v>1.9525422572801855E-2</v>
      </c>
      <c r="V460" t="s">
        <v>154</v>
      </c>
    </row>
    <row r="461" spans="19:22" x14ac:dyDescent="0.25">
      <c r="S461" t="s">
        <v>263</v>
      </c>
      <c r="T461" t="s">
        <v>340</v>
      </c>
      <c r="U461">
        <v>8.1585666333126874E-2</v>
      </c>
      <c r="V461" t="s">
        <v>154</v>
      </c>
    </row>
    <row r="462" spans="19:22" x14ac:dyDescent="0.25">
      <c r="S462" t="s">
        <v>263</v>
      </c>
      <c r="T462" t="s">
        <v>341</v>
      </c>
      <c r="U462">
        <v>8.5448177770991757E-2</v>
      </c>
      <c r="V462" t="s">
        <v>154</v>
      </c>
    </row>
    <row r="463" spans="19:22" x14ac:dyDescent="0.25">
      <c r="S463" t="s">
        <v>263</v>
      </c>
      <c r="T463" t="s">
        <v>342</v>
      </c>
      <c r="U463">
        <v>1.4916338448570427E-2</v>
      </c>
      <c r="V463" t="s">
        <v>154</v>
      </c>
    </row>
    <row r="464" spans="19:22" x14ac:dyDescent="0.25">
      <c r="S464" t="s">
        <v>263</v>
      </c>
      <c r="T464" t="s">
        <v>343</v>
      </c>
      <c r="U464">
        <v>0.13779054152910422</v>
      </c>
      <c r="V464" t="s">
        <v>154</v>
      </c>
    </row>
    <row r="465" spans="19:22" x14ac:dyDescent="0.25">
      <c r="S465" t="s">
        <v>263</v>
      </c>
      <c r="T465" t="s">
        <v>344</v>
      </c>
      <c r="U465">
        <v>0.13598982261659012</v>
      </c>
      <c r="V465" t="s">
        <v>154</v>
      </c>
    </row>
    <row r="466" spans="19:22" x14ac:dyDescent="0.25">
      <c r="S466" t="s">
        <v>263</v>
      </c>
      <c r="T466" t="s">
        <v>345</v>
      </c>
      <c r="U466">
        <v>2.3735944504681812E-2</v>
      </c>
      <c r="V466" t="s">
        <v>154</v>
      </c>
    </row>
    <row r="467" spans="19:22" x14ac:dyDescent="0.25">
      <c r="S467" t="s">
        <v>264</v>
      </c>
      <c r="T467" t="s">
        <v>334</v>
      </c>
      <c r="U467">
        <v>0.10933616235583833</v>
      </c>
      <c r="V467" t="s">
        <v>154</v>
      </c>
    </row>
    <row r="468" spans="19:22" x14ac:dyDescent="0.25">
      <c r="S468" t="s">
        <v>264</v>
      </c>
      <c r="T468" t="s">
        <v>335</v>
      </c>
      <c r="U468">
        <v>0.11147182828142958</v>
      </c>
      <c r="V468" t="s">
        <v>154</v>
      </c>
    </row>
    <row r="469" spans="19:22" x14ac:dyDescent="0.25">
      <c r="S469" t="s">
        <v>264</v>
      </c>
      <c r="T469" t="s">
        <v>336</v>
      </c>
      <c r="U469">
        <v>2.2122261839464717E-2</v>
      </c>
      <c r="V469" t="s">
        <v>154</v>
      </c>
    </row>
    <row r="470" spans="19:22" x14ac:dyDescent="0.25">
      <c r="S470" t="s">
        <v>264</v>
      </c>
      <c r="T470" t="s">
        <v>337</v>
      </c>
      <c r="U470">
        <v>0.10992482754522703</v>
      </c>
      <c r="V470" t="s">
        <v>154</v>
      </c>
    </row>
    <row r="471" spans="19:22" x14ac:dyDescent="0.25">
      <c r="S471" t="s">
        <v>264</v>
      </c>
      <c r="T471" t="s">
        <v>338</v>
      </c>
      <c r="U471">
        <v>0.11656174199152271</v>
      </c>
      <c r="V471" t="s">
        <v>154</v>
      </c>
    </row>
    <row r="472" spans="19:22" x14ac:dyDescent="0.25">
      <c r="S472" t="s">
        <v>264</v>
      </c>
      <c r="T472" t="s">
        <v>339</v>
      </c>
      <c r="U472">
        <v>2.288333531158937E-2</v>
      </c>
      <c r="V472" t="s">
        <v>154</v>
      </c>
    </row>
    <row r="473" spans="19:22" x14ac:dyDescent="0.25">
      <c r="S473" t="s">
        <v>264</v>
      </c>
      <c r="T473" t="s">
        <v>340</v>
      </c>
      <c r="U473">
        <v>6.9313005611731898E-2</v>
      </c>
      <c r="V473" t="s">
        <v>154</v>
      </c>
    </row>
    <row r="474" spans="19:22" x14ac:dyDescent="0.25">
      <c r="S474" t="s">
        <v>264</v>
      </c>
      <c r="T474" t="s">
        <v>341</v>
      </c>
      <c r="U474">
        <v>7.3054740448892125E-2</v>
      </c>
      <c r="V474" t="s">
        <v>154</v>
      </c>
    </row>
    <row r="475" spans="19:22" x14ac:dyDescent="0.25">
      <c r="S475" t="s">
        <v>264</v>
      </c>
      <c r="T475" t="s">
        <v>342</v>
      </c>
      <c r="U475">
        <v>1.6604723513442186E-2</v>
      </c>
      <c r="V475" t="s">
        <v>154</v>
      </c>
    </row>
    <row r="476" spans="19:22" x14ac:dyDescent="0.25">
      <c r="S476" t="s">
        <v>264</v>
      </c>
      <c r="T476" t="s">
        <v>343</v>
      </c>
      <c r="U476">
        <v>0.15404149986458499</v>
      </c>
      <c r="V476" t="s">
        <v>154</v>
      </c>
    </row>
    <row r="477" spans="19:22" x14ac:dyDescent="0.25">
      <c r="S477" t="s">
        <v>264</v>
      </c>
      <c r="T477" t="s">
        <v>344</v>
      </c>
      <c r="U477">
        <v>0.1648479476304093</v>
      </c>
      <c r="V477" t="s">
        <v>154</v>
      </c>
    </row>
    <row r="478" spans="19:22" x14ac:dyDescent="0.25">
      <c r="S478" t="s">
        <v>264</v>
      </c>
      <c r="T478" t="s">
        <v>345</v>
      </c>
      <c r="U478">
        <v>2.983792560587116E-2</v>
      </c>
      <c r="V478" t="s">
        <v>154</v>
      </c>
    </row>
    <row r="479" spans="19:22" x14ac:dyDescent="0.25">
      <c r="S479" t="s">
        <v>265</v>
      </c>
      <c r="T479" t="s">
        <v>334</v>
      </c>
      <c r="U479">
        <v>0.12357617819538406</v>
      </c>
      <c r="V479" t="s">
        <v>154</v>
      </c>
    </row>
    <row r="480" spans="19:22" x14ac:dyDescent="0.25">
      <c r="S480" t="s">
        <v>265</v>
      </c>
      <c r="T480" t="s">
        <v>335</v>
      </c>
      <c r="U480">
        <v>0.12274257874878165</v>
      </c>
      <c r="V480" t="s">
        <v>154</v>
      </c>
    </row>
    <row r="481" spans="19:22" x14ac:dyDescent="0.25">
      <c r="S481" t="s">
        <v>265</v>
      </c>
      <c r="T481" t="s">
        <v>336</v>
      </c>
      <c r="U481">
        <v>2.3030883344077685E-2</v>
      </c>
      <c r="V481" t="s">
        <v>154</v>
      </c>
    </row>
    <row r="482" spans="19:22" x14ac:dyDescent="0.25">
      <c r="S482" t="s">
        <v>265</v>
      </c>
      <c r="T482" t="s">
        <v>337</v>
      </c>
      <c r="U482">
        <v>0.11303992616829441</v>
      </c>
      <c r="V482" t="s">
        <v>154</v>
      </c>
    </row>
    <row r="483" spans="19:22" x14ac:dyDescent="0.25">
      <c r="S483" t="s">
        <v>265</v>
      </c>
      <c r="T483" t="s">
        <v>338</v>
      </c>
      <c r="U483">
        <v>0.1153862256994151</v>
      </c>
      <c r="V483" t="s">
        <v>154</v>
      </c>
    </row>
    <row r="484" spans="19:22" x14ac:dyDescent="0.25">
      <c r="S484" t="s">
        <v>265</v>
      </c>
      <c r="T484" t="s">
        <v>339</v>
      </c>
      <c r="U484">
        <v>2.1093357307443269E-2</v>
      </c>
      <c r="V484" t="s">
        <v>154</v>
      </c>
    </row>
    <row r="485" spans="19:22" x14ac:dyDescent="0.25">
      <c r="S485" t="s">
        <v>265</v>
      </c>
      <c r="T485" t="s">
        <v>340</v>
      </c>
      <c r="U485">
        <v>8.4995886087014402E-2</v>
      </c>
      <c r="V485" t="s">
        <v>154</v>
      </c>
    </row>
    <row r="486" spans="19:22" x14ac:dyDescent="0.25">
      <c r="S486" t="s">
        <v>265</v>
      </c>
      <c r="T486" t="s">
        <v>341</v>
      </c>
      <c r="U486">
        <v>8.504840412602914E-2</v>
      </c>
      <c r="V486" t="s">
        <v>154</v>
      </c>
    </row>
    <row r="487" spans="19:22" x14ac:dyDescent="0.25">
      <c r="S487" t="s">
        <v>265</v>
      </c>
      <c r="T487" t="s">
        <v>342</v>
      </c>
      <c r="U487">
        <v>1.5740728795759898E-2</v>
      </c>
      <c r="V487" t="s">
        <v>154</v>
      </c>
    </row>
    <row r="488" spans="19:22" x14ac:dyDescent="0.25">
      <c r="S488" t="s">
        <v>265</v>
      </c>
      <c r="T488" t="s">
        <v>343</v>
      </c>
      <c r="U488">
        <v>0.13723838401812341</v>
      </c>
      <c r="V488" t="s">
        <v>154</v>
      </c>
    </row>
    <row r="489" spans="19:22" x14ac:dyDescent="0.25">
      <c r="S489" t="s">
        <v>265</v>
      </c>
      <c r="T489" t="s">
        <v>344</v>
      </c>
      <c r="U489">
        <v>0.13384430851190499</v>
      </c>
      <c r="V489" t="s">
        <v>154</v>
      </c>
    </row>
    <row r="490" spans="19:22" x14ac:dyDescent="0.25">
      <c r="S490" t="s">
        <v>265</v>
      </c>
      <c r="T490" t="s">
        <v>345</v>
      </c>
      <c r="U490">
        <v>2.4263138997772729E-2</v>
      </c>
      <c r="V490" t="s">
        <v>154</v>
      </c>
    </row>
    <row r="491" spans="19:22" x14ac:dyDescent="0.25">
      <c r="S491" t="s">
        <v>266</v>
      </c>
      <c r="T491" t="s">
        <v>334</v>
      </c>
      <c r="U491">
        <v>9.6037475252159263E-2</v>
      </c>
      <c r="V491" t="s">
        <v>154</v>
      </c>
    </row>
    <row r="492" spans="19:22" x14ac:dyDescent="0.25">
      <c r="S492" t="s">
        <v>266</v>
      </c>
      <c r="T492" t="s">
        <v>335</v>
      </c>
      <c r="U492">
        <v>0.1135679764001902</v>
      </c>
      <c r="V492" t="s">
        <v>154</v>
      </c>
    </row>
    <row r="493" spans="19:22" x14ac:dyDescent="0.25">
      <c r="S493" t="s">
        <v>266</v>
      </c>
      <c r="T493" t="s">
        <v>336</v>
      </c>
      <c r="U493">
        <v>2.0760336063420266E-2</v>
      </c>
      <c r="V493" t="s">
        <v>154</v>
      </c>
    </row>
    <row r="494" spans="19:22" x14ac:dyDescent="0.25">
      <c r="S494" t="s">
        <v>266</v>
      </c>
      <c r="T494" t="s">
        <v>337</v>
      </c>
      <c r="U494">
        <v>0.12591990898440503</v>
      </c>
      <c r="V494" t="s">
        <v>154</v>
      </c>
    </row>
    <row r="495" spans="19:22" x14ac:dyDescent="0.25">
      <c r="S495" t="s">
        <v>266</v>
      </c>
      <c r="T495" t="s">
        <v>338</v>
      </c>
      <c r="U495">
        <v>0.13516622448632898</v>
      </c>
      <c r="V495" t="s">
        <v>154</v>
      </c>
    </row>
    <row r="496" spans="19:22" x14ac:dyDescent="0.25">
      <c r="S496" t="s">
        <v>266</v>
      </c>
      <c r="T496" t="s">
        <v>339</v>
      </c>
      <c r="U496">
        <v>2.7252630753765175E-2</v>
      </c>
      <c r="V496" t="s">
        <v>154</v>
      </c>
    </row>
    <row r="497" spans="19:22" x14ac:dyDescent="0.25">
      <c r="S497" t="s">
        <v>266</v>
      </c>
      <c r="T497" t="s">
        <v>340</v>
      </c>
      <c r="U497">
        <v>6.460844068368557E-2</v>
      </c>
      <c r="V497" t="s">
        <v>154</v>
      </c>
    </row>
    <row r="498" spans="19:22" x14ac:dyDescent="0.25">
      <c r="S498" t="s">
        <v>266</v>
      </c>
      <c r="T498" t="s">
        <v>341</v>
      </c>
      <c r="U498">
        <v>6.4775522551312248E-2</v>
      </c>
      <c r="V498" t="s">
        <v>154</v>
      </c>
    </row>
    <row r="499" spans="19:22" x14ac:dyDescent="0.25">
      <c r="S499" t="s">
        <v>266</v>
      </c>
      <c r="T499" t="s">
        <v>342</v>
      </c>
      <c r="U499">
        <v>1.3339529946921265E-2</v>
      </c>
      <c r="V499" t="s">
        <v>154</v>
      </c>
    </row>
    <row r="500" spans="19:22" x14ac:dyDescent="0.25">
      <c r="S500" t="s">
        <v>266</v>
      </c>
      <c r="T500" t="s">
        <v>343</v>
      </c>
      <c r="U500">
        <v>0.15427219070846013</v>
      </c>
      <c r="V500" t="s">
        <v>154</v>
      </c>
    </row>
    <row r="501" spans="19:22" x14ac:dyDescent="0.25">
      <c r="S501" t="s">
        <v>266</v>
      </c>
      <c r="T501" t="s">
        <v>344</v>
      </c>
      <c r="U501">
        <v>0.15565162332776322</v>
      </c>
      <c r="V501" t="s">
        <v>154</v>
      </c>
    </row>
    <row r="502" spans="19:22" x14ac:dyDescent="0.25">
      <c r="S502" t="s">
        <v>266</v>
      </c>
      <c r="T502" t="s">
        <v>345</v>
      </c>
      <c r="U502">
        <v>2.8648140841592899E-2</v>
      </c>
      <c r="V502" t="s">
        <v>154</v>
      </c>
    </row>
    <row r="503" spans="19:22" x14ac:dyDescent="0.25">
      <c r="S503" t="s">
        <v>267</v>
      </c>
      <c r="T503" t="s">
        <v>334</v>
      </c>
      <c r="U503">
        <v>9.7351965761757683E-2</v>
      </c>
      <c r="V503" t="s">
        <v>154</v>
      </c>
    </row>
    <row r="504" spans="19:22" x14ac:dyDescent="0.25">
      <c r="S504" t="s">
        <v>267</v>
      </c>
      <c r="T504" t="s">
        <v>335</v>
      </c>
      <c r="U504">
        <v>0.11385718257512351</v>
      </c>
      <c r="V504" t="s">
        <v>154</v>
      </c>
    </row>
    <row r="505" spans="19:22" x14ac:dyDescent="0.25">
      <c r="S505" t="s">
        <v>267</v>
      </c>
      <c r="T505" t="s">
        <v>336</v>
      </c>
      <c r="U505">
        <v>2.1565112955793164E-2</v>
      </c>
      <c r="V505" t="s">
        <v>154</v>
      </c>
    </row>
    <row r="506" spans="19:22" x14ac:dyDescent="0.25">
      <c r="S506" t="s">
        <v>267</v>
      </c>
      <c r="T506" t="s">
        <v>337</v>
      </c>
      <c r="U506">
        <v>0.1343961648011136</v>
      </c>
      <c r="V506" t="s">
        <v>154</v>
      </c>
    </row>
    <row r="507" spans="19:22" x14ac:dyDescent="0.25">
      <c r="S507" t="s">
        <v>267</v>
      </c>
      <c r="T507" t="s">
        <v>338</v>
      </c>
      <c r="U507">
        <v>0.13253790264688656</v>
      </c>
      <c r="V507" t="s">
        <v>154</v>
      </c>
    </row>
    <row r="508" spans="19:22" x14ac:dyDescent="0.25">
      <c r="S508" t="s">
        <v>267</v>
      </c>
      <c r="T508" t="s">
        <v>339</v>
      </c>
      <c r="U508">
        <v>2.8057295016117343E-2</v>
      </c>
      <c r="V508" t="s">
        <v>154</v>
      </c>
    </row>
    <row r="509" spans="19:22" x14ac:dyDescent="0.25">
      <c r="S509" t="s">
        <v>267</v>
      </c>
      <c r="T509" t="s">
        <v>340</v>
      </c>
      <c r="U509">
        <v>6.2466926750706218E-2</v>
      </c>
      <c r="V509" t="s">
        <v>154</v>
      </c>
    </row>
    <row r="510" spans="19:22" x14ac:dyDescent="0.25">
      <c r="S510" t="s">
        <v>267</v>
      </c>
      <c r="T510" t="s">
        <v>341</v>
      </c>
      <c r="U510">
        <v>5.7696067395204241E-2</v>
      </c>
      <c r="V510" t="s">
        <v>154</v>
      </c>
    </row>
    <row r="511" spans="19:22" x14ac:dyDescent="0.25">
      <c r="S511" t="s">
        <v>267</v>
      </c>
      <c r="T511" t="s">
        <v>342</v>
      </c>
      <c r="U511">
        <v>1.3143907698043489E-2</v>
      </c>
      <c r="V511" t="s">
        <v>154</v>
      </c>
    </row>
    <row r="512" spans="19:22" x14ac:dyDescent="0.25">
      <c r="S512" t="s">
        <v>267</v>
      </c>
      <c r="T512" t="s">
        <v>343</v>
      </c>
      <c r="U512">
        <v>0.15821027469313703</v>
      </c>
      <c r="V512" t="s">
        <v>154</v>
      </c>
    </row>
    <row r="513" spans="19:22" x14ac:dyDescent="0.25">
      <c r="S513" t="s">
        <v>267</v>
      </c>
      <c r="T513" t="s">
        <v>344</v>
      </c>
      <c r="U513">
        <v>0.15108589895790051</v>
      </c>
      <c r="V513" t="s">
        <v>154</v>
      </c>
    </row>
    <row r="514" spans="19:22" x14ac:dyDescent="0.25">
      <c r="S514" t="s">
        <v>267</v>
      </c>
      <c r="T514" t="s">
        <v>345</v>
      </c>
      <c r="U514">
        <v>2.9631300748222848E-2</v>
      </c>
      <c r="V514" t="s">
        <v>154</v>
      </c>
    </row>
    <row r="515" spans="19:22" x14ac:dyDescent="0.25">
      <c r="S515" t="s">
        <v>268</v>
      </c>
      <c r="T515" t="s">
        <v>334</v>
      </c>
      <c r="U515">
        <v>0.10155322072640111</v>
      </c>
      <c r="V515" t="s">
        <v>154</v>
      </c>
    </row>
    <row r="516" spans="19:22" x14ac:dyDescent="0.25">
      <c r="S516" t="s">
        <v>268</v>
      </c>
      <c r="T516" t="s">
        <v>335</v>
      </c>
      <c r="U516">
        <v>0.1155339623133792</v>
      </c>
      <c r="V516" t="s">
        <v>154</v>
      </c>
    </row>
    <row r="517" spans="19:22" x14ac:dyDescent="0.25">
      <c r="S517" t="s">
        <v>268</v>
      </c>
      <c r="T517" t="s">
        <v>336</v>
      </c>
      <c r="U517">
        <v>2.1677853583937479E-2</v>
      </c>
      <c r="V517" t="s">
        <v>154</v>
      </c>
    </row>
    <row r="518" spans="19:22" x14ac:dyDescent="0.25">
      <c r="S518" t="s">
        <v>268</v>
      </c>
      <c r="T518" t="s">
        <v>337</v>
      </c>
      <c r="U518">
        <v>0.12873809586100468</v>
      </c>
      <c r="V518" t="s">
        <v>154</v>
      </c>
    </row>
    <row r="519" spans="19:22" x14ac:dyDescent="0.25">
      <c r="S519" t="s">
        <v>268</v>
      </c>
      <c r="T519" t="s">
        <v>338</v>
      </c>
      <c r="U519">
        <v>0.14157324948526917</v>
      </c>
      <c r="V519" t="s">
        <v>154</v>
      </c>
    </row>
    <row r="520" spans="19:22" x14ac:dyDescent="0.25">
      <c r="S520" t="s">
        <v>268</v>
      </c>
      <c r="T520" t="s">
        <v>339</v>
      </c>
      <c r="U520">
        <v>2.8769702215077058E-2</v>
      </c>
      <c r="V520" t="s">
        <v>154</v>
      </c>
    </row>
    <row r="521" spans="19:22" x14ac:dyDescent="0.25">
      <c r="S521" t="s">
        <v>268</v>
      </c>
      <c r="T521" t="s">
        <v>340</v>
      </c>
      <c r="U521">
        <v>6.3663782364013308E-2</v>
      </c>
      <c r="V521" t="s">
        <v>154</v>
      </c>
    </row>
    <row r="522" spans="19:22" x14ac:dyDescent="0.25">
      <c r="S522" t="s">
        <v>268</v>
      </c>
      <c r="T522" t="s">
        <v>341</v>
      </c>
      <c r="U522">
        <v>6.5501250072768316E-2</v>
      </c>
      <c r="V522" t="s">
        <v>154</v>
      </c>
    </row>
    <row r="523" spans="19:22" x14ac:dyDescent="0.25">
      <c r="S523" t="s">
        <v>268</v>
      </c>
      <c r="T523" t="s">
        <v>342</v>
      </c>
      <c r="U523">
        <v>1.4674001589322888E-2</v>
      </c>
      <c r="V523" t="s">
        <v>154</v>
      </c>
    </row>
    <row r="524" spans="19:22" x14ac:dyDescent="0.25">
      <c r="S524" t="s">
        <v>268</v>
      </c>
      <c r="T524" t="s">
        <v>343</v>
      </c>
      <c r="U524">
        <v>0.1418666281355932</v>
      </c>
      <c r="V524" t="s">
        <v>154</v>
      </c>
    </row>
    <row r="525" spans="19:22" x14ac:dyDescent="0.25">
      <c r="S525" t="s">
        <v>268</v>
      </c>
      <c r="T525" t="s">
        <v>344</v>
      </c>
      <c r="U525">
        <v>0.15000069118811149</v>
      </c>
      <c r="V525" t="s">
        <v>154</v>
      </c>
    </row>
    <row r="526" spans="19:22" x14ac:dyDescent="0.25">
      <c r="S526" t="s">
        <v>268</v>
      </c>
      <c r="T526" t="s">
        <v>345</v>
      </c>
      <c r="U526">
        <v>2.644756246512258E-2</v>
      </c>
      <c r="V526" t="s">
        <v>154</v>
      </c>
    </row>
    <row r="527" spans="19:22" x14ac:dyDescent="0.25">
      <c r="S527" t="s">
        <v>269</v>
      </c>
      <c r="T527" t="s">
        <v>334</v>
      </c>
      <c r="U527">
        <v>0.11492361931463811</v>
      </c>
      <c r="V527" t="s">
        <v>154</v>
      </c>
    </row>
    <row r="528" spans="19:22" x14ac:dyDescent="0.25">
      <c r="S528" t="s">
        <v>269</v>
      </c>
      <c r="T528" t="s">
        <v>335</v>
      </c>
      <c r="U528">
        <v>0.12079201369344719</v>
      </c>
      <c r="V528" t="s">
        <v>154</v>
      </c>
    </row>
    <row r="529" spans="19:22" x14ac:dyDescent="0.25">
      <c r="S529" t="s">
        <v>269</v>
      </c>
      <c r="T529" t="s">
        <v>336</v>
      </c>
      <c r="U529">
        <v>2.2252411271996869E-2</v>
      </c>
      <c r="V529" t="s">
        <v>154</v>
      </c>
    </row>
    <row r="530" spans="19:22" x14ac:dyDescent="0.25">
      <c r="S530" t="s">
        <v>269</v>
      </c>
      <c r="T530" t="s">
        <v>337</v>
      </c>
      <c r="U530">
        <v>0.12522131295382799</v>
      </c>
      <c r="V530" t="s">
        <v>154</v>
      </c>
    </row>
    <row r="531" spans="19:22" x14ac:dyDescent="0.25">
      <c r="S531" t="s">
        <v>269</v>
      </c>
      <c r="T531" t="s">
        <v>338</v>
      </c>
      <c r="U531">
        <v>0.14227870730414771</v>
      </c>
      <c r="V531" t="s">
        <v>154</v>
      </c>
    </row>
    <row r="532" spans="19:22" x14ac:dyDescent="0.25">
      <c r="S532" t="s">
        <v>269</v>
      </c>
      <c r="T532" t="s">
        <v>339</v>
      </c>
      <c r="U532">
        <v>2.6063732478521191E-2</v>
      </c>
      <c r="V532" t="s">
        <v>154</v>
      </c>
    </row>
    <row r="533" spans="19:22" x14ac:dyDescent="0.25">
      <c r="S533" t="s">
        <v>269</v>
      </c>
      <c r="T533" t="s">
        <v>340</v>
      </c>
      <c r="U533">
        <v>7.686361427969618E-2</v>
      </c>
      <c r="V533" t="s">
        <v>154</v>
      </c>
    </row>
    <row r="534" spans="19:22" x14ac:dyDescent="0.25">
      <c r="S534" t="s">
        <v>269</v>
      </c>
      <c r="T534" t="s">
        <v>341</v>
      </c>
      <c r="U534">
        <v>8.8473798427445696E-2</v>
      </c>
      <c r="V534" t="s">
        <v>154</v>
      </c>
    </row>
    <row r="535" spans="19:22" x14ac:dyDescent="0.25">
      <c r="S535" t="s">
        <v>269</v>
      </c>
      <c r="T535" t="s">
        <v>342</v>
      </c>
      <c r="U535">
        <v>1.6967556536099129E-2</v>
      </c>
      <c r="V535" t="s">
        <v>154</v>
      </c>
    </row>
    <row r="536" spans="19:22" x14ac:dyDescent="0.25">
      <c r="S536" t="s">
        <v>269</v>
      </c>
      <c r="T536" t="s">
        <v>343</v>
      </c>
      <c r="U536">
        <v>0.11893140398860784</v>
      </c>
      <c r="V536" t="s">
        <v>154</v>
      </c>
    </row>
    <row r="537" spans="19:22" x14ac:dyDescent="0.25">
      <c r="S537" t="s">
        <v>269</v>
      </c>
      <c r="T537" t="s">
        <v>344</v>
      </c>
      <c r="U537">
        <v>0.12714807857279994</v>
      </c>
      <c r="V537" t="s">
        <v>154</v>
      </c>
    </row>
    <row r="538" spans="19:22" x14ac:dyDescent="0.25">
      <c r="S538" t="s">
        <v>269</v>
      </c>
      <c r="T538" t="s">
        <v>345</v>
      </c>
      <c r="U538">
        <v>2.0083751178768892E-2</v>
      </c>
      <c r="V53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2026-05-14T10:11:49Z</dcterms:modified>
</cp:coreProperties>
</file>