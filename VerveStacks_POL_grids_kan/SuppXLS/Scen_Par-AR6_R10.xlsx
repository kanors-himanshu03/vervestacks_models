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13_ncr:1_{4F524F41-7F0F-4374-BC7D-C254D20E6C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9" i="1"/>
  <c r="D9" i="1"/>
  <c r="D10" i="1"/>
  <c r="D11" i="1"/>
  <c r="D12" i="1"/>
  <c r="D1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2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L19" i="1" l="1"/>
  <c r="N21" i="1"/>
  <c r="M24" i="1"/>
  <c r="X24" i="1" s="1"/>
  <c r="O24" i="1"/>
  <c r="Z24" i="1" s="1"/>
  <c r="O19" i="1"/>
  <c r="K15" i="1"/>
  <c r="V14" i="1" s="1"/>
  <c r="M18" i="1"/>
  <c r="N18" i="1"/>
  <c r="L24" i="1"/>
  <c r="W24" i="1" s="1"/>
  <c r="N19" i="1"/>
  <c r="J15" i="1"/>
  <c r="U14" i="1" s="1"/>
  <c r="I21" i="1"/>
  <c r="T21" i="1" s="1"/>
  <c r="U21" i="1" s="1"/>
  <c r="V21" i="1" s="1"/>
  <c r="W21" i="1" s="1"/>
  <c r="X21" i="1" s="1"/>
  <c r="Y21" i="1" s="1"/>
  <c r="Z21" i="1" s="1"/>
  <c r="L15" i="1"/>
  <c r="W14" i="1" s="1"/>
  <c r="K18" i="1"/>
  <c r="V18" i="1" s="1"/>
  <c r="N15" i="1"/>
  <c r="Y14" i="1" s="1"/>
  <c r="O21" i="1"/>
  <c r="O20" i="1"/>
  <c r="K24" i="1"/>
  <c r="V24" i="1" s="1"/>
  <c r="O15" i="1"/>
  <c r="Z14" i="1" s="1"/>
  <c r="Z20" i="1" s="1"/>
  <c r="J19" i="1"/>
  <c r="U19" i="1" s="1"/>
  <c r="J18" i="1"/>
  <c r="K19" i="1"/>
  <c r="L21" i="1"/>
  <c r="I20" i="1"/>
  <c r="T20" i="1" s="1"/>
  <c r="O18" i="1"/>
  <c r="I15" i="1"/>
  <c r="I19" i="1"/>
  <c r="T19" i="1" s="1"/>
  <c r="J20" i="1"/>
  <c r="I18" i="1"/>
  <c r="T18" i="1" s="1"/>
  <c r="K21" i="1"/>
  <c r="L18" i="1"/>
  <c r="L20" i="1"/>
  <c r="M19" i="1"/>
  <c r="M20" i="1"/>
  <c r="N20" i="1"/>
  <c r="K20" i="1"/>
  <c r="V20" i="1" s="1"/>
  <c r="J21" i="1"/>
  <c r="M15" i="1"/>
  <c r="X14" i="1" s="1"/>
  <c r="X20" i="1" s="1"/>
  <c r="M21" i="1"/>
  <c r="N24" i="1"/>
  <c r="Y24" i="1" s="1"/>
  <c r="O48" i="1"/>
  <c r="D5" i="1"/>
  <c r="AJ59" i="1"/>
  <c r="AJ55" i="1"/>
  <c r="Z19" i="1" l="1"/>
  <c r="Z22" i="1" s="1"/>
  <c r="X19" i="1"/>
  <c r="X22" i="1" s="1"/>
  <c r="U18" i="1"/>
  <c r="W20" i="1"/>
  <c r="Y19" i="1"/>
  <c r="Y18" i="1"/>
  <c r="Y20" i="1"/>
  <c r="Y22" i="1" s="1"/>
  <c r="W18" i="1"/>
  <c r="X18" i="1"/>
  <c r="U20" i="1"/>
  <c r="U22" i="1" s="1"/>
  <c r="V19" i="1"/>
  <c r="V22" i="1"/>
  <c r="W19" i="1"/>
  <c r="T22" i="1"/>
  <c r="Z18" i="1"/>
  <c r="AJ60" i="1"/>
  <c r="AJ64" i="1"/>
  <c r="W22" i="1" l="1"/>
  <c r="AJ69" i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<sst xmlns="http://schemas.openxmlformats.org/spreadsheetml/2006/main" count="1565" uniqueCount="123">
  <si>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</si>
  <si>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</si>
  <si>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</si>
  <si>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</si>
  <si>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</si>
  <si>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</si>
  <si>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</si>
  <si>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</si>
  <si>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</si>
  <si>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</si>
  <si>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</si>
  <si>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</si>
  <si>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</si>
  <si>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</si>
  <si>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</si>
  <si>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</si>
  <si>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</si>
  <si>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</si>
  <si>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</si>
  <si>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</si>
  <si>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</si>
  <si>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</si>
  <si>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</si>
  <si>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</si>
  <si>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</si>
  <si>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</si>
  <si>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</si>
  <si>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</si>
  <si>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</si>
  <si>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</si>
  <si>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</si>
  <si>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</si>
  <si>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</si>
  <si>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</si>
  <si>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</si>
  <si>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</si>
  <si>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</si>
  <si>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</si>
  <si>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</si>
  <si>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</si>
  <si>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</si>
  <si>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</si>
  <si>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</si>
  <si>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</si>
  <si>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</si>
  <si>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</si>
  <si>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</si>
  <si>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</si>
  <si>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</si>
  <si>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</si>
  <si>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</si>
  <si>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</si>
  <si>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</si>
  <si>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</si>
  <si>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</si>
  <si>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</si>
  <si>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</si>
  <si>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</si>
  <si>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</si>
  <si>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</si>
  <si>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</si>
  <si>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</si>
  <si>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</si>
  <si>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</si>
  <si>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</si>
  <si>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</si>
  <si>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</si>
  <si>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</si>
  <si>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</si>
  <si>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</si>
  <si>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</si>
  <si>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</si>
  <si>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</si>
  <si>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</si>
  <si>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</si>
  <si>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</si>
  <si>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</si>
  <si>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</si>
  <si>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</si>
  <si>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</si>
  <si>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</si>
  <si>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</si>
  <si>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</si>
  <si>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</si>
  <si>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</si>
  <si>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</si>
  <si>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</si>
  <si>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</si>
  <si>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</si>
  <si>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</si>
  <si>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</si>
  <si>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</si>
  <si>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</si>
  <si>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</si>
  <si>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</si>
  <si>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</si>
  <si>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</si>
  <si>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</si>
  <si>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</si>
  <si>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</si>
  <si>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</si>
  <si>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</si>
  <si>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</si>
  <si>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</si>
  <si>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</si>
  <si>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</si>
  <si>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</si>
  <si>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</si>
  <si>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</si>
  <si>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</si>
  <si>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</si>
  <si>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</si>
  <si>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</si>
  <si>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</si>
  <si>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</si>
  <si>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</si>
  <si>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POL</t>
  </si>
  <si>
    <t>R10EUROPE</t>
  </si>
  <si>
    <t>Pipeline gas, coal &amp; forest resources</t>
  </si>
  <si>
    <t>1-25,36-40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</si>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</sst>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6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9" fillId="0" borderId="0" xfId="0" applyFont="1"/>
    <xf numFmtId="0" fontId="0" fillId="5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233.67960000000002</c:v>
                </c:pt>
                <c:pt idx="4">
                  <c:v>265.54500000000002</c:v>
                </c:pt>
                <c:pt idx="5">
                  <c:v>297.41039999999998</c:v>
                </c:pt>
                <c:pt idx="6">
                  <c:v>320.42430000000002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C18" sqref="C18"/>
    </sheetView>
  </sheetViews>
  <sheetFormatPr defaultRowHeight="15" x14ac:dyDescent="0.25"/>
  <cols>
    <col min="1" max="1" width="6.4257812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15" t="s">
        <v>119</v>
      </c>
    </row>
    <row r="2" spans="1:39" x14ac:dyDescent="0.25">
      <c r="D2" s="1" t="str">
        <f>"~Inputcell: "&amp;_xlfn.TEXTJOIN(",",TRUE,G1:EE1)</f>
        <v>~Inputcell: 1-25,36-40</v>
      </c>
    </row>
    <row r="3" spans="1:39" x14ac:dyDescent="0.25">
      <c r="D3" s="9">
        <v>3</v>
      </c>
    </row>
    <row r="5" spans="1:39" x14ac:dyDescent="0.2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25">
      <c r="B7" s="13" t="s">
        <v>95</v>
      </c>
    </row>
    <row r="8" spans="1:39" ht="15.75" thickBot="1" x14ac:dyDescent="0.3">
      <c r="A8" s="4" t="s">
        <v>100</v>
      </c>
      <c r="B8" s="4" t="s">
        <v>96</v>
      </c>
      <c r="C8" s="4" t="s">
        <v>97</v>
      </c>
      <c r="D8" s="4" t="s">
        <v>98</v>
      </c>
      <c r="E8" s="4" t="s">
        <v>99</v>
      </c>
      <c r="AM8" s="2" t="s">
        <v>105</v>
      </c>
    </row>
    <row r="9" spans="1:39" x14ac:dyDescent="0.25">
      <c r="A9">
        <v>5</v>
      </c>
      <c r="B9" t="str">
        <f>VLOOKUP(E9,$AK$9:$AL$15,2,FALSE)</f>
        <v>e 1.5 deg no OS</v>
      </c>
      <c r="C9">
        <v>1</v>
      </c>
      <c r="D9" t="str">
        <f>VLOOKUP(AJ9,$AG$9:$AH$22,2,FALSE)</f>
        <v>ts_annual</v>
      </c>
      <c r="E9" s="14" t="s">
        <v>0</v>
      </c>
      <c r="G9" t="s">
        <v>1</v>
      </c>
      <c r="AG9">
        <v>1</v>
      </c>
      <c r="AH9" t="s">
        <v>86</v>
      </c>
      <c r="AI9" t="s">
        <v>115</v>
      </c>
      <c r="AJ9" s="10">
        <v>1</v>
      </c>
      <c r="AK9" t="s">
        <v>0</v>
      </c>
      <c r="AL9" t="s">
        <v>88</v>
      </c>
      <c r="AM9" s="12">
        <v>5</v>
      </c>
    </row>
    <row r="10" spans="1:39" x14ac:dyDescent="0.25">
      <c r="A10">
        <v>5</v>
      </c>
      <c r="B10" t="str">
        <f t="shared" ref="B10:B13" si="0">VLOOKUP(E10,$AK$9:$AL$15,2,FALSE)</f>
        <v>d 1.5 deg OS</v>
      </c>
      <c r="C10">
        <f>C9+1</f>
        <v>2</v>
      </c>
      <c r="D10" t="str">
        <f t="shared" ref="D10:D13" si="1">VLOOKUP(AJ10,$AG$9:$AH$22,2,FALSE)</f>
        <v>ts_annual</v>
      </c>
      <c r="E10" s="14" t="s">
        <v>2</v>
      </c>
      <c r="G10" t="s">
        <v>3</v>
      </c>
      <c r="S10" t="s">
        <v>4</v>
      </c>
      <c r="AG10">
        <v>2</v>
      </c>
      <c r="AH10" t="s">
        <v>103</v>
      </c>
      <c r="AI10" t="s">
        <v>114</v>
      </c>
      <c r="AJ10" s="10">
        <v>1</v>
      </c>
      <c r="AK10" t="s">
        <v>2</v>
      </c>
      <c r="AL10" t="s">
        <v>90</v>
      </c>
      <c r="AM10" s="12">
        <v>4</v>
      </c>
    </row>
    <row r="11" spans="1:39" x14ac:dyDescent="0.25">
      <c r="A11">
        <v>5</v>
      </c>
      <c r="B11" t="str">
        <f t="shared" si="0"/>
        <v>c 2 deg (67%)</v>
      </c>
      <c r="C11">
        <f>C10+1</f>
        <v>3</v>
      </c>
      <c r="D11" t="str">
        <f t="shared" si="1"/>
        <v>ts_annual</v>
      </c>
      <c r="E11" s="14" t="s">
        <v>5</v>
      </c>
      <c r="G11" t="s">
        <v>6</v>
      </c>
      <c r="S11" s="1">
        <v>2022</v>
      </c>
      <c r="AG11">
        <v>3</v>
      </c>
      <c r="AH11" t="s">
        <v>101</v>
      </c>
      <c r="AI11" t="str">
        <f>AH11</f>
        <v>ts_012</v>
      </c>
      <c r="AJ11" s="10">
        <v>1</v>
      </c>
      <c r="AK11" t="s">
        <v>5</v>
      </c>
      <c r="AL11" t="s">
        <v>91</v>
      </c>
      <c r="AM11" s="12">
        <v>3</v>
      </c>
    </row>
    <row r="12" spans="1:39" ht="14.65" customHeight="1" thickBot="1" x14ac:dyDescent="0.3">
      <c r="A12">
        <v>5</v>
      </c>
      <c r="B12" t="str">
        <f t="shared" si="0"/>
        <v>b 2 deg (50%)</v>
      </c>
      <c r="C12">
        <f>C11+1</f>
        <v>4</v>
      </c>
      <c r="D12" t="str">
        <f t="shared" si="1"/>
        <v>ts_annual</v>
      </c>
      <c r="E12" s="14" t="s">
        <v>7</v>
      </c>
      <c r="G12" t="s">
        <v>8</v>
      </c>
      <c r="S12" s="3">
        <f>SUMIFS(iea_data!I3:I9999,iea_data!$B$3:$B$9999,Veda!$S$11)+T28-T29</f>
        <v>177.03</v>
      </c>
      <c r="T12" s="2" t="s">
        <v>57</v>
      </c>
      <c r="AG12">
        <v>4</v>
      </c>
      <c r="AH12" t="s">
        <v>107</v>
      </c>
      <c r="AI12" t="str">
        <f t="shared" ref="AI12:AI16" si="2">AH12</f>
        <v>ts_030</v>
      </c>
      <c r="AJ12" s="10">
        <v>1</v>
      </c>
      <c r="AK12" t="s">
        <v>7</v>
      </c>
      <c r="AL12" t="s">
        <v>92</v>
      </c>
      <c r="AM12" s="12">
        <v>3</v>
      </c>
    </row>
    <row r="13" spans="1:39" ht="14.65" customHeight="1" thickTop="1" x14ac:dyDescent="0.25">
      <c r="A13">
        <v>5</v>
      </c>
      <c r="B13" t="str">
        <f t="shared" si="0"/>
        <v>a 3 deg</v>
      </c>
      <c r="C13">
        <f>C12+1</f>
        <v>5</v>
      </c>
      <c r="D13" t="str">
        <f t="shared" si="1"/>
        <v>ts_annual</v>
      </c>
      <c r="E13" s="14" t="s">
        <v>9</v>
      </c>
      <c r="G13" t="s">
        <v>10</v>
      </c>
      <c r="AG13">
        <v>5</v>
      </c>
      <c r="AH13" t="s">
        <v>102</v>
      </c>
      <c r="AI13" t="str">
        <f t="shared" si="2"/>
        <v>ts_048</v>
      </c>
      <c r="AJ13" s="10">
        <v>1</v>
      </c>
      <c r="AK13" t="s">
        <v>9</v>
      </c>
      <c r="AL13" t="s">
        <v>93</v>
      </c>
      <c r="AM13" s="12">
        <v>1.5</v>
      </c>
    </row>
    <row r="14" spans="1:39" x14ac:dyDescent="0.25">
      <c r="T14" s="8">
        <f>S12</f>
        <v>177.03</v>
      </c>
      <c r="U14" s="8">
        <f t="shared" ref="U14:Z14" si="3">$S$12*J15</f>
        <v>185.88150000000002</v>
      </c>
      <c r="V14" s="8">
        <f t="shared" si="3"/>
        <v>207.12509999999997</v>
      </c>
      <c r="W14" s="8">
        <f t="shared" si="3"/>
        <v>233.67960000000002</v>
      </c>
      <c r="X14" s="8">
        <f t="shared" si="3"/>
        <v>265.54500000000002</v>
      </c>
      <c r="Y14" s="8">
        <f t="shared" si="3"/>
        <v>297.41039999999998</v>
      </c>
      <c r="Z14" s="8">
        <f t="shared" si="3"/>
        <v>320.42430000000002</v>
      </c>
      <c r="AG14">
        <v>6</v>
      </c>
      <c r="AH14" t="s">
        <v>111</v>
      </c>
      <c r="AI14" t="str">
        <f t="shared" si="2"/>
        <v>ts_072</v>
      </c>
      <c r="AJ14" s="10">
        <f>AJ9+1</f>
        <v>2</v>
      </c>
    </row>
    <row r="15" spans="1:39" x14ac:dyDescent="0.25"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112</v>
      </c>
      <c r="AI15" t="str">
        <f t="shared" si="2"/>
        <v>ts_144</v>
      </c>
      <c r="AJ15" s="10">
        <f t="shared" ref="AJ15:AJ78" si="4">AJ10+1</f>
        <v>2</v>
      </c>
    </row>
    <row r="16" spans="1:39" ht="17.649999999999999" customHeight="1" thickBot="1" x14ac:dyDescent="0.35">
      <c r="S16" s="5" t="s">
        <v>12</v>
      </c>
      <c r="AG16">
        <v>8</v>
      </c>
      <c r="AH16" t="s">
        <v>113</v>
      </c>
      <c r="AI16" t="str">
        <f t="shared" si="2"/>
        <v>ts_288</v>
      </c>
      <c r="AJ16" s="10">
        <f t="shared" si="4"/>
        <v>2</v>
      </c>
    </row>
    <row r="17" spans="7:36" ht="15" customHeight="1" thickTop="1" thickBot="1" x14ac:dyDescent="0.3">
      <c r="I17" s="7">
        <v>2020</v>
      </c>
      <c r="J17" s="7">
        <f t="shared" ref="J17:O17" si="5">U17</f>
        <v>2025</v>
      </c>
      <c r="K17" s="7">
        <f t="shared" si="5"/>
        <v>2030</v>
      </c>
      <c r="L17" s="7">
        <f t="shared" si="5"/>
        <v>2035</v>
      </c>
      <c r="M17" s="7">
        <f t="shared" si="5"/>
        <v>2040</v>
      </c>
      <c r="N17" s="7">
        <f t="shared" si="5"/>
        <v>2045</v>
      </c>
      <c r="O17" s="7">
        <f t="shared" si="5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106</v>
      </c>
      <c r="AI17" t="s">
        <v>108</v>
      </c>
      <c r="AJ17" s="10">
        <f t="shared" si="4"/>
        <v>2</v>
      </c>
    </row>
    <row r="18" spans="7:36" x14ac:dyDescent="0.25"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6">I18*T$14</f>
        <v>0</v>
      </c>
      <c r="U18" s="6">
        <f t="shared" si="6"/>
        <v>0</v>
      </c>
      <c r="V18" s="6">
        <f t="shared" si="6"/>
        <v>2.0712509999999997</v>
      </c>
      <c r="W18" s="6">
        <f t="shared" si="6"/>
        <v>2.3367960000000001</v>
      </c>
      <c r="X18" s="6">
        <f t="shared" si="6"/>
        <v>2.6554500000000001</v>
      </c>
      <c r="Y18" s="6">
        <f t="shared" si="6"/>
        <v>5.9482080000000002</v>
      </c>
      <c r="Z18" s="6">
        <f t="shared" si="6"/>
        <v>9.6127289999999999</v>
      </c>
      <c r="AA18" t="s">
        <v>17</v>
      </c>
      <c r="AC18" s="2"/>
      <c r="AG18">
        <v>10</v>
      </c>
      <c r="AH18" t="s">
        <v>109</v>
      </c>
      <c r="AI18" t="s">
        <v>110</v>
      </c>
      <c r="AJ18" s="10">
        <f t="shared" si="4"/>
        <v>2</v>
      </c>
    </row>
    <row r="19" spans="7:36" x14ac:dyDescent="0.25"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6"/>
        <v>63.730799999999995</v>
      </c>
      <c r="U19" s="6">
        <f t="shared" si="6"/>
        <v>59.482080000000003</v>
      </c>
      <c r="V19" s="6">
        <f t="shared" si="6"/>
        <v>64.208780999999988</v>
      </c>
      <c r="W19" s="6">
        <f t="shared" si="6"/>
        <v>67.767083999999997</v>
      </c>
      <c r="X19" s="6">
        <f t="shared" si="6"/>
        <v>77.008049999999997</v>
      </c>
      <c r="Y19" s="6">
        <f t="shared" si="6"/>
        <v>86.249015999999983</v>
      </c>
      <c r="Z19" s="6">
        <f t="shared" si="6"/>
        <v>96.127290000000002</v>
      </c>
      <c r="AA19" t="s">
        <v>17</v>
      </c>
      <c r="AG19">
        <v>11</v>
      </c>
      <c r="AH19" t="s">
        <v>84</v>
      </c>
      <c r="AI19" t="s">
        <v>89</v>
      </c>
      <c r="AJ19" s="10">
        <f t="shared" si="4"/>
        <v>3</v>
      </c>
    </row>
    <row r="20" spans="7:36" x14ac:dyDescent="0.25"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6"/>
        <v>106.218</v>
      </c>
      <c r="U20" s="6">
        <f t="shared" si="6"/>
        <v>111.52890000000001</v>
      </c>
      <c r="V20" s="6">
        <f t="shared" si="6"/>
        <v>124.27505999999998</v>
      </c>
      <c r="W20" s="6">
        <f t="shared" si="6"/>
        <v>133.197372</v>
      </c>
      <c r="X20" s="6">
        <f t="shared" si="6"/>
        <v>143.39430000000002</v>
      </c>
      <c r="Y20" s="6">
        <f t="shared" si="6"/>
        <v>154.65340799999998</v>
      </c>
      <c r="Z20" s="6">
        <f t="shared" si="6"/>
        <v>169.82487900000001</v>
      </c>
      <c r="AA20" t="s">
        <v>17</v>
      </c>
      <c r="AG20">
        <v>12</v>
      </c>
      <c r="AH20" t="s">
        <v>85</v>
      </c>
      <c r="AI20" t="s">
        <v>94</v>
      </c>
      <c r="AJ20" s="10">
        <f t="shared" si="4"/>
        <v>3</v>
      </c>
    </row>
    <row r="21" spans="7:36" x14ac:dyDescent="0.25"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5.3109000000000002</v>
      </c>
      <c r="U21" s="6">
        <f t="shared" ref="U21:Z21" si="7">T21</f>
        <v>5.3109000000000002</v>
      </c>
      <c r="V21" s="6">
        <f t="shared" si="7"/>
        <v>5.3109000000000002</v>
      </c>
      <c r="W21" s="6">
        <f t="shared" si="7"/>
        <v>5.3109000000000002</v>
      </c>
      <c r="X21" s="6">
        <f t="shared" si="7"/>
        <v>5.3109000000000002</v>
      </c>
      <c r="Y21" s="6">
        <f t="shared" si="7"/>
        <v>5.3109000000000002</v>
      </c>
      <c r="Z21" s="6">
        <f t="shared" si="7"/>
        <v>5.3109000000000002</v>
      </c>
      <c r="AA21" t="s">
        <v>17</v>
      </c>
      <c r="AC21" s="2" t="s">
        <v>20</v>
      </c>
      <c r="AJ21" s="10">
        <f t="shared" si="4"/>
        <v>3</v>
      </c>
    </row>
    <row r="22" spans="7:36" x14ac:dyDescent="0.25">
      <c r="S22" s="10" t="s">
        <v>25</v>
      </c>
      <c r="T22" s="6">
        <f t="shared" ref="T22:Z22" si="8">T14-SUM(T19:T21)</f>
        <v>1.7702999999999918</v>
      </c>
      <c r="U22" s="6">
        <f t="shared" si="8"/>
        <v>9.5596199999999953</v>
      </c>
      <c r="V22" s="6">
        <f t="shared" si="8"/>
        <v>13.330358999999987</v>
      </c>
      <c r="W22" s="6">
        <f t="shared" si="8"/>
        <v>27.404244000000034</v>
      </c>
      <c r="X22" s="6">
        <f t="shared" si="8"/>
        <v>39.83175</v>
      </c>
      <c r="Y22" s="6">
        <f t="shared" si="8"/>
        <v>51.19707600000001</v>
      </c>
      <c r="Z22" s="6">
        <f t="shared" si="8"/>
        <v>49.161230999999987</v>
      </c>
      <c r="AA22" t="s">
        <v>17</v>
      </c>
      <c r="AJ22" s="10">
        <f t="shared" si="4"/>
        <v>3</v>
      </c>
    </row>
    <row r="23" spans="7:36" x14ac:dyDescent="0.25">
      <c r="S23" t="s">
        <v>26</v>
      </c>
      <c r="AJ23" s="10">
        <f t="shared" si="4"/>
        <v>3</v>
      </c>
    </row>
    <row r="24" spans="7:36" ht="14.65" customHeight="1" x14ac:dyDescent="0.25"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4"/>
        <v>4</v>
      </c>
    </row>
    <row r="25" spans="7:36" ht="14.65" customHeight="1" x14ac:dyDescent="0.25">
      <c r="AJ25" s="10">
        <f t="shared" si="4"/>
        <v>4</v>
      </c>
    </row>
    <row r="26" spans="7:36" ht="17.649999999999999" customHeight="1" thickBot="1" x14ac:dyDescent="0.35">
      <c r="S26" s="5" t="s">
        <v>12</v>
      </c>
      <c r="AJ26" s="10">
        <f t="shared" si="4"/>
        <v>4</v>
      </c>
    </row>
    <row r="27" spans="7:36" ht="15" customHeight="1" thickTop="1" thickBot="1" x14ac:dyDescent="0.3">
      <c r="S27" s="4" t="s">
        <v>30</v>
      </c>
      <c r="T27" s="4">
        <f t="shared" ref="T27:Z27" si="9">T17</f>
        <v>2022</v>
      </c>
      <c r="U27" s="4">
        <f t="shared" si="9"/>
        <v>2025</v>
      </c>
      <c r="V27" s="4">
        <f t="shared" si="9"/>
        <v>2030</v>
      </c>
      <c r="W27" s="4">
        <f t="shared" si="9"/>
        <v>2035</v>
      </c>
      <c r="X27" s="4">
        <f t="shared" si="9"/>
        <v>2040</v>
      </c>
      <c r="Y27" s="4">
        <f t="shared" si="9"/>
        <v>2045</v>
      </c>
      <c r="Z27" s="4">
        <f t="shared" si="9"/>
        <v>2050</v>
      </c>
      <c r="AA27" s="4" t="s">
        <v>14</v>
      </c>
      <c r="AB27" s="4" t="s">
        <v>31</v>
      </c>
      <c r="AJ27" s="10">
        <f t="shared" si="4"/>
        <v>4</v>
      </c>
    </row>
    <row r="28" spans="7:36" ht="14.65" customHeight="1" thickBot="1" x14ac:dyDescent="0.3">
      <c r="Q28" s="3">
        <f>SUMIFS(iea_data!G3:G9999,iea_data!$B$3:$B$9999,Veda!$S$11)</f>
        <v>15.24</v>
      </c>
      <c r="S28" t="s">
        <v>32</v>
      </c>
      <c r="T28" s="3">
        <f>Q28</f>
        <v>15.24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4"/>
        <v>4</v>
      </c>
    </row>
    <row r="29" spans="7:36" ht="15" customHeight="1" thickTop="1" thickBot="1" x14ac:dyDescent="0.3">
      <c r="Q29" s="3">
        <f>SUMIFS(iea_data!H3:H9999,iea_data!$B$3:$B$9999,Veda!$S$11)</f>
        <v>-16.91</v>
      </c>
      <c r="S29" t="s">
        <v>35</v>
      </c>
      <c r="T29" s="3">
        <f>-1*Q29</f>
        <v>16.91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4"/>
        <v>5</v>
      </c>
    </row>
    <row r="30" spans="7:36" ht="14.65" customHeight="1" thickTop="1" x14ac:dyDescent="0.25">
      <c r="AJ30" s="10">
        <f t="shared" si="4"/>
        <v>5</v>
      </c>
    </row>
    <row r="31" spans="7:36" x14ac:dyDescent="0.25">
      <c r="AJ31" s="10">
        <f t="shared" si="4"/>
        <v>5</v>
      </c>
    </row>
    <row r="32" spans="7:36" x14ac:dyDescent="0.25">
      <c r="AJ32" s="10">
        <f t="shared" si="4"/>
        <v>5</v>
      </c>
    </row>
    <row r="33" spans="7:36" x14ac:dyDescent="0.25">
      <c r="AJ33" s="10">
        <f t="shared" si="4"/>
        <v>5</v>
      </c>
    </row>
    <row r="34" spans="7:36" x14ac:dyDescent="0.25">
      <c r="AJ34" s="10">
        <f t="shared" si="4"/>
        <v>6</v>
      </c>
    </row>
    <row r="35" spans="7:36" x14ac:dyDescent="0.25">
      <c r="AJ35" s="10">
        <f t="shared" si="4"/>
        <v>6</v>
      </c>
    </row>
    <row r="36" spans="7:36" x14ac:dyDescent="0.25">
      <c r="G36" s="2" t="s">
        <v>9</v>
      </c>
      <c r="AJ36" s="10">
        <f t="shared" si="4"/>
        <v>6</v>
      </c>
    </row>
    <row r="37" spans="7:36" x14ac:dyDescent="0.25"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4"/>
        <v>6</v>
      </c>
    </row>
    <row r="38" spans="7:36" x14ac:dyDescent="0.25"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4"/>
        <v>6</v>
      </c>
    </row>
    <row r="39" spans="7:36" x14ac:dyDescent="0.25"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4"/>
        <v>7</v>
      </c>
    </row>
    <row r="40" spans="7:36" x14ac:dyDescent="0.25"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4"/>
        <v>7</v>
      </c>
    </row>
    <row r="41" spans="7:36" x14ac:dyDescent="0.25">
      <c r="AJ41" s="10">
        <f t="shared" si="4"/>
        <v>7</v>
      </c>
    </row>
    <row r="42" spans="7:36" x14ac:dyDescent="0.25">
      <c r="AJ42" s="10">
        <f t="shared" si="4"/>
        <v>7</v>
      </c>
    </row>
    <row r="43" spans="7:36" x14ac:dyDescent="0.25">
      <c r="G43" t="s">
        <v>104</v>
      </c>
      <c r="AJ43" s="10">
        <f t="shared" si="4"/>
        <v>7</v>
      </c>
    </row>
    <row r="44" spans="7:36" x14ac:dyDescent="0.25">
      <c r="G44" t="s">
        <v>13</v>
      </c>
      <c r="H44" t="s">
        <v>87</v>
      </c>
      <c r="I44">
        <v>2022</v>
      </c>
      <c r="J44">
        <f>J17</f>
        <v>2025</v>
      </c>
      <c r="K44">
        <f t="shared" ref="K44:O44" si="10">K17</f>
        <v>2030</v>
      </c>
      <c r="L44">
        <f t="shared" si="10"/>
        <v>2035</v>
      </c>
      <c r="M44">
        <f t="shared" si="10"/>
        <v>2040</v>
      </c>
      <c r="N44">
        <f t="shared" si="10"/>
        <v>2045</v>
      </c>
      <c r="O44">
        <f t="shared" si="10"/>
        <v>2050</v>
      </c>
      <c r="R44" t="s">
        <v>82</v>
      </c>
      <c r="S44" t="s">
        <v>83</v>
      </c>
      <c r="AJ44" s="10">
        <f t="shared" si="4"/>
        <v>8</v>
      </c>
    </row>
    <row r="45" spans="7:36" x14ac:dyDescent="0.25">
      <c r="G45" t="s">
        <v>78</v>
      </c>
      <c r="H45" t="str">
        <f>G45</f>
        <v>Gas</v>
      </c>
      <c r="I45">
        <f t="shared" ref="I45:O48" si="11">AVERAGE($R45:$S45)*I37</f>
        <v>33.4</v>
      </c>
      <c r="J45">
        <f t="shared" si="11"/>
        <v>35.738</v>
      </c>
      <c r="K45">
        <f t="shared" si="11"/>
        <v>41.415999999999997</v>
      </c>
      <c r="L45">
        <f t="shared" si="11"/>
        <v>38.409999999999997</v>
      </c>
      <c r="M45">
        <f t="shared" si="11"/>
        <v>41.75</v>
      </c>
      <c r="N45">
        <f t="shared" si="11"/>
        <v>39.077999999999996</v>
      </c>
      <c r="O45">
        <f t="shared" si="11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4"/>
        <v>8</v>
      </c>
    </row>
    <row r="46" spans="7:36" x14ac:dyDescent="0.25">
      <c r="G46" t="s">
        <v>79</v>
      </c>
      <c r="H46" t="str">
        <f t="shared" ref="H46:H48" si="12">G46</f>
        <v>Coal</v>
      </c>
      <c r="I46">
        <f t="shared" si="11"/>
        <v>12.2</v>
      </c>
      <c r="J46">
        <f t="shared" si="11"/>
        <v>12.443999999999999</v>
      </c>
      <c r="K46">
        <f t="shared" si="11"/>
        <v>12.932</v>
      </c>
      <c r="L46">
        <f t="shared" si="11"/>
        <v>13.054</v>
      </c>
      <c r="M46">
        <f t="shared" si="11"/>
        <v>13.176</v>
      </c>
      <c r="N46">
        <f t="shared" si="11"/>
        <v>13.42</v>
      </c>
      <c r="O46">
        <f t="shared" si="11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4"/>
        <v>8</v>
      </c>
    </row>
    <row r="47" spans="7:36" x14ac:dyDescent="0.25">
      <c r="G47" t="s">
        <v>80</v>
      </c>
      <c r="H47" t="str">
        <f t="shared" si="12"/>
        <v>Oil</v>
      </c>
      <c r="I47">
        <f t="shared" si="11"/>
        <v>53</v>
      </c>
      <c r="J47">
        <f t="shared" si="11"/>
        <v>53.53</v>
      </c>
      <c r="K47">
        <f t="shared" si="11"/>
        <v>58.830000000000005</v>
      </c>
      <c r="L47">
        <f t="shared" si="11"/>
        <v>53.53</v>
      </c>
      <c r="M47">
        <f t="shared" si="11"/>
        <v>53.53</v>
      </c>
      <c r="N47">
        <f t="shared" si="11"/>
        <v>55.120000000000005</v>
      </c>
      <c r="O47">
        <f t="shared" si="11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4"/>
        <v>8</v>
      </c>
    </row>
    <row r="48" spans="7:36" x14ac:dyDescent="0.25">
      <c r="G48" t="s">
        <v>81</v>
      </c>
      <c r="H48" t="str">
        <f t="shared" si="12"/>
        <v>Bioenergy</v>
      </c>
      <c r="I48">
        <f t="shared" si="11"/>
        <v>26</v>
      </c>
      <c r="O48">
        <f>VLOOKUP($E$5,$AK$9:$AM$15,3,FALSE)*I48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4"/>
        <v>8</v>
      </c>
    </row>
    <row r="49" spans="36:36" x14ac:dyDescent="0.25">
      <c r="AJ49" s="10">
        <f t="shared" si="4"/>
        <v>9</v>
      </c>
    </row>
    <row r="50" spans="36:36" x14ac:dyDescent="0.25">
      <c r="AJ50" s="10">
        <f t="shared" si="4"/>
        <v>9</v>
      </c>
    </row>
    <row r="51" spans="36:36" x14ac:dyDescent="0.25">
      <c r="AJ51" s="10">
        <f t="shared" si="4"/>
        <v>9</v>
      </c>
    </row>
    <row r="52" spans="36:36" x14ac:dyDescent="0.25">
      <c r="AJ52" s="10">
        <f t="shared" si="4"/>
        <v>9</v>
      </c>
    </row>
    <row r="53" spans="36:36" x14ac:dyDescent="0.25">
      <c r="AJ53" s="10">
        <f t="shared" si="4"/>
        <v>9</v>
      </c>
    </row>
    <row r="54" spans="36:36" x14ac:dyDescent="0.25">
      <c r="AJ54" s="10">
        <f t="shared" si="4"/>
        <v>10</v>
      </c>
    </row>
    <row r="55" spans="36:36" x14ac:dyDescent="0.25">
      <c r="AJ55" s="10">
        <f t="shared" si="4"/>
        <v>10</v>
      </c>
    </row>
    <row r="56" spans="36:36" x14ac:dyDescent="0.25">
      <c r="AJ56" s="10">
        <f t="shared" si="4"/>
        <v>10</v>
      </c>
    </row>
    <row r="57" spans="36:36" x14ac:dyDescent="0.25">
      <c r="AJ57" s="10">
        <f t="shared" si="4"/>
        <v>10</v>
      </c>
    </row>
    <row r="58" spans="36:36" x14ac:dyDescent="0.25">
      <c r="AJ58" s="10">
        <f t="shared" si="4"/>
        <v>10</v>
      </c>
    </row>
    <row r="59" spans="36:36" x14ac:dyDescent="0.25">
      <c r="AJ59" s="10">
        <f t="shared" si="4"/>
        <v>11</v>
      </c>
    </row>
    <row r="60" spans="36:36" x14ac:dyDescent="0.25">
      <c r="AJ60" s="10">
        <f t="shared" si="4"/>
        <v>11</v>
      </c>
    </row>
    <row r="61" spans="36:36" x14ac:dyDescent="0.25">
      <c r="AJ61" s="10">
        <f t="shared" si="4"/>
        <v>11</v>
      </c>
    </row>
    <row r="62" spans="36:36" x14ac:dyDescent="0.25">
      <c r="AJ62" s="10">
        <f t="shared" si="4"/>
        <v>11</v>
      </c>
    </row>
    <row r="63" spans="36:36" x14ac:dyDescent="0.25">
      <c r="AJ63" s="10">
        <f t="shared" si="4"/>
        <v>11</v>
      </c>
    </row>
    <row r="64" spans="36:36" x14ac:dyDescent="0.25">
      <c r="AJ64" s="10">
        <f t="shared" si="4"/>
        <v>12</v>
      </c>
    </row>
    <row r="65" spans="36:36" x14ac:dyDescent="0.25">
      <c r="AJ65" s="10">
        <f t="shared" si="4"/>
        <v>12</v>
      </c>
    </row>
    <row r="66" spans="36:36" x14ac:dyDescent="0.25">
      <c r="AJ66" s="10">
        <f t="shared" si="4"/>
        <v>12</v>
      </c>
    </row>
    <row r="67" spans="36:36" x14ac:dyDescent="0.25">
      <c r="AJ67" s="10">
        <f t="shared" si="4"/>
        <v>12</v>
      </c>
    </row>
    <row r="68" spans="36:36" x14ac:dyDescent="0.25">
      <c r="AJ68" s="10">
        <f t="shared" si="4"/>
        <v>12</v>
      </c>
    </row>
    <row r="69" spans="36:36" x14ac:dyDescent="0.25">
      <c r="AJ69" s="10">
        <f t="shared" si="4"/>
        <v>13</v>
      </c>
    </row>
    <row r="70" spans="36:36" x14ac:dyDescent="0.25">
      <c r="AJ70" s="10">
        <f t="shared" si="4"/>
        <v>13</v>
      </c>
    </row>
    <row r="71" spans="36:36" x14ac:dyDescent="0.25">
      <c r="AJ71" s="10">
        <f t="shared" si="4"/>
        <v>13</v>
      </c>
    </row>
    <row r="72" spans="36:36" x14ac:dyDescent="0.25">
      <c r="AJ72" s="10">
        <f t="shared" si="4"/>
        <v>13</v>
      </c>
    </row>
    <row r="73" spans="36:36" x14ac:dyDescent="0.25">
      <c r="AJ73" s="10">
        <f t="shared" si="4"/>
        <v>13</v>
      </c>
    </row>
    <row r="74" spans="36:36" x14ac:dyDescent="0.25">
      <c r="AJ74" s="10">
        <f t="shared" si="4"/>
        <v>14</v>
      </c>
    </row>
    <row r="75" spans="36:36" x14ac:dyDescent="0.25">
      <c r="AJ75" s="10">
        <f t="shared" si="4"/>
        <v>14</v>
      </c>
    </row>
    <row r="76" spans="36:36" x14ac:dyDescent="0.25">
      <c r="AJ76" s="10">
        <f t="shared" si="4"/>
        <v>14</v>
      </c>
    </row>
    <row r="77" spans="36:36" x14ac:dyDescent="0.25">
      <c r="AJ77" s="10">
        <f t="shared" si="4"/>
        <v>14</v>
      </c>
    </row>
    <row r="78" spans="36:36" x14ac:dyDescent="0.25">
      <c r="AJ78" s="10">
        <f t="shared" si="4"/>
        <v>14</v>
      </c>
    </row>
    <row r="82" spans="1:6" x14ac:dyDescent="0.25">
      <c r="A82" t="s">
        <v>120</v>
      </c>
    </row>
    <row r="83" spans="1:6" x14ac:dyDescent="0.2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25">
      <c r="A84" t="s">
        <v>35</v>
      </c>
      <c r="B84" t="s">
        <v>121</v>
      </c>
      <c r="C84">
        <v>1.4550000000000001</v>
      </c>
      <c r="D84">
        <v>1.881</v>
      </c>
      <c r="E84">
        <v>1.881</v>
      </c>
      <c r="F84" t="s">
        <v>122</v>
      </c>
    </row>
    <row r="85" spans="1:6" x14ac:dyDescent="0.25">
      <c r="A85" t="s">
        <v>32</v>
      </c>
      <c r="B85" t="s">
        <v>121</v>
      </c>
      <c r="C85">
        <v>1.8</v>
      </c>
      <c r="D85">
        <v>3.3</v>
      </c>
      <c r="E85">
        <v>3.3</v>
      </c>
      <c r="F85" t="s">
        <v>122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116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116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</row>
    <row r="12" spans="1:9" x14ac:dyDescent="0.25">
      <c r="A12" t="s">
        <v>116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</row>
    <row r="13" spans="1:9" x14ac:dyDescent="0.25">
      <c r="A13" t="s">
        <v>116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</row>
    <row r="14" spans="1:9" x14ac:dyDescent="0.25">
      <c r="A14" t="s">
        <v>116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</row>
    <row r="15" spans="1:9" x14ac:dyDescent="0.25">
      <c r="A15" t="s">
        <v>116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</row>
    <row r="16" spans="1:9" x14ac:dyDescent="0.25">
      <c r="A16" t="s">
        <v>116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</row>
    <row r="17" spans="1:9" x14ac:dyDescent="0.25">
      <c r="A17" t="s">
        <v>116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</row>
    <row r="18" spans="1:9" x14ac:dyDescent="0.25">
      <c r="A18" t="s">
        <v>116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</row>
    <row r="19" spans="1:9" x14ac:dyDescent="0.25">
      <c r="A19" t="s">
        <v>116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</row>
    <row r="20" spans="1:9" x14ac:dyDescent="0.25">
      <c r="A20" t="s">
        <v>116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</row>
    <row r="21" spans="1:9" x14ac:dyDescent="0.25">
      <c r="A21" t="s">
        <v>116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</row>
    <row r="22" spans="1:9" x14ac:dyDescent="0.25">
      <c r="A22" t="s">
        <v>116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</row>
    <row r="23" spans="1:9" x14ac:dyDescent="0.25">
      <c r="A23" t="s">
        <v>116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</row>
    <row r="24" spans="1:9" x14ac:dyDescent="0.25">
      <c r="A24" t="s">
        <v>116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</row>
    <row r="25" spans="1:9" x14ac:dyDescent="0.25">
      <c r="A25" t="s">
        <v>116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</row>
    <row r="26" spans="1:9" x14ac:dyDescent="0.25">
      <c r="A26" t="s">
        <v>116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</row>
    <row r="27" spans="1:9" x14ac:dyDescent="0.25">
      <c r="A27" t="s">
        <v>116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</row>
    <row r="28" spans="1:9" x14ac:dyDescent="0.25">
      <c r="A28" t="s">
        <v>116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</row>
    <row r="29" spans="1:9" x14ac:dyDescent="0.25">
      <c r="A29" t="s">
        <v>116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</row>
    <row r="30" spans="1:9" x14ac:dyDescent="0.25">
      <c r="A30" t="s">
        <v>116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</row>
    <row r="31" spans="1:9" x14ac:dyDescent="0.25">
      <c r="A31" t="s">
        <v>116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</row>
    <row r="32" spans="1:9" x14ac:dyDescent="0.25">
      <c r="A32" t="s">
        <v>116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</row>
    <row r="33" spans="1:9" x14ac:dyDescent="0.25">
      <c r="A33" t="s">
        <v>116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117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25">
      <c r="A12" t="s">
        <v>0</v>
      </c>
      <c r="B12" t="s">
        <v>117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25">
      <c r="A13" t="s">
        <v>0</v>
      </c>
      <c r="B13" t="s">
        <v>117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25">
      <c r="A14" t="s">
        <v>0</v>
      </c>
      <c r="B14" t="s">
        <v>117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25">
      <c r="A15" t="s">
        <v>0</v>
      </c>
      <c r="B15" t="s">
        <v>117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25">
      <c r="A16" t="s">
        <v>0</v>
      </c>
      <c r="B16" t="s">
        <v>117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25">
      <c r="A17" t="s">
        <v>0</v>
      </c>
      <c r="B17" t="s">
        <v>117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25">
      <c r="A18" t="s">
        <v>2</v>
      </c>
      <c r="B18" t="s">
        <v>117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25">
      <c r="A19" t="s">
        <v>2</v>
      </c>
      <c r="B19" t="s">
        <v>117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25">
      <c r="A20" t="s">
        <v>2</v>
      </c>
      <c r="B20" t="s">
        <v>117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25">
      <c r="A21" t="s">
        <v>2</v>
      </c>
      <c r="B21" t="s">
        <v>117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25">
      <c r="A22" t="s">
        <v>2</v>
      </c>
      <c r="B22" t="s">
        <v>117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25">
      <c r="A23" t="s">
        <v>2</v>
      </c>
      <c r="B23" t="s">
        <v>117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25">
      <c r="A24" t="s">
        <v>2</v>
      </c>
      <c r="B24" t="s">
        <v>117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117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25">
      <c r="A26" t="s">
        <v>5</v>
      </c>
      <c r="B26" t="s">
        <v>117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25">
      <c r="A27" t="s">
        <v>5</v>
      </c>
      <c r="B27" t="s">
        <v>117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25">
      <c r="A28" t="s">
        <v>5</v>
      </c>
      <c r="B28" t="s">
        <v>117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25">
      <c r="A29" t="s">
        <v>5</v>
      </c>
      <c r="B29" t="s">
        <v>117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25">
      <c r="A30" t="s">
        <v>5</v>
      </c>
      <c r="B30" t="s">
        <v>117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25">
      <c r="A31" t="s">
        <v>5</v>
      </c>
      <c r="B31" t="s">
        <v>117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25">
      <c r="A32" t="s">
        <v>7</v>
      </c>
      <c r="B32" t="s">
        <v>117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25">
      <c r="A33" t="s">
        <v>7</v>
      </c>
      <c r="B33" t="s">
        <v>117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25">
      <c r="A34" t="s">
        <v>7</v>
      </c>
      <c r="B34" t="s">
        <v>117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25">
      <c r="A35" t="s">
        <v>7</v>
      </c>
      <c r="B35" t="s">
        <v>117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117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25">
      <c r="A37" t="s">
        <v>7</v>
      </c>
      <c r="B37" t="s">
        <v>117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117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117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25">
      <c r="A40" t="s">
        <v>9</v>
      </c>
      <c r="B40" t="s">
        <v>117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25">
      <c r="A41" t="s">
        <v>9</v>
      </c>
      <c r="B41" t="s">
        <v>117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25">
      <c r="A42" t="s">
        <v>9</v>
      </c>
      <c r="B42" t="s">
        <v>117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25">
      <c r="A43" t="s">
        <v>9</v>
      </c>
      <c r="B43" t="s">
        <v>117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25">
      <c r="A44" t="s">
        <v>9</v>
      </c>
      <c r="B44" t="s">
        <v>117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25">
      <c r="A45" t="s">
        <v>9</v>
      </c>
      <c r="B45" t="s">
        <v>117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25">
      <c r="A46" t="s">
        <v>0</v>
      </c>
      <c r="B46" t="s">
        <v>117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117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117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117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117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117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117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117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117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117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117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117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117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117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117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117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117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117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117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117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117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117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117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117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117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117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117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117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117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117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117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117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117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117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117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117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117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117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25">
      <c r="A84" t="s">
        <v>0</v>
      </c>
      <c r="B84" t="s">
        <v>117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25">
      <c r="A85" t="s">
        <v>0</v>
      </c>
      <c r="B85" t="s">
        <v>117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25">
      <c r="A86" t="s">
        <v>0</v>
      </c>
      <c r="B86" t="s">
        <v>117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25">
      <c r="A87" t="s">
        <v>0</v>
      </c>
      <c r="B87" t="s">
        <v>117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117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25">
      <c r="A89" t="s">
        <v>2</v>
      </c>
      <c r="B89" t="s">
        <v>117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117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25">
      <c r="A91" t="s">
        <v>2</v>
      </c>
      <c r="B91" t="s">
        <v>117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25">
      <c r="A92" t="s">
        <v>2</v>
      </c>
      <c r="B92" t="s">
        <v>117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25">
      <c r="A93" t="s">
        <v>2</v>
      </c>
      <c r="B93" t="s">
        <v>117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25">
      <c r="A94" t="s">
        <v>2</v>
      </c>
      <c r="B94" t="s">
        <v>117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25">
      <c r="A95" t="s">
        <v>5</v>
      </c>
      <c r="B95" t="s">
        <v>117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117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117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25">
      <c r="A98" t="s">
        <v>5</v>
      </c>
      <c r="B98" t="s">
        <v>117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25">
      <c r="A99" t="s">
        <v>5</v>
      </c>
      <c r="B99" t="s">
        <v>117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25">
      <c r="A100" t="s">
        <v>5</v>
      </c>
      <c r="B100" t="s">
        <v>117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25">
      <c r="A101" t="s">
        <v>5</v>
      </c>
      <c r="B101" t="s">
        <v>117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25">
      <c r="A102" t="s">
        <v>7</v>
      </c>
      <c r="B102" t="s">
        <v>117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117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117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25">
      <c r="A105" t="s">
        <v>7</v>
      </c>
      <c r="B105" t="s">
        <v>117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25">
      <c r="A106" t="s">
        <v>7</v>
      </c>
      <c r="B106" t="s">
        <v>117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25">
      <c r="A107" t="s">
        <v>7</v>
      </c>
      <c r="B107" t="s">
        <v>117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25">
      <c r="A108" t="s">
        <v>7</v>
      </c>
      <c r="B108" t="s">
        <v>117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25">
      <c r="A109" t="s">
        <v>9</v>
      </c>
      <c r="B109" t="s">
        <v>117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117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117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25">
      <c r="A112" t="s">
        <v>9</v>
      </c>
      <c r="B112" t="s">
        <v>117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25">
      <c r="A113" t="s">
        <v>9</v>
      </c>
      <c r="B113" t="s">
        <v>117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25">
      <c r="A114" t="s">
        <v>9</v>
      </c>
      <c r="B114" t="s">
        <v>117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25">
      <c r="A115" t="s">
        <v>9</v>
      </c>
      <c r="B115" t="s">
        <v>117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25">
      <c r="A116" t="s">
        <v>0</v>
      </c>
      <c r="B116" t="s">
        <v>117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25">
      <c r="A117" t="s">
        <v>0</v>
      </c>
      <c r="B117" t="s">
        <v>117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25">
      <c r="A118" t="s">
        <v>0</v>
      </c>
      <c r="B118" t="s">
        <v>117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25">
      <c r="A119" t="s">
        <v>0</v>
      </c>
      <c r="B119" t="s">
        <v>117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25">
      <c r="A120" t="s">
        <v>0</v>
      </c>
      <c r="B120" t="s">
        <v>117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25">
      <c r="A121" t="s">
        <v>0</v>
      </c>
      <c r="B121" t="s">
        <v>117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25">
      <c r="A122" t="s">
        <v>0</v>
      </c>
      <c r="B122" t="s">
        <v>117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25">
      <c r="A123" t="s">
        <v>2</v>
      </c>
      <c r="B123" t="s">
        <v>117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25">
      <c r="A124" t="s">
        <v>2</v>
      </c>
      <c r="B124" t="s">
        <v>117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25">
      <c r="A125" t="s">
        <v>2</v>
      </c>
      <c r="B125" t="s">
        <v>117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25">
      <c r="A126" t="s">
        <v>2</v>
      </c>
      <c r="B126" t="s">
        <v>117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25">
      <c r="A127" t="s">
        <v>2</v>
      </c>
      <c r="B127" t="s">
        <v>117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25">
      <c r="A128" t="s">
        <v>2</v>
      </c>
      <c r="B128" t="s">
        <v>117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25">
      <c r="A129" t="s">
        <v>2</v>
      </c>
      <c r="B129" t="s">
        <v>117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25">
      <c r="A130" t="s">
        <v>5</v>
      </c>
      <c r="B130" t="s">
        <v>117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25">
      <c r="A131" t="s">
        <v>5</v>
      </c>
      <c r="B131" t="s">
        <v>117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25">
      <c r="A132" t="s">
        <v>5</v>
      </c>
      <c r="B132" t="s">
        <v>117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25">
      <c r="A133" t="s">
        <v>5</v>
      </c>
      <c r="B133" t="s">
        <v>117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25">
      <c r="A134" t="s">
        <v>5</v>
      </c>
      <c r="B134" t="s">
        <v>117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25">
      <c r="A135" t="s">
        <v>5</v>
      </c>
      <c r="B135" t="s">
        <v>117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25">
      <c r="A136" t="s">
        <v>5</v>
      </c>
      <c r="B136" t="s">
        <v>117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25">
      <c r="A137" t="s">
        <v>7</v>
      </c>
      <c r="B137" t="s">
        <v>117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25">
      <c r="A138" t="s">
        <v>7</v>
      </c>
      <c r="B138" t="s">
        <v>117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25">
      <c r="A139" t="s">
        <v>7</v>
      </c>
      <c r="B139" t="s">
        <v>117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25">
      <c r="A140" t="s">
        <v>7</v>
      </c>
      <c r="B140" t="s">
        <v>117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25">
      <c r="A141" t="s">
        <v>7</v>
      </c>
      <c r="B141" t="s">
        <v>117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25">
      <c r="A142" t="s">
        <v>7</v>
      </c>
      <c r="B142" t="s">
        <v>117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25">
      <c r="A143" t="s">
        <v>7</v>
      </c>
      <c r="B143" t="s">
        <v>117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25">
      <c r="A144" t="s">
        <v>9</v>
      </c>
      <c r="B144" t="s">
        <v>117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117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25">
      <c r="A146" t="s">
        <v>9</v>
      </c>
      <c r="B146" t="s">
        <v>117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25">
      <c r="A147" t="s">
        <v>9</v>
      </c>
      <c r="B147" t="s">
        <v>117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25">
      <c r="A148" t="s">
        <v>9</v>
      </c>
      <c r="B148" t="s">
        <v>117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25">
      <c r="A149" t="s">
        <v>9</v>
      </c>
      <c r="B149" t="s">
        <v>117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25">
      <c r="A150" t="s">
        <v>9</v>
      </c>
      <c r="B150" t="s">
        <v>117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25">
      <c r="A151" t="s">
        <v>0</v>
      </c>
      <c r="B151" t="s">
        <v>117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25">
      <c r="A152" t="s">
        <v>0</v>
      </c>
      <c r="B152" t="s">
        <v>117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25">
      <c r="A153" t="s">
        <v>0</v>
      </c>
      <c r="B153" t="s">
        <v>117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25">
      <c r="A154" t="s">
        <v>0</v>
      </c>
      <c r="B154" t="s">
        <v>117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25">
      <c r="A155" t="s">
        <v>0</v>
      </c>
      <c r="B155" t="s">
        <v>117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25">
      <c r="A156" t="s">
        <v>0</v>
      </c>
      <c r="B156" t="s">
        <v>117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25">
      <c r="A157" t="s">
        <v>0</v>
      </c>
      <c r="B157" t="s">
        <v>117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25">
      <c r="A158" t="s">
        <v>2</v>
      </c>
      <c r="B158" t="s">
        <v>117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25">
      <c r="A159" t="s">
        <v>2</v>
      </c>
      <c r="B159" t="s">
        <v>117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25">
      <c r="A160" t="s">
        <v>2</v>
      </c>
      <c r="B160" t="s">
        <v>117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25">
      <c r="A161" t="s">
        <v>2</v>
      </c>
      <c r="B161" t="s">
        <v>117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25">
      <c r="A162" t="s">
        <v>2</v>
      </c>
      <c r="B162" t="s">
        <v>117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25">
      <c r="A163" t="s">
        <v>2</v>
      </c>
      <c r="B163" t="s">
        <v>117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25">
      <c r="A164" t="s">
        <v>2</v>
      </c>
      <c r="B164" t="s">
        <v>117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25">
      <c r="A165" t="s">
        <v>5</v>
      </c>
      <c r="B165" t="s">
        <v>117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25">
      <c r="A166" t="s">
        <v>5</v>
      </c>
      <c r="B166" t="s">
        <v>117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25">
      <c r="A167" t="s">
        <v>5</v>
      </c>
      <c r="B167" t="s">
        <v>117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25">
      <c r="A168" t="s">
        <v>5</v>
      </c>
      <c r="B168" t="s">
        <v>117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25">
      <c r="A169" t="s">
        <v>5</v>
      </c>
      <c r="B169" t="s">
        <v>117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25">
      <c r="A170" t="s">
        <v>5</v>
      </c>
      <c r="B170" t="s">
        <v>117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25">
      <c r="A171" t="s">
        <v>5</v>
      </c>
      <c r="B171" t="s">
        <v>117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25">
      <c r="A172" t="s">
        <v>7</v>
      </c>
      <c r="B172" t="s">
        <v>117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25">
      <c r="A173" t="s">
        <v>7</v>
      </c>
      <c r="B173" t="s">
        <v>117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25">
      <c r="A174" t="s">
        <v>7</v>
      </c>
      <c r="B174" t="s">
        <v>117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25">
      <c r="A175" t="s">
        <v>7</v>
      </c>
      <c r="B175" t="s">
        <v>117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25">
      <c r="A176" t="s">
        <v>7</v>
      </c>
      <c r="B176" t="s">
        <v>117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25">
      <c r="A177" t="s">
        <v>7</v>
      </c>
      <c r="B177" t="s">
        <v>117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25">
      <c r="A178" t="s">
        <v>7</v>
      </c>
      <c r="B178" t="s">
        <v>117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25">
      <c r="A179" t="s">
        <v>9</v>
      </c>
      <c r="B179" t="s">
        <v>117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25">
      <c r="A180" t="s">
        <v>9</v>
      </c>
      <c r="B180" t="s">
        <v>117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25">
      <c r="A181" t="s">
        <v>9</v>
      </c>
      <c r="B181" t="s">
        <v>117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25">
      <c r="A182" t="s">
        <v>9</v>
      </c>
      <c r="B182" t="s">
        <v>117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25">
      <c r="A183" t="s">
        <v>9</v>
      </c>
      <c r="B183" t="s">
        <v>117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25">
      <c r="A184" t="s">
        <v>9</v>
      </c>
      <c r="B184" t="s">
        <v>117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25">
      <c r="A185" t="s">
        <v>9</v>
      </c>
      <c r="B185" t="s">
        <v>117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25">
      <c r="A186" t="s">
        <v>0</v>
      </c>
      <c r="B186" t="s">
        <v>117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25">
      <c r="A187" t="s">
        <v>0</v>
      </c>
      <c r="B187" t="s">
        <v>117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25">
      <c r="A188" t="s">
        <v>0</v>
      </c>
      <c r="B188" t="s">
        <v>117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25">
      <c r="A189" t="s">
        <v>0</v>
      </c>
      <c r="B189" t="s">
        <v>117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25">
      <c r="A190" t="s">
        <v>0</v>
      </c>
      <c r="B190" t="s">
        <v>117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25">
      <c r="A191" t="s">
        <v>0</v>
      </c>
      <c r="B191" t="s">
        <v>117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25">
      <c r="A192" t="s">
        <v>0</v>
      </c>
      <c r="B192" t="s">
        <v>117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25">
      <c r="A193" t="s">
        <v>2</v>
      </c>
      <c r="B193" t="s">
        <v>117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25">
      <c r="A194" t="s">
        <v>2</v>
      </c>
      <c r="B194" t="s">
        <v>117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25">
      <c r="A195" t="s">
        <v>2</v>
      </c>
      <c r="B195" t="s">
        <v>117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25">
      <c r="A196" t="s">
        <v>2</v>
      </c>
      <c r="B196" t="s">
        <v>117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25">
      <c r="A197" t="s">
        <v>2</v>
      </c>
      <c r="B197" t="s">
        <v>117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25">
      <c r="A198" t="s">
        <v>2</v>
      </c>
      <c r="B198" t="s">
        <v>117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25">
      <c r="A199" t="s">
        <v>2</v>
      </c>
      <c r="B199" t="s">
        <v>117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25">
      <c r="A200" t="s">
        <v>5</v>
      </c>
      <c r="B200" t="s">
        <v>117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25">
      <c r="A201" t="s">
        <v>5</v>
      </c>
      <c r="B201" t="s">
        <v>117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25">
      <c r="A202" t="s">
        <v>5</v>
      </c>
      <c r="B202" t="s">
        <v>117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25">
      <c r="A203" t="s">
        <v>5</v>
      </c>
      <c r="B203" t="s">
        <v>117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25">
      <c r="A204" t="s">
        <v>5</v>
      </c>
      <c r="B204" t="s">
        <v>117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25">
      <c r="A205" t="s">
        <v>5</v>
      </c>
      <c r="B205" t="s">
        <v>117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25">
      <c r="A206" t="s">
        <v>5</v>
      </c>
      <c r="B206" t="s">
        <v>117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25">
      <c r="A207" t="s">
        <v>7</v>
      </c>
      <c r="B207" t="s">
        <v>117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25">
      <c r="A208" t="s">
        <v>7</v>
      </c>
      <c r="B208" t="s">
        <v>117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25">
      <c r="A209" t="s">
        <v>7</v>
      </c>
      <c r="B209" t="s">
        <v>117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25">
      <c r="A210" t="s">
        <v>7</v>
      </c>
      <c r="B210" t="s">
        <v>117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25">
      <c r="A211" t="s">
        <v>7</v>
      </c>
      <c r="B211" t="s">
        <v>117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25">
      <c r="A212" t="s">
        <v>7</v>
      </c>
      <c r="B212" t="s">
        <v>117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25">
      <c r="A213" t="s">
        <v>7</v>
      </c>
      <c r="B213" t="s">
        <v>117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25">
      <c r="A214" t="s">
        <v>9</v>
      </c>
      <c r="B214" t="s">
        <v>117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25">
      <c r="A215" t="s">
        <v>9</v>
      </c>
      <c r="B215" t="s">
        <v>117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25">
      <c r="A216" t="s">
        <v>9</v>
      </c>
      <c r="B216" t="s">
        <v>117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25">
      <c r="A217" t="s">
        <v>9</v>
      </c>
      <c r="B217" t="s">
        <v>117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25">
      <c r="A218" t="s">
        <v>9</v>
      </c>
      <c r="B218" t="s">
        <v>117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25">
      <c r="A219" t="s">
        <v>9</v>
      </c>
      <c r="B219" t="s">
        <v>117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25">
      <c r="A220" t="s">
        <v>9</v>
      </c>
      <c r="B220" t="s">
        <v>117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25">
      <c r="A221" t="s">
        <v>0</v>
      </c>
      <c r="B221" t="s">
        <v>117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117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25">
      <c r="A223" t="s">
        <v>0</v>
      </c>
      <c r="B223" t="s">
        <v>117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25">
      <c r="A224" t="s">
        <v>0</v>
      </c>
      <c r="B224" t="s">
        <v>117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25">
      <c r="A225" t="s">
        <v>0</v>
      </c>
      <c r="B225" t="s">
        <v>117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25">
      <c r="A226" t="s">
        <v>0</v>
      </c>
      <c r="B226" t="s">
        <v>117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25">
      <c r="A227" t="s">
        <v>0</v>
      </c>
      <c r="B227" t="s">
        <v>117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25">
      <c r="A228" t="s">
        <v>2</v>
      </c>
      <c r="B228" t="s">
        <v>117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117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25">
      <c r="A230" t="s">
        <v>2</v>
      </c>
      <c r="B230" t="s">
        <v>117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25">
      <c r="A231" t="s">
        <v>2</v>
      </c>
      <c r="B231" t="s">
        <v>117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25">
      <c r="A232" t="s">
        <v>2</v>
      </c>
      <c r="B232" t="s">
        <v>117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25">
      <c r="A233" t="s">
        <v>2</v>
      </c>
      <c r="B233" t="s">
        <v>117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25">
      <c r="A234" t="s">
        <v>2</v>
      </c>
      <c r="B234" t="s">
        <v>117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25">
      <c r="A235" t="s">
        <v>5</v>
      </c>
      <c r="B235" t="s">
        <v>117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117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25">
      <c r="A237" t="s">
        <v>5</v>
      </c>
      <c r="B237" t="s">
        <v>117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25">
      <c r="A238" t="s">
        <v>5</v>
      </c>
      <c r="B238" t="s">
        <v>117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25">
      <c r="A239" t="s">
        <v>5</v>
      </c>
      <c r="B239" t="s">
        <v>117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25">
      <c r="A240" t="s">
        <v>5</v>
      </c>
      <c r="B240" t="s">
        <v>117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25">
      <c r="A241" t="s">
        <v>5</v>
      </c>
      <c r="B241" t="s">
        <v>117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25">
      <c r="A242" t="s">
        <v>7</v>
      </c>
      <c r="B242" t="s">
        <v>117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117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25">
      <c r="A244" t="s">
        <v>7</v>
      </c>
      <c r="B244" t="s">
        <v>117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25">
      <c r="A245" t="s">
        <v>7</v>
      </c>
      <c r="B245" t="s">
        <v>117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25">
      <c r="A246" t="s">
        <v>7</v>
      </c>
      <c r="B246" t="s">
        <v>117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25">
      <c r="A247" t="s">
        <v>7</v>
      </c>
      <c r="B247" t="s">
        <v>117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25">
      <c r="A248" t="s">
        <v>7</v>
      </c>
      <c r="B248" t="s">
        <v>117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25">
      <c r="A249" t="s">
        <v>9</v>
      </c>
      <c r="B249" t="s">
        <v>117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117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25">
      <c r="A251" t="s">
        <v>9</v>
      </c>
      <c r="B251" t="s">
        <v>117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25">
      <c r="A252" t="s">
        <v>9</v>
      </c>
      <c r="B252" t="s">
        <v>117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25">
      <c r="A253" t="s">
        <v>9</v>
      </c>
      <c r="B253" t="s">
        <v>117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25">
      <c r="A254" t="s">
        <v>9</v>
      </c>
      <c r="B254" t="s">
        <v>117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25">
      <c r="A255" t="s">
        <v>9</v>
      </c>
      <c r="B255" t="s">
        <v>117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25">
      <c r="A256" t="s">
        <v>0</v>
      </c>
      <c r="B256" t="s">
        <v>117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117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25">
      <c r="A258" t="s">
        <v>0</v>
      </c>
      <c r="B258" t="s">
        <v>117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25">
      <c r="A259" t="s">
        <v>0</v>
      </c>
      <c r="B259" t="s">
        <v>117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25">
      <c r="A260" t="s">
        <v>0</v>
      </c>
      <c r="B260" t="s">
        <v>117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25">
      <c r="A261" t="s">
        <v>0</v>
      </c>
      <c r="B261" t="s">
        <v>117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25">
      <c r="A262" t="s">
        <v>0</v>
      </c>
      <c r="B262" t="s">
        <v>117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25">
      <c r="A263" t="s">
        <v>2</v>
      </c>
      <c r="B263" t="s">
        <v>117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117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25">
      <c r="A265" t="s">
        <v>2</v>
      </c>
      <c r="B265" t="s">
        <v>117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25">
      <c r="A266" t="s">
        <v>2</v>
      </c>
      <c r="B266" t="s">
        <v>117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25">
      <c r="A267" t="s">
        <v>2</v>
      </c>
      <c r="B267" t="s">
        <v>117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25">
      <c r="A268" t="s">
        <v>2</v>
      </c>
      <c r="B268" t="s">
        <v>117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25">
      <c r="A269" t="s">
        <v>2</v>
      </c>
      <c r="B269" t="s">
        <v>117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25">
      <c r="A270" t="s">
        <v>5</v>
      </c>
      <c r="B270" t="s">
        <v>117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117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25">
      <c r="A272" t="s">
        <v>5</v>
      </c>
      <c r="B272" t="s">
        <v>117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25">
      <c r="A273" t="s">
        <v>5</v>
      </c>
      <c r="B273" t="s">
        <v>117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25">
      <c r="A274" t="s">
        <v>5</v>
      </c>
      <c r="B274" t="s">
        <v>117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25">
      <c r="A275" t="s">
        <v>5</v>
      </c>
      <c r="B275" t="s">
        <v>117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25">
      <c r="A276" t="s">
        <v>5</v>
      </c>
      <c r="B276" t="s">
        <v>117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25">
      <c r="A277" t="s">
        <v>7</v>
      </c>
      <c r="B277" t="s">
        <v>117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117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25">
      <c r="A279" t="s">
        <v>7</v>
      </c>
      <c r="B279" t="s">
        <v>117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25">
      <c r="A280" t="s">
        <v>7</v>
      </c>
      <c r="B280" t="s">
        <v>117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25">
      <c r="A281" t="s">
        <v>7</v>
      </c>
      <c r="B281" t="s">
        <v>117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25">
      <c r="A282" t="s">
        <v>7</v>
      </c>
      <c r="B282" t="s">
        <v>117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25">
      <c r="A283" t="s">
        <v>7</v>
      </c>
      <c r="B283" t="s">
        <v>117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25">
      <c r="A284" t="s">
        <v>9</v>
      </c>
      <c r="B284" t="s">
        <v>117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117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25">
      <c r="A286" t="s">
        <v>9</v>
      </c>
      <c r="B286" t="s">
        <v>117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25">
      <c r="A287" t="s">
        <v>9</v>
      </c>
      <c r="B287" t="s">
        <v>117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25">
      <c r="A288" t="s">
        <v>9</v>
      </c>
      <c r="B288" t="s">
        <v>117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25">
      <c r="A289" t="s">
        <v>9</v>
      </c>
      <c r="B289" t="s">
        <v>117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25">
      <c r="A290" t="s">
        <v>9</v>
      </c>
      <c r="B290" t="s">
        <v>117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25">
      <c r="A291" t="s">
        <v>0</v>
      </c>
      <c r="B291" t="s">
        <v>117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117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25">
      <c r="A293" t="s">
        <v>0</v>
      </c>
      <c r="B293" t="s">
        <v>117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25">
      <c r="A294" t="s">
        <v>0</v>
      </c>
      <c r="B294" t="s">
        <v>117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25">
      <c r="A295" t="s">
        <v>0</v>
      </c>
      <c r="B295" t="s">
        <v>117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25">
      <c r="A296" t="s">
        <v>0</v>
      </c>
      <c r="B296" t="s">
        <v>117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25">
      <c r="A297" t="s">
        <v>0</v>
      </c>
      <c r="B297" t="s">
        <v>117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25">
      <c r="A298" t="s">
        <v>2</v>
      </c>
      <c r="B298" t="s">
        <v>117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117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25">
      <c r="A300" t="s">
        <v>2</v>
      </c>
      <c r="B300" t="s">
        <v>117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25">
      <c r="A301" t="s">
        <v>2</v>
      </c>
      <c r="B301" t="s">
        <v>117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25">
      <c r="A302" t="s">
        <v>2</v>
      </c>
      <c r="B302" t="s">
        <v>117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25">
      <c r="A303" t="s">
        <v>2</v>
      </c>
      <c r="B303" t="s">
        <v>117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25">
      <c r="A304" t="s">
        <v>2</v>
      </c>
      <c r="B304" t="s">
        <v>117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25">
      <c r="A305" t="s">
        <v>5</v>
      </c>
      <c r="B305" t="s">
        <v>117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117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25">
      <c r="A307" t="s">
        <v>5</v>
      </c>
      <c r="B307" t="s">
        <v>117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25">
      <c r="A308" t="s">
        <v>5</v>
      </c>
      <c r="B308" t="s">
        <v>117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25">
      <c r="A309" t="s">
        <v>5</v>
      </c>
      <c r="B309" t="s">
        <v>117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25">
      <c r="A310" t="s">
        <v>5</v>
      </c>
      <c r="B310" t="s">
        <v>117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25">
      <c r="A311" t="s">
        <v>5</v>
      </c>
      <c r="B311" t="s">
        <v>117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25">
      <c r="A312" t="s">
        <v>7</v>
      </c>
      <c r="B312" t="s">
        <v>117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117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25">
      <c r="A314" t="s">
        <v>7</v>
      </c>
      <c r="B314" t="s">
        <v>117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25">
      <c r="A315" t="s">
        <v>7</v>
      </c>
      <c r="B315" t="s">
        <v>117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25">
      <c r="A316" t="s">
        <v>7</v>
      </c>
      <c r="B316" t="s">
        <v>117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25">
      <c r="A317" t="s">
        <v>7</v>
      </c>
      <c r="B317" t="s">
        <v>117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25">
      <c r="A318" t="s">
        <v>7</v>
      </c>
      <c r="B318" t="s">
        <v>117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25">
      <c r="A319" t="s">
        <v>9</v>
      </c>
      <c r="B319" t="s">
        <v>117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117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25">
      <c r="A321" t="s">
        <v>9</v>
      </c>
      <c r="B321" t="s">
        <v>117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25">
      <c r="A322" t="s">
        <v>9</v>
      </c>
      <c r="B322" t="s">
        <v>117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25">
      <c r="A323" t="s">
        <v>9</v>
      </c>
      <c r="B323" t="s">
        <v>117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25">
      <c r="A324" t="s">
        <v>9</v>
      </c>
      <c r="B324" t="s">
        <v>117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25">
      <c r="A325" t="s">
        <v>9</v>
      </c>
      <c r="B325" t="s">
        <v>117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25">
      <c r="A326" t="s">
        <v>0</v>
      </c>
      <c r="B326" t="s">
        <v>117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117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25">
      <c r="A328" t="s">
        <v>0</v>
      </c>
      <c r="B328" t="s">
        <v>117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25">
      <c r="A329" t="s">
        <v>0</v>
      </c>
      <c r="B329" t="s">
        <v>117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25">
      <c r="A330" t="s">
        <v>0</v>
      </c>
      <c r="B330" t="s">
        <v>117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25">
      <c r="A331" t="s">
        <v>0</v>
      </c>
      <c r="B331" t="s">
        <v>117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25">
      <c r="A332" t="s">
        <v>0</v>
      </c>
      <c r="B332" t="s">
        <v>117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25">
      <c r="A333" t="s">
        <v>2</v>
      </c>
      <c r="B333" t="s">
        <v>117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117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25">
      <c r="A335" t="s">
        <v>2</v>
      </c>
      <c r="B335" t="s">
        <v>117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25">
      <c r="A336" t="s">
        <v>2</v>
      </c>
      <c r="B336" t="s">
        <v>117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25">
      <c r="A337" t="s">
        <v>2</v>
      </c>
      <c r="B337" t="s">
        <v>117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25">
      <c r="A338" t="s">
        <v>2</v>
      </c>
      <c r="B338" t="s">
        <v>117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25">
      <c r="A339" t="s">
        <v>2</v>
      </c>
      <c r="B339" t="s">
        <v>117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25">
      <c r="A340" t="s">
        <v>5</v>
      </c>
      <c r="B340" t="s">
        <v>117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117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25">
      <c r="A342" t="s">
        <v>5</v>
      </c>
      <c r="B342" t="s">
        <v>117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25">
      <c r="A343" t="s">
        <v>5</v>
      </c>
      <c r="B343" t="s">
        <v>117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25">
      <c r="A344" t="s">
        <v>5</v>
      </c>
      <c r="B344" t="s">
        <v>117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25">
      <c r="A345" t="s">
        <v>5</v>
      </c>
      <c r="B345" t="s">
        <v>117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25">
      <c r="A346" t="s">
        <v>5</v>
      </c>
      <c r="B346" t="s">
        <v>117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25">
      <c r="A347" t="s">
        <v>7</v>
      </c>
      <c r="B347" t="s">
        <v>117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117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25">
      <c r="A349" t="s">
        <v>7</v>
      </c>
      <c r="B349" t="s">
        <v>117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25">
      <c r="A350" t="s">
        <v>7</v>
      </c>
      <c r="B350" t="s">
        <v>117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25">
      <c r="A351" t="s">
        <v>7</v>
      </c>
      <c r="B351" t="s">
        <v>117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25">
      <c r="A352" t="s">
        <v>7</v>
      </c>
      <c r="B352" t="s">
        <v>117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25">
      <c r="A353" t="s">
        <v>7</v>
      </c>
      <c r="B353" t="s">
        <v>117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25">
      <c r="A354" t="s">
        <v>9</v>
      </c>
      <c r="B354" t="s">
        <v>117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117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25">
      <c r="A356" t="s">
        <v>9</v>
      </c>
      <c r="B356" t="s">
        <v>117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25">
      <c r="A357" t="s">
        <v>9</v>
      </c>
      <c r="B357" t="s">
        <v>117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25">
      <c r="A358" t="s">
        <v>9</v>
      </c>
      <c r="B358" t="s">
        <v>117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25">
      <c r="A359" t="s">
        <v>9</v>
      </c>
      <c r="B359" t="s">
        <v>117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25">
      <c r="A360" t="s">
        <v>9</v>
      </c>
      <c r="B360" t="s">
        <v>117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2026-06-08T07:27:16Z</dcterms:modified>
</cp:coreProperties>
</file>