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updateLinks="never" defaultThemeVersion="166925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SRB_grids_kan\"/>
    </mc:Choice>
  </mc:AlternateContent>
  <xr:revisionPtr revIDLastSave="0" documentId="8_{674FE692-7A52-4A46-AD7E-C33EFADF8642}" xr6:coauthVersionLast="47" xr6:coauthVersionMax="47" xr10:uidLastSave="{00000000-0000-0000-0000-000000000000}"/>
  <bookViews>
    <workbookView xWindow="3510" yWindow="3510" windowWidth="21600" windowHeight="11295" firstSheet="1" activeTab="1" xr2:uid="{00000000-000D-0000-FFFF-FFFF00000000}"/>
  </bookViews>
  <sheets>
    <sheet name="VEDA_Sets-Comm" sheetId="2" r:id="rId1"/>
    <sheet name="geo_sets" sheetId="3" r:id="rId2"/>
    <sheet name="VEDA_Sets-Proc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4" i="1" l="1"/>
  <c r="F33" i="1"/>
  <c r="F32" i="1"/>
  <c r="F31" i="1"/>
  <c r="F30" i="1"/>
  <c r="F29" i="1"/>
  <c r="F28" i="1"/>
  <c r="D29" i="2"/>
  <c r="D30" i="2"/>
  <c r="D31" i="2"/>
  <c r="D36" i="2"/>
  <c r="D37" i="2"/>
  <c r="D28" i="2"/>
  <c r="B4" i="2" l="1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3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</calcChain>
</file>

<file path=xl/sharedStrings.xml><?xml version="1.0" encoding="utf-8"?>
<sst xmlns="http://schemas.openxmlformats.org/spreadsheetml/2006/main" count="564" uniqueCount="327">
  <si>
    <t>~TFM_Psets</t>
  </si>
  <si>
    <t>PSET_SET</t>
  </si>
  <si>
    <t>PSET_PN</t>
  </si>
  <si>
    <t>PSET_PD</t>
  </si>
  <si>
    <t>PSET_CI</t>
  </si>
  <si>
    <t>PSET_CO</t>
  </si>
  <si>
    <t>SetName</t>
  </si>
  <si>
    <t>SetDesc</t>
  </si>
  <si>
    <t>T_Pos_AndOr</t>
  </si>
  <si>
    <t>T_Neg_AndOr</t>
  </si>
  <si>
    <t>Comment</t>
  </si>
  <si>
    <t>ELE</t>
  </si>
  <si>
    <t>~TFM_Csets</t>
  </si>
  <si>
    <t>CSET_SET</t>
  </si>
  <si>
    <t>CSET_CN</t>
  </si>
  <si>
    <t>CSET_CD</t>
  </si>
  <si>
    <t>c_Pos_AndOr</t>
  </si>
  <si>
    <t>c_Neg_AndOr</t>
  </si>
  <si>
    <t>CCGT</t>
  </si>
  <si>
    <t>OCGT (Peaker)</t>
  </si>
  <si>
    <t>Subcritical Coal</t>
  </si>
  <si>
    <t>Supercritical Coal</t>
  </si>
  <si>
    <t>STG</t>
  </si>
  <si>
    <t>*hydro*</t>
  </si>
  <si>
    <t>Hydro pumped stg</t>
  </si>
  <si>
    <t>IGCC</t>
  </si>
  <si>
    <t>*IGCC*</t>
  </si>
  <si>
    <t>Gas_Oil Steam</t>
  </si>
  <si>
    <t>Int Comb</t>
  </si>
  <si>
    <t>EN*STG?hb*,-*EV*</t>
  </si>
  <si>
    <t>Util Batt Stg</t>
  </si>
  <si>
    <t>*EV*</t>
  </si>
  <si>
    <t>EV Batt</t>
  </si>
  <si>
    <t>solar</t>
  </si>
  <si>
    <t>geothermal</t>
  </si>
  <si>
    <t>hydro</t>
  </si>
  <si>
    <t>nuclear</t>
  </si>
  <si>
    <t>And</t>
  </si>
  <si>
    <t>Or</t>
  </si>
  <si>
    <t>Grid</t>
  </si>
  <si>
    <t>IRE</t>
  </si>
  <si>
    <t>g[_]*</t>
  </si>
  <si>
    <t>DMD</t>
  </si>
  <si>
    <t>Demand</t>
  </si>
  <si>
    <t>e*spv*</t>
  </si>
  <si>
    <t>e*won*,e*wof*</t>
  </si>
  <si>
    <t>bioenergy</t>
  </si>
  <si>
    <t>hydrogen</t>
  </si>
  <si>
    <t>ELC</t>
  </si>
  <si>
    <t>elc_buildings</t>
  </si>
  <si>
    <t>elc_industry</t>
  </si>
  <si>
    <t>elc_transport</t>
  </si>
  <si>
    <t>elc_roadtransport</t>
  </si>
  <si>
    <t>co2</t>
  </si>
  <si>
    <t>co2captured</t>
  </si>
  <si>
    <t>buildings</t>
  </si>
  <si>
    <t>industry</t>
  </si>
  <si>
    <t>transport</t>
  </si>
  <si>
    <t>EVs</t>
  </si>
  <si>
    <t>fossil</t>
  </si>
  <si>
    <t>coal,gas,oil</t>
  </si>
  <si>
    <t>geothermal,hydro,solar,wind</t>
  </si>
  <si>
    <t>PRE</t>
  </si>
  <si>
    <t>stepdown*</t>
  </si>
  <si>
    <t>Nuclear P</t>
  </si>
  <si>
    <t>*ror*</t>
  </si>
  <si>
    <t>Hydro RoR</t>
  </si>
  <si>
    <t>Geothermal P</t>
  </si>
  <si>
    <t>Bio Power</t>
  </si>
  <si>
    <t>Nuclear SMR</t>
  </si>
  <si>
    <t>*SMR*</t>
  </si>
  <si>
    <t>Solar Util</t>
  </si>
  <si>
    <t>-*SMR*</t>
  </si>
  <si>
    <t>-*ror*</t>
  </si>
  <si>
    <t>Hydro Dam</t>
  </si>
  <si>
    <t>renewable</t>
  </si>
  <si>
    <t>Solar elec</t>
  </si>
  <si>
    <t>Wind elec</t>
  </si>
  <si>
    <t>Aggregators</t>
  </si>
  <si>
    <t>IMP*Z</t>
  </si>
  <si>
    <t>DUMMY_IMP</t>
  </si>
  <si>
    <t>stepup*</t>
  </si>
  <si>
    <t>Transformers Up</t>
  </si>
  <si>
    <t>Transformers Dn</t>
  </si>
  <si>
    <t>windon</t>
  </si>
  <si>
    <t>windoff</t>
  </si>
  <si>
    <t>Onshore Wind</t>
  </si>
  <si>
    <t>Offshore Wind</t>
  </si>
  <si>
    <t>Wind onshore</t>
  </si>
  <si>
    <t>Wind offshore</t>
  </si>
  <si>
    <t>distr*</t>
  </si>
  <si>
    <t>e*[_]gas_internal_combustion*,e*[_]oil_internal_combustion*</t>
  </si>
  <si>
    <t>e*[_]gas_steam_turbine*,e*[_]oil_steam_turbine*</t>
  </si>
  <si>
    <t>e*[_]coal_CFB*,e*[_]coal_subcritical*,*subcritical*</t>
  </si>
  <si>
    <t>ELE,CHP</t>
  </si>
  <si>
    <t>bio*</t>
  </si>
  <si>
    <t>e*[_]gas_combined_cycle*,e*[_]oil_combined_cycle*,*CCGT*,*GasCC*</t>
  </si>
  <si>
    <t>e*[_]gas_gas_turbine*,e*[_]oil_gas_turbine*,*gas*turbine*,EN*CT*</t>
  </si>
  <si>
    <t>e*[_]coal_supercritical*,e*[_]coal_supercritical_CCS*,e*[_]coal_ultra-supercritical*,e*[_]coal_ultra-supercritical_CCS*,*supercritical*</t>
  </si>
  <si>
    <t>distr_sol*</t>
  </si>
  <si>
    <t>distr_won*</t>
  </si>
  <si>
    <t>distr_wof*</t>
  </si>
  <si>
    <t>coal</t>
  </si>
  <si>
    <t>~tfm_psets</t>
  </si>
  <si>
    <t>setname</t>
  </si>
  <si>
    <t>pset_co</t>
  </si>
  <si>
    <t>pset_ci</t>
  </si>
  <si>
    <t>t_pos_andor</t>
  </si>
  <si>
    <t>p_w52456886-400_SRB</t>
  </si>
  <si>
    <t>*[_]w52456886-400_SRB</t>
  </si>
  <si>
    <t>OR</t>
  </si>
  <si>
    <t>p_w52456886-220_SRB</t>
  </si>
  <si>
    <t>*[_]w52456886-220_SRB</t>
  </si>
  <si>
    <t>p_w52564762-400_SRB</t>
  </si>
  <si>
    <t>*[_]w52564762-400_SRB</t>
  </si>
  <si>
    <t>p_w52564762-220_SRB</t>
  </si>
  <si>
    <t>*[_]w52564762-220_SRB</t>
  </si>
  <si>
    <t>p_w89109496-400_SRB</t>
  </si>
  <si>
    <t>*[_]w89109496-400_SRB</t>
  </si>
  <si>
    <t>p_w144936638-400_SRB</t>
  </si>
  <si>
    <t>*[_]w144936638-400_SRB</t>
  </si>
  <si>
    <t>p_w144936638-220_SRB</t>
  </si>
  <si>
    <t>*[_]w144936638-220_SRB</t>
  </si>
  <si>
    <t>p_w152481174-400_SRB</t>
  </si>
  <si>
    <t>*[_]w152481174-400_SRB</t>
  </si>
  <si>
    <t>p_w152481174-220_SRB</t>
  </si>
  <si>
    <t>*[_]w152481174-220_SRB</t>
  </si>
  <si>
    <t>p_w174921474-400_SRB</t>
  </si>
  <si>
    <t>*[_]w174921474-400_SRB</t>
  </si>
  <si>
    <t>p_w196695540-220_SRB</t>
  </si>
  <si>
    <t>*[_]w196695540-220_SRB</t>
  </si>
  <si>
    <t>p_w232243950-400_SRB</t>
  </si>
  <si>
    <t>*[_]w232243950-400_SRB</t>
  </si>
  <si>
    <t>p_w235291237-220_SRB</t>
  </si>
  <si>
    <t>*[_]w235291237-220_SRB</t>
  </si>
  <si>
    <t>p_w236110936-400_SRB</t>
  </si>
  <si>
    <t>*[_]w236110936-400_SRB</t>
  </si>
  <si>
    <t>p_w236110936-220_SRB</t>
  </si>
  <si>
    <t>*[_]w236110936-220_SRB</t>
  </si>
  <si>
    <t>p_w236110952-400_SRB</t>
  </si>
  <si>
    <t>*[_]w236110952-400_SRB</t>
  </si>
  <si>
    <t>p_w236134509-220_SRB</t>
  </si>
  <si>
    <t>*[_]w236134509-220_SRB</t>
  </si>
  <si>
    <t>p_w237532249-220_SRB</t>
  </si>
  <si>
    <t>*[_]w237532249-220_SRB</t>
  </si>
  <si>
    <t>p_w238249884-400_SRB</t>
  </si>
  <si>
    <t>*[_]w238249884-400_SRB</t>
  </si>
  <si>
    <t>p_w238952272-400_SRB</t>
  </si>
  <si>
    <t>*[_]w238952272-400_SRB</t>
  </si>
  <si>
    <t>p_w238954545-400_SRB</t>
  </si>
  <si>
    <t>*[_]w238954545-400_SRB</t>
  </si>
  <si>
    <t>p_w239947121-400_SRB</t>
  </si>
  <si>
    <t>*[_]w239947121-400_SRB</t>
  </si>
  <si>
    <t>p_w239947121-220_SRB</t>
  </si>
  <si>
    <t>*[_]w239947121-220_SRB</t>
  </si>
  <si>
    <t>p_w239998425-400_SRB</t>
  </si>
  <si>
    <t>*[_]w239998425-400_SRB</t>
  </si>
  <si>
    <t>p_w239998425-220_SRB</t>
  </si>
  <si>
    <t>*[_]w239998425-220_SRB</t>
  </si>
  <si>
    <t>p_w240179355-400_SRB</t>
  </si>
  <si>
    <t>*[_]w240179355-400_SRB</t>
  </si>
  <si>
    <t>p_w254397982-220_SRB</t>
  </si>
  <si>
    <t>*[_]w254397982-220_SRB</t>
  </si>
  <si>
    <t>p_w267325562-400_SRB</t>
  </si>
  <si>
    <t>*[_]w267325562-400_SRB</t>
  </si>
  <si>
    <t>p_w273601208-220_SRB</t>
  </si>
  <si>
    <t>*[_]w273601208-220_SRB</t>
  </si>
  <si>
    <t>p_w273601210-400_SRB</t>
  </si>
  <si>
    <t>*[_]w273601210-400_SRB</t>
  </si>
  <si>
    <t>p_w288282829-220_SRB</t>
  </si>
  <si>
    <t>*[_]w288282829-220_SRB</t>
  </si>
  <si>
    <t>p_w307090968-220_SRB</t>
  </si>
  <si>
    <t>*[_]w307090968-220_SRB</t>
  </si>
  <si>
    <t>p_w317496363-220_SRB</t>
  </si>
  <si>
    <t>*[_]w317496363-220_SRB</t>
  </si>
  <si>
    <t>p_w317497727-220_SRB</t>
  </si>
  <si>
    <t>*[_]w317497727-220_SRB</t>
  </si>
  <si>
    <t>p_w317499556-400_SRB</t>
  </si>
  <si>
    <t>*[_]w317499556-400_SRB</t>
  </si>
  <si>
    <t>p_w330729171-400_SRB</t>
  </si>
  <si>
    <t>*[_]w330729171-400_SRB</t>
  </si>
  <si>
    <t>p_w330729178-220_SRB</t>
  </si>
  <si>
    <t>*[_]w330729178-220_SRB</t>
  </si>
  <si>
    <t>p_w411530745-220_SRB</t>
  </si>
  <si>
    <t>*[_]w411530745-220_SRB</t>
  </si>
  <si>
    <t>p_w419803318-400_SRB</t>
  </si>
  <si>
    <t>*[_]w419803318-400_SRB</t>
  </si>
  <si>
    <t>p_w419803318-220_SRB</t>
  </si>
  <si>
    <t>*[_]w419803318-220_SRB</t>
  </si>
  <si>
    <t>p_w498961839-400_SRB</t>
  </si>
  <si>
    <t>*[_]w498961839-400_SRB</t>
  </si>
  <si>
    <t>p_w613473916-220_SRB</t>
  </si>
  <si>
    <t>*[_]w613473916-220_SRB</t>
  </si>
  <si>
    <t>p_w616236270-220_SRB</t>
  </si>
  <si>
    <t>*[_]w616236270-220_SRB</t>
  </si>
  <si>
    <t>p_w616241694-220_SRB</t>
  </si>
  <si>
    <t>*[_]w616241694-220_SRB</t>
  </si>
  <si>
    <t>p_w808253261-400_SRB</t>
  </si>
  <si>
    <t>*[_]w808253261-400_SRB</t>
  </si>
  <si>
    <t>p_w839904125-220_SRB</t>
  </si>
  <si>
    <t>*[_]w839904125-220_SRB</t>
  </si>
  <si>
    <t>p_w1302365574-220_SRB</t>
  </si>
  <si>
    <t>*[_]w1302365574-220_SRB</t>
  </si>
  <si>
    <t>p_RS9-400_SRB</t>
  </si>
  <si>
    <t>*[_]RS9-400_SRB</t>
  </si>
  <si>
    <t>p_RS8-400_SRB</t>
  </si>
  <si>
    <t>*[_]RS8-400_SRB</t>
  </si>
  <si>
    <t>p_RS20-400_SRB</t>
  </si>
  <si>
    <t>*[_]RS20-400_SRB</t>
  </si>
  <si>
    <t>p_RS12-400_SRB</t>
  </si>
  <si>
    <t>*[_]RS12-400_SRB</t>
  </si>
  <si>
    <t>p_RS12-220_SRB</t>
  </si>
  <si>
    <t>*[_]RS12-220_SRB</t>
  </si>
  <si>
    <t>p_w317499556-220_SRB</t>
  </si>
  <si>
    <t>*[_]w317499556-220_SRB</t>
  </si>
  <si>
    <t>p_RS22-220_SRB</t>
  </si>
  <si>
    <t>*[_]RS22-220_SRB</t>
  </si>
  <si>
    <t>p_RS13-220_SRB</t>
  </si>
  <si>
    <t>*[_]RS13-220_SRB</t>
  </si>
  <si>
    <t>p_RS27-400_SRB</t>
  </si>
  <si>
    <t>*[_]RS27-400_SRB</t>
  </si>
  <si>
    <t>p_RS26-220_SRB</t>
  </si>
  <si>
    <t>*[_]RS26-220_SRB</t>
  </si>
  <si>
    <t>p_RS21-220_SRB</t>
  </si>
  <si>
    <t>*[_]RS21-220_SRB</t>
  </si>
  <si>
    <t>p_RS6-400_SRB</t>
  </si>
  <si>
    <t>*[_]RS6-400_SRB</t>
  </si>
  <si>
    <t>p_RS5-220_SRB</t>
  </si>
  <si>
    <t>*[_]RS5-220_SRB</t>
  </si>
  <si>
    <t>p_RS25-400_SRB</t>
  </si>
  <si>
    <t>*[_]RS25-400_SRB</t>
  </si>
  <si>
    <t>p_w273601210-220_SRB</t>
  </si>
  <si>
    <t>*[_]w273601210-220_SRB</t>
  </si>
  <si>
    <t>p_RS3-400_SRB</t>
  </si>
  <si>
    <t>*[_]RS3-400_SRB</t>
  </si>
  <si>
    <t>p_RS7-220_SRB</t>
  </si>
  <si>
    <t>*[_]RS7-220_SRB</t>
  </si>
  <si>
    <t>p_RS28-400_SRB</t>
  </si>
  <si>
    <t>*[_]RS28-400_SRB</t>
  </si>
  <si>
    <t>p_RS2-400_SRB</t>
  </si>
  <si>
    <t>*[_]RS2-400_SRB</t>
  </si>
  <si>
    <t>p_RS19-400_SRB</t>
  </si>
  <si>
    <t>*[_]RS19-400_SRB</t>
  </si>
  <si>
    <t>p_RS11-400_SRB</t>
  </si>
  <si>
    <t>*[_]RS11-400_SRB</t>
  </si>
  <si>
    <t>p_RS14-220_SRB</t>
  </si>
  <si>
    <t>*[_]RS14-220_SRB</t>
  </si>
  <si>
    <t>p_RS15-220_SRB</t>
  </si>
  <si>
    <t>*[_]RS15-220_SRB</t>
  </si>
  <si>
    <t>p_RS18-220_SRB</t>
  </si>
  <si>
    <t>*[_]RS18-220_SRB</t>
  </si>
  <si>
    <t>p_RS24-220_SRB</t>
  </si>
  <si>
    <t>*[_]RS24-220_SRB</t>
  </si>
  <si>
    <t>p_RS29-220_SRB</t>
  </si>
  <si>
    <t>*[_]RS29-220_SRB</t>
  </si>
  <si>
    <t>p_RS17-220_SRB</t>
  </si>
  <si>
    <t>*[_]RS17-220_SRB</t>
  </si>
  <si>
    <t>p_RS4-400_SRB</t>
  </si>
  <si>
    <t>*[_]RS4-400_SRB</t>
  </si>
  <si>
    <t>p_RS1-400_SRB</t>
  </si>
  <si>
    <t>*[_]RS1-400_SRB</t>
  </si>
  <si>
    <t>p_RS10-400_SRB</t>
  </si>
  <si>
    <t>*[_]RS10-400_SRB</t>
  </si>
  <si>
    <t>rez_spv_SRB_001</t>
  </si>
  <si>
    <t>elc_spv_SRB_001</t>
  </si>
  <si>
    <t>rez_spv_SRB_002</t>
  </si>
  <si>
    <t>elc_spv_SRB_002</t>
  </si>
  <si>
    <t>rez_spv_SRB_003</t>
  </si>
  <si>
    <t>elc_spv_SRB_003</t>
  </si>
  <si>
    <t>rez_spv_SRB_004</t>
  </si>
  <si>
    <t>elc_spv_SRB_004</t>
  </si>
  <si>
    <t>rez_spv_SRB_005</t>
  </si>
  <si>
    <t>elc_spv_SRB_005</t>
  </si>
  <si>
    <t>rez_spv_SRB_006</t>
  </si>
  <si>
    <t>elc_spv_SRB_006</t>
  </si>
  <si>
    <t>rez_spv_SRB_007</t>
  </si>
  <si>
    <t>elc_spv_SRB_007</t>
  </si>
  <si>
    <t>rez_spv_SRB_008</t>
  </si>
  <si>
    <t>elc_spv_SRB_008</t>
  </si>
  <si>
    <t>rez_spv_SRB_009</t>
  </si>
  <si>
    <t>elc_spv_SRB_009</t>
  </si>
  <si>
    <t>rez_spv_SRB_010</t>
  </si>
  <si>
    <t>elc_spv_SRB_010</t>
  </si>
  <si>
    <t>rez_spv_SRB_011</t>
  </si>
  <si>
    <t>elc_spv_SRB_011</t>
  </si>
  <si>
    <t>rez_spv_SRB_012</t>
  </si>
  <si>
    <t>elc_spv_SRB_012</t>
  </si>
  <si>
    <t>rez_spv_SRB_013</t>
  </si>
  <si>
    <t>elc_spv_SRB_013</t>
  </si>
  <si>
    <t>rez_spv_SRB_014</t>
  </si>
  <si>
    <t>elc_spv_SRB_014</t>
  </si>
  <si>
    <t>rez_spv_SRB_015</t>
  </si>
  <si>
    <t>elc_spv_SRB_015</t>
  </si>
  <si>
    <t>rez_spv_SRB_016</t>
  </si>
  <si>
    <t>elc_spv_SRB_016</t>
  </si>
  <si>
    <t>rez_spv_SRB_017</t>
  </si>
  <si>
    <t>elc_spv_SRB_017</t>
  </si>
  <si>
    <t>rez_spv_SRB_018</t>
  </si>
  <si>
    <t>elc_spv_SRB_018</t>
  </si>
  <si>
    <t>rez_won_SRB_001</t>
  </si>
  <si>
    <t>elc_won_SRB_001</t>
  </si>
  <si>
    <t>rez_won_SRB_002</t>
  </si>
  <si>
    <t>elc_won_SRB_002</t>
  </si>
  <si>
    <t>rez_won_SRB_003</t>
  </si>
  <si>
    <t>elc_won_SRB_003</t>
  </si>
  <si>
    <t>rez_won_SRB_004</t>
  </si>
  <si>
    <t>elc_won_SRB_004</t>
  </si>
  <si>
    <t>rez_won_SRB_005</t>
  </si>
  <si>
    <t>elc_won_SRB_005</t>
  </si>
  <si>
    <t>rez_won_SRB_006</t>
  </si>
  <si>
    <t>elc_won_SRB_006</t>
  </si>
  <si>
    <t>rez_won_SRB_007</t>
  </si>
  <si>
    <t>elc_won_SRB_007</t>
  </si>
  <si>
    <t>rez_won_SRB_008</t>
  </si>
  <si>
    <t>elc_won_SRB_008</t>
  </si>
  <si>
    <t>rez_won_SRB_009</t>
  </si>
  <si>
    <t>elc_won_SRB_009</t>
  </si>
  <si>
    <t>rez_won_SRB_010</t>
  </si>
  <si>
    <t>elc_won_SRB_010</t>
  </si>
  <si>
    <t>rez_won_SRB_011</t>
  </si>
  <si>
    <t>elc_won_SRB_011</t>
  </si>
  <si>
    <t>rez_won_SRB_012</t>
  </si>
  <si>
    <t>elc_won_SRB_012</t>
  </si>
  <si>
    <t>rez_won_SRB_013</t>
  </si>
  <si>
    <t>elc_won_SRB_013</t>
  </si>
  <si>
    <t>rez_won_SRB_014</t>
  </si>
  <si>
    <t>elc_won_SRB_014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</si>
</sst>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</cellStyleXfs>
  <cellXfs count="5">
    <xf numFmtId="0" fontId="0" fillId="0" borderId="0" xfId="0"/>
    <xf numFmtId="0" fontId="1" fillId="0" borderId="1" xfId="1"/>
    <xf numFmtId="0" fontId="2" fillId="0" borderId="2" xfId="2"/>
    <xf numFmtId="0" fontId="0" fillId="0" borderId="0" xfId="0" quotePrefix="1"/>
    <xf numFmtId="0" fontId="0" fillId="2" borderId="0" xfId="0" applyFill="1"/>
  </cellXfs>
  <cellStyles count="3">
    <cellStyle name="Heading 2" xfId="1" builtinId="17"/>
    <cellStyle name="Heading 3" xfId="2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68F12-506D-4B74-BF24-03EBDA23C84D}">
  <dimension ref="A1:K37"/>
  <sheetViews>
    <sheetView workbookViewId="0"/>
  </sheetViews>
  <sheetFormatPr defaultRowHeight="15" x14ac:dyDescent="0.25"/>
  <cols>
    <col min="1" max="1" width="10.140625" bestFit="1" customWidth="1"/>
    <col min="2" max="2" width="14.85546875" bestFit="1" customWidth="1"/>
    <col min="3" max="3" width="7.5703125" bestFit="1" customWidth="1"/>
    <col min="4" max="4" width="8.5703125" bestFit="1" customWidth="1"/>
    <col min="5" max="5" width="6.85546875" bestFit="1" customWidth="1"/>
    <col min="6" max="6" width="11.140625" bestFit="1" customWidth="1"/>
    <col min="7" max="7" width="11.5703125" bestFit="1" customWidth="1"/>
    <col min="8" max="8" width="8.42578125" bestFit="1" customWidth="1"/>
    <col min="11" max="11" width="3.7109375" bestFit="1" customWidth="1"/>
  </cols>
  <sheetData>
    <row r="1" spans="1:11" x14ac:dyDescent="0.25">
      <c r="A1" t="s">
        <v>12</v>
      </c>
    </row>
    <row r="2" spans="1:11" x14ac:dyDescent="0.25">
      <c r="A2" t="s">
        <v>13</v>
      </c>
      <c r="B2" t="s">
        <v>14</v>
      </c>
      <c r="C2" t="s">
        <v>15</v>
      </c>
      <c r="D2" t="s">
        <v>6</v>
      </c>
      <c r="E2" t="s">
        <v>7</v>
      </c>
      <c r="F2" t="s">
        <v>16</v>
      </c>
      <c r="G2" t="s">
        <v>17</v>
      </c>
      <c r="H2" t="s">
        <v>10</v>
      </c>
    </row>
    <row r="3" spans="1:11" x14ac:dyDescent="0.25">
      <c r="B3" t="str">
        <f>"e_*"&amp;K3</f>
        <v>e_*220</v>
      </c>
      <c r="D3" t="str">
        <f t="shared" ref="D3:D23" si="0">"Elec-"&amp;K3&amp;"V"</f>
        <v>Elec-220V</v>
      </c>
      <c r="K3">
        <v>220</v>
      </c>
    </row>
    <row r="4" spans="1:11" x14ac:dyDescent="0.25">
      <c r="B4" t="str">
        <f t="shared" ref="B4:B23" si="1">"e_*"&amp;K4</f>
        <v>e_*400</v>
      </c>
      <c r="D4" t="str">
        <f t="shared" si="0"/>
        <v>Elec-400V</v>
      </c>
      <c r="K4">
        <v>400</v>
      </c>
    </row>
    <row r="5" spans="1:11" x14ac:dyDescent="0.25">
      <c r="B5" t="str">
        <f t="shared" si="1"/>
        <v>e_*380</v>
      </c>
      <c r="D5" t="str">
        <f t="shared" si="0"/>
        <v>Elec-380V</v>
      </c>
      <c r="K5">
        <v>380</v>
      </c>
    </row>
    <row r="6" spans="1:11" x14ac:dyDescent="0.25">
      <c r="B6" t="str">
        <f t="shared" si="1"/>
        <v>e_*225</v>
      </c>
      <c r="D6" t="str">
        <f t="shared" si="0"/>
        <v>Elec-225V</v>
      </c>
      <c r="K6">
        <v>225</v>
      </c>
    </row>
    <row r="7" spans="1:11" x14ac:dyDescent="0.25">
      <c r="B7" t="str">
        <f t="shared" si="1"/>
        <v>e_*330</v>
      </c>
      <c r="D7" t="str">
        <f t="shared" si="0"/>
        <v>Elec-330V</v>
      </c>
      <c r="K7">
        <v>330</v>
      </c>
    </row>
    <row r="8" spans="1:11" x14ac:dyDescent="0.25">
      <c r="B8" t="str">
        <f t="shared" si="1"/>
        <v>e_*275</v>
      </c>
      <c r="D8" t="str">
        <f t="shared" si="0"/>
        <v>Elec-275V</v>
      </c>
      <c r="K8">
        <v>275</v>
      </c>
    </row>
    <row r="9" spans="1:11" x14ac:dyDescent="0.25">
      <c r="B9" t="str">
        <f t="shared" si="1"/>
        <v>e_*420</v>
      </c>
      <c r="D9" t="str">
        <f t="shared" si="0"/>
        <v>Elec-420V</v>
      </c>
      <c r="K9">
        <v>420</v>
      </c>
    </row>
    <row r="10" spans="1:11" x14ac:dyDescent="0.25">
      <c r="B10" t="str">
        <f t="shared" si="1"/>
        <v>e_*300</v>
      </c>
      <c r="D10" t="str">
        <f t="shared" si="0"/>
        <v>Elec-300V</v>
      </c>
      <c r="K10">
        <v>300</v>
      </c>
    </row>
    <row r="11" spans="1:11" x14ac:dyDescent="0.25">
      <c r="B11" t="str">
        <f t="shared" si="1"/>
        <v>e_*500</v>
      </c>
      <c r="D11" t="str">
        <f t="shared" si="0"/>
        <v>Elec-500V</v>
      </c>
      <c r="K11">
        <v>500</v>
      </c>
    </row>
    <row r="12" spans="1:11" x14ac:dyDescent="0.25">
      <c r="B12" t="str">
        <f t="shared" si="1"/>
        <v>e_*750</v>
      </c>
      <c r="D12" t="str">
        <f t="shared" si="0"/>
        <v>Elec-750V</v>
      </c>
      <c r="K12">
        <v>750</v>
      </c>
    </row>
    <row r="13" spans="1:11" x14ac:dyDescent="0.25">
      <c r="B13" t="str">
        <f t="shared" si="1"/>
        <v>e_*450</v>
      </c>
      <c r="D13" t="str">
        <f t="shared" si="0"/>
        <v>Elec-450V</v>
      </c>
      <c r="K13">
        <v>450</v>
      </c>
    </row>
    <row r="14" spans="1:11" x14ac:dyDescent="0.25">
      <c r="B14" t="str">
        <f t="shared" si="1"/>
        <v>e_*515</v>
      </c>
      <c r="D14" t="str">
        <f t="shared" si="0"/>
        <v>Elec-515V</v>
      </c>
      <c r="K14">
        <v>515</v>
      </c>
    </row>
    <row r="15" spans="1:11" x14ac:dyDescent="0.25">
      <c r="B15" t="str">
        <f t="shared" si="1"/>
        <v>e_*525</v>
      </c>
      <c r="D15" t="str">
        <f t="shared" si="0"/>
        <v>Elec-525V</v>
      </c>
      <c r="K15">
        <v>525</v>
      </c>
    </row>
    <row r="16" spans="1:11" x14ac:dyDescent="0.25">
      <c r="B16" t="str">
        <f t="shared" si="1"/>
        <v>e_*320</v>
      </c>
      <c r="D16" t="str">
        <f t="shared" si="0"/>
        <v>Elec-320V</v>
      </c>
      <c r="K16">
        <v>320</v>
      </c>
    </row>
    <row r="17" spans="2:11" x14ac:dyDescent="0.25">
      <c r="B17" t="str">
        <f t="shared" si="1"/>
        <v>e_*150</v>
      </c>
      <c r="D17" t="str">
        <f t="shared" si="0"/>
        <v>Elec-150V</v>
      </c>
      <c r="K17">
        <v>150</v>
      </c>
    </row>
    <row r="18" spans="2:11" x14ac:dyDescent="0.25">
      <c r="B18" t="str">
        <f t="shared" si="1"/>
        <v>e_*270</v>
      </c>
      <c r="D18" t="str">
        <f t="shared" si="0"/>
        <v>Elec-270V</v>
      </c>
      <c r="K18">
        <v>270</v>
      </c>
    </row>
    <row r="19" spans="2:11" x14ac:dyDescent="0.25">
      <c r="B19" t="str">
        <f t="shared" si="1"/>
        <v>e_*350</v>
      </c>
      <c r="D19" t="str">
        <f t="shared" si="0"/>
        <v>Elec-350V</v>
      </c>
      <c r="K19">
        <v>350</v>
      </c>
    </row>
    <row r="20" spans="2:11" x14ac:dyDescent="0.25">
      <c r="B20" t="str">
        <f t="shared" si="1"/>
        <v>e_*250</v>
      </c>
      <c r="D20" t="str">
        <f t="shared" si="0"/>
        <v>Elec-250V</v>
      </c>
      <c r="K20">
        <v>250</v>
      </c>
    </row>
    <row r="21" spans="2:11" x14ac:dyDescent="0.25">
      <c r="B21" t="str">
        <f t="shared" si="1"/>
        <v>e_*200</v>
      </c>
      <c r="D21" t="str">
        <f t="shared" si="0"/>
        <v>Elec-200V</v>
      </c>
      <c r="K21">
        <v>200</v>
      </c>
    </row>
    <row r="22" spans="2:11" x14ac:dyDescent="0.25">
      <c r="B22" t="str">
        <f t="shared" si="1"/>
        <v>e_*236</v>
      </c>
      <c r="D22" t="str">
        <f t="shared" si="0"/>
        <v>Elec-236V</v>
      </c>
      <c r="K22">
        <v>236</v>
      </c>
    </row>
    <row r="23" spans="2:11" x14ac:dyDescent="0.25">
      <c r="B23" t="str">
        <f t="shared" si="1"/>
        <v>e_*600</v>
      </c>
      <c r="D23" t="str">
        <f t="shared" si="0"/>
        <v>Elec-600V</v>
      </c>
      <c r="K23">
        <v>600</v>
      </c>
    </row>
    <row r="24" spans="2:11" x14ac:dyDescent="0.25">
      <c r="B24" t="s">
        <v>44</v>
      </c>
      <c r="D24" t="s">
        <v>76</v>
      </c>
    </row>
    <row r="25" spans="2:11" x14ac:dyDescent="0.25">
      <c r="B25" t="s">
        <v>45</v>
      </c>
      <c r="D25" t="s">
        <v>77</v>
      </c>
    </row>
    <row r="26" spans="2:11" x14ac:dyDescent="0.25">
      <c r="B26" t="s">
        <v>60</v>
      </c>
      <c r="D26" t="s">
        <v>59</v>
      </c>
    </row>
    <row r="27" spans="2:11" x14ac:dyDescent="0.25">
      <c r="B27" t="s">
        <v>61</v>
      </c>
      <c r="D27" t="s">
        <v>75</v>
      </c>
    </row>
    <row r="28" spans="2:11" x14ac:dyDescent="0.25">
      <c r="B28" t="s">
        <v>46</v>
      </c>
      <c r="D28" t="str">
        <f>B28</f>
        <v>bioenergy</v>
      </c>
    </row>
    <row r="29" spans="2:11" x14ac:dyDescent="0.25">
      <c r="B29" t="s">
        <v>47</v>
      </c>
      <c r="D29" t="str">
        <f>B29</f>
        <v>hydrogen</v>
      </c>
    </row>
    <row r="30" spans="2:11" x14ac:dyDescent="0.25">
      <c r="B30" t="s">
        <v>36</v>
      </c>
      <c r="D30" t="str">
        <f>B30</f>
        <v>nuclear</v>
      </c>
    </row>
    <row r="31" spans="2:11" x14ac:dyDescent="0.25">
      <c r="B31" t="s">
        <v>48</v>
      </c>
      <c r="D31" t="str">
        <f>B31</f>
        <v>ELC</v>
      </c>
    </row>
    <row r="32" spans="2:11" x14ac:dyDescent="0.25">
      <c r="B32" t="s">
        <v>49</v>
      </c>
      <c r="D32" t="s">
        <v>55</v>
      </c>
    </row>
    <row r="33" spans="2:4" x14ac:dyDescent="0.25">
      <c r="B33" t="s">
        <v>50</v>
      </c>
      <c r="D33" t="s">
        <v>56</v>
      </c>
    </row>
    <row r="34" spans="2:4" x14ac:dyDescent="0.25">
      <c r="B34" t="s">
        <v>51</v>
      </c>
      <c r="D34" t="s">
        <v>57</v>
      </c>
    </row>
    <row r="35" spans="2:4" x14ac:dyDescent="0.25">
      <c r="B35" t="s">
        <v>52</v>
      </c>
      <c r="D35" t="s">
        <v>58</v>
      </c>
    </row>
    <row r="36" spans="2:4" x14ac:dyDescent="0.25">
      <c r="B36" t="s">
        <v>53</v>
      </c>
      <c r="D36" t="str">
        <f>B36</f>
        <v>co2</v>
      </c>
    </row>
    <row r="37" spans="2:4" x14ac:dyDescent="0.25">
      <c r="B37" t="s">
        <v>54</v>
      </c>
      <c r="D37" t="str">
        <f>B37</f>
        <v>co2captured</v>
      </c>
    </row>
  </sheetData>
  <sortState xmlns:xlrd2="http://schemas.microsoft.com/office/spreadsheetml/2017/richdata2" ref="A26:D37">
    <sortCondition ref="A26:A3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CBBA0-7F25-41DA-9778-DA1731ECC1FA}">
  <dimension ref="B9:E119"/>
  <sheetViews>
    <sheetView tabSelected="1" workbookViewId="0"/>
  </sheetViews>
  <sheetFormatPr defaultRowHeight="15" x14ac:dyDescent="0.25"/>
  <sheetData>
    <row r="9" spans="2:5" x14ac:dyDescent="0.25">
      <c r="B9" t="s">
        <v>103</v>
      </c>
    </row>
    <row r="10" spans="2:5" x14ac:dyDescent="0.25">
      <c r="B10" t="s">
        <v>104</v>
      </c>
      <c r="C10" t="s">
        <v>105</v>
      </c>
      <c r="D10" t="s">
        <v>106</v>
      </c>
      <c r="E10" t="s">
        <v>107</v>
      </c>
    </row>
    <row r="11" spans="2:5" x14ac:dyDescent="0.25">
      <c r="B11" t="s">
        <v>108</v>
      </c>
      <c r="C11" t="s">
        <v>109</v>
      </c>
      <c r="D11" t="s">
        <v>109</v>
      </c>
      <c r="E11" t="s">
        <v>110</v>
      </c>
    </row>
    <row r="12" spans="2:5" x14ac:dyDescent="0.25">
      <c r="B12" t="s">
        <v>111</v>
      </c>
      <c r="C12" t="s">
        <v>112</v>
      </c>
      <c r="D12" t="s">
        <v>112</v>
      </c>
      <c r="E12" t="s">
        <v>110</v>
      </c>
    </row>
    <row r="13" spans="2:5" x14ac:dyDescent="0.25">
      <c r="B13" t="s">
        <v>113</v>
      </c>
      <c r="C13" t="s">
        <v>114</v>
      </c>
      <c r="D13" t="s">
        <v>114</v>
      </c>
      <c r="E13" t="s">
        <v>110</v>
      </c>
    </row>
    <row r="14" spans="2:5" x14ac:dyDescent="0.25">
      <c r="B14" t="s">
        <v>115</v>
      </c>
      <c r="C14" t="s">
        <v>116</v>
      </c>
      <c r="D14" t="s">
        <v>116</v>
      </c>
      <c r="E14" t="s">
        <v>110</v>
      </c>
    </row>
    <row r="15" spans="2:5" x14ac:dyDescent="0.25">
      <c r="B15" t="s">
        <v>117</v>
      </c>
      <c r="C15" t="s">
        <v>118</v>
      </c>
      <c r="D15" t="s">
        <v>118</v>
      </c>
      <c r="E15" t="s">
        <v>110</v>
      </c>
    </row>
    <row r="16" spans="2:5" x14ac:dyDescent="0.25">
      <c r="B16" t="s">
        <v>119</v>
      </c>
      <c r="C16" t="s">
        <v>120</v>
      </c>
      <c r="D16" t="s">
        <v>120</v>
      </c>
      <c r="E16" t="s">
        <v>110</v>
      </c>
    </row>
    <row r="17" spans="2:5" x14ac:dyDescent="0.25">
      <c r="B17" t="s">
        <v>121</v>
      </c>
      <c r="C17" t="s">
        <v>122</v>
      </c>
      <c r="D17" t="s">
        <v>122</v>
      </c>
      <c r="E17" t="s">
        <v>110</v>
      </c>
    </row>
    <row r="18" spans="2:5" x14ac:dyDescent="0.25">
      <c r="B18" t="s">
        <v>123</v>
      </c>
      <c r="C18" t="s">
        <v>124</v>
      </c>
      <c r="D18" t="s">
        <v>124</v>
      </c>
      <c r="E18" t="s">
        <v>110</v>
      </c>
    </row>
    <row r="19" spans="2:5" x14ac:dyDescent="0.25">
      <c r="B19" t="s">
        <v>125</v>
      </c>
      <c r="C19" t="s">
        <v>126</v>
      </c>
      <c r="D19" t="s">
        <v>126</v>
      </c>
      <c r="E19" t="s">
        <v>110</v>
      </c>
    </row>
    <row r="20" spans="2:5" x14ac:dyDescent="0.25">
      <c r="B20" t="s">
        <v>127</v>
      </c>
      <c r="C20" t="s">
        <v>128</v>
      </c>
      <c r="D20" t="s">
        <v>128</v>
      </c>
      <c r="E20" t="s">
        <v>110</v>
      </c>
    </row>
    <row r="21" spans="2:5" x14ac:dyDescent="0.25">
      <c r="B21" t="s">
        <v>129</v>
      </c>
      <c r="C21" t="s">
        <v>130</v>
      </c>
      <c r="D21" t="s">
        <v>130</v>
      </c>
      <c r="E21" t="s">
        <v>110</v>
      </c>
    </row>
    <row r="22" spans="2:5" x14ac:dyDescent="0.25">
      <c r="B22" t="s">
        <v>131</v>
      </c>
      <c r="C22" t="s">
        <v>132</v>
      </c>
      <c r="D22" t="s">
        <v>132</v>
      </c>
      <c r="E22" t="s">
        <v>110</v>
      </c>
    </row>
    <row r="23" spans="2:5" x14ac:dyDescent="0.25">
      <c r="B23" t="s">
        <v>133</v>
      </c>
      <c r="C23" t="s">
        <v>134</v>
      </c>
      <c r="D23" t="s">
        <v>134</v>
      </c>
      <c r="E23" t="s">
        <v>110</v>
      </c>
    </row>
    <row r="24" spans="2:5" x14ac:dyDescent="0.25">
      <c r="B24" t="s">
        <v>135</v>
      </c>
      <c r="C24" t="s">
        <v>136</v>
      </c>
      <c r="D24" t="s">
        <v>136</v>
      </c>
      <c r="E24" t="s">
        <v>110</v>
      </c>
    </row>
    <row r="25" spans="2:5" x14ac:dyDescent="0.25">
      <c r="B25" t="s">
        <v>137</v>
      </c>
      <c r="C25" t="s">
        <v>138</v>
      </c>
      <c r="D25" t="s">
        <v>138</v>
      </c>
      <c r="E25" t="s">
        <v>110</v>
      </c>
    </row>
    <row r="26" spans="2:5" x14ac:dyDescent="0.25">
      <c r="B26" t="s">
        <v>139</v>
      </c>
      <c r="C26" t="s">
        <v>140</v>
      </c>
      <c r="D26" t="s">
        <v>140</v>
      </c>
      <c r="E26" t="s">
        <v>110</v>
      </c>
    </row>
    <row r="27" spans="2:5" x14ac:dyDescent="0.25">
      <c r="B27" t="s">
        <v>141</v>
      </c>
      <c r="C27" t="s">
        <v>142</v>
      </c>
      <c r="D27" t="s">
        <v>142</v>
      </c>
      <c r="E27" t="s">
        <v>110</v>
      </c>
    </row>
    <row r="28" spans="2:5" x14ac:dyDescent="0.25">
      <c r="B28" t="s">
        <v>143</v>
      </c>
      <c r="C28" t="s">
        <v>144</v>
      </c>
      <c r="D28" t="s">
        <v>144</v>
      </c>
      <c r="E28" t="s">
        <v>110</v>
      </c>
    </row>
    <row r="29" spans="2:5" x14ac:dyDescent="0.25">
      <c r="B29" t="s">
        <v>145</v>
      </c>
      <c r="C29" t="s">
        <v>146</v>
      </c>
      <c r="D29" t="s">
        <v>146</v>
      </c>
      <c r="E29" t="s">
        <v>110</v>
      </c>
    </row>
    <row r="30" spans="2:5" x14ac:dyDescent="0.25">
      <c r="B30" t="s">
        <v>147</v>
      </c>
      <c r="C30" t="s">
        <v>148</v>
      </c>
      <c r="D30" t="s">
        <v>148</v>
      </c>
      <c r="E30" t="s">
        <v>110</v>
      </c>
    </row>
    <row r="31" spans="2:5" x14ac:dyDescent="0.25">
      <c r="B31" t="s">
        <v>149</v>
      </c>
      <c r="C31" t="s">
        <v>150</v>
      </c>
      <c r="D31" t="s">
        <v>150</v>
      </c>
      <c r="E31" t="s">
        <v>110</v>
      </c>
    </row>
    <row r="32" spans="2:5" x14ac:dyDescent="0.25">
      <c r="B32" t="s">
        <v>151</v>
      </c>
      <c r="C32" t="s">
        <v>152</v>
      </c>
      <c r="D32" t="s">
        <v>152</v>
      </c>
      <c r="E32" t="s">
        <v>110</v>
      </c>
    </row>
    <row r="33" spans="2:5" x14ac:dyDescent="0.25">
      <c r="B33" t="s">
        <v>153</v>
      </c>
      <c r="C33" t="s">
        <v>154</v>
      </c>
      <c r="D33" t="s">
        <v>154</v>
      </c>
      <c r="E33" t="s">
        <v>110</v>
      </c>
    </row>
    <row r="34" spans="2:5" x14ac:dyDescent="0.25">
      <c r="B34" t="s">
        <v>155</v>
      </c>
      <c r="C34" t="s">
        <v>156</v>
      </c>
      <c r="D34" t="s">
        <v>156</v>
      </c>
      <c r="E34" t="s">
        <v>110</v>
      </c>
    </row>
    <row r="35" spans="2:5" x14ac:dyDescent="0.25">
      <c r="B35" t="s">
        <v>157</v>
      </c>
      <c r="C35" t="s">
        <v>158</v>
      </c>
      <c r="D35" t="s">
        <v>158</v>
      </c>
      <c r="E35" t="s">
        <v>110</v>
      </c>
    </row>
    <row r="36" spans="2:5" x14ac:dyDescent="0.25">
      <c r="B36" t="s">
        <v>159</v>
      </c>
      <c r="C36" t="s">
        <v>160</v>
      </c>
      <c r="D36" t="s">
        <v>160</v>
      </c>
      <c r="E36" t="s">
        <v>110</v>
      </c>
    </row>
    <row r="37" spans="2:5" x14ac:dyDescent="0.25">
      <c r="B37" t="s">
        <v>161</v>
      </c>
      <c r="C37" t="s">
        <v>162</v>
      </c>
      <c r="D37" t="s">
        <v>162</v>
      </c>
      <c r="E37" t="s">
        <v>110</v>
      </c>
    </row>
    <row r="38" spans="2:5" x14ac:dyDescent="0.25">
      <c r="B38" t="s">
        <v>163</v>
      </c>
      <c r="C38" t="s">
        <v>164</v>
      </c>
      <c r="D38" t="s">
        <v>164</v>
      </c>
      <c r="E38" t="s">
        <v>110</v>
      </c>
    </row>
    <row r="39" spans="2:5" x14ac:dyDescent="0.25">
      <c r="B39" t="s">
        <v>165</v>
      </c>
      <c r="C39" t="s">
        <v>166</v>
      </c>
      <c r="D39" t="s">
        <v>166</v>
      </c>
      <c r="E39" t="s">
        <v>110</v>
      </c>
    </row>
    <row r="40" spans="2:5" x14ac:dyDescent="0.25">
      <c r="B40" t="s">
        <v>167</v>
      </c>
      <c r="C40" t="s">
        <v>168</v>
      </c>
      <c r="D40" t="s">
        <v>168</v>
      </c>
      <c r="E40" t="s">
        <v>110</v>
      </c>
    </row>
    <row r="41" spans="2:5" x14ac:dyDescent="0.25">
      <c r="B41" t="s">
        <v>169</v>
      </c>
      <c r="C41" t="s">
        <v>170</v>
      </c>
      <c r="D41" t="s">
        <v>170</v>
      </c>
      <c r="E41" t="s">
        <v>110</v>
      </c>
    </row>
    <row r="42" spans="2:5" x14ac:dyDescent="0.25">
      <c r="B42" t="s">
        <v>171</v>
      </c>
      <c r="C42" t="s">
        <v>172</v>
      </c>
      <c r="D42" t="s">
        <v>172</v>
      </c>
      <c r="E42" t="s">
        <v>110</v>
      </c>
    </row>
    <row r="43" spans="2:5" x14ac:dyDescent="0.25">
      <c r="B43" t="s">
        <v>173</v>
      </c>
      <c r="C43" t="s">
        <v>174</v>
      </c>
      <c r="D43" t="s">
        <v>174</v>
      </c>
      <c r="E43" t="s">
        <v>110</v>
      </c>
    </row>
    <row r="44" spans="2:5" x14ac:dyDescent="0.25">
      <c r="B44" t="s">
        <v>175</v>
      </c>
      <c r="C44" t="s">
        <v>176</v>
      </c>
      <c r="D44" t="s">
        <v>176</v>
      </c>
      <c r="E44" t="s">
        <v>110</v>
      </c>
    </row>
    <row r="45" spans="2:5" x14ac:dyDescent="0.25">
      <c r="B45" t="s">
        <v>177</v>
      </c>
      <c r="C45" t="s">
        <v>178</v>
      </c>
      <c r="D45" t="s">
        <v>178</v>
      </c>
      <c r="E45" t="s">
        <v>110</v>
      </c>
    </row>
    <row r="46" spans="2:5" x14ac:dyDescent="0.25">
      <c r="B46" t="s">
        <v>179</v>
      </c>
      <c r="C46" t="s">
        <v>180</v>
      </c>
      <c r="D46" t="s">
        <v>180</v>
      </c>
      <c r="E46" t="s">
        <v>110</v>
      </c>
    </row>
    <row r="47" spans="2:5" x14ac:dyDescent="0.25">
      <c r="B47" t="s">
        <v>181</v>
      </c>
      <c r="C47" t="s">
        <v>182</v>
      </c>
      <c r="D47" t="s">
        <v>182</v>
      </c>
      <c r="E47" t="s">
        <v>110</v>
      </c>
    </row>
    <row r="48" spans="2:5" x14ac:dyDescent="0.25">
      <c r="B48" t="s">
        <v>183</v>
      </c>
      <c r="C48" t="s">
        <v>184</v>
      </c>
      <c r="D48" t="s">
        <v>184</v>
      </c>
      <c r="E48" t="s">
        <v>110</v>
      </c>
    </row>
    <row r="49" spans="2:5" x14ac:dyDescent="0.25">
      <c r="B49" t="s">
        <v>185</v>
      </c>
      <c r="C49" t="s">
        <v>186</v>
      </c>
      <c r="D49" t="s">
        <v>186</v>
      </c>
      <c r="E49" t="s">
        <v>110</v>
      </c>
    </row>
    <row r="50" spans="2:5" x14ac:dyDescent="0.25">
      <c r="B50" t="s">
        <v>187</v>
      </c>
      <c r="C50" t="s">
        <v>188</v>
      </c>
      <c r="D50" t="s">
        <v>188</v>
      </c>
      <c r="E50" t="s">
        <v>110</v>
      </c>
    </row>
    <row r="51" spans="2:5" x14ac:dyDescent="0.25">
      <c r="B51" t="s">
        <v>189</v>
      </c>
      <c r="C51" t="s">
        <v>190</v>
      </c>
      <c r="D51" t="s">
        <v>190</v>
      </c>
      <c r="E51" t="s">
        <v>110</v>
      </c>
    </row>
    <row r="52" spans="2:5" x14ac:dyDescent="0.25">
      <c r="B52" t="s">
        <v>191</v>
      </c>
      <c r="C52" t="s">
        <v>192</v>
      </c>
      <c r="D52" t="s">
        <v>192</v>
      </c>
      <c r="E52" t="s">
        <v>110</v>
      </c>
    </row>
    <row r="53" spans="2:5" x14ac:dyDescent="0.25">
      <c r="B53" t="s">
        <v>193</v>
      </c>
      <c r="C53" t="s">
        <v>194</v>
      </c>
      <c r="D53" t="s">
        <v>194</v>
      </c>
      <c r="E53" t="s">
        <v>110</v>
      </c>
    </row>
    <row r="54" spans="2:5" x14ac:dyDescent="0.25">
      <c r="B54" t="s">
        <v>195</v>
      </c>
      <c r="C54" t="s">
        <v>196</v>
      </c>
      <c r="D54" t="s">
        <v>196</v>
      </c>
      <c r="E54" t="s">
        <v>110</v>
      </c>
    </row>
    <row r="55" spans="2:5" x14ac:dyDescent="0.25">
      <c r="B55" t="s">
        <v>197</v>
      </c>
      <c r="C55" t="s">
        <v>198</v>
      </c>
      <c r="D55" t="s">
        <v>198</v>
      </c>
      <c r="E55" t="s">
        <v>110</v>
      </c>
    </row>
    <row r="56" spans="2:5" x14ac:dyDescent="0.25">
      <c r="B56" t="s">
        <v>199</v>
      </c>
      <c r="C56" t="s">
        <v>200</v>
      </c>
      <c r="D56" t="s">
        <v>200</v>
      </c>
      <c r="E56" t="s">
        <v>110</v>
      </c>
    </row>
    <row r="57" spans="2:5" x14ac:dyDescent="0.25">
      <c r="B57" t="s">
        <v>201</v>
      </c>
      <c r="C57" t="s">
        <v>202</v>
      </c>
      <c r="D57" t="s">
        <v>202</v>
      </c>
      <c r="E57" t="s">
        <v>110</v>
      </c>
    </row>
    <row r="58" spans="2:5" x14ac:dyDescent="0.25">
      <c r="B58" t="s">
        <v>203</v>
      </c>
      <c r="C58" t="s">
        <v>204</v>
      </c>
      <c r="D58" t="s">
        <v>204</v>
      </c>
      <c r="E58" t="s">
        <v>110</v>
      </c>
    </row>
    <row r="59" spans="2:5" x14ac:dyDescent="0.25">
      <c r="B59" t="s">
        <v>205</v>
      </c>
      <c r="C59" t="s">
        <v>206</v>
      </c>
      <c r="D59" t="s">
        <v>206</v>
      </c>
      <c r="E59" t="s">
        <v>110</v>
      </c>
    </row>
    <row r="60" spans="2:5" x14ac:dyDescent="0.25">
      <c r="B60" t="s">
        <v>207</v>
      </c>
      <c r="C60" t="s">
        <v>208</v>
      </c>
      <c r="D60" t="s">
        <v>208</v>
      </c>
      <c r="E60" t="s">
        <v>110</v>
      </c>
    </row>
    <row r="61" spans="2:5" x14ac:dyDescent="0.25">
      <c r="B61" t="s">
        <v>209</v>
      </c>
      <c r="C61" t="s">
        <v>210</v>
      </c>
      <c r="D61" t="s">
        <v>210</v>
      </c>
      <c r="E61" t="s">
        <v>110</v>
      </c>
    </row>
    <row r="62" spans="2:5" x14ac:dyDescent="0.25">
      <c r="B62" t="s">
        <v>211</v>
      </c>
      <c r="C62" t="s">
        <v>212</v>
      </c>
      <c r="D62" t="s">
        <v>212</v>
      </c>
      <c r="E62" t="s">
        <v>110</v>
      </c>
    </row>
    <row r="63" spans="2:5" x14ac:dyDescent="0.25">
      <c r="B63" t="s">
        <v>213</v>
      </c>
      <c r="C63" t="s">
        <v>214</v>
      </c>
      <c r="D63" t="s">
        <v>214</v>
      </c>
      <c r="E63" t="s">
        <v>110</v>
      </c>
    </row>
    <row r="64" spans="2:5" x14ac:dyDescent="0.25">
      <c r="B64" t="s">
        <v>215</v>
      </c>
      <c r="C64" t="s">
        <v>216</v>
      </c>
      <c r="D64" t="s">
        <v>216</v>
      </c>
      <c r="E64" t="s">
        <v>110</v>
      </c>
    </row>
    <row r="65" spans="2:5" x14ac:dyDescent="0.25">
      <c r="B65" t="s">
        <v>217</v>
      </c>
      <c r="C65" t="s">
        <v>218</v>
      </c>
      <c r="D65" t="s">
        <v>218</v>
      </c>
      <c r="E65" t="s">
        <v>110</v>
      </c>
    </row>
    <row r="66" spans="2:5" x14ac:dyDescent="0.25">
      <c r="B66" t="s">
        <v>219</v>
      </c>
      <c r="C66" t="s">
        <v>220</v>
      </c>
      <c r="D66" t="s">
        <v>220</v>
      </c>
      <c r="E66" t="s">
        <v>110</v>
      </c>
    </row>
    <row r="67" spans="2:5" x14ac:dyDescent="0.25">
      <c r="B67" t="s">
        <v>221</v>
      </c>
      <c r="C67" t="s">
        <v>222</v>
      </c>
      <c r="D67" t="s">
        <v>222</v>
      </c>
      <c r="E67" t="s">
        <v>110</v>
      </c>
    </row>
    <row r="68" spans="2:5" x14ac:dyDescent="0.25">
      <c r="B68" t="s">
        <v>223</v>
      </c>
      <c r="C68" t="s">
        <v>224</v>
      </c>
      <c r="D68" t="s">
        <v>224</v>
      </c>
      <c r="E68" t="s">
        <v>110</v>
      </c>
    </row>
    <row r="69" spans="2:5" x14ac:dyDescent="0.25">
      <c r="B69" t="s">
        <v>225</v>
      </c>
      <c r="C69" t="s">
        <v>226</v>
      </c>
      <c r="D69" t="s">
        <v>226</v>
      </c>
      <c r="E69" t="s">
        <v>110</v>
      </c>
    </row>
    <row r="70" spans="2:5" x14ac:dyDescent="0.25">
      <c r="B70" t="s">
        <v>227</v>
      </c>
      <c r="C70" t="s">
        <v>228</v>
      </c>
      <c r="D70" t="s">
        <v>228</v>
      </c>
      <c r="E70" t="s">
        <v>110</v>
      </c>
    </row>
    <row r="71" spans="2:5" x14ac:dyDescent="0.25">
      <c r="B71" t="s">
        <v>229</v>
      </c>
      <c r="C71" t="s">
        <v>230</v>
      </c>
      <c r="D71" t="s">
        <v>230</v>
      </c>
      <c r="E71" t="s">
        <v>110</v>
      </c>
    </row>
    <row r="72" spans="2:5" x14ac:dyDescent="0.25">
      <c r="B72" t="s">
        <v>231</v>
      </c>
      <c r="C72" t="s">
        <v>232</v>
      </c>
      <c r="D72" t="s">
        <v>232</v>
      </c>
      <c r="E72" t="s">
        <v>110</v>
      </c>
    </row>
    <row r="73" spans="2:5" x14ac:dyDescent="0.25">
      <c r="B73" t="s">
        <v>233</v>
      </c>
      <c r="C73" t="s">
        <v>234</v>
      </c>
      <c r="D73" t="s">
        <v>234</v>
      </c>
      <c r="E73" t="s">
        <v>110</v>
      </c>
    </row>
    <row r="74" spans="2:5" x14ac:dyDescent="0.25">
      <c r="B74" t="s">
        <v>235</v>
      </c>
      <c r="C74" t="s">
        <v>236</v>
      </c>
      <c r="D74" t="s">
        <v>236</v>
      </c>
      <c r="E74" t="s">
        <v>110</v>
      </c>
    </row>
    <row r="75" spans="2:5" x14ac:dyDescent="0.25">
      <c r="B75" t="s">
        <v>237</v>
      </c>
      <c r="C75" t="s">
        <v>238</v>
      </c>
      <c r="D75" t="s">
        <v>238</v>
      </c>
      <c r="E75" t="s">
        <v>110</v>
      </c>
    </row>
    <row r="76" spans="2:5" x14ac:dyDescent="0.25">
      <c r="B76" t="s">
        <v>239</v>
      </c>
      <c r="C76" t="s">
        <v>240</v>
      </c>
      <c r="D76" t="s">
        <v>240</v>
      </c>
      <c r="E76" t="s">
        <v>110</v>
      </c>
    </row>
    <row r="77" spans="2:5" x14ac:dyDescent="0.25">
      <c r="B77" t="s">
        <v>241</v>
      </c>
      <c r="C77" t="s">
        <v>242</v>
      </c>
      <c r="D77" t="s">
        <v>242</v>
      </c>
      <c r="E77" t="s">
        <v>110</v>
      </c>
    </row>
    <row r="78" spans="2:5" x14ac:dyDescent="0.25">
      <c r="B78" t="s">
        <v>243</v>
      </c>
      <c r="C78" t="s">
        <v>244</v>
      </c>
      <c r="D78" t="s">
        <v>244</v>
      </c>
      <c r="E78" t="s">
        <v>110</v>
      </c>
    </row>
    <row r="79" spans="2:5" x14ac:dyDescent="0.25">
      <c r="B79" t="s">
        <v>245</v>
      </c>
      <c r="C79" t="s">
        <v>246</v>
      </c>
      <c r="D79" t="s">
        <v>246</v>
      </c>
      <c r="E79" t="s">
        <v>110</v>
      </c>
    </row>
    <row r="80" spans="2:5" x14ac:dyDescent="0.25">
      <c r="B80" t="s">
        <v>247</v>
      </c>
      <c r="C80" t="s">
        <v>248</v>
      </c>
      <c r="D80" t="s">
        <v>248</v>
      </c>
      <c r="E80" t="s">
        <v>110</v>
      </c>
    </row>
    <row r="81" spans="2:5" x14ac:dyDescent="0.25">
      <c r="B81" t="s">
        <v>249</v>
      </c>
      <c r="C81" t="s">
        <v>250</v>
      </c>
      <c r="D81" t="s">
        <v>250</v>
      </c>
      <c r="E81" t="s">
        <v>110</v>
      </c>
    </row>
    <row r="82" spans="2:5" x14ac:dyDescent="0.25">
      <c r="B82" t="s">
        <v>251</v>
      </c>
      <c r="C82" t="s">
        <v>252</v>
      </c>
      <c r="D82" t="s">
        <v>252</v>
      </c>
      <c r="E82" t="s">
        <v>110</v>
      </c>
    </row>
    <row r="83" spans="2:5" x14ac:dyDescent="0.25">
      <c r="B83" t="s">
        <v>253</v>
      </c>
      <c r="C83" t="s">
        <v>254</v>
      </c>
      <c r="D83" t="s">
        <v>254</v>
      </c>
      <c r="E83" t="s">
        <v>110</v>
      </c>
    </row>
    <row r="84" spans="2:5" x14ac:dyDescent="0.25">
      <c r="B84" t="s">
        <v>255</v>
      </c>
      <c r="C84" t="s">
        <v>256</v>
      </c>
      <c r="D84" t="s">
        <v>256</v>
      </c>
      <c r="E84" t="s">
        <v>110</v>
      </c>
    </row>
    <row r="85" spans="2:5" x14ac:dyDescent="0.25">
      <c r="B85" t="s">
        <v>257</v>
      </c>
      <c r="C85" t="s">
        <v>258</v>
      </c>
      <c r="D85" t="s">
        <v>258</v>
      </c>
      <c r="E85" t="s">
        <v>110</v>
      </c>
    </row>
    <row r="86" spans="2:5" x14ac:dyDescent="0.25">
      <c r="B86" t="s">
        <v>259</v>
      </c>
      <c r="C86" t="s">
        <v>260</v>
      </c>
      <c r="D86" t="s">
        <v>260</v>
      </c>
      <c r="E86" t="s">
        <v>110</v>
      </c>
    </row>
    <row r="87" spans="2:5" x14ac:dyDescent="0.25">
      <c r="B87" t="s">
        <v>261</v>
      </c>
      <c r="C87" t="s">
        <v>262</v>
      </c>
      <c r="D87" t="s">
        <v>262</v>
      </c>
      <c r="E87" t="s">
        <v>110</v>
      </c>
    </row>
    <row r="88" spans="2:5" x14ac:dyDescent="0.25">
      <c r="B88" t="s">
        <v>263</v>
      </c>
      <c r="C88" t="s">
        <v>264</v>
      </c>
      <c r="D88" t="s">
        <v>264</v>
      </c>
      <c r="E88" t="s">
        <v>110</v>
      </c>
    </row>
    <row r="89" spans="2:5" x14ac:dyDescent="0.25">
      <c r="B89" t="s">
        <v>265</v>
      </c>
      <c r="C89" t="s">
        <v>266</v>
      </c>
      <c r="D89" t="s">
        <v>266</v>
      </c>
      <c r="E89" t="s">
        <v>110</v>
      </c>
    </row>
    <row r="90" spans="2:5" x14ac:dyDescent="0.25">
      <c r="B90" t="s">
        <v>267</v>
      </c>
      <c r="C90" t="s">
        <v>268</v>
      </c>
      <c r="D90" t="s">
        <v>268</v>
      </c>
      <c r="E90" t="s">
        <v>110</v>
      </c>
    </row>
    <row r="91" spans="2:5" x14ac:dyDescent="0.25">
      <c r="B91" t="s">
        <v>269</v>
      </c>
      <c r="C91" t="s">
        <v>270</v>
      </c>
      <c r="D91" t="s">
        <v>270</v>
      </c>
      <c r="E91" t="s">
        <v>110</v>
      </c>
    </row>
    <row r="92" spans="2:5" x14ac:dyDescent="0.25">
      <c r="B92" t="s">
        <v>271</v>
      </c>
      <c r="C92" t="s">
        <v>272</v>
      </c>
      <c r="D92" t="s">
        <v>272</v>
      </c>
      <c r="E92" t="s">
        <v>110</v>
      </c>
    </row>
    <row r="93" spans="2:5" x14ac:dyDescent="0.25">
      <c r="B93" t="s">
        <v>273</v>
      </c>
      <c r="C93" t="s">
        <v>274</v>
      </c>
      <c r="D93" t="s">
        <v>274</v>
      </c>
      <c r="E93" t="s">
        <v>110</v>
      </c>
    </row>
    <row r="94" spans="2:5" x14ac:dyDescent="0.25">
      <c r="B94" t="s">
        <v>275</v>
      </c>
      <c r="C94" t="s">
        <v>276</v>
      </c>
      <c r="D94" t="s">
        <v>276</v>
      </c>
      <c r="E94" t="s">
        <v>110</v>
      </c>
    </row>
    <row r="95" spans="2:5" x14ac:dyDescent="0.25">
      <c r="B95" t="s">
        <v>277</v>
      </c>
      <c r="C95" t="s">
        <v>278</v>
      </c>
      <c r="D95" t="s">
        <v>278</v>
      </c>
      <c r="E95" t="s">
        <v>110</v>
      </c>
    </row>
    <row r="96" spans="2:5" x14ac:dyDescent="0.25">
      <c r="B96" t="s">
        <v>279</v>
      </c>
      <c r="C96" t="s">
        <v>280</v>
      </c>
      <c r="D96" t="s">
        <v>280</v>
      </c>
      <c r="E96" t="s">
        <v>110</v>
      </c>
    </row>
    <row r="97" spans="2:5" x14ac:dyDescent="0.25">
      <c r="B97" t="s">
        <v>281</v>
      </c>
      <c r="C97" t="s">
        <v>282</v>
      </c>
      <c r="D97" t="s">
        <v>282</v>
      </c>
      <c r="E97" t="s">
        <v>110</v>
      </c>
    </row>
    <row r="98" spans="2:5" x14ac:dyDescent="0.25">
      <c r="B98" t="s">
        <v>283</v>
      </c>
      <c r="C98" t="s">
        <v>284</v>
      </c>
      <c r="D98" t="s">
        <v>284</v>
      </c>
      <c r="E98" t="s">
        <v>110</v>
      </c>
    </row>
    <row r="99" spans="2:5" x14ac:dyDescent="0.25">
      <c r="B99" t="s">
        <v>285</v>
      </c>
      <c r="C99" t="s">
        <v>286</v>
      </c>
      <c r="D99" t="s">
        <v>286</v>
      </c>
      <c r="E99" t="s">
        <v>110</v>
      </c>
    </row>
    <row r="100" spans="2:5" x14ac:dyDescent="0.25">
      <c r="B100" t="s">
        <v>287</v>
      </c>
      <c r="C100" t="s">
        <v>288</v>
      </c>
      <c r="D100" t="s">
        <v>288</v>
      </c>
      <c r="E100" t="s">
        <v>110</v>
      </c>
    </row>
    <row r="101" spans="2:5" x14ac:dyDescent="0.25">
      <c r="B101" t="s">
        <v>289</v>
      </c>
      <c r="C101" t="s">
        <v>290</v>
      </c>
      <c r="D101" t="s">
        <v>290</v>
      </c>
      <c r="E101" t="s">
        <v>110</v>
      </c>
    </row>
    <row r="102" spans="2:5" x14ac:dyDescent="0.25">
      <c r="B102" t="s">
        <v>291</v>
      </c>
      <c r="C102" t="s">
        <v>292</v>
      </c>
      <c r="D102" t="s">
        <v>292</v>
      </c>
      <c r="E102" t="s">
        <v>110</v>
      </c>
    </row>
    <row r="103" spans="2:5" x14ac:dyDescent="0.25">
      <c r="B103" t="s">
        <v>293</v>
      </c>
      <c r="C103" t="s">
        <v>294</v>
      </c>
      <c r="D103" t="s">
        <v>294</v>
      </c>
      <c r="E103" t="s">
        <v>110</v>
      </c>
    </row>
    <row r="104" spans="2:5" x14ac:dyDescent="0.25">
      <c r="B104" t="s">
        <v>295</v>
      </c>
      <c r="C104" t="s">
        <v>296</v>
      </c>
      <c r="D104" t="s">
        <v>296</v>
      </c>
      <c r="E104" t="s">
        <v>110</v>
      </c>
    </row>
    <row r="105" spans="2:5" x14ac:dyDescent="0.25">
      <c r="B105" t="s">
        <v>297</v>
      </c>
      <c r="C105" t="s">
        <v>298</v>
      </c>
      <c r="D105" t="s">
        <v>298</v>
      </c>
      <c r="E105" t="s">
        <v>110</v>
      </c>
    </row>
    <row r="106" spans="2:5" x14ac:dyDescent="0.25">
      <c r="B106" t="s">
        <v>299</v>
      </c>
      <c r="C106" t="s">
        <v>300</v>
      </c>
      <c r="D106" t="s">
        <v>300</v>
      </c>
      <c r="E106" t="s">
        <v>110</v>
      </c>
    </row>
    <row r="107" spans="2:5" x14ac:dyDescent="0.25">
      <c r="B107" t="s">
        <v>301</v>
      </c>
      <c r="C107" t="s">
        <v>302</v>
      </c>
      <c r="D107" t="s">
        <v>302</v>
      </c>
      <c r="E107" t="s">
        <v>110</v>
      </c>
    </row>
    <row r="108" spans="2:5" x14ac:dyDescent="0.25">
      <c r="B108" t="s">
        <v>303</v>
      </c>
      <c r="C108" t="s">
        <v>304</v>
      </c>
      <c r="D108" t="s">
        <v>304</v>
      </c>
      <c r="E108" t="s">
        <v>110</v>
      </c>
    </row>
    <row r="109" spans="2:5" x14ac:dyDescent="0.25">
      <c r="B109" t="s">
        <v>305</v>
      </c>
      <c r="C109" t="s">
        <v>306</v>
      </c>
      <c r="D109" t="s">
        <v>306</v>
      </c>
      <c r="E109" t="s">
        <v>110</v>
      </c>
    </row>
    <row r="110" spans="2:5" x14ac:dyDescent="0.25">
      <c r="B110" t="s">
        <v>307</v>
      </c>
      <c r="C110" t="s">
        <v>308</v>
      </c>
      <c r="D110" t="s">
        <v>308</v>
      </c>
      <c r="E110" t="s">
        <v>110</v>
      </c>
    </row>
    <row r="111" spans="2:5" x14ac:dyDescent="0.25">
      <c r="B111" t="s">
        <v>309</v>
      </c>
      <c r="C111" t="s">
        <v>310</v>
      </c>
      <c r="D111" t="s">
        <v>310</v>
      </c>
      <c r="E111" t="s">
        <v>110</v>
      </c>
    </row>
    <row r="112" spans="2:5" x14ac:dyDescent="0.25">
      <c r="B112" t="s">
        <v>311</v>
      </c>
      <c r="C112" t="s">
        <v>312</v>
      </c>
      <c r="D112" t="s">
        <v>312</v>
      </c>
      <c r="E112" t="s">
        <v>110</v>
      </c>
    </row>
    <row r="113" spans="2:5" x14ac:dyDescent="0.25">
      <c r="B113" t="s">
        <v>313</v>
      </c>
      <c r="C113" t="s">
        <v>314</v>
      </c>
      <c r="D113" t="s">
        <v>314</v>
      </c>
      <c r="E113" t="s">
        <v>110</v>
      </c>
    </row>
    <row r="114" spans="2:5" x14ac:dyDescent="0.25">
      <c r="B114" t="s">
        <v>315</v>
      </c>
      <c r="C114" t="s">
        <v>316</v>
      </c>
      <c r="D114" t="s">
        <v>316</v>
      </c>
      <c r="E114" t="s">
        <v>110</v>
      </c>
    </row>
    <row r="115" spans="2:5" x14ac:dyDescent="0.25">
      <c r="B115" t="s">
        <v>317</v>
      </c>
      <c r="C115" t="s">
        <v>318</v>
      </c>
      <c r="D115" t="s">
        <v>318</v>
      </c>
      <c r="E115" t="s">
        <v>110</v>
      </c>
    </row>
    <row r="116" spans="2:5" x14ac:dyDescent="0.25">
      <c r="B116" t="s">
        <v>319</v>
      </c>
      <c r="C116" t="s">
        <v>320</v>
      </c>
      <c r="D116" t="s">
        <v>320</v>
      </c>
      <c r="E116" t="s">
        <v>110</v>
      </c>
    </row>
    <row r="117" spans="2:5" x14ac:dyDescent="0.25">
      <c r="B117" t="s">
        <v>321</v>
      </c>
      <c r="C117" t="s">
        <v>322</v>
      </c>
      <c r="D117" t="s">
        <v>322</v>
      </c>
      <c r="E117" t="s">
        <v>110</v>
      </c>
    </row>
    <row r="118" spans="2:5" x14ac:dyDescent="0.25">
      <c r="B118" t="s">
        <v>323</v>
      </c>
      <c r="C118" t="s">
        <v>324</v>
      </c>
      <c r="D118" t="s">
        <v>324</v>
      </c>
      <c r="E118" t="s">
        <v>110</v>
      </c>
    </row>
    <row r="119" spans="2:5" x14ac:dyDescent="0.25">
      <c r="B119" t="s">
        <v>325</v>
      </c>
      <c r="C119" t="s">
        <v>326</v>
      </c>
      <c r="D119" t="s">
        <v>326</v>
      </c>
      <c r="E119" t="s">
        <v>110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54C8A-E599-4286-919F-11B5789CC171}">
  <dimension ref="A1:K34"/>
  <sheetViews>
    <sheetView workbookViewId="0">
      <pane ySplit="2" topLeftCell="A3" activePane="bottomLeft" state="frozen"/>
      <selection pane="bottomLeft" activeCell="A3" sqref="A3"/>
    </sheetView>
  </sheetViews>
  <sheetFormatPr defaultRowHeight="15" x14ac:dyDescent="0.25"/>
  <cols>
    <col min="2" max="2" width="86" bestFit="1" customWidth="1"/>
    <col min="6" max="6" width="12.42578125" bestFit="1" customWidth="1"/>
    <col min="7" max="7" width="11.5703125" bestFit="1" customWidth="1"/>
    <col min="8" max="8" width="12.85546875" bestFit="1" customWidth="1"/>
    <col min="9" max="9" width="13.42578125" bestFit="1" customWidth="1"/>
  </cols>
  <sheetData>
    <row r="1" spans="1:10" ht="18" thickBot="1" x14ac:dyDescent="0.35">
      <c r="A1" s="1" t="s">
        <v>0</v>
      </c>
    </row>
    <row r="2" spans="1:10" ht="16.5" thickTop="1" thickBo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x14ac:dyDescent="0.25">
      <c r="B3" t="s">
        <v>96</v>
      </c>
      <c r="F3" t="s">
        <v>18</v>
      </c>
      <c r="G3" t="s">
        <v>18</v>
      </c>
      <c r="H3" t="s">
        <v>37</v>
      </c>
      <c r="I3" t="s">
        <v>38</v>
      </c>
    </row>
    <row r="4" spans="1:10" x14ac:dyDescent="0.25">
      <c r="B4" t="s">
        <v>91</v>
      </c>
      <c r="F4" t="s">
        <v>28</v>
      </c>
    </row>
    <row r="5" spans="1:10" x14ac:dyDescent="0.25">
      <c r="B5" t="s">
        <v>92</v>
      </c>
      <c r="F5" t="s">
        <v>27</v>
      </c>
    </row>
    <row r="6" spans="1:10" x14ac:dyDescent="0.25">
      <c r="B6" t="s">
        <v>97</v>
      </c>
      <c r="F6" t="s">
        <v>19</v>
      </c>
      <c r="H6" t="s">
        <v>37</v>
      </c>
      <c r="I6" t="s">
        <v>38</v>
      </c>
    </row>
    <row r="7" spans="1:10" x14ac:dyDescent="0.25">
      <c r="B7" t="s">
        <v>93</v>
      </c>
      <c r="F7" t="s">
        <v>20</v>
      </c>
    </row>
    <row r="8" spans="1:10" x14ac:dyDescent="0.25">
      <c r="B8" t="s">
        <v>98</v>
      </c>
      <c r="F8" t="s">
        <v>21</v>
      </c>
    </row>
    <row r="9" spans="1:10" x14ac:dyDescent="0.25">
      <c r="B9" t="s">
        <v>26</v>
      </c>
      <c r="F9" t="s">
        <v>25</v>
      </c>
    </row>
    <row r="10" spans="1:10" x14ac:dyDescent="0.25">
      <c r="A10" t="s">
        <v>94</v>
      </c>
      <c r="D10" t="s">
        <v>95</v>
      </c>
      <c r="F10" t="s">
        <v>68</v>
      </c>
    </row>
    <row r="11" spans="1:10" x14ac:dyDescent="0.25">
      <c r="D11" t="s">
        <v>33</v>
      </c>
      <c r="F11" t="s">
        <v>71</v>
      </c>
    </row>
    <row r="12" spans="1:10" x14ac:dyDescent="0.25">
      <c r="B12" s="3"/>
      <c r="D12" t="s">
        <v>84</v>
      </c>
      <c r="F12" t="s">
        <v>88</v>
      </c>
      <c r="G12" t="s">
        <v>86</v>
      </c>
    </row>
    <row r="13" spans="1:10" x14ac:dyDescent="0.25">
      <c r="D13" t="s">
        <v>85</v>
      </c>
      <c r="F13" t="s">
        <v>89</v>
      </c>
      <c r="G13" t="s">
        <v>87</v>
      </c>
    </row>
    <row r="14" spans="1:10" x14ac:dyDescent="0.25">
      <c r="D14" t="s">
        <v>34</v>
      </c>
      <c r="F14" t="s">
        <v>67</v>
      </c>
    </row>
    <row r="15" spans="1:10" x14ac:dyDescent="0.25">
      <c r="A15" t="s">
        <v>11</v>
      </c>
      <c r="B15" s="3" t="s">
        <v>73</v>
      </c>
      <c r="D15" t="s">
        <v>35</v>
      </c>
      <c r="F15" t="s">
        <v>74</v>
      </c>
    </row>
    <row r="16" spans="1:10" x14ac:dyDescent="0.25">
      <c r="A16" t="s">
        <v>11</v>
      </c>
      <c r="B16" t="s">
        <v>65</v>
      </c>
      <c r="D16" t="s">
        <v>35</v>
      </c>
      <c r="F16" t="s">
        <v>66</v>
      </c>
    </row>
    <row r="17" spans="1:11" x14ac:dyDescent="0.25">
      <c r="B17" s="3" t="s">
        <v>72</v>
      </c>
      <c r="D17" t="s">
        <v>36</v>
      </c>
      <c r="F17" t="s">
        <v>64</v>
      </c>
      <c r="H17" t="s">
        <v>37</v>
      </c>
      <c r="I17" t="s">
        <v>38</v>
      </c>
    </row>
    <row r="18" spans="1:11" x14ac:dyDescent="0.25">
      <c r="B18" t="s">
        <v>70</v>
      </c>
      <c r="D18" t="s">
        <v>36</v>
      </c>
      <c r="F18" t="s">
        <v>69</v>
      </c>
    </row>
    <row r="19" spans="1:11" x14ac:dyDescent="0.25">
      <c r="A19" t="s">
        <v>22</v>
      </c>
      <c r="B19" t="s">
        <v>23</v>
      </c>
      <c r="F19" t="s">
        <v>24</v>
      </c>
    </row>
    <row r="20" spans="1:11" x14ac:dyDescent="0.25">
      <c r="A20" t="s">
        <v>22</v>
      </c>
      <c r="B20" t="s">
        <v>29</v>
      </c>
      <c r="F20" t="s">
        <v>30</v>
      </c>
      <c r="H20" t="s">
        <v>37</v>
      </c>
      <c r="I20" t="s">
        <v>38</v>
      </c>
    </row>
    <row r="21" spans="1:11" x14ac:dyDescent="0.25">
      <c r="A21" t="s">
        <v>22</v>
      </c>
      <c r="B21" t="s">
        <v>31</v>
      </c>
      <c r="F21" t="s">
        <v>32</v>
      </c>
    </row>
    <row r="22" spans="1:11" x14ac:dyDescent="0.25">
      <c r="A22" t="s">
        <v>40</v>
      </c>
      <c r="B22" t="s">
        <v>41</v>
      </c>
      <c r="F22" t="s">
        <v>39</v>
      </c>
    </row>
    <row r="23" spans="1:11" x14ac:dyDescent="0.25">
      <c r="A23" t="s">
        <v>42</v>
      </c>
      <c r="F23" t="s">
        <v>43</v>
      </c>
    </row>
    <row r="24" spans="1:11" x14ac:dyDescent="0.25">
      <c r="A24" t="s">
        <v>62</v>
      </c>
      <c r="B24" t="s">
        <v>63</v>
      </c>
      <c r="F24" t="s">
        <v>83</v>
      </c>
    </row>
    <row r="25" spans="1:11" x14ac:dyDescent="0.25">
      <c r="A25" t="s">
        <v>62</v>
      </c>
      <c r="B25" t="s">
        <v>81</v>
      </c>
      <c r="F25" t="s">
        <v>82</v>
      </c>
    </row>
    <row r="26" spans="1:11" x14ac:dyDescent="0.25">
      <c r="B26" t="s">
        <v>90</v>
      </c>
      <c r="F26" t="s">
        <v>78</v>
      </c>
      <c r="K26">
        <v>220</v>
      </c>
    </row>
    <row r="27" spans="1:11" x14ac:dyDescent="0.25">
      <c r="B27" t="s">
        <v>79</v>
      </c>
      <c r="F27" t="s">
        <v>80</v>
      </c>
      <c r="K27">
        <v>400</v>
      </c>
    </row>
    <row r="28" spans="1:11" x14ac:dyDescent="0.25">
      <c r="B28" t="s">
        <v>99</v>
      </c>
      <c r="F28" s="4" t="str">
        <f>LEFT(B28,9)</f>
        <v>distr_sol</v>
      </c>
      <c r="K28">
        <v>380</v>
      </c>
    </row>
    <row r="29" spans="1:11" x14ac:dyDescent="0.25">
      <c r="B29" t="s">
        <v>100</v>
      </c>
      <c r="F29" s="4" t="str">
        <f t="shared" ref="F29:F30" si="0">LEFT(B29,9)</f>
        <v>distr_won</v>
      </c>
      <c r="K29">
        <v>225</v>
      </c>
    </row>
    <row r="30" spans="1:11" x14ac:dyDescent="0.25">
      <c r="B30" t="s">
        <v>101</v>
      </c>
      <c r="F30" s="4" t="str">
        <f t="shared" si="0"/>
        <v>distr_wof</v>
      </c>
      <c r="K30">
        <v>330</v>
      </c>
    </row>
    <row r="31" spans="1:11" x14ac:dyDescent="0.25">
      <c r="D31" t="s">
        <v>34</v>
      </c>
      <c r="F31" s="4" t="str">
        <f>"hs_"&amp;D31</f>
        <v>hs_geothermal</v>
      </c>
      <c r="K31">
        <v>275</v>
      </c>
    </row>
    <row r="32" spans="1:11" x14ac:dyDescent="0.25">
      <c r="D32" t="s">
        <v>35</v>
      </c>
      <c r="F32" s="4" t="str">
        <f t="shared" ref="F32:F34" si="1">"hs_"&amp;D32</f>
        <v>hs_hydro</v>
      </c>
      <c r="K32">
        <v>420</v>
      </c>
    </row>
    <row r="33" spans="4:11" x14ac:dyDescent="0.25">
      <c r="D33" t="s">
        <v>36</v>
      </c>
      <c r="F33" s="4" t="str">
        <f t="shared" si="1"/>
        <v>hs_nuclear</v>
      </c>
      <c r="K33">
        <v>300</v>
      </c>
    </row>
    <row r="34" spans="4:11" x14ac:dyDescent="0.25">
      <c r="D34" t="s">
        <v>102</v>
      </c>
      <c r="F34" s="4" t="str">
        <f t="shared" si="1"/>
        <v>hs_coal</v>
      </c>
      <c r="K34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VEDA_Sets-Comm</vt:lpstr>
      <vt:lpstr>geo_sets</vt:lpstr>
      <vt:lpstr>VEDA_Sets-Proc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KanORS-EMR Business Standard</cp:lastModifiedBy>
  <dcterms:created xsi:type="dcterms:W3CDTF">2020-06-02T10:56:49Z</dcterms:created>
  <dcterms:modified xsi:type="dcterms:W3CDTF">2026-08-26T06:34:18Z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749874293804168</vt:r8>
  </property>
</Properties>
</file>