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_grids_kan\SuppXLS\"/>
    </mc:Choice>
  </mc:AlternateContent>
  <xr:revisionPtr revIDLastSave="0" documentId="8_{4E04AD24-F370-4994-843F-CD1D60124E1F}" xr6:coauthVersionLast="47" xr6:coauthVersionMax="47" xr10:uidLastSave="{00000000-0000-0000-0000-000000000000}"/>
  <bookViews>
    <workbookView xWindow="390" yWindow="390" windowWidth="21600" windowHeight="11295" firstSheet="10" activeTab="10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24" sheetId="8" r:id="rId7"/>
    <sheet name="ts_036" sheetId="9" r:id="rId8"/>
    <sheet name="ts_048" sheetId="10" r:id="rId9"/>
    <sheet name="ts_annual" sheetId="11" r:id="rId10"/>
    <sheet name="ts_12t" sheetId="12" r:id="rId11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2" l="1"/>
  <c r="AG9" i="12"/>
  <c r="AC9" i="12"/>
  <c r="A10" i="6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AI16" i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4" i="6"/>
  <c r="H23" i="6"/>
  <c r="D5" i="1"/>
  <c r="H21" i="6" l="1"/>
  <c r="D28" i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<sst xmlns="http://schemas.openxmlformats.org/spreadsheetml/2006/main" count="20514" uniqueCount="293">
  <si>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</si>
  <si>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</si>
  <si>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</si>
  <si>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</si>
  <si>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</si>
  <si>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</si>
  <si>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</si>
  <si>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</si>
  <si>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</si>
  <si>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</si>
  <si>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</si>
  <si>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</si>
  <si>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</si>
  <si>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</si>
  <si>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</si>
  <si>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</si>
  <si>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</si>
  <si>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</si>
  <si>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</si>
  <si>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</si>
  <si>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</si>
  <si>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</si>
  <si>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</si>
  <si>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</si>
  <si>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</si>
  <si>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</si>
  <si>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</si>
  <si>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</si>
  <si>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</si>
  <si>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</si>
  <si>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</si>
  <si>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</si>
  <si>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</si>
  <si>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</si>
  <si>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</si>
  <si>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</si>
  <si>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</si>
  <si>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</si>
  <si>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</si>
  <si>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</si>
  <si>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</si>
  <si>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</si>
  <si>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</si>
  <si>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</si>
  <si>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</si>
  <si>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</si>
  <si>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</si>
  <si>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</si>
  <si>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</si>
  <si>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</si>
  <si>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</si>
  <si>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</si>
  <si>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</si>
  <si>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</si>
  <si>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</si>
  <si>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</si>
  <si>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</si>
  <si>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</si>
  <si>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</si>
  <si>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</si>
  <si>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</si>
  <si>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</si>
  <si>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</si>
  <si>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</si>
  <si>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</si>
  <si>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</si>
  <si>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</si>
  <si>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</si>
  <si>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</si>
  <si>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</si>
  <si>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</si>
  <si>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</si>
  <si>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</si>
  <si>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</si>
  <si>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</si>
  <si>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</si>
  <si>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</si>
  <si>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</si>
  <si>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</si>
  <si>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</si>
  <si>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</si>
  <si>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</si>
  <si>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</si>
  <si>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</si>
  <si>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</si>
  <si>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</si>
  <si>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</si>
  <si>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</si>
  <si>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</si>
  <si>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</si>
  <si>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</si>
  <si>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</si>
  <si>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</si>
  <si>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</si>
  <si>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</si>
  <si>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</si>
  <si>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</si>
  <si>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</si>
  <si>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</si>
  <si>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</si>
  <si>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</si>
  <si>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</si>
  <si>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</si>
  <si>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</si>
  <si>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</si>
  <si>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</si>
  <si>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</si>
  <si>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</si>
  <si>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</si>
  <si>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</si>
  <si>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</si>
  <si>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</si>
  <si>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</si>
  <si>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</si>
  <si>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</si>
  <si>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</si>
  <si>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</si>
  <si>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</si>
  <si>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</si>
  <si>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</si>
  <si>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</si>
  <si>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</si>
  <si>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</si>
  <si>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</si>
  <si>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</si>
  <si>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</si>
  <si>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</si>
  <si>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</si>
  <si>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</si>
  <si>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</si>
  <si>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</si>
  <si>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</si>
  <si>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</si>
  <si>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MYS</t>
  </si>
  <si>
    <t>R10REST_ASIA</t>
  </si>
  <si>
    <t>Domestic gas production, palm residues</t>
  </si>
  <si>
    <t>1-25,36-40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</si>
  <si>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</si>
  <si>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</si>
  <si>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</si>
  <si>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</si>
  <si>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</si>
  <si>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</si>
  <si>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</si>
  <si>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</si>
  <si>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</si>
  <si>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</si>
  <si>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</si>
  <si>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</si>
  <si>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</si>
  <si>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</si>
  <si>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</si>
  <si>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elc_spv_MYS_001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</si>
  <si>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</si>
  <si>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</si>
  <si>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</si>
  <si>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</si>
  <si>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</si>
  <si>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</si>
  <si>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</si>
  <si>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</si>
  <si>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</si>
  <si>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</si>
  <si>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</si>
  <si>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</si>
  <si>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</si>
  <si>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elc_spv_MYS_002</t>
  </si>
  <si>
    <t>elc_spv_MYS_003</t>
  </si>
  <si>
    <t>elc_spv_MYS_004</t>
  </si>
  <si>
    <t>elc_spv_MYS_005</t>
  </si>
  <si>
    <t>elc_spv_MYS_006</t>
  </si>
  <si>
    <t>elc_spv_MYS_007</t>
  </si>
  <si>
    <t>elc_spv_MYS_008</t>
  </si>
  <si>
    <t>elc_spv_MYS_009</t>
  </si>
  <si>
    <t>elc_spv_MYS_010</t>
  </si>
  <si>
    <t>elc_spv_MYS_011</t>
  </si>
  <si>
    <t>elc_spv_MYS_012</t>
  </si>
  <si>
    <t>elc_spv_MYS_013</t>
  </si>
  <si>
    <t>elc_spv_MYS_014</t>
  </si>
  <si>
    <t>elc_spv_MYS_015</t>
  </si>
  <si>
    <t>elc_spv_MYS_016</t>
  </si>
  <si>
    <t>elc_spv_MYS_017</t>
  </si>
  <si>
    <t>elc_spv_MYS_018</t>
  </si>
  <si>
    <t>elc_spv_MYS_019</t>
  </si>
  <si>
    <t>elc_spv_MYS_020</t>
  </si>
  <si>
    <t>elc_spv_MYS_021</t>
  </si>
  <si>
    <t>elc_spv_MYS_022</t>
  </si>
  <si>
    <t>elc_spv_MYS_023</t>
  </si>
  <si>
    <t>elc_spv_MYS_024</t>
  </si>
  <si>
    <t>elc_won_MYS_001</t>
  </si>
  <si>
    <t>elc_won_MYS_002</t>
  </si>
  <si>
    <t>elc_won_MYS_003</t>
  </si>
  <si>
    <t>elc_won_MYS_004</t>
  </si>
  <si>
    <t>elc_won_MYS_005</t>
  </si>
  <si>
    <t>elc_won_MYS_006</t>
  </si>
  <si>
    <t>elc_won_MYS_007</t>
  </si>
  <si>
    <t>elc_won_MYS_008</t>
  </si>
  <si>
    <t>elc_won_MYS_009</t>
  </si>
  <si>
    <t>elc_won_MYS_010</t>
  </si>
  <si>
    <t>elc_wof_MYS_001</t>
  </si>
  <si>
    <t>elc_wof_MYS_002</t>
  </si>
  <si>
    <t>elc_wof_MYS_003</t>
  </si>
  <si>
    <t>elc_wof_MYS_004</t>
  </si>
  <si>
    <t>elc_wof_MYS_005</t>
  </si>
  <si>
    <t>elc_wof_MYS_006</t>
  </si>
  <si>
    <t>elc_wof_MYS_007</t>
  </si>
  <si>
    <t>elc_wof_MYS_008</t>
  </si>
  <si>
    <t>elc_wof_MYS_009</t>
  </si>
  <si>
    <t>elc_wof_MYS_010</t>
  </si>
  <si>
    <t>g_yrfr</t>
  </si>
  <si>
    <t>day_night</t>
  </si>
  <si>
    <t>D</t>
  </si>
  <si>
    <t>S02aH02,S03aH03,S02aH03,S01aH03,S01aH02,S04aH02,S04aH03,S03aH02</t>
  </si>
  <si>
    <t>N</t>
  </si>
  <si>
    <t>S03aH01,S01aH01,S04aH01,S02aH01</t>
  </si>
  <si>
    <t>com_pkflx</t>
  </si>
  <si>
    <t>ncap_afs</t>
  </si>
  <si>
    <t>pset_ci</t>
  </si>
  <si>
    <t>H04</t>
  </si>
  <si>
    <t>H05</t>
  </si>
  <si>
    <t>H06</t>
  </si>
  <si>
    <t>ts_024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</si>
  <si>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</si>
  <si>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</si>
  <si>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</si>
  <si>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</si>
  <si>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</si>
  <si>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</si>
  <si>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</si>
  <si>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</si>
  <si>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</si>
  <si>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</si>
  <si>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</si>
  <si>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</si>
  <si>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S03aH05,S02aH02,S03aH03,S03aH02,S01aH02,S04aH04,S03aH04,S01aH03,S04aH02,S01aH05,S01aH04,S02aH04,S02aH05,S04aH03,S02aH03,S04aH05</t>
  </si>
  <si>
    <t>S03aH01,S03aH06,S02aH06,S02aH01,S01aH01,S04aH01,S04aH06,S01aH06</t>
  </si>
  <si>
    <t>S01,S02,S03,S04,S05,S06</t>
  </si>
  <si>
    <t>S05</t>
  </si>
  <si>
    <t>S06</t>
  </si>
  <si>
    <t>ts_036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</si>
  <si>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</si>
  <si>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</si>
  <si>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</si>
  <si>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</si>
  <si>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</si>
  <si>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</si>
  <si>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</si>
  <si>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</si>
  <si>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</si>
  <si>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</si>
  <si>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</si>
  <si>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</si>
  <si>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S03aH05,S05aH05,S06aH04,S02aH04,S02aH05,S04aH03,S02aH03,S05aH04,S06aH02,S06aH03,S01aH02,S04aH04,S03aH04,S02aH02,S01aH03,S05aH02,S05aH03,S04aH02,S04aH05,S01aH04,S03aH03,S03aH02,S01aH05,S06aH05</t>
  </si>
  <si>
    <t>S02aH06,S02aH01,S05aH06,S01aH01,S04aH01,S04aH06,S01aH06,S03aH06,S05aH01,S03aH01,S06aH01,S06aH06</t>
  </si>
  <si>
    <t>H07</t>
  </si>
  <si>
    <t>H08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</si>
  <si>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</si>
  <si>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</si>
  <si>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</si>
  <si>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</si>
  <si>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</si>
  <si>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</si>
  <si>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</si>
  <si>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</si>
  <si>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</si>
  <si>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</si>
  <si>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S06aH07</t>
  </si>
  <si>
    <t>S06aH08</t>
  </si>
  <si>
    <t>S03aH04,S01aH03,S05aH02,S05aH03,S05aH06,S01aH02,S04aH04,S01aH04,S01aH07,S02aH07,S04aH03,S04aH02,S02aH04,S02aH05,S06aH07,S01aH06,S02aH03,S05aH07,S04aH06,S05aH04,S06aH02,S06aH03,S04aH05,S02aH06,S03aH05,S04aH07,S05aH05,S06aH04,S03aH03,S02aH02,S06aH06,S03aH02,S01aH05,S03aH06,S03aH07,S06aH05</t>
  </si>
  <si>
    <t>S05aH01,S01aH08,S02aH08,S02aH01,S04aH08,S06aH01,S03aH08,S06aH08,S01aH01,S04aH01,S05aH08,S03aH01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</si>
  <si>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</si>
  <si>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</si>
  <si>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</si>
  <si>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</si>
  <si>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</si>
  <si>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</si>
  <si>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</si>
  <si>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</si>
  <si>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</si>
  <si>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</si>
  <si>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</si>
  <si>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</si>
  <si>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</si>
  <si>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</si>
  <si>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</si>
  <si>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</si>
  <si>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</si>
  <si>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</si>
  <si>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</si>
  <si>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</si>
  <si>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</si>
  <si>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FaP,SaP,FaD,WaP,SaD,WaD,RaD,RaP</t>
  </si>
  <si>
    <t>RaP,RaN,FaP,SaP,SaN,WaN,FaN,WaP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</si>
</sst>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185.91000000000003</c:v>
                </c:pt>
                <c:pt idx="1">
                  <c:v>215.65560000000002</c:v>
                </c:pt>
                <c:pt idx="2">
                  <c:v>243.54210000000003</c:v>
                </c:pt>
                <c:pt idx="3">
                  <c:v>278.86500000000001</c:v>
                </c:pt>
                <c:pt idx="4">
                  <c:v>319.76520000000005</c:v>
                </c:pt>
                <c:pt idx="5">
                  <c:v>395.98830000000004</c:v>
                </c:pt>
                <c:pt idx="6">
                  <c:v>466.63410000000005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55.79</c:v>
                </c:pt>
                <c:pt idx="3">
                  <c:v>89.54</c:v>
                </c:pt>
                <c:pt idx="4">
                  <c:v>128.22999999999999</c:v>
                </c:pt>
                <c:pt idx="5">
                  <c:v>171.82</c:v>
                </c:pt>
                <c:pt idx="6">
                  <c:v>208.87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workbookViewId="0">
      <selection activeCell="A11" sqref="A11"/>
    </sheetView>
  </sheetViews>
  <sheetFormatPr defaultRowHeight="15" x14ac:dyDescent="0.25"/>
  <cols>
    <col min="1" max="1" width="6.42578125" bestFit="1" customWidth="1"/>
    <col min="2" max="2" width="19" bestFit="1" customWidth="1"/>
    <col min="3" max="3" width="7.28515625" bestFit="1" customWidth="1"/>
    <col min="4" max="4" width="12" bestFit="1" customWidth="1"/>
    <col min="5" max="5" width="9.5703125" customWidth="1"/>
    <col min="6" max="6" width="1.7109375" bestFit="1" customWidth="1"/>
    <col min="7" max="7" width="24.5703125" customWidth="1"/>
    <col min="8" max="8" width="9.7109375" bestFit="1" customWidth="1"/>
    <col min="9" max="10" width="5.28515625" bestFit="1" customWidth="1"/>
    <col min="11" max="11" width="7.28515625" bestFit="1" customWidth="1"/>
    <col min="12" max="14" width="5.28515625" bestFit="1" customWidth="1"/>
    <col min="15" max="15" width="6.28515625" bestFit="1" customWidth="1"/>
    <col min="19" max="19" width="14.7109375" bestFit="1" customWidth="1"/>
    <col min="33" max="33" width="2.7109375" bestFit="1" customWidth="1"/>
    <col min="34" max="34" width="9.28515625" bestFit="1" customWidth="1"/>
    <col min="35" max="35" width="6.28515625" bestFit="1" customWidth="1"/>
    <col min="36" max="36" width="2.7109375" bestFit="1" customWidth="1"/>
    <col min="37" max="37" width="3" bestFit="1" customWidth="1"/>
    <col min="38" max="38" width="12.5703125" bestFit="1" customWidth="1"/>
  </cols>
  <sheetData>
    <row r="1" spans="1:39" x14ac:dyDescent="0.25">
      <c r="G1" s="18" t="s">
        <v>136</v>
      </c>
      <c r="H1">
        <v>8</v>
      </c>
      <c r="I1">
        <v>13</v>
      </c>
      <c r="J1">
        <v>18</v>
      </c>
      <c r="K1">
        <v>23</v>
      </c>
      <c r="L1">
        <v>28</v>
      </c>
      <c r="M1">
        <v>33</v>
      </c>
      <c r="N1">
        <v>38</v>
      </c>
    </row>
    <row r="2" spans="1:39" x14ac:dyDescent="0.25">
      <c r="D2" s="1" t="str">
        <f>"~Inputcell: "&amp;_xlfn.TEXTJOIN(",",TRUE,G1:EE1)</f>
        <v>~Inputcell: 1-25,36-40,8,13,18,23,28,33,38</v>
      </c>
    </row>
    <row r="3" spans="1:39" x14ac:dyDescent="0.25">
      <c r="D3" s="9">
        <v>3</v>
      </c>
    </row>
    <row r="5" spans="1:39" x14ac:dyDescent="0.2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25">
      <c r="B7" s="16" t="s">
        <v>112</v>
      </c>
    </row>
    <row r="8" spans="1:39" ht="15.75" thickBot="1" x14ac:dyDescent="0.3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x14ac:dyDescent="0.2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25">
      <c r="A10">
        <v>5</v>
      </c>
      <c r="B10" t="str">
        <f t="shared" ref="B10:B48" si="0">VLOOKUP(E10,$AK$9:$AL$15,2,FALSE)&amp;"."&amp;VLOOKUP(D10,$AH$9:$AI$24,2,FALSE)</f>
        <v>d 1.5 deg OS.xAnn</v>
      </c>
      <c r="C10">
        <f>C9+1</f>
        <v>2</v>
      </c>
      <c r="D10" t="str">
        <f t="shared" ref="D10:D48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25">
      <c r="A11">
        <v>5</v>
      </c>
      <c r="B11" t="str">
        <f t="shared" si="0"/>
        <v>c 2 deg (67%).xAnn</v>
      </c>
      <c r="C11">
        <f t="shared" ref="C11:C4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3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185.91000000000003</v>
      </c>
      <c r="T12" s="2" t="s">
        <v>57</v>
      </c>
      <c r="AG12">
        <v>4</v>
      </c>
      <c r="AH12" t="s">
        <v>124</v>
      </c>
      <c r="AI12" t="str">
        <f t="shared" ref="AI12:AI16" si="3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2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2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185.91000000000003</v>
      </c>
      <c r="U14" s="8">
        <f t="shared" ref="U14:Z14" si="4">$S$12*J15</f>
        <v>215.65560000000002</v>
      </c>
      <c r="V14" s="8">
        <f t="shared" si="4"/>
        <v>243.54210000000003</v>
      </c>
      <c r="W14" s="8">
        <f t="shared" si="4"/>
        <v>278.86500000000001</v>
      </c>
      <c r="X14" s="8">
        <f t="shared" si="4"/>
        <v>319.76520000000005</v>
      </c>
      <c r="Y14" s="8">
        <f t="shared" si="4"/>
        <v>395.98830000000004</v>
      </c>
      <c r="Z14" s="8">
        <f t="shared" si="4"/>
        <v>466.63410000000005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9" x14ac:dyDescent="0.2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4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1.1599999999999999</v>
      </c>
      <c r="K15" s="11">
        <f>SUMIFS(ar6_r10!$F$2:$F$999,ar6_r10!$A$2:$A$999,Veda!$E$5,ar6_r10!$C$2:$C$999,Veda!K$17,ar6_r10!$M$2:$M$999,Veda!$G15)</f>
        <v>1.31</v>
      </c>
      <c r="L15" s="11">
        <f>SUMIFS(ar6_r10!$F$2:$F$999,ar6_r10!$A$2:$A$999,Veda!$E$5,ar6_r10!$C$2:$C$999,Veda!L$17,ar6_r10!$M$2:$M$999,Veda!$G15)</f>
        <v>1.5</v>
      </c>
      <c r="M15" s="11">
        <f>SUMIFS(ar6_r10!$F$2:$F$999,ar6_r10!$A$2:$A$999,Veda!$E$5,ar6_r10!$C$2:$C$999,Veda!M$17,ar6_r10!$M$2:$M$999,Veda!$G15)</f>
        <v>1.72</v>
      </c>
      <c r="N15" s="11">
        <f>SUMIFS(ar6_r10!$F$2:$F$999,ar6_r10!$A$2:$A$999,Veda!$E$5,ar6_r10!$C$2:$C$999,Veda!N$17,ar6_r10!$M$2:$M$999,Veda!$G15)</f>
        <v>2.13</v>
      </c>
      <c r="O15" s="11">
        <f>SUMIFS(ar6_r10!$F$2:$F$999,ar6_r10!$A$2:$A$999,Veda!$E$5,ar6_r10!$C$2:$C$999,Veda!O$17,ar6_r10!$M$2:$M$999,Veda!$G15)</f>
        <v>2.5099999999999998</v>
      </c>
      <c r="AG15">
        <v>7</v>
      </c>
      <c r="AH15" t="s">
        <v>129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35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3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x14ac:dyDescent="0.2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0.03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0</v>
      </c>
      <c r="W18" s="6">
        <f t="shared" si="8"/>
        <v>2.7886500000000001</v>
      </c>
      <c r="X18" s="6">
        <f t="shared" si="8"/>
        <v>6.3953040000000012</v>
      </c>
      <c r="Y18" s="6">
        <f t="shared" si="8"/>
        <v>11.879649000000001</v>
      </c>
      <c r="Z18" s="6">
        <f t="shared" si="8"/>
        <v>13.999023000000001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x14ac:dyDescent="0.2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0.46</v>
      </c>
      <c r="J19" s="11">
        <f>SUMIFS(ar6_r10!$F$2:$F$999,ar6_r10!$A$2:$A$999,Veda!$E$5,ar6_r10!$C$2:$C$999,Veda!J$17,ar6_r10!$M$2:$M$999,Veda!$G19)</f>
        <v>0.42</v>
      </c>
      <c r="K19" s="11">
        <f>SUMIFS(ar6_r10!$F$2:$F$999,ar6_r10!$A$2:$A$999,Veda!$E$5,ar6_r10!$C$2:$C$999,Veda!K$17,ar6_r10!$M$2:$M$999,Veda!$G19)</f>
        <v>0.44</v>
      </c>
      <c r="L19" s="11">
        <f>SUMIFS(ar6_r10!$F$2:$F$999,ar6_r10!$A$2:$A$999,Veda!$E$5,ar6_r10!$C$2:$C$999,Veda!L$17,ar6_r10!$M$2:$M$999,Veda!$G19)</f>
        <v>0.43</v>
      </c>
      <c r="M19" s="11">
        <f>SUMIFS(ar6_r10!$F$2:$F$999,ar6_r10!$A$2:$A$999,Veda!$E$5,ar6_r10!$C$2:$C$999,Veda!M$17,ar6_r10!$M$2:$M$999,Veda!$G19)</f>
        <v>0.41</v>
      </c>
      <c r="N19" s="11">
        <f>SUMIFS(ar6_r10!$F$2:$F$999,ar6_r10!$A$2:$A$999,Veda!$E$5,ar6_r10!$C$2:$C$999,Veda!N$17,ar6_r10!$M$2:$M$999,Veda!$G19)</f>
        <v>0.43</v>
      </c>
      <c r="O19" s="11">
        <f>SUMIFS(ar6_r10!$F$2:$F$999,ar6_r10!$A$2:$A$999,Veda!$E$5,ar6_r10!$C$2:$C$999,Veda!O$17,ar6_r10!$M$2:$M$999,Veda!$G19)</f>
        <v>0.39</v>
      </c>
      <c r="S19" s="10" t="s">
        <v>19</v>
      </c>
      <c r="T19" s="6">
        <f t="shared" si="8"/>
        <v>85.518600000000021</v>
      </c>
      <c r="U19" s="6">
        <f t="shared" si="8"/>
        <v>90.575352000000009</v>
      </c>
      <c r="V19" s="6">
        <f t="shared" si="8"/>
        <v>107.15852400000001</v>
      </c>
      <c r="W19" s="6">
        <f t="shared" si="8"/>
        <v>119.91195</v>
      </c>
      <c r="X19" s="6">
        <f t="shared" si="8"/>
        <v>131.10373200000001</v>
      </c>
      <c r="Y19" s="6">
        <f t="shared" si="8"/>
        <v>170.27496900000003</v>
      </c>
      <c r="Z19" s="6">
        <f t="shared" si="8"/>
        <v>181.98729900000004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x14ac:dyDescent="0.2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0.53</v>
      </c>
      <c r="J20" s="11">
        <f>SUMIFS(ar6_r10!$F$2:$F$999,ar6_r10!$A$2:$A$999,Veda!$E$5,ar6_r10!$C$2:$C$999,Veda!J$17,ar6_r10!$M$2:$M$999,Veda!$G20)</f>
        <v>0.56000000000000005</v>
      </c>
      <c r="K20" s="11">
        <f>SUMIFS(ar6_r10!$F$2:$F$999,ar6_r10!$A$2:$A$999,Veda!$E$5,ar6_r10!$C$2:$C$999,Veda!K$17,ar6_r10!$M$2:$M$999,Veda!$G20)</f>
        <v>0.53</v>
      </c>
      <c r="L20" s="11">
        <f>SUMIFS(ar6_r10!$F$2:$F$999,ar6_r10!$A$2:$A$999,Veda!$E$5,ar6_r10!$C$2:$C$999,Veda!L$17,ar6_r10!$M$2:$M$999,Veda!$G20)</f>
        <v>0.52</v>
      </c>
      <c r="M20" s="11">
        <f>SUMIFS(ar6_r10!$F$2:$F$999,ar6_r10!$A$2:$A$999,Veda!$E$5,ar6_r10!$C$2:$C$999,Veda!M$17,ar6_r10!$M$2:$M$999,Veda!$G20)</f>
        <v>0.52</v>
      </c>
      <c r="N20" s="11">
        <f>SUMIFS(ar6_r10!$F$2:$F$999,ar6_r10!$A$2:$A$999,Veda!$E$5,ar6_r10!$C$2:$C$999,Veda!N$17,ar6_r10!$M$2:$M$999,Veda!$G20)</f>
        <v>0.5</v>
      </c>
      <c r="O20" s="11">
        <f>SUMIFS(ar6_r10!$F$2:$F$999,ar6_r10!$A$2:$A$999,Veda!$E$5,ar6_r10!$C$2:$C$999,Veda!O$17,ar6_r10!$M$2:$M$999,Veda!$G20)</f>
        <v>0.49</v>
      </c>
      <c r="S20" s="10" t="s">
        <v>22</v>
      </c>
      <c r="T20" s="6">
        <f t="shared" si="8"/>
        <v>98.532300000000021</v>
      </c>
      <c r="U20" s="6">
        <f t="shared" si="8"/>
        <v>120.76713600000002</v>
      </c>
      <c r="V20" s="6">
        <f t="shared" si="8"/>
        <v>129.07731300000003</v>
      </c>
      <c r="W20" s="6">
        <f t="shared" si="8"/>
        <v>145.00980000000001</v>
      </c>
      <c r="X20" s="6">
        <f t="shared" si="8"/>
        <v>166.27790400000004</v>
      </c>
      <c r="Y20" s="6">
        <f t="shared" si="8"/>
        <v>197.99415000000002</v>
      </c>
      <c r="Z20" s="6">
        <f t="shared" si="8"/>
        <v>228.65070900000001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x14ac:dyDescent="0.2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0.03</v>
      </c>
      <c r="M21" s="11">
        <f>SUMIFS(ar6_r10!$F$2:$F$999,ar6_r10!$A$2:$A$999,Veda!$E$5,ar6_r10!$C$2:$C$999,Veda!M$17,ar6_r10!$M$2:$M$999,Veda!$G21)</f>
        <v>0.04</v>
      </c>
      <c r="N21" s="11">
        <f>SUMIFS(ar6_r10!$F$2:$F$999,ar6_r10!$A$2:$A$999,Veda!$E$5,ar6_r10!$C$2:$C$999,Veda!N$17,ar6_r10!$M$2:$M$999,Veda!$G21)</f>
        <v>0.06</v>
      </c>
      <c r="O21" s="11">
        <f>SUMIFS(ar6_r10!$F$2:$F$999,ar6_r10!$A$2:$A$999,Veda!$E$5,ar6_r10!$C$2:$C$999,Veda!O$17,ar6_r10!$M$2:$M$999,Veda!$G21)</f>
        <v>0.08</v>
      </c>
      <c r="S21" s="10" t="s">
        <v>24</v>
      </c>
      <c r="T21" s="6">
        <f>I21*T$14</f>
        <v>1.8591000000000002</v>
      </c>
      <c r="U21" s="6">
        <f t="shared" ref="U21:Z21" si="9">T21</f>
        <v>1.8591000000000002</v>
      </c>
      <c r="V21" s="6">
        <f t="shared" si="9"/>
        <v>1.8591000000000002</v>
      </c>
      <c r="W21" s="6">
        <f t="shared" si="9"/>
        <v>1.8591000000000002</v>
      </c>
      <c r="X21" s="6">
        <f t="shared" si="9"/>
        <v>1.8591000000000002</v>
      </c>
      <c r="Y21" s="6">
        <f t="shared" si="9"/>
        <v>1.8591000000000002</v>
      </c>
      <c r="Z21" s="6">
        <f t="shared" si="9"/>
        <v>1.8591000000000002</v>
      </c>
      <c r="AA21" t="s">
        <v>17</v>
      </c>
      <c r="AC21" s="2" t="s">
        <v>20</v>
      </c>
      <c r="AJ21" s="10">
        <f t="shared" si="6"/>
        <v>3</v>
      </c>
    </row>
    <row r="22" spans="1:36" x14ac:dyDescent="0.2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0</v>
      </c>
      <c r="U22" s="6">
        <f t="shared" si="10"/>
        <v>2.4540119999999774</v>
      </c>
      <c r="V22" s="6">
        <f t="shared" si="10"/>
        <v>5.4471629999999607</v>
      </c>
      <c r="W22" s="6">
        <f t="shared" si="10"/>
        <v>12.084149999999966</v>
      </c>
      <c r="X22" s="6">
        <f t="shared" si="10"/>
        <v>20.524463999999966</v>
      </c>
      <c r="Y22" s="6">
        <f t="shared" si="10"/>
        <v>25.86008099999998</v>
      </c>
      <c r="Z22" s="6">
        <f t="shared" si="10"/>
        <v>54.136992000000021</v>
      </c>
      <c r="AA22" t="s">
        <v>17</v>
      </c>
      <c r="AJ22" s="10">
        <f t="shared" si="6"/>
        <v>3</v>
      </c>
    </row>
    <row r="23" spans="1:36" x14ac:dyDescent="0.2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2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55.79</v>
      </c>
      <c r="L24" s="8">
        <f>SUMIFS(ar6_r10!$F$2:$F$999,ar6_r10!$A$2:$A$999,Veda!$E$5,ar6_r10!$C$2:$C$999,Veda!L$17,ar6_r10!$M$2:$M$999,Veda!$G24)</f>
        <v>89.54</v>
      </c>
      <c r="M24" s="8">
        <f>SUMIFS(ar6_r10!$F$2:$F$999,ar6_r10!$A$2:$A$999,Veda!$E$5,ar6_r10!$C$2:$C$999,Veda!M$17,ar6_r10!$M$2:$M$999,Veda!$G24)</f>
        <v>128.22999999999999</v>
      </c>
      <c r="N24" s="8">
        <f>SUMIFS(ar6_r10!$F$2:$F$999,ar6_r10!$A$2:$A$999,Veda!$E$5,ar6_r10!$C$2:$C$999,Veda!N$17,ar6_r10!$M$2:$M$999,Veda!$G24)</f>
        <v>171.82</v>
      </c>
      <c r="O24" s="8">
        <f>SUMIFS(ar6_r10!$F$2:$F$999,ar6_r10!$A$2:$A$999,Veda!$E$5,ar6_r10!$C$2:$C$999,Veda!O$17,ar6_r10!$M$2:$M$999,Veda!$G24)</f>
        <v>208.87</v>
      </c>
      <c r="S24" t="s">
        <v>28</v>
      </c>
      <c r="U24">
        <v>0</v>
      </c>
      <c r="V24" s="11">
        <f>K24/1000</f>
        <v>5.5789999999999999E-2</v>
      </c>
      <c r="W24" s="11">
        <f>L24/1000</f>
        <v>8.9540000000000008E-2</v>
      </c>
      <c r="X24" s="11">
        <f>M24/1000</f>
        <v>0.12822999999999998</v>
      </c>
      <c r="Y24" s="11">
        <f>N24/1000</f>
        <v>0.17182</v>
      </c>
      <c r="Z24" s="11">
        <f>O24/1000</f>
        <v>0.20887</v>
      </c>
      <c r="AA24" t="s">
        <v>29</v>
      </c>
      <c r="AJ24" s="10">
        <f t="shared" si="6"/>
        <v>4</v>
      </c>
    </row>
    <row r="25" spans="1:36" ht="14.65" customHeight="1" x14ac:dyDescent="0.2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35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3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3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0.03</v>
      </c>
      <c r="S28" t="s">
        <v>32</v>
      </c>
      <c r="T28" s="3">
        <f>Q28</f>
        <v>0.03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3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-1.42</v>
      </c>
      <c r="S29" t="s">
        <v>35</v>
      </c>
      <c r="T29" s="3">
        <f>-1*Q29</f>
        <v>1.42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2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2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2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2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2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2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2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2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1.08</v>
      </c>
      <c r="K37" s="11">
        <f>SUMIFS(ar6_r10!$F$2:$F$999,ar6_r10!$A$2:$A$999,Veda!$G$36,ar6_r10!$C$2:$C$999,Veda!K$17,ar6_r10!$M$2:$M$999,Veda!$G37)</f>
        <v>1.29</v>
      </c>
      <c r="L37" s="11">
        <f>SUMIFS(ar6_r10!$F$2:$F$999,ar6_r10!$A$2:$A$999,Veda!$G$36,ar6_r10!$C$2:$C$999,Veda!L$17,ar6_r10!$M$2:$M$999,Veda!$G37)</f>
        <v>1.28</v>
      </c>
      <c r="M37" s="11">
        <f>SUMIFS(ar6_r10!$F$2:$F$999,ar6_r10!$A$2:$A$999,Veda!$G$36,ar6_r10!$C$2:$C$999,Veda!M$17,ar6_r10!$M$2:$M$999,Veda!$G37)</f>
        <v>1.4</v>
      </c>
      <c r="N37" s="11">
        <f>SUMIFS(ar6_r10!$F$2:$F$999,ar6_r10!$A$2:$A$999,Veda!$G$36,ar6_r10!$C$2:$C$999,Veda!N$17,ar6_r10!$M$2:$M$999,Veda!$G37)</f>
        <v>1.48</v>
      </c>
      <c r="O37" s="11">
        <f>SUMIFS(ar6_r10!$F$2:$F$999,ar6_r10!$A$2:$A$999,Veda!$G$36,ar6_r10!$C$2:$C$999,Veda!O$17,ar6_r10!$M$2:$M$999,Veda!$G37)</f>
        <v>1.53</v>
      </c>
      <c r="AJ37" s="10">
        <f t="shared" si="6"/>
        <v>6</v>
      </c>
    </row>
    <row r="38" spans="1:36" x14ac:dyDescent="0.2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1.04</v>
      </c>
      <c r="K38" s="11">
        <f>SUMIFS(ar6_r10!$F$2:$F$999,ar6_r10!$A$2:$A$999,Veda!$G$36,ar6_r10!$C$2:$C$999,Veda!K$17,ar6_r10!$M$2:$M$999,Veda!$G38)</f>
        <v>1.1100000000000001</v>
      </c>
      <c r="L38" s="11">
        <f>SUMIFS(ar6_r10!$F$2:$F$999,ar6_r10!$A$2:$A$999,Veda!$G$36,ar6_r10!$C$2:$C$999,Veda!L$17,ar6_r10!$M$2:$M$999,Veda!$G38)</f>
        <v>1.1399999999999999</v>
      </c>
      <c r="M38" s="11">
        <f>SUMIFS(ar6_r10!$F$2:$F$999,ar6_r10!$A$2:$A$999,Veda!$G$36,ar6_r10!$C$2:$C$999,Veda!M$17,ar6_r10!$M$2:$M$999,Veda!$G38)</f>
        <v>1.1599999999999999</v>
      </c>
      <c r="N38" s="11">
        <f>SUMIFS(ar6_r10!$F$2:$F$999,ar6_r10!$A$2:$A$999,Veda!$G$36,ar6_r10!$C$2:$C$999,Veda!N$17,ar6_r10!$M$2:$M$999,Veda!$G38)</f>
        <v>1.18</v>
      </c>
      <c r="O38" s="11">
        <f>SUMIFS(ar6_r10!$F$2:$F$999,ar6_r10!$A$2:$A$999,Veda!$G$36,ar6_r10!$C$2:$C$999,Veda!O$17,ar6_r10!$M$2:$M$999,Veda!$G38)</f>
        <v>1.19</v>
      </c>
      <c r="AJ38" s="10">
        <f t="shared" si="6"/>
        <v>6</v>
      </c>
    </row>
    <row r="39" spans="1:36" x14ac:dyDescent="0.2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1.17</v>
      </c>
      <c r="K39" s="11">
        <f>SUMIFS(ar6_r10!$F$2:$F$999,ar6_r10!$A$2:$A$999,Veda!$G$36,ar6_r10!$C$2:$C$999,Veda!K$17,ar6_r10!$M$2:$M$999,Veda!$G39)</f>
        <v>1.34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1.44</v>
      </c>
      <c r="N39" s="11">
        <f>SUMIFS(ar6_r10!$F$2:$F$999,ar6_r10!$A$2:$A$999,Veda!$G$36,ar6_r10!$C$2:$C$999,Veda!N$17,ar6_r10!$M$2:$M$999,Veda!$G39)</f>
        <v>1.63</v>
      </c>
      <c r="O39" s="11">
        <f>SUMIFS(ar6_r10!$F$2:$F$999,ar6_r10!$A$2:$A$999,Veda!$G$36,ar6_r10!$C$2:$C$999,Veda!O$17,ar6_r10!$M$2:$M$999,Veda!$G39)</f>
        <v>1.89</v>
      </c>
      <c r="AJ39" s="10">
        <f t="shared" si="6"/>
        <v>7</v>
      </c>
    </row>
    <row r="40" spans="1:36" x14ac:dyDescent="0.2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0.97</v>
      </c>
      <c r="K40" s="11">
        <f>SUMIFS(ar6_r10!$F$2:$F$999,ar6_r10!$A$2:$A$999,Veda!$G$36,ar6_r10!$C$2:$C$999,Veda!K$17,ar6_r10!$M$2:$M$999,Veda!$G40)</f>
        <v>0.95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0.89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0.95</v>
      </c>
      <c r="AJ40" s="10">
        <f t="shared" si="6"/>
        <v>7</v>
      </c>
    </row>
    <row r="41" spans="1:36" x14ac:dyDescent="0.2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2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2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x14ac:dyDescent="0.2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x14ac:dyDescent="0.2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 t="shared" ref="I45:O48" si="13">AVERAGE($R45:$S45)*I37</f>
        <v>22.25</v>
      </c>
      <c r="J45">
        <f t="shared" si="13"/>
        <v>24.03</v>
      </c>
      <c r="K45">
        <f t="shared" si="13"/>
        <v>28.702500000000001</v>
      </c>
      <c r="L45">
        <f t="shared" si="13"/>
        <v>28.48</v>
      </c>
      <c r="M45">
        <f t="shared" si="13"/>
        <v>31.15</v>
      </c>
      <c r="N45">
        <f t="shared" si="13"/>
        <v>32.93</v>
      </c>
      <c r="O45">
        <f t="shared" si="13"/>
        <v>34.042500000000004</v>
      </c>
      <c r="R45">
        <f>HLOOKUP($G45&amp;"_"&amp;R$44,fuel_prices!$B$10:$I$11,2,FALSE)</f>
        <v>17.100000000000001</v>
      </c>
      <c r="S45">
        <f>HLOOKUP($G45&amp;"_"&amp;S$44,fuel_prices!$B$10:$I$11,2,FALSE)</f>
        <v>27.4</v>
      </c>
      <c r="AJ45" s="10">
        <f t="shared" si="6"/>
        <v>8</v>
      </c>
    </row>
    <row r="46" spans="1:36" x14ac:dyDescent="0.2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ref="H46:H48" si="14">G46</f>
        <v>Coal</v>
      </c>
      <c r="I46">
        <f t="shared" si="13"/>
        <v>13.1</v>
      </c>
      <c r="J46">
        <f t="shared" si="13"/>
        <v>13.624000000000001</v>
      </c>
      <c r="K46">
        <f t="shared" si="13"/>
        <v>14.541</v>
      </c>
      <c r="L46">
        <f t="shared" si="13"/>
        <v>14.933999999999997</v>
      </c>
      <c r="M46">
        <f t="shared" si="13"/>
        <v>15.195999999999998</v>
      </c>
      <c r="N46">
        <f t="shared" si="13"/>
        <v>15.457999999999998</v>
      </c>
      <c r="O46">
        <f t="shared" si="13"/>
        <v>15.588999999999999</v>
      </c>
      <c r="R46">
        <f>HLOOKUP($G46&amp;"_"&amp;R$44,fuel_prices!$B$10:$I$11,2,FALSE)</f>
        <v>11</v>
      </c>
      <c r="S46">
        <f>HLOOKUP($G46&amp;"_"&amp;S$44,fuel_prices!$B$10:$I$11,2,FALSE)</f>
        <v>15.2</v>
      </c>
      <c r="AJ46" s="10">
        <f t="shared" si="6"/>
        <v>8</v>
      </c>
    </row>
    <row r="47" spans="1:36" x14ac:dyDescent="0.2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3"/>
        <v>47</v>
      </c>
      <c r="J47">
        <f t="shared" si="13"/>
        <v>54.989999999999995</v>
      </c>
      <c r="K47">
        <f t="shared" si="13"/>
        <v>62.980000000000004</v>
      </c>
      <c r="L47">
        <f t="shared" si="13"/>
        <v>62.510000000000005</v>
      </c>
      <c r="M47">
        <f t="shared" si="13"/>
        <v>67.679999999999993</v>
      </c>
      <c r="N47">
        <f t="shared" si="13"/>
        <v>76.61</v>
      </c>
      <c r="O47">
        <f t="shared" si="13"/>
        <v>88.83</v>
      </c>
      <c r="R47">
        <f>HLOOKUP($G47&amp;"_"&amp;R$44,fuel_prices!$B$10:$I$11,2,FALSE)</f>
        <v>42</v>
      </c>
      <c r="S47">
        <f>HLOOKUP($G47&amp;"_"&amp;S$44,fuel_prices!$B$10:$I$11,2,FALSE)</f>
        <v>52</v>
      </c>
      <c r="AJ47" s="10">
        <f t="shared" si="6"/>
        <v>8</v>
      </c>
    </row>
    <row r="48" spans="1:36" x14ac:dyDescent="0.2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3"/>
        <v>16</v>
      </c>
      <c r="O48">
        <f>VLOOKUP($E$5,$AK$9:$AM$15,3,FALSE)*I48</f>
        <v>48</v>
      </c>
      <c r="R48">
        <f>HLOOKUP($G48&amp;"_"&amp;R$44,fuel_prices!$B$10:$I$11,2,FALSE)</f>
        <v>12</v>
      </c>
      <c r="S48">
        <f>HLOOKUP($G48&amp;"_"&amp;S$44,fuel_prices!$B$10:$I$11,2,FALSE)</f>
        <v>20</v>
      </c>
      <c r="AJ48" s="10">
        <f t="shared" si="6"/>
        <v>8</v>
      </c>
    </row>
    <row r="49" spans="36:36" x14ac:dyDescent="0.25">
      <c r="AJ49" s="10">
        <f t="shared" si="6"/>
        <v>9</v>
      </c>
    </row>
    <row r="50" spans="36:36" x14ac:dyDescent="0.25">
      <c r="AJ50" s="10">
        <f t="shared" si="6"/>
        <v>9</v>
      </c>
    </row>
    <row r="51" spans="36:36" x14ac:dyDescent="0.25">
      <c r="AJ51" s="10">
        <f t="shared" si="6"/>
        <v>9</v>
      </c>
    </row>
    <row r="52" spans="36:36" x14ac:dyDescent="0.25">
      <c r="AJ52" s="10">
        <f t="shared" si="6"/>
        <v>9</v>
      </c>
    </row>
    <row r="53" spans="36:36" x14ac:dyDescent="0.25">
      <c r="AJ53" s="10">
        <f t="shared" si="6"/>
        <v>9</v>
      </c>
    </row>
    <row r="54" spans="36:36" x14ac:dyDescent="0.25">
      <c r="AJ54" s="10">
        <f t="shared" si="6"/>
        <v>10</v>
      </c>
    </row>
    <row r="55" spans="36:36" x14ac:dyDescent="0.25">
      <c r="AJ55" s="10">
        <f t="shared" si="6"/>
        <v>10</v>
      </c>
    </row>
    <row r="56" spans="36:36" x14ac:dyDescent="0.25">
      <c r="AJ56" s="10">
        <f t="shared" si="6"/>
        <v>10</v>
      </c>
    </row>
    <row r="57" spans="36:36" x14ac:dyDescent="0.25">
      <c r="AJ57" s="10">
        <f t="shared" si="6"/>
        <v>10</v>
      </c>
    </row>
    <row r="58" spans="36:36" x14ac:dyDescent="0.25">
      <c r="AJ58" s="10">
        <f t="shared" si="6"/>
        <v>10</v>
      </c>
    </row>
    <row r="59" spans="36:36" x14ac:dyDescent="0.25">
      <c r="AJ59" s="10">
        <f t="shared" si="6"/>
        <v>11</v>
      </c>
    </row>
    <row r="60" spans="36:36" x14ac:dyDescent="0.25">
      <c r="AJ60" s="10">
        <f t="shared" si="6"/>
        <v>11</v>
      </c>
    </row>
    <row r="61" spans="36:36" x14ac:dyDescent="0.25">
      <c r="AJ61" s="10">
        <f t="shared" si="6"/>
        <v>11</v>
      </c>
    </row>
    <row r="62" spans="36:36" x14ac:dyDescent="0.25">
      <c r="AJ62" s="10">
        <f t="shared" si="6"/>
        <v>11</v>
      </c>
    </row>
    <row r="63" spans="36:36" x14ac:dyDescent="0.25">
      <c r="AJ63" s="10">
        <f t="shared" si="6"/>
        <v>11</v>
      </c>
    </row>
    <row r="64" spans="36:36" x14ac:dyDescent="0.25">
      <c r="AJ64" s="10">
        <f t="shared" si="6"/>
        <v>12</v>
      </c>
    </row>
    <row r="65" spans="36:36" x14ac:dyDescent="0.25">
      <c r="AJ65" s="10">
        <f t="shared" si="6"/>
        <v>12</v>
      </c>
    </row>
    <row r="66" spans="36:36" x14ac:dyDescent="0.25">
      <c r="AJ66" s="10">
        <f t="shared" si="6"/>
        <v>12</v>
      </c>
    </row>
    <row r="67" spans="36:36" x14ac:dyDescent="0.25">
      <c r="AJ67" s="10">
        <f t="shared" si="6"/>
        <v>12</v>
      </c>
    </row>
    <row r="68" spans="36:36" x14ac:dyDescent="0.25">
      <c r="AJ68" s="10">
        <f t="shared" si="6"/>
        <v>12</v>
      </c>
    </row>
    <row r="69" spans="36:36" x14ac:dyDescent="0.25">
      <c r="AJ69" s="10">
        <f t="shared" si="6"/>
        <v>13</v>
      </c>
    </row>
    <row r="70" spans="36:36" x14ac:dyDescent="0.25">
      <c r="AJ70" s="10">
        <f t="shared" si="6"/>
        <v>13</v>
      </c>
    </row>
    <row r="71" spans="36:36" x14ac:dyDescent="0.25">
      <c r="AJ71" s="10">
        <f t="shared" si="6"/>
        <v>13</v>
      </c>
    </row>
    <row r="72" spans="36:36" x14ac:dyDescent="0.25">
      <c r="AJ72" s="10">
        <f t="shared" si="6"/>
        <v>13</v>
      </c>
    </row>
    <row r="73" spans="36:36" x14ac:dyDescent="0.25">
      <c r="AJ73" s="10">
        <f t="shared" si="6"/>
        <v>13</v>
      </c>
    </row>
    <row r="74" spans="36:36" x14ac:dyDescent="0.25">
      <c r="AJ74" s="10">
        <f t="shared" si="6"/>
        <v>14</v>
      </c>
    </row>
    <row r="75" spans="36:36" x14ac:dyDescent="0.25">
      <c r="AJ75" s="10">
        <f t="shared" si="6"/>
        <v>14</v>
      </c>
    </row>
    <row r="76" spans="36:36" x14ac:dyDescent="0.25">
      <c r="AJ76" s="10">
        <f t="shared" si="6"/>
        <v>14</v>
      </c>
    </row>
    <row r="77" spans="36:36" x14ac:dyDescent="0.25">
      <c r="AJ77" s="10">
        <f t="shared" si="6"/>
        <v>14</v>
      </c>
    </row>
    <row r="78" spans="36:36" x14ac:dyDescent="0.25">
      <c r="AJ78" s="10">
        <f t="shared" si="6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5" x14ac:dyDescent="0.25"/>
  <cols>
    <col min="1" max="7" width="10.5703125" customWidth="1"/>
    <col min="8" max="8" width="13.42578125" bestFit="1" customWidth="1"/>
    <col min="9" max="9" width="14" bestFit="1" customWidth="1"/>
    <col min="10" max="10" width="26.42578125" bestFit="1" customWidth="1"/>
  </cols>
  <sheetData>
    <row r="1" spans="1:10" ht="22.15" customHeight="1" x14ac:dyDescent="0.25"/>
    <row r="9" spans="1:10" x14ac:dyDescent="0.25">
      <c r="A9" t="s">
        <v>60</v>
      </c>
    </row>
    <row r="10" spans="1:10" x14ac:dyDescent="0.2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25">
      <c r="A11" t="s">
        <v>133</v>
      </c>
      <c r="B11">
        <v>17.100000000000001</v>
      </c>
      <c r="C11">
        <v>27.4</v>
      </c>
      <c r="D11">
        <v>11</v>
      </c>
      <c r="E11">
        <v>15.2</v>
      </c>
      <c r="F11">
        <v>42</v>
      </c>
      <c r="G11">
        <v>52</v>
      </c>
      <c r="H11">
        <v>12</v>
      </c>
      <c r="I11">
        <v>20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5" x14ac:dyDescent="0.25"/>
  <cols>
    <col min="1" max="2" width="10.5703125" customWidth="1"/>
    <col min="3" max="3" width="11.85546875" bestFit="1" customWidth="1"/>
    <col min="4" max="4" width="17" bestFit="1" customWidth="1"/>
    <col min="5" max="5" width="21" bestFit="1" customWidth="1"/>
    <col min="6" max="6" width="17.7109375" bestFit="1" customWidth="1"/>
    <col min="7" max="7" width="11.42578125" bestFit="1" customWidth="1"/>
    <col min="8" max="8" width="11.28515625" bestFit="1" customWidth="1"/>
    <col min="9" max="9" width="19.28515625" bestFit="1" customWidth="1"/>
  </cols>
  <sheetData>
    <row r="1" spans="1:9" ht="22.15" customHeight="1" x14ac:dyDescent="0.25"/>
    <row r="9" spans="1:9" x14ac:dyDescent="0.25">
      <c r="A9" t="s">
        <v>58</v>
      </c>
    </row>
    <row r="10" spans="1:9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25">
      <c r="A11" t="s">
        <v>133</v>
      </c>
      <c r="B11">
        <v>2000</v>
      </c>
      <c r="C11">
        <v>40.93</v>
      </c>
      <c r="D11">
        <v>28.53</v>
      </c>
      <c r="E11">
        <v>0.05</v>
      </c>
      <c r="F11">
        <v>0</v>
      </c>
      <c r="G11">
        <v>0</v>
      </c>
      <c r="H11">
        <v>0</v>
      </c>
      <c r="I11">
        <v>69.260000000000005</v>
      </c>
    </row>
    <row r="12" spans="1:9" x14ac:dyDescent="0.25">
      <c r="A12" t="s">
        <v>133</v>
      </c>
      <c r="B12">
        <v>2001</v>
      </c>
      <c r="C12">
        <v>42.61</v>
      </c>
      <c r="D12">
        <v>30.94</v>
      </c>
      <c r="E12">
        <v>0.04</v>
      </c>
      <c r="F12">
        <v>0</v>
      </c>
      <c r="G12">
        <v>0</v>
      </c>
      <c r="H12">
        <v>0</v>
      </c>
      <c r="I12">
        <v>71.08</v>
      </c>
    </row>
    <row r="13" spans="1:9" x14ac:dyDescent="0.25">
      <c r="A13" t="s">
        <v>133</v>
      </c>
      <c r="B13">
        <v>2002</v>
      </c>
      <c r="C13">
        <v>44.48</v>
      </c>
      <c r="D13">
        <v>33.25</v>
      </c>
      <c r="E13">
        <v>0.05</v>
      </c>
      <c r="F13">
        <v>0</v>
      </c>
      <c r="G13">
        <v>0</v>
      </c>
      <c r="H13">
        <v>-0.03</v>
      </c>
      <c r="I13">
        <v>74.25</v>
      </c>
    </row>
    <row r="14" spans="1:9" x14ac:dyDescent="0.25">
      <c r="A14" t="s">
        <v>133</v>
      </c>
      <c r="B14">
        <v>2003</v>
      </c>
      <c r="C14">
        <v>47.12</v>
      </c>
      <c r="D14">
        <v>35.659999999999997</v>
      </c>
      <c r="E14">
        <v>0.06</v>
      </c>
      <c r="F14">
        <v>0</v>
      </c>
      <c r="G14">
        <v>0</v>
      </c>
      <c r="H14">
        <v>-0.2</v>
      </c>
      <c r="I14">
        <v>78.47</v>
      </c>
    </row>
    <row r="15" spans="1:9" x14ac:dyDescent="0.25">
      <c r="A15" t="s">
        <v>133</v>
      </c>
      <c r="B15">
        <v>2004</v>
      </c>
      <c r="C15">
        <v>48.72</v>
      </c>
      <c r="D15">
        <v>38.35</v>
      </c>
      <c r="E15">
        <v>0.05</v>
      </c>
      <c r="F15">
        <v>0</v>
      </c>
      <c r="G15">
        <v>0.1</v>
      </c>
      <c r="H15">
        <v>-0.62</v>
      </c>
      <c r="I15">
        <v>82.28</v>
      </c>
    </row>
    <row r="16" spans="1:9" x14ac:dyDescent="0.25">
      <c r="A16" t="s">
        <v>133</v>
      </c>
      <c r="B16">
        <v>2005</v>
      </c>
      <c r="C16">
        <v>49.12</v>
      </c>
      <c r="D16">
        <v>41.49</v>
      </c>
      <c r="E16">
        <v>0.06</v>
      </c>
      <c r="F16">
        <v>0</v>
      </c>
      <c r="G16">
        <v>0</v>
      </c>
      <c r="H16">
        <v>-2.23</v>
      </c>
      <c r="I16">
        <v>82.67</v>
      </c>
    </row>
    <row r="17" spans="1:9" x14ac:dyDescent="0.25">
      <c r="A17" t="s">
        <v>133</v>
      </c>
      <c r="B17">
        <v>2006</v>
      </c>
      <c r="C17">
        <v>51.19</v>
      </c>
      <c r="D17">
        <v>44.1</v>
      </c>
      <c r="E17">
        <v>0.06</v>
      </c>
      <c r="F17">
        <v>0</v>
      </c>
      <c r="G17">
        <v>0</v>
      </c>
      <c r="H17">
        <v>-2.3199999999999998</v>
      </c>
      <c r="I17">
        <v>89.83</v>
      </c>
    </row>
    <row r="18" spans="1:9" x14ac:dyDescent="0.25">
      <c r="A18" t="s">
        <v>133</v>
      </c>
      <c r="B18">
        <v>2007</v>
      </c>
      <c r="C18">
        <v>53.41</v>
      </c>
      <c r="D18">
        <v>47.6</v>
      </c>
      <c r="E18">
        <v>0.04</v>
      </c>
      <c r="F18">
        <v>0</v>
      </c>
      <c r="G18">
        <v>0</v>
      </c>
      <c r="H18">
        <v>-2.2599999999999998</v>
      </c>
      <c r="I18">
        <v>97.52</v>
      </c>
    </row>
    <row r="19" spans="1:9" x14ac:dyDescent="0.25">
      <c r="A19" t="s">
        <v>133</v>
      </c>
      <c r="B19">
        <v>2008</v>
      </c>
      <c r="C19">
        <v>54.61</v>
      </c>
      <c r="D19">
        <v>49.83</v>
      </c>
      <c r="E19">
        <v>0.17</v>
      </c>
      <c r="F19">
        <v>0</v>
      </c>
      <c r="G19">
        <v>0.11</v>
      </c>
      <c r="H19">
        <v>-0.57999999999999996</v>
      </c>
      <c r="I19">
        <v>97.8</v>
      </c>
    </row>
    <row r="20" spans="1:9" x14ac:dyDescent="0.25">
      <c r="A20" t="s">
        <v>133</v>
      </c>
      <c r="B20">
        <v>2009</v>
      </c>
      <c r="C20">
        <v>62.79</v>
      </c>
      <c r="D20">
        <v>52.98</v>
      </c>
      <c r="E20">
        <v>0.14000000000000001</v>
      </c>
      <c r="F20">
        <v>0</v>
      </c>
      <c r="G20">
        <v>0.01</v>
      </c>
      <c r="H20">
        <v>-0.1</v>
      </c>
      <c r="I20">
        <v>116</v>
      </c>
    </row>
    <row r="21" spans="1:9" x14ac:dyDescent="0.25">
      <c r="A21" t="s">
        <v>133</v>
      </c>
      <c r="B21">
        <v>2010</v>
      </c>
      <c r="C21">
        <v>66.5</v>
      </c>
      <c r="D21">
        <v>57.93</v>
      </c>
      <c r="E21">
        <v>0.21</v>
      </c>
      <c r="F21">
        <v>0</v>
      </c>
      <c r="G21">
        <v>0</v>
      </c>
      <c r="H21">
        <v>-0.15</v>
      </c>
      <c r="I21">
        <v>124.79</v>
      </c>
    </row>
    <row r="22" spans="1:9" x14ac:dyDescent="0.25">
      <c r="A22" t="s">
        <v>133</v>
      </c>
      <c r="B22">
        <v>2011</v>
      </c>
      <c r="C22">
        <v>69.400000000000006</v>
      </c>
      <c r="D22">
        <v>60.03</v>
      </c>
      <c r="E22">
        <v>0.21</v>
      </c>
      <c r="F22">
        <v>0</v>
      </c>
      <c r="G22">
        <v>0.37</v>
      </c>
      <c r="H22">
        <v>-0.01</v>
      </c>
      <c r="I22">
        <v>129.28</v>
      </c>
    </row>
    <row r="23" spans="1:9" x14ac:dyDescent="0.25">
      <c r="A23" t="s">
        <v>133</v>
      </c>
      <c r="B23">
        <v>2012</v>
      </c>
      <c r="C23">
        <v>70.489999999999995</v>
      </c>
      <c r="D23">
        <v>63.74</v>
      </c>
      <c r="E23">
        <v>0.24</v>
      </c>
      <c r="F23">
        <v>0</v>
      </c>
      <c r="G23">
        <v>0.1</v>
      </c>
      <c r="H23">
        <v>-0.01</v>
      </c>
      <c r="I23">
        <v>134.38</v>
      </c>
    </row>
    <row r="24" spans="1:9" x14ac:dyDescent="0.25">
      <c r="A24" t="s">
        <v>133</v>
      </c>
      <c r="B24">
        <v>2013</v>
      </c>
      <c r="C24">
        <v>71.3</v>
      </c>
      <c r="D24">
        <v>66.989999999999995</v>
      </c>
      <c r="E24">
        <v>0.24</v>
      </c>
      <c r="F24">
        <v>0</v>
      </c>
      <c r="G24">
        <v>0.22</v>
      </c>
      <c r="H24">
        <v>-0.03</v>
      </c>
      <c r="I24">
        <v>138.35</v>
      </c>
    </row>
    <row r="25" spans="1:9" x14ac:dyDescent="0.25">
      <c r="A25" t="s">
        <v>133</v>
      </c>
      <c r="B25">
        <v>2014</v>
      </c>
      <c r="C25">
        <v>78.05</v>
      </c>
      <c r="D25">
        <v>69.180000000000007</v>
      </c>
      <c r="E25">
        <v>0.26</v>
      </c>
      <c r="F25">
        <v>0</v>
      </c>
      <c r="G25">
        <v>0.02</v>
      </c>
      <c r="H25">
        <v>-0.01</v>
      </c>
      <c r="I25">
        <v>147.47</v>
      </c>
    </row>
    <row r="26" spans="1:9" x14ac:dyDescent="0.25">
      <c r="A26" t="s">
        <v>133</v>
      </c>
      <c r="B26">
        <v>2015</v>
      </c>
      <c r="C26">
        <v>75.930000000000007</v>
      </c>
      <c r="D26">
        <v>71.81</v>
      </c>
      <c r="E26">
        <v>0.27</v>
      </c>
      <c r="F26">
        <v>0</v>
      </c>
      <c r="G26">
        <v>0.01</v>
      </c>
      <c r="H26">
        <v>0</v>
      </c>
      <c r="I26">
        <v>150.12</v>
      </c>
    </row>
    <row r="27" spans="1:9" x14ac:dyDescent="0.25">
      <c r="A27" t="s">
        <v>133</v>
      </c>
      <c r="B27">
        <v>2016</v>
      </c>
      <c r="C27">
        <v>83.84</v>
      </c>
      <c r="D27">
        <v>76.069999999999993</v>
      </c>
      <c r="E27">
        <v>0.34</v>
      </c>
      <c r="F27">
        <v>0</v>
      </c>
      <c r="G27">
        <v>0.03</v>
      </c>
      <c r="H27">
        <v>-0.69</v>
      </c>
      <c r="I27">
        <v>156.66</v>
      </c>
    </row>
    <row r="28" spans="1:9" x14ac:dyDescent="0.25">
      <c r="A28" t="s">
        <v>133</v>
      </c>
      <c r="B28">
        <v>2017</v>
      </c>
      <c r="C28">
        <v>88.4</v>
      </c>
      <c r="D28">
        <v>74.69</v>
      </c>
      <c r="E28">
        <v>0.46</v>
      </c>
      <c r="F28">
        <v>0</v>
      </c>
      <c r="G28">
        <v>0.01</v>
      </c>
      <c r="H28">
        <v>-1.1200000000000001</v>
      </c>
      <c r="I28">
        <v>164.5</v>
      </c>
    </row>
    <row r="29" spans="1:9" x14ac:dyDescent="0.25">
      <c r="A29" t="s">
        <v>133</v>
      </c>
      <c r="B29">
        <v>2018</v>
      </c>
      <c r="C29">
        <v>93.69</v>
      </c>
      <c r="D29">
        <v>76.349999999999994</v>
      </c>
      <c r="E29">
        <v>0.48</v>
      </c>
      <c r="F29">
        <v>0</v>
      </c>
      <c r="G29">
        <v>0.02</v>
      </c>
      <c r="H29">
        <v>-1.51</v>
      </c>
      <c r="I29">
        <v>170.52</v>
      </c>
    </row>
    <row r="30" spans="1:9" x14ac:dyDescent="0.25">
      <c r="A30" t="s">
        <v>133</v>
      </c>
      <c r="B30">
        <v>2019</v>
      </c>
      <c r="C30">
        <v>96.84</v>
      </c>
      <c r="D30">
        <v>79.75</v>
      </c>
      <c r="E30">
        <v>0.48</v>
      </c>
      <c r="F30">
        <v>0</v>
      </c>
      <c r="G30">
        <v>0.04</v>
      </c>
      <c r="H30">
        <v>-1.7</v>
      </c>
      <c r="I30">
        <v>178.35</v>
      </c>
    </row>
    <row r="31" spans="1:9" x14ac:dyDescent="0.25">
      <c r="A31" t="s">
        <v>133</v>
      </c>
      <c r="B31">
        <v>2020</v>
      </c>
      <c r="C31">
        <v>92.17</v>
      </c>
      <c r="D31">
        <v>77.5</v>
      </c>
      <c r="E31">
        <v>0.39</v>
      </c>
      <c r="F31">
        <v>0</v>
      </c>
      <c r="G31">
        <v>0.02</v>
      </c>
      <c r="H31">
        <v>-1.57</v>
      </c>
      <c r="I31">
        <v>174.13</v>
      </c>
    </row>
    <row r="32" spans="1:9" x14ac:dyDescent="0.25">
      <c r="A32" t="s">
        <v>133</v>
      </c>
      <c r="B32">
        <v>2021</v>
      </c>
      <c r="C32">
        <v>95.94</v>
      </c>
      <c r="D32">
        <v>77.64</v>
      </c>
      <c r="E32">
        <v>0.35</v>
      </c>
      <c r="F32">
        <v>0</v>
      </c>
      <c r="G32">
        <v>0.03</v>
      </c>
      <c r="H32">
        <v>-0.98</v>
      </c>
      <c r="I32">
        <v>179.98</v>
      </c>
    </row>
    <row r="33" spans="1:9" x14ac:dyDescent="0.25">
      <c r="A33" t="s">
        <v>133</v>
      </c>
      <c r="B33">
        <v>2022</v>
      </c>
      <c r="C33">
        <v>99.43</v>
      </c>
      <c r="D33">
        <v>83.83</v>
      </c>
      <c r="E33">
        <v>0.25</v>
      </c>
      <c r="F33">
        <v>0</v>
      </c>
      <c r="G33">
        <v>0.03</v>
      </c>
      <c r="H33">
        <v>-1.42</v>
      </c>
      <c r="I33">
        <v>187.3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5" x14ac:dyDescent="0.25"/>
  <cols>
    <col min="1" max="1" width="10.5703125" customWidth="1"/>
    <col min="2" max="2" width="11" bestFit="1" customWidth="1"/>
    <col min="3" max="11" width="10.5703125" customWidth="1"/>
    <col min="12" max="13" width="30.5703125" customWidth="1"/>
    <col min="14" max="86" width="12.28515625" bestFit="1" customWidth="1"/>
    <col min="87" max="87" width="127" bestFit="1" customWidth="1"/>
    <col min="88" max="88" width="22" bestFit="1" customWidth="1"/>
    <col min="89" max="89" width="11" bestFit="1" customWidth="1"/>
  </cols>
  <sheetData>
    <row r="1" spans="1:13" ht="22.15" customHeight="1" x14ac:dyDescent="0.25"/>
    <row r="9" spans="1:13" x14ac:dyDescent="0.25">
      <c r="A9" t="s">
        <v>59</v>
      </c>
    </row>
    <row r="10" spans="1:13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25">
      <c r="A11" t="s">
        <v>0</v>
      </c>
      <c r="B11" t="s">
        <v>134</v>
      </c>
      <c r="C11">
        <v>2020</v>
      </c>
      <c r="D11">
        <v>60</v>
      </c>
      <c r="E11">
        <v>3.28</v>
      </c>
      <c r="F11">
        <v>0.55000000000000004</v>
      </c>
      <c r="G11">
        <v>3.92</v>
      </c>
      <c r="H11">
        <v>0</v>
      </c>
      <c r="I11">
        <v>9.19</v>
      </c>
      <c r="J11">
        <v>0</v>
      </c>
      <c r="K11">
        <v>8.0500000000000007</v>
      </c>
      <c r="L11" t="s">
        <v>1</v>
      </c>
      <c r="M11" t="s">
        <v>27</v>
      </c>
    </row>
    <row r="12" spans="1:13" x14ac:dyDescent="0.25">
      <c r="A12" t="s">
        <v>0</v>
      </c>
      <c r="B12" t="s">
        <v>134</v>
      </c>
      <c r="C12">
        <v>2025</v>
      </c>
      <c r="D12">
        <v>60</v>
      </c>
      <c r="E12">
        <v>144.21</v>
      </c>
      <c r="F12">
        <v>117.22</v>
      </c>
      <c r="G12">
        <v>125.47</v>
      </c>
      <c r="H12">
        <v>9.49</v>
      </c>
      <c r="I12">
        <v>626.48</v>
      </c>
      <c r="J12">
        <v>72.92</v>
      </c>
      <c r="K12">
        <v>177.75</v>
      </c>
      <c r="L12" t="s">
        <v>1</v>
      </c>
      <c r="M12" t="s">
        <v>27</v>
      </c>
    </row>
    <row r="13" spans="1:13" x14ac:dyDescent="0.25">
      <c r="A13" t="s">
        <v>0</v>
      </c>
      <c r="B13" t="s">
        <v>134</v>
      </c>
      <c r="C13">
        <v>2030</v>
      </c>
      <c r="D13">
        <v>60</v>
      </c>
      <c r="E13">
        <v>204.31</v>
      </c>
      <c r="F13">
        <v>186.64</v>
      </c>
      <c r="G13">
        <v>116.81</v>
      </c>
      <c r="H13">
        <v>6.28</v>
      </c>
      <c r="I13">
        <v>673.46</v>
      </c>
      <c r="J13">
        <v>116.89</v>
      </c>
      <c r="K13">
        <v>241.69</v>
      </c>
      <c r="L13" t="s">
        <v>1</v>
      </c>
      <c r="M13" t="s">
        <v>27</v>
      </c>
    </row>
    <row r="14" spans="1:13" x14ac:dyDescent="0.25">
      <c r="A14" t="s">
        <v>0</v>
      </c>
      <c r="B14" t="s">
        <v>134</v>
      </c>
      <c r="C14">
        <v>2035</v>
      </c>
      <c r="D14">
        <v>60</v>
      </c>
      <c r="E14">
        <v>292.3</v>
      </c>
      <c r="F14">
        <v>250.8</v>
      </c>
      <c r="G14">
        <v>154.01</v>
      </c>
      <c r="H14">
        <v>34.159999999999997</v>
      </c>
      <c r="I14">
        <v>859.53</v>
      </c>
      <c r="J14">
        <v>184.18</v>
      </c>
      <c r="K14">
        <v>361.62</v>
      </c>
      <c r="L14" t="s">
        <v>1</v>
      </c>
      <c r="M14" t="s">
        <v>27</v>
      </c>
    </row>
    <row r="15" spans="1:13" x14ac:dyDescent="0.25">
      <c r="A15" t="s">
        <v>0</v>
      </c>
      <c r="B15" t="s">
        <v>134</v>
      </c>
      <c r="C15">
        <v>2040</v>
      </c>
      <c r="D15">
        <v>60</v>
      </c>
      <c r="E15">
        <v>406.37</v>
      </c>
      <c r="F15">
        <v>325.37</v>
      </c>
      <c r="G15">
        <v>208.03</v>
      </c>
      <c r="H15">
        <v>145.16</v>
      </c>
      <c r="I15">
        <v>1097.01</v>
      </c>
      <c r="J15">
        <v>278.29000000000002</v>
      </c>
      <c r="K15">
        <v>499.12</v>
      </c>
      <c r="L15" t="s">
        <v>1</v>
      </c>
      <c r="M15" t="s">
        <v>27</v>
      </c>
    </row>
    <row r="16" spans="1:13" x14ac:dyDescent="0.25">
      <c r="A16" t="s">
        <v>0</v>
      </c>
      <c r="B16" t="s">
        <v>134</v>
      </c>
      <c r="C16">
        <v>2045</v>
      </c>
      <c r="D16">
        <v>60</v>
      </c>
      <c r="E16">
        <v>524.62</v>
      </c>
      <c r="F16">
        <v>440.67</v>
      </c>
      <c r="G16">
        <v>244.73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27</v>
      </c>
    </row>
    <row r="17" spans="1:13" x14ac:dyDescent="0.25">
      <c r="A17" t="s">
        <v>0</v>
      </c>
      <c r="B17" t="s">
        <v>134</v>
      </c>
      <c r="C17">
        <v>2050</v>
      </c>
      <c r="D17">
        <v>60</v>
      </c>
      <c r="E17">
        <v>628.96</v>
      </c>
      <c r="F17">
        <v>581.75</v>
      </c>
      <c r="G17">
        <v>257.45</v>
      </c>
      <c r="H17">
        <v>209.76</v>
      </c>
      <c r="I17">
        <v>1170.26</v>
      </c>
      <c r="J17">
        <v>412.98</v>
      </c>
      <c r="K17">
        <v>808.29</v>
      </c>
      <c r="L17" t="s">
        <v>1</v>
      </c>
      <c r="M17" t="s">
        <v>27</v>
      </c>
    </row>
    <row r="18" spans="1:13" x14ac:dyDescent="0.25">
      <c r="A18" t="s">
        <v>2</v>
      </c>
      <c r="B18" t="s">
        <v>134</v>
      </c>
      <c r="C18">
        <v>2020</v>
      </c>
      <c r="D18">
        <v>86</v>
      </c>
      <c r="E18">
        <v>1.62</v>
      </c>
      <c r="F18">
        <v>0.12</v>
      </c>
      <c r="G18">
        <v>2.95</v>
      </c>
      <c r="H18">
        <v>0</v>
      </c>
      <c r="I18">
        <v>9.08</v>
      </c>
      <c r="J18">
        <v>0</v>
      </c>
      <c r="K18">
        <v>0.88</v>
      </c>
      <c r="L18" t="s">
        <v>3</v>
      </c>
      <c r="M18" t="s">
        <v>27</v>
      </c>
    </row>
    <row r="19" spans="1:13" x14ac:dyDescent="0.25">
      <c r="A19" t="s">
        <v>2</v>
      </c>
      <c r="B19" t="s">
        <v>134</v>
      </c>
      <c r="C19">
        <v>2025</v>
      </c>
      <c r="D19">
        <v>75</v>
      </c>
      <c r="E19">
        <v>46.43</v>
      </c>
      <c r="F19">
        <v>28.76</v>
      </c>
      <c r="G19">
        <v>40.020000000000003</v>
      </c>
      <c r="H19">
        <v>7.08</v>
      </c>
      <c r="I19">
        <v>174.97</v>
      </c>
      <c r="J19">
        <v>20.12</v>
      </c>
      <c r="K19">
        <v>61.53</v>
      </c>
      <c r="L19" t="s">
        <v>3</v>
      </c>
      <c r="M19" t="s">
        <v>27</v>
      </c>
    </row>
    <row r="20" spans="1:13" x14ac:dyDescent="0.25">
      <c r="A20" t="s">
        <v>2</v>
      </c>
      <c r="B20" t="s">
        <v>134</v>
      </c>
      <c r="C20">
        <v>2030</v>
      </c>
      <c r="D20">
        <v>86</v>
      </c>
      <c r="E20">
        <v>62.15</v>
      </c>
      <c r="F20">
        <v>50</v>
      </c>
      <c r="G20">
        <v>46.76</v>
      </c>
      <c r="H20">
        <v>0</v>
      </c>
      <c r="I20">
        <v>221.93</v>
      </c>
      <c r="J20">
        <v>25.96</v>
      </c>
      <c r="K20">
        <v>72.459999999999994</v>
      </c>
      <c r="L20" t="s">
        <v>3</v>
      </c>
      <c r="M20" t="s">
        <v>27</v>
      </c>
    </row>
    <row r="21" spans="1:13" x14ac:dyDescent="0.25">
      <c r="A21" t="s">
        <v>2</v>
      </c>
      <c r="B21" t="s">
        <v>134</v>
      </c>
      <c r="C21">
        <v>2035</v>
      </c>
      <c r="D21">
        <v>75</v>
      </c>
      <c r="E21">
        <v>199.95</v>
      </c>
      <c r="F21">
        <v>135.74</v>
      </c>
      <c r="G21">
        <v>294.3</v>
      </c>
      <c r="H21">
        <v>46.61</v>
      </c>
      <c r="I21">
        <v>2037.12</v>
      </c>
      <c r="J21">
        <v>86.12</v>
      </c>
      <c r="K21">
        <v>201.85</v>
      </c>
      <c r="L21" t="s">
        <v>3</v>
      </c>
      <c r="M21" t="s">
        <v>27</v>
      </c>
    </row>
    <row r="22" spans="1:13" x14ac:dyDescent="0.25">
      <c r="A22" t="s">
        <v>2</v>
      </c>
      <c r="B22" t="s">
        <v>134</v>
      </c>
      <c r="C22">
        <v>2040</v>
      </c>
      <c r="D22">
        <v>86</v>
      </c>
      <c r="E22">
        <v>246.92</v>
      </c>
      <c r="F22">
        <v>165.64</v>
      </c>
      <c r="G22">
        <v>360.4</v>
      </c>
      <c r="H22">
        <v>0</v>
      </c>
      <c r="I22">
        <v>2600</v>
      </c>
      <c r="J22">
        <v>111.3</v>
      </c>
      <c r="K22">
        <v>257.19</v>
      </c>
      <c r="L22" t="s">
        <v>3</v>
      </c>
      <c r="M22" t="s">
        <v>27</v>
      </c>
    </row>
    <row r="23" spans="1:13" x14ac:dyDescent="0.25">
      <c r="A23" t="s">
        <v>2</v>
      </c>
      <c r="B23" t="s">
        <v>134</v>
      </c>
      <c r="C23">
        <v>2045</v>
      </c>
      <c r="D23">
        <v>75</v>
      </c>
      <c r="E23">
        <v>294.52999999999997</v>
      </c>
      <c r="F23">
        <v>249.21</v>
      </c>
      <c r="G23">
        <v>189.56</v>
      </c>
      <c r="H23">
        <v>103.36</v>
      </c>
      <c r="I23">
        <v>1213.1199999999999</v>
      </c>
      <c r="J23">
        <v>166.87</v>
      </c>
      <c r="K23">
        <v>348.51</v>
      </c>
      <c r="L23" t="s">
        <v>3</v>
      </c>
      <c r="M23" t="s">
        <v>27</v>
      </c>
    </row>
    <row r="24" spans="1:13" x14ac:dyDescent="0.25">
      <c r="A24" t="s">
        <v>2</v>
      </c>
      <c r="B24" t="s">
        <v>134</v>
      </c>
      <c r="C24">
        <v>2050</v>
      </c>
      <c r="D24">
        <v>86</v>
      </c>
      <c r="E24">
        <v>308.95</v>
      </c>
      <c r="F24">
        <v>285.02999999999997</v>
      </c>
      <c r="G24">
        <v>170</v>
      </c>
      <c r="H24">
        <v>0</v>
      </c>
      <c r="I24">
        <v>729.74</v>
      </c>
      <c r="J24">
        <v>194.46</v>
      </c>
      <c r="K24">
        <v>417.87</v>
      </c>
      <c r="L24" t="s">
        <v>3</v>
      </c>
      <c r="M24" t="s">
        <v>27</v>
      </c>
    </row>
    <row r="25" spans="1:13" x14ac:dyDescent="0.25">
      <c r="A25" t="s">
        <v>5</v>
      </c>
      <c r="B25" t="s">
        <v>134</v>
      </c>
      <c r="C25">
        <v>2020</v>
      </c>
      <c r="D25">
        <v>193</v>
      </c>
      <c r="E25">
        <v>5.77</v>
      </c>
      <c r="F25">
        <v>0.88</v>
      </c>
      <c r="G25">
        <v>12.32</v>
      </c>
      <c r="H25">
        <v>0</v>
      </c>
      <c r="I25">
        <v>127.81</v>
      </c>
      <c r="J25">
        <v>0</v>
      </c>
      <c r="K25">
        <v>8.0500000000000007</v>
      </c>
      <c r="L25" t="s">
        <v>6</v>
      </c>
      <c r="M25" t="s">
        <v>27</v>
      </c>
    </row>
    <row r="26" spans="1:13" x14ac:dyDescent="0.25">
      <c r="A26" t="s">
        <v>5</v>
      </c>
      <c r="B26" t="s">
        <v>134</v>
      </c>
      <c r="C26">
        <v>2025</v>
      </c>
      <c r="D26">
        <v>170</v>
      </c>
      <c r="E26">
        <v>39.229999999999997</v>
      </c>
      <c r="F26">
        <v>33.18</v>
      </c>
      <c r="G26">
        <v>28.37</v>
      </c>
      <c r="H26">
        <v>0</v>
      </c>
      <c r="I26">
        <v>134.68</v>
      </c>
      <c r="J26">
        <v>16.760000000000002</v>
      </c>
      <c r="K26">
        <v>53.92</v>
      </c>
      <c r="L26" t="s">
        <v>6</v>
      </c>
      <c r="M26" t="s">
        <v>27</v>
      </c>
    </row>
    <row r="27" spans="1:13" x14ac:dyDescent="0.25">
      <c r="A27" t="s">
        <v>5</v>
      </c>
      <c r="B27" t="s">
        <v>134</v>
      </c>
      <c r="C27">
        <v>2030</v>
      </c>
      <c r="D27">
        <v>193</v>
      </c>
      <c r="E27">
        <v>65.069999999999993</v>
      </c>
      <c r="F27">
        <v>55.79</v>
      </c>
      <c r="G27">
        <v>42.59</v>
      </c>
      <c r="H27">
        <v>0</v>
      </c>
      <c r="I27">
        <v>216.75</v>
      </c>
      <c r="J27">
        <v>38.340000000000003</v>
      </c>
      <c r="K27">
        <v>80.39</v>
      </c>
      <c r="L27" t="s">
        <v>6</v>
      </c>
      <c r="M27" t="s">
        <v>27</v>
      </c>
    </row>
    <row r="28" spans="1:13" x14ac:dyDescent="0.25">
      <c r="A28" t="s">
        <v>5</v>
      </c>
      <c r="B28" t="s">
        <v>134</v>
      </c>
      <c r="C28">
        <v>2035</v>
      </c>
      <c r="D28">
        <v>170</v>
      </c>
      <c r="E28">
        <v>112.49</v>
      </c>
      <c r="F28">
        <v>89.54</v>
      </c>
      <c r="G28">
        <v>88.5</v>
      </c>
      <c r="H28">
        <v>22.73</v>
      </c>
      <c r="I28">
        <v>960.63</v>
      </c>
      <c r="J28">
        <v>66.58</v>
      </c>
      <c r="K28">
        <v>135.76</v>
      </c>
      <c r="L28" t="s">
        <v>6</v>
      </c>
      <c r="M28" t="s">
        <v>27</v>
      </c>
    </row>
    <row r="29" spans="1:13" x14ac:dyDescent="0.25">
      <c r="A29" t="s">
        <v>5</v>
      </c>
      <c r="B29" t="s">
        <v>134</v>
      </c>
      <c r="C29">
        <v>2040</v>
      </c>
      <c r="D29">
        <v>193</v>
      </c>
      <c r="E29">
        <v>153.59</v>
      </c>
      <c r="F29">
        <v>128.22999999999999</v>
      </c>
      <c r="G29">
        <v>111.07</v>
      </c>
      <c r="H29">
        <v>46.68</v>
      </c>
      <c r="I29">
        <v>1226.04</v>
      </c>
      <c r="J29">
        <v>91.28</v>
      </c>
      <c r="K29">
        <v>182.11</v>
      </c>
      <c r="L29" t="s">
        <v>6</v>
      </c>
      <c r="M29" t="s">
        <v>27</v>
      </c>
    </row>
    <row r="30" spans="1:13" x14ac:dyDescent="0.25">
      <c r="A30" t="s">
        <v>5</v>
      </c>
      <c r="B30" t="s">
        <v>134</v>
      </c>
      <c r="C30">
        <v>2045</v>
      </c>
      <c r="D30">
        <v>170</v>
      </c>
      <c r="E30">
        <v>198.24</v>
      </c>
      <c r="F30">
        <v>171.82</v>
      </c>
      <c r="G30">
        <v>142.07</v>
      </c>
      <c r="H30">
        <v>46.21</v>
      </c>
      <c r="I30">
        <v>1564.8</v>
      </c>
      <c r="J30">
        <v>118.51</v>
      </c>
      <c r="K30">
        <v>237.03</v>
      </c>
      <c r="L30" t="s">
        <v>6</v>
      </c>
      <c r="M30" t="s">
        <v>27</v>
      </c>
    </row>
    <row r="31" spans="1:13" x14ac:dyDescent="0.25">
      <c r="A31" t="s">
        <v>5</v>
      </c>
      <c r="B31" t="s">
        <v>134</v>
      </c>
      <c r="C31">
        <v>2050</v>
      </c>
      <c r="D31">
        <v>193</v>
      </c>
      <c r="E31">
        <v>243.64</v>
      </c>
      <c r="F31">
        <v>208.87</v>
      </c>
      <c r="G31">
        <v>133.19999999999999</v>
      </c>
      <c r="H31">
        <v>50.04</v>
      </c>
      <c r="I31">
        <v>926.14</v>
      </c>
      <c r="J31">
        <v>147.6</v>
      </c>
      <c r="K31">
        <v>302.19</v>
      </c>
      <c r="L31" t="s">
        <v>6</v>
      </c>
      <c r="M31" t="s">
        <v>27</v>
      </c>
    </row>
    <row r="32" spans="1:13" x14ac:dyDescent="0.25">
      <c r="A32" t="s">
        <v>7</v>
      </c>
      <c r="B32" t="s">
        <v>134</v>
      </c>
      <c r="C32">
        <v>2020</v>
      </c>
      <c r="D32">
        <v>74</v>
      </c>
      <c r="E32">
        <v>2.65</v>
      </c>
      <c r="F32">
        <v>0</v>
      </c>
      <c r="G32">
        <v>5.69</v>
      </c>
      <c r="H32">
        <v>0</v>
      </c>
      <c r="I32">
        <v>28.69</v>
      </c>
      <c r="J32">
        <v>0</v>
      </c>
      <c r="K32">
        <v>0.88</v>
      </c>
      <c r="L32" t="s">
        <v>8</v>
      </c>
      <c r="M32" t="s">
        <v>27</v>
      </c>
    </row>
    <row r="33" spans="1:13" x14ac:dyDescent="0.25">
      <c r="A33" t="s">
        <v>7</v>
      </c>
      <c r="B33" t="s">
        <v>134</v>
      </c>
      <c r="C33">
        <v>2025</v>
      </c>
      <c r="D33">
        <v>68</v>
      </c>
      <c r="E33">
        <v>20.55</v>
      </c>
      <c r="F33">
        <v>18.48</v>
      </c>
      <c r="G33">
        <v>10.73</v>
      </c>
      <c r="H33">
        <v>0</v>
      </c>
      <c r="I33">
        <v>48.97</v>
      </c>
      <c r="J33">
        <v>10.91</v>
      </c>
      <c r="K33">
        <v>28.56</v>
      </c>
      <c r="L33" t="s">
        <v>8</v>
      </c>
      <c r="M33" t="s">
        <v>27</v>
      </c>
    </row>
    <row r="34" spans="1:13" x14ac:dyDescent="0.25">
      <c r="A34" t="s">
        <v>7</v>
      </c>
      <c r="B34" t="s">
        <v>134</v>
      </c>
      <c r="C34">
        <v>2030</v>
      </c>
      <c r="D34">
        <v>74</v>
      </c>
      <c r="E34">
        <v>46.67</v>
      </c>
      <c r="F34">
        <v>42.46</v>
      </c>
      <c r="G34">
        <v>32.42</v>
      </c>
      <c r="H34">
        <v>0</v>
      </c>
      <c r="I34">
        <v>169.8</v>
      </c>
      <c r="J34">
        <v>24.9</v>
      </c>
      <c r="K34">
        <v>58.39</v>
      </c>
      <c r="L34" t="s">
        <v>8</v>
      </c>
      <c r="M34" t="s">
        <v>27</v>
      </c>
    </row>
    <row r="35" spans="1:13" x14ac:dyDescent="0.25">
      <c r="A35" t="s">
        <v>7</v>
      </c>
      <c r="B35" t="s">
        <v>134</v>
      </c>
      <c r="C35">
        <v>2035</v>
      </c>
      <c r="D35">
        <v>68</v>
      </c>
      <c r="E35">
        <v>61.44</v>
      </c>
      <c r="F35">
        <v>52.06</v>
      </c>
      <c r="G35">
        <v>29.61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25">
      <c r="A36" t="s">
        <v>7</v>
      </c>
      <c r="B36" t="s">
        <v>134</v>
      </c>
      <c r="C36">
        <v>2040</v>
      </c>
      <c r="D36">
        <v>74</v>
      </c>
      <c r="E36">
        <v>86.28</v>
      </c>
      <c r="F36">
        <v>75.8</v>
      </c>
      <c r="G36">
        <v>43.19</v>
      </c>
      <c r="H36">
        <v>31.83</v>
      </c>
      <c r="I36">
        <v>281.55</v>
      </c>
      <c r="J36">
        <v>57.1</v>
      </c>
      <c r="K36">
        <v>106.13</v>
      </c>
      <c r="L36" t="s">
        <v>8</v>
      </c>
      <c r="M36" t="s">
        <v>27</v>
      </c>
    </row>
    <row r="37" spans="1:13" x14ac:dyDescent="0.25">
      <c r="A37" t="s">
        <v>7</v>
      </c>
      <c r="B37" t="s">
        <v>134</v>
      </c>
      <c r="C37">
        <v>2045</v>
      </c>
      <c r="D37">
        <v>68</v>
      </c>
      <c r="E37">
        <v>112</v>
      </c>
      <c r="F37">
        <v>94.85</v>
      </c>
      <c r="G37">
        <v>56.67</v>
      </c>
      <c r="H37">
        <v>42.44</v>
      </c>
      <c r="I37">
        <v>317.81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25">
      <c r="A38" t="s">
        <v>7</v>
      </c>
      <c r="B38" t="s">
        <v>134</v>
      </c>
      <c r="C38">
        <v>2050</v>
      </c>
      <c r="D38">
        <v>74</v>
      </c>
      <c r="E38">
        <v>132.16999999999999</v>
      </c>
      <c r="F38">
        <v>112.39</v>
      </c>
      <c r="G38">
        <v>60.03</v>
      </c>
      <c r="H38">
        <v>54.16</v>
      </c>
      <c r="I38">
        <v>331.7</v>
      </c>
      <c r="J38">
        <v>92.44</v>
      </c>
      <c r="K38">
        <v>161.43</v>
      </c>
      <c r="L38" t="s">
        <v>8</v>
      </c>
      <c r="M38" t="s">
        <v>27</v>
      </c>
    </row>
    <row r="39" spans="1:13" x14ac:dyDescent="0.25">
      <c r="A39" t="s">
        <v>9</v>
      </c>
      <c r="B39" t="s">
        <v>134</v>
      </c>
      <c r="C39">
        <v>2020</v>
      </c>
      <c r="D39">
        <v>53</v>
      </c>
      <c r="E39">
        <v>1.93</v>
      </c>
      <c r="F39">
        <v>0</v>
      </c>
      <c r="G39">
        <v>3.41</v>
      </c>
      <c r="H39">
        <v>0</v>
      </c>
      <c r="I39">
        <v>9.64</v>
      </c>
      <c r="J39">
        <v>0</v>
      </c>
      <c r="K39">
        <v>0.98</v>
      </c>
      <c r="L39" t="s">
        <v>10</v>
      </c>
      <c r="M39" t="s">
        <v>27</v>
      </c>
    </row>
    <row r="40" spans="1:13" x14ac:dyDescent="0.25">
      <c r="A40" t="s">
        <v>9</v>
      </c>
      <c r="B40" t="s">
        <v>134</v>
      </c>
      <c r="C40">
        <v>2025</v>
      </c>
      <c r="D40">
        <v>48</v>
      </c>
      <c r="E40">
        <v>1.91</v>
      </c>
      <c r="F40">
        <v>0</v>
      </c>
      <c r="G40">
        <v>3.25</v>
      </c>
      <c r="H40">
        <v>0</v>
      </c>
      <c r="I40">
        <v>8.58</v>
      </c>
      <c r="J40">
        <v>0</v>
      </c>
      <c r="K40">
        <v>1.53</v>
      </c>
      <c r="L40" t="s">
        <v>10</v>
      </c>
      <c r="M40" t="s">
        <v>27</v>
      </c>
    </row>
    <row r="41" spans="1:13" x14ac:dyDescent="0.25">
      <c r="A41" t="s">
        <v>9</v>
      </c>
      <c r="B41" t="s">
        <v>134</v>
      </c>
      <c r="C41">
        <v>2030</v>
      </c>
      <c r="D41">
        <v>53</v>
      </c>
      <c r="E41">
        <v>11.2</v>
      </c>
      <c r="F41">
        <v>0</v>
      </c>
      <c r="G41">
        <v>38.86</v>
      </c>
      <c r="H41">
        <v>0</v>
      </c>
      <c r="I41">
        <v>169.8</v>
      </c>
      <c r="J41">
        <v>0</v>
      </c>
      <c r="K41">
        <v>5.93</v>
      </c>
      <c r="L41" t="s">
        <v>10</v>
      </c>
      <c r="M41" t="s">
        <v>27</v>
      </c>
    </row>
    <row r="42" spans="1:13" x14ac:dyDescent="0.25">
      <c r="A42" t="s">
        <v>9</v>
      </c>
      <c r="B42" t="s">
        <v>134</v>
      </c>
      <c r="C42">
        <v>2035</v>
      </c>
      <c r="D42">
        <v>48</v>
      </c>
      <c r="E42">
        <v>2.0299999999999998</v>
      </c>
      <c r="F42">
        <v>0</v>
      </c>
      <c r="G42">
        <v>3.16</v>
      </c>
      <c r="H42">
        <v>0</v>
      </c>
      <c r="I42">
        <v>8.31</v>
      </c>
      <c r="J42">
        <v>0</v>
      </c>
      <c r="K42">
        <v>1.7</v>
      </c>
      <c r="L42" t="s">
        <v>10</v>
      </c>
      <c r="M42" t="s">
        <v>27</v>
      </c>
    </row>
    <row r="43" spans="1:13" x14ac:dyDescent="0.25">
      <c r="A43" t="s">
        <v>9</v>
      </c>
      <c r="B43" t="s">
        <v>134</v>
      </c>
      <c r="C43">
        <v>2040</v>
      </c>
      <c r="D43">
        <v>53</v>
      </c>
      <c r="E43">
        <v>1.98</v>
      </c>
      <c r="F43">
        <v>0</v>
      </c>
      <c r="G43">
        <v>3.1</v>
      </c>
      <c r="H43">
        <v>0</v>
      </c>
      <c r="I43">
        <v>9.1999999999999993</v>
      </c>
      <c r="J43">
        <v>0</v>
      </c>
      <c r="K43">
        <v>2.11</v>
      </c>
      <c r="L43" t="s">
        <v>10</v>
      </c>
      <c r="M43" t="s">
        <v>27</v>
      </c>
    </row>
    <row r="44" spans="1:13" x14ac:dyDescent="0.25">
      <c r="A44" t="s">
        <v>9</v>
      </c>
      <c r="B44" t="s">
        <v>134</v>
      </c>
      <c r="C44">
        <v>2045</v>
      </c>
      <c r="D44">
        <v>48</v>
      </c>
      <c r="E44">
        <v>2.35</v>
      </c>
      <c r="F44">
        <v>0</v>
      </c>
      <c r="G44">
        <v>3.28</v>
      </c>
      <c r="H44">
        <v>0</v>
      </c>
      <c r="I44">
        <v>10.19</v>
      </c>
      <c r="J44">
        <v>0</v>
      </c>
      <c r="K44">
        <v>2.96</v>
      </c>
      <c r="L44" t="s">
        <v>10</v>
      </c>
      <c r="M44" t="s">
        <v>27</v>
      </c>
    </row>
    <row r="45" spans="1:13" x14ac:dyDescent="0.25">
      <c r="A45" t="s">
        <v>9</v>
      </c>
      <c r="B45" t="s">
        <v>134</v>
      </c>
      <c r="C45">
        <v>2050</v>
      </c>
      <c r="D45">
        <v>53</v>
      </c>
      <c r="E45">
        <v>2.29</v>
      </c>
      <c r="F45">
        <v>0</v>
      </c>
      <c r="G45">
        <v>3.34</v>
      </c>
      <c r="H45">
        <v>0</v>
      </c>
      <c r="I45">
        <v>11.22</v>
      </c>
      <c r="J45">
        <v>0</v>
      </c>
      <c r="K45">
        <v>3.18</v>
      </c>
      <c r="L45" t="s">
        <v>10</v>
      </c>
      <c r="M45" t="s">
        <v>27</v>
      </c>
    </row>
    <row r="46" spans="1:13" x14ac:dyDescent="0.25">
      <c r="A46" t="s">
        <v>0</v>
      </c>
      <c r="B46" t="s">
        <v>134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25">
      <c r="A47" t="s">
        <v>0</v>
      </c>
      <c r="B47" t="s">
        <v>134</v>
      </c>
      <c r="C47">
        <v>2025</v>
      </c>
      <c r="D47">
        <v>64</v>
      </c>
      <c r="E47">
        <v>1.1399999999999999</v>
      </c>
      <c r="F47">
        <v>1.1599999999999999</v>
      </c>
      <c r="G47">
        <v>0.12</v>
      </c>
      <c r="H47">
        <v>0.8</v>
      </c>
      <c r="I47">
        <v>1.39</v>
      </c>
      <c r="J47">
        <v>1.1100000000000001</v>
      </c>
      <c r="K47">
        <v>1.2</v>
      </c>
      <c r="L47" t="s">
        <v>1</v>
      </c>
      <c r="M47" t="s">
        <v>11</v>
      </c>
    </row>
    <row r="48" spans="1:13" x14ac:dyDescent="0.25">
      <c r="A48" t="s">
        <v>0</v>
      </c>
      <c r="B48" t="s">
        <v>134</v>
      </c>
      <c r="C48">
        <v>2030</v>
      </c>
      <c r="D48">
        <v>64</v>
      </c>
      <c r="E48">
        <v>1.43</v>
      </c>
      <c r="F48">
        <v>1.42</v>
      </c>
      <c r="G48">
        <v>0.28999999999999998</v>
      </c>
      <c r="H48">
        <v>0.76</v>
      </c>
      <c r="I48">
        <v>2.48</v>
      </c>
      <c r="J48">
        <v>1.32</v>
      </c>
      <c r="K48">
        <v>1.57</v>
      </c>
      <c r="L48" t="s">
        <v>1</v>
      </c>
      <c r="M48" t="s">
        <v>11</v>
      </c>
    </row>
    <row r="49" spans="1:13" x14ac:dyDescent="0.25">
      <c r="A49" t="s">
        <v>0</v>
      </c>
      <c r="B49" t="s">
        <v>134</v>
      </c>
      <c r="C49">
        <v>2035</v>
      </c>
      <c r="D49">
        <v>64</v>
      </c>
      <c r="E49">
        <v>1.84</v>
      </c>
      <c r="F49">
        <v>1.8</v>
      </c>
      <c r="G49">
        <v>0.45</v>
      </c>
      <c r="H49">
        <v>0.78</v>
      </c>
      <c r="I49">
        <v>3.23</v>
      </c>
      <c r="J49">
        <v>1.62</v>
      </c>
      <c r="K49">
        <v>2.16</v>
      </c>
      <c r="L49" t="s">
        <v>1</v>
      </c>
      <c r="M49" t="s">
        <v>11</v>
      </c>
    </row>
    <row r="50" spans="1:13" x14ac:dyDescent="0.25">
      <c r="A50" t="s">
        <v>0</v>
      </c>
      <c r="B50" t="s">
        <v>134</v>
      </c>
      <c r="C50">
        <v>2040</v>
      </c>
      <c r="D50">
        <v>64</v>
      </c>
      <c r="E50">
        <v>2.37</v>
      </c>
      <c r="F50">
        <v>2.41</v>
      </c>
      <c r="G50">
        <v>0.66</v>
      </c>
      <c r="H50">
        <v>0.95</v>
      </c>
      <c r="I50">
        <v>3.76</v>
      </c>
      <c r="J50">
        <v>1.96</v>
      </c>
      <c r="K50">
        <v>2.86</v>
      </c>
      <c r="L50" t="s">
        <v>1</v>
      </c>
      <c r="M50" t="s">
        <v>11</v>
      </c>
    </row>
    <row r="51" spans="1:13" x14ac:dyDescent="0.25">
      <c r="A51" t="s">
        <v>0</v>
      </c>
      <c r="B51" t="s">
        <v>134</v>
      </c>
      <c r="C51">
        <v>2045</v>
      </c>
      <c r="D51">
        <v>64</v>
      </c>
      <c r="E51">
        <v>3.02</v>
      </c>
      <c r="F51">
        <v>3.06</v>
      </c>
      <c r="G51">
        <v>0.88</v>
      </c>
      <c r="H51">
        <v>1.31</v>
      </c>
      <c r="I51">
        <v>4.3600000000000003</v>
      </c>
      <c r="J51">
        <v>2.37</v>
      </c>
      <c r="K51">
        <v>3.81</v>
      </c>
      <c r="L51" t="s">
        <v>1</v>
      </c>
      <c r="M51" t="s">
        <v>11</v>
      </c>
    </row>
    <row r="52" spans="1:13" x14ac:dyDescent="0.25">
      <c r="A52" t="s">
        <v>0</v>
      </c>
      <c r="B52" t="s">
        <v>134</v>
      </c>
      <c r="C52">
        <v>2050</v>
      </c>
      <c r="D52">
        <v>64</v>
      </c>
      <c r="E52">
        <v>3.65</v>
      </c>
      <c r="F52">
        <v>3.72</v>
      </c>
      <c r="G52">
        <v>1.06</v>
      </c>
      <c r="H52">
        <v>1.77</v>
      </c>
      <c r="I52">
        <v>5.82</v>
      </c>
      <c r="J52">
        <v>2.74</v>
      </c>
      <c r="K52">
        <v>4.6100000000000003</v>
      </c>
      <c r="L52" t="s">
        <v>1</v>
      </c>
      <c r="M52" t="s">
        <v>11</v>
      </c>
    </row>
    <row r="53" spans="1:13" x14ac:dyDescent="0.2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25">
      <c r="A54" t="s">
        <v>2</v>
      </c>
      <c r="B54" t="s">
        <v>134</v>
      </c>
      <c r="C54">
        <v>2025</v>
      </c>
      <c r="D54">
        <v>89</v>
      </c>
      <c r="E54">
        <v>1.1599999999999999</v>
      </c>
      <c r="F54">
        <v>1.1599999999999999</v>
      </c>
      <c r="G54">
        <v>0.08</v>
      </c>
      <c r="H54">
        <v>0.93</v>
      </c>
      <c r="I54">
        <v>1.3</v>
      </c>
      <c r="J54">
        <v>1.1100000000000001</v>
      </c>
      <c r="K54">
        <v>1.21</v>
      </c>
      <c r="L54" t="s">
        <v>3</v>
      </c>
      <c r="M54" t="s">
        <v>11</v>
      </c>
    </row>
    <row r="55" spans="1:13" x14ac:dyDescent="0.25">
      <c r="A55" t="s">
        <v>2</v>
      </c>
      <c r="B55" t="s">
        <v>134</v>
      </c>
      <c r="C55">
        <v>2030</v>
      </c>
      <c r="D55">
        <v>100</v>
      </c>
      <c r="E55">
        <v>1.4</v>
      </c>
      <c r="F55">
        <v>1.44</v>
      </c>
      <c r="G55">
        <v>0.17</v>
      </c>
      <c r="H55">
        <v>0.97</v>
      </c>
      <c r="I55">
        <v>1.78</v>
      </c>
      <c r="J55">
        <v>1.27</v>
      </c>
      <c r="K55">
        <v>1.5</v>
      </c>
      <c r="L55" t="s">
        <v>3</v>
      </c>
      <c r="M55" t="s">
        <v>11</v>
      </c>
    </row>
    <row r="56" spans="1:13" x14ac:dyDescent="0.25">
      <c r="A56" t="s">
        <v>2</v>
      </c>
      <c r="B56" t="s">
        <v>134</v>
      </c>
      <c r="C56">
        <v>2035</v>
      </c>
      <c r="D56">
        <v>89</v>
      </c>
      <c r="E56">
        <v>1.66</v>
      </c>
      <c r="F56">
        <v>1.62</v>
      </c>
      <c r="G56">
        <v>0.31</v>
      </c>
      <c r="H56">
        <v>1.01</v>
      </c>
      <c r="I56">
        <v>2.39</v>
      </c>
      <c r="J56">
        <v>1.47</v>
      </c>
      <c r="K56">
        <v>1.89</v>
      </c>
      <c r="L56" t="s">
        <v>3</v>
      </c>
      <c r="M56" t="s">
        <v>11</v>
      </c>
    </row>
    <row r="57" spans="1:13" x14ac:dyDescent="0.25">
      <c r="A57" t="s">
        <v>2</v>
      </c>
      <c r="B57" t="s">
        <v>134</v>
      </c>
      <c r="C57">
        <v>2040</v>
      </c>
      <c r="D57">
        <v>100</v>
      </c>
      <c r="E57">
        <v>2.0699999999999998</v>
      </c>
      <c r="F57">
        <v>2.13</v>
      </c>
      <c r="G57">
        <v>0.48</v>
      </c>
      <c r="H57">
        <v>1.06</v>
      </c>
      <c r="I57">
        <v>3.28</v>
      </c>
      <c r="J57">
        <v>1.73</v>
      </c>
      <c r="K57">
        <v>2.36</v>
      </c>
      <c r="L57" t="s">
        <v>3</v>
      </c>
      <c r="M57" t="s">
        <v>11</v>
      </c>
    </row>
    <row r="58" spans="1:13" x14ac:dyDescent="0.25">
      <c r="A58" t="s">
        <v>2</v>
      </c>
      <c r="B58" t="s">
        <v>134</v>
      </c>
      <c r="C58">
        <v>2045</v>
      </c>
      <c r="D58">
        <v>89</v>
      </c>
      <c r="E58">
        <v>2.57</v>
      </c>
      <c r="F58">
        <v>2.61</v>
      </c>
      <c r="G58">
        <v>0.77</v>
      </c>
      <c r="H58">
        <v>1.1399999999999999</v>
      </c>
      <c r="I58">
        <v>4.1500000000000004</v>
      </c>
      <c r="J58">
        <v>2.04</v>
      </c>
      <c r="K58">
        <v>3.03</v>
      </c>
      <c r="L58" t="s">
        <v>3</v>
      </c>
      <c r="M58" t="s">
        <v>11</v>
      </c>
    </row>
    <row r="59" spans="1:13" x14ac:dyDescent="0.25">
      <c r="A59" t="s">
        <v>2</v>
      </c>
      <c r="B59" t="s">
        <v>134</v>
      </c>
      <c r="C59">
        <v>2050</v>
      </c>
      <c r="D59">
        <v>100</v>
      </c>
      <c r="E59">
        <v>3.13</v>
      </c>
      <c r="F59">
        <v>3.05</v>
      </c>
      <c r="G59">
        <v>0.97</v>
      </c>
      <c r="H59">
        <v>1.36</v>
      </c>
      <c r="I59">
        <v>5.49</v>
      </c>
      <c r="J59">
        <v>2.5</v>
      </c>
      <c r="K59">
        <v>3.8</v>
      </c>
      <c r="L59" t="s">
        <v>3</v>
      </c>
      <c r="M59" t="s">
        <v>11</v>
      </c>
    </row>
    <row r="60" spans="1:13" x14ac:dyDescent="0.25">
      <c r="A60" t="s">
        <v>5</v>
      </c>
      <c r="B60" t="s">
        <v>134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25">
      <c r="A61" t="s">
        <v>5</v>
      </c>
      <c r="B61" t="s">
        <v>134</v>
      </c>
      <c r="C61">
        <v>2025</v>
      </c>
      <c r="D61">
        <v>210</v>
      </c>
      <c r="E61">
        <v>1.1499999999999999</v>
      </c>
      <c r="F61">
        <v>1.1599999999999999</v>
      </c>
      <c r="G61">
        <v>0.12</v>
      </c>
      <c r="H61">
        <v>0.8</v>
      </c>
      <c r="I61">
        <v>1.4</v>
      </c>
      <c r="J61">
        <v>1.07</v>
      </c>
      <c r="K61">
        <v>1.24</v>
      </c>
      <c r="L61" t="s">
        <v>6</v>
      </c>
      <c r="M61" t="s">
        <v>11</v>
      </c>
    </row>
    <row r="62" spans="1:13" x14ac:dyDescent="0.25">
      <c r="A62" t="s">
        <v>5</v>
      </c>
      <c r="B62" t="s">
        <v>134</v>
      </c>
      <c r="C62">
        <v>2030</v>
      </c>
      <c r="D62">
        <v>233</v>
      </c>
      <c r="E62">
        <v>1.38</v>
      </c>
      <c r="F62">
        <v>1.31</v>
      </c>
      <c r="G62">
        <v>0.24</v>
      </c>
      <c r="H62">
        <v>0.76</v>
      </c>
      <c r="I62">
        <v>2.09</v>
      </c>
      <c r="J62">
        <v>1.23</v>
      </c>
      <c r="K62">
        <v>1.62</v>
      </c>
      <c r="L62" t="s">
        <v>6</v>
      </c>
      <c r="M62" t="s">
        <v>11</v>
      </c>
    </row>
    <row r="63" spans="1:13" x14ac:dyDescent="0.25">
      <c r="A63" t="s">
        <v>5</v>
      </c>
      <c r="B63" t="s">
        <v>134</v>
      </c>
      <c r="C63">
        <v>2035</v>
      </c>
      <c r="D63">
        <v>210</v>
      </c>
      <c r="E63">
        <v>1.63</v>
      </c>
      <c r="F63">
        <v>1.5</v>
      </c>
      <c r="G63">
        <v>0.42</v>
      </c>
      <c r="H63">
        <v>0.84</v>
      </c>
      <c r="I63">
        <v>3.02</v>
      </c>
      <c r="J63">
        <v>1.32</v>
      </c>
      <c r="K63">
        <v>2.0099999999999998</v>
      </c>
      <c r="L63" t="s">
        <v>6</v>
      </c>
      <c r="M63" t="s">
        <v>11</v>
      </c>
    </row>
    <row r="64" spans="1:13" x14ac:dyDescent="0.25">
      <c r="A64" t="s">
        <v>5</v>
      </c>
      <c r="B64" t="s">
        <v>134</v>
      </c>
      <c r="C64">
        <v>2040</v>
      </c>
      <c r="D64">
        <v>233</v>
      </c>
      <c r="E64">
        <v>1.94</v>
      </c>
      <c r="F64">
        <v>1.72</v>
      </c>
      <c r="G64">
        <v>0.61</v>
      </c>
      <c r="H64">
        <v>1</v>
      </c>
      <c r="I64">
        <v>4.17</v>
      </c>
      <c r="J64">
        <v>1.54</v>
      </c>
      <c r="K64">
        <v>2.4900000000000002</v>
      </c>
      <c r="L64" t="s">
        <v>6</v>
      </c>
      <c r="M64" t="s">
        <v>11</v>
      </c>
    </row>
    <row r="65" spans="1:13" x14ac:dyDescent="0.25">
      <c r="A65" t="s">
        <v>5</v>
      </c>
      <c r="B65" t="s">
        <v>134</v>
      </c>
      <c r="C65">
        <v>2045</v>
      </c>
      <c r="D65">
        <v>210</v>
      </c>
      <c r="E65">
        <v>2.42</v>
      </c>
      <c r="F65">
        <v>2.13</v>
      </c>
      <c r="G65">
        <v>0.87</v>
      </c>
      <c r="H65">
        <v>1.1200000000000001</v>
      </c>
      <c r="I65">
        <v>5.43</v>
      </c>
      <c r="J65">
        <v>1.69</v>
      </c>
      <c r="K65">
        <v>3.2</v>
      </c>
      <c r="L65" t="s">
        <v>6</v>
      </c>
      <c r="M65" t="s">
        <v>11</v>
      </c>
    </row>
    <row r="66" spans="1:13" x14ac:dyDescent="0.25">
      <c r="A66" t="s">
        <v>5</v>
      </c>
      <c r="B66" t="s">
        <v>134</v>
      </c>
      <c r="C66">
        <v>2050</v>
      </c>
      <c r="D66">
        <v>233</v>
      </c>
      <c r="E66">
        <v>2.85</v>
      </c>
      <c r="F66">
        <v>2.5099999999999998</v>
      </c>
      <c r="G66">
        <v>1.08</v>
      </c>
      <c r="H66">
        <v>1.39</v>
      </c>
      <c r="I66">
        <v>6.7</v>
      </c>
      <c r="J66">
        <v>1.85</v>
      </c>
      <c r="K66">
        <v>3.98</v>
      </c>
      <c r="L66" t="s">
        <v>6</v>
      </c>
      <c r="M66" t="s">
        <v>11</v>
      </c>
    </row>
    <row r="67" spans="1:13" x14ac:dyDescent="0.2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25">
      <c r="A68" t="s">
        <v>7</v>
      </c>
      <c r="B68" t="s">
        <v>134</v>
      </c>
      <c r="C68">
        <v>2025</v>
      </c>
      <c r="D68">
        <v>96</v>
      </c>
      <c r="E68">
        <v>1.1100000000000001</v>
      </c>
      <c r="F68">
        <v>1.1399999999999999</v>
      </c>
      <c r="G68">
        <v>0.1</v>
      </c>
      <c r="H68">
        <v>0.9</v>
      </c>
      <c r="I68">
        <v>1.31</v>
      </c>
      <c r="J68">
        <v>1.06</v>
      </c>
      <c r="K68">
        <v>1.1599999999999999</v>
      </c>
      <c r="L68" t="s">
        <v>8</v>
      </c>
      <c r="M68" t="s">
        <v>11</v>
      </c>
    </row>
    <row r="69" spans="1:13" x14ac:dyDescent="0.25">
      <c r="A69" t="s">
        <v>7</v>
      </c>
      <c r="B69" t="s">
        <v>134</v>
      </c>
      <c r="C69">
        <v>2030</v>
      </c>
      <c r="D69">
        <v>102</v>
      </c>
      <c r="E69">
        <v>1.27</v>
      </c>
      <c r="F69">
        <v>1.28</v>
      </c>
      <c r="G69">
        <v>0.18</v>
      </c>
      <c r="H69">
        <v>0.97</v>
      </c>
      <c r="I69">
        <v>1.7</v>
      </c>
      <c r="J69">
        <v>1.21</v>
      </c>
      <c r="K69">
        <v>1.36</v>
      </c>
      <c r="L69" t="s">
        <v>8</v>
      </c>
      <c r="M69" t="s">
        <v>11</v>
      </c>
    </row>
    <row r="70" spans="1:13" x14ac:dyDescent="0.25">
      <c r="A70" t="s">
        <v>7</v>
      </c>
      <c r="B70" t="s">
        <v>134</v>
      </c>
      <c r="C70">
        <v>2035</v>
      </c>
      <c r="D70">
        <v>96</v>
      </c>
      <c r="E70">
        <v>1.41</v>
      </c>
      <c r="F70">
        <v>1.4</v>
      </c>
      <c r="G70">
        <v>0.31</v>
      </c>
      <c r="H70">
        <v>0.99</v>
      </c>
      <c r="I70">
        <v>2.16</v>
      </c>
      <c r="J70">
        <v>1.1499999999999999</v>
      </c>
      <c r="K70">
        <v>1.48</v>
      </c>
      <c r="L70" t="s">
        <v>8</v>
      </c>
      <c r="M70" t="s">
        <v>11</v>
      </c>
    </row>
    <row r="71" spans="1:13" x14ac:dyDescent="0.25">
      <c r="A71" t="s">
        <v>7</v>
      </c>
      <c r="B71" t="s">
        <v>134</v>
      </c>
      <c r="C71">
        <v>2040</v>
      </c>
      <c r="D71">
        <v>102</v>
      </c>
      <c r="E71">
        <v>1.59</v>
      </c>
      <c r="F71">
        <v>1.57</v>
      </c>
      <c r="G71">
        <v>0.44</v>
      </c>
      <c r="H71">
        <v>1.06</v>
      </c>
      <c r="I71">
        <v>2.85</v>
      </c>
      <c r="J71">
        <v>1.18</v>
      </c>
      <c r="K71">
        <v>1.67</v>
      </c>
      <c r="L71" t="s">
        <v>8</v>
      </c>
      <c r="M71" t="s">
        <v>11</v>
      </c>
    </row>
    <row r="72" spans="1:13" x14ac:dyDescent="0.25">
      <c r="A72" t="s">
        <v>7</v>
      </c>
      <c r="B72" t="s">
        <v>134</v>
      </c>
      <c r="C72">
        <v>2045</v>
      </c>
      <c r="D72">
        <v>96</v>
      </c>
      <c r="E72">
        <v>1.85</v>
      </c>
      <c r="F72">
        <v>1.66</v>
      </c>
      <c r="G72">
        <v>0.61</v>
      </c>
      <c r="H72">
        <v>1.1200000000000001</v>
      </c>
      <c r="I72">
        <v>3.55</v>
      </c>
      <c r="J72">
        <v>1.46</v>
      </c>
      <c r="K72">
        <v>1.98</v>
      </c>
      <c r="L72" t="s">
        <v>8</v>
      </c>
      <c r="M72" t="s">
        <v>11</v>
      </c>
    </row>
    <row r="73" spans="1:13" x14ac:dyDescent="0.25">
      <c r="A73" t="s">
        <v>7</v>
      </c>
      <c r="B73" t="s">
        <v>134</v>
      </c>
      <c r="C73">
        <v>2050</v>
      </c>
      <c r="D73">
        <v>102</v>
      </c>
      <c r="E73">
        <v>2.16</v>
      </c>
      <c r="F73">
        <v>1.84</v>
      </c>
      <c r="G73">
        <v>0.78</v>
      </c>
      <c r="H73">
        <v>1.21</v>
      </c>
      <c r="I73">
        <v>4.76</v>
      </c>
      <c r="J73">
        <v>1.74</v>
      </c>
      <c r="K73">
        <v>2.3199999999999998</v>
      </c>
      <c r="L73" t="s">
        <v>8</v>
      </c>
      <c r="M73" t="s">
        <v>11</v>
      </c>
    </row>
    <row r="74" spans="1:13" x14ac:dyDescent="0.25">
      <c r="A74" t="s">
        <v>9</v>
      </c>
      <c r="B74" t="s">
        <v>134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25">
      <c r="A75" t="s">
        <v>9</v>
      </c>
      <c r="B75" t="s">
        <v>134</v>
      </c>
      <c r="C75">
        <v>2025</v>
      </c>
      <c r="D75">
        <v>56</v>
      </c>
      <c r="E75">
        <v>1.23</v>
      </c>
      <c r="F75">
        <v>1.24</v>
      </c>
      <c r="G75">
        <v>0.06</v>
      </c>
      <c r="H75">
        <v>1.07</v>
      </c>
      <c r="I75">
        <v>1.35</v>
      </c>
      <c r="J75">
        <v>1.21</v>
      </c>
      <c r="K75">
        <v>1.26</v>
      </c>
      <c r="L75" t="s">
        <v>10</v>
      </c>
      <c r="M75" t="s">
        <v>11</v>
      </c>
    </row>
    <row r="76" spans="1:13" x14ac:dyDescent="0.25">
      <c r="A76" t="s">
        <v>9</v>
      </c>
      <c r="B76" t="s">
        <v>134</v>
      </c>
      <c r="C76">
        <v>2030</v>
      </c>
      <c r="D76">
        <v>61</v>
      </c>
      <c r="E76">
        <v>1.49</v>
      </c>
      <c r="F76">
        <v>1.52</v>
      </c>
      <c r="G76">
        <v>0.15</v>
      </c>
      <c r="H76">
        <v>1.07</v>
      </c>
      <c r="I76">
        <v>1.8</v>
      </c>
      <c r="J76">
        <v>1.42</v>
      </c>
      <c r="K76">
        <v>1.6</v>
      </c>
      <c r="L76" t="s">
        <v>10</v>
      </c>
      <c r="M76" t="s">
        <v>11</v>
      </c>
    </row>
    <row r="77" spans="1:13" x14ac:dyDescent="0.25">
      <c r="A77" t="s">
        <v>9</v>
      </c>
      <c r="B77" t="s">
        <v>134</v>
      </c>
      <c r="C77">
        <v>2035</v>
      </c>
      <c r="D77">
        <v>56</v>
      </c>
      <c r="E77">
        <v>1.8</v>
      </c>
      <c r="F77">
        <v>1.85</v>
      </c>
      <c r="G77">
        <v>0.25</v>
      </c>
      <c r="H77">
        <v>1.1100000000000001</v>
      </c>
      <c r="I77">
        <v>2.34</v>
      </c>
      <c r="J77">
        <v>1.7</v>
      </c>
      <c r="K77">
        <v>1.96</v>
      </c>
      <c r="L77" t="s">
        <v>10</v>
      </c>
      <c r="M77" t="s">
        <v>11</v>
      </c>
    </row>
    <row r="78" spans="1:13" x14ac:dyDescent="0.25">
      <c r="A78" t="s">
        <v>9</v>
      </c>
      <c r="B78" t="s">
        <v>134</v>
      </c>
      <c r="C78">
        <v>2040</v>
      </c>
      <c r="D78">
        <v>61</v>
      </c>
      <c r="E78">
        <v>2.08</v>
      </c>
      <c r="F78">
        <v>2.1800000000000002</v>
      </c>
      <c r="G78">
        <v>0.37</v>
      </c>
      <c r="H78">
        <v>1.22</v>
      </c>
      <c r="I78">
        <v>3.03</v>
      </c>
      <c r="J78">
        <v>1.8</v>
      </c>
      <c r="K78">
        <v>2.27</v>
      </c>
      <c r="L78" t="s">
        <v>10</v>
      </c>
      <c r="M78" t="s">
        <v>11</v>
      </c>
    </row>
    <row r="79" spans="1:13" x14ac:dyDescent="0.25">
      <c r="A79" t="s">
        <v>9</v>
      </c>
      <c r="B79" t="s">
        <v>134</v>
      </c>
      <c r="C79">
        <v>2045</v>
      </c>
      <c r="D79">
        <v>56</v>
      </c>
      <c r="E79">
        <v>2.46</v>
      </c>
      <c r="F79">
        <v>2.57</v>
      </c>
      <c r="G79">
        <v>0.49</v>
      </c>
      <c r="H79">
        <v>1.34</v>
      </c>
      <c r="I79">
        <v>3.82</v>
      </c>
      <c r="J79">
        <v>2.12</v>
      </c>
      <c r="K79">
        <v>2.7</v>
      </c>
      <c r="L79" t="s">
        <v>10</v>
      </c>
      <c r="M79" t="s">
        <v>11</v>
      </c>
    </row>
    <row r="80" spans="1:13" x14ac:dyDescent="0.25">
      <c r="A80" t="s">
        <v>9</v>
      </c>
      <c r="B80" t="s">
        <v>134</v>
      </c>
      <c r="C80">
        <v>2050</v>
      </c>
      <c r="D80">
        <v>61</v>
      </c>
      <c r="E80">
        <v>2.74</v>
      </c>
      <c r="F80">
        <v>2.93</v>
      </c>
      <c r="G80">
        <v>0.66</v>
      </c>
      <c r="H80">
        <v>1.46</v>
      </c>
      <c r="I80">
        <v>4.6399999999999997</v>
      </c>
      <c r="J80">
        <v>2.2799999999999998</v>
      </c>
      <c r="K80">
        <v>3.16</v>
      </c>
      <c r="L80" t="s">
        <v>10</v>
      </c>
      <c r="M80" t="s">
        <v>11</v>
      </c>
    </row>
    <row r="81" spans="1:13" x14ac:dyDescent="0.25">
      <c r="A81" t="s">
        <v>0</v>
      </c>
      <c r="B81" t="s">
        <v>134</v>
      </c>
      <c r="C81">
        <v>2020</v>
      </c>
      <c r="D81">
        <v>64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25">
      <c r="A82" t="s">
        <v>0</v>
      </c>
      <c r="B82" t="s">
        <v>134</v>
      </c>
      <c r="C82">
        <v>2025</v>
      </c>
      <c r="D82">
        <v>64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25">
      <c r="A83" t="s">
        <v>0</v>
      </c>
      <c r="B83" t="s">
        <v>134</v>
      </c>
      <c r="C83">
        <v>2030</v>
      </c>
      <c r="D83">
        <v>64</v>
      </c>
      <c r="E83">
        <v>0.01</v>
      </c>
      <c r="F83">
        <v>0.01</v>
      </c>
      <c r="G83">
        <v>0.01</v>
      </c>
      <c r="H83">
        <v>0</v>
      </c>
      <c r="I83">
        <v>0.05</v>
      </c>
      <c r="J83">
        <v>0</v>
      </c>
      <c r="K83">
        <v>0.01</v>
      </c>
      <c r="L83" t="s">
        <v>1</v>
      </c>
      <c r="M83" t="s">
        <v>15</v>
      </c>
    </row>
    <row r="84" spans="1:13" x14ac:dyDescent="0.25">
      <c r="A84" t="s">
        <v>0</v>
      </c>
      <c r="B84" t="s">
        <v>134</v>
      </c>
      <c r="C84">
        <v>2035</v>
      </c>
      <c r="D84">
        <v>64</v>
      </c>
      <c r="E84">
        <v>0.02</v>
      </c>
      <c r="F84">
        <v>0.02</v>
      </c>
      <c r="G84">
        <v>0.02</v>
      </c>
      <c r="H84">
        <v>0</v>
      </c>
      <c r="I84">
        <v>0.13</v>
      </c>
      <c r="J84">
        <v>0.01</v>
      </c>
      <c r="K84">
        <v>0.02</v>
      </c>
      <c r="L84" t="s">
        <v>1</v>
      </c>
      <c r="M84" t="s">
        <v>15</v>
      </c>
    </row>
    <row r="85" spans="1:13" x14ac:dyDescent="0.25">
      <c r="A85" t="s">
        <v>0</v>
      </c>
      <c r="B85" t="s">
        <v>134</v>
      </c>
      <c r="C85">
        <v>2040</v>
      </c>
      <c r="D85">
        <v>64</v>
      </c>
      <c r="E85">
        <v>0.04</v>
      </c>
      <c r="F85">
        <v>0.03</v>
      </c>
      <c r="G85">
        <v>0.05</v>
      </c>
      <c r="H85">
        <v>0</v>
      </c>
      <c r="I85">
        <v>0.42</v>
      </c>
      <c r="J85">
        <v>0.02</v>
      </c>
      <c r="K85">
        <v>0.03</v>
      </c>
      <c r="L85" t="s">
        <v>1</v>
      </c>
      <c r="M85" t="s">
        <v>15</v>
      </c>
    </row>
    <row r="86" spans="1:13" x14ac:dyDescent="0.25">
      <c r="A86" t="s">
        <v>0</v>
      </c>
      <c r="B86" t="s">
        <v>134</v>
      </c>
      <c r="C86">
        <v>2045</v>
      </c>
      <c r="D86">
        <v>64</v>
      </c>
      <c r="E86">
        <v>0.06</v>
      </c>
      <c r="F86">
        <v>0.04</v>
      </c>
      <c r="G86">
        <v>0.08</v>
      </c>
      <c r="H86">
        <v>0</v>
      </c>
      <c r="I86">
        <v>0.56999999999999995</v>
      </c>
      <c r="J86">
        <v>0.03</v>
      </c>
      <c r="K86">
        <v>0.05</v>
      </c>
      <c r="L86" t="s">
        <v>1</v>
      </c>
      <c r="M86" t="s">
        <v>15</v>
      </c>
    </row>
    <row r="87" spans="1:13" x14ac:dyDescent="0.25">
      <c r="A87" t="s">
        <v>0</v>
      </c>
      <c r="B87" t="s">
        <v>134</v>
      </c>
      <c r="C87">
        <v>2050</v>
      </c>
      <c r="D87">
        <v>64</v>
      </c>
      <c r="E87">
        <v>7.0000000000000007E-2</v>
      </c>
      <c r="F87">
        <v>0.05</v>
      </c>
      <c r="G87">
        <v>0.09</v>
      </c>
      <c r="H87">
        <v>0</v>
      </c>
      <c r="I87">
        <v>0.46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25">
      <c r="A88" t="s">
        <v>2</v>
      </c>
      <c r="B88" t="s">
        <v>134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0.03</v>
      </c>
      <c r="J88">
        <v>0</v>
      </c>
      <c r="K88">
        <v>0.01</v>
      </c>
      <c r="L88" t="s">
        <v>3</v>
      </c>
      <c r="M88" t="s">
        <v>15</v>
      </c>
    </row>
    <row r="89" spans="1:13" x14ac:dyDescent="0.25">
      <c r="A89" t="s">
        <v>2</v>
      </c>
      <c r="B89" t="s">
        <v>134</v>
      </c>
      <c r="C89">
        <v>2025</v>
      </c>
      <c r="D89">
        <v>89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25">
      <c r="A90" t="s">
        <v>2</v>
      </c>
      <c r="B90" t="s">
        <v>134</v>
      </c>
      <c r="C90">
        <v>2030</v>
      </c>
      <c r="D90">
        <v>100</v>
      </c>
      <c r="E90">
        <v>0</v>
      </c>
      <c r="F90">
        <v>0</v>
      </c>
      <c r="G90">
        <v>0.01</v>
      </c>
      <c r="H90">
        <v>0</v>
      </c>
      <c r="I90">
        <v>0.04</v>
      </c>
      <c r="J90">
        <v>0</v>
      </c>
      <c r="K90">
        <v>0.01</v>
      </c>
      <c r="L90" t="s">
        <v>3</v>
      </c>
      <c r="M90" t="s">
        <v>15</v>
      </c>
    </row>
    <row r="91" spans="1:13" x14ac:dyDescent="0.25">
      <c r="A91" t="s">
        <v>2</v>
      </c>
      <c r="B91" t="s">
        <v>134</v>
      </c>
      <c r="C91">
        <v>2035</v>
      </c>
      <c r="D91">
        <v>89</v>
      </c>
      <c r="E91">
        <v>0.01</v>
      </c>
      <c r="F91">
        <v>0.01</v>
      </c>
      <c r="G91">
        <v>0.01</v>
      </c>
      <c r="H91">
        <v>0</v>
      </c>
      <c r="I91">
        <v>0.04</v>
      </c>
      <c r="J91">
        <v>0</v>
      </c>
      <c r="K91">
        <v>0.02</v>
      </c>
      <c r="L91" t="s">
        <v>3</v>
      </c>
      <c r="M91" t="s">
        <v>15</v>
      </c>
    </row>
    <row r="92" spans="1:13" x14ac:dyDescent="0.25">
      <c r="A92" t="s">
        <v>2</v>
      </c>
      <c r="B92" t="s">
        <v>134</v>
      </c>
      <c r="C92">
        <v>2040</v>
      </c>
      <c r="D92">
        <v>100</v>
      </c>
      <c r="E92">
        <v>0.03</v>
      </c>
      <c r="F92">
        <v>0.02</v>
      </c>
      <c r="G92">
        <v>0.03</v>
      </c>
      <c r="H92">
        <v>0</v>
      </c>
      <c r="I92">
        <v>0.21</v>
      </c>
      <c r="J92">
        <v>0.01</v>
      </c>
      <c r="K92">
        <v>0.03</v>
      </c>
      <c r="L92" t="s">
        <v>3</v>
      </c>
      <c r="M92" t="s">
        <v>15</v>
      </c>
    </row>
    <row r="93" spans="1:13" x14ac:dyDescent="0.25">
      <c r="A93" t="s">
        <v>2</v>
      </c>
      <c r="B93" t="s">
        <v>134</v>
      </c>
      <c r="C93">
        <v>2045</v>
      </c>
      <c r="D93">
        <v>89</v>
      </c>
      <c r="E93">
        <v>0.05</v>
      </c>
      <c r="F93">
        <v>0.03</v>
      </c>
      <c r="G93">
        <v>0.06</v>
      </c>
      <c r="H93">
        <v>0</v>
      </c>
      <c r="I93">
        <v>0.37</v>
      </c>
      <c r="J93">
        <v>0.02</v>
      </c>
      <c r="K93">
        <v>0.04</v>
      </c>
      <c r="L93" t="s">
        <v>3</v>
      </c>
      <c r="M93" t="s">
        <v>15</v>
      </c>
    </row>
    <row r="94" spans="1:13" x14ac:dyDescent="0.25">
      <c r="A94" t="s">
        <v>2</v>
      </c>
      <c r="B94" t="s">
        <v>134</v>
      </c>
      <c r="C94">
        <v>2050</v>
      </c>
      <c r="D94">
        <v>100</v>
      </c>
      <c r="E94">
        <v>0.08</v>
      </c>
      <c r="F94">
        <v>0.04</v>
      </c>
      <c r="G94">
        <v>0.1</v>
      </c>
      <c r="H94">
        <v>0</v>
      </c>
      <c r="I94">
        <v>0.46</v>
      </c>
      <c r="J94">
        <v>0.02</v>
      </c>
      <c r="K94">
        <v>0.09</v>
      </c>
      <c r="L94" t="s">
        <v>3</v>
      </c>
      <c r="M94" t="s">
        <v>15</v>
      </c>
    </row>
    <row r="95" spans="1:13" x14ac:dyDescent="0.25">
      <c r="A95" t="s">
        <v>5</v>
      </c>
      <c r="B95" t="s">
        <v>134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25">
      <c r="A96" t="s">
        <v>5</v>
      </c>
      <c r="B96" t="s">
        <v>134</v>
      </c>
      <c r="C96">
        <v>2025</v>
      </c>
      <c r="D96">
        <v>203</v>
      </c>
      <c r="E96">
        <v>0</v>
      </c>
      <c r="F96">
        <v>0</v>
      </c>
      <c r="G96">
        <v>0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25">
      <c r="A97" t="s">
        <v>5</v>
      </c>
      <c r="B97" t="s">
        <v>134</v>
      </c>
      <c r="C97">
        <v>2030</v>
      </c>
      <c r="D97">
        <v>215</v>
      </c>
      <c r="E97">
        <v>0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25">
      <c r="A98" t="s">
        <v>5</v>
      </c>
      <c r="B98" t="s">
        <v>134</v>
      </c>
      <c r="C98">
        <v>2035</v>
      </c>
      <c r="D98">
        <v>203</v>
      </c>
      <c r="E98">
        <v>0.01</v>
      </c>
      <c r="F98">
        <v>0.01</v>
      </c>
      <c r="G98">
        <v>0.01</v>
      </c>
      <c r="H98">
        <v>0</v>
      </c>
      <c r="I98">
        <v>0.04</v>
      </c>
      <c r="J98">
        <v>0</v>
      </c>
      <c r="K98">
        <v>0.02</v>
      </c>
      <c r="L98" t="s">
        <v>6</v>
      </c>
      <c r="M98" t="s">
        <v>15</v>
      </c>
    </row>
    <row r="99" spans="1:13" x14ac:dyDescent="0.25">
      <c r="A99" t="s">
        <v>5</v>
      </c>
      <c r="B99" t="s">
        <v>134</v>
      </c>
      <c r="C99">
        <v>2040</v>
      </c>
      <c r="D99">
        <v>215</v>
      </c>
      <c r="E99">
        <v>0.02</v>
      </c>
      <c r="F99">
        <v>0.02</v>
      </c>
      <c r="G99">
        <v>0.02</v>
      </c>
      <c r="H99">
        <v>0</v>
      </c>
      <c r="I99">
        <v>0.1</v>
      </c>
      <c r="J99">
        <v>0</v>
      </c>
      <c r="K99">
        <v>0.03</v>
      </c>
      <c r="L99" t="s">
        <v>6</v>
      </c>
      <c r="M99" t="s">
        <v>15</v>
      </c>
    </row>
    <row r="100" spans="1:13" x14ac:dyDescent="0.25">
      <c r="A100" t="s">
        <v>5</v>
      </c>
      <c r="B100" t="s">
        <v>134</v>
      </c>
      <c r="C100">
        <v>2045</v>
      </c>
      <c r="D100">
        <v>203</v>
      </c>
      <c r="E100">
        <v>0.03</v>
      </c>
      <c r="F100">
        <v>0.03</v>
      </c>
      <c r="G100">
        <v>0.04</v>
      </c>
      <c r="H100">
        <v>0</v>
      </c>
      <c r="I100">
        <v>0.46</v>
      </c>
      <c r="J100">
        <v>0</v>
      </c>
      <c r="K100">
        <v>0.03</v>
      </c>
      <c r="L100" t="s">
        <v>6</v>
      </c>
      <c r="M100" t="s">
        <v>15</v>
      </c>
    </row>
    <row r="101" spans="1:13" x14ac:dyDescent="0.25">
      <c r="A101" t="s">
        <v>5</v>
      </c>
      <c r="B101" t="s">
        <v>134</v>
      </c>
      <c r="C101">
        <v>2050</v>
      </c>
      <c r="D101">
        <v>215</v>
      </c>
      <c r="E101">
        <v>0.04</v>
      </c>
      <c r="F101">
        <v>0.03</v>
      </c>
      <c r="G101">
        <v>0.05</v>
      </c>
      <c r="H101">
        <v>0</v>
      </c>
      <c r="I101">
        <v>0.5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25">
      <c r="A102" t="s">
        <v>7</v>
      </c>
      <c r="B102" t="s">
        <v>134</v>
      </c>
      <c r="C102">
        <v>2020</v>
      </c>
      <c r="D102">
        <v>96</v>
      </c>
      <c r="E102">
        <v>0</v>
      </c>
      <c r="F102">
        <v>0</v>
      </c>
      <c r="G102">
        <v>0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25">
      <c r="A103" t="s">
        <v>7</v>
      </c>
      <c r="B103" t="s">
        <v>134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0.03</v>
      </c>
      <c r="J103">
        <v>0</v>
      </c>
      <c r="K103">
        <v>0</v>
      </c>
      <c r="L103" t="s">
        <v>8</v>
      </c>
      <c r="M103" t="s">
        <v>15</v>
      </c>
    </row>
    <row r="104" spans="1:13" x14ac:dyDescent="0.25">
      <c r="A104" t="s">
        <v>7</v>
      </c>
      <c r="B104" t="s">
        <v>134</v>
      </c>
      <c r="C104">
        <v>2030</v>
      </c>
      <c r="D104">
        <v>96</v>
      </c>
      <c r="E104">
        <v>0</v>
      </c>
      <c r="F104">
        <v>0</v>
      </c>
      <c r="G104">
        <v>0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25">
      <c r="A105" t="s">
        <v>7</v>
      </c>
      <c r="B105" t="s">
        <v>134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0.04</v>
      </c>
      <c r="J105">
        <v>0</v>
      </c>
      <c r="K105">
        <v>0</v>
      </c>
      <c r="L105" t="s">
        <v>8</v>
      </c>
      <c r="M105" t="s">
        <v>15</v>
      </c>
    </row>
    <row r="106" spans="1:13" x14ac:dyDescent="0.25">
      <c r="A106" t="s">
        <v>7</v>
      </c>
      <c r="B106" t="s">
        <v>134</v>
      </c>
      <c r="C106">
        <v>2040</v>
      </c>
      <c r="D106">
        <v>96</v>
      </c>
      <c r="E106">
        <v>0.01</v>
      </c>
      <c r="F106">
        <v>0</v>
      </c>
      <c r="G106">
        <v>0.01</v>
      </c>
      <c r="H106">
        <v>0</v>
      </c>
      <c r="I106">
        <v>0.04</v>
      </c>
      <c r="J106">
        <v>0</v>
      </c>
      <c r="K106">
        <v>0</v>
      </c>
      <c r="L106" t="s">
        <v>8</v>
      </c>
      <c r="M106" t="s">
        <v>15</v>
      </c>
    </row>
    <row r="107" spans="1:13" x14ac:dyDescent="0.25">
      <c r="A107" t="s">
        <v>7</v>
      </c>
      <c r="B107" t="s">
        <v>134</v>
      </c>
      <c r="C107">
        <v>2045</v>
      </c>
      <c r="D107">
        <v>96</v>
      </c>
      <c r="E107">
        <v>0.01</v>
      </c>
      <c r="F107">
        <v>0</v>
      </c>
      <c r="G107">
        <v>0.01</v>
      </c>
      <c r="H107">
        <v>0</v>
      </c>
      <c r="I107">
        <v>0.04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25">
      <c r="A108" t="s">
        <v>7</v>
      </c>
      <c r="B108" t="s">
        <v>134</v>
      </c>
      <c r="C108">
        <v>2050</v>
      </c>
      <c r="D108">
        <v>96</v>
      </c>
      <c r="E108">
        <v>0.01</v>
      </c>
      <c r="F108">
        <v>0</v>
      </c>
      <c r="G108">
        <v>0.01</v>
      </c>
      <c r="H108">
        <v>0</v>
      </c>
      <c r="I108">
        <v>0.04</v>
      </c>
      <c r="J108">
        <v>0</v>
      </c>
      <c r="K108">
        <v>0.02</v>
      </c>
      <c r="L108" t="s">
        <v>8</v>
      </c>
      <c r="M108" t="s">
        <v>15</v>
      </c>
    </row>
    <row r="109" spans="1:13" x14ac:dyDescent="0.25">
      <c r="A109" t="s">
        <v>9</v>
      </c>
      <c r="B109" t="s">
        <v>134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25">
      <c r="A110" t="s">
        <v>9</v>
      </c>
      <c r="B110" t="s">
        <v>134</v>
      </c>
      <c r="C110">
        <v>2025</v>
      </c>
      <c r="D110">
        <v>54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25">
      <c r="A111" t="s">
        <v>9</v>
      </c>
      <c r="B111" t="s">
        <v>134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25">
      <c r="A112" t="s">
        <v>9</v>
      </c>
      <c r="B112" t="s">
        <v>134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0.04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25">
      <c r="A113" t="s">
        <v>9</v>
      </c>
      <c r="B113" t="s">
        <v>134</v>
      </c>
      <c r="C113">
        <v>2040</v>
      </c>
      <c r="D113">
        <v>59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25">
      <c r="A114" t="s">
        <v>9</v>
      </c>
      <c r="B114" t="s">
        <v>134</v>
      </c>
      <c r="C114">
        <v>2045</v>
      </c>
      <c r="D114">
        <v>54</v>
      </c>
      <c r="E114">
        <v>0.02</v>
      </c>
      <c r="F114">
        <v>0.03</v>
      </c>
      <c r="G114">
        <v>0.02</v>
      </c>
      <c r="H114">
        <v>0</v>
      </c>
      <c r="I114">
        <v>0.06</v>
      </c>
      <c r="J114">
        <v>0</v>
      </c>
      <c r="K114">
        <v>0.04</v>
      </c>
      <c r="L114" t="s">
        <v>10</v>
      </c>
      <c r="M114" t="s">
        <v>15</v>
      </c>
    </row>
    <row r="115" spans="1:13" x14ac:dyDescent="0.25">
      <c r="A115" t="s">
        <v>9</v>
      </c>
      <c r="B115" t="s">
        <v>134</v>
      </c>
      <c r="C115">
        <v>2050</v>
      </c>
      <c r="D115">
        <v>59</v>
      </c>
      <c r="E115">
        <v>0.03</v>
      </c>
      <c r="F115">
        <v>0.03</v>
      </c>
      <c r="G115">
        <v>0.02</v>
      </c>
      <c r="H115">
        <v>0</v>
      </c>
      <c r="I115">
        <v>0.09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25">
      <c r="A116" t="s">
        <v>0</v>
      </c>
      <c r="B116" t="s">
        <v>134</v>
      </c>
      <c r="C116">
        <v>2020</v>
      </c>
      <c r="D116">
        <v>64</v>
      </c>
      <c r="E116">
        <v>0.45</v>
      </c>
      <c r="F116">
        <v>0.46</v>
      </c>
      <c r="G116">
        <v>0.04</v>
      </c>
      <c r="H116">
        <v>0.3</v>
      </c>
      <c r="I116">
        <v>0.52</v>
      </c>
      <c r="J116">
        <v>0.42</v>
      </c>
      <c r="K116">
        <v>0.48</v>
      </c>
      <c r="L116" t="s">
        <v>1</v>
      </c>
      <c r="M116" t="s">
        <v>18</v>
      </c>
    </row>
    <row r="117" spans="1:13" x14ac:dyDescent="0.25">
      <c r="A117" t="s">
        <v>0</v>
      </c>
      <c r="B117" t="s">
        <v>134</v>
      </c>
      <c r="C117">
        <v>2025</v>
      </c>
      <c r="D117">
        <v>64</v>
      </c>
      <c r="E117">
        <v>0.42</v>
      </c>
      <c r="F117">
        <v>0.43</v>
      </c>
      <c r="G117">
        <v>0.08</v>
      </c>
      <c r="H117">
        <v>0.18</v>
      </c>
      <c r="I117">
        <v>0.53</v>
      </c>
      <c r="J117">
        <v>0.42</v>
      </c>
      <c r="K117">
        <v>0.47</v>
      </c>
      <c r="L117" t="s">
        <v>1</v>
      </c>
      <c r="M117" t="s">
        <v>18</v>
      </c>
    </row>
    <row r="118" spans="1:13" x14ac:dyDescent="0.25">
      <c r="A118" t="s">
        <v>0</v>
      </c>
      <c r="B118" t="s">
        <v>134</v>
      </c>
      <c r="C118">
        <v>2030</v>
      </c>
      <c r="D118">
        <v>64</v>
      </c>
      <c r="E118">
        <v>0.43</v>
      </c>
      <c r="F118">
        <v>0.45</v>
      </c>
      <c r="G118">
        <v>0.09</v>
      </c>
      <c r="H118">
        <v>0.2</v>
      </c>
      <c r="I118">
        <v>0.62</v>
      </c>
      <c r="J118">
        <v>0.42</v>
      </c>
      <c r="K118">
        <v>0.48</v>
      </c>
      <c r="L118" t="s">
        <v>1</v>
      </c>
      <c r="M118" t="s">
        <v>18</v>
      </c>
    </row>
    <row r="119" spans="1:13" x14ac:dyDescent="0.25">
      <c r="A119" t="s">
        <v>0</v>
      </c>
      <c r="B119" t="s">
        <v>134</v>
      </c>
      <c r="C119">
        <v>2035</v>
      </c>
      <c r="D119">
        <v>64</v>
      </c>
      <c r="E119">
        <v>0.44</v>
      </c>
      <c r="F119">
        <v>0.45</v>
      </c>
      <c r="G119">
        <v>0.1</v>
      </c>
      <c r="H119">
        <v>0.19</v>
      </c>
      <c r="I119">
        <v>0.63</v>
      </c>
      <c r="J119">
        <v>0.42</v>
      </c>
      <c r="K119">
        <v>0.47</v>
      </c>
      <c r="L119" t="s">
        <v>1</v>
      </c>
      <c r="M119" t="s">
        <v>18</v>
      </c>
    </row>
    <row r="120" spans="1:13" x14ac:dyDescent="0.25">
      <c r="A120" t="s">
        <v>0</v>
      </c>
      <c r="B120" t="s">
        <v>134</v>
      </c>
      <c r="C120">
        <v>2040</v>
      </c>
      <c r="D120">
        <v>64</v>
      </c>
      <c r="E120">
        <v>0.44</v>
      </c>
      <c r="F120">
        <v>0.46</v>
      </c>
      <c r="G120">
        <v>0.1</v>
      </c>
      <c r="H120">
        <v>0.2</v>
      </c>
      <c r="I120">
        <v>0.62</v>
      </c>
      <c r="J120">
        <v>0.4</v>
      </c>
      <c r="K120">
        <v>0.48</v>
      </c>
      <c r="L120" t="s">
        <v>1</v>
      </c>
      <c r="M120" t="s">
        <v>18</v>
      </c>
    </row>
    <row r="121" spans="1:13" x14ac:dyDescent="0.25">
      <c r="A121" t="s">
        <v>0</v>
      </c>
      <c r="B121" t="s">
        <v>134</v>
      </c>
      <c r="C121">
        <v>2045</v>
      </c>
      <c r="D121">
        <v>64</v>
      </c>
      <c r="E121">
        <v>0.44</v>
      </c>
      <c r="F121">
        <v>0.46</v>
      </c>
      <c r="G121">
        <v>0.11</v>
      </c>
      <c r="H121">
        <v>0.2</v>
      </c>
      <c r="I121">
        <v>0.61</v>
      </c>
      <c r="J121">
        <v>0.39</v>
      </c>
      <c r="K121">
        <v>0.51</v>
      </c>
      <c r="L121" t="s">
        <v>1</v>
      </c>
      <c r="M121" t="s">
        <v>18</v>
      </c>
    </row>
    <row r="122" spans="1:13" x14ac:dyDescent="0.25">
      <c r="A122" t="s">
        <v>0</v>
      </c>
      <c r="B122" t="s">
        <v>134</v>
      </c>
      <c r="C122">
        <v>2050</v>
      </c>
      <c r="D122">
        <v>64</v>
      </c>
      <c r="E122">
        <v>0.45</v>
      </c>
      <c r="F122">
        <v>0.49</v>
      </c>
      <c r="G122">
        <v>0.11</v>
      </c>
      <c r="H122">
        <v>0.18</v>
      </c>
      <c r="I122">
        <v>0.6</v>
      </c>
      <c r="J122">
        <v>0.4</v>
      </c>
      <c r="K122">
        <v>0.54</v>
      </c>
      <c r="L122" t="s">
        <v>1</v>
      </c>
      <c r="M122" t="s">
        <v>18</v>
      </c>
    </row>
    <row r="123" spans="1:13" x14ac:dyDescent="0.25">
      <c r="A123" t="s">
        <v>2</v>
      </c>
      <c r="B123" t="s">
        <v>134</v>
      </c>
      <c r="C123">
        <v>2020</v>
      </c>
      <c r="D123">
        <v>100</v>
      </c>
      <c r="E123">
        <v>0.45</v>
      </c>
      <c r="F123">
        <v>0.47</v>
      </c>
      <c r="G123">
        <v>0.04</v>
      </c>
      <c r="H123">
        <v>0.3</v>
      </c>
      <c r="I123">
        <v>0.52</v>
      </c>
      <c r="J123">
        <v>0.42</v>
      </c>
      <c r="K123">
        <v>0.48</v>
      </c>
      <c r="L123" t="s">
        <v>3</v>
      </c>
      <c r="M123" t="s">
        <v>18</v>
      </c>
    </row>
    <row r="124" spans="1:13" x14ac:dyDescent="0.25">
      <c r="A124" t="s">
        <v>2</v>
      </c>
      <c r="B124" t="s">
        <v>134</v>
      </c>
      <c r="C124">
        <v>2025</v>
      </c>
      <c r="D124">
        <v>89</v>
      </c>
      <c r="E124">
        <v>0.44</v>
      </c>
      <c r="F124">
        <v>0.45</v>
      </c>
      <c r="G124">
        <v>0.06</v>
      </c>
      <c r="H124">
        <v>0</v>
      </c>
      <c r="I124">
        <v>0.53</v>
      </c>
      <c r="J124">
        <v>0.42</v>
      </c>
      <c r="K124">
        <v>0.46</v>
      </c>
      <c r="L124" t="s">
        <v>3</v>
      </c>
      <c r="M124" t="s">
        <v>18</v>
      </c>
    </row>
    <row r="125" spans="1:13" x14ac:dyDescent="0.25">
      <c r="A125" t="s">
        <v>2</v>
      </c>
      <c r="B125" t="s">
        <v>134</v>
      </c>
      <c r="C125">
        <v>2030</v>
      </c>
      <c r="D125">
        <v>100</v>
      </c>
      <c r="E125">
        <v>0.43</v>
      </c>
      <c r="F125">
        <v>0.44</v>
      </c>
      <c r="G125">
        <v>0.06</v>
      </c>
      <c r="H125">
        <v>0</v>
      </c>
      <c r="I125">
        <v>0.56000000000000005</v>
      </c>
      <c r="J125">
        <v>0.42</v>
      </c>
      <c r="K125">
        <v>0.45</v>
      </c>
      <c r="L125" t="s">
        <v>3</v>
      </c>
      <c r="M125" t="s">
        <v>18</v>
      </c>
    </row>
    <row r="126" spans="1:13" x14ac:dyDescent="0.25">
      <c r="A126" t="s">
        <v>2</v>
      </c>
      <c r="B126" t="s">
        <v>134</v>
      </c>
      <c r="C126">
        <v>2035</v>
      </c>
      <c r="D126">
        <v>89</v>
      </c>
      <c r="E126">
        <v>0.43</v>
      </c>
      <c r="F126">
        <v>0.43</v>
      </c>
      <c r="G126">
        <v>0.05</v>
      </c>
      <c r="H126">
        <v>0.21</v>
      </c>
      <c r="I126">
        <v>0.57999999999999996</v>
      </c>
      <c r="J126">
        <v>0.41</v>
      </c>
      <c r="K126">
        <v>0.45</v>
      </c>
      <c r="L126" t="s">
        <v>3</v>
      </c>
      <c r="M126" t="s">
        <v>18</v>
      </c>
    </row>
    <row r="127" spans="1:13" x14ac:dyDescent="0.25">
      <c r="A127" t="s">
        <v>2</v>
      </c>
      <c r="B127" t="s">
        <v>134</v>
      </c>
      <c r="C127">
        <v>2040</v>
      </c>
      <c r="D127">
        <v>100</v>
      </c>
      <c r="E127">
        <v>0.41</v>
      </c>
      <c r="F127">
        <v>0.42</v>
      </c>
      <c r="G127">
        <v>7.0000000000000007E-2</v>
      </c>
      <c r="H127">
        <v>0.22</v>
      </c>
      <c r="I127">
        <v>0.56000000000000005</v>
      </c>
      <c r="J127">
        <v>0.39</v>
      </c>
      <c r="K127">
        <v>0.45</v>
      </c>
      <c r="L127" t="s">
        <v>3</v>
      </c>
      <c r="M127" t="s">
        <v>18</v>
      </c>
    </row>
    <row r="128" spans="1:13" x14ac:dyDescent="0.25">
      <c r="A128" t="s">
        <v>2</v>
      </c>
      <c r="B128" t="s">
        <v>134</v>
      </c>
      <c r="C128">
        <v>2045</v>
      </c>
      <c r="D128">
        <v>89</v>
      </c>
      <c r="E128">
        <v>0.42</v>
      </c>
      <c r="F128">
        <v>0.42</v>
      </c>
      <c r="G128">
        <v>7.0000000000000007E-2</v>
      </c>
      <c r="H128">
        <v>0.21</v>
      </c>
      <c r="I128">
        <v>0.56000000000000005</v>
      </c>
      <c r="J128">
        <v>0.38</v>
      </c>
      <c r="K128">
        <v>0.47</v>
      </c>
      <c r="L128" t="s">
        <v>3</v>
      </c>
      <c r="M128" t="s">
        <v>18</v>
      </c>
    </row>
    <row r="129" spans="1:13" x14ac:dyDescent="0.25">
      <c r="A129" t="s">
        <v>2</v>
      </c>
      <c r="B129" t="s">
        <v>134</v>
      </c>
      <c r="C129">
        <v>2050</v>
      </c>
      <c r="D129">
        <v>100</v>
      </c>
      <c r="E129">
        <v>0.41</v>
      </c>
      <c r="F129">
        <v>0.41</v>
      </c>
      <c r="G129">
        <v>0.09</v>
      </c>
      <c r="H129">
        <v>0.19</v>
      </c>
      <c r="I129">
        <v>0.57999999999999996</v>
      </c>
      <c r="J129">
        <v>0.35</v>
      </c>
      <c r="K129">
        <v>0.48</v>
      </c>
      <c r="L129" t="s">
        <v>3</v>
      </c>
      <c r="M129" t="s">
        <v>18</v>
      </c>
    </row>
    <row r="130" spans="1:13" x14ac:dyDescent="0.25">
      <c r="A130" t="s">
        <v>5</v>
      </c>
      <c r="B130" t="s">
        <v>134</v>
      </c>
      <c r="C130">
        <v>2020</v>
      </c>
      <c r="D130">
        <v>233</v>
      </c>
      <c r="E130">
        <v>0.44</v>
      </c>
      <c r="F130">
        <v>0.46</v>
      </c>
      <c r="G130">
        <v>0.05</v>
      </c>
      <c r="H130">
        <v>0.28999999999999998</v>
      </c>
      <c r="I130">
        <v>0.52</v>
      </c>
      <c r="J130">
        <v>0.42</v>
      </c>
      <c r="K130">
        <v>0.48</v>
      </c>
      <c r="L130" t="s">
        <v>6</v>
      </c>
      <c r="M130" t="s">
        <v>18</v>
      </c>
    </row>
    <row r="131" spans="1:13" x14ac:dyDescent="0.25">
      <c r="A131" t="s">
        <v>5</v>
      </c>
      <c r="B131" t="s">
        <v>134</v>
      </c>
      <c r="C131">
        <v>2025</v>
      </c>
      <c r="D131">
        <v>210</v>
      </c>
      <c r="E131">
        <v>0.39</v>
      </c>
      <c r="F131">
        <v>0.42</v>
      </c>
      <c r="G131">
        <v>0.13</v>
      </c>
      <c r="H131">
        <v>0</v>
      </c>
      <c r="I131">
        <v>0.53</v>
      </c>
      <c r="J131">
        <v>0.41</v>
      </c>
      <c r="K131">
        <v>0.45</v>
      </c>
      <c r="L131" t="s">
        <v>6</v>
      </c>
      <c r="M131" t="s">
        <v>18</v>
      </c>
    </row>
    <row r="132" spans="1:13" x14ac:dyDescent="0.25">
      <c r="A132" t="s">
        <v>5</v>
      </c>
      <c r="B132" t="s">
        <v>134</v>
      </c>
      <c r="C132">
        <v>2030</v>
      </c>
      <c r="D132">
        <v>233</v>
      </c>
      <c r="E132">
        <v>0.4</v>
      </c>
      <c r="F132">
        <v>0.44</v>
      </c>
      <c r="G132">
        <v>0.11</v>
      </c>
      <c r="H132">
        <v>0</v>
      </c>
      <c r="I132">
        <v>0.56999999999999995</v>
      </c>
      <c r="J132">
        <v>0.39</v>
      </c>
      <c r="K132">
        <v>0.45</v>
      </c>
      <c r="L132" t="s">
        <v>6</v>
      </c>
      <c r="M132" t="s">
        <v>18</v>
      </c>
    </row>
    <row r="133" spans="1:13" x14ac:dyDescent="0.25">
      <c r="A133" t="s">
        <v>5</v>
      </c>
      <c r="B133" t="s">
        <v>134</v>
      </c>
      <c r="C133">
        <v>2035</v>
      </c>
      <c r="D133">
        <v>210</v>
      </c>
      <c r="E133">
        <v>0.4</v>
      </c>
      <c r="F133">
        <v>0.43</v>
      </c>
      <c r="G133">
        <v>0.1</v>
      </c>
      <c r="H133">
        <v>0.15</v>
      </c>
      <c r="I133">
        <v>0.6</v>
      </c>
      <c r="J133">
        <v>0.38</v>
      </c>
      <c r="K133">
        <v>0.45</v>
      </c>
      <c r="L133" t="s">
        <v>6</v>
      </c>
      <c r="M133" t="s">
        <v>18</v>
      </c>
    </row>
    <row r="134" spans="1:13" x14ac:dyDescent="0.25">
      <c r="A134" t="s">
        <v>5</v>
      </c>
      <c r="B134" t="s">
        <v>134</v>
      </c>
      <c r="C134">
        <v>2040</v>
      </c>
      <c r="D134">
        <v>233</v>
      </c>
      <c r="E134">
        <v>0.39</v>
      </c>
      <c r="F134">
        <v>0.41</v>
      </c>
      <c r="G134">
        <v>0.1</v>
      </c>
      <c r="H134">
        <v>0.14000000000000001</v>
      </c>
      <c r="I134">
        <v>0.59</v>
      </c>
      <c r="J134">
        <v>0.35</v>
      </c>
      <c r="K134">
        <v>0.46</v>
      </c>
      <c r="L134" t="s">
        <v>6</v>
      </c>
      <c r="M134" t="s">
        <v>18</v>
      </c>
    </row>
    <row r="135" spans="1:13" x14ac:dyDescent="0.25">
      <c r="A135" t="s">
        <v>5</v>
      </c>
      <c r="B135" t="s">
        <v>134</v>
      </c>
      <c r="C135">
        <v>2045</v>
      </c>
      <c r="D135">
        <v>210</v>
      </c>
      <c r="E135">
        <v>0.39</v>
      </c>
      <c r="F135">
        <v>0.43</v>
      </c>
      <c r="G135">
        <v>0.11</v>
      </c>
      <c r="H135">
        <v>0.14000000000000001</v>
      </c>
      <c r="I135">
        <v>0.59</v>
      </c>
      <c r="J135">
        <v>0.33</v>
      </c>
      <c r="K135">
        <v>0.47</v>
      </c>
      <c r="L135" t="s">
        <v>6</v>
      </c>
      <c r="M135" t="s">
        <v>18</v>
      </c>
    </row>
    <row r="136" spans="1:13" x14ac:dyDescent="0.25">
      <c r="A136" t="s">
        <v>5</v>
      </c>
      <c r="B136" t="s">
        <v>134</v>
      </c>
      <c r="C136">
        <v>2050</v>
      </c>
      <c r="D136">
        <v>233</v>
      </c>
      <c r="E136">
        <v>0.39</v>
      </c>
      <c r="F136">
        <v>0.39</v>
      </c>
      <c r="G136">
        <v>0.12</v>
      </c>
      <c r="H136">
        <v>0.13</v>
      </c>
      <c r="I136">
        <v>0.6</v>
      </c>
      <c r="J136">
        <v>0.31</v>
      </c>
      <c r="K136">
        <v>0.49</v>
      </c>
      <c r="L136" t="s">
        <v>6</v>
      </c>
      <c r="M136" t="s">
        <v>18</v>
      </c>
    </row>
    <row r="137" spans="1:13" x14ac:dyDescent="0.25">
      <c r="A137" t="s">
        <v>7</v>
      </c>
      <c r="B137" t="s">
        <v>134</v>
      </c>
      <c r="C137">
        <v>2020</v>
      </c>
      <c r="D137">
        <v>102</v>
      </c>
      <c r="E137">
        <v>0.44</v>
      </c>
      <c r="F137">
        <v>0.46</v>
      </c>
      <c r="G137">
        <v>0.06</v>
      </c>
      <c r="H137">
        <v>0.28999999999999998</v>
      </c>
      <c r="I137">
        <v>0.49</v>
      </c>
      <c r="J137">
        <v>0.41</v>
      </c>
      <c r="K137">
        <v>0.48</v>
      </c>
      <c r="L137" t="s">
        <v>8</v>
      </c>
      <c r="M137" t="s">
        <v>18</v>
      </c>
    </row>
    <row r="138" spans="1:13" x14ac:dyDescent="0.25">
      <c r="A138" t="s">
        <v>7</v>
      </c>
      <c r="B138" t="s">
        <v>134</v>
      </c>
      <c r="C138">
        <v>2025</v>
      </c>
      <c r="D138">
        <v>96</v>
      </c>
      <c r="E138">
        <v>0.38</v>
      </c>
      <c r="F138">
        <v>0.42</v>
      </c>
      <c r="G138">
        <v>0.14000000000000001</v>
      </c>
      <c r="H138">
        <v>0</v>
      </c>
      <c r="I138">
        <v>0.52</v>
      </c>
      <c r="J138">
        <v>0.34</v>
      </c>
      <c r="K138">
        <v>0.46</v>
      </c>
      <c r="L138" t="s">
        <v>8</v>
      </c>
      <c r="M138" t="s">
        <v>18</v>
      </c>
    </row>
    <row r="139" spans="1:13" x14ac:dyDescent="0.25">
      <c r="A139" t="s">
        <v>7</v>
      </c>
      <c r="B139" t="s">
        <v>134</v>
      </c>
      <c r="C139">
        <v>2030</v>
      </c>
      <c r="D139">
        <v>102</v>
      </c>
      <c r="E139">
        <v>0.39</v>
      </c>
      <c r="F139">
        <v>0.43</v>
      </c>
      <c r="G139">
        <v>0.11</v>
      </c>
      <c r="H139">
        <v>0</v>
      </c>
      <c r="I139">
        <v>0.52</v>
      </c>
      <c r="J139">
        <v>0.34</v>
      </c>
      <c r="K139">
        <v>0.45</v>
      </c>
      <c r="L139" t="s">
        <v>8</v>
      </c>
      <c r="M139" t="s">
        <v>18</v>
      </c>
    </row>
    <row r="140" spans="1:13" x14ac:dyDescent="0.25">
      <c r="A140" t="s">
        <v>7</v>
      </c>
      <c r="B140" t="s">
        <v>134</v>
      </c>
      <c r="C140">
        <v>2035</v>
      </c>
      <c r="D140">
        <v>96</v>
      </c>
      <c r="E140">
        <v>0.39</v>
      </c>
      <c r="F140">
        <v>0.42</v>
      </c>
      <c r="G140">
        <v>0.09</v>
      </c>
      <c r="H140">
        <v>0.21</v>
      </c>
      <c r="I140">
        <v>0.52</v>
      </c>
      <c r="J140">
        <v>0.34</v>
      </c>
      <c r="K140">
        <v>0.45</v>
      </c>
      <c r="L140" t="s">
        <v>8</v>
      </c>
      <c r="M140" t="s">
        <v>18</v>
      </c>
    </row>
    <row r="141" spans="1:13" x14ac:dyDescent="0.25">
      <c r="A141" t="s">
        <v>7</v>
      </c>
      <c r="B141" t="s">
        <v>134</v>
      </c>
      <c r="C141">
        <v>2040</v>
      </c>
      <c r="D141">
        <v>102</v>
      </c>
      <c r="E141">
        <v>0.38</v>
      </c>
      <c r="F141">
        <v>0.37</v>
      </c>
      <c r="G141">
        <v>0.09</v>
      </c>
      <c r="H141">
        <v>0.22</v>
      </c>
      <c r="I141">
        <v>0.56000000000000005</v>
      </c>
      <c r="J141">
        <v>0.31</v>
      </c>
      <c r="K141">
        <v>0.45</v>
      </c>
      <c r="L141" t="s">
        <v>8</v>
      </c>
      <c r="M141" t="s">
        <v>18</v>
      </c>
    </row>
    <row r="142" spans="1:13" x14ac:dyDescent="0.25">
      <c r="A142" t="s">
        <v>7</v>
      </c>
      <c r="B142" t="s">
        <v>134</v>
      </c>
      <c r="C142">
        <v>2045</v>
      </c>
      <c r="D142">
        <v>96</v>
      </c>
      <c r="E142">
        <v>0.37</v>
      </c>
      <c r="F142">
        <v>0.38</v>
      </c>
      <c r="G142">
        <v>0.1</v>
      </c>
      <c r="H142">
        <v>0.22</v>
      </c>
      <c r="I142">
        <v>0.56000000000000005</v>
      </c>
      <c r="J142">
        <v>0.28000000000000003</v>
      </c>
      <c r="K142">
        <v>0.45</v>
      </c>
      <c r="L142" t="s">
        <v>8</v>
      </c>
      <c r="M142" t="s">
        <v>18</v>
      </c>
    </row>
    <row r="143" spans="1:13" x14ac:dyDescent="0.25">
      <c r="A143" t="s">
        <v>7</v>
      </c>
      <c r="B143" t="s">
        <v>134</v>
      </c>
      <c r="C143">
        <v>2050</v>
      </c>
      <c r="D143">
        <v>102</v>
      </c>
      <c r="E143">
        <v>0.36</v>
      </c>
      <c r="F143">
        <v>0.34</v>
      </c>
      <c r="G143">
        <v>0.1</v>
      </c>
      <c r="H143">
        <v>0.22</v>
      </c>
      <c r="I143">
        <v>0.55000000000000004</v>
      </c>
      <c r="J143">
        <v>0.27</v>
      </c>
      <c r="K143">
        <v>0.44</v>
      </c>
      <c r="L143" t="s">
        <v>8</v>
      </c>
      <c r="M143" t="s">
        <v>18</v>
      </c>
    </row>
    <row r="144" spans="1:13" x14ac:dyDescent="0.25">
      <c r="A144" t="s">
        <v>9</v>
      </c>
      <c r="B144" t="s">
        <v>134</v>
      </c>
      <c r="C144">
        <v>2020</v>
      </c>
      <c r="D144">
        <v>61</v>
      </c>
      <c r="E144">
        <v>0.45</v>
      </c>
      <c r="F144">
        <v>0.46</v>
      </c>
      <c r="G144">
        <v>0.03</v>
      </c>
      <c r="H144">
        <v>0.35</v>
      </c>
      <c r="I144">
        <v>0.52</v>
      </c>
      <c r="J144">
        <v>0.42</v>
      </c>
      <c r="K144">
        <v>0.47</v>
      </c>
      <c r="L144" t="s">
        <v>10</v>
      </c>
      <c r="M144" t="s">
        <v>18</v>
      </c>
    </row>
    <row r="145" spans="1:13" x14ac:dyDescent="0.25">
      <c r="A145" t="s">
        <v>9</v>
      </c>
      <c r="B145" t="s">
        <v>134</v>
      </c>
      <c r="C145">
        <v>2025</v>
      </c>
      <c r="D145">
        <v>56</v>
      </c>
      <c r="E145">
        <v>0.44</v>
      </c>
      <c r="F145">
        <v>0.44</v>
      </c>
      <c r="G145">
        <v>0.02</v>
      </c>
      <c r="H145">
        <v>0.4</v>
      </c>
      <c r="I145">
        <v>0.49</v>
      </c>
      <c r="J145">
        <v>0.43</v>
      </c>
      <c r="K145">
        <v>0.45</v>
      </c>
      <c r="L145" t="s">
        <v>10</v>
      </c>
      <c r="M145" t="s">
        <v>18</v>
      </c>
    </row>
    <row r="146" spans="1:13" x14ac:dyDescent="0.25">
      <c r="A146" t="s">
        <v>9</v>
      </c>
      <c r="B146" t="s">
        <v>134</v>
      </c>
      <c r="C146">
        <v>2030</v>
      </c>
      <c r="D146">
        <v>61</v>
      </c>
      <c r="E146">
        <v>0.44</v>
      </c>
      <c r="F146">
        <v>0.44</v>
      </c>
      <c r="G146">
        <v>0.03</v>
      </c>
      <c r="H146">
        <v>0.36</v>
      </c>
      <c r="I146">
        <v>0.5</v>
      </c>
      <c r="J146">
        <v>0.42</v>
      </c>
      <c r="K146">
        <v>0.45</v>
      </c>
      <c r="L146" t="s">
        <v>10</v>
      </c>
      <c r="M146" t="s">
        <v>18</v>
      </c>
    </row>
    <row r="147" spans="1:13" x14ac:dyDescent="0.25">
      <c r="A147" t="s">
        <v>9</v>
      </c>
      <c r="B147" t="s">
        <v>134</v>
      </c>
      <c r="C147">
        <v>2035</v>
      </c>
      <c r="D147">
        <v>56</v>
      </c>
      <c r="E147">
        <v>0.43</v>
      </c>
      <c r="F147">
        <v>0.44</v>
      </c>
      <c r="G147">
        <v>0.04</v>
      </c>
      <c r="H147">
        <v>0.31</v>
      </c>
      <c r="I147">
        <v>0.52</v>
      </c>
      <c r="J147">
        <v>0.41</v>
      </c>
      <c r="K147">
        <v>0.45</v>
      </c>
      <c r="L147" t="s">
        <v>10</v>
      </c>
      <c r="M147" t="s">
        <v>18</v>
      </c>
    </row>
    <row r="148" spans="1:13" x14ac:dyDescent="0.25">
      <c r="A148" t="s">
        <v>9</v>
      </c>
      <c r="B148" t="s">
        <v>134</v>
      </c>
      <c r="C148">
        <v>2040</v>
      </c>
      <c r="D148">
        <v>61</v>
      </c>
      <c r="E148">
        <v>0.42</v>
      </c>
      <c r="F148">
        <v>0.42</v>
      </c>
      <c r="G148">
        <v>0.05</v>
      </c>
      <c r="H148">
        <v>0.28999999999999998</v>
      </c>
      <c r="I148">
        <v>0.53</v>
      </c>
      <c r="J148">
        <v>0.4</v>
      </c>
      <c r="K148">
        <v>0.44</v>
      </c>
      <c r="L148" t="s">
        <v>10</v>
      </c>
      <c r="M148" t="s">
        <v>18</v>
      </c>
    </row>
    <row r="149" spans="1:13" x14ac:dyDescent="0.25">
      <c r="A149" t="s">
        <v>9</v>
      </c>
      <c r="B149" t="s">
        <v>134</v>
      </c>
      <c r="C149">
        <v>2045</v>
      </c>
      <c r="D149">
        <v>56</v>
      </c>
      <c r="E149">
        <v>0.41</v>
      </c>
      <c r="F149">
        <v>0.41</v>
      </c>
      <c r="G149">
        <v>0.05</v>
      </c>
      <c r="H149">
        <v>0.27</v>
      </c>
      <c r="I149">
        <v>0.54</v>
      </c>
      <c r="J149">
        <v>0.39</v>
      </c>
      <c r="K149">
        <v>0.44</v>
      </c>
      <c r="L149" t="s">
        <v>10</v>
      </c>
      <c r="M149" t="s">
        <v>18</v>
      </c>
    </row>
    <row r="150" spans="1:13" x14ac:dyDescent="0.25">
      <c r="A150" t="s">
        <v>9</v>
      </c>
      <c r="B150" t="s">
        <v>134</v>
      </c>
      <c r="C150">
        <v>2050</v>
      </c>
      <c r="D150">
        <v>61</v>
      </c>
      <c r="E150">
        <v>0.4</v>
      </c>
      <c r="F150">
        <v>0.4</v>
      </c>
      <c r="G150">
        <v>0.06</v>
      </c>
      <c r="H150">
        <v>0.25</v>
      </c>
      <c r="I150">
        <v>0.55000000000000004</v>
      </c>
      <c r="J150">
        <v>0.37</v>
      </c>
      <c r="K150">
        <v>0.43</v>
      </c>
      <c r="L150" t="s">
        <v>10</v>
      </c>
      <c r="M150" t="s">
        <v>18</v>
      </c>
    </row>
    <row r="151" spans="1:13" x14ac:dyDescent="0.25">
      <c r="A151" t="s">
        <v>0</v>
      </c>
      <c r="B151" t="s">
        <v>134</v>
      </c>
      <c r="C151">
        <v>2020</v>
      </c>
      <c r="D151">
        <v>64</v>
      </c>
      <c r="E151">
        <v>0.54</v>
      </c>
      <c r="F151">
        <v>0.54</v>
      </c>
      <c r="G151">
        <v>0.04</v>
      </c>
      <c r="H151">
        <v>0.47</v>
      </c>
      <c r="I151">
        <v>0.69</v>
      </c>
      <c r="J151">
        <v>0.51</v>
      </c>
      <c r="K151">
        <v>0.56999999999999995</v>
      </c>
      <c r="L151" t="s">
        <v>1</v>
      </c>
      <c r="M151" t="s">
        <v>21</v>
      </c>
    </row>
    <row r="152" spans="1:13" x14ac:dyDescent="0.25">
      <c r="A152" t="s">
        <v>0</v>
      </c>
      <c r="B152" t="s">
        <v>134</v>
      </c>
      <c r="C152">
        <v>2025</v>
      </c>
      <c r="D152">
        <v>64</v>
      </c>
      <c r="E152">
        <v>0.56000000000000005</v>
      </c>
      <c r="F152">
        <v>0.56000000000000005</v>
      </c>
      <c r="G152">
        <v>7.0000000000000007E-2</v>
      </c>
      <c r="H152">
        <v>0.45</v>
      </c>
      <c r="I152">
        <v>0.76</v>
      </c>
      <c r="J152">
        <v>0.5</v>
      </c>
      <c r="K152">
        <v>0.56000000000000005</v>
      </c>
      <c r="L152" t="s">
        <v>1</v>
      </c>
      <c r="M152" t="s">
        <v>21</v>
      </c>
    </row>
    <row r="153" spans="1:13" x14ac:dyDescent="0.25">
      <c r="A153" t="s">
        <v>0</v>
      </c>
      <c r="B153" t="s">
        <v>134</v>
      </c>
      <c r="C153">
        <v>2030</v>
      </c>
      <c r="D153">
        <v>64</v>
      </c>
      <c r="E153">
        <v>0.53</v>
      </c>
      <c r="F153">
        <v>0.52</v>
      </c>
      <c r="G153">
        <v>0.08</v>
      </c>
      <c r="H153">
        <v>0.37</v>
      </c>
      <c r="I153">
        <v>0.75</v>
      </c>
      <c r="J153">
        <v>0.49</v>
      </c>
      <c r="K153">
        <v>0.55000000000000004</v>
      </c>
      <c r="L153" t="s">
        <v>1</v>
      </c>
      <c r="M153" t="s">
        <v>21</v>
      </c>
    </row>
    <row r="154" spans="1:13" x14ac:dyDescent="0.25">
      <c r="A154" t="s">
        <v>0</v>
      </c>
      <c r="B154" t="s">
        <v>134</v>
      </c>
      <c r="C154">
        <v>2035</v>
      </c>
      <c r="D154">
        <v>64</v>
      </c>
      <c r="E154">
        <v>0.51</v>
      </c>
      <c r="F154">
        <v>0.49</v>
      </c>
      <c r="G154">
        <v>0.09</v>
      </c>
      <c r="H154">
        <v>0.35</v>
      </c>
      <c r="I154">
        <v>0.77</v>
      </c>
      <c r="J154">
        <v>0.47</v>
      </c>
      <c r="K154">
        <v>0.53</v>
      </c>
      <c r="L154" t="s">
        <v>1</v>
      </c>
      <c r="M154" t="s">
        <v>21</v>
      </c>
    </row>
    <row r="155" spans="1:13" x14ac:dyDescent="0.25">
      <c r="A155" t="s">
        <v>0</v>
      </c>
      <c r="B155" t="s">
        <v>134</v>
      </c>
      <c r="C155">
        <v>2040</v>
      </c>
      <c r="D155">
        <v>64</v>
      </c>
      <c r="E155">
        <v>0.48</v>
      </c>
      <c r="F155">
        <v>0.46</v>
      </c>
      <c r="G155">
        <v>0.09</v>
      </c>
      <c r="H155">
        <v>0.34</v>
      </c>
      <c r="I155">
        <v>0.75</v>
      </c>
      <c r="J155">
        <v>0.44</v>
      </c>
      <c r="K155">
        <v>0.51</v>
      </c>
      <c r="L155" t="s">
        <v>1</v>
      </c>
      <c r="M155" t="s">
        <v>21</v>
      </c>
    </row>
    <row r="156" spans="1:13" x14ac:dyDescent="0.25">
      <c r="A156" t="s">
        <v>0</v>
      </c>
      <c r="B156" t="s">
        <v>134</v>
      </c>
      <c r="C156">
        <v>2045</v>
      </c>
      <c r="D156">
        <v>64</v>
      </c>
      <c r="E156">
        <v>0.46</v>
      </c>
      <c r="F156">
        <v>0.43</v>
      </c>
      <c r="G156">
        <v>0.1</v>
      </c>
      <c r="H156">
        <v>0.33</v>
      </c>
      <c r="I156">
        <v>0.73</v>
      </c>
      <c r="J156">
        <v>0.41</v>
      </c>
      <c r="K156">
        <v>0.49</v>
      </c>
      <c r="L156" t="s">
        <v>1</v>
      </c>
      <c r="M156" t="s">
        <v>21</v>
      </c>
    </row>
    <row r="157" spans="1:13" x14ac:dyDescent="0.25">
      <c r="A157" t="s">
        <v>0</v>
      </c>
      <c r="B157" t="s">
        <v>134</v>
      </c>
      <c r="C157">
        <v>2050</v>
      </c>
      <c r="D157">
        <v>64</v>
      </c>
      <c r="E157">
        <v>0.45</v>
      </c>
      <c r="F157">
        <v>0.42</v>
      </c>
      <c r="G157">
        <v>0.1</v>
      </c>
      <c r="H157">
        <v>0.31</v>
      </c>
      <c r="I157">
        <v>0.72</v>
      </c>
      <c r="J157">
        <v>0.38</v>
      </c>
      <c r="K157">
        <v>0.48</v>
      </c>
      <c r="L157" t="s">
        <v>1</v>
      </c>
      <c r="M157" t="s">
        <v>21</v>
      </c>
    </row>
    <row r="158" spans="1:13" x14ac:dyDescent="0.25">
      <c r="A158" t="s">
        <v>2</v>
      </c>
      <c r="B158" t="s">
        <v>134</v>
      </c>
      <c r="C158">
        <v>2020</v>
      </c>
      <c r="D158">
        <v>97</v>
      </c>
      <c r="E158">
        <v>0.53</v>
      </c>
      <c r="F158">
        <v>0.52</v>
      </c>
      <c r="G158">
        <v>0.05</v>
      </c>
      <c r="H158">
        <v>0.47</v>
      </c>
      <c r="I158">
        <v>0.69</v>
      </c>
      <c r="J158">
        <v>0.51</v>
      </c>
      <c r="K158">
        <v>0.56999999999999995</v>
      </c>
      <c r="L158" t="s">
        <v>3</v>
      </c>
      <c r="M158" t="s">
        <v>21</v>
      </c>
    </row>
    <row r="159" spans="1:13" x14ac:dyDescent="0.25">
      <c r="A159" t="s">
        <v>2</v>
      </c>
      <c r="B159" t="s">
        <v>134</v>
      </c>
      <c r="C159">
        <v>2025</v>
      </c>
      <c r="D159">
        <v>86</v>
      </c>
      <c r="E159">
        <v>0.54</v>
      </c>
      <c r="F159">
        <v>0.54</v>
      </c>
      <c r="G159">
        <v>0.05</v>
      </c>
      <c r="H159">
        <v>0.45</v>
      </c>
      <c r="I159">
        <v>0.8</v>
      </c>
      <c r="J159">
        <v>0.51</v>
      </c>
      <c r="K159">
        <v>0.56000000000000005</v>
      </c>
      <c r="L159" t="s">
        <v>3</v>
      </c>
      <c r="M159" t="s">
        <v>21</v>
      </c>
    </row>
    <row r="160" spans="1:13" x14ac:dyDescent="0.25">
      <c r="A160" t="s">
        <v>2</v>
      </c>
      <c r="B160" t="s">
        <v>134</v>
      </c>
      <c r="C160">
        <v>2030</v>
      </c>
      <c r="D160">
        <v>97</v>
      </c>
      <c r="E160">
        <v>0.53</v>
      </c>
      <c r="F160">
        <v>0.52</v>
      </c>
      <c r="G160">
        <v>0.05</v>
      </c>
      <c r="H160">
        <v>0.42</v>
      </c>
      <c r="I160">
        <v>0.83</v>
      </c>
      <c r="J160">
        <v>0.51</v>
      </c>
      <c r="K160">
        <v>0.56000000000000005</v>
      </c>
      <c r="L160" t="s">
        <v>3</v>
      </c>
      <c r="M160" t="s">
        <v>21</v>
      </c>
    </row>
    <row r="161" spans="1:13" x14ac:dyDescent="0.25">
      <c r="A161" t="s">
        <v>2</v>
      </c>
      <c r="B161" t="s">
        <v>134</v>
      </c>
      <c r="C161">
        <v>2035</v>
      </c>
      <c r="D161">
        <v>86</v>
      </c>
      <c r="E161">
        <v>0.52</v>
      </c>
      <c r="F161">
        <v>0.52</v>
      </c>
      <c r="G161">
        <v>0.05</v>
      </c>
      <c r="H161">
        <v>0.4</v>
      </c>
      <c r="I161">
        <v>0.74</v>
      </c>
      <c r="J161">
        <v>0.5</v>
      </c>
      <c r="K161">
        <v>0.54</v>
      </c>
      <c r="L161" t="s">
        <v>3</v>
      </c>
      <c r="M161" t="s">
        <v>21</v>
      </c>
    </row>
    <row r="162" spans="1:13" x14ac:dyDescent="0.25">
      <c r="A162" t="s">
        <v>2</v>
      </c>
      <c r="B162" t="s">
        <v>134</v>
      </c>
      <c r="C162">
        <v>2040</v>
      </c>
      <c r="D162">
        <v>97</v>
      </c>
      <c r="E162">
        <v>0.5</v>
      </c>
      <c r="F162">
        <v>0.5</v>
      </c>
      <c r="G162">
        <v>0.06</v>
      </c>
      <c r="H162">
        <v>0.37</v>
      </c>
      <c r="I162">
        <v>0.71</v>
      </c>
      <c r="J162">
        <v>0.47</v>
      </c>
      <c r="K162">
        <v>0.52</v>
      </c>
      <c r="L162" t="s">
        <v>3</v>
      </c>
      <c r="M162" t="s">
        <v>21</v>
      </c>
    </row>
    <row r="163" spans="1:13" x14ac:dyDescent="0.25">
      <c r="A163" t="s">
        <v>2</v>
      </c>
      <c r="B163" t="s">
        <v>134</v>
      </c>
      <c r="C163">
        <v>2045</v>
      </c>
      <c r="D163">
        <v>86</v>
      </c>
      <c r="E163">
        <v>0.49</v>
      </c>
      <c r="F163">
        <v>0.49</v>
      </c>
      <c r="G163">
        <v>0.06</v>
      </c>
      <c r="H163">
        <v>0.35</v>
      </c>
      <c r="I163">
        <v>0.71</v>
      </c>
      <c r="J163">
        <v>0.45</v>
      </c>
      <c r="K163">
        <v>0.53</v>
      </c>
      <c r="L163" t="s">
        <v>3</v>
      </c>
      <c r="M163" t="s">
        <v>21</v>
      </c>
    </row>
    <row r="164" spans="1:13" x14ac:dyDescent="0.25">
      <c r="A164" t="s">
        <v>2</v>
      </c>
      <c r="B164" t="s">
        <v>134</v>
      </c>
      <c r="C164">
        <v>2050</v>
      </c>
      <c r="D164">
        <v>97</v>
      </c>
      <c r="E164">
        <v>0.47</v>
      </c>
      <c r="F164">
        <v>0.47</v>
      </c>
      <c r="G164">
        <v>7.0000000000000007E-2</v>
      </c>
      <c r="H164">
        <v>0.35</v>
      </c>
      <c r="I164">
        <v>0.74</v>
      </c>
      <c r="J164">
        <v>0.43</v>
      </c>
      <c r="K164">
        <v>0.5</v>
      </c>
      <c r="L164" t="s">
        <v>3</v>
      </c>
      <c r="M164" t="s">
        <v>21</v>
      </c>
    </row>
    <row r="165" spans="1:13" x14ac:dyDescent="0.25">
      <c r="A165" t="s">
        <v>5</v>
      </c>
      <c r="B165" t="s">
        <v>134</v>
      </c>
      <c r="C165">
        <v>2020</v>
      </c>
      <c r="D165">
        <v>233</v>
      </c>
      <c r="E165">
        <v>0.54</v>
      </c>
      <c r="F165">
        <v>0.53</v>
      </c>
      <c r="G165">
        <v>0.05</v>
      </c>
      <c r="H165">
        <v>0.47</v>
      </c>
      <c r="I165">
        <v>0.69</v>
      </c>
      <c r="J165">
        <v>0.51</v>
      </c>
      <c r="K165">
        <v>0.56999999999999995</v>
      </c>
      <c r="L165" t="s">
        <v>6</v>
      </c>
      <c r="M165" t="s">
        <v>21</v>
      </c>
    </row>
    <row r="166" spans="1:13" x14ac:dyDescent="0.25">
      <c r="A166" t="s">
        <v>5</v>
      </c>
      <c r="B166" t="s">
        <v>134</v>
      </c>
      <c r="C166">
        <v>2025</v>
      </c>
      <c r="D166">
        <v>210</v>
      </c>
      <c r="E166">
        <v>0.57999999999999996</v>
      </c>
      <c r="F166">
        <v>0.56000000000000005</v>
      </c>
      <c r="G166">
        <v>0.09</v>
      </c>
      <c r="H166">
        <v>0.4</v>
      </c>
      <c r="I166">
        <v>0.87</v>
      </c>
      <c r="J166">
        <v>0.53</v>
      </c>
      <c r="K166">
        <v>0.57999999999999996</v>
      </c>
      <c r="L166" t="s">
        <v>6</v>
      </c>
      <c r="M166" t="s">
        <v>21</v>
      </c>
    </row>
    <row r="167" spans="1:13" x14ac:dyDescent="0.25">
      <c r="A167" t="s">
        <v>5</v>
      </c>
      <c r="B167" t="s">
        <v>134</v>
      </c>
      <c r="C167">
        <v>2030</v>
      </c>
      <c r="D167">
        <v>233</v>
      </c>
      <c r="E167">
        <v>0.56000000000000005</v>
      </c>
      <c r="F167">
        <v>0.53</v>
      </c>
      <c r="G167">
        <v>0.08</v>
      </c>
      <c r="H167">
        <v>0.31</v>
      </c>
      <c r="I167">
        <v>0.88</v>
      </c>
      <c r="J167">
        <v>0.52</v>
      </c>
      <c r="K167">
        <v>0.59</v>
      </c>
      <c r="L167" t="s">
        <v>6</v>
      </c>
      <c r="M167" t="s">
        <v>21</v>
      </c>
    </row>
    <row r="168" spans="1:13" x14ac:dyDescent="0.25">
      <c r="A168" t="s">
        <v>5</v>
      </c>
      <c r="B168" t="s">
        <v>134</v>
      </c>
      <c r="C168">
        <v>2035</v>
      </c>
      <c r="D168">
        <v>210</v>
      </c>
      <c r="E168">
        <v>0.55000000000000004</v>
      </c>
      <c r="F168">
        <v>0.52</v>
      </c>
      <c r="G168">
        <v>0.09</v>
      </c>
      <c r="H168">
        <v>0.39</v>
      </c>
      <c r="I168">
        <v>0.81</v>
      </c>
      <c r="J168">
        <v>0.51</v>
      </c>
      <c r="K168">
        <v>0.57999999999999996</v>
      </c>
      <c r="L168" t="s">
        <v>6</v>
      </c>
      <c r="M168" t="s">
        <v>21</v>
      </c>
    </row>
    <row r="169" spans="1:13" x14ac:dyDescent="0.25">
      <c r="A169" t="s">
        <v>5</v>
      </c>
      <c r="B169" t="s">
        <v>134</v>
      </c>
      <c r="C169">
        <v>2040</v>
      </c>
      <c r="D169">
        <v>233</v>
      </c>
      <c r="E169">
        <v>0.55000000000000004</v>
      </c>
      <c r="F169">
        <v>0.52</v>
      </c>
      <c r="G169">
        <v>0.1</v>
      </c>
      <c r="H169">
        <v>0.38</v>
      </c>
      <c r="I169">
        <v>0.8</v>
      </c>
      <c r="J169">
        <v>0.48</v>
      </c>
      <c r="K169">
        <v>0.64</v>
      </c>
      <c r="L169" t="s">
        <v>6</v>
      </c>
      <c r="M169" t="s">
        <v>21</v>
      </c>
    </row>
    <row r="170" spans="1:13" x14ac:dyDescent="0.25">
      <c r="A170" t="s">
        <v>5</v>
      </c>
      <c r="B170" t="s">
        <v>134</v>
      </c>
      <c r="C170">
        <v>2045</v>
      </c>
      <c r="D170">
        <v>210</v>
      </c>
      <c r="E170">
        <v>0.53</v>
      </c>
      <c r="F170">
        <v>0.5</v>
      </c>
      <c r="G170">
        <v>0.11</v>
      </c>
      <c r="H170">
        <v>0.35</v>
      </c>
      <c r="I170">
        <v>0.8</v>
      </c>
      <c r="J170">
        <v>0.45</v>
      </c>
      <c r="K170">
        <v>0.56999999999999995</v>
      </c>
      <c r="L170" t="s">
        <v>6</v>
      </c>
      <c r="M170" t="s">
        <v>21</v>
      </c>
    </row>
    <row r="171" spans="1:13" x14ac:dyDescent="0.25">
      <c r="A171" t="s">
        <v>5</v>
      </c>
      <c r="B171" t="s">
        <v>134</v>
      </c>
      <c r="C171">
        <v>2050</v>
      </c>
      <c r="D171">
        <v>233</v>
      </c>
      <c r="E171">
        <v>0.53</v>
      </c>
      <c r="F171">
        <v>0.49</v>
      </c>
      <c r="G171">
        <v>0.13</v>
      </c>
      <c r="H171">
        <v>0.33</v>
      </c>
      <c r="I171">
        <v>0.79</v>
      </c>
      <c r="J171">
        <v>0.43</v>
      </c>
      <c r="K171">
        <v>0.65</v>
      </c>
      <c r="L171" t="s">
        <v>6</v>
      </c>
      <c r="M171" t="s">
        <v>21</v>
      </c>
    </row>
    <row r="172" spans="1:13" x14ac:dyDescent="0.25">
      <c r="A172" t="s">
        <v>7</v>
      </c>
      <c r="B172" t="s">
        <v>134</v>
      </c>
      <c r="C172">
        <v>2020</v>
      </c>
      <c r="D172">
        <v>100</v>
      </c>
      <c r="E172">
        <v>0.55000000000000004</v>
      </c>
      <c r="F172">
        <v>0.52</v>
      </c>
      <c r="G172">
        <v>0.06</v>
      </c>
      <c r="H172">
        <v>0.49</v>
      </c>
      <c r="I172">
        <v>0.69</v>
      </c>
      <c r="J172">
        <v>0.51</v>
      </c>
      <c r="K172">
        <v>0.55000000000000004</v>
      </c>
      <c r="L172" t="s">
        <v>8</v>
      </c>
      <c r="M172" t="s">
        <v>21</v>
      </c>
    </row>
    <row r="173" spans="1:13" x14ac:dyDescent="0.25">
      <c r="A173" t="s">
        <v>7</v>
      </c>
      <c r="B173" t="s">
        <v>134</v>
      </c>
      <c r="C173">
        <v>2025</v>
      </c>
      <c r="D173">
        <v>94</v>
      </c>
      <c r="E173">
        <v>0.57999999999999996</v>
      </c>
      <c r="F173">
        <v>0.55000000000000004</v>
      </c>
      <c r="G173">
        <v>0.1</v>
      </c>
      <c r="H173">
        <v>0.17</v>
      </c>
      <c r="I173">
        <v>0.87</v>
      </c>
      <c r="J173">
        <v>0.52</v>
      </c>
      <c r="K173">
        <v>0.62</v>
      </c>
      <c r="L173" t="s">
        <v>8</v>
      </c>
      <c r="M173" t="s">
        <v>21</v>
      </c>
    </row>
    <row r="174" spans="1:13" x14ac:dyDescent="0.25">
      <c r="A174" t="s">
        <v>7</v>
      </c>
      <c r="B174" t="s">
        <v>134</v>
      </c>
      <c r="C174">
        <v>2030</v>
      </c>
      <c r="D174">
        <v>100</v>
      </c>
      <c r="E174">
        <v>0.56999999999999995</v>
      </c>
      <c r="F174">
        <v>0.55000000000000004</v>
      </c>
      <c r="G174">
        <v>0.09</v>
      </c>
      <c r="H174">
        <v>0.18</v>
      </c>
      <c r="I174">
        <v>0.89</v>
      </c>
      <c r="J174">
        <v>0.52</v>
      </c>
      <c r="K174">
        <v>0.61</v>
      </c>
      <c r="L174" t="s">
        <v>8</v>
      </c>
      <c r="M174" t="s">
        <v>21</v>
      </c>
    </row>
    <row r="175" spans="1:13" x14ac:dyDescent="0.25">
      <c r="A175" t="s">
        <v>7</v>
      </c>
      <c r="B175" t="s">
        <v>134</v>
      </c>
      <c r="C175">
        <v>2035</v>
      </c>
      <c r="D175">
        <v>94</v>
      </c>
      <c r="E175">
        <v>0.57999999999999996</v>
      </c>
      <c r="F175">
        <v>0.56000000000000005</v>
      </c>
      <c r="G175">
        <v>0.08</v>
      </c>
      <c r="H175">
        <v>0.46</v>
      </c>
      <c r="I175">
        <v>0.74</v>
      </c>
      <c r="J175">
        <v>0.51</v>
      </c>
      <c r="K175">
        <v>0.6</v>
      </c>
      <c r="L175" t="s">
        <v>8</v>
      </c>
      <c r="M175" t="s">
        <v>21</v>
      </c>
    </row>
    <row r="176" spans="1:13" x14ac:dyDescent="0.25">
      <c r="A176" t="s">
        <v>7</v>
      </c>
      <c r="B176" t="s">
        <v>134</v>
      </c>
      <c r="C176">
        <v>2040</v>
      </c>
      <c r="D176">
        <v>100</v>
      </c>
      <c r="E176">
        <v>0.57999999999999996</v>
      </c>
      <c r="F176">
        <v>0.56999999999999995</v>
      </c>
      <c r="G176">
        <v>0.08</v>
      </c>
      <c r="H176">
        <v>0.41</v>
      </c>
      <c r="I176">
        <v>0.73</v>
      </c>
      <c r="J176">
        <v>0.51</v>
      </c>
      <c r="K176">
        <v>0.64</v>
      </c>
      <c r="L176" t="s">
        <v>8</v>
      </c>
      <c r="M176" t="s">
        <v>21</v>
      </c>
    </row>
    <row r="177" spans="1:13" x14ac:dyDescent="0.25">
      <c r="A177" t="s">
        <v>7</v>
      </c>
      <c r="B177" t="s">
        <v>134</v>
      </c>
      <c r="C177">
        <v>2045</v>
      </c>
      <c r="D177">
        <v>94</v>
      </c>
      <c r="E177">
        <v>0.56999999999999995</v>
      </c>
      <c r="F177">
        <v>0.55000000000000004</v>
      </c>
      <c r="G177">
        <v>0.09</v>
      </c>
      <c r="H177">
        <v>0.4</v>
      </c>
      <c r="I177">
        <v>0.73</v>
      </c>
      <c r="J177">
        <v>0.5</v>
      </c>
      <c r="K177">
        <v>0.63</v>
      </c>
      <c r="L177" t="s">
        <v>8</v>
      </c>
      <c r="M177" t="s">
        <v>21</v>
      </c>
    </row>
    <row r="178" spans="1:13" x14ac:dyDescent="0.25">
      <c r="A178" t="s">
        <v>7</v>
      </c>
      <c r="B178" t="s">
        <v>134</v>
      </c>
      <c r="C178">
        <v>2050</v>
      </c>
      <c r="D178">
        <v>100</v>
      </c>
      <c r="E178">
        <v>0.56999999999999995</v>
      </c>
      <c r="F178">
        <v>0.53</v>
      </c>
      <c r="G178">
        <v>0.1</v>
      </c>
      <c r="H178">
        <v>0.4</v>
      </c>
      <c r="I178">
        <v>0.74</v>
      </c>
      <c r="J178">
        <v>0.5</v>
      </c>
      <c r="K178">
        <v>0.68</v>
      </c>
      <c r="L178" t="s">
        <v>8</v>
      </c>
      <c r="M178" t="s">
        <v>21</v>
      </c>
    </row>
    <row r="179" spans="1:13" x14ac:dyDescent="0.25">
      <c r="A179" t="s">
        <v>9</v>
      </c>
      <c r="B179" t="s">
        <v>134</v>
      </c>
      <c r="C179">
        <v>2020</v>
      </c>
      <c r="D179">
        <v>58</v>
      </c>
      <c r="E179">
        <v>0.54</v>
      </c>
      <c r="F179">
        <v>0.53</v>
      </c>
      <c r="G179">
        <v>0.03</v>
      </c>
      <c r="H179">
        <v>0.47</v>
      </c>
      <c r="I179">
        <v>0.6</v>
      </c>
      <c r="J179">
        <v>0.51</v>
      </c>
      <c r="K179">
        <v>0.56999999999999995</v>
      </c>
      <c r="L179" t="s">
        <v>10</v>
      </c>
      <c r="M179" t="s">
        <v>21</v>
      </c>
    </row>
    <row r="180" spans="1:13" x14ac:dyDescent="0.25">
      <c r="A180" t="s">
        <v>9</v>
      </c>
      <c r="B180" t="s">
        <v>134</v>
      </c>
      <c r="C180">
        <v>2025</v>
      </c>
      <c r="D180">
        <v>53</v>
      </c>
      <c r="E180">
        <v>0.54</v>
      </c>
      <c r="F180">
        <v>0.55000000000000004</v>
      </c>
      <c r="G180">
        <v>0.03</v>
      </c>
      <c r="H180">
        <v>0.45</v>
      </c>
      <c r="I180">
        <v>0.57999999999999996</v>
      </c>
      <c r="J180">
        <v>0.53</v>
      </c>
      <c r="K180">
        <v>0.56000000000000005</v>
      </c>
      <c r="L180" t="s">
        <v>10</v>
      </c>
      <c r="M180" t="s">
        <v>21</v>
      </c>
    </row>
    <row r="181" spans="1:13" x14ac:dyDescent="0.25">
      <c r="A181" t="s">
        <v>9</v>
      </c>
      <c r="B181" t="s">
        <v>134</v>
      </c>
      <c r="C181">
        <v>2030</v>
      </c>
      <c r="D181">
        <v>58</v>
      </c>
      <c r="E181">
        <v>0.54</v>
      </c>
      <c r="F181">
        <v>0.54</v>
      </c>
      <c r="G181">
        <v>0.03</v>
      </c>
      <c r="H181">
        <v>0.47</v>
      </c>
      <c r="I181">
        <v>0.61</v>
      </c>
      <c r="J181">
        <v>0.53</v>
      </c>
      <c r="K181">
        <v>0.56000000000000005</v>
      </c>
      <c r="L181" t="s">
        <v>10</v>
      </c>
      <c r="M181" t="s">
        <v>21</v>
      </c>
    </row>
    <row r="182" spans="1:13" x14ac:dyDescent="0.25">
      <c r="A182" t="s">
        <v>9</v>
      </c>
      <c r="B182" t="s">
        <v>134</v>
      </c>
      <c r="C182">
        <v>2035</v>
      </c>
      <c r="D182">
        <v>53</v>
      </c>
      <c r="E182">
        <v>0.53</v>
      </c>
      <c r="F182">
        <v>0.53</v>
      </c>
      <c r="G182">
        <v>0.03</v>
      </c>
      <c r="H182">
        <v>0.45</v>
      </c>
      <c r="I182">
        <v>0.61</v>
      </c>
      <c r="J182">
        <v>0.52</v>
      </c>
      <c r="K182">
        <v>0.56000000000000005</v>
      </c>
      <c r="L182" t="s">
        <v>10</v>
      </c>
      <c r="M182" t="s">
        <v>21</v>
      </c>
    </row>
    <row r="183" spans="1:13" x14ac:dyDescent="0.25">
      <c r="A183" t="s">
        <v>9</v>
      </c>
      <c r="B183" t="s">
        <v>134</v>
      </c>
      <c r="C183">
        <v>2040</v>
      </c>
      <c r="D183">
        <v>58</v>
      </c>
      <c r="E183">
        <v>0.54</v>
      </c>
      <c r="F183">
        <v>0.54</v>
      </c>
      <c r="G183">
        <v>0.05</v>
      </c>
      <c r="H183">
        <v>0.44</v>
      </c>
      <c r="I183">
        <v>0.67</v>
      </c>
      <c r="J183">
        <v>0.51</v>
      </c>
      <c r="K183">
        <v>0.56999999999999995</v>
      </c>
      <c r="L183" t="s">
        <v>10</v>
      </c>
      <c r="M183" t="s">
        <v>21</v>
      </c>
    </row>
    <row r="184" spans="1:13" x14ac:dyDescent="0.25">
      <c r="A184" t="s">
        <v>9</v>
      </c>
      <c r="B184" t="s">
        <v>134</v>
      </c>
      <c r="C184">
        <v>2045</v>
      </c>
      <c r="D184">
        <v>53</v>
      </c>
      <c r="E184">
        <v>0.53</v>
      </c>
      <c r="F184">
        <v>0.52</v>
      </c>
      <c r="G184">
        <v>0.05</v>
      </c>
      <c r="H184">
        <v>0.43</v>
      </c>
      <c r="I184">
        <v>0.63</v>
      </c>
      <c r="J184">
        <v>0.49</v>
      </c>
      <c r="K184">
        <v>0.56000000000000005</v>
      </c>
      <c r="L184" t="s">
        <v>10</v>
      </c>
      <c r="M184" t="s">
        <v>21</v>
      </c>
    </row>
    <row r="185" spans="1:13" x14ac:dyDescent="0.25">
      <c r="A185" t="s">
        <v>9</v>
      </c>
      <c r="B185" t="s">
        <v>134</v>
      </c>
      <c r="C185">
        <v>2050</v>
      </c>
      <c r="D185">
        <v>58</v>
      </c>
      <c r="E185">
        <v>0.54</v>
      </c>
      <c r="F185">
        <v>0.55000000000000004</v>
      </c>
      <c r="G185">
        <v>7.0000000000000007E-2</v>
      </c>
      <c r="H185">
        <v>0.42</v>
      </c>
      <c r="I185">
        <v>0.69</v>
      </c>
      <c r="J185">
        <v>0.48</v>
      </c>
      <c r="K185">
        <v>0.56999999999999995</v>
      </c>
      <c r="L185" t="s">
        <v>10</v>
      </c>
      <c r="M185" t="s">
        <v>21</v>
      </c>
    </row>
    <row r="186" spans="1:13" x14ac:dyDescent="0.25">
      <c r="A186" t="s">
        <v>0</v>
      </c>
      <c r="B186" t="s">
        <v>134</v>
      </c>
      <c r="C186">
        <v>2020</v>
      </c>
      <c r="D186">
        <v>56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25">
      <c r="A187" t="s">
        <v>0</v>
      </c>
      <c r="B187" t="s">
        <v>134</v>
      </c>
      <c r="C187">
        <v>2025</v>
      </c>
      <c r="D187">
        <v>56</v>
      </c>
      <c r="E187">
        <v>0.02</v>
      </c>
      <c r="F187">
        <v>0.02</v>
      </c>
      <c r="G187">
        <v>0.01</v>
      </c>
      <c r="H187">
        <v>0</v>
      </c>
      <c r="I187">
        <v>0.04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25">
      <c r="A188" t="s">
        <v>0</v>
      </c>
      <c r="B188" t="s">
        <v>134</v>
      </c>
      <c r="C188">
        <v>2030</v>
      </c>
      <c r="D188">
        <v>56</v>
      </c>
      <c r="E188">
        <v>0.03</v>
      </c>
      <c r="F188">
        <v>0.03</v>
      </c>
      <c r="G188">
        <v>0.01</v>
      </c>
      <c r="H188">
        <v>0</v>
      </c>
      <c r="I188">
        <v>0.05</v>
      </c>
      <c r="J188">
        <v>0.02</v>
      </c>
      <c r="K188">
        <v>0.04</v>
      </c>
      <c r="L188" t="s">
        <v>1</v>
      </c>
      <c r="M188" t="s">
        <v>23</v>
      </c>
    </row>
    <row r="189" spans="1:13" x14ac:dyDescent="0.25">
      <c r="A189" t="s">
        <v>0</v>
      </c>
      <c r="B189" t="s">
        <v>134</v>
      </c>
      <c r="C189">
        <v>2035</v>
      </c>
      <c r="D189">
        <v>56</v>
      </c>
      <c r="E189">
        <v>0.05</v>
      </c>
      <c r="F189">
        <v>0.05</v>
      </c>
      <c r="G189">
        <v>0.02</v>
      </c>
      <c r="H189">
        <v>0.01</v>
      </c>
      <c r="I189">
        <v>0.08</v>
      </c>
      <c r="J189">
        <v>0.04</v>
      </c>
      <c r="K189">
        <v>0.06</v>
      </c>
      <c r="L189" t="s">
        <v>1</v>
      </c>
      <c r="M189" t="s">
        <v>23</v>
      </c>
    </row>
    <row r="190" spans="1:13" x14ac:dyDescent="0.25">
      <c r="A190" t="s">
        <v>0</v>
      </c>
      <c r="B190" t="s">
        <v>134</v>
      </c>
      <c r="C190">
        <v>2040</v>
      </c>
      <c r="D190">
        <v>56</v>
      </c>
      <c r="E190">
        <v>7.0000000000000007E-2</v>
      </c>
      <c r="F190">
        <v>7.0000000000000007E-2</v>
      </c>
      <c r="G190">
        <v>0.03</v>
      </c>
      <c r="H190">
        <v>0.01</v>
      </c>
      <c r="I190">
        <v>0.13</v>
      </c>
      <c r="J190">
        <v>0.06</v>
      </c>
      <c r="K190">
        <v>0.08</v>
      </c>
      <c r="L190" t="s">
        <v>1</v>
      </c>
      <c r="M190" t="s">
        <v>23</v>
      </c>
    </row>
    <row r="191" spans="1:13" x14ac:dyDescent="0.25">
      <c r="A191" t="s">
        <v>0</v>
      </c>
      <c r="B191" t="s">
        <v>134</v>
      </c>
      <c r="C191">
        <v>2045</v>
      </c>
      <c r="D191">
        <v>56</v>
      </c>
      <c r="E191">
        <v>0.09</v>
      </c>
      <c r="F191">
        <v>0.09</v>
      </c>
      <c r="G191">
        <v>0.04</v>
      </c>
      <c r="H191">
        <v>0.01</v>
      </c>
      <c r="I191">
        <v>0.16</v>
      </c>
      <c r="J191">
        <v>0.08</v>
      </c>
      <c r="K191">
        <v>0.12</v>
      </c>
      <c r="L191" t="s">
        <v>1</v>
      </c>
      <c r="M191" t="s">
        <v>23</v>
      </c>
    </row>
    <row r="192" spans="1:13" x14ac:dyDescent="0.25">
      <c r="A192" t="s">
        <v>0</v>
      </c>
      <c r="B192" t="s">
        <v>134</v>
      </c>
      <c r="C192">
        <v>2050</v>
      </c>
      <c r="D192">
        <v>56</v>
      </c>
      <c r="E192">
        <v>0.1</v>
      </c>
      <c r="F192">
        <v>0.09</v>
      </c>
      <c r="G192">
        <v>0.04</v>
      </c>
      <c r="H192">
        <v>0.01</v>
      </c>
      <c r="I192">
        <v>0.18</v>
      </c>
      <c r="J192">
        <v>0.09</v>
      </c>
      <c r="K192">
        <v>0.12</v>
      </c>
      <c r="L192" t="s">
        <v>1</v>
      </c>
      <c r="M192" t="s">
        <v>23</v>
      </c>
    </row>
    <row r="193" spans="1:13" x14ac:dyDescent="0.25">
      <c r="A193" t="s">
        <v>2</v>
      </c>
      <c r="B193" t="s">
        <v>134</v>
      </c>
      <c r="C193">
        <v>2020</v>
      </c>
      <c r="D193">
        <v>99</v>
      </c>
      <c r="E193">
        <v>0.01</v>
      </c>
      <c r="F193">
        <v>0.01</v>
      </c>
      <c r="G193">
        <v>0</v>
      </c>
      <c r="H193">
        <v>0</v>
      </c>
      <c r="I193">
        <v>0.02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25">
      <c r="A194" t="s">
        <v>2</v>
      </c>
      <c r="B194" t="s">
        <v>134</v>
      </c>
      <c r="C194">
        <v>2025</v>
      </c>
      <c r="D194">
        <v>88</v>
      </c>
      <c r="E194">
        <v>0.02</v>
      </c>
      <c r="F194">
        <v>0.01</v>
      </c>
      <c r="G194">
        <v>0.01</v>
      </c>
      <c r="H194">
        <v>0</v>
      </c>
      <c r="I194">
        <v>0.05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25">
      <c r="A195" t="s">
        <v>2</v>
      </c>
      <c r="B195" t="s">
        <v>134</v>
      </c>
      <c r="C195">
        <v>2030</v>
      </c>
      <c r="D195">
        <v>99</v>
      </c>
      <c r="E195">
        <v>0.03</v>
      </c>
      <c r="F195">
        <v>0.03</v>
      </c>
      <c r="G195">
        <v>0.02</v>
      </c>
      <c r="H195">
        <v>0</v>
      </c>
      <c r="I195">
        <v>0.06</v>
      </c>
      <c r="J195">
        <v>0.02</v>
      </c>
      <c r="K195">
        <v>0.03</v>
      </c>
      <c r="L195" t="s">
        <v>3</v>
      </c>
      <c r="M195" t="s">
        <v>23</v>
      </c>
    </row>
    <row r="196" spans="1:13" x14ac:dyDescent="0.25">
      <c r="A196" t="s">
        <v>2</v>
      </c>
      <c r="B196" t="s">
        <v>134</v>
      </c>
      <c r="C196">
        <v>2035</v>
      </c>
      <c r="D196">
        <v>88</v>
      </c>
      <c r="E196">
        <v>0.04</v>
      </c>
      <c r="F196">
        <v>0.04</v>
      </c>
      <c r="G196">
        <v>0.02</v>
      </c>
      <c r="H196">
        <v>0.01</v>
      </c>
      <c r="I196">
        <v>0.08</v>
      </c>
      <c r="J196">
        <v>0.02</v>
      </c>
      <c r="K196">
        <v>0.05</v>
      </c>
      <c r="L196" t="s">
        <v>3</v>
      </c>
      <c r="M196" t="s">
        <v>23</v>
      </c>
    </row>
    <row r="197" spans="1:13" x14ac:dyDescent="0.25">
      <c r="A197" t="s">
        <v>2</v>
      </c>
      <c r="B197" t="s">
        <v>134</v>
      </c>
      <c r="C197">
        <v>2040</v>
      </c>
      <c r="D197">
        <v>99</v>
      </c>
      <c r="E197">
        <v>0.08</v>
      </c>
      <c r="F197">
        <v>7.0000000000000007E-2</v>
      </c>
      <c r="G197">
        <v>0.05</v>
      </c>
      <c r="H197">
        <v>0.01</v>
      </c>
      <c r="I197">
        <v>0.22</v>
      </c>
      <c r="J197">
        <v>0.04</v>
      </c>
      <c r="K197">
        <v>0.09</v>
      </c>
      <c r="L197" t="s">
        <v>3</v>
      </c>
      <c r="M197" t="s">
        <v>23</v>
      </c>
    </row>
    <row r="198" spans="1:13" x14ac:dyDescent="0.25">
      <c r="A198" t="s">
        <v>2</v>
      </c>
      <c r="B198" t="s">
        <v>134</v>
      </c>
      <c r="C198">
        <v>2045</v>
      </c>
      <c r="D198">
        <v>88</v>
      </c>
      <c r="E198">
        <v>0.08</v>
      </c>
      <c r="F198">
        <v>0.08</v>
      </c>
      <c r="G198">
        <v>0.04</v>
      </c>
      <c r="H198">
        <v>0.01</v>
      </c>
      <c r="I198">
        <v>0.17</v>
      </c>
      <c r="J198">
        <v>0.05</v>
      </c>
      <c r="K198">
        <v>0.11</v>
      </c>
      <c r="L198" t="s">
        <v>3</v>
      </c>
      <c r="M198" t="s">
        <v>23</v>
      </c>
    </row>
    <row r="199" spans="1:13" x14ac:dyDescent="0.25">
      <c r="A199" t="s">
        <v>2</v>
      </c>
      <c r="B199" t="s">
        <v>134</v>
      </c>
      <c r="C199">
        <v>2050</v>
      </c>
      <c r="D199">
        <v>99</v>
      </c>
      <c r="E199">
        <v>0.11</v>
      </c>
      <c r="F199">
        <v>0.09</v>
      </c>
      <c r="G199">
        <v>7.0000000000000007E-2</v>
      </c>
      <c r="H199">
        <v>0.01</v>
      </c>
      <c r="I199">
        <v>0.27</v>
      </c>
      <c r="J199">
        <v>7.0000000000000007E-2</v>
      </c>
      <c r="K199">
        <v>0.16</v>
      </c>
      <c r="L199" t="s">
        <v>3</v>
      </c>
      <c r="M199" t="s">
        <v>23</v>
      </c>
    </row>
    <row r="200" spans="1:13" x14ac:dyDescent="0.25">
      <c r="A200" t="s">
        <v>5</v>
      </c>
      <c r="B200" t="s">
        <v>134</v>
      </c>
      <c r="C200">
        <v>2020</v>
      </c>
      <c r="D200">
        <v>231</v>
      </c>
      <c r="E200">
        <v>0.01</v>
      </c>
      <c r="F200">
        <v>0.01</v>
      </c>
      <c r="G200">
        <v>0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25">
      <c r="A201" t="s">
        <v>5</v>
      </c>
      <c r="B201" t="s">
        <v>134</v>
      </c>
      <c r="C201">
        <v>2025</v>
      </c>
      <c r="D201">
        <v>208</v>
      </c>
      <c r="E201">
        <v>0.02</v>
      </c>
      <c r="F201">
        <v>0.01</v>
      </c>
      <c r="G201">
        <v>0.04</v>
      </c>
      <c r="H201">
        <v>0</v>
      </c>
      <c r="I201">
        <v>0.38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25">
      <c r="A202" t="s">
        <v>5</v>
      </c>
      <c r="B202" t="s">
        <v>134</v>
      </c>
      <c r="C202">
        <v>2030</v>
      </c>
      <c r="D202">
        <v>231</v>
      </c>
      <c r="E202">
        <v>0.02</v>
      </c>
      <c r="F202">
        <v>0.02</v>
      </c>
      <c r="G202">
        <v>0.04</v>
      </c>
      <c r="H202">
        <v>0</v>
      </c>
      <c r="I202">
        <v>0.5</v>
      </c>
      <c r="J202">
        <v>0</v>
      </c>
      <c r="K202">
        <v>0.03</v>
      </c>
      <c r="L202" t="s">
        <v>6</v>
      </c>
      <c r="M202" t="s">
        <v>23</v>
      </c>
    </row>
    <row r="203" spans="1:13" x14ac:dyDescent="0.25">
      <c r="A203" t="s">
        <v>5</v>
      </c>
      <c r="B203" t="s">
        <v>134</v>
      </c>
      <c r="C203">
        <v>2035</v>
      </c>
      <c r="D203">
        <v>208</v>
      </c>
      <c r="E203">
        <v>0.03</v>
      </c>
      <c r="F203">
        <v>0.03</v>
      </c>
      <c r="G203">
        <v>0.02</v>
      </c>
      <c r="H203">
        <v>0</v>
      </c>
      <c r="I203">
        <v>0.19</v>
      </c>
      <c r="J203">
        <v>0.01</v>
      </c>
      <c r="K203">
        <v>0.05</v>
      </c>
      <c r="L203" t="s">
        <v>6</v>
      </c>
      <c r="M203" t="s">
        <v>23</v>
      </c>
    </row>
    <row r="204" spans="1:13" x14ac:dyDescent="0.25">
      <c r="A204" t="s">
        <v>5</v>
      </c>
      <c r="B204" t="s">
        <v>134</v>
      </c>
      <c r="C204">
        <v>2040</v>
      </c>
      <c r="D204">
        <v>231</v>
      </c>
      <c r="E204">
        <v>0.05</v>
      </c>
      <c r="F204">
        <v>0.04</v>
      </c>
      <c r="G204">
        <v>0.04</v>
      </c>
      <c r="H204">
        <v>0</v>
      </c>
      <c r="I204">
        <v>0.25</v>
      </c>
      <c r="J204">
        <v>0.02</v>
      </c>
      <c r="K204">
        <v>7.0000000000000007E-2</v>
      </c>
      <c r="L204" t="s">
        <v>6</v>
      </c>
      <c r="M204" t="s">
        <v>23</v>
      </c>
    </row>
    <row r="205" spans="1:13" x14ac:dyDescent="0.25">
      <c r="A205" t="s">
        <v>5</v>
      </c>
      <c r="B205" t="s">
        <v>134</v>
      </c>
      <c r="C205">
        <v>2045</v>
      </c>
      <c r="D205">
        <v>208</v>
      </c>
      <c r="E205">
        <v>7.0000000000000007E-2</v>
      </c>
      <c r="F205">
        <v>0.06</v>
      </c>
      <c r="G205">
        <v>0.04</v>
      </c>
      <c r="H205">
        <v>0.01</v>
      </c>
      <c r="I205">
        <v>0.3</v>
      </c>
      <c r="J205">
        <v>0.03</v>
      </c>
      <c r="K205">
        <v>0.09</v>
      </c>
      <c r="L205" t="s">
        <v>6</v>
      </c>
      <c r="M205" t="s">
        <v>23</v>
      </c>
    </row>
    <row r="206" spans="1:13" x14ac:dyDescent="0.25">
      <c r="A206" t="s">
        <v>5</v>
      </c>
      <c r="B206" t="s">
        <v>134</v>
      </c>
      <c r="C206">
        <v>2050</v>
      </c>
      <c r="D206">
        <v>231</v>
      </c>
      <c r="E206">
        <v>0.08</v>
      </c>
      <c r="F206">
        <v>0.08</v>
      </c>
      <c r="G206">
        <v>0.06</v>
      </c>
      <c r="H206">
        <v>0</v>
      </c>
      <c r="I206">
        <v>0.32</v>
      </c>
      <c r="J206">
        <v>0.02</v>
      </c>
      <c r="K206">
        <v>0.09</v>
      </c>
      <c r="L206" t="s">
        <v>6</v>
      </c>
      <c r="M206" t="s">
        <v>23</v>
      </c>
    </row>
    <row r="207" spans="1:13" x14ac:dyDescent="0.25">
      <c r="A207" t="s">
        <v>7</v>
      </c>
      <c r="B207" t="s">
        <v>134</v>
      </c>
      <c r="C207">
        <v>2020</v>
      </c>
      <c r="D207">
        <v>102</v>
      </c>
      <c r="E207">
        <v>0.01</v>
      </c>
      <c r="F207">
        <v>0.01</v>
      </c>
      <c r="G207">
        <v>0.01</v>
      </c>
      <c r="H207">
        <v>0</v>
      </c>
      <c r="I207">
        <v>0.03</v>
      </c>
      <c r="J207">
        <v>0</v>
      </c>
      <c r="K207">
        <v>0.01</v>
      </c>
      <c r="L207" t="s">
        <v>8</v>
      </c>
      <c r="M207" t="s">
        <v>23</v>
      </c>
    </row>
    <row r="208" spans="1:13" x14ac:dyDescent="0.25">
      <c r="A208" t="s">
        <v>7</v>
      </c>
      <c r="B208" t="s">
        <v>134</v>
      </c>
      <c r="C208">
        <v>2025</v>
      </c>
      <c r="D208">
        <v>96</v>
      </c>
      <c r="E208">
        <v>0.02</v>
      </c>
      <c r="F208">
        <v>0.01</v>
      </c>
      <c r="G208">
        <v>7.0000000000000007E-2</v>
      </c>
      <c r="H208">
        <v>0</v>
      </c>
      <c r="I208">
        <v>0.63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25">
      <c r="A209" t="s">
        <v>7</v>
      </c>
      <c r="B209" t="s">
        <v>134</v>
      </c>
      <c r="C209">
        <v>2030</v>
      </c>
      <c r="D209">
        <v>102</v>
      </c>
      <c r="E209">
        <v>0.02</v>
      </c>
      <c r="F209">
        <v>0.01</v>
      </c>
      <c r="G209">
        <v>0.06</v>
      </c>
      <c r="H209">
        <v>0</v>
      </c>
      <c r="I209">
        <v>0.63</v>
      </c>
      <c r="J209">
        <v>0</v>
      </c>
      <c r="K209">
        <v>0.03</v>
      </c>
      <c r="L209" t="s">
        <v>8</v>
      </c>
      <c r="M209" t="s">
        <v>23</v>
      </c>
    </row>
    <row r="210" spans="1:13" x14ac:dyDescent="0.25">
      <c r="A210" t="s">
        <v>7</v>
      </c>
      <c r="B210" t="s">
        <v>134</v>
      </c>
      <c r="C210">
        <v>2035</v>
      </c>
      <c r="D210">
        <v>96</v>
      </c>
      <c r="E210">
        <v>0.03</v>
      </c>
      <c r="F210">
        <v>0.02</v>
      </c>
      <c r="G210">
        <v>0.02</v>
      </c>
      <c r="H210">
        <v>0</v>
      </c>
      <c r="I210">
        <v>7.0000000000000007E-2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25">
      <c r="A211" t="s">
        <v>7</v>
      </c>
      <c r="B211" t="s">
        <v>134</v>
      </c>
      <c r="C211">
        <v>2040</v>
      </c>
      <c r="D211">
        <v>102</v>
      </c>
      <c r="E211">
        <v>0.04</v>
      </c>
      <c r="F211">
        <v>0.03</v>
      </c>
      <c r="G211">
        <v>0.03</v>
      </c>
      <c r="H211">
        <v>0</v>
      </c>
      <c r="I211">
        <v>0.09</v>
      </c>
      <c r="J211">
        <v>0.01</v>
      </c>
      <c r="K211">
        <v>0.05</v>
      </c>
      <c r="L211" t="s">
        <v>8</v>
      </c>
      <c r="M211" t="s">
        <v>23</v>
      </c>
    </row>
    <row r="212" spans="1:13" x14ac:dyDescent="0.25">
      <c r="A212" t="s">
        <v>7</v>
      </c>
      <c r="B212" t="s">
        <v>134</v>
      </c>
      <c r="C212">
        <v>2045</v>
      </c>
      <c r="D212">
        <v>96</v>
      </c>
      <c r="E212">
        <v>0.05</v>
      </c>
      <c r="F212">
        <v>0.05</v>
      </c>
      <c r="G212">
        <v>0.04</v>
      </c>
      <c r="H212">
        <v>0</v>
      </c>
      <c r="I212">
        <v>0.14000000000000001</v>
      </c>
      <c r="J212">
        <v>0.02</v>
      </c>
      <c r="K212">
        <v>7.0000000000000007E-2</v>
      </c>
      <c r="L212" t="s">
        <v>8</v>
      </c>
      <c r="M212" t="s">
        <v>23</v>
      </c>
    </row>
    <row r="213" spans="1:13" x14ac:dyDescent="0.25">
      <c r="A213" t="s">
        <v>7</v>
      </c>
      <c r="B213" t="s">
        <v>134</v>
      </c>
      <c r="C213">
        <v>2050</v>
      </c>
      <c r="D213">
        <v>102</v>
      </c>
      <c r="E213">
        <v>7.0000000000000007E-2</v>
      </c>
      <c r="F213">
        <v>0.06</v>
      </c>
      <c r="G213">
        <v>0.06</v>
      </c>
      <c r="H213">
        <v>0</v>
      </c>
      <c r="I213">
        <v>0.21</v>
      </c>
      <c r="J213">
        <v>0.01</v>
      </c>
      <c r="K213">
        <v>0.09</v>
      </c>
      <c r="L213" t="s">
        <v>8</v>
      </c>
      <c r="M213" t="s">
        <v>23</v>
      </c>
    </row>
    <row r="214" spans="1:13" x14ac:dyDescent="0.25">
      <c r="A214" t="s">
        <v>9</v>
      </c>
      <c r="B214" t="s">
        <v>134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25">
      <c r="A215" t="s">
        <v>9</v>
      </c>
      <c r="B215" t="s">
        <v>134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0.04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25">
      <c r="A216" t="s">
        <v>9</v>
      </c>
      <c r="B216" t="s">
        <v>134</v>
      </c>
      <c r="C216">
        <v>2030</v>
      </c>
      <c r="D216">
        <v>59</v>
      </c>
      <c r="E216">
        <v>0.02</v>
      </c>
      <c r="F216">
        <v>0.02</v>
      </c>
      <c r="G216">
        <v>0.01</v>
      </c>
      <c r="H216">
        <v>0</v>
      </c>
      <c r="I216">
        <v>0.06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25">
      <c r="A217" t="s">
        <v>9</v>
      </c>
      <c r="B217" t="s">
        <v>134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7.0000000000000007E-2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25">
      <c r="A218" t="s">
        <v>9</v>
      </c>
      <c r="B218" t="s">
        <v>134</v>
      </c>
      <c r="C218">
        <v>2040</v>
      </c>
      <c r="D218">
        <v>59</v>
      </c>
      <c r="E218">
        <v>0.03</v>
      </c>
      <c r="F218">
        <v>0.03</v>
      </c>
      <c r="G218">
        <v>0.02</v>
      </c>
      <c r="H218">
        <v>0</v>
      </c>
      <c r="I218">
        <v>0.08</v>
      </c>
      <c r="J218">
        <v>0.01</v>
      </c>
      <c r="K218">
        <v>0.04</v>
      </c>
      <c r="L218" t="s">
        <v>10</v>
      </c>
      <c r="M218" t="s">
        <v>23</v>
      </c>
    </row>
    <row r="219" spans="1:13" x14ac:dyDescent="0.25">
      <c r="A219" t="s">
        <v>9</v>
      </c>
      <c r="B219" t="s">
        <v>134</v>
      </c>
      <c r="C219">
        <v>2045</v>
      </c>
      <c r="D219">
        <v>54</v>
      </c>
      <c r="E219">
        <v>0.04</v>
      </c>
      <c r="F219">
        <v>0.04</v>
      </c>
      <c r="G219">
        <v>0.02</v>
      </c>
      <c r="H219">
        <v>0</v>
      </c>
      <c r="I219">
        <v>0.09</v>
      </c>
      <c r="J219">
        <v>0.02</v>
      </c>
      <c r="K219">
        <v>0.06</v>
      </c>
      <c r="L219" t="s">
        <v>10</v>
      </c>
      <c r="M219" t="s">
        <v>23</v>
      </c>
    </row>
    <row r="220" spans="1:13" x14ac:dyDescent="0.25">
      <c r="A220" t="s">
        <v>9</v>
      </c>
      <c r="B220" t="s">
        <v>134</v>
      </c>
      <c r="C220">
        <v>2050</v>
      </c>
      <c r="D220">
        <v>59</v>
      </c>
      <c r="E220">
        <v>0.05</v>
      </c>
      <c r="F220">
        <v>0.05</v>
      </c>
      <c r="G220">
        <v>0.03</v>
      </c>
      <c r="H220">
        <v>0</v>
      </c>
      <c r="I220">
        <v>0.1</v>
      </c>
      <c r="J220">
        <v>0.03</v>
      </c>
      <c r="K220">
        <v>0.08</v>
      </c>
      <c r="L220" t="s">
        <v>10</v>
      </c>
      <c r="M220" t="s">
        <v>23</v>
      </c>
    </row>
    <row r="221" spans="1:13" x14ac:dyDescent="0.25">
      <c r="A221" t="s">
        <v>0</v>
      </c>
      <c r="B221" t="s">
        <v>134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25">
      <c r="A222" t="s">
        <v>0</v>
      </c>
      <c r="B222" t="s">
        <v>134</v>
      </c>
      <c r="C222">
        <v>2025</v>
      </c>
      <c r="D222">
        <v>45</v>
      </c>
      <c r="E222">
        <v>2.0499999999999998</v>
      </c>
      <c r="F222">
        <v>1.83</v>
      </c>
      <c r="G222">
        <v>1.03</v>
      </c>
      <c r="H222">
        <v>1.1200000000000001</v>
      </c>
      <c r="I222">
        <v>5.98</v>
      </c>
      <c r="J222">
        <v>1.48</v>
      </c>
      <c r="K222">
        <v>2.09</v>
      </c>
      <c r="L222" t="s">
        <v>1</v>
      </c>
      <c r="M222" t="s">
        <v>70</v>
      </c>
    </row>
    <row r="223" spans="1:13" x14ac:dyDescent="0.25">
      <c r="A223" t="s">
        <v>0</v>
      </c>
      <c r="B223" t="s">
        <v>134</v>
      </c>
      <c r="C223">
        <v>2030</v>
      </c>
      <c r="D223">
        <v>45</v>
      </c>
      <c r="E223">
        <v>3.11</v>
      </c>
      <c r="F223">
        <v>2.5499999999999998</v>
      </c>
      <c r="G223">
        <v>1.56</v>
      </c>
      <c r="H223">
        <v>1.21</v>
      </c>
      <c r="I223">
        <v>9.1</v>
      </c>
      <c r="J223">
        <v>2.14</v>
      </c>
      <c r="K223">
        <v>4.16</v>
      </c>
      <c r="L223" t="s">
        <v>1</v>
      </c>
      <c r="M223" t="s">
        <v>70</v>
      </c>
    </row>
    <row r="224" spans="1:13" x14ac:dyDescent="0.25">
      <c r="A224" t="s">
        <v>0</v>
      </c>
      <c r="B224" t="s">
        <v>134</v>
      </c>
      <c r="C224">
        <v>2035</v>
      </c>
      <c r="D224">
        <v>45</v>
      </c>
      <c r="E224">
        <v>4.08</v>
      </c>
      <c r="F224">
        <v>2.88</v>
      </c>
      <c r="G224">
        <v>2.34</v>
      </c>
      <c r="H224">
        <v>1.58</v>
      </c>
      <c r="I224">
        <v>10.93</v>
      </c>
      <c r="J224">
        <v>2.5499999999999998</v>
      </c>
      <c r="K224">
        <v>4.9400000000000004</v>
      </c>
      <c r="L224" t="s">
        <v>1</v>
      </c>
      <c r="M224" t="s">
        <v>70</v>
      </c>
    </row>
    <row r="225" spans="1:13" x14ac:dyDescent="0.25">
      <c r="A225" t="s">
        <v>0</v>
      </c>
      <c r="B225" t="s">
        <v>134</v>
      </c>
      <c r="C225">
        <v>2040</v>
      </c>
      <c r="D225">
        <v>45</v>
      </c>
      <c r="E225">
        <v>5.25</v>
      </c>
      <c r="F225">
        <v>3.73</v>
      </c>
      <c r="G225">
        <v>3.03</v>
      </c>
      <c r="H225">
        <v>2.36</v>
      </c>
      <c r="I225">
        <v>12.84</v>
      </c>
      <c r="J225">
        <v>3.22</v>
      </c>
      <c r="K225">
        <v>6.09</v>
      </c>
      <c r="L225" t="s">
        <v>1</v>
      </c>
      <c r="M225" t="s">
        <v>70</v>
      </c>
    </row>
    <row r="226" spans="1:13" x14ac:dyDescent="0.25">
      <c r="A226" t="s">
        <v>0</v>
      </c>
      <c r="B226" t="s">
        <v>134</v>
      </c>
      <c r="C226">
        <v>2045</v>
      </c>
      <c r="D226">
        <v>45</v>
      </c>
      <c r="E226">
        <v>6.38</v>
      </c>
      <c r="F226">
        <v>4.8</v>
      </c>
      <c r="G226">
        <v>3.62</v>
      </c>
      <c r="H226">
        <v>2.72</v>
      </c>
      <c r="I226">
        <v>15.49</v>
      </c>
      <c r="J226">
        <v>3.92</v>
      </c>
      <c r="K226">
        <v>7.58</v>
      </c>
      <c r="L226" t="s">
        <v>1</v>
      </c>
      <c r="M226" t="s">
        <v>70</v>
      </c>
    </row>
    <row r="227" spans="1:13" x14ac:dyDescent="0.25">
      <c r="A227" t="s">
        <v>0</v>
      </c>
      <c r="B227" t="s">
        <v>134</v>
      </c>
      <c r="C227">
        <v>2050</v>
      </c>
      <c r="D227">
        <v>45</v>
      </c>
      <c r="E227">
        <v>7.06</v>
      </c>
      <c r="F227">
        <v>5.3</v>
      </c>
      <c r="G227">
        <v>4.08</v>
      </c>
      <c r="H227">
        <v>2.86</v>
      </c>
      <c r="I227">
        <v>16.670000000000002</v>
      </c>
      <c r="J227">
        <v>4.18</v>
      </c>
      <c r="K227">
        <v>8.2899999999999991</v>
      </c>
      <c r="L227" t="s">
        <v>1</v>
      </c>
      <c r="M227" t="s">
        <v>70</v>
      </c>
    </row>
    <row r="228" spans="1:13" x14ac:dyDescent="0.25">
      <c r="A228" t="s">
        <v>2</v>
      </c>
      <c r="B228" t="s">
        <v>134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25">
      <c r="A229" t="s">
        <v>2</v>
      </c>
      <c r="B229" t="s">
        <v>134</v>
      </c>
      <c r="C229">
        <v>2025</v>
      </c>
      <c r="D229">
        <v>44</v>
      </c>
      <c r="E229">
        <v>1.32</v>
      </c>
      <c r="F229">
        <v>1.27</v>
      </c>
      <c r="G229">
        <v>0.27</v>
      </c>
      <c r="H229">
        <v>0.87</v>
      </c>
      <c r="I229">
        <v>2.0299999999999998</v>
      </c>
      <c r="J229">
        <v>1.1299999999999999</v>
      </c>
      <c r="K229">
        <v>1.4</v>
      </c>
      <c r="L229" t="s">
        <v>3</v>
      </c>
      <c r="M229" t="s">
        <v>70</v>
      </c>
    </row>
    <row r="230" spans="1:13" x14ac:dyDescent="0.25">
      <c r="A230" t="s">
        <v>2</v>
      </c>
      <c r="B230" t="s">
        <v>134</v>
      </c>
      <c r="C230">
        <v>2030</v>
      </c>
      <c r="D230">
        <v>44</v>
      </c>
      <c r="E230">
        <v>1.59</v>
      </c>
      <c r="F230">
        <v>1.54</v>
      </c>
      <c r="G230">
        <v>0.38</v>
      </c>
      <c r="H230">
        <v>1.05</v>
      </c>
      <c r="I230">
        <v>2.6</v>
      </c>
      <c r="J230">
        <v>1.27</v>
      </c>
      <c r="K230">
        <v>1.73</v>
      </c>
      <c r="L230" t="s">
        <v>3</v>
      </c>
      <c r="M230" t="s">
        <v>70</v>
      </c>
    </row>
    <row r="231" spans="1:13" x14ac:dyDescent="0.25">
      <c r="A231" t="s">
        <v>2</v>
      </c>
      <c r="B231" t="s">
        <v>134</v>
      </c>
      <c r="C231">
        <v>2035</v>
      </c>
      <c r="D231">
        <v>44</v>
      </c>
      <c r="E231">
        <v>2.6</v>
      </c>
      <c r="F231">
        <v>2.2200000000000002</v>
      </c>
      <c r="G231">
        <v>2.1800000000000002</v>
      </c>
      <c r="H231">
        <v>0</v>
      </c>
      <c r="I231">
        <v>12.14</v>
      </c>
      <c r="J231">
        <v>1.7</v>
      </c>
      <c r="K231">
        <v>2.5299999999999998</v>
      </c>
      <c r="L231" t="s">
        <v>3</v>
      </c>
      <c r="M231" t="s">
        <v>70</v>
      </c>
    </row>
    <row r="232" spans="1:13" x14ac:dyDescent="0.25">
      <c r="A232" t="s">
        <v>2</v>
      </c>
      <c r="B232" t="s">
        <v>134</v>
      </c>
      <c r="C232">
        <v>2040</v>
      </c>
      <c r="D232">
        <v>44</v>
      </c>
      <c r="E232">
        <v>3.43</v>
      </c>
      <c r="F232">
        <v>2.63</v>
      </c>
      <c r="G232">
        <v>3.78</v>
      </c>
      <c r="H232">
        <v>0</v>
      </c>
      <c r="I232">
        <v>22.21</v>
      </c>
      <c r="J232">
        <v>1.87</v>
      </c>
      <c r="K232">
        <v>3.14</v>
      </c>
      <c r="L232" t="s">
        <v>3</v>
      </c>
      <c r="M232" t="s">
        <v>70</v>
      </c>
    </row>
    <row r="233" spans="1:13" x14ac:dyDescent="0.25">
      <c r="A233" t="s">
        <v>2</v>
      </c>
      <c r="B233" t="s">
        <v>134</v>
      </c>
      <c r="C233">
        <v>2045</v>
      </c>
      <c r="D233">
        <v>44</v>
      </c>
      <c r="E233">
        <v>3.5</v>
      </c>
      <c r="F233">
        <v>3.23</v>
      </c>
      <c r="G233">
        <v>2.2999999999999998</v>
      </c>
      <c r="H233">
        <v>0</v>
      </c>
      <c r="I233">
        <v>12.42</v>
      </c>
      <c r="J233">
        <v>2.3199999999999998</v>
      </c>
      <c r="K233">
        <v>3.85</v>
      </c>
      <c r="L233" t="s">
        <v>3</v>
      </c>
      <c r="M233" t="s">
        <v>70</v>
      </c>
    </row>
    <row r="234" spans="1:13" x14ac:dyDescent="0.25">
      <c r="A234" t="s">
        <v>2</v>
      </c>
      <c r="B234" t="s">
        <v>134</v>
      </c>
      <c r="C234">
        <v>2050</v>
      </c>
      <c r="D234">
        <v>44</v>
      </c>
      <c r="E234">
        <v>3.53</v>
      </c>
      <c r="F234">
        <v>3.75</v>
      </c>
      <c r="G234">
        <v>1.87</v>
      </c>
      <c r="H234">
        <v>0</v>
      </c>
      <c r="I234">
        <v>11.57</v>
      </c>
      <c r="J234">
        <v>2.5499999999999998</v>
      </c>
      <c r="K234">
        <v>4.2300000000000004</v>
      </c>
      <c r="L234" t="s">
        <v>3</v>
      </c>
      <c r="M234" t="s">
        <v>70</v>
      </c>
    </row>
    <row r="235" spans="1:13" x14ac:dyDescent="0.25">
      <c r="A235" t="s">
        <v>5</v>
      </c>
      <c r="B235" t="s">
        <v>134</v>
      </c>
      <c r="C235">
        <v>2020</v>
      </c>
      <c r="D235">
        <v>113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25">
      <c r="A236" t="s">
        <v>5</v>
      </c>
      <c r="B236" t="s">
        <v>134</v>
      </c>
      <c r="C236">
        <v>2025</v>
      </c>
      <c r="D236">
        <v>113</v>
      </c>
      <c r="E236">
        <v>1.44</v>
      </c>
      <c r="F236">
        <v>1.31</v>
      </c>
      <c r="G236">
        <v>0.42</v>
      </c>
      <c r="H236">
        <v>0.78</v>
      </c>
      <c r="I236">
        <v>3.33</v>
      </c>
      <c r="J236">
        <v>1.18</v>
      </c>
      <c r="K236">
        <v>1.53</v>
      </c>
      <c r="L236" t="s">
        <v>6</v>
      </c>
      <c r="M236" t="s">
        <v>70</v>
      </c>
    </row>
    <row r="237" spans="1:13" x14ac:dyDescent="0.25">
      <c r="A237" t="s">
        <v>5</v>
      </c>
      <c r="B237" t="s">
        <v>134</v>
      </c>
      <c r="C237">
        <v>2030</v>
      </c>
      <c r="D237">
        <v>113</v>
      </c>
      <c r="E237">
        <v>1.8</v>
      </c>
      <c r="F237">
        <v>1.66</v>
      </c>
      <c r="G237">
        <v>0.65</v>
      </c>
      <c r="H237">
        <v>1.05</v>
      </c>
      <c r="I237">
        <v>4.8099999999999996</v>
      </c>
      <c r="J237">
        <v>1.43</v>
      </c>
      <c r="K237">
        <v>1.89</v>
      </c>
      <c r="L237" t="s">
        <v>6</v>
      </c>
      <c r="M237" t="s">
        <v>70</v>
      </c>
    </row>
    <row r="238" spans="1:13" x14ac:dyDescent="0.25">
      <c r="A238" t="s">
        <v>5</v>
      </c>
      <c r="B238" t="s">
        <v>134</v>
      </c>
      <c r="C238">
        <v>2035</v>
      </c>
      <c r="D238">
        <v>113</v>
      </c>
      <c r="E238">
        <v>2.5299999999999998</v>
      </c>
      <c r="F238">
        <v>1.99</v>
      </c>
      <c r="G238">
        <v>1.1499999999999999</v>
      </c>
      <c r="H238">
        <v>1.05</v>
      </c>
      <c r="I238">
        <v>8.35</v>
      </c>
      <c r="J238">
        <v>1.79</v>
      </c>
      <c r="K238">
        <v>2.98</v>
      </c>
      <c r="L238" t="s">
        <v>6</v>
      </c>
      <c r="M238" t="s">
        <v>70</v>
      </c>
    </row>
    <row r="239" spans="1:13" x14ac:dyDescent="0.25">
      <c r="A239" t="s">
        <v>5</v>
      </c>
      <c r="B239" t="s">
        <v>134</v>
      </c>
      <c r="C239">
        <v>2040</v>
      </c>
      <c r="D239">
        <v>113</v>
      </c>
      <c r="E239">
        <v>3.19</v>
      </c>
      <c r="F239">
        <v>2.4700000000000002</v>
      </c>
      <c r="G239">
        <v>1.71</v>
      </c>
      <c r="H239">
        <v>1.06</v>
      </c>
      <c r="I239">
        <v>11.04</v>
      </c>
      <c r="J239">
        <v>2.0099999999999998</v>
      </c>
      <c r="K239">
        <v>3.99</v>
      </c>
      <c r="L239" t="s">
        <v>6</v>
      </c>
      <c r="M239" t="s">
        <v>70</v>
      </c>
    </row>
    <row r="240" spans="1:13" x14ac:dyDescent="0.25">
      <c r="A240" t="s">
        <v>5</v>
      </c>
      <c r="B240" t="s">
        <v>134</v>
      </c>
      <c r="C240">
        <v>2045</v>
      </c>
      <c r="D240">
        <v>113</v>
      </c>
      <c r="E240">
        <v>3.73</v>
      </c>
      <c r="F240">
        <v>2.9</v>
      </c>
      <c r="G240">
        <v>1.9</v>
      </c>
      <c r="H240">
        <v>1.08</v>
      </c>
      <c r="I240">
        <v>10.44</v>
      </c>
      <c r="J240">
        <v>2.37</v>
      </c>
      <c r="K240">
        <v>4.8</v>
      </c>
      <c r="L240" t="s">
        <v>6</v>
      </c>
      <c r="M240" t="s">
        <v>70</v>
      </c>
    </row>
    <row r="241" spans="1:13" x14ac:dyDescent="0.25">
      <c r="A241" t="s">
        <v>5</v>
      </c>
      <c r="B241" t="s">
        <v>134</v>
      </c>
      <c r="C241">
        <v>2050</v>
      </c>
      <c r="D241">
        <v>113</v>
      </c>
      <c r="E241">
        <v>4.17</v>
      </c>
      <c r="F241">
        <v>3.42</v>
      </c>
      <c r="G241">
        <v>2.1800000000000002</v>
      </c>
      <c r="H241">
        <v>1.1100000000000001</v>
      </c>
      <c r="I241">
        <v>12.05</v>
      </c>
      <c r="J241">
        <v>2.5499999999999998</v>
      </c>
      <c r="K241">
        <v>5.38</v>
      </c>
      <c r="L241" t="s">
        <v>6</v>
      </c>
      <c r="M241" t="s">
        <v>70</v>
      </c>
    </row>
    <row r="242" spans="1:13" x14ac:dyDescent="0.25">
      <c r="A242" t="s">
        <v>7</v>
      </c>
      <c r="B242" t="s">
        <v>134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25">
      <c r="A243" t="s">
        <v>7</v>
      </c>
      <c r="B243" t="s">
        <v>134</v>
      </c>
      <c r="C243">
        <v>2025</v>
      </c>
      <c r="D243">
        <v>30</v>
      </c>
      <c r="E243">
        <v>1.32</v>
      </c>
      <c r="F243">
        <v>1.25</v>
      </c>
      <c r="G243">
        <v>0.24</v>
      </c>
      <c r="H243">
        <v>1.02</v>
      </c>
      <c r="I243">
        <v>1.89</v>
      </c>
      <c r="J243">
        <v>1.1200000000000001</v>
      </c>
      <c r="K243">
        <v>1.4</v>
      </c>
      <c r="L243" t="s">
        <v>8</v>
      </c>
      <c r="M243" t="s">
        <v>70</v>
      </c>
    </row>
    <row r="244" spans="1:13" x14ac:dyDescent="0.25">
      <c r="A244" t="s">
        <v>7</v>
      </c>
      <c r="B244" t="s">
        <v>134</v>
      </c>
      <c r="C244">
        <v>2030</v>
      </c>
      <c r="D244">
        <v>30</v>
      </c>
      <c r="E244">
        <v>1.63</v>
      </c>
      <c r="F244">
        <v>1.55</v>
      </c>
      <c r="G244">
        <v>0.4</v>
      </c>
      <c r="H244">
        <v>1.01</v>
      </c>
      <c r="I244">
        <v>2.5</v>
      </c>
      <c r="J244">
        <v>1.26</v>
      </c>
      <c r="K244">
        <v>1.95</v>
      </c>
      <c r="L244" t="s">
        <v>8</v>
      </c>
      <c r="M244" t="s">
        <v>70</v>
      </c>
    </row>
    <row r="245" spans="1:13" x14ac:dyDescent="0.25">
      <c r="A245" t="s">
        <v>7</v>
      </c>
      <c r="B245" t="s">
        <v>134</v>
      </c>
      <c r="C245">
        <v>2035</v>
      </c>
      <c r="D245">
        <v>30</v>
      </c>
      <c r="E245">
        <v>2.2000000000000002</v>
      </c>
      <c r="F245">
        <v>2.27</v>
      </c>
      <c r="G245">
        <v>0.6</v>
      </c>
      <c r="H245">
        <v>0.84</v>
      </c>
      <c r="I245">
        <v>3.25</v>
      </c>
      <c r="J245">
        <v>1.58</v>
      </c>
      <c r="K245">
        <v>2.59</v>
      </c>
      <c r="L245" t="s">
        <v>8</v>
      </c>
      <c r="M245" t="s">
        <v>70</v>
      </c>
    </row>
    <row r="246" spans="1:13" x14ac:dyDescent="0.25">
      <c r="A246" t="s">
        <v>7</v>
      </c>
      <c r="B246" t="s">
        <v>134</v>
      </c>
      <c r="C246">
        <v>2040</v>
      </c>
      <c r="D246">
        <v>30</v>
      </c>
      <c r="E246">
        <v>2.73</v>
      </c>
      <c r="F246">
        <v>2.87</v>
      </c>
      <c r="G246">
        <v>0.89</v>
      </c>
      <c r="H246">
        <v>0.95</v>
      </c>
      <c r="I246">
        <v>5.05</v>
      </c>
      <c r="J246">
        <v>1.77</v>
      </c>
      <c r="K246">
        <v>3.26</v>
      </c>
      <c r="L246" t="s">
        <v>8</v>
      </c>
      <c r="M246" t="s">
        <v>70</v>
      </c>
    </row>
    <row r="247" spans="1:13" x14ac:dyDescent="0.25">
      <c r="A247" t="s">
        <v>7</v>
      </c>
      <c r="B247" t="s">
        <v>134</v>
      </c>
      <c r="C247">
        <v>2045</v>
      </c>
      <c r="D247">
        <v>30</v>
      </c>
      <c r="E247">
        <v>3.11</v>
      </c>
      <c r="F247">
        <v>3.27</v>
      </c>
      <c r="G247">
        <v>1.07</v>
      </c>
      <c r="H247">
        <v>0.93</v>
      </c>
      <c r="I247">
        <v>5.94</v>
      </c>
      <c r="J247">
        <v>1.95</v>
      </c>
      <c r="K247">
        <v>3.76</v>
      </c>
      <c r="L247" t="s">
        <v>8</v>
      </c>
      <c r="M247" t="s">
        <v>70</v>
      </c>
    </row>
    <row r="248" spans="1:13" x14ac:dyDescent="0.25">
      <c r="A248" t="s">
        <v>7</v>
      </c>
      <c r="B248" t="s">
        <v>134</v>
      </c>
      <c r="C248">
        <v>2050</v>
      </c>
      <c r="D248">
        <v>30</v>
      </c>
      <c r="E248">
        <v>3.3</v>
      </c>
      <c r="F248">
        <v>3.49</v>
      </c>
      <c r="G248">
        <v>1.08</v>
      </c>
      <c r="H248">
        <v>0.92</v>
      </c>
      <c r="I248">
        <v>5.16</v>
      </c>
      <c r="J248">
        <v>2.12</v>
      </c>
      <c r="K248">
        <v>3.99</v>
      </c>
      <c r="L248" t="s">
        <v>8</v>
      </c>
      <c r="M248" t="s">
        <v>70</v>
      </c>
    </row>
    <row r="249" spans="1:13" x14ac:dyDescent="0.25">
      <c r="A249" t="s">
        <v>9</v>
      </c>
      <c r="B249" t="s">
        <v>134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25">
      <c r="A250" t="s">
        <v>9</v>
      </c>
      <c r="B250" t="s">
        <v>134</v>
      </c>
      <c r="C250">
        <v>2025</v>
      </c>
      <c r="D250">
        <v>45</v>
      </c>
      <c r="E250">
        <v>1.06</v>
      </c>
      <c r="F250">
        <v>1.08</v>
      </c>
      <c r="G250">
        <v>0.19</v>
      </c>
      <c r="H250">
        <v>0</v>
      </c>
      <c r="I250">
        <v>1.4</v>
      </c>
      <c r="J250">
        <v>1.05</v>
      </c>
      <c r="K250">
        <v>1.1100000000000001</v>
      </c>
      <c r="L250" t="s">
        <v>10</v>
      </c>
      <c r="M250" t="s">
        <v>70</v>
      </c>
    </row>
    <row r="251" spans="1:13" x14ac:dyDescent="0.25">
      <c r="A251" t="s">
        <v>9</v>
      </c>
      <c r="B251" t="s">
        <v>134</v>
      </c>
      <c r="C251">
        <v>2030</v>
      </c>
      <c r="D251">
        <v>45</v>
      </c>
      <c r="E251">
        <v>1.22</v>
      </c>
      <c r="F251">
        <v>1.29</v>
      </c>
      <c r="G251">
        <v>0.24</v>
      </c>
      <c r="H251">
        <v>0</v>
      </c>
      <c r="I251">
        <v>1.69</v>
      </c>
      <c r="J251">
        <v>1.1000000000000001</v>
      </c>
      <c r="K251">
        <v>1.34</v>
      </c>
      <c r="L251" t="s">
        <v>10</v>
      </c>
      <c r="M251" t="s">
        <v>70</v>
      </c>
    </row>
    <row r="252" spans="1:13" x14ac:dyDescent="0.25">
      <c r="A252" t="s">
        <v>9</v>
      </c>
      <c r="B252" t="s">
        <v>134</v>
      </c>
      <c r="C252">
        <v>2035</v>
      </c>
      <c r="D252">
        <v>45</v>
      </c>
      <c r="E252">
        <v>1.28</v>
      </c>
      <c r="F252">
        <v>1.28</v>
      </c>
      <c r="G252">
        <v>0.35</v>
      </c>
      <c r="H252">
        <v>0</v>
      </c>
      <c r="I252">
        <v>2.8</v>
      </c>
      <c r="J252">
        <v>1.1299999999999999</v>
      </c>
      <c r="K252">
        <v>1.32</v>
      </c>
      <c r="L252" t="s">
        <v>10</v>
      </c>
      <c r="M252" t="s">
        <v>70</v>
      </c>
    </row>
    <row r="253" spans="1:13" x14ac:dyDescent="0.25">
      <c r="A253" t="s">
        <v>9</v>
      </c>
      <c r="B253" t="s">
        <v>134</v>
      </c>
      <c r="C253">
        <v>2040</v>
      </c>
      <c r="D253">
        <v>45</v>
      </c>
      <c r="E253">
        <v>1.39</v>
      </c>
      <c r="F253">
        <v>1.4</v>
      </c>
      <c r="G253">
        <v>0.42</v>
      </c>
      <c r="H253">
        <v>0</v>
      </c>
      <c r="I253">
        <v>3.36</v>
      </c>
      <c r="J253">
        <v>1.21</v>
      </c>
      <c r="K253">
        <v>1.46</v>
      </c>
      <c r="L253" t="s">
        <v>10</v>
      </c>
      <c r="M253" t="s">
        <v>70</v>
      </c>
    </row>
    <row r="254" spans="1:13" x14ac:dyDescent="0.25">
      <c r="A254" t="s">
        <v>9</v>
      </c>
      <c r="B254" t="s">
        <v>134</v>
      </c>
      <c r="C254">
        <v>2045</v>
      </c>
      <c r="D254">
        <v>45</v>
      </c>
      <c r="E254">
        <v>1.47</v>
      </c>
      <c r="F254">
        <v>1.48</v>
      </c>
      <c r="G254">
        <v>0.48</v>
      </c>
      <c r="H254">
        <v>0</v>
      </c>
      <c r="I254">
        <v>3.81</v>
      </c>
      <c r="J254">
        <v>1.21</v>
      </c>
      <c r="K254">
        <v>1.54</v>
      </c>
      <c r="L254" t="s">
        <v>10</v>
      </c>
      <c r="M254" t="s">
        <v>70</v>
      </c>
    </row>
    <row r="255" spans="1:13" x14ac:dyDescent="0.25">
      <c r="A255" t="s">
        <v>9</v>
      </c>
      <c r="B255" t="s">
        <v>134</v>
      </c>
      <c r="C255">
        <v>2050</v>
      </c>
      <c r="D255">
        <v>45</v>
      </c>
      <c r="E255">
        <v>1.55</v>
      </c>
      <c r="F255">
        <v>1.53</v>
      </c>
      <c r="G255">
        <v>0.55000000000000004</v>
      </c>
      <c r="H255">
        <v>0</v>
      </c>
      <c r="I255">
        <v>4.29</v>
      </c>
      <c r="J255">
        <v>1.27</v>
      </c>
      <c r="K255">
        <v>1.61</v>
      </c>
      <c r="L255" t="s">
        <v>10</v>
      </c>
      <c r="M255" t="s">
        <v>70</v>
      </c>
    </row>
    <row r="256" spans="1:13" x14ac:dyDescent="0.25">
      <c r="A256" t="s">
        <v>0</v>
      </c>
      <c r="B256" t="s">
        <v>134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25">
      <c r="A257" t="s">
        <v>0</v>
      </c>
      <c r="B257" t="s">
        <v>134</v>
      </c>
      <c r="C257">
        <v>2025</v>
      </c>
      <c r="D257">
        <v>50</v>
      </c>
      <c r="E257">
        <v>1.73</v>
      </c>
      <c r="F257">
        <v>1.62</v>
      </c>
      <c r="G257">
        <v>0.63</v>
      </c>
      <c r="H257">
        <v>0.95</v>
      </c>
      <c r="I257">
        <v>4.41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25">
      <c r="A258" t="s">
        <v>0</v>
      </c>
      <c r="B258" t="s">
        <v>134</v>
      </c>
      <c r="C258">
        <v>2030</v>
      </c>
      <c r="D258">
        <v>50</v>
      </c>
      <c r="E258">
        <v>2.5299999999999998</v>
      </c>
      <c r="F258">
        <v>2.5099999999999998</v>
      </c>
      <c r="G258">
        <v>1.33</v>
      </c>
      <c r="H258">
        <v>-1.32</v>
      </c>
      <c r="I258">
        <v>6.74</v>
      </c>
      <c r="J258">
        <v>1.9</v>
      </c>
      <c r="K258">
        <v>3.24</v>
      </c>
      <c r="L258" t="s">
        <v>1</v>
      </c>
      <c r="M258" t="s">
        <v>71</v>
      </c>
    </row>
    <row r="259" spans="1:13" x14ac:dyDescent="0.25">
      <c r="A259" t="s">
        <v>0</v>
      </c>
      <c r="B259" t="s">
        <v>134</v>
      </c>
      <c r="C259">
        <v>2035</v>
      </c>
      <c r="D259">
        <v>50</v>
      </c>
      <c r="E259">
        <v>3.01</v>
      </c>
      <c r="F259">
        <v>2.86</v>
      </c>
      <c r="G259">
        <v>1.59</v>
      </c>
      <c r="H259">
        <v>0</v>
      </c>
      <c r="I259">
        <v>7.28</v>
      </c>
      <c r="J259">
        <v>1.98</v>
      </c>
      <c r="K259">
        <v>3.44</v>
      </c>
      <c r="L259" t="s">
        <v>1</v>
      </c>
      <c r="M259" t="s">
        <v>71</v>
      </c>
    </row>
    <row r="260" spans="1:13" x14ac:dyDescent="0.25">
      <c r="A260" t="s">
        <v>0</v>
      </c>
      <c r="B260" t="s">
        <v>134</v>
      </c>
      <c r="C260">
        <v>2040</v>
      </c>
      <c r="D260">
        <v>50</v>
      </c>
      <c r="E260">
        <v>3.8</v>
      </c>
      <c r="F260">
        <v>3.37</v>
      </c>
      <c r="G260">
        <v>1.99</v>
      </c>
      <c r="H260">
        <v>0</v>
      </c>
      <c r="I260">
        <v>8.7200000000000006</v>
      </c>
      <c r="J260">
        <v>2.76</v>
      </c>
      <c r="K260">
        <v>4.33</v>
      </c>
      <c r="L260" t="s">
        <v>1</v>
      </c>
      <c r="M260" t="s">
        <v>71</v>
      </c>
    </row>
    <row r="261" spans="1:13" x14ac:dyDescent="0.25">
      <c r="A261" t="s">
        <v>0</v>
      </c>
      <c r="B261" t="s">
        <v>134</v>
      </c>
      <c r="C261">
        <v>2045</v>
      </c>
      <c r="D261">
        <v>50</v>
      </c>
      <c r="E261">
        <v>4.3899999999999997</v>
      </c>
      <c r="F261">
        <v>4.05</v>
      </c>
      <c r="G261">
        <v>2.66</v>
      </c>
      <c r="H261">
        <v>-0.08</v>
      </c>
      <c r="I261">
        <v>9.31</v>
      </c>
      <c r="J261">
        <v>3.37</v>
      </c>
      <c r="K261">
        <v>5.04</v>
      </c>
      <c r="L261" t="s">
        <v>1</v>
      </c>
      <c r="M261" t="s">
        <v>71</v>
      </c>
    </row>
    <row r="262" spans="1:13" x14ac:dyDescent="0.25">
      <c r="A262" t="s">
        <v>0</v>
      </c>
      <c r="B262" t="s">
        <v>134</v>
      </c>
      <c r="C262">
        <v>2050</v>
      </c>
      <c r="D262">
        <v>50</v>
      </c>
      <c r="E262">
        <v>4.87</v>
      </c>
      <c r="F262">
        <v>4.78</v>
      </c>
      <c r="G262">
        <v>3.11</v>
      </c>
      <c r="H262">
        <v>-0.42</v>
      </c>
      <c r="I262">
        <v>10.3</v>
      </c>
      <c r="J262">
        <v>3.61</v>
      </c>
      <c r="K262">
        <v>6.35</v>
      </c>
      <c r="L262" t="s">
        <v>1</v>
      </c>
      <c r="M262" t="s">
        <v>71</v>
      </c>
    </row>
    <row r="263" spans="1:13" x14ac:dyDescent="0.25">
      <c r="A263" t="s">
        <v>2</v>
      </c>
      <c r="B263" t="s">
        <v>134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25">
      <c r="A264" t="s">
        <v>2</v>
      </c>
      <c r="B264" t="s">
        <v>134</v>
      </c>
      <c r="C264">
        <v>2025</v>
      </c>
      <c r="D264">
        <v>52</v>
      </c>
      <c r="E264">
        <v>1.32</v>
      </c>
      <c r="F264">
        <v>1.27</v>
      </c>
      <c r="G264">
        <v>0.28999999999999998</v>
      </c>
      <c r="H264">
        <v>0.85</v>
      </c>
      <c r="I264">
        <v>1.84</v>
      </c>
      <c r="J264">
        <v>1.08</v>
      </c>
      <c r="K264">
        <v>1.62</v>
      </c>
      <c r="L264" t="s">
        <v>3</v>
      </c>
      <c r="M264" t="s">
        <v>71</v>
      </c>
    </row>
    <row r="265" spans="1:13" x14ac:dyDescent="0.25">
      <c r="A265" t="s">
        <v>2</v>
      </c>
      <c r="B265" t="s">
        <v>134</v>
      </c>
      <c r="C265">
        <v>2030</v>
      </c>
      <c r="D265">
        <v>63</v>
      </c>
      <c r="E265">
        <v>1.88</v>
      </c>
      <c r="F265">
        <v>1.37</v>
      </c>
      <c r="G265">
        <v>1.33</v>
      </c>
      <c r="H265">
        <v>0.77</v>
      </c>
      <c r="I265">
        <v>7.32</v>
      </c>
      <c r="J265">
        <v>1.0900000000000001</v>
      </c>
      <c r="K265">
        <v>2.14</v>
      </c>
      <c r="L265" t="s">
        <v>3</v>
      </c>
      <c r="M265" t="s">
        <v>71</v>
      </c>
    </row>
    <row r="266" spans="1:13" x14ac:dyDescent="0.25">
      <c r="A266" t="s">
        <v>2</v>
      </c>
      <c r="B266" t="s">
        <v>134</v>
      </c>
      <c r="C266">
        <v>2035</v>
      </c>
      <c r="D266">
        <v>52</v>
      </c>
      <c r="E266">
        <v>2.69</v>
      </c>
      <c r="F266">
        <v>1.94</v>
      </c>
      <c r="G266">
        <v>3.26</v>
      </c>
      <c r="H266">
        <v>0.72</v>
      </c>
      <c r="I266">
        <v>19.32</v>
      </c>
      <c r="J266">
        <v>1.25</v>
      </c>
      <c r="K266">
        <v>2.8</v>
      </c>
      <c r="L266" t="s">
        <v>3</v>
      </c>
      <c r="M266" t="s">
        <v>71</v>
      </c>
    </row>
    <row r="267" spans="1:13" x14ac:dyDescent="0.25">
      <c r="A267" t="s">
        <v>2</v>
      </c>
      <c r="B267" t="s">
        <v>134</v>
      </c>
      <c r="C267">
        <v>2040</v>
      </c>
      <c r="D267">
        <v>63</v>
      </c>
      <c r="E267">
        <v>3.43</v>
      </c>
      <c r="F267">
        <v>2.3199999999999998</v>
      </c>
      <c r="G267">
        <v>3.61</v>
      </c>
      <c r="H267">
        <v>0.17</v>
      </c>
      <c r="I267">
        <v>20.37</v>
      </c>
      <c r="J267">
        <v>1.47</v>
      </c>
      <c r="K267">
        <v>3.32</v>
      </c>
      <c r="L267" t="s">
        <v>3</v>
      </c>
      <c r="M267" t="s">
        <v>71</v>
      </c>
    </row>
    <row r="268" spans="1:13" x14ac:dyDescent="0.25">
      <c r="A268" t="s">
        <v>2</v>
      </c>
      <c r="B268" t="s">
        <v>134</v>
      </c>
      <c r="C268">
        <v>2045</v>
      </c>
      <c r="D268">
        <v>52</v>
      </c>
      <c r="E268">
        <v>2.75</v>
      </c>
      <c r="F268">
        <v>2.2599999999999998</v>
      </c>
      <c r="G268">
        <v>1.85</v>
      </c>
      <c r="H268">
        <v>0</v>
      </c>
      <c r="I268">
        <v>9.33</v>
      </c>
      <c r="J268">
        <v>1.44</v>
      </c>
      <c r="K268">
        <v>3.74</v>
      </c>
      <c r="L268" t="s">
        <v>3</v>
      </c>
      <c r="M268" t="s">
        <v>71</v>
      </c>
    </row>
    <row r="269" spans="1:13" x14ac:dyDescent="0.25">
      <c r="A269" t="s">
        <v>2</v>
      </c>
      <c r="B269" t="s">
        <v>134</v>
      </c>
      <c r="C269">
        <v>2050</v>
      </c>
      <c r="D269">
        <v>63</v>
      </c>
      <c r="E269">
        <v>3.07</v>
      </c>
      <c r="F269">
        <v>1.81</v>
      </c>
      <c r="G269">
        <v>3.48</v>
      </c>
      <c r="H269">
        <v>-0.55000000000000004</v>
      </c>
      <c r="I269">
        <v>16.579999999999998</v>
      </c>
      <c r="J269">
        <v>1.0900000000000001</v>
      </c>
      <c r="K269">
        <v>4.1900000000000004</v>
      </c>
      <c r="L269" t="s">
        <v>3</v>
      </c>
      <c r="M269" t="s">
        <v>71</v>
      </c>
    </row>
    <row r="270" spans="1:13" x14ac:dyDescent="0.25">
      <c r="A270" t="s">
        <v>5</v>
      </c>
      <c r="B270" t="s">
        <v>134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25">
      <c r="A271" t="s">
        <v>5</v>
      </c>
      <c r="B271" t="s">
        <v>134</v>
      </c>
      <c r="C271">
        <v>2025</v>
      </c>
      <c r="D271">
        <v>160</v>
      </c>
      <c r="E271">
        <v>1.37</v>
      </c>
      <c r="F271">
        <v>1.32</v>
      </c>
      <c r="G271">
        <v>0.26</v>
      </c>
      <c r="H271">
        <v>0.82</v>
      </c>
      <c r="I271">
        <v>2.75</v>
      </c>
      <c r="J271">
        <v>1.17</v>
      </c>
      <c r="K271">
        <v>1.56</v>
      </c>
      <c r="L271" t="s">
        <v>6</v>
      </c>
      <c r="M271" t="s">
        <v>71</v>
      </c>
    </row>
    <row r="272" spans="1:13" x14ac:dyDescent="0.25">
      <c r="A272" t="s">
        <v>5</v>
      </c>
      <c r="B272" t="s">
        <v>134</v>
      </c>
      <c r="C272">
        <v>2030</v>
      </c>
      <c r="D272">
        <v>163</v>
      </c>
      <c r="E272">
        <v>1.63</v>
      </c>
      <c r="F272">
        <v>1.47</v>
      </c>
      <c r="G272">
        <v>0.49</v>
      </c>
      <c r="H272">
        <v>0.86</v>
      </c>
      <c r="I272">
        <v>2.78</v>
      </c>
      <c r="J272">
        <v>1.24</v>
      </c>
      <c r="K272">
        <v>2.0099999999999998</v>
      </c>
      <c r="L272" t="s">
        <v>6</v>
      </c>
      <c r="M272" t="s">
        <v>71</v>
      </c>
    </row>
    <row r="273" spans="1:13" x14ac:dyDescent="0.25">
      <c r="A273" t="s">
        <v>5</v>
      </c>
      <c r="B273" t="s">
        <v>134</v>
      </c>
      <c r="C273">
        <v>2035</v>
      </c>
      <c r="D273">
        <v>160</v>
      </c>
      <c r="E273">
        <v>1.97</v>
      </c>
      <c r="F273">
        <v>1.96</v>
      </c>
      <c r="G273">
        <v>0.79</v>
      </c>
      <c r="H273">
        <v>0.9</v>
      </c>
      <c r="I273">
        <v>8.0399999999999991</v>
      </c>
      <c r="J273">
        <v>1.46</v>
      </c>
      <c r="K273">
        <v>2.2799999999999998</v>
      </c>
      <c r="L273" t="s">
        <v>6</v>
      </c>
      <c r="M273" t="s">
        <v>71</v>
      </c>
    </row>
    <row r="274" spans="1:13" x14ac:dyDescent="0.25">
      <c r="A274" t="s">
        <v>5</v>
      </c>
      <c r="B274" t="s">
        <v>134</v>
      </c>
      <c r="C274">
        <v>2040</v>
      </c>
      <c r="D274">
        <v>163</v>
      </c>
      <c r="E274">
        <v>2.25</v>
      </c>
      <c r="F274">
        <v>2.2999999999999998</v>
      </c>
      <c r="G274">
        <v>0.93</v>
      </c>
      <c r="H274">
        <v>0.92</v>
      </c>
      <c r="I274">
        <v>9.41</v>
      </c>
      <c r="J274">
        <v>1.61</v>
      </c>
      <c r="K274">
        <v>2.66</v>
      </c>
      <c r="L274" t="s">
        <v>6</v>
      </c>
      <c r="M274" t="s">
        <v>71</v>
      </c>
    </row>
    <row r="275" spans="1:13" x14ac:dyDescent="0.25">
      <c r="A275" t="s">
        <v>5</v>
      </c>
      <c r="B275" t="s">
        <v>134</v>
      </c>
      <c r="C275">
        <v>2045</v>
      </c>
      <c r="D275">
        <v>160</v>
      </c>
      <c r="E275">
        <v>2.66</v>
      </c>
      <c r="F275">
        <v>2.76</v>
      </c>
      <c r="G275">
        <v>1.02</v>
      </c>
      <c r="H275">
        <v>0.25</v>
      </c>
      <c r="I275">
        <v>6.72</v>
      </c>
      <c r="J275">
        <v>1.82</v>
      </c>
      <c r="K275">
        <v>3.21</v>
      </c>
      <c r="L275" t="s">
        <v>6</v>
      </c>
      <c r="M275" t="s">
        <v>71</v>
      </c>
    </row>
    <row r="276" spans="1:13" x14ac:dyDescent="0.25">
      <c r="A276" t="s">
        <v>5</v>
      </c>
      <c r="B276" t="s">
        <v>134</v>
      </c>
      <c r="C276">
        <v>2050</v>
      </c>
      <c r="D276">
        <v>163</v>
      </c>
      <c r="E276">
        <v>2.82</v>
      </c>
      <c r="F276">
        <v>2.94</v>
      </c>
      <c r="G276">
        <v>1.27</v>
      </c>
      <c r="H276">
        <v>0.05</v>
      </c>
      <c r="I276">
        <v>5.95</v>
      </c>
      <c r="J276">
        <v>1.76</v>
      </c>
      <c r="K276">
        <v>3.66</v>
      </c>
      <c r="L276" t="s">
        <v>6</v>
      </c>
      <c r="M276" t="s">
        <v>71</v>
      </c>
    </row>
    <row r="277" spans="1:13" x14ac:dyDescent="0.25">
      <c r="A277" t="s">
        <v>7</v>
      </c>
      <c r="B277" t="s">
        <v>134</v>
      </c>
      <c r="C277">
        <v>2020</v>
      </c>
      <c r="D277">
        <v>53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25">
      <c r="A278" t="s">
        <v>7</v>
      </c>
      <c r="B278" t="s">
        <v>134</v>
      </c>
      <c r="C278">
        <v>2025</v>
      </c>
      <c r="D278">
        <v>53</v>
      </c>
      <c r="E278">
        <v>1.23</v>
      </c>
      <c r="F278">
        <v>1.2</v>
      </c>
      <c r="G278">
        <v>0.11</v>
      </c>
      <c r="H278">
        <v>1.01</v>
      </c>
      <c r="I278">
        <v>1.64</v>
      </c>
      <c r="J278">
        <v>1.17</v>
      </c>
      <c r="K278">
        <v>1.28</v>
      </c>
      <c r="L278" t="s">
        <v>8</v>
      </c>
      <c r="M278" t="s">
        <v>71</v>
      </c>
    </row>
    <row r="279" spans="1:13" x14ac:dyDescent="0.25">
      <c r="A279" t="s">
        <v>7</v>
      </c>
      <c r="B279" t="s">
        <v>134</v>
      </c>
      <c r="C279">
        <v>2030</v>
      </c>
      <c r="D279">
        <v>53</v>
      </c>
      <c r="E279">
        <v>1.31</v>
      </c>
      <c r="F279">
        <v>1.24</v>
      </c>
      <c r="G279">
        <v>0.21</v>
      </c>
      <c r="H279">
        <v>1</v>
      </c>
      <c r="I279">
        <v>2.11</v>
      </c>
      <c r="J279">
        <v>1.1200000000000001</v>
      </c>
      <c r="K279">
        <v>1.4</v>
      </c>
      <c r="L279" t="s">
        <v>8</v>
      </c>
      <c r="M279" t="s">
        <v>71</v>
      </c>
    </row>
    <row r="280" spans="1:13" x14ac:dyDescent="0.25">
      <c r="A280" t="s">
        <v>7</v>
      </c>
      <c r="B280" t="s">
        <v>134</v>
      </c>
      <c r="C280">
        <v>2035</v>
      </c>
      <c r="D280">
        <v>53</v>
      </c>
      <c r="E280">
        <v>1.47</v>
      </c>
      <c r="F280">
        <v>1.47</v>
      </c>
      <c r="G280">
        <v>0.22</v>
      </c>
      <c r="H280">
        <v>1.01</v>
      </c>
      <c r="I280">
        <v>1.95</v>
      </c>
      <c r="J280">
        <v>1.25</v>
      </c>
      <c r="K280">
        <v>1.6</v>
      </c>
      <c r="L280" t="s">
        <v>8</v>
      </c>
      <c r="M280" t="s">
        <v>71</v>
      </c>
    </row>
    <row r="281" spans="1:13" x14ac:dyDescent="0.25">
      <c r="A281" t="s">
        <v>7</v>
      </c>
      <c r="B281" t="s">
        <v>134</v>
      </c>
      <c r="C281">
        <v>2040</v>
      </c>
      <c r="D281">
        <v>53</v>
      </c>
      <c r="E281">
        <v>1.63</v>
      </c>
      <c r="F281">
        <v>1.52</v>
      </c>
      <c r="G281">
        <v>0.35</v>
      </c>
      <c r="H281">
        <v>1</v>
      </c>
      <c r="I281">
        <v>2.58</v>
      </c>
      <c r="J281">
        <v>1.33</v>
      </c>
      <c r="K281">
        <v>1.92</v>
      </c>
      <c r="L281" t="s">
        <v>8</v>
      </c>
      <c r="M281" t="s">
        <v>71</v>
      </c>
    </row>
    <row r="282" spans="1:13" x14ac:dyDescent="0.25">
      <c r="A282" t="s">
        <v>7</v>
      </c>
      <c r="B282" t="s">
        <v>134</v>
      </c>
      <c r="C282">
        <v>2045</v>
      </c>
      <c r="D282">
        <v>53</v>
      </c>
      <c r="E282">
        <v>1.86</v>
      </c>
      <c r="F282">
        <v>1.76</v>
      </c>
      <c r="G282">
        <v>0.4</v>
      </c>
      <c r="H282">
        <v>0.99</v>
      </c>
      <c r="I282">
        <v>2.9</v>
      </c>
      <c r="J282">
        <v>1.64</v>
      </c>
      <c r="K282">
        <v>2.13</v>
      </c>
      <c r="L282" t="s">
        <v>8</v>
      </c>
      <c r="M282" t="s">
        <v>71</v>
      </c>
    </row>
    <row r="283" spans="1:13" x14ac:dyDescent="0.25">
      <c r="A283" t="s">
        <v>7</v>
      </c>
      <c r="B283" t="s">
        <v>134</v>
      </c>
      <c r="C283">
        <v>2050</v>
      </c>
      <c r="D283">
        <v>53</v>
      </c>
      <c r="E283">
        <v>1.94</v>
      </c>
      <c r="F283">
        <v>1.79</v>
      </c>
      <c r="G283">
        <v>0.51</v>
      </c>
      <c r="H283">
        <v>0.92</v>
      </c>
      <c r="I283">
        <v>3.17</v>
      </c>
      <c r="J283">
        <v>1.55</v>
      </c>
      <c r="K283">
        <v>2.36</v>
      </c>
      <c r="L283" t="s">
        <v>8</v>
      </c>
      <c r="M283" t="s">
        <v>71</v>
      </c>
    </row>
    <row r="284" spans="1:13" x14ac:dyDescent="0.25">
      <c r="A284" t="s">
        <v>9</v>
      </c>
      <c r="B284" t="s">
        <v>134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25">
      <c r="A285" t="s">
        <v>9</v>
      </c>
      <c r="B285" t="s">
        <v>134</v>
      </c>
      <c r="C285">
        <v>2025</v>
      </c>
      <c r="D285">
        <v>40</v>
      </c>
      <c r="E285">
        <v>1.19</v>
      </c>
      <c r="F285">
        <v>1.17</v>
      </c>
      <c r="G285">
        <v>0.17</v>
      </c>
      <c r="H285">
        <v>0.78</v>
      </c>
      <c r="I285">
        <v>1.47</v>
      </c>
      <c r="J285">
        <v>1.07</v>
      </c>
      <c r="K285">
        <v>1.34</v>
      </c>
      <c r="L285" t="s">
        <v>10</v>
      </c>
      <c r="M285" t="s">
        <v>71</v>
      </c>
    </row>
    <row r="286" spans="1:13" x14ac:dyDescent="0.25">
      <c r="A286" t="s">
        <v>9</v>
      </c>
      <c r="B286" t="s">
        <v>134</v>
      </c>
      <c r="C286">
        <v>2030</v>
      </c>
      <c r="D286">
        <v>40</v>
      </c>
      <c r="E286">
        <v>1.4</v>
      </c>
      <c r="F286">
        <v>1.34</v>
      </c>
      <c r="G286">
        <v>0.32</v>
      </c>
      <c r="H286">
        <v>1</v>
      </c>
      <c r="I286">
        <v>2.29</v>
      </c>
      <c r="J286">
        <v>1.1299999999999999</v>
      </c>
      <c r="K286">
        <v>1.7</v>
      </c>
      <c r="L286" t="s">
        <v>10</v>
      </c>
      <c r="M286" t="s">
        <v>71</v>
      </c>
    </row>
    <row r="287" spans="1:13" x14ac:dyDescent="0.25">
      <c r="A287" t="s">
        <v>9</v>
      </c>
      <c r="B287" t="s">
        <v>134</v>
      </c>
      <c r="C287">
        <v>2035</v>
      </c>
      <c r="D287">
        <v>40</v>
      </c>
      <c r="E287">
        <v>1.34</v>
      </c>
      <c r="F287">
        <v>1.33</v>
      </c>
      <c r="G287">
        <v>0.22</v>
      </c>
      <c r="H287">
        <v>0.99</v>
      </c>
      <c r="I287">
        <v>1.72</v>
      </c>
      <c r="J287">
        <v>1.17</v>
      </c>
      <c r="K287">
        <v>1.52</v>
      </c>
      <c r="L287" t="s">
        <v>10</v>
      </c>
      <c r="M287" t="s">
        <v>71</v>
      </c>
    </row>
    <row r="288" spans="1:13" x14ac:dyDescent="0.25">
      <c r="A288" t="s">
        <v>9</v>
      </c>
      <c r="B288" t="s">
        <v>134</v>
      </c>
      <c r="C288">
        <v>2040</v>
      </c>
      <c r="D288">
        <v>40</v>
      </c>
      <c r="E288">
        <v>1.47</v>
      </c>
      <c r="F288">
        <v>1.44</v>
      </c>
      <c r="G288">
        <v>0.31</v>
      </c>
      <c r="H288">
        <v>0.97</v>
      </c>
      <c r="I288">
        <v>2.23</v>
      </c>
      <c r="J288">
        <v>1.23</v>
      </c>
      <c r="K288">
        <v>1.68</v>
      </c>
      <c r="L288" t="s">
        <v>10</v>
      </c>
      <c r="M288" t="s">
        <v>71</v>
      </c>
    </row>
    <row r="289" spans="1:13" x14ac:dyDescent="0.25">
      <c r="A289" t="s">
        <v>9</v>
      </c>
      <c r="B289" t="s">
        <v>134</v>
      </c>
      <c r="C289">
        <v>2045</v>
      </c>
      <c r="D289">
        <v>40</v>
      </c>
      <c r="E289">
        <v>1.61</v>
      </c>
      <c r="F289">
        <v>1.63</v>
      </c>
      <c r="G289">
        <v>0.43</v>
      </c>
      <c r="H289">
        <v>0.96</v>
      </c>
      <c r="I289">
        <v>2.4700000000000002</v>
      </c>
      <c r="J289">
        <v>1.24</v>
      </c>
      <c r="K289">
        <v>2.0099999999999998</v>
      </c>
      <c r="L289" t="s">
        <v>10</v>
      </c>
      <c r="M289" t="s">
        <v>71</v>
      </c>
    </row>
    <row r="290" spans="1:13" x14ac:dyDescent="0.25">
      <c r="A290" t="s">
        <v>9</v>
      </c>
      <c r="B290" t="s">
        <v>134</v>
      </c>
      <c r="C290">
        <v>2050</v>
      </c>
      <c r="D290">
        <v>40</v>
      </c>
      <c r="E290">
        <v>1.79</v>
      </c>
      <c r="F290">
        <v>1.89</v>
      </c>
      <c r="G290">
        <v>0.51</v>
      </c>
      <c r="H290">
        <v>0.98</v>
      </c>
      <c r="I290">
        <v>2.96</v>
      </c>
      <c r="J290">
        <v>1.4</v>
      </c>
      <c r="K290">
        <v>2.2400000000000002</v>
      </c>
      <c r="L290" t="s">
        <v>10</v>
      </c>
      <c r="M290" t="s">
        <v>71</v>
      </c>
    </row>
    <row r="291" spans="1:13" x14ac:dyDescent="0.2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25">
      <c r="A292" t="s">
        <v>0</v>
      </c>
      <c r="B292" t="s">
        <v>134</v>
      </c>
      <c r="C292">
        <v>2025</v>
      </c>
      <c r="D292">
        <v>20</v>
      </c>
      <c r="E292">
        <v>3.95</v>
      </c>
      <c r="F292">
        <v>3.39</v>
      </c>
      <c r="G292">
        <v>2.68</v>
      </c>
      <c r="H292">
        <v>1.49</v>
      </c>
      <c r="I292">
        <v>12.33</v>
      </c>
      <c r="J292">
        <v>2.16</v>
      </c>
      <c r="K292">
        <v>4.57</v>
      </c>
      <c r="L292" t="s">
        <v>1</v>
      </c>
      <c r="M292" t="s">
        <v>72</v>
      </c>
    </row>
    <row r="293" spans="1:13" x14ac:dyDescent="0.25">
      <c r="A293" t="s">
        <v>0</v>
      </c>
      <c r="B293" t="s">
        <v>134</v>
      </c>
      <c r="C293">
        <v>2030</v>
      </c>
      <c r="D293">
        <v>20</v>
      </c>
      <c r="E293">
        <v>7.11</v>
      </c>
      <c r="F293">
        <v>7.23</v>
      </c>
      <c r="G293">
        <v>3.96</v>
      </c>
      <c r="H293">
        <v>1.39</v>
      </c>
      <c r="I293">
        <v>19.34</v>
      </c>
      <c r="J293">
        <v>4.37</v>
      </c>
      <c r="K293">
        <v>7.45</v>
      </c>
      <c r="L293" t="s">
        <v>1</v>
      </c>
      <c r="M293" t="s">
        <v>72</v>
      </c>
    </row>
    <row r="294" spans="1:13" x14ac:dyDescent="0.25">
      <c r="A294" t="s">
        <v>0</v>
      </c>
      <c r="B294" t="s">
        <v>134</v>
      </c>
      <c r="C294">
        <v>2035</v>
      </c>
      <c r="D294">
        <v>20</v>
      </c>
      <c r="E294">
        <v>9.39</v>
      </c>
      <c r="F294">
        <v>10.19</v>
      </c>
      <c r="G294">
        <v>5.99</v>
      </c>
      <c r="H294">
        <v>2.04</v>
      </c>
      <c r="I294">
        <v>23.54</v>
      </c>
      <c r="J294">
        <v>3.8</v>
      </c>
      <c r="K294">
        <v>13.4</v>
      </c>
      <c r="L294" t="s">
        <v>1</v>
      </c>
      <c r="M294" t="s">
        <v>72</v>
      </c>
    </row>
    <row r="295" spans="1:13" x14ac:dyDescent="0.25">
      <c r="A295" t="s">
        <v>0</v>
      </c>
      <c r="B295" t="s">
        <v>134</v>
      </c>
      <c r="C295">
        <v>2040</v>
      </c>
      <c r="D295">
        <v>20</v>
      </c>
      <c r="E295">
        <v>12.29</v>
      </c>
      <c r="F295">
        <v>12.94</v>
      </c>
      <c r="G295">
        <v>8.2100000000000009</v>
      </c>
      <c r="H295">
        <v>2.75</v>
      </c>
      <c r="I295">
        <v>27.91</v>
      </c>
      <c r="J295">
        <v>2.95</v>
      </c>
      <c r="K295">
        <v>18.75</v>
      </c>
      <c r="L295" t="s">
        <v>1</v>
      </c>
      <c r="M295" t="s">
        <v>72</v>
      </c>
    </row>
    <row r="296" spans="1:13" x14ac:dyDescent="0.25">
      <c r="A296" t="s">
        <v>0</v>
      </c>
      <c r="B296" t="s">
        <v>134</v>
      </c>
      <c r="C296">
        <v>2045</v>
      </c>
      <c r="D296">
        <v>20</v>
      </c>
      <c r="E296">
        <v>14.94</v>
      </c>
      <c r="F296">
        <v>15.1</v>
      </c>
      <c r="G296">
        <v>10.36</v>
      </c>
      <c r="H296">
        <v>2.0099999999999998</v>
      </c>
      <c r="I296">
        <v>33.97</v>
      </c>
      <c r="J296">
        <v>3.48</v>
      </c>
      <c r="K296">
        <v>23.31</v>
      </c>
      <c r="L296" t="s">
        <v>1</v>
      </c>
      <c r="M296" t="s">
        <v>72</v>
      </c>
    </row>
    <row r="297" spans="1:13" x14ac:dyDescent="0.25">
      <c r="A297" t="s">
        <v>0</v>
      </c>
      <c r="B297" t="s">
        <v>134</v>
      </c>
      <c r="C297">
        <v>2050</v>
      </c>
      <c r="D297">
        <v>20</v>
      </c>
      <c r="E297">
        <v>16.63</v>
      </c>
      <c r="F297">
        <v>16.59</v>
      </c>
      <c r="G297">
        <v>11.83</v>
      </c>
      <c r="H297">
        <v>3.17</v>
      </c>
      <c r="I297">
        <v>36.6</v>
      </c>
      <c r="J297">
        <v>3.67</v>
      </c>
      <c r="K297">
        <v>27.11</v>
      </c>
      <c r="L297" t="s">
        <v>1</v>
      </c>
      <c r="M297" t="s">
        <v>72</v>
      </c>
    </row>
    <row r="298" spans="1:13" x14ac:dyDescent="0.25">
      <c r="A298" t="s">
        <v>2</v>
      </c>
      <c r="B298" t="s">
        <v>134</v>
      </c>
      <c r="C298">
        <v>2020</v>
      </c>
      <c r="D298">
        <v>19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25">
      <c r="A299" t="s">
        <v>2</v>
      </c>
      <c r="B299" t="s">
        <v>134</v>
      </c>
      <c r="C299">
        <v>2025</v>
      </c>
      <c r="D299">
        <v>19</v>
      </c>
      <c r="E299">
        <v>1.63</v>
      </c>
      <c r="F299">
        <v>1.31</v>
      </c>
      <c r="G299">
        <v>0.56000000000000005</v>
      </c>
      <c r="H299">
        <v>1.1399999999999999</v>
      </c>
      <c r="I299">
        <v>2.9</v>
      </c>
      <c r="J299">
        <v>1.26</v>
      </c>
      <c r="K299">
        <v>1.88</v>
      </c>
      <c r="L299" t="s">
        <v>3</v>
      </c>
      <c r="M299" t="s">
        <v>72</v>
      </c>
    </row>
    <row r="300" spans="1:13" x14ac:dyDescent="0.25">
      <c r="A300" t="s">
        <v>2</v>
      </c>
      <c r="B300" t="s">
        <v>134</v>
      </c>
      <c r="C300">
        <v>2030</v>
      </c>
      <c r="D300">
        <v>19</v>
      </c>
      <c r="E300">
        <v>2.2599999999999998</v>
      </c>
      <c r="F300">
        <v>1.98</v>
      </c>
      <c r="G300">
        <v>0.62</v>
      </c>
      <c r="H300">
        <v>1.44</v>
      </c>
      <c r="I300">
        <v>3.8</v>
      </c>
      <c r="J300">
        <v>1.9</v>
      </c>
      <c r="K300">
        <v>2.65</v>
      </c>
      <c r="L300" t="s">
        <v>3</v>
      </c>
      <c r="M300" t="s">
        <v>72</v>
      </c>
    </row>
    <row r="301" spans="1:13" x14ac:dyDescent="0.25">
      <c r="A301" t="s">
        <v>2</v>
      </c>
      <c r="B301" t="s">
        <v>134</v>
      </c>
      <c r="C301">
        <v>2035</v>
      </c>
      <c r="D301">
        <v>19</v>
      </c>
      <c r="E301">
        <v>4.6399999999999997</v>
      </c>
      <c r="F301">
        <v>3.55</v>
      </c>
      <c r="G301">
        <v>4.2</v>
      </c>
      <c r="H301">
        <v>0</v>
      </c>
      <c r="I301">
        <v>16.850000000000001</v>
      </c>
      <c r="J301">
        <v>2.71</v>
      </c>
      <c r="K301">
        <v>3.99</v>
      </c>
      <c r="L301" t="s">
        <v>3</v>
      </c>
      <c r="M301" t="s">
        <v>72</v>
      </c>
    </row>
    <row r="302" spans="1:13" x14ac:dyDescent="0.25">
      <c r="A302" t="s">
        <v>2</v>
      </c>
      <c r="B302" t="s">
        <v>134</v>
      </c>
      <c r="C302">
        <v>2040</v>
      </c>
      <c r="D302">
        <v>19</v>
      </c>
      <c r="E302">
        <v>6.08</v>
      </c>
      <c r="F302">
        <v>2.97</v>
      </c>
      <c r="G302">
        <v>6.83</v>
      </c>
      <c r="H302">
        <v>0</v>
      </c>
      <c r="I302">
        <v>26.89</v>
      </c>
      <c r="J302">
        <v>2.56</v>
      </c>
      <c r="K302">
        <v>6.32</v>
      </c>
      <c r="L302" t="s">
        <v>3</v>
      </c>
      <c r="M302" t="s">
        <v>72</v>
      </c>
    </row>
    <row r="303" spans="1:13" x14ac:dyDescent="0.25">
      <c r="A303" t="s">
        <v>2</v>
      </c>
      <c r="B303" t="s">
        <v>134</v>
      </c>
      <c r="C303">
        <v>2045</v>
      </c>
      <c r="D303">
        <v>19</v>
      </c>
      <c r="E303">
        <v>6.01</v>
      </c>
      <c r="F303">
        <v>3.27</v>
      </c>
      <c r="G303">
        <v>6.46</v>
      </c>
      <c r="H303">
        <v>0</v>
      </c>
      <c r="I303">
        <v>22.94</v>
      </c>
      <c r="J303">
        <v>2.82</v>
      </c>
      <c r="K303">
        <v>4.95</v>
      </c>
      <c r="L303" t="s">
        <v>3</v>
      </c>
      <c r="M303" t="s">
        <v>72</v>
      </c>
    </row>
    <row r="304" spans="1:13" x14ac:dyDescent="0.25">
      <c r="A304" t="s">
        <v>2</v>
      </c>
      <c r="B304" t="s">
        <v>134</v>
      </c>
      <c r="C304">
        <v>2050</v>
      </c>
      <c r="D304">
        <v>19</v>
      </c>
      <c r="E304">
        <v>5.0999999999999996</v>
      </c>
      <c r="F304">
        <v>3.33</v>
      </c>
      <c r="G304">
        <v>5.31</v>
      </c>
      <c r="H304">
        <v>0</v>
      </c>
      <c r="I304">
        <v>24.66</v>
      </c>
      <c r="J304">
        <v>2.7</v>
      </c>
      <c r="K304">
        <v>5.58</v>
      </c>
      <c r="L304" t="s">
        <v>3</v>
      </c>
      <c r="M304" t="s">
        <v>72</v>
      </c>
    </row>
    <row r="305" spans="1:13" x14ac:dyDescent="0.25">
      <c r="A305" t="s">
        <v>5</v>
      </c>
      <c r="B305" t="s">
        <v>134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25">
      <c r="A306" t="s">
        <v>5</v>
      </c>
      <c r="B306" t="s">
        <v>134</v>
      </c>
      <c r="C306">
        <v>2025</v>
      </c>
      <c r="D306">
        <v>70</v>
      </c>
      <c r="E306">
        <v>1.94</v>
      </c>
      <c r="F306">
        <v>1.35</v>
      </c>
      <c r="G306">
        <v>1.1299999999999999</v>
      </c>
      <c r="H306">
        <v>1.1399999999999999</v>
      </c>
      <c r="I306">
        <v>6.26</v>
      </c>
      <c r="J306">
        <v>1.21</v>
      </c>
      <c r="K306">
        <v>2.13</v>
      </c>
      <c r="L306" t="s">
        <v>6</v>
      </c>
      <c r="M306" t="s">
        <v>72</v>
      </c>
    </row>
    <row r="307" spans="1:13" x14ac:dyDescent="0.25">
      <c r="A307" t="s">
        <v>5</v>
      </c>
      <c r="B307" t="s">
        <v>134</v>
      </c>
      <c r="C307">
        <v>2030</v>
      </c>
      <c r="D307">
        <v>70</v>
      </c>
      <c r="E307">
        <v>2.68</v>
      </c>
      <c r="F307">
        <v>1.98</v>
      </c>
      <c r="G307">
        <v>1.81</v>
      </c>
      <c r="H307">
        <v>1.31</v>
      </c>
      <c r="I307">
        <v>9.57</v>
      </c>
      <c r="J307">
        <v>1.45</v>
      </c>
      <c r="K307">
        <v>2.5499999999999998</v>
      </c>
      <c r="L307" t="s">
        <v>6</v>
      </c>
      <c r="M307" t="s">
        <v>72</v>
      </c>
    </row>
    <row r="308" spans="1:13" x14ac:dyDescent="0.25">
      <c r="A308" t="s">
        <v>5</v>
      </c>
      <c r="B308" t="s">
        <v>134</v>
      </c>
      <c r="C308">
        <v>2035</v>
      </c>
      <c r="D308">
        <v>70</v>
      </c>
      <c r="E308">
        <v>4.78</v>
      </c>
      <c r="F308">
        <v>3.29</v>
      </c>
      <c r="G308">
        <v>2.74</v>
      </c>
      <c r="H308">
        <v>1.93</v>
      </c>
      <c r="I308">
        <v>12.43</v>
      </c>
      <c r="J308">
        <v>2.4900000000000002</v>
      </c>
      <c r="K308">
        <v>6.76</v>
      </c>
      <c r="L308" t="s">
        <v>6</v>
      </c>
      <c r="M308" t="s">
        <v>72</v>
      </c>
    </row>
    <row r="309" spans="1:13" x14ac:dyDescent="0.25">
      <c r="A309" t="s">
        <v>5</v>
      </c>
      <c r="B309" t="s">
        <v>134</v>
      </c>
      <c r="C309">
        <v>2040</v>
      </c>
      <c r="D309">
        <v>70</v>
      </c>
      <c r="E309">
        <v>6.24</v>
      </c>
      <c r="F309">
        <v>3.37</v>
      </c>
      <c r="G309">
        <v>4.57</v>
      </c>
      <c r="H309">
        <v>1.86</v>
      </c>
      <c r="I309">
        <v>20.96</v>
      </c>
      <c r="J309">
        <v>2.4900000000000002</v>
      </c>
      <c r="K309">
        <v>9.1199999999999992</v>
      </c>
      <c r="L309" t="s">
        <v>6</v>
      </c>
      <c r="M309" t="s">
        <v>72</v>
      </c>
    </row>
    <row r="310" spans="1:13" x14ac:dyDescent="0.25">
      <c r="A310" t="s">
        <v>5</v>
      </c>
      <c r="B310" t="s">
        <v>134</v>
      </c>
      <c r="C310">
        <v>2045</v>
      </c>
      <c r="D310">
        <v>70</v>
      </c>
      <c r="E310">
        <v>7.17</v>
      </c>
      <c r="F310">
        <v>3.91</v>
      </c>
      <c r="G310">
        <v>5.75</v>
      </c>
      <c r="H310">
        <v>1.84</v>
      </c>
      <c r="I310">
        <v>26.67</v>
      </c>
      <c r="J310">
        <v>2.2999999999999998</v>
      </c>
      <c r="K310">
        <v>10.93</v>
      </c>
      <c r="L310" t="s">
        <v>6</v>
      </c>
      <c r="M310" t="s">
        <v>72</v>
      </c>
    </row>
    <row r="311" spans="1:13" x14ac:dyDescent="0.25">
      <c r="A311" t="s">
        <v>5</v>
      </c>
      <c r="B311" t="s">
        <v>134</v>
      </c>
      <c r="C311">
        <v>2050</v>
      </c>
      <c r="D311">
        <v>70</v>
      </c>
      <c r="E311">
        <v>8.02</v>
      </c>
      <c r="F311">
        <v>3.91</v>
      </c>
      <c r="G311">
        <v>6.68</v>
      </c>
      <c r="H311">
        <v>1.81</v>
      </c>
      <c r="I311">
        <v>31.13</v>
      </c>
      <c r="J311">
        <v>2.69</v>
      </c>
      <c r="K311">
        <v>12.02</v>
      </c>
      <c r="L311" t="s">
        <v>6</v>
      </c>
      <c r="M311" t="s">
        <v>72</v>
      </c>
    </row>
    <row r="312" spans="1:13" x14ac:dyDescent="0.25">
      <c r="A312" t="s">
        <v>7</v>
      </c>
      <c r="B312" t="s">
        <v>134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25">
      <c r="A313" t="s">
        <v>7</v>
      </c>
      <c r="B313" t="s">
        <v>134</v>
      </c>
      <c r="C313">
        <v>2025</v>
      </c>
      <c r="D313">
        <v>27</v>
      </c>
      <c r="E313">
        <v>1.61</v>
      </c>
      <c r="F313">
        <v>1.31</v>
      </c>
      <c r="G313">
        <v>0.61</v>
      </c>
      <c r="H313">
        <v>0.88</v>
      </c>
      <c r="I313">
        <v>2.96</v>
      </c>
      <c r="J313">
        <v>1.21</v>
      </c>
      <c r="K313">
        <v>1.87</v>
      </c>
      <c r="L313" t="s">
        <v>8</v>
      </c>
      <c r="M313" t="s">
        <v>72</v>
      </c>
    </row>
    <row r="314" spans="1:13" x14ac:dyDescent="0.25">
      <c r="A314" t="s">
        <v>7</v>
      </c>
      <c r="B314" t="s">
        <v>134</v>
      </c>
      <c r="C314">
        <v>2030</v>
      </c>
      <c r="D314">
        <v>27</v>
      </c>
      <c r="E314">
        <v>2.27</v>
      </c>
      <c r="F314">
        <v>1.98</v>
      </c>
      <c r="G314">
        <v>0.92</v>
      </c>
      <c r="H314">
        <v>1.44</v>
      </c>
      <c r="I314">
        <v>4.3</v>
      </c>
      <c r="J314">
        <v>1.45</v>
      </c>
      <c r="K314">
        <v>2.97</v>
      </c>
      <c r="L314" t="s">
        <v>8</v>
      </c>
      <c r="M314" t="s">
        <v>72</v>
      </c>
    </row>
    <row r="315" spans="1:13" x14ac:dyDescent="0.25">
      <c r="A315" t="s">
        <v>7</v>
      </c>
      <c r="B315" t="s">
        <v>134</v>
      </c>
      <c r="C315">
        <v>2035</v>
      </c>
      <c r="D315">
        <v>27</v>
      </c>
      <c r="E315">
        <v>3.54</v>
      </c>
      <c r="F315">
        <v>3.79</v>
      </c>
      <c r="G315">
        <v>1.37</v>
      </c>
      <c r="H315">
        <v>1.26</v>
      </c>
      <c r="I315">
        <v>5.89</v>
      </c>
      <c r="J315">
        <v>2.75</v>
      </c>
      <c r="K315">
        <v>4.32</v>
      </c>
      <c r="L315" t="s">
        <v>8</v>
      </c>
      <c r="M315" t="s">
        <v>72</v>
      </c>
    </row>
    <row r="316" spans="1:13" x14ac:dyDescent="0.25">
      <c r="A316" t="s">
        <v>7</v>
      </c>
      <c r="B316" t="s">
        <v>134</v>
      </c>
      <c r="C316">
        <v>2040</v>
      </c>
      <c r="D316">
        <v>27</v>
      </c>
      <c r="E316">
        <v>4.76</v>
      </c>
      <c r="F316">
        <v>4.93</v>
      </c>
      <c r="G316">
        <v>2.1</v>
      </c>
      <c r="H316">
        <v>1.36</v>
      </c>
      <c r="I316">
        <v>10.7</v>
      </c>
      <c r="J316">
        <v>4.3099999999999996</v>
      </c>
      <c r="K316">
        <v>5.87</v>
      </c>
      <c r="L316" t="s">
        <v>8</v>
      </c>
      <c r="M316" t="s">
        <v>72</v>
      </c>
    </row>
    <row r="317" spans="1:13" x14ac:dyDescent="0.25">
      <c r="A317" t="s">
        <v>7</v>
      </c>
      <c r="B317" t="s">
        <v>134</v>
      </c>
      <c r="C317">
        <v>2045</v>
      </c>
      <c r="D317">
        <v>27</v>
      </c>
      <c r="E317">
        <v>5.53</v>
      </c>
      <c r="F317">
        <v>5.82</v>
      </c>
      <c r="G317">
        <v>2.68</v>
      </c>
      <c r="H317">
        <v>1.47</v>
      </c>
      <c r="I317">
        <v>12.91</v>
      </c>
      <c r="J317">
        <v>4.6500000000000004</v>
      </c>
      <c r="K317">
        <v>6.96</v>
      </c>
      <c r="L317" t="s">
        <v>8</v>
      </c>
      <c r="M317" t="s">
        <v>72</v>
      </c>
    </row>
    <row r="318" spans="1:13" x14ac:dyDescent="0.25">
      <c r="A318" t="s">
        <v>7</v>
      </c>
      <c r="B318" t="s">
        <v>134</v>
      </c>
      <c r="C318">
        <v>2050</v>
      </c>
      <c r="D318">
        <v>27</v>
      </c>
      <c r="E318">
        <v>5.76</v>
      </c>
      <c r="F318">
        <v>6.33</v>
      </c>
      <c r="G318">
        <v>2.6</v>
      </c>
      <c r="H318">
        <v>1.73</v>
      </c>
      <c r="I318">
        <v>9.89</v>
      </c>
      <c r="J318">
        <v>4.24</v>
      </c>
      <c r="K318">
        <v>7.44</v>
      </c>
      <c r="L318" t="s">
        <v>8</v>
      </c>
      <c r="M318" t="s">
        <v>72</v>
      </c>
    </row>
    <row r="319" spans="1:13" x14ac:dyDescent="0.25">
      <c r="A319" t="s">
        <v>9</v>
      </c>
      <c r="B319" t="s">
        <v>134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25">
      <c r="A320" t="s">
        <v>9</v>
      </c>
      <c r="B320" t="s">
        <v>134</v>
      </c>
      <c r="C320">
        <v>2025</v>
      </c>
      <c r="D320">
        <v>14</v>
      </c>
      <c r="E320">
        <v>1.03</v>
      </c>
      <c r="F320">
        <v>1.04</v>
      </c>
      <c r="G320">
        <v>0.28000000000000003</v>
      </c>
      <c r="H320">
        <v>0.64</v>
      </c>
      <c r="I320">
        <v>1.87</v>
      </c>
      <c r="J320">
        <v>1.03</v>
      </c>
      <c r="K320">
        <v>1.06</v>
      </c>
      <c r="L320" t="s">
        <v>10</v>
      </c>
      <c r="M320" t="s">
        <v>72</v>
      </c>
    </row>
    <row r="321" spans="1:13" x14ac:dyDescent="0.25">
      <c r="A321" t="s">
        <v>9</v>
      </c>
      <c r="B321" t="s">
        <v>134</v>
      </c>
      <c r="C321">
        <v>2030</v>
      </c>
      <c r="D321">
        <v>14</v>
      </c>
      <c r="E321">
        <v>1.17</v>
      </c>
      <c r="F321">
        <v>1.1100000000000001</v>
      </c>
      <c r="G321">
        <v>0.28000000000000003</v>
      </c>
      <c r="H321">
        <v>0.98</v>
      </c>
      <c r="I321">
        <v>2.11</v>
      </c>
      <c r="J321">
        <v>1.07</v>
      </c>
      <c r="K321">
        <v>1.1399999999999999</v>
      </c>
      <c r="L321" t="s">
        <v>10</v>
      </c>
      <c r="M321" t="s">
        <v>72</v>
      </c>
    </row>
    <row r="322" spans="1:13" x14ac:dyDescent="0.25">
      <c r="A322" t="s">
        <v>9</v>
      </c>
      <c r="B322" t="s">
        <v>134</v>
      </c>
      <c r="C322">
        <v>2035</v>
      </c>
      <c r="D322">
        <v>14</v>
      </c>
      <c r="E322">
        <v>1.34</v>
      </c>
      <c r="F322">
        <v>1.1399999999999999</v>
      </c>
      <c r="G322">
        <v>0.9</v>
      </c>
      <c r="H322">
        <v>0.8</v>
      </c>
      <c r="I322">
        <v>4.42</v>
      </c>
      <c r="J322">
        <v>1.0900000000000001</v>
      </c>
      <c r="K322">
        <v>1.24</v>
      </c>
      <c r="L322" t="s">
        <v>10</v>
      </c>
      <c r="M322" t="s">
        <v>72</v>
      </c>
    </row>
    <row r="323" spans="1:13" x14ac:dyDescent="0.25">
      <c r="A323" t="s">
        <v>9</v>
      </c>
      <c r="B323" t="s">
        <v>134</v>
      </c>
      <c r="C323">
        <v>2040</v>
      </c>
      <c r="D323">
        <v>14</v>
      </c>
      <c r="E323">
        <v>1.5</v>
      </c>
      <c r="F323">
        <v>1.1599999999999999</v>
      </c>
      <c r="G323">
        <v>1.1200000000000001</v>
      </c>
      <c r="H323">
        <v>0.98</v>
      </c>
      <c r="I323">
        <v>5.33</v>
      </c>
      <c r="J323">
        <v>1.1200000000000001</v>
      </c>
      <c r="K323">
        <v>1.37</v>
      </c>
      <c r="L323" t="s">
        <v>10</v>
      </c>
      <c r="M323" t="s">
        <v>72</v>
      </c>
    </row>
    <row r="324" spans="1:13" x14ac:dyDescent="0.25">
      <c r="A324" t="s">
        <v>9</v>
      </c>
      <c r="B324" t="s">
        <v>134</v>
      </c>
      <c r="C324">
        <v>2045</v>
      </c>
      <c r="D324">
        <v>14</v>
      </c>
      <c r="E324">
        <v>1.57</v>
      </c>
      <c r="F324">
        <v>1.18</v>
      </c>
      <c r="G324">
        <v>1.29</v>
      </c>
      <c r="H324">
        <v>0.93</v>
      </c>
      <c r="I324">
        <v>5.97</v>
      </c>
      <c r="J324">
        <v>1.1399999999999999</v>
      </c>
      <c r="K324">
        <v>1.48</v>
      </c>
      <c r="L324" t="s">
        <v>10</v>
      </c>
      <c r="M324" t="s">
        <v>72</v>
      </c>
    </row>
    <row r="325" spans="1:13" x14ac:dyDescent="0.25">
      <c r="A325" t="s">
        <v>9</v>
      </c>
      <c r="B325" t="s">
        <v>134</v>
      </c>
      <c r="C325">
        <v>2050</v>
      </c>
      <c r="D325">
        <v>14</v>
      </c>
      <c r="E325">
        <v>1.7</v>
      </c>
      <c r="F325">
        <v>1.19</v>
      </c>
      <c r="G325">
        <v>1.42</v>
      </c>
      <c r="H325">
        <v>1.06</v>
      </c>
      <c r="I325">
        <v>6.53</v>
      </c>
      <c r="J325">
        <v>1.1599999999999999</v>
      </c>
      <c r="K325">
        <v>1.59</v>
      </c>
      <c r="L325" t="s">
        <v>10</v>
      </c>
      <c r="M325" t="s">
        <v>72</v>
      </c>
    </row>
    <row r="326" spans="1:13" x14ac:dyDescent="0.25">
      <c r="A326" t="s">
        <v>0</v>
      </c>
      <c r="B326" t="s">
        <v>134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25">
      <c r="A327" t="s">
        <v>0</v>
      </c>
      <c r="B327" t="s">
        <v>134</v>
      </c>
      <c r="C327">
        <v>2025</v>
      </c>
      <c r="D327">
        <v>7</v>
      </c>
      <c r="E327">
        <v>0.97</v>
      </c>
      <c r="F327">
        <v>0.97</v>
      </c>
      <c r="G327">
        <v>0</v>
      </c>
      <c r="H327">
        <v>0.97</v>
      </c>
      <c r="I327">
        <v>0.97</v>
      </c>
      <c r="J327">
        <v>0.97</v>
      </c>
      <c r="K327">
        <v>0.97</v>
      </c>
      <c r="L327" t="s">
        <v>1</v>
      </c>
      <c r="M327" t="s">
        <v>73</v>
      </c>
    </row>
    <row r="328" spans="1:13" x14ac:dyDescent="0.25">
      <c r="A328" t="s">
        <v>0</v>
      </c>
      <c r="B328" t="s">
        <v>134</v>
      </c>
      <c r="C328">
        <v>2030</v>
      </c>
      <c r="D328">
        <v>7</v>
      </c>
      <c r="E328">
        <v>0.94</v>
      </c>
      <c r="F328">
        <v>0.94</v>
      </c>
      <c r="G328">
        <v>0.01</v>
      </c>
      <c r="H328">
        <v>0.93</v>
      </c>
      <c r="I328">
        <v>0.95</v>
      </c>
      <c r="J328">
        <v>0.93</v>
      </c>
      <c r="K328">
        <v>0.94</v>
      </c>
      <c r="L328" t="s">
        <v>1</v>
      </c>
      <c r="M328" t="s">
        <v>73</v>
      </c>
    </row>
    <row r="329" spans="1:13" x14ac:dyDescent="0.25">
      <c r="A329" t="s">
        <v>0</v>
      </c>
      <c r="B329" t="s">
        <v>134</v>
      </c>
      <c r="C329">
        <v>2035</v>
      </c>
      <c r="D329">
        <v>7</v>
      </c>
      <c r="E329">
        <v>0.93</v>
      </c>
      <c r="F329">
        <v>0.93</v>
      </c>
      <c r="G329">
        <v>0.02</v>
      </c>
      <c r="H329">
        <v>0.91</v>
      </c>
      <c r="I329">
        <v>0.95</v>
      </c>
      <c r="J329">
        <v>0.92</v>
      </c>
      <c r="K329">
        <v>0.94</v>
      </c>
      <c r="L329" t="s">
        <v>1</v>
      </c>
      <c r="M329" t="s">
        <v>73</v>
      </c>
    </row>
    <row r="330" spans="1:13" x14ac:dyDescent="0.25">
      <c r="A330" t="s">
        <v>0</v>
      </c>
      <c r="B330" t="s">
        <v>134</v>
      </c>
      <c r="C330">
        <v>2040</v>
      </c>
      <c r="D330">
        <v>7</v>
      </c>
      <c r="E330">
        <v>0.95</v>
      </c>
      <c r="F330">
        <v>0.94</v>
      </c>
      <c r="G330">
        <v>0.03</v>
      </c>
      <c r="H330">
        <v>0.9</v>
      </c>
      <c r="I330">
        <v>0.99</v>
      </c>
      <c r="J330">
        <v>0.93</v>
      </c>
      <c r="K330">
        <v>0.97</v>
      </c>
      <c r="L330" t="s">
        <v>1</v>
      </c>
      <c r="M330" t="s">
        <v>73</v>
      </c>
    </row>
    <row r="331" spans="1:13" x14ac:dyDescent="0.25">
      <c r="A331" t="s">
        <v>0</v>
      </c>
      <c r="B331" t="s">
        <v>134</v>
      </c>
      <c r="C331">
        <v>2045</v>
      </c>
      <c r="D331">
        <v>7</v>
      </c>
      <c r="E331">
        <v>0.93</v>
      </c>
      <c r="F331">
        <v>0.93</v>
      </c>
      <c r="G331">
        <v>0.03</v>
      </c>
      <c r="H331">
        <v>0.89</v>
      </c>
      <c r="I331">
        <v>0.98</v>
      </c>
      <c r="J331">
        <v>0.9</v>
      </c>
      <c r="K331">
        <v>0.95</v>
      </c>
      <c r="L331" t="s">
        <v>1</v>
      </c>
      <c r="M331" t="s">
        <v>73</v>
      </c>
    </row>
    <row r="332" spans="1:13" x14ac:dyDescent="0.25">
      <c r="A332" t="s">
        <v>0</v>
      </c>
      <c r="B332" t="s">
        <v>134</v>
      </c>
      <c r="C332">
        <v>2050</v>
      </c>
      <c r="D332">
        <v>7</v>
      </c>
      <c r="E332">
        <v>0.93</v>
      </c>
      <c r="F332">
        <v>0.91</v>
      </c>
      <c r="G332">
        <v>0.06</v>
      </c>
      <c r="H332">
        <v>0.88</v>
      </c>
      <c r="I332">
        <v>1.02</v>
      </c>
      <c r="J332">
        <v>0.88</v>
      </c>
      <c r="K332">
        <v>0.97</v>
      </c>
      <c r="L332" t="s">
        <v>1</v>
      </c>
      <c r="M332" t="s">
        <v>73</v>
      </c>
    </row>
    <row r="333" spans="1:13" x14ac:dyDescent="0.2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25">
      <c r="A334" t="s">
        <v>2</v>
      </c>
      <c r="B334" t="s">
        <v>134</v>
      </c>
      <c r="C334">
        <v>2025</v>
      </c>
      <c r="D334">
        <v>7</v>
      </c>
      <c r="E334">
        <v>0.97</v>
      </c>
      <c r="F334">
        <v>0.97</v>
      </c>
      <c r="G334">
        <v>0</v>
      </c>
      <c r="H334">
        <v>0.96</v>
      </c>
      <c r="I334">
        <v>0.97</v>
      </c>
      <c r="J334">
        <v>0.96</v>
      </c>
      <c r="K334">
        <v>0.97</v>
      </c>
      <c r="L334" t="s">
        <v>3</v>
      </c>
      <c r="M334" t="s">
        <v>73</v>
      </c>
    </row>
    <row r="335" spans="1:13" x14ac:dyDescent="0.25">
      <c r="A335" t="s">
        <v>2</v>
      </c>
      <c r="B335" t="s">
        <v>134</v>
      </c>
      <c r="C335">
        <v>2030</v>
      </c>
      <c r="D335">
        <v>7</v>
      </c>
      <c r="E335">
        <v>0.94</v>
      </c>
      <c r="F335">
        <v>0.94</v>
      </c>
      <c r="G335">
        <v>0</v>
      </c>
      <c r="H335">
        <v>0.94</v>
      </c>
      <c r="I335">
        <v>0.95</v>
      </c>
      <c r="J335">
        <v>0.94</v>
      </c>
      <c r="K335">
        <v>0.94</v>
      </c>
      <c r="L335" t="s">
        <v>3</v>
      </c>
      <c r="M335" t="s">
        <v>73</v>
      </c>
    </row>
    <row r="336" spans="1:13" x14ac:dyDescent="0.25">
      <c r="A336" t="s">
        <v>2</v>
      </c>
      <c r="B336" t="s">
        <v>134</v>
      </c>
      <c r="C336">
        <v>2035</v>
      </c>
      <c r="D336">
        <v>7</v>
      </c>
      <c r="E336">
        <v>0.92</v>
      </c>
      <c r="F336">
        <v>0.91</v>
      </c>
      <c r="G336">
        <v>0.02</v>
      </c>
      <c r="H336">
        <v>0.9</v>
      </c>
      <c r="I336">
        <v>0.95</v>
      </c>
      <c r="J336">
        <v>0.91</v>
      </c>
      <c r="K336">
        <v>0.93</v>
      </c>
      <c r="L336" t="s">
        <v>3</v>
      </c>
      <c r="M336" t="s">
        <v>73</v>
      </c>
    </row>
    <row r="337" spans="1:13" x14ac:dyDescent="0.25">
      <c r="A337" t="s">
        <v>2</v>
      </c>
      <c r="B337" t="s">
        <v>134</v>
      </c>
      <c r="C337">
        <v>2040</v>
      </c>
      <c r="D337">
        <v>7</v>
      </c>
      <c r="E337">
        <v>0.96</v>
      </c>
      <c r="F337">
        <v>0.94</v>
      </c>
      <c r="G337">
        <v>0.02</v>
      </c>
      <c r="H337">
        <v>0.94</v>
      </c>
      <c r="I337">
        <v>0.99</v>
      </c>
      <c r="J337">
        <v>0.94</v>
      </c>
      <c r="K337">
        <v>0.97</v>
      </c>
      <c r="L337" t="s">
        <v>3</v>
      </c>
      <c r="M337" t="s">
        <v>73</v>
      </c>
    </row>
    <row r="338" spans="1:13" x14ac:dyDescent="0.25">
      <c r="A338" t="s">
        <v>2</v>
      </c>
      <c r="B338" t="s">
        <v>134</v>
      </c>
      <c r="C338">
        <v>2045</v>
      </c>
      <c r="D338">
        <v>7</v>
      </c>
      <c r="E338">
        <v>1</v>
      </c>
      <c r="F338">
        <v>0.99</v>
      </c>
      <c r="G338">
        <v>0.03</v>
      </c>
      <c r="H338">
        <v>0.97</v>
      </c>
      <c r="I338">
        <v>1.04</v>
      </c>
      <c r="J338">
        <v>0.98</v>
      </c>
      <c r="K338">
        <v>1.03</v>
      </c>
      <c r="L338" t="s">
        <v>3</v>
      </c>
      <c r="M338" t="s">
        <v>73</v>
      </c>
    </row>
    <row r="339" spans="1:13" x14ac:dyDescent="0.25">
      <c r="A339" t="s">
        <v>2</v>
      </c>
      <c r="B339" t="s">
        <v>134</v>
      </c>
      <c r="C339">
        <v>2050</v>
      </c>
      <c r="D339">
        <v>7</v>
      </c>
      <c r="E339">
        <v>1.05</v>
      </c>
      <c r="F339">
        <v>1.04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25">
      <c r="A340" t="s">
        <v>5</v>
      </c>
      <c r="B340" t="s">
        <v>134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25">
      <c r="A341" t="s">
        <v>5</v>
      </c>
      <c r="B341" t="s">
        <v>134</v>
      </c>
      <c r="C341">
        <v>2025</v>
      </c>
      <c r="D341">
        <v>15</v>
      </c>
      <c r="E341">
        <v>1.03</v>
      </c>
      <c r="F341">
        <v>0.97</v>
      </c>
      <c r="G341">
        <v>0.08</v>
      </c>
      <c r="H341">
        <v>0.97</v>
      </c>
      <c r="I341">
        <v>1.22</v>
      </c>
      <c r="J341">
        <v>0.97</v>
      </c>
      <c r="K341">
        <v>1.1000000000000001</v>
      </c>
      <c r="L341" t="s">
        <v>6</v>
      </c>
      <c r="M341" t="s">
        <v>73</v>
      </c>
    </row>
    <row r="342" spans="1:13" x14ac:dyDescent="0.25">
      <c r="A342" t="s">
        <v>5</v>
      </c>
      <c r="B342" t="s">
        <v>134</v>
      </c>
      <c r="C342">
        <v>2030</v>
      </c>
      <c r="D342">
        <v>15</v>
      </c>
      <c r="E342">
        <v>1.07</v>
      </c>
      <c r="F342">
        <v>0.95</v>
      </c>
      <c r="G342">
        <v>0.19</v>
      </c>
      <c r="H342">
        <v>0.94</v>
      </c>
      <c r="I342">
        <v>1.55</v>
      </c>
      <c r="J342">
        <v>0.95</v>
      </c>
      <c r="K342">
        <v>1.19</v>
      </c>
      <c r="L342" t="s">
        <v>6</v>
      </c>
      <c r="M342" t="s">
        <v>73</v>
      </c>
    </row>
    <row r="343" spans="1:13" x14ac:dyDescent="0.25">
      <c r="A343" t="s">
        <v>5</v>
      </c>
      <c r="B343" t="s">
        <v>134</v>
      </c>
      <c r="C343">
        <v>2035</v>
      </c>
      <c r="D343">
        <v>15</v>
      </c>
      <c r="E343">
        <v>1.26</v>
      </c>
      <c r="F343">
        <v>0.92</v>
      </c>
      <c r="G343">
        <v>0.45</v>
      </c>
      <c r="H343">
        <v>0.91</v>
      </c>
      <c r="I343">
        <v>2.0099999999999998</v>
      </c>
      <c r="J343">
        <v>0.92</v>
      </c>
      <c r="K343">
        <v>1.7</v>
      </c>
      <c r="L343" t="s">
        <v>6</v>
      </c>
      <c r="M343" t="s">
        <v>73</v>
      </c>
    </row>
    <row r="344" spans="1:13" x14ac:dyDescent="0.25">
      <c r="A344" t="s">
        <v>5</v>
      </c>
      <c r="B344" t="s">
        <v>134</v>
      </c>
      <c r="C344">
        <v>2040</v>
      </c>
      <c r="D344">
        <v>15</v>
      </c>
      <c r="E344">
        <v>1.48</v>
      </c>
      <c r="F344">
        <v>0.95</v>
      </c>
      <c r="G344">
        <v>0.77</v>
      </c>
      <c r="H344">
        <v>0.87</v>
      </c>
      <c r="I344">
        <v>2.96</v>
      </c>
      <c r="J344">
        <v>0.91</v>
      </c>
      <c r="K344">
        <v>2.11</v>
      </c>
      <c r="L344" t="s">
        <v>6</v>
      </c>
      <c r="M344" t="s">
        <v>73</v>
      </c>
    </row>
    <row r="345" spans="1:13" x14ac:dyDescent="0.25">
      <c r="A345" t="s">
        <v>5</v>
      </c>
      <c r="B345" t="s">
        <v>134</v>
      </c>
      <c r="C345">
        <v>2045</v>
      </c>
      <c r="D345">
        <v>15</v>
      </c>
      <c r="E345">
        <v>1.81</v>
      </c>
      <c r="F345">
        <v>0.99</v>
      </c>
      <c r="G345">
        <v>1.17</v>
      </c>
      <c r="H345">
        <v>0.9</v>
      </c>
      <c r="I345">
        <v>4.05</v>
      </c>
      <c r="J345">
        <v>0.95</v>
      </c>
      <c r="K345">
        <v>2.63</v>
      </c>
      <c r="L345" t="s">
        <v>6</v>
      </c>
      <c r="M345" t="s">
        <v>73</v>
      </c>
    </row>
    <row r="346" spans="1:13" x14ac:dyDescent="0.25">
      <c r="A346" t="s">
        <v>5</v>
      </c>
      <c r="B346" t="s">
        <v>134</v>
      </c>
      <c r="C346">
        <v>2050</v>
      </c>
      <c r="D346">
        <v>15</v>
      </c>
      <c r="E346">
        <v>2.13</v>
      </c>
      <c r="F346">
        <v>1.04</v>
      </c>
      <c r="G346">
        <v>1.56</v>
      </c>
      <c r="H346">
        <v>0.94</v>
      </c>
      <c r="I346">
        <v>5.04</v>
      </c>
      <c r="J346">
        <v>0.99</v>
      </c>
      <c r="K346">
        <v>3.27</v>
      </c>
      <c r="L346" t="s">
        <v>6</v>
      </c>
      <c r="M346" t="s">
        <v>73</v>
      </c>
    </row>
    <row r="347" spans="1:13" x14ac:dyDescent="0.25">
      <c r="A347" t="s">
        <v>7</v>
      </c>
      <c r="B347" t="s">
        <v>134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25">
      <c r="A348" t="s">
        <v>7</v>
      </c>
      <c r="B348" t="s">
        <v>134</v>
      </c>
      <c r="C348">
        <v>2025</v>
      </c>
      <c r="D348">
        <v>8</v>
      </c>
      <c r="E348">
        <v>1.0900000000000001</v>
      </c>
      <c r="F348">
        <v>1.1000000000000001</v>
      </c>
      <c r="G348">
        <v>0.02</v>
      </c>
      <c r="H348">
        <v>1.05</v>
      </c>
      <c r="I348">
        <v>1.1000000000000001</v>
      </c>
      <c r="J348">
        <v>1.0900000000000001</v>
      </c>
      <c r="K348">
        <v>1.1000000000000001</v>
      </c>
      <c r="L348" t="s">
        <v>8</v>
      </c>
      <c r="M348" t="s">
        <v>73</v>
      </c>
    </row>
    <row r="349" spans="1:13" x14ac:dyDescent="0.25">
      <c r="A349" t="s">
        <v>7</v>
      </c>
      <c r="B349" t="s">
        <v>134</v>
      </c>
      <c r="C349">
        <v>2030</v>
      </c>
      <c r="D349">
        <v>8</v>
      </c>
      <c r="E349">
        <v>1.1399999999999999</v>
      </c>
      <c r="F349">
        <v>1.1299999999999999</v>
      </c>
      <c r="G349">
        <v>0.05</v>
      </c>
      <c r="H349">
        <v>1.1000000000000001</v>
      </c>
      <c r="I349">
        <v>1.22</v>
      </c>
      <c r="J349">
        <v>1.1000000000000001</v>
      </c>
      <c r="K349">
        <v>1.18</v>
      </c>
      <c r="L349" t="s">
        <v>8</v>
      </c>
      <c r="M349" t="s">
        <v>73</v>
      </c>
    </row>
    <row r="350" spans="1:13" x14ac:dyDescent="0.25">
      <c r="A350" t="s">
        <v>7</v>
      </c>
      <c r="B350" t="s">
        <v>134</v>
      </c>
      <c r="C350">
        <v>2035</v>
      </c>
      <c r="D350">
        <v>8</v>
      </c>
      <c r="E350">
        <v>1.35</v>
      </c>
      <c r="F350">
        <v>1.34</v>
      </c>
      <c r="G350">
        <v>0.15</v>
      </c>
      <c r="H350">
        <v>1.1599999999999999</v>
      </c>
      <c r="I350">
        <v>1.55</v>
      </c>
      <c r="J350">
        <v>1.24</v>
      </c>
      <c r="K350">
        <v>1.46</v>
      </c>
      <c r="L350" t="s">
        <v>8</v>
      </c>
      <c r="M350" t="s">
        <v>73</v>
      </c>
    </row>
    <row r="351" spans="1:13" x14ac:dyDescent="0.25">
      <c r="A351" t="s">
        <v>7</v>
      </c>
      <c r="B351" t="s">
        <v>134</v>
      </c>
      <c r="C351">
        <v>2040</v>
      </c>
      <c r="D351">
        <v>8</v>
      </c>
      <c r="E351">
        <v>1.48</v>
      </c>
      <c r="F351">
        <v>1.5</v>
      </c>
      <c r="G351">
        <v>0.15</v>
      </c>
      <c r="H351">
        <v>1.28</v>
      </c>
      <c r="I351">
        <v>1.67</v>
      </c>
      <c r="J351">
        <v>1.39</v>
      </c>
      <c r="K351">
        <v>1.61</v>
      </c>
      <c r="L351" t="s">
        <v>8</v>
      </c>
      <c r="M351" t="s">
        <v>73</v>
      </c>
    </row>
    <row r="352" spans="1:13" x14ac:dyDescent="0.25">
      <c r="A352" t="s">
        <v>7</v>
      </c>
      <c r="B352" t="s">
        <v>134</v>
      </c>
      <c r="C352">
        <v>2045</v>
      </c>
      <c r="D352">
        <v>8</v>
      </c>
      <c r="E352">
        <v>1.85</v>
      </c>
      <c r="F352">
        <v>1.82</v>
      </c>
      <c r="G352">
        <v>0.11</v>
      </c>
      <c r="H352">
        <v>1.68</v>
      </c>
      <c r="I352">
        <v>2.02</v>
      </c>
      <c r="J352">
        <v>1.81</v>
      </c>
      <c r="K352">
        <v>1.93</v>
      </c>
      <c r="L352" t="s">
        <v>8</v>
      </c>
      <c r="M352" t="s">
        <v>73</v>
      </c>
    </row>
    <row r="353" spans="1:13" x14ac:dyDescent="0.25">
      <c r="A353" t="s">
        <v>7</v>
      </c>
      <c r="B353" t="s">
        <v>134</v>
      </c>
      <c r="C353">
        <v>2050</v>
      </c>
      <c r="D353">
        <v>8</v>
      </c>
      <c r="E353">
        <v>2.2400000000000002</v>
      </c>
      <c r="F353">
        <v>2.2000000000000002</v>
      </c>
      <c r="G353">
        <v>0.26</v>
      </c>
      <c r="H353">
        <v>1.85</v>
      </c>
      <c r="I353">
        <v>2.65</v>
      </c>
      <c r="J353">
        <v>2.0699999999999998</v>
      </c>
      <c r="K353">
        <v>2.42</v>
      </c>
      <c r="L353" t="s">
        <v>8</v>
      </c>
      <c r="M353" t="s">
        <v>73</v>
      </c>
    </row>
    <row r="354" spans="1:13" x14ac:dyDescent="0.25">
      <c r="A354" t="s">
        <v>9</v>
      </c>
      <c r="B354" t="s">
        <v>134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25">
      <c r="A355" t="s">
        <v>9</v>
      </c>
      <c r="B355" t="s">
        <v>134</v>
      </c>
      <c r="C355">
        <v>2025</v>
      </c>
      <c r="D355">
        <v>7</v>
      </c>
      <c r="E355">
        <v>1.01</v>
      </c>
      <c r="F355">
        <v>0.97</v>
      </c>
      <c r="G355">
        <v>0.06</v>
      </c>
      <c r="H355">
        <v>0.97</v>
      </c>
      <c r="I355">
        <v>1.1000000000000001</v>
      </c>
      <c r="J355">
        <v>0.97</v>
      </c>
      <c r="K355">
        <v>1.05</v>
      </c>
      <c r="L355" t="s">
        <v>10</v>
      </c>
      <c r="M355" t="s">
        <v>73</v>
      </c>
    </row>
    <row r="356" spans="1:13" x14ac:dyDescent="0.25">
      <c r="A356" t="s">
        <v>9</v>
      </c>
      <c r="B356" t="s">
        <v>134</v>
      </c>
      <c r="C356">
        <v>2030</v>
      </c>
      <c r="D356">
        <v>7</v>
      </c>
      <c r="E356">
        <v>1</v>
      </c>
      <c r="F356">
        <v>0.95</v>
      </c>
      <c r="G356">
        <v>0.08</v>
      </c>
      <c r="H356">
        <v>0.94</v>
      </c>
      <c r="I356">
        <v>1.1100000000000001</v>
      </c>
      <c r="J356">
        <v>0.95</v>
      </c>
      <c r="K356">
        <v>1.06</v>
      </c>
      <c r="L356" t="s">
        <v>10</v>
      </c>
      <c r="M356" t="s">
        <v>73</v>
      </c>
    </row>
    <row r="357" spans="1:13" x14ac:dyDescent="0.25">
      <c r="A357" t="s">
        <v>9</v>
      </c>
      <c r="B357" t="s">
        <v>134</v>
      </c>
      <c r="C357">
        <v>2035</v>
      </c>
      <c r="D357">
        <v>7</v>
      </c>
      <c r="E357">
        <v>0.97</v>
      </c>
      <c r="F357">
        <v>0.93</v>
      </c>
      <c r="G357">
        <v>0.1</v>
      </c>
      <c r="H357">
        <v>0.88</v>
      </c>
      <c r="I357">
        <v>1.18</v>
      </c>
      <c r="J357">
        <v>0.92</v>
      </c>
      <c r="K357">
        <v>0.98</v>
      </c>
      <c r="L357" t="s">
        <v>10</v>
      </c>
      <c r="M357" t="s">
        <v>73</v>
      </c>
    </row>
    <row r="358" spans="1:13" x14ac:dyDescent="0.25">
      <c r="A358" t="s">
        <v>9</v>
      </c>
      <c r="B358" t="s">
        <v>134</v>
      </c>
      <c r="C358">
        <v>2040</v>
      </c>
      <c r="D358">
        <v>7</v>
      </c>
      <c r="E358">
        <v>0.93</v>
      </c>
      <c r="F358">
        <v>0.89</v>
      </c>
      <c r="G358">
        <v>0.12</v>
      </c>
      <c r="H358">
        <v>0.78</v>
      </c>
      <c r="I358">
        <v>1.17</v>
      </c>
      <c r="J358">
        <v>0.89</v>
      </c>
      <c r="K358">
        <v>0.96</v>
      </c>
      <c r="L358" t="s">
        <v>10</v>
      </c>
      <c r="M358" t="s">
        <v>73</v>
      </c>
    </row>
    <row r="359" spans="1:13" x14ac:dyDescent="0.25">
      <c r="A359" t="s">
        <v>9</v>
      </c>
      <c r="B359" t="s">
        <v>134</v>
      </c>
      <c r="C359">
        <v>2045</v>
      </c>
      <c r="D359">
        <v>7</v>
      </c>
      <c r="E359">
        <v>0.94</v>
      </c>
      <c r="F359">
        <v>0.88</v>
      </c>
      <c r="G359">
        <v>0.14000000000000001</v>
      </c>
      <c r="H359">
        <v>0.82</v>
      </c>
      <c r="I359">
        <v>1.21</v>
      </c>
      <c r="J359">
        <v>0.85</v>
      </c>
      <c r="K359">
        <v>0.99</v>
      </c>
      <c r="L359" t="s">
        <v>10</v>
      </c>
      <c r="M359" t="s">
        <v>73</v>
      </c>
    </row>
    <row r="360" spans="1:13" x14ac:dyDescent="0.25">
      <c r="A360" t="s">
        <v>9</v>
      </c>
      <c r="B360" t="s">
        <v>134</v>
      </c>
      <c r="C360">
        <v>2050</v>
      </c>
      <c r="D360">
        <v>7</v>
      </c>
      <c r="E360">
        <v>1.06</v>
      </c>
      <c r="F360">
        <v>0.95</v>
      </c>
      <c r="G360">
        <v>0.3</v>
      </c>
      <c r="H360">
        <v>0.86</v>
      </c>
      <c r="I360">
        <v>1.7</v>
      </c>
      <c r="J360">
        <v>0.87</v>
      </c>
      <c r="K360">
        <v>1.1000000000000001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S24"/>
  <sheetViews>
    <sheetView workbookViewId="0">
      <selection activeCell="H21" sqref="H21"/>
    </sheetView>
  </sheetViews>
  <sheetFormatPr defaultRowHeight="15" x14ac:dyDescent="0.25"/>
  <sheetData>
    <row r="10" spans="1:19" x14ac:dyDescent="0.25">
      <c r="A10" t="str">
        <f>IFERROR(Veda!D5,"ts_12t")</f>
        <v>ts_annual</v>
      </c>
      <c r="B10" s="15"/>
      <c r="C10" s="15" t="s">
        <v>210</v>
      </c>
      <c r="D10" t="s">
        <v>118</v>
      </c>
      <c r="F10" t="s">
        <v>210</v>
      </c>
      <c r="G10" t="s">
        <v>221</v>
      </c>
      <c r="I10" t="s">
        <v>210</v>
      </c>
      <c r="J10" t="s">
        <v>239</v>
      </c>
      <c r="L10" t="s">
        <v>210</v>
      </c>
      <c r="M10" t="s">
        <v>119</v>
      </c>
      <c r="O10" t="s">
        <v>210</v>
      </c>
      <c r="P10" t="s">
        <v>103</v>
      </c>
      <c r="R10" t="s">
        <v>210</v>
      </c>
      <c r="S10" t="s">
        <v>120</v>
      </c>
    </row>
    <row r="11" spans="1:19" x14ac:dyDescent="0.25">
      <c r="B11" s="15"/>
      <c r="C11" s="15" t="s">
        <v>211</v>
      </c>
      <c r="D11" t="s">
        <v>212</v>
      </c>
      <c r="F11" t="s">
        <v>211</v>
      </c>
      <c r="G11" t="s">
        <v>234</v>
      </c>
      <c r="I11" t="s">
        <v>211</v>
      </c>
      <c r="J11" t="s">
        <v>252</v>
      </c>
      <c r="L11" t="s">
        <v>211</v>
      </c>
      <c r="M11" t="s">
        <v>268</v>
      </c>
      <c r="O11" t="s">
        <v>211</v>
      </c>
      <c r="P11" t="s">
        <v>272</v>
      </c>
      <c r="R11" t="s">
        <v>211</v>
      </c>
      <c r="S11" t="s">
        <v>291</v>
      </c>
    </row>
    <row r="12" spans="1:19" x14ac:dyDescent="0.25">
      <c r="B12" s="15"/>
      <c r="C12" s="15" t="s">
        <v>213</v>
      </c>
      <c r="D12" t="s">
        <v>214</v>
      </c>
      <c r="F12" t="s">
        <v>213</v>
      </c>
      <c r="G12" t="s">
        <v>235</v>
      </c>
      <c r="I12" t="s">
        <v>213</v>
      </c>
      <c r="J12" t="s">
        <v>253</v>
      </c>
      <c r="L12" t="s">
        <v>213</v>
      </c>
      <c r="M12" t="s">
        <v>269</v>
      </c>
      <c r="O12" t="s">
        <v>213</v>
      </c>
      <c r="P12" t="s">
        <v>272</v>
      </c>
      <c r="R12" t="s">
        <v>213</v>
      </c>
      <c r="S12" t="s">
        <v>292</v>
      </c>
    </row>
    <row r="17" spans="3:13" x14ac:dyDescent="0.25">
      <c r="I17" s="12">
        <v>0.75</v>
      </c>
      <c r="K17" s="2" t="s">
        <v>84</v>
      </c>
    </row>
    <row r="18" spans="3:13" ht="18" thickBot="1" x14ac:dyDescent="0.35">
      <c r="C18" s="13" t="s">
        <v>85</v>
      </c>
    </row>
    <row r="19" spans="3:13" ht="15.75" thickTop="1" x14ac:dyDescent="0.25"/>
    <row r="21" spans="3:13" ht="18" thickBot="1" x14ac:dyDescent="0.35">
      <c r="H21" s="13" t="str">
        <f>IF(H23=H24,"Not Required!","~UC_T: LO")</f>
        <v>Not Required!</v>
      </c>
    </row>
    <row r="22" spans="3:13" ht="16.5" thickTop="1" thickBot="1" x14ac:dyDescent="0.3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2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2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86A6-D322-4EAE-BE03-46A2D3EC2A40}">
  <dimension ref="A9:AN298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118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209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152</v>
      </c>
      <c r="J11" t="s">
        <v>153</v>
      </c>
      <c r="K11">
        <v>6.3895927623498789E-3</v>
      </c>
      <c r="L11" t="s">
        <v>154</v>
      </c>
      <c r="N11" t="s">
        <v>189</v>
      </c>
      <c r="O11" t="s">
        <v>153</v>
      </c>
      <c r="P11">
        <v>0.11007057648118974</v>
      </c>
      <c r="Q11" t="s">
        <v>154</v>
      </c>
      <c r="S11" t="s">
        <v>199</v>
      </c>
      <c r="T11" t="s">
        <v>153</v>
      </c>
      <c r="U11">
        <v>0.13323642134289679</v>
      </c>
      <c r="V11" t="s">
        <v>154</v>
      </c>
      <c r="X11">
        <v>0.12146118721461187</v>
      </c>
      <c r="Y11">
        <v>4.79672492520863E-2</v>
      </c>
      <c r="Z11" t="s">
        <v>153</v>
      </c>
      <c r="AA11" t="s">
        <v>25</v>
      </c>
      <c r="AC11" t="s">
        <v>22</v>
      </c>
      <c r="AD11" t="s">
        <v>153</v>
      </c>
      <c r="AE11">
        <v>8.7407208733324179E-2</v>
      </c>
      <c r="AG11" t="s">
        <v>96</v>
      </c>
      <c r="AH11" t="s">
        <v>153</v>
      </c>
      <c r="AI11">
        <v>0.21018271530769828</v>
      </c>
    </row>
    <row r="12" spans="1:40" x14ac:dyDescent="0.2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5.9375881106090302E-2</v>
      </c>
      <c r="L12" t="s">
        <v>154</v>
      </c>
      <c r="N12" t="s">
        <v>189</v>
      </c>
      <c r="O12" t="s">
        <v>155</v>
      </c>
      <c r="P12">
        <v>2.4357346260640678E-2</v>
      </c>
      <c r="Q12" t="s">
        <v>154</v>
      </c>
      <c r="S12" t="s">
        <v>199</v>
      </c>
      <c r="T12" t="s">
        <v>155</v>
      </c>
      <c r="U12">
        <v>3.8795361546521502E-2</v>
      </c>
      <c r="V12" t="s">
        <v>154</v>
      </c>
      <c r="X12">
        <v>3.4703196347031964E-2</v>
      </c>
      <c r="Y12">
        <v>5.1141552511415535E-2</v>
      </c>
      <c r="Z12" t="s">
        <v>155</v>
      </c>
      <c r="AA12" t="s">
        <v>25</v>
      </c>
      <c r="AC12" t="s">
        <v>22</v>
      </c>
      <c r="AD12" t="s">
        <v>155</v>
      </c>
      <c r="AE12">
        <v>3.2869915969691875E-2</v>
      </c>
      <c r="AG12" t="s">
        <v>96</v>
      </c>
      <c r="AH12" t="s">
        <v>155</v>
      </c>
      <c r="AI12">
        <v>0.1667317930970893</v>
      </c>
    </row>
    <row r="13" spans="1:40" x14ac:dyDescent="0.2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0.37825169106347223</v>
      </c>
      <c r="L13" t="s">
        <v>154</v>
      </c>
      <c r="N13" t="s">
        <v>189</v>
      </c>
      <c r="O13" t="s">
        <v>156</v>
      </c>
      <c r="P13">
        <v>0.27330436332894698</v>
      </c>
      <c r="Q13" t="s">
        <v>154</v>
      </c>
      <c r="S13" t="s">
        <v>199</v>
      </c>
      <c r="T13" t="s">
        <v>156</v>
      </c>
      <c r="U13">
        <v>0.27749194803109128</v>
      </c>
      <c r="V13" t="s">
        <v>154</v>
      </c>
      <c r="X13">
        <v>0.26027397260273971</v>
      </c>
      <c r="Y13">
        <v>0.31732955440088184</v>
      </c>
      <c r="Z13" t="s">
        <v>156</v>
      </c>
      <c r="AA13" t="s">
        <v>25</v>
      </c>
      <c r="AC13" t="s">
        <v>22</v>
      </c>
      <c r="AD13" t="s">
        <v>156</v>
      </c>
      <c r="AE13">
        <v>0.3237161207250997</v>
      </c>
      <c r="AG13" t="s">
        <v>96</v>
      </c>
      <c r="AH13" t="s">
        <v>156</v>
      </c>
      <c r="AI13">
        <v>0.19900706586695582</v>
      </c>
    </row>
    <row r="14" spans="1:40" x14ac:dyDescent="0.25">
      <c r="C14" t="s">
        <v>150</v>
      </c>
      <c r="I14" t="s">
        <v>152</v>
      </c>
      <c r="J14" t="s">
        <v>157</v>
      </c>
      <c r="K14">
        <v>3.5484569435157319E-3</v>
      </c>
      <c r="L14" t="s">
        <v>154</v>
      </c>
      <c r="N14" t="s">
        <v>189</v>
      </c>
      <c r="O14" t="s">
        <v>157</v>
      </c>
      <c r="P14">
        <v>1.5064882383619372E-2</v>
      </c>
      <c r="Q14" t="s">
        <v>154</v>
      </c>
      <c r="S14" t="s">
        <v>199</v>
      </c>
      <c r="T14" t="s">
        <v>157</v>
      </c>
      <c r="U14">
        <v>1.4762329398174578E-2</v>
      </c>
      <c r="V14" t="s">
        <v>154</v>
      </c>
      <c r="X14">
        <v>3.3561643835616439E-2</v>
      </c>
      <c r="Y14">
        <v>1.3254108345971212E-2</v>
      </c>
      <c r="Z14" t="s">
        <v>157</v>
      </c>
      <c r="AA14" t="s">
        <v>25</v>
      </c>
      <c r="AC14" t="s">
        <v>22</v>
      </c>
      <c r="AD14" t="s">
        <v>157</v>
      </c>
      <c r="AE14">
        <v>2.8517764263876699E-2</v>
      </c>
      <c r="AG14" t="s">
        <v>96</v>
      </c>
      <c r="AH14" t="s">
        <v>157</v>
      </c>
      <c r="AI14">
        <v>0.17572767726567906</v>
      </c>
    </row>
    <row r="15" spans="1:40" x14ac:dyDescent="0.25">
      <c r="I15" t="s">
        <v>152</v>
      </c>
      <c r="J15" t="s">
        <v>158</v>
      </c>
      <c r="K15">
        <v>1.5700093644480766E-2</v>
      </c>
      <c r="L15" t="s">
        <v>154</v>
      </c>
      <c r="N15" t="s">
        <v>189</v>
      </c>
      <c r="O15" t="s">
        <v>158</v>
      </c>
      <c r="P15">
        <v>3.0521093835506378E-3</v>
      </c>
      <c r="Q15" t="s">
        <v>154</v>
      </c>
      <c r="S15" t="s">
        <v>199</v>
      </c>
      <c r="T15" t="s">
        <v>158</v>
      </c>
      <c r="U15">
        <v>3.9560927953087204E-3</v>
      </c>
      <c r="V15" t="s">
        <v>154</v>
      </c>
      <c r="X15">
        <v>9.5890410958904115E-3</v>
      </c>
      <c r="Y15">
        <v>1.4131218457101661E-2</v>
      </c>
      <c r="Z15" t="s">
        <v>158</v>
      </c>
      <c r="AA15" t="s">
        <v>25</v>
      </c>
      <c r="AC15" t="s">
        <v>22</v>
      </c>
      <c r="AD15" t="s">
        <v>158</v>
      </c>
      <c r="AE15">
        <v>1.0088850847448106E-2</v>
      </c>
      <c r="AG15" t="s">
        <v>96</v>
      </c>
      <c r="AH15" t="s">
        <v>158</v>
      </c>
      <c r="AI15">
        <v>0.14656505860482283</v>
      </c>
    </row>
    <row r="16" spans="1:40" x14ac:dyDescent="0.25">
      <c r="I16" t="s">
        <v>152</v>
      </c>
      <c r="J16" t="s">
        <v>159</v>
      </c>
      <c r="K16">
        <v>9.7981594934836477E-2</v>
      </c>
      <c r="L16" t="s">
        <v>154</v>
      </c>
      <c r="N16" t="s">
        <v>189</v>
      </c>
      <c r="O16" t="s">
        <v>159</v>
      </c>
      <c r="P16">
        <v>4.1977394566883576E-2</v>
      </c>
      <c r="Q16" t="s">
        <v>154</v>
      </c>
      <c r="S16" t="s">
        <v>199</v>
      </c>
      <c r="T16" t="s">
        <v>159</v>
      </c>
      <c r="U16">
        <v>2.7999284195887313E-2</v>
      </c>
      <c r="V16" t="s">
        <v>154</v>
      </c>
      <c r="X16">
        <v>7.1917808219178078E-2</v>
      </c>
      <c r="Y16">
        <v>8.7683166347612071E-2</v>
      </c>
      <c r="Z16" t="s">
        <v>159</v>
      </c>
      <c r="AA16" t="s">
        <v>25</v>
      </c>
      <c r="AC16" t="s">
        <v>22</v>
      </c>
      <c r="AD16" t="s">
        <v>159</v>
      </c>
      <c r="AE16">
        <v>0.10477951646289087</v>
      </c>
      <c r="AG16" t="s">
        <v>96</v>
      </c>
      <c r="AH16" t="s">
        <v>159</v>
      </c>
      <c r="AI16">
        <v>0.13496299313079296</v>
      </c>
    </row>
    <row r="17" spans="9:35" x14ac:dyDescent="0.25">
      <c r="I17" t="s">
        <v>152</v>
      </c>
      <c r="J17" t="s">
        <v>160</v>
      </c>
      <c r="K17">
        <v>6.9525798815303847E-3</v>
      </c>
      <c r="L17" t="s">
        <v>154</v>
      </c>
      <c r="N17" t="s">
        <v>189</v>
      </c>
      <c r="O17" t="s">
        <v>160</v>
      </c>
      <c r="P17">
        <v>0.10121408376293153</v>
      </c>
      <c r="Q17" t="s">
        <v>154</v>
      </c>
      <c r="S17" t="s">
        <v>199</v>
      </c>
      <c r="T17" t="s">
        <v>160</v>
      </c>
      <c r="U17">
        <v>6.3171177539672413E-2</v>
      </c>
      <c r="V17" t="s">
        <v>154</v>
      </c>
      <c r="X17">
        <v>7.2716894977168947E-2</v>
      </c>
      <c r="Y17">
        <v>2.8717234749604293E-2</v>
      </c>
      <c r="Z17" t="s">
        <v>160</v>
      </c>
      <c r="AA17" t="s">
        <v>25</v>
      </c>
      <c r="AC17" t="s">
        <v>22</v>
      </c>
      <c r="AD17" t="s">
        <v>160</v>
      </c>
      <c r="AE17">
        <v>4.558533441023771E-2</v>
      </c>
      <c r="AG17" t="s">
        <v>96</v>
      </c>
      <c r="AH17" t="s">
        <v>160</v>
      </c>
      <c r="AI17">
        <v>0.14870507170930924</v>
      </c>
    </row>
    <row r="18" spans="9:35" x14ac:dyDescent="0.25">
      <c r="I18" t="s">
        <v>152</v>
      </c>
      <c r="J18" t="s">
        <v>161</v>
      </c>
      <c r="K18">
        <v>3.3566218631170507E-2</v>
      </c>
      <c r="L18" t="s">
        <v>154</v>
      </c>
      <c r="N18" t="s">
        <v>189</v>
      </c>
      <c r="O18" t="s">
        <v>161</v>
      </c>
      <c r="P18">
        <v>2.1539302284152986E-2</v>
      </c>
      <c r="Q18" t="s">
        <v>154</v>
      </c>
      <c r="S18" t="s">
        <v>199</v>
      </c>
      <c r="T18" t="s">
        <v>161</v>
      </c>
      <c r="U18">
        <v>1.8234255724841088E-2</v>
      </c>
      <c r="V18" t="s">
        <v>154</v>
      </c>
      <c r="X18">
        <v>2.0776255707762557E-2</v>
      </c>
      <c r="Y18">
        <v>3.0617639990386931E-2</v>
      </c>
      <c r="Z18" t="s">
        <v>161</v>
      </c>
      <c r="AA18" t="s">
        <v>25</v>
      </c>
      <c r="AC18" t="s">
        <v>22</v>
      </c>
      <c r="AD18" t="s">
        <v>161</v>
      </c>
      <c r="AE18">
        <v>1.8556488541127989E-2</v>
      </c>
      <c r="AG18" t="s">
        <v>96</v>
      </c>
      <c r="AH18" t="s">
        <v>161</v>
      </c>
      <c r="AI18">
        <v>0.1457548925711476</v>
      </c>
    </row>
    <row r="19" spans="9:35" x14ac:dyDescent="0.25">
      <c r="I19" t="s">
        <v>152</v>
      </c>
      <c r="J19" t="s">
        <v>162</v>
      </c>
      <c r="K19">
        <v>0.20698901837557485</v>
      </c>
      <c r="L19" t="s">
        <v>154</v>
      </c>
      <c r="N19" t="s">
        <v>189</v>
      </c>
      <c r="O19" t="s">
        <v>162</v>
      </c>
      <c r="P19">
        <v>0.2426547485920634</v>
      </c>
      <c r="Q19" t="s">
        <v>154</v>
      </c>
      <c r="S19" t="s">
        <v>199</v>
      </c>
      <c r="T19" t="s">
        <v>162</v>
      </c>
      <c r="U19">
        <v>0.14316220394937482</v>
      </c>
      <c r="V19" t="s">
        <v>154</v>
      </c>
      <c r="X19">
        <v>0.15582191780821919</v>
      </c>
      <c r="Y19">
        <v>0.18998019375315953</v>
      </c>
      <c r="Z19" t="s">
        <v>162</v>
      </c>
      <c r="AA19" t="s">
        <v>25</v>
      </c>
      <c r="AC19" t="s">
        <v>22</v>
      </c>
      <c r="AD19" t="s">
        <v>162</v>
      </c>
      <c r="AE19">
        <v>0.1735953171269099</v>
      </c>
      <c r="AG19" t="s">
        <v>96</v>
      </c>
      <c r="AH19" t="s">
        <v>162</v>
      </c>
      <c r="AI19">
        <v>0.21318689723209583</v>
      </c>
    </row>
    <row r="20" spans="9:35" x14ac:dyDescent="0.25">
      <c r="I20" t="s">
        <v>152</v>
      </c>
      <c r="J20" t="s">
        <v>163</v>
      </c>
      <c r="K20">
        <v>5.0769317637917952E-3</v>
      </c>
      <c r="L20" t="s">
        <v>154</v>
      </c>
      <c r="N20" t="s">
        <v>189</v>
      </c>
      <c r="O20" t="s">
        <v>163</v>
      </c>
      <c r="P20">
        <v>4.4948884998072085E-2</v>
      </c>
      <c r="Q20" t="s">
        <v>154</v>
      </c>
      <c r="S20" t="s">
        <v>199</v>
      </c>
      <c r="T20" t="s">
        <v>163</v>
      </c>
      <c r="U20">
        <v>7.9026292170430792E-2</v>
      </c>
      <c r="V20" t="s">
        <v>154</v>
      </c>
      <c r="X20">
        <v>6.3926940639269403E-2</v>
      </c>
      <c r="Y20">
        <v>2.5245920658992786E-2</v>
      </c>
      <c r="Z20" t="s">
        <v>163</v>
      </c>
      <c r="AA20" t="s">
        <v>25</v>
      </c>
      <c r="AC20" t="s">
        <v>22</v>
      </c>
      <c r="AD20" t="s">
        <v>163</v>
      </c>
      <c r="AE20">
        <v>3.569556881518407E-2</v>
      </c>
      <c r="AG20" t="s">
        <v>96</v>
      </c>
      <c r="AH20" t="s">
        <v>163</v>
      </c>
      <c r="AI20">
        <v>9.7103508447340836E-2</v>
      </c>
    </row>
    <row r="21" spans="9:35" x14ac:dyDescent="0.25">
      <c r="I21" t="s">
        <v>152</v>
      </c>
      <c r="J21" t="s">
        <v>164</v>
      </c>
      <c r="K21">
        <v>2.8183635268778973E-2</v>
      </c>
      <c r="L21" t="s">
        <v>154</v>
      </c>
      <c r="N21" t="s">
        <v>189</v>
      </c>
      <c r="O21" t="s">
        <v>164</v>
      </c>
      <c r="P21">
        <v>1.0999263877681983E-2</v>
      </c>
      <c r="Q21" t="s">
        <v>154</v>
      </c>
      <c r="S21" t="s">
        <v>199</v>
      </c>
      <c r="T21" t="s">
        <v>164</v>
      </c>
      <c r="U21">
        <v>2.2351173177059102E-2</v>
      </c>
      <c r="V21" t="s">
        <v>154</v>
      </c>
      <c r="X21">
        <v>1.8264840182648401E-2</v>
      </c>
      <c r="Y21">
        <v>2.6916606584955545E-2</v>
      </c>
      <c r="Z21" t="s">
        <v>164</v>
      </c>
      <c r="AA21" t="s">
        <v>25</v>
      </c>
      <c r="AC21" t="s">
        <v>22</v>
      </c>
      <c r="AD21" t="s">
        <v>164</v>
      </c>
      <c r="AE21">
        <v>1.5163020090632213E-2</v>
      </c>
      <c r="AG21" t="s">
        <v>96</v>
      </c>
      <c r="AH21" t="s">
        <v>164</v>
      </c>
      <c r="AI21">
        <v>0.1129343999366863</v>
      </c>
    </row>
    <row r="22" spans="9:35" x14ac:dyDescent="0.25">
      <c r="I22" t="s">
        <v>152</v>
      </c>
      <c r="J22" t="s">
        <v>165</v>
      </c>
      <c r="K22">
        <v>0.15798430562440713</v>
      </c>
      <c r="L22" t="s">
        <v>154</v>
      </c>
      <c r="N22" t="s">
        <v>189</v>
      </c>
      <c r="O22" t="s">
        <v>165</v>
      </c>
      <c r="P22">
        <v>0.11081704408027028</v>
      </c>
      <c r="Q22" t="s">
        <v>154</v>
      </c>
      <c r="S22" t="s">
        <v>199</v>
      </c>
      <c r="T22" t="s">
        <v>165</v>
      </c>
      <c r="U22">
        <v>0.17781346012874163</v>
      </c>
      <c r="V22" t="s">
        <v>154</v>
      </c>
      <c r="X22">
        <v>0.13698630136986301</v>
      </c>
      <c r="Y22">
        <v>0.16701555494783255</v>
      </c>
      <c r="Z22" t="s">
        <v>165</v>
      </c>
      <c r="AA22" t="s">
        <v>25</v>
      </c>
      <c r="AC22" t="s">
        <v>22</v>
      </c>
      <c r="AD22" t="s">
        <v>165</v>
      </c>
      <c r="AE22">
        <v>0.12402489401357664</v>
      </c>
      <c r="AG22" t="s">
        <v>96</v>
      </c>
      <c r="AH22" t="s">
        <v>165</v>
      </c>
      <c r="AI22">
        <v>0.16181883493940541</v>
      </c>
    </row>
    <row r="23" spans="9:35" x14ac:dyDescent="0.25">
      <c r="I23" t="s">
        <v>166</v>
      </c>
      <c r="J23" t="s">
        <v>153</v>
      </c>
      <c r="K23">
        <v>7.0474549709300255E-3</v>
      </c>
      <c r="L23" t="s">
        <v>154</v>
      </c>
      <c r="N23" t="s">
        <v>190</v>
      </c>
      <c r="O23" t="s">
        <v>153</v>
      </c>
      <c r="P23">
        <v>9.8260042903510647E-2</v>
      </c>
      <c r="Q23" t="s">
        <v>154</v>
      </c>
      <c r="S23" t="s">
        <v>200</v>
      </c>
      <c r="T23" t="s">
        <v>153</v>
      </c>
      <c r="U23">
        <v>0.12793864396073382</v>
      </c>
      <c r="V23" t="s">
        <v>154</v>
      </c>
      <c r="AC23" t="s">
        <v>19</v>
      </c>
      <c r="AD23" t="s">
        <v>153</v>
      </c>
      <c r="AE23">
        <v>0.11927245608570815</v>
      </c>
    </row>
    <row r="24" spans="9:35" x14ac:dyDescent="0.25">
      <c r="I24" t="s">
        <v>166</v>
      </c>
      <c r="J24" t="s">
        <v>155</v>
      </c>
      <c r="K24">
        <v>6.4420252159045593E-2</v>
      </c>
      <c r="L24" t="s">
        <v>154</v>
      </c>
      <c r="N24" t="s">
        <v>190</v>
      </c>
      <c r="O24" t="s">
        <v>155</v>
      </c>
      <c r="P24">
        <v>2.4854052252161626E-2</v>
      </c>
      <c r="Q24" t="s">
        <v>154</v>
      </c>
      <c r="S24" t="s">
        <v>200</v>
      </c>
      <c r="T24" t="s">
        <v>155</v>
      </c>
      <c r="U24">
        <v>3.9111973710550349E-2</v>
      </c>
      <c r="V24" t="s">
        <v>154</v>
      </c>
      <c r="AC24" t="s">
        <v>19</v>
      </c>
      <c r="AD24" t="s">
        <v>155</v>
      </c>
      <c r="AE24">
        <v>3.4494965440775287E-2</v>
      </c>
    </row>
    <row r="25" spans="9:35" x14ac:dyDescent="0.25">
      <c r="I25" t="s">
        <v>166</v>
      </c>
      <c r="J25" t="s">
        <v>156</v>
      </c>
      <c r="K25">
        <v>0.37793866213067179</v>
      </c>
      <c r="L25" t="s">
        <v>154</v>
      </c>
      <c r="N25" t="s">
        <v>190</v>
      </c>
      <c r="O25" t="s">
        <v>156</v>
      </c>
      <c r="P25">
        <v>0.28658795172837881</v>
      </c>
      <c r="Q25" t="s">
        <v>154</v>
      </c>
      <c r="S25" t="s">
        <v>200</v>
      </c>
      <c r="T25" t="s">
        <v>156</v>
      </c>
      <c r="U25">
        <v>0.29209569437011917</v>
      </c>
      <c r="V25" t="s">
        <v>154</v>
      </c>
      <c r="AC25" t="s">
        <v>19</v>
      </c>
      <c r="AD25" t="s">
        <v>156</v>
      </c>
      <c r="AE25">
        <v>0.26278981731905743</v>
      </c>
    </row>
    <row r="26" spans="9:35" x14ac:dyDescent="0.25">
      <c r="I26" t="s">
        <v>166</v>
      </c>
      <c r="J26" t="s">
        <v>157</v>
      </c>
      <c r="K26">
        <v>3.2335945573008732E-3</v>
      </c>
      <c r="L26" t="s">
        <v>154</v>
      </c>
      <c r="N26" t="s">
        <v>190</v>
      </c>
      <c r="O26" t="s">
        <v>157</v>
      </c>
      <c r="P26">
        <v>1.718297786476676E-2</v>
      </c>
      <c r="Q26" t="s">
        <v>154</v>
      </c>
      <c r="S26" t="s">
        <v>200</v>
      </c>
      <c r="T26" t="s">
        <v>157</v>
      </c>
      <c r="U26">
        <v>7.6548176944495035E-3</v>
      </c>
      <c r="V26" t="s">
        <v>154</v>
      </c>
      <c r="AC26" t="s">
        <v>19</v>
      </c>
      <c r="AD26" t="s">
        <v>157</v>
      </c>
      <c r="AE26">
        <v>3.2905700873221443E-2</v>
      </c>
    </row>
    <row r="27" spans="9:35" x14ac:dyDescent="0.25">
      <c r="I27" t="s">
        <v>166</v>
      </c>
      <c r="J27" t="s">
        <v>158</v>
      </c>
      <c r="K27">
        <v>1.4021374830959931E-2</v>
      </c>
      <c r="L27" t="s">
        <v>154</v>
      </c>
      <c r="N27" t="s">
        <v>190</v>
      </c>
      <c r="O27" t="s">
        <v>158</v>
      </c>
      <c r="P27">
        <v>5.7715859364114728E-3</v>
      </c>
      <c r="Q27" t="s">
        <v>154</v>
      </c>
      <c r="S27" t="s">
        <v>200</v>
      </c>
      <c r="T27" t="s">
        <v>158</v>
      </c>
      <c r="U27">
        <v>2.3379913306090165E-3</v>
      </c>
      <c r="V27" t="s">
        <v>154</v>
      </c>
      <c r="AC27" t="s">
        <v>19</v>
      </c>
      <c r="AD27" t="s">
        <v>158</v>
      </c>
      <c r="AE27">
        <v>9.5041558703959188E-3</v>
      </c>
    </row>
    <row r="28" spans="9:35" x14ac:dyDescent="0.25">
      <c r="I28" t="s">
        <v>166</v>
      </c>
      <c r="J28" t="s">
        <v>159</v>
      </c>
      <c r="K28">
        <v>9.1501711173721509E-2</v>
      </c>
      <c r="L28" t="s">
        <v>154</v>
      </c>
      <c r="N28" t="s">
        <v>190</v>
      </c>
      <c r="O28" t="s">
        <v>159</v>
      </c>
      <c r="P28">
        <v>4.4649265574306457E-2</v>
      </c>
      <c r="Q28" t="s">
        <v>154</v>
      </c>
      <c r="S28" t="s">
        <v>200</v>
      </c>
      <c r="T28" t="s">
        <v>159</v>
      </c>
      <c r="U28">
        <v>1.5145491997694174E-2</v>
      </c>
      <c r="V28" t="s">
        <v>154</v>
      </c>
      <c r="AC28" t="s">
        <v>19</v>
      </c>
      <c r="AD28" t="s">
        <v>159</v>
      </c>
      <c r="AE28">
        <v>7.281904107355204E-2</v>
      </c>
    </row>
    <row r="29" spans="9:35" x14ac:dyDescent="0.25">
      <c r="I29" t="s">
        <v>166</v>
      </c>
      <c r="J29" t="s">
        <v>160</v>
      </c>
      <c r="K29">
        <v>7.0091864335315229E-3</v>
      </c>
      <c r="L29" t="s">
        <v>154</v>
      </c>
      <c r="N29" t="s">
        <v>190</v>
      </c>
      <c r="O29" t="s">
        <v>160</v>
      </c>
      <c r="P29">
        <v>0.10130962049177765</v>
      </c>
      <c r="Q29" t="s">
        <v>154</v>
      </c>
      <c r="S29" t="s">
        <v>200</v>
      </c>
      <c r="T29" t="s">
        <v>160</v>
      </c>
      <c r="U29">
        <v>5.0122619506413994E-2</v>
      </c>
      <c r="V29" t="s">
        <v>154</v>
      </c>
      <c r="AC29" t="s">
        <v>19</v>
      </c>
      <c r="AD29" t="s">
        <v>160</v>
      </c>
      <c r="AE29">
        <v>7.1448323012267959E-2</v>
      </c>
    </row>
    <row r="30" spans="9:35" x14ac:dyDescent="0.25">
      <c r="I30" t="s">
        <v>166</v>
      </c>
      <c r="J30" t="s">
        <v>161</v>
      </c>
      <c r="K30">
        <v>3.4002241564124749E-2</v>
      </c>
      <c r="L30" t="s">
        <v>154</v>
      </c>
      <c r="N30" t="s">
        <v>190</v>
      </c>
      <c r="O30" t="s">
        <v>161</v>
      </c>
      <c r="P30">
        <v>3.0959452010657119E-2</v>
      </c>
      <c r="Q30" t="s">
        <v>154</v>
      </c>
      <c r="S30" t="s">
        <v>200</v>
      </c>
      <c r="T30" t="s">
        <v>161</v>
      </c>
      <c r="U30">
        <v>1.7181191487392243E-2</v>
      </c>
      <c r="V30" t="s">
        <v>154</v>
      </c>
      <c r="AC30" t="s">
        <v>19</v>
      </c>
      <c r="AD30" t="s">
        <v>161</v>
      </c>
      <c r="AE30">
        <v>2.0706034571315035E-2</v>
      </c>
    </row>
    <row r="31" spans="9:35" x14ac:dyDescent="0.25">
      <c r="I31" t="s">
        <v>166</v>
      </c>
      <c r="J31" t="s">
        <v>162</v>
      </c>
      <c r="K31">
        <v>0.208558854892088</v>
      </c>
      <c r="L31" t="s">
        <v>154</v>
      </c>
      <c r="N31" t="s">
        <v>190</v>
      </c>
      <c r="O31" t="s">
        <v>162</v>
      </c>
      <c r="P31">
        <v>0.22762128545281274</v>
      </c>
      <c r="Q31" t="s">
        <v>154</v>
      </c>
      <c r="S31" t="s">
        <v>200</v>
      </c>
      <c r="T31" t="s">
        <v>162</v>
      </c>
      <c r="U31">
        <v>0.10841247107758606</v>
      </c>
      <c r="V31" t="s">
        <v>154</v>
      </c>
      <c r="AC31" t="s">
        <v>19</v>
      </c>
      <c r="AD31" t="s">
        <v>162</v>
      </c>
      <c r="AE31">
        <v>0.15711354844616751</v>
      </c>
    </row>
    <row r="32" spans="9:35" x14ac:dyDescent="0.25">
      <c r="I32" t="s">
        <v>166</v>
      </c>
      <c r="J32" t="s">
        <v>163</v>
      </c>
      <c r="K32">
        <v>4.267898455796065E-3</v>
      </c>
      <c r="L32" t="s">
        <v>154</v>
      </c>
      <c r="N32" t="s">
        <v>190</v>
      </c>
      <c r="O32" t="s">
        <v>163</v>
      </c>
      <c r="P32">
        <v>4.3629814772105265E-2</v>
      </c>
      <c r="Q32" t="s">
        <v>154</v>
      </c>
      <c r="S32" t="s">
        <v>200</v>
      </c>
      <c r="T32" t="s">
        <v>163</v>
      </c>
      <c r="U32">
        <v>9.5020052461856644E-2</v>
      </c>
      <c r="V32" t="s">
        <v>154</v>
      </c>
      <c r="AC32" t="s">
        <v>19</v>
      </c>
      <c r="AD32" t="s">
        <v>163</v>
      </c>
      <c r="AE32">
        <v>6.3050390560718386E-2</v>
      </c>
    </row>
    <row r="33" spans="9:31" x14ac:dyDescent="0.25">
      <c r="I33" t="s">
        <v>166</v>
      </c>
      <c r="J33" t="s">
        <v>164</v>
      </c>
      <c r="K33">
        <v>2.8973331990246778E-2</v>
      </c>
      <c r="L33" t="s">
        <v>154</v>
      </c>
      <c r="N33" t="s">
        <v>190</v>
      </c>
      <c r="O33" t="s">
        <v>164</v>
      </c>
      <c r="P33">
        <v>1.0727787649622232E-2</v>
      </c>
      <c r="Q33" t="s">
        <v>154</v>
      </c>
      <c r="S33" t="s">
        <v>200</v>
      </c>
      <c r="T33" t="s">
        <v>164</v>
      </c>
      <c r="U33">
        <v>2.7677482508914046E-2</v>
      </c>
      <c r="V33" t="s">
        <v>154</v>
      </c>
      <c r="AC33" t="s">
        <v>19</v>
      </c>
      <c r="AD33" t="s">
        <v>164</v>
      </c>
      <c r="AE33">
        <v>1.8276630719635287E-2</v>
      </c>
    </row>
    <row r="34" spans="9:31" x14ac:dyDescent="0.25">
      <c r="I34" t="s">
        <v>166</v>
      </c>
      <c r="J34" t="s">
        <v>165</v>
      </c>
      <c r="K34">
        <v>0.15902543684158216</v>
      </c>
      <c r="L34" t="s">
        <v>154</v>
      </c>
      <c r="N34" t="s">
        <v>190</v>
      </c>
      <c r="O34" t="s">
        <v>165</v>
      </c>
      <c r="P34">
        <v>0.10844616336348653</v>
      </c>
      <c r="Q34" t="s">
        <v>154</v>
      </c>
      <c r="S34" t="s">
        <v>200</v>
      </c>
      <c r="T34" t="s">
        <v>165</v>
      </c>
      <c r="U34">
        <v>0.21730156989368049</v>
      </c>
      <c r="V34" t="s">
        <v>154</v>
      </c>
      <c r="AC34" t="s">
        <v>19</v>
      </c>
      <c r="AD34" t="s">
        <v>165</v>
      </c>
      <c r="AE34">
        <v>0.13761893602718561</v>
      </c>
    </row>
    <row r="35" spans="9:31" x14ac:dyDescent="0.25">
      <c r="I35" t="s">
        <v>167</v>
      </c>
      <c r="J35" t="s">
        <v>153</v>
      </c>
      <c r="K35">
        <v>7.1436917218204408E-3</v>
      </c>
      <c r="L35" t="s">
        <v>154</v>
      </c>
      <c r="N35" t="s">
        <v>191</v>
      </c>
      <c r="O35" t="s">
        <v>153</v>
      </c>
      <c r="P35">
        <v>8.7573765711562848E-2</v>
      </c>
      <c r="Q35" t="s">
        <v>154</v>
      </c>
      <c r="S35" t="s">
        <v>201</v>
      </c>
      <c r="T35" t="s">
        <v>153</v>
      </c>
      <c r="U35">
        <v>0.12190068445334033</v>
      </c>
      <c r="V35" t="s">
        <v>154</v>
      </c>
    </row>
    <row r="36" spans="9:31" x14ac:dyDescent="0.25">
      <c r="I36" t="s">
        <v>167</v>
      </c>
      <c r="J36" t="s">
        <v>155</v>
      </c>
      <c r="K36">
        <v>6.4578370065131216E-2</v>
      </c>
      <c r="L36" t="s">
        <v>154</v>
      </c>
      <c r="N36" t="s">
        <v>191</v>
      </c>
      <c r="O36" t="s">
        <v>155</v>
      </c>
      <c r="P36">
        <v>2.0044744002178934E-2</v>
      </c>
      <c r="Q36" t="s">
        <v>154</v>
      </c>
      <c r="S36" t="s">
        <v>201</v>
      </c>
      <c r="T36" t="s">
        <v>155</v>
      </c>
      <c r="U36">
        <v>3.90335772408806E-2</v>
      </c>
      <c r="V36" t="s">
        <v>154</v>
      </c>
    </row>
    <row r="37" spans="9:31" x14ac:dyDescent="0.25">
      <c r="I37" t="s">
        <v>167</v>
      </c>
      <c r="J37" t="s">
        <v>156</v>
      </c>
      <c r="K37">
        <v>0.36776587411261513</v>
      </c>
      <c r="L37" t="s">
        <v>154</v>
      </c>
      <c r="N37" t="s">
        <v>191</v>
      </c>
      <c r="O37" t="s">
        <v>156</v>
      </c>
      <c r="P37">
        <v>0.2429187347962615</v>
      </c>
      <c r="Q37" t="s">
        <v>154</v>
      </c>
      <c r="S37" t="s">
        <v>201</v>
      </c>
      <c r="T37" t="s">
        <v>156</v>
      </c>
      <c r="U37">
        <v>0.2871780694419806</v>
      </c>
      <c r="V37" t="s">
        <v>154</v>
      </c>
    </row>
    <row r="38" spans="9:31" x14ac:dyDescent="0.25">
      <c r="I38" t="s">
        <v>167</v>
      </c>
      <c r="J38" t="s">
        <v>157</v>
      </c>
      <c r="K38">
        <v>3.4305476106417676E-3</v>
      </c>
      <c r="L38" t="s">
        <v>154</v>
      </c>
      <c r="N38" t="s">
        <v>191</v>
      </c>
      <c r="O38" t="s">
        <v>157</v>
      </c>
      <c r="P38">
        <v>1.5766307621321609E-2</v>
      </c>
      <c r="Q38" t="s">
        <v>154</v>
      </c>
      <c r="S38" t="s">
        <v>201</v>
      </c>
      <c r="T38" t="s">
        <v>157</v>
      </c>
      <c r="U38">
        <v>1.1992045122355339E-2</v>
      </c>
      <c r="V38" t="s">
        <v>154</v>
      </c>
    </row>
    <row r="39" spans="9:31" x14ac:dyDescent="0.25">
      <c r="I39" t="s">
        <v>167</v>
      </c>
      <c r="J39" t="s">
        <v>158</v>
      </c>
      <c r="K39">
        <v>1.554592254179436E-2</v>
      </c>
      <c r="L39" t="s">
        <v>154</v>
      </c>
      <c r="N39" t="s">
        <v>191</v>
      </c>
      <c r="O39" t="s">
        <v>158</v>
      </c>
      <c r="P39">
        <v>4.578510519919453E-3</v>
      </c>
      <c r="Q39" t="s">
        <v>154</v>
      </c>
      <c r="S39" t="s">
        <v>201</v>
      </c>
      <c r="T39" t="s">
        <v>158</v>
      </c>
      <c r="U39">
        <v>3.3536524083889623E-3</v>
      </c>
      <c r="V39" t="s">
        <v>154</v>
      </c>
    </row>
    <row r="40" spans="9:31" x14ac:dyDescent="0.25">
      <c r="I40" t="s">
        <v>167</v>
      </c>
      <c r="J40" t="s">
        <v>159</v>
      </c>
      <c r="K40">
        <v>9.5290277971385506E-2</v>
      </c>
      <c r="L40" t="s">
        <v>154</v>
      </c>
      <c r="N40" t="s">
        <v>191</v>
      </c>
      <c r="O40" t="s">
        <v>159</v>
      </c>
      <c r="P40">
        <v>5.0862840256748525E-2</v>
      </c>
      <c r="Q40" t="s">
        <v>154</v>
      </c>
      <c r="S40" t="s">
        <v>201</v>
      </c>
      <c r="T40" t="s">
        <v>159</v>
      </c>
      <c r="U40">
        <v>2.28693401976055E-2</v>
      </c>
      <c r="V40" t="s">
        <v>154</v>
      </c>
    </row>
    <row r="41" spans="9:31" x14ac:dyDescent="0.25">
      <c r="I41" t="s">
        <v>167</v>
      </c>
      <c r="J41" t="s">
        <v>160</v>
      </c>
      <c r="K41">
        <v>8.0691462354244015E-3</v>
      </c>
      <c r="L41" t="s">
        <v>154</v>
      </c>
      <c r="N41" t="s">
        <v>191</v>
      </c>
      <c r="O41" t="s">
        <v>160</v>
      </c>
      <c r="P41">
        <v>0.11215147330986845</v>
      </c>
      <c r="Q41" t="s">
        <v>154</v>
      </c>
      <c r="S41" t="s">
        <v>201</v>
      </c>
      <c r="T41" t="s">
        <v>160</v>
      </c>
      <c r="U41">
        <v>5.4670433467216749E-2</v>
      </c>
      <c r="V41" t="s">
        <v>154</v>
      </c>
    </row>
    <row r="42" spans="9:31" x14ac:dyDescent="0.25">
      <c r="I42" t="s">
        <v>167</v>
      </c>
      <c r="J42" t="s">
        <v>161</v>
      </c>
      <c r="K42">
        <v>3.6407195835427481E-2</v>
      </c>
      <c r="L42" t="s">
        <v>154</v>
      </c>
      <c r="N42" t="s">
        <v>191</v>
      </c>
      <c r="O42" t="s">
        <v>161</v>
      </c>
      <c r="P42">
        <v>3.0540962403541046E-2</v>
      </c>
      <c r="Q42" t="s">
        <v>154</v>
      </c>
      <c r="S42" t="s">
        <v>201</v>
      </c>
      <c r="T42" t="s">
        <v>161</v>
      </c>
      <c r="U42">
        <v>1.71108752633032E-2</v>
      </c>
      <c r="V42" t="s">
        <v>154</v>
      </c>
    </row>
    <row r="43" spans="9:31" x14ac:dyDescent="0.25">
      <c r="I43" t="s">
        <v>167</v>
      </c>
      <c r="J43" t="s">
        <v>162</v>
      </c>
      <c r="K43">
        <v>0.20878155526655967</v>
      </c>
      <c r="L43" t="s">
        <v>154</v>
      </c>
      <c r="N43" t="s">
        <v>191</v>
      </c>
      <c r="O43" t="s">
        <v>162</v>
      </c>
      <c r="P43">
        <v>0.272597153080609</v>
      </c>
      <c r="Q43" t="s">
        <v>154</v>
      </c>
      <c r="S43" t="s">
        <v>201</v>
      </c>
      <c r="T43" t="s">
        <v>162</v>
      </c>
      <c r="U43">
        <v>0.10760839630868692</v>
      </c>
      <c r="V43" t="s">
        <v>154</v>
      </c>
    </row>
    <row r="44" spans="9:31" x14ac:dyDescent="0.25">
      <c r="I44" t="s">
        <v>167</v>
      </c>
      <c r="J44" t="s">
        <v>163</v>
      </c>
      <c r="K44">
        <v>5.5734323545130185E-3</v>
      </c>
      <c r="L44" t="s">
        <v>154</v>
      </c>
      <c r="N44" t="s">
        <v>191</v>
      </c>
      <c r="O44" t="s">
        <v>163</v>
      </c>
      <c r="P44">
        <v>4.5052594359359363E-2</v>
      </c>
      <c r="Q44" t="s">
        <v>154</v>
      </c>
      <c r="S44" t="s">
        <v>201</v>
      </c>
      <c r="T44" t="s">
        <v>163</v>
      </c>
      <c r="U44">
        <v>9.2475692464977527E-2</v>
      </c>
      <c r="V44" t="s">
        <v>154</v>
      </c>
    </row>
    <row r="45" spans="9:31" x14ac:dyDescent="0.25">
      <c r="I45" t="s">
        <v>167</v>
      </c>
      <c r="J45" t="s">
        <v>164</v>
      </c>
      <c r="K45">
        <v>3.1061799115532331E-2</v>
      </c>
      <c r="L45" t="s">
        <v>154</v>
      </c>
      <c r="N45" t="s">
        <v>191</v>
      </c>
      <c r="O45" t="s">
        <v>164</v>
      </c>
      <c r="P45">
        <v>1.10577837864155E-2</v>
      </c>
      <c r="Q45" t="s">
        <v>154</v>
      </c>
      <c r="S45" t="s">
        <v>201</v>
      </c>
      <c r="T45" t="s">
        <v>164</v>
      </c>
      <c r="U45">
        <v>2.7124837719203633E-2</v>
      </c>
      <c r="V45" t="s">
        <v>154</v>
      </c>
    </row>
    <row r="46" spans="9:31" x14ac:dyDescent="0.25">
      <c r="I46" t="s">
        <v>167</v>
      </c>
      <c r="J46" t="s">
        <v>165</v>
      </c>
      <c r="K46">
        <v>0.15635218716915586</v>
      </c>
      <c r="L46" t="s">
        <v>154</v>
      </c>
      <c r="N46" t="s">
        <v>191</v>
      </c>
      <c r="O46" t="s">
        <v>165</v>
      </c>
      <c r="P46">
        <v>0.10685513015221519</v>
      </c>
      <c r="Q46" t="s">
        <v>154</v>
      </c>
      <c r="S46" t="s">
        <v>201</v>
      </c>
      <c r="T46" t="s">
        <v>165</v>
      </c>
      <c r="U46">
        <v>0.21468239591205818</v>
      </c>
      <c r="V46" t="s">
        <v>154</v>
      </c>
    </row>
    <row r="47" spans="9:31" x14ac:dyDescent="0.25">
      <c r="I47" t="s">
        <v>168</v>
      </c>
      <c r="J47" t="s">
        <v>153</v>
      </c>
      <c r="K47">
        <v>0</v>
      </c>
      <c r="L47" t="s">
        <v>154</v>
      </c>
      <c r="N47" t="s">
        <v>192</v>
      </c>
      <c r="O47" t="s">
        <v>153</v>
      </c>
      <c r="P47">
        <v>0.15864058894261873</v>
      </c>
      <c r="Q47" t="s">
        <v>154</v>
      </c>
      <c r="S47" t="s">
        <v>202</v>
      </c>
      <c r="T47" t="s">
        <v>153</v>
      </c>
      <c r="U47">
        <v>0.11587946084971706</v>
      </c>
      <c r="V47" t="s">
        <v>154</v>
      </c>
    </row>
    <row r="48" spans="9:31" x14ac:dyDescent="0.25">
      <c r="I48" t="s">
        <v>168</v>
      </c>
      <c r="J48" t="s">
        <v>155</v>
      </c>
      <c r="K48">
        <v>3.9815642079498906E-2</v>
      </c>
      <c r="L48" t="s">
        <v>154</v>
      </c>
      <c r="N48" t="s">
        <v>192</v>
      </c>
      <c r="O48" t="s">
        <v>155</v>
      </c>
      <c r="P48">
        <v>3.674043667252213E-2</v>
      </c>
      <c r="Q48" t="s">
        <v>154</v>
      </c>
      <c r="S48" t="s">
        <v>202</v>
      </c>
      <c r="T48" t="s">
        <v>155</v>
      </c>
      <c r="U48">
        <v>3.1750571854606849E-2</v>
      </c>
      <c r="V48" t="s">
        <v>154</v>
      </c>
    </row>
    <row r="49" spans="9:22" x14ac:dyDescent="0.25">
      <c r="I49" t="s">
        <v>168</v>
      </c>
      <c r="J49" t="s">
        <v>156</v>
      </c>
      <c r="K49">
        <v>0.3772295138985281</v>
      </c>
      <c r="L49" t="s">
        <v>154</v>
      </c>
      <c r="N49" t="s">
        <v>192</v>
      </c>
      <c r="O49" t="s">
        <v>156</v>
      </c>
      <c r="P49">
        <v>0.32844329467010552</v>
      </c>
      <c r="Q49" t="s">
        <v>154</v>
      </c>
      <c r="S49" t="s">
        <v>202</v>
      </c>
      <c r="T49" t="s">
        <v>156</v>
      </c>
      <c r="U49">
        <v>0.2692310299365217</v>
      </c>
      <c r="V49" t="s">
        <v>154</v>
      </c>
    </row>
    <row r="50" spans="9:22" x14ac:dyDescent="0.25">
      <c r="I50" t="s">
        <v>168</v>
      </c>
      <c r="J50" t="s">
        <v>157</v>
      </c>
      <c r="K50">
        <v>0</v>
      </c>
      <c r="L50" t="s">
        <v>154</v>
      </c>
      <c r="N50" t="s">
        <v>192</v>
      </c>
      <c r="O50" t="s">
        <v>157</v>
      </c>
      <c r="P50">
        <v>1.6597692359819557E-2</v>
      </c>
      <c r="Q50" t="s">
        <v>154</v>
      </c>
      <c r="S50" t="s">
        <v>202</v>
      </c>
      <c r="T50" t="s">
        <v>157</v>
      </c>
      <c r="U50">
        <v>1.7128116459425091E-2</v>
      </c>
      <c r="V50" t="s">
        <v>154</v>
      </c>
    </row>
    <row r="51" spans="9:22" x14ac:dyDescent="0.25">
      <c r="I51" t="s">
        <v>168</v>
      </c>
      <c r="J51" t="s">
        <v>158</v>
      </c>
      <c r="K51">
        <v>1.4034361201460083E-2</v>
      </c>
      <c r="L51" t="s">
        <v>154</v>
      </c>
      <c r="N51" t="s">
        <v>192</v>
      </c>
      <c r="O51" t="s">
        <v>158</v>
      </c>
      <c r="P51">
        <v>3.7147727362556418E-3</v>
      </c>
      <c r="Q51" t="s">
        <v>154</v>
      </c>
      <c r="S51" t="s">
        <v>202</v>
      </c>
      <c r="T51" t="s">
        <v>158</v>
      </c>
      <c r="U51">
        <v>5.7636118652688089E-3</v>
      </c>
      <c r="V51" t="s">
        <v>154</v>
      </c>
    </row>
    <row r="52" spans="9:22" x14ac:dyDescent="0.25">
      <c r="I52" t="s">
        <v>168</v>
      </c>
      <c r="J52" t="s">
        <v>159</v>
      </c>
      <c r="K52">
        <v>0.1121714911046309</v>
      </c>
      <c r="L52" t="s">
        <v>154</v>
      </c>
      <c r="N52" t="s">
        <v>192</v>
      </c>
      <c r="O52" t="s">
        <v>159</v>
      </c>
      <c r="P52">
        <v>3.0708086378262285E-2</v>
      </c>
      <c r="Q52" t="s">
        <v>154</v>
      </c>
      <c r="S52" t="s">
        <v>202</v>
      </c>
      <c r="T52" t="s">
        <v>159</v>
      </c>
      <c r="U52">
        <v>4.0441861084492957E-2</v>
      </c>
      <c r="V52" t="s">
        <v>154</v>
      </c>
    </row>
    <row r="53" spans="9:22" x14ac:dyDescent="0.25">
      <c r="I53" t="s">
        <v>168</v>
      </c>
      <c r="J53" t="s">
        <v>160</v>
      </c>
      <c r="K53">
        <v>3.3710367444523447E-4</v>
      </c>
      <c r="L53" t="s">
        <v>154</v>
      </c>
      <c r="N53" t="s">
        <v>192</v>
      </c>
      <c r="O53" t="s">
        <v>160</v>
      </c>
      <c r="P53">
        <v>6.2567736096545354E-2</v>
      </c>
      <c r="Q53" t="s">
        <v>154</v>
      </c>
      <c r="S53" t="s">
        <v>202</v>
      </c>
      <c r="T53" t="s">
        <v>160</v>
      </c>
      <c r="U53">
        <v>9.8350304877854386E-2</v>
      </c>
      <c r="V53" t="s">
        <v>154</v>
      </c>
    </row>
    <row r="54" spans="9:22" x14ac:dyDescent="0.25">
      <c r="I54" t="s">
        <v>168</v>
      </c>
      <c r="J54" t="s">
        <v>161</v>
      </c>
      <c r="K54">
        <v>2.5303270689023376E-2</v>
      </c>
      <c r="L54" t="s">
        <v>154</v>
      </c>
      <c r="N54" t="s">
        <v>192</v>
      </c>
      <c r="O54" t="s">
        <v>161</v>
      </c>
      <c r="P54">
        <v>1.5755406073757937E-2</v>
      </c>
      <c r="Q54" t="s">
        <v>154</v>
      </c>
      <c r="S54" t="s">
        <v>202</v>
      </c>
      <c r="T54" t="s">
        <v>161</v>
      </c>
      <c r="U54">
        <v>3.0778892342623841E-2</v>
      </c>
      <c r="V54" t="s">
        <v>154</v>
      </c>
    </row>
    <row r="55" spans="9:22" x14ac:dyDescent="0.25">
      <c r="I55" t="s">
        <v>168</v>
      </c>
      <c r="J55" t="s">
        <v>162</v>
      </c>
      <c r="K55">
        <v>0.23769171708164305</v>
      </c>
      <c r="L55" t="s">
        <v>154</v>
      </c>
      <c r="N55" t="s">
        <v>192</v>
      </c>
      <c r="O55" t="s">
        <v>162</v>
      </c>
      <c r="P55">
        <v>0.10176495641653653</v>
      </c>
      <c r="Q55" t="s">
        <v>154</v>
      </c>
      <c r="S55" t="s">
        <v>202</v>
      </c>
      <c r="T55" t="s">
        <v>162</v>
      </c>
      <c r="U55">
        <v>0.2126907500966905</v>
      </c>
      <c r="V55" t="s">
        <v>154</v>
      </c>
    </row>
    <row r="56" spans="9:22" x14ac:dyDescent="0.25">
      <c r="I56" t="s">
        <v>168</v>
      </c>
      <c r="J56" t="s">
        <v>163</v>
      </c>
      <c r="K56">
        <v>1.8088410594772242E-3</v>
      </c>
      <c r="L56" t="s">
        <v>154</v>
      </c>
      <c r="N56" t="s">
        <v>192</v>
      </c>
      <c r="O56" t="s">
        <v>163</v>
      </c>
      <c r="P56">
        <v>7.7073975097651876E-2</v>
      </c>
      <c r="Q56" t="s">
        <v>154</v>
      </c>
      <c r="S56" t="s">
        <v>202</v>
      </c>
      <c r="T56" t="s">
        <v>163</v>
      </c>
      <c r="U56">
        <v>5.2415915689206775E-2</v>
      </c>
      <c r="V56" t="s">
        <v>154</v>
      </c>
    </row>
    <row r="57" spans="9:22" x14ac:dyDescent="0.25">
      <c r="I57" t="s">
        <v>168</v>
      </c>
      <c r="J57" t="s">
        <v>164</v>
      </c>
      <c r="K57">
        <v>2.1859438020302373E-2</v>
      </c>
      <c r="L57" t="s">
        <v>154</v>
      </c>
      <c r="N57" t="s">
        <v>192</v>
      </c>
      <c r="O57" t="s">
        <v>164</v>
      </c>
      <c r="P57">
        <v>2.0223960921380253E-2</v>
      </c>
      <c r="Q57" t="s">
        <v>154</v>
      </c>
      <c r="S57" t="s">
        <v>202</v>
      </c>
      <c r="T57" t="s">
        <v>164</v>
      </c>
      <c r="U57">
        <v>1.4386811803314928E-2</v>
      </c>
      <c r="V57" t="s">
        <v>154</v>
      </c>
    </row>
    <row r="58" spans="9:22" x14ac:dyDescent="0.25">
      <c r="I58" t="s">
        <v>168</v>
      </c>
      <c r="J58" t="s">
        <v>165</v>
      </c>
      <c r="K58">
        <v>0.16974862119099418</v>
      </c>
      <c r="L58" t="s">
        <v>154</v>
      </c>
      <c r="N58" t="s">
        <v>192</v>
      </c>
      <c r="O58" t="s">
        <v>165</v>
      </c>
      <c r="P58">
        <v>0.14776909363454538</v>
      </c>
      <c r="Q58" t="s">
        <v>154</v>
      </c>
      <c r="S58" t="s">
        <v>202</v>
      </c>
      <c r="T58" t="s">
        <v>165</v>
      </c>
      <c r="U58">
        <v>0.11118267314027314</v>
      </c>
      <c r="V58" t="s">
        <v>154</v>
      </c>
    </row>
    <row r="59" spans="9:22" x14ac:dyDescent="0.25">
      <c r="I59" t="s">
        <v>169</v>
      </c>
      <c r="J59" t="s">
        <v>153</v>
      </c>
      <c r="K59">
        <v>9.6093700328665689E-4</v>
      </c>
      <c r="L59" t="s">
        <v>154</v>
      </c>
      <c r="N59" t="s">
        <v>193</v>
      </c>
      <c r="O59" t="s">
        <v>153</v>
      </c>
      <c r="P59">
        <v>0.17121088218509239</v>
      </c>
      <c r="Q59" t="s">
        <v>154</v>
      </c>
      <c r="S59" t="s">
        <v>203</v>
      </c>
      <c r="T59" t="s">
        <v>153</v>
      </c>
      <c r="U59">
        <v>0.10056252370070819</v>
      </c>
      <c r="V59" t="s">
        <v>154</v>
      </c>
    </row>
    <row r="60" spans="9:22" x14ac:dyDescent="0.25">
      <c r="I60" t="s">
        <v>169</v>
      </c>
      <c r="J60" t="s">
        <v>155</v>
      </c>
      <c r="K60">
        <v>4.1180510521388505E-2</v>
      </c>
      <c r="L60" t="s">
        <v>154</v>
      </c>
      <c r="N60" t="s">
        <v>193</v>
      </c>
      <c r="O60" t="s">
        <v>155</v>
      </c>
      <c r="P60">
        <v>3.898430074421956E-2</v>
      </c>
      <c r="Q60" t="s">
        <v>154</v>
      </c>
      <c r="S60" t="s">
        <v>203</v>
      </c>
      <c r="T60" t="s">
        <v>155</v>
      </c>
      <c r="U60">
        <v>2.5674409662720728E-2</v>
      </c>
      <c r="V60" t="s">
        <v>154</v>
      </c>
    </row>
    <row r="61" spans="9:22" x14ac:dyDescent="0.25">
      <c r="I61" t="s">
        <v>169</v>
      </c>
      <c r="J61" t="s">
        <v>156</v>
      </c>
      <c r="K61">
        <v>0.36908708413767938</v>
      </c>
      <c r="L61" t="s">
        <v>154</v>
      </c>
      <c r="N61" t="s">
        <v>193</v>
      </c>
      <c r="O61" t="s">
        <v>156</v>
      </c>
      <c r="P61">
        <v>0.30817739442828451</v>
      </c>
      <c r="Q61" t="s">
        <v>154</v>
      </c>
      <c r="S61" t="s">
        <v>203</v>
      </c>
      <c r="T61" t="s">
        <v>156</v>
      </c>
      <c r="U61">
        <v>0.22142660408060399</v>
      </c>
      <c r="V61" t="s">
        <v>154</v>
      </c>
    </row>
    <row r="62" spans="9:22" x14ac:dyDescent="0.25">
      <c r="I62" t="s">
        <v>169</v>
      </c>
      <c r="J62" t="s">
        <v>157</v>
      </c>
      <c r="K62">
        <v>1.4283329751846828E-4</v>
      </c>
      <c r="L62" t="s">
        <v>154</v>
      </c>
      <c r="N62" t="s">
        <v>193</v>
      </c>
      <c r="O62" t="s">
        <v>157</v>
      </c>
      <c r="P62">
        <v>1.9570305647237069E-2</v>
      </c>
      <c r="Q62" t="s">
        <v>154</v>
      </c>
      <c r="S62" t="s">
        <v>203</v>
      </c>
      <c r="T62" t="s">
        <v>157</v>
      </c>
      <c r="U62">
        <v>2.1178354361007044E-2</v>
      </c>
      <c r="V62" t="s">
        <v>154</v>
      </c>
    </row>
    <row r="63" spans="9:22" x14ac:dyDescent="0.25">
      <c r="I63" t="s">
        <v>169</v>
      </c>
      <c r="J63" t="s">
        <v>158</v>
      </c>
      <c r="K63">
        <v>1.5045301388182086E-2</v>
      </c>
      <c r="L63" t="s">
        <v>154</v>
      </c>
      <c r="N63" t="s">
        <v>193</v>
      </c>
      <c r="O63" t="s">
        <v>158</v>
      </c>
      <c r="P63">
        <v>3.9745696703854892E-3</v>
      </c>
      <c r="Q63" t="s">
        <v>154</v>
      </c>
      <c r="S63" t="s">
        <v>203</v>
      </c>
      <c r="T63" t="s">
        <v>158</v>
      </c>
      <c r="U63">
        <v>6.1852310006443563E-3</v>
      </c>
      <c r="V63" t="s">
        <v>154</v>
      </c>
    </row>
    <row r="64" spans="9:22" x14ac:dyDescent="0.25">
      <c r="I64" t="s">
        <v>169</v>
      </c>
      <c r="J64" t="s">
        <v>159</v>
      </c>
      <c r="K64">
        <v>0.11055417979504624</v>
      </c>
      <c r="L64" t="s">
        <v>154</v>
      </c>
      <c r="N64" t="s">
        <v>193</v>
      </c>
      <c r="O64" t="s">
        <v>159</v>
      </c>
      <c r="P64">
        <v>2.9576851436153274E-2</v>
      </c>
      <c r="Q64" t="s">
        <v>154</v>
      </c>
      <c r="S64" t="s">
        <v>203</v>
      </c>
      <c r="T64" t="s">
        <v>159</v>
      </c>
      <c r="U64">
        <v>4.9404930933326645E-2</v>
      </c>
      <c r="V64" t="s">
        <v>154</v>
      </c>
    </row>
    <row r="65" spans="9:22" x14ac:dyDescent="0.25">
      <c r="I65" t="s">
        <v>169</v>
      </c>
      <c r="J65" t="s">
        <v>160</v>
      </c>
      <c r="K65">
        <v>1.6358551259239005E-3</v>
      </c>
      <c r="L65" t="s">
        <v>154</v>
      </c>
      <c r="N65" t="s">
        <v>193</v>
      </c>
      <c r="O65" t="s">
        <v>160</v>
      </c>
      <c r="P65">
        <v>7.2372521348894908E-2</v>
      </c>
      <c r="Q65" t="s">
        <v>154</v>
      </c>
      <c r="S65" t="s">
        <v>203</v>
      </c>
      <c r="T65" t="s">
        <v>160</v>
      </c>
      <c r="U65">
        <v>0.12040314471644453</v>
      </c>
      <c r="V65" t="s">
        <v>154</v>
      </c>
    </row>
    <row r="66" spans="9:22" x14ac:dyDescent="0.25">
      <c r="I66" t="s">
        <v>169</v>
      </c>
      <c r="J66" t="s">
        <v>161</v>
      </c>
      <c r="K66">
        <v>2.6739476261010829E-2</v>
      </c>
      <c r="L66" t="s">
        <v>154</v>
      </c>
      <c r="N66" t="s">
        <v>193</v>
      </c>
      <c r="O66" t="s">
        <v>161</v>
      </c>
      <c r="P66">
        <v>1.6275642889556574E-2</v>
      </c>
      <c r="Q66" t="s">
        <v>154</v>
      </c>
      <c r="S66" t="s">
        <v>203</v>
      </c>
      <c r="T66" t="s">
        <v>161</v>
      </c>
      <c r="U66">
        <v>3.4572733599573427E-2</v>
      </c>
      <c r="V66" t="s">
        <v>154</v>
      </c>
    </row>
    <row r="67" spans="9:22" x14ac:dyDescent="0.25">
      <c r="I67" t="s">
        <v>169</v>
      </c>
      <c r="J67" t="s">
        <v>162</v>
      </c>
      <c r="K67">
        <v>0.23180476015185128</v>
      </c>
      <c r="L67" t="s">
        <v>154</v>
      </c>
      <c r="N67" t="s">
        <v>193</v>
      </c>
      <c r="O67" t="s">
        <v>162</v>
      </c>
      <c r="P67">
        <v>0.11463004398098367</v>
      </c>
      <c r="Q67" t="s">
        <v>154</v>
      </c>
      <c r="S67" t="s">
        <v>203</v>
      </c>
      <c r="T67" t="s">
        <v>162</v>
      </c>
      <c r="U67">
        <v>0.26581026113614048</v>
      </c>
      <c r="V67" t="s">
        <v>154</v>
      </c>
    </row>
    <row r="68" spans="9:22" x14ac:dyDescent="0.25">
      <c r="I68" t="s">
        <v>169</v>
      </c>
      <c r="J68" t="s">
        <v>163</v>
      </c>
      <c r="K68">
        <v>3.4664400268613646E-3</v>
      </c>
      <c r="L68" t="s">
        <v>154</v>
      </c>
      <c r="N68" t="s">
        <v>193</v>
      </c>
      <c r="O68" t="s">
        <v>163</v>
      </c>
      <c r="P68">
        <v>7.8956070375426721E-2</v>
      </c>
      <c r="Q68" t="s">
        <v>154</v>
      </c>
      <c r="S68" t="s">
        <v>203</v>
      </c>
      <c r="T68" t="s">
        <v>163</v>
      </c>
      <c r="U68">
        <v>4.5652553346330914E-2</v>
      </c>
      <c r="V68" t="s">
        <v>154</v>
      </c>
    </row>
    <row r="69" spans="9:22" x14ac:dyDescent="0.25">
      <c r="I69" t="s">
        <v>169</v>
      </c>
      <c r="J69" t="s">
        <v>164</v>
      </c>
      <c r="K69">
        <v>2.4425639819568572E-2</v>
      </c>
      <c r="L69" t="s">
        <v>154</v>
      </c>
      <c r="N69" t="s">
        <v>193</v>
      </c>
      <c r="O69" t="s">
        <v>164</v>
      </c>
      <c r="P69">
        <v>1.987961510297688E-2</v>
      </c>
      <c r="Q69" t="s">
        <v>154</v>
      </c>
      <c r="S69" t="s">
        <v>203</v>
      </c>
      <c r="T69" t="s">
        <v>164</v>
      </c>
      <c r="U69">
        <v>1.3049670967366813E-2</v>
      </c>
      <c r="V69" t="s">
        <v>154</v>
      </c>
    </row>
    <row r="70" spans="9:22" x14ac:dyDescent="0.25">
      <c r="I70" t="s">
        <v>169</v>
      </c>
      <c r="J70" t="s">
        <v>165</v>
      </c>
      <c r="K70">
        <v>0.17495698247168331</v>
      </c>
      <c r="L70" t="s">
        <v>154</v>
      </c>
      <c r="N70" t="s">
        <v>193</v>
      </c>
      <c r="O70" t="s">
        <v>165</v>
      </c>
      <c r="P70">
        <v>0.12639180219079257</v>
      </c>
      <c r="Q70" t="s">
        <v>154</v>
      </c>
      <c r="S70" t="s">
        <v>203</v>
      </c>
      <c r="T70" t="s">
        <v>165</v>
      </c>
      <c r="U70">
        <v>9.6079582495133389E-2</v>
      </c>
      <c r="V70" t="s">
        <v>154</v>
      </c>
    </row>
    <row r="71" spans="9:22" x14ac:dyDescent="0.25">
      <c r="I71" t="s">
        <v>170</v>
      </c>
      <c r="J71" t="s">
        <v>153</v>
      </c>
      <c r="K71">
        <v>1.5782797190599821E-3</v>
      </c>
      <c r="L71" t="s">
        <v>154</v>
      </c>
      <c r="N71" t="s">
        <v>194</v>
      </c>
      <c r="O71" t="s">
        <v>153</v>
      </c>
      <c r="P71">
        <v>0.12288790726974559</v>
      </c>
      <c r="Q71" t="s">
        <v>154</v>
      </c>
      <c r="S71" t="s">
        <v>204</v>
      </c>
      <c r="T71" t="s">
        <v>153</v>
      </c>
      <c r="U71">
        <v>0.10432988044898238</v>
      </c>
      <c r="V71" t="s">
        <v>154</v>
      </c>
    </row>
    <row r="72" spans="9:22" x14ac:dyDescent="0.25">
      <c r="I72" t="s">
        <v>170</v>
      </c>
      <c r="J72" t="s">
        <v>155</v>
      </c>
      <c r="K72">
        <v>4.1139088056249239E-2</v>
      </c>
      <c r="L72" t="s">
        <v>154</v>
      </c>
      <c r="N72" t="s">
        <v>194</v>
      </c>
      <c r="O72" t="s">
        <v>155</v>
      </c>
      <c r="P72">
        <v>2.9357232599106439E-2</v>
      </c>
      <c r="Q72" t="s">
        <v>154</v>
      </c>
      <c r="S72" t="s">
        <v>204</v>
      </c>
      <c r="T72" t="s">
        <v>155</v>
      </c>
      <c r="U72">
        <v>2.9900828685848459E-2</v>
      </c>
      <c r="V72" t="s">
        <v>154</v>
      </c>
    </row>
    <row r="73" spans="9:22" x14ac:dyDescent="0.25">
      <c r="I73" t="s">
        <v>170</v>
      </c>
      <c r="J73" t="s">
        <v>156</v>
      </c>
      <c r="K73">
        <v>0.37508164371655567</v>
      </c>
      <c r="L73" t="s">
        <v>154</v>
      </c>
      <c r="N73" t="s">
        <v>194</v>
      </c>
      <c r="O73" t="s">
        <v>156</v>
      </c>
      <c r="P73">
        <v>0.24041359277141464</v>
      </c>
      <c r="Q73" t="s">
        <v>154</v>
      </c>
      <c r="S73" t="s">
        <v>204</v>
      </c>
      <c r="T73" t="s">
        <v>156</v>
      </c>
      <c r="U73">
        <v>0.2386399160803791</v>
      </c>
      <c r="V73" t="s">
        <v>154</v>
      </c>
    </row>
    <row r="74" spans="9:22" x14ac:dyDescent="0.25">
      <c r="I74" t="s">
        <v>170</v>
      </c>
      <c r="J74" t="s">
        <v>157</v>
      </c>
      <c r="K74">
        <v>3.3823529124221691E-4</v>
      </c>
      <c r="L74" t="s">
        <v>154</v>
      </c>
      <c r="N74" t="s">
        <v>194</v>
      </c>
      <c r="O74" t="s">
        <v>157</v>
      </c>
      <c r="P74">
        <v>2.8430832822544164E-2</v>
      </c>
      <c r="Q74" t="s">
        <v>154</v>
      </c>
      <c r="S74" t="s">
        <v>204</v>
      </c>
      <c r="T74" t="s">
        <v>157</v>
      </c>
      <c r="U74">
        <v>2.0344539786036002E-2</v>
      </c>
      <c r="V74" t="s">
        <v>154</v>
      </c>
    </row>
    <row r="75" spans="9:22" x14ac:dyDescent="0.25">
      <c r="I75" t="s">
        <v>170</v>
      </c>
      <c r="J75" t="s">
        <v>158</v>
      </c>
      <c r="K75">
        <v>1.4088335050958177E-2</v>
      </c>
      <c r="L75" t="s">
        <v>154</v>
      </c>
      <c r="N75" t="s">
        <v>194</v>
      </c>
      <c r="O75" t="s">
        <v>158</v>
      </c>
      <c r="P75">
        <v>6.9072582571195499E-3</v>
      </c>
      <c r="Q75" t="s">
        <v>154</v>
      </c>
      <c r="S75" t="s">
        <v>204</v>
      </c>
      <c r="T75" t="s">
        <v>158</v>
      </c>
      <c r="U75">
        <v>6.054677370556487E-3</v>
      </c>
      <c r="V75" t="s">
        <v>154</v>
      </c>
    </row>
    <row r="76" spans="9:22" x14ac:dyDescent="0.25">
      <c r="I76" t="s">
        <v>170</v>
      </c>
      <c r="J76" t="s">
        <v>159</v>
      </c>
      <c r="K76">
        <v>0.11055518273869397</v>
      </c>
      <c r="L76" t="s">
        <v>154</v>
      </c>
      <c r="N76" t="s">
        <v>194</v>
      </c>
      <c r="O76" t="s">
        <v>159</v>
      </c>
      <c r="P76">
        <v>5.4383418240184618E-2</v>
      </c>
      <c r="Q76" t="s">
        <v>154</v>
      </c>
      <c r="S76" t="s">
        <v>204</v>
      </c>
      <c r="T76" t="s">
        <v>159</v>
      </c>
      <c r="U76">
        <v>4.5906500233792953E-2</v>
      </c>
      <c r="V76" t="s">
        <v>154</v>
      </c>
    </row>
    <row r="77" spans="9:22" x14ac:dyDescent="0.25">
      <c r="I77" t="s">
        <v>170</v>
      </c>
      <c r="J77" t="s">
        <v>160</v>
      </c>
      <c r="K77">
        <v>1.4709877171953736E-3</v>
      </c>
      <c r="L77" t="s">
        <v>154</v>
      </c>
      <c r="N77" t="s">
        <v>194</v>
      </c>
      <c r="O77" t="s">
        <v>160</v>
      </c>
      <c r="P77">
        <v>2.9345913400214429E-2</v>
      </c>
      <c r="Q77" t="s">
        <v>154</v>
      </c>
      <c r="S77" t="s">
        <v>204</v>
      </c>
      <c r="T77" t="s">
        <v>160</v>
      </c>
      <c r="U77">
        <v>0.10989795994870966</v>
      </c>
      <c r="V77" t="s">
        <v>154</v>
      </c>
    </row>
    <row r="78" spans="9:22" x14ac:dyDescent="0.25">
      <c r="I78" t="s">
        <v>170</v>
      </c>
      <c r="J78" t="s">
        <v>161</v>
      </c>
      <c r="K78">
        <v>2.5748769118673895E-2</v>
      </c>
      <c r="L78" t="s">
        <v>154</v>
      </c>
      <c r="N78" t="s">
        <v>194</v>
      </c>
      <c r="O78" t="s">
        <v>161</v>
      </c>
      <c r="P78">
        <v>6.1726574282247601E-3</v>
      </c>
      <c r="Q78" t="s">
        <v>154</v>
      </c>
      <c r="S78" t="s">
        <v>204</v>
      </c>
      <c r="T78" t="s">
        <v>161</v>
      </c>
      <c r="U78">
        <v>3.2641747035471687E-2</v>
      </c>
      <c r="V78" t="s">
        <v>154</v>
      </c>
    </row>
    <row r="79" spans="9:22" x14ac:dyDescent="0.25">
      <c r="I79" t="s">
        <v>170</v>
      </c>
      <c r="J79" t="s">
        <v>162</v>
      </c>
      <c r="K79">
        <v>0.23346752622189804</v>
      </c>
      <c r="L79" t="s">
        <v>154</v>
      </c>
      <c r="N79" t="s">
        <v>194</v>
      </c>
      <c r="O79" t="s">
        <v>162</v>
      </c>
      <c r="P79">
        <v>9.3743237742994409E-2</v>
      </c>
      <c r="Q79" t="s">
        <v>154</v>
      </c>
      <c r="S79" t="s">
        <v>204</v>
      </c>
      <c r="T79" t="s">
        <v>162</v>
      </c>
      <c r="U79">
        <v>0.24474307495566575</v>
      </c>
      <c r="V79" t="s">
        <v>154</v>
      </c>
    </row>
    <row r="80" spans="9:22" x14ac:dyDescent="0.25">
      <c r="I80" t="s">
        <v>170</v>
      </c>
      <c r="J80" t="s">
        <v>163</v>
      </c>
      <c r="K80">
        <v>3.1088345474727676E-3</v>
      </c>
      <c r="L80" t="s">
        <v>154</v>
      </c>
      <c r="N80" t="s">
        <v>194</v>
      </c>
      <c r="O80" t="s">
        <v>163</v>
      </c>
      <c r="P80">
        <v>0.11749731863735031</v>
      </c>
      <c r="Q80" t="s">
        <v>154</v>
      </c>
      <c r="S80" t="s">
        <v>204</v>
      </c>
      <c r="T80" t="s">
        <v>163</v>
      </c>
      <c r="U80">
        <v>4.8669267048230845E-2</v>
      </c>
      <c r="V80" t="s">
        <v>154</v>
      </c>
    </row>
    <row r="81" spans="9:22" x14ac:dyDescent="0.25">
      <c r="I81" t="s">
        <v>170</v>
      </c>
      <c r="J81" t="s">
        <v>164</v>
      </c>
      <c r="K81">
        <v>2.2812979010769053E-2</v>
      </c>
      <c r="L81" t="s">
        <v>154</v>
      </c>
      <c r="N81" t="s">
        <v>194</v>
      </c>
      <c r="O81" t="s">
        <v>164</v>
      </c>
      <c r="P81">
        <v>3.167693577767957E-2</v>
      </c>
      <c r="Q81" t="s">
        <v>154</v>
      </c>
      <c r="S81" t="s">
        <v>204</v>
      </c>
      <c r="T81" t="s">
        <v>164</v>
      </c>
      <c r="U81">
        <v>1.423507365936489E-2</v>
      </c>
      <c r="V81" t="s">
        <v>154</v>
      </c>
    </row>
    <row r="82" spans="9:22" x14ac:dyDescent="0.25">
      <c r="I82" t="s">
        <v>170</v>
      </c>
      <c r="J82" t="s">
        <v>165</v>
      </c>
      <c r="K82">
        <v>0.17061013881123108</v>
      </c>
      <c r="L82" t="s">
        <v>154</v>
      </c>
      <c r="N82" t="s">
        <v>194</v>
      </c>
      <c r="O82" t="s">
        <v>165</v>
      </c>
      <c r="P82">
        <v>0.23918369505342116</v>
      </c>
      <c r="Q82" t="s">
        <v>154</v>
      </c>
      <c r="S82" t="s">
        <v>204</v>
      </c>
      <c r="T82" t="s">
        <v>165</v>
      </c>
      <c r="U82">
        <v>0.10463653474696405</v>
      </c>
      <c r="V82" t="s">
        <v>154</v>
      </c>
    </row>
    <row r="83" spans="9:22" x14ac:dyDescent="0.25">
      <c r="I83" t="s">
        <v>171</v>
      </c>
      <c r="J83" t="s">
        <v>153</v>
      </c>
      <c r="K83">
        <v>7.3435042154922792E-3</v>
      </c>
      <c r="L83" t="s">
        <v>154</v>
      </c>
      <c r="N83" t="s">
        <v>195</v>
      </c>
      <c r="O83" t="s">
        <v>153</v>
      </c>
      <c r="P83">
        <v>0.1048390230461744</v>
      </c>
      <c r="Q83" t="s">
        <v>154</v>
      </c>
      <c r="S83" t="s">
        <v>205</v>
      </c>
      <c r="T83" t="s">
        <v>153</v>
      </c>
      <c r="U83">
        <v>0.1298562171510014</v>
      </c>
      <c r="V83" t="s">
        <v>154</v>
      </c>
    </row>
    <row r="84" spans="9:22" x14ac:dyDescent="0.25">
      <c r="I84" t="s">
        <v>171</v>
      </c>
      <c r="J84" t="s">
        <v>155</v>
      </c>
      <c r="K84">
        <v>5.8553727316399011E-2</v>
      </c>
      <c r="L84" t="s">
        <v>154</v>
      </c>
      <c r="N84" t="s">
        <v>195</v>
      </c>
      <c r="O84" t="s">
        <v>155</v>
      </c>
      <c r="P84">
        <v>2.5425939202306423E-2</v>
      </c>
      <c r="Q84" t="s">
        <v>154</v>
      </c>
      <c r="S84" t="s">
        <v>205</v>
      </c>
      <c r="T84" t="s">
        <v>155</v>
      </c>
      <c r="U84">
        <v>3.788929845381786E-2</v>
      </c>
      <c r="V84" t="s">
        <v>154</v>
      </c>
    </row>
    <row r="85" spans="9:22" x14ac:dyDescent="0.25">
      <c r="I85" t="s">
        <v>171</v>
      </c>
      <c r="J85" t="s">
        <v>156</v>
      </c>
      <c r="K85">
        <v>0.36236735708488682</v>
      </c>
      <c r="L85" t="s">
        <v>154</v>
      </c>
      <c r="N85" t="s">
        <v>195</v>
      </c>
      <c r="O85" t="s">
        <v>156</v>
      </c>
      <c r="P85">
        <v>0.28993711410916284</v>
      </c>
      <c r="Q85" t="s">
        <v>154</v>
      </c>
      <c r="S85" t="s">
        <v>205</v>
      </c>
      <c r="T85" t="s">
        <v>156</v>
      </c>
      <c r="U85">
        <v>0.26427729588841581</v>
      </c>
      <c r="V85" t="s">
        <v>154</v>
      </c>
    </row>
    <row r="86" spans="9:22" x14ac:dyDescent="0.25">
      <c r="I86" t="s">
        <v>171</v>
      </c>
      <c r="J86" t="s">
        <v>157</v>
      </c>
      <c r="K86">
        <v>2.8965865180397899E-3</v>
      </c>
      <c r="L86" t="s">
        <v>154</v>
      </c>
      <c r="N86" t="s">
        <v>195</v>
      </c>
      <c r="O86" t="s">
        <v>157</v>
      </c>
      <c r="P86">
        <v>3.1690946623175335E-2</v>
      </c>
      <c r="Q86" t="s">
        <v>154</v>
      </c>
      <c r="S86" t="s">
        <v>205</v>
      </c>
      <c r="T86" t="s">
        <v>157</v>
      </c>
      <c r="U86">
        <v>1.7421555947572984E-2</v>
      </c>
      <c r="V86" t="s">
        <v>154</v>
      </c>
    </row>
    <row r="87" spans="9:22" x14ac:dyDescent="0.25">
      <c r="I87" t="s">
        <v>171</v>
      </c>
      <c r="J87" t="s">
        <v>158</v>
      </c>
      <c r="K87">
        <v>1.4102047329191281E-2</v>
      </c>
      <c r="L87" t="s">
        <v>154</v>
      </c>
      <c r="N87" t="s">
        <v>195</v>
      </c>
      <c r="O87" t="s">
        <v>158</v>
      </c>
      <c r="P87">
        <v>7.2544449673119984E-3</v>
      </c>
      <c r="Q87" t="s">
        <v>154</v>
      </c>
      <c r="S87" t="s">
        <v>205</v>
      </c>
      <c r="T87" t="s">
        <v>158</v>
      </c>
      <c r="U87">
        <v>6.4877691654401199E-3</v>
      </c>
      <c r="V87" t="s">
        <v>154</v>
      </c>
    </row>
    <row r="88" spans="9:22" x14ac:dyDescent="0.25">
      <c r="I88" t="s">
        <v>171</v>
      </c>
      <c r="J88" t="s">
        <v>159</v>
      </c>
      <c r="K88">
        <v>9.3232839570834225E-2</v>
      </c>
      <c r="L88" t="s">
        <v>154</v>
      </c>
      <c r="N88" t="s">
        <v>195</v>
      </c>
      <c r="O88" t="s">
        <v>159</v>
      </c>
      <c r="P88">
        <v>7.9064312147983803E-2</v>
      </c>
      <c r="Q88" t="s">
        <v>154</v>
      </c>
      <c r="S88" t="s">
        <v>205</v>
      </c>
      <c r="T88" t="s">
        <v>159</v>
      </c>
      <c r="U88">
        <v>3.9654171743700797E-2</v>
      </c>
      <c r="V88" t="s">
        <v>154</v>
      </c>
    </row>
    <row r="89" spans="9:22" x14ac:dyDescent="0.25">
      <c r="I89" t="s">
        <v>171</v>
      </c>
      <c r="J89" t="s">
        <v>160</v>
      </c>
      <c r="K89">
        <v>6.573037214620216E-3</v>
      </c>
      <c r="L89" t="s">
        <v>154</v>
      </c>
      <c r="N89" t="s">
        <v>195</v>
      </c>
      <c r="O89" t="s">
        <v>160</v>
      </c>
      <c r="P89">
        <v>3.5080983724582203E-2</v>
      </c>
      <c r="Q89" t="s">
        <v>154</v>
      </c>
      <c r="S89" t="s">
        <v>205</v>
      </c>
      <c r="T89" t="s">
        <v>160</v>
      </c>
      <c r="U89">
        <v>8.2828306362406748E-2</v>
      </c>
      <c r="V89" t="s">
        <v>154</v>
      </c>
    </row>
    <row r="90" spans="9:22" x14ac:dyDescent="0.25">
      <c r="I90" t="s">
        <v>171</v>
      </c>
      <c r="J90" t="s">
        <v>161</v>
      </c>
      <c r="K90">
        <v>3.3668693924931832E-2</v>
      </c>
      <c r="L90" t="s">
        <v>154</v>
      </c>
      <c r="N90" t="s">
        <v>195</v>
      </c>
      <c r="O90" t="s">
        <v>161</v>
      </c>
      <c r="P90">
        <v>7.590430783183116E-3</v>
      </c>
      <c r="Q90" t="s">
        <v>154</v>
      </c>
      <c r="S90" t="s">
        <v>205</v>
      </c>
      <c r="T90" t="s">
        <v>161</v>
      </c>
      <c r="U90">
        <v>2.5703326808168368E-2</v>
      </c>
      <c r="V90" t="s">
        <v>154</v>
      </c>
    </row>
    <row r="91" spans="9:22" x14ac:dyDescent="0.25">
      <c r="I91" t="s">
        <v>171</v>
      </c>
      <c r="J91" t="s">
        <v>162</v>
      </c>
      <c r="K91">
        <v>0.20736063154923379</v>
      </c>
      <c r="L91" t="s">
        <v>154</v>
      </c>
      <c r="N91" t="s">
        <v>195</v>
      </c>
      <c r="O91" t="s">
        <v>162</v>
      </c>
      <c r="P91">
        <v>0.11628746036051767</v>
      </c>
      <c r="Q91" t="s">
        <v>154</v>
      </c>
      <c r="S91" t="s">
        <v>205</v>
      </c>
      <c r="T91" t="s">
        <v>162</v>
      </c>
      <c r="U91">
        <v>0.18761346743293644</v>
      </c>
      <c r="V91" t="s">
        <v>154</v>
      </c>
    </row>
    <row r="92" spans="9:22" x14ac:dyDescent="0.25">
      <c r="I92" t="s">
        <v>171</v>
      </c>
      <c r="J92" t="s">
        <v>163</v>
      </c>
      <c r="K92">
        <v>6.3709796004243644E-3</v>
      </c>
      <c r="L92" t="s">
        <v>154</v>
      </c>
      <c r="N92" t="s">
        <v>195</v>
      </c>
      <c r="O92" t="s">
        <v>163</v>
      </c>
      <c r="P92">
        <v>7.3391714478256598E-2</v>
      </c>
      <c r="Q92" t="s">
        <v>154</v>
      </c>
      <c r="S92" t="s">
        <v>205</v>
      </c>
      <c r="T92" t="s">
        <v>163</v>
      </c>
      <c r="U92">
        <v>6.2345187728744755E-2</v>
      </c>
      <c r="V92" t="s">
        <v>154</v>
      </c>
    </row>
    <row r="93" spans="9:22" x14ac:dyDescent="0.25">
      <c r="I93" t="s">
        <v>171</v>
      </c>
      <c r="J93" t="s">
        <v>164</v>
      </c>
      <c r="K93">
        <v>3.3598167509551281E-2</v>
      </c>
      <c r="L93" t="s">
        <v>154</v>
      </c>
      <c r="N93" t="s">
        <v>195</v>
      </c>
      <c r="O93" t="s">
        <v>164</v>
      </c>
      <c r="P93">
        <v>2.146589454658817E-2</v>
      </c>
      <c r="Q93" t="s">
        <v>154</v>
      </c>
      <c r="S93" t="s">
        <v>205</v>
      </c>
      <c r="T93" t="s">
        <v>164</v>
      </c>
      <c r="U93">
        <v>1.7555615691069535E-2</v>
      </c>
      <c r="V93" t="s">
        <v>154</v>
      </c>
    </row>
    <row r="94" spans="9:22" x14ac:dyDescent="0.25">
      <c r="I94" t="s">
        <v>171</v>
      </c>
      <c r="J94" t="s">
        <v>165</v>
      </c>
      <c r="K94">
        <v>0.17393242816639146</v>
      </c>
      <c r="L94" t="s">
        <v>154</v>
      </c>
      <c r="N94" t="s">
        <v>195</v>
      </c>
      <c r="O94" t="s">
        <v>165</v>
      </c>
      <c r="P94">
        <v>0.20797173601075808</v>
      </c>
      <c r="Q94" t="s">
        <v>154</v>
      </c>
      <c r="S94" t="s">
        <v>205</v>
      </c>
      <c r="T94" t="s">
        <v>165</v>
      </c>
      <c r="U94">
        <v>0.12836778762672524</v>
      </c>
      <c r="V94" t="s">
        <v>154</v>
      </c>
    </row>
    <row r="95" spans="9:22" x14ac:dyDescent="0.25">
      <c r="I95" t="s">
        <v>172</v>
      </c>
      <c r="J95" t="s">
        <v>153</v>
      </c>
      <c r="K95">
        <v>5.8488087339790629E-3</v>
      </c>
      <c r="L95" t="s">
        <v>154</v>
      </c>
      <c r="N95" t="s">
        <v>196</v>
      </c>
      <c r="O95" t="s">
        <v>153</v>
      </c>
      <c r="P95">
        <v>0.10580631421511948</v>
      </c>
      <c r="Q95" t="s">
        <v>154</v>
      </c>
      <c r="S95" t="s">
        <v>206</v>
      </c>
      <c r="T95" t="s">
        <v>153</v>
      </c>
      <c r="U95">
        <v>0.11157798332136072</v>
      </c>
      <c r="V95" t="s">
        <v>154</v>
      </c>
    </row>
    <row r="96" spans="9:22" x14ac:dyDescent="0.25">
      <c r="I96" t="s">
        <v>172</v>
      </c>
      <c r="J96" t="s">
        <v>155</v>
      </c>
      <c r="K96">
        <v>5.7612425537313439E-2</v>
      </c>
      <c r="L96" t="s">
        <v>154</v>
      </c>
      <c r="N96" t="s">
        <v>196</v>
      </c>
      <c r="O96" t="s">
        <v>155</v>
      </c>
      <c r="P96">
        <v>2.8644701432301248E-2</v>
      </c>
      <c r="Q96" t="s">
        <v>154</v>
      </c>
      <c r="S96" t="s">
        <v>206</v>
      </c>
      <c r="T96" t="s">
        <v>155</v>
      </c>
      <c r="U96">
        <v>3.214446575069204E-2</v>
      </c>
      <c r="V96" t="s">
        <v>154</v>
      </c>
    </row>
    <row r="97" spans="9:22" x14ac:dyDescent="0.25">
      <c r="I97" t="s">
        <v>172</v>
      </c>
      <c r="J97" t="s">
        <v>156</v>
      </c>
      <c r="K97">
        <v>0.35548694782858065</v>
      </c>
      <c r="L97" t="s">
        <v>154</v>
      </c>
      <c r="N97" t="s">
        <v>196</v>
      </c>
      <c r="O97" t="s">
        <v>156</v>
      </c>
      <c r="P97">
        <v>0.31500724262868168</v>
      </c>
      <c r="Q97" t="s">
        <v>154</v>
      </c>
      <c r="S97" t="s">
        <v>206</v>
      </c>
      <c r="T97" t="s">
        <v>156</v>
      </c>
      <c r="U97">
        <v>0.22889477018678989</v>
      </c>
      <c r="V97" t="s">
        <v>154</v>
      </c>
    </row>
    <row r="98" spans="9:22" x14ac:dyDescent="0.25">
      <c r="I98" t="s">
        <v>172</v>
      </c>
      <c r="J98" t="s">
        <v>157</v>
      </c>
      <c r="K98">
        <v>3.1284781384761265E-3</v>
      </c>
      <c r="L98" t="s">
        <v>154</v>
      </c>
      <c r="N98" t="s">
        <v>196</v>
      </c>
      <c r="O98" t="s">
        <v>157</v>
      </c>
      <c r="P98">
        <v>6.3093583967765059E-3</v>
      </c>
      <c r="Q98" t="s">
        <v>154</v>
      </c>
      <c r="S98" t="s">
        <v>206</v>
      </c>
      <c r="T98" t="s">
        <v>157</v>
      </c>
      <c r="U98">
        <v>2.1321547659344568E-2</v>
      </c>
      <c r="V98" t="s">
        <v>154</v>
      </c>
    </row>
    <row r="99" spans="9:22" x14ac:dyDescent="0.25">
      <c r="I99" t="s">
        <v>172</v>
      </c>
      <c r="J99" t="s">
        <v>158</v>
      </c>
      <c r="K99">
        <v>1.465453452434225E-2</v>
      </c>
      <c r="L99" t="s">
        <v>154</v>
      </c>
      <c r="N99" t="s">
        <v>196</v>
      </c>
      <c r="O99" t="s">
        <v>158</v>
      </c>
      <c r="P99">
        <v>2.6549938189455312E-3</v>
      </c>
      <c r="Q99" t="s">
        <v>154</v>
      </c>
      <c r="S99" t="s">
        <v>206</v>
      </c>
      <c r="T99" t="s">
        <v>158</v>
      </c>
      <c r="U99">
        <v>7.092554676466383E-3</v>
      </c>
      <c r="V99" t="s">
        <v>154</v>
      </c>
    </row>
    <row r="100" spans="9:22" x14ac:dyDescent="0.25">
      <c r="I100" t="s">
        <v>172</v>
      </c>
      <c r="J100" t="s">
        <v>159</v>
      </c>
      <c r="K100">
        <v>9.738425838278339E-2</v>
      </c>
      <c r="L100" t="s">
        <v>154</v>
      </c>
      <c r="N100" t="s">
        <v>196</v>
      </c>
      <c r="O100" t="s">
        <v>159</v>
      </c>
      <c r="P100">
        <v>1.8306748112053541E-2</v>
      </c>
      <c r="Q100" t="s">
        <v>154</v>
      </c>
      <c r="S100" t="s">
        <v>206</v>
      </c>
      <c r="T100" t="s">
        <v>159</v>
      </c>
      <c r="U100">
        <v>4.3449545269421672E-2</v>
      </c>
      <c r="V100" t="s">
        <v>154</v>
      </c>
    </row>
    <row r="101" spans="9:22" x14ac:dyDescent="0.25">
      <c r="I101" t="s">
        <v>172</v>
      </c>
      <c r="J101" t="s">
        <v>160</v>
      </c>
      <c r="K101">
        <v>6.868800576368162E-3</v>
      </c>
      <c r="L101" t="s">
        <v>154</v>
      </c>
      <c r="N101" t="s">
        <v>196</v>
      </c>
      <c r="O101" t="s">
        <v>160</v>
      </c>
      <c r="P101">
        <v>3.6376673152664893E-2</v>
      </c>
      <c r="Q101" t="s">
        <v>154</v>
      </c>
      <c r="S101" t="s">
        <v>206</v>
      </c>
      <c r="T101" t="s">
        <v>160</v>
      </c>
      <c r="U101">
        <v>9.8611954060750018E-2</v>
      </c>
      <c r="V101" t="s">
        <v>154</v>
      </c>
    </row>
    <row r="102" spans="9:22" x14ac:dyDescent="0.25">
      <c r="I102" t="s">
        <v>172</v>
      </c>
      <c r="J102" t="s">
        <v>161</v>
      </c>
      <c r="K102">
        <v>3.2743697652040375E-2</v>
      </c>
      <c r="L102" t="s">
        <v>154</v>
      </c>
      <c r="N102" t="s">
        <v>196</v>
      </c>
      <c r="O102" t="s">
        <v>161</v>
      </c>
      <c r="P102">
        <v>1.5324384469014667E-2</v>
      </c>
      <c r="Q102" t="s">
        <v>154</v>
      </c>
      <c r="S102" t="s">
        <v>206</v>
      </c>
      <c r="T102" t="s">
        <v>161</v>
      </c>
      <c r="U102">
        <v>2.8156768216972786E-2</v>
      </c>
      <c r="V102" t="s">
        <v>154</v>
      </c>
    </row>
    <row r="103" spans="9:22" x14ac:dyDescent="0.25">
      <c r="I103" t="s">
        <v>172</v>
      </c>
      <c r="J103" t="s">
        <v>162</v>
      </c>
      <c r="K103">
        <v>0.21364862659441627</v>
      </c>
      <c r="L103" t="s">
        <v>154</v>
      </c>
      <c r="N103" t="s">
        <v>196</v>
      </c>
      <c r="O103" t="s">
        <v>162</v>
      </c>
      <c r="P103">
        <v>0.12803075856035173</v>
      </c>
      <c r="Q103" t="s">
        <v>154</v>
      </c>
      <c r="S103" t="s">
        <v>206</v>
      </c>
      <c r="T103" t="s">
        <v>162</v>
      </c>
      <c r="U103">
        <v>0.20939204805823733</v>
      </c>
      <c r="V103" t="s">
        <v>154</v>
      </c>
    </row>
    <row r="104" spans="9:22" x14ac:dyDescent="0.25">
      <c r="I104" t="s">
        <v>172</v>
      </c>
      <c r="J104" t="s">
        <v>163</v>
      </c>
      <c r="K104">
        <v>5.6979745085378028E-3</v>
      </c>
      <c r="L104" t="s">
        <v>154</v>
      </c>
      <c r="N104" t="s">
        <v>196</v>
      </c>
      <c r="O104" t="s">
        <v>163</v>
      </c>
      <c r="P104">
        <v>8.2550096367508222E-2</v>
      </c>
      <c r="Q104" t="s">
        <v>154</v>
      </c>
      <c r="S104" t="s">
        <v>206</v>
      </c>
      <c r="T104" t="s">
        <v>163</v>
      </c>
      <c r="U104">
        <v>6.2119154619197328E-2</v>
      </c>
      <c r="V104" t="s">
        <v>154</v>
      </c>
    </row>
    <row r="105" spans="9:22" x14ac:dyDescent="0.25">
      <c r="I105" t="s">
        <v>172</v>
      </c>
      <c r="J105" t="s">
        <v>164</v>
      </c>
      <c r="K105">
        <v>3.1830343437743248E-2</v>
      </c>
      <c r="L105" t="s">
        <v>154</v>
      </c>
      <c r="N105" t="s">
        <v>196</v>
      </c>
      <c r="O105" t="s">
        <v>164</v>
      </c>
      <c r="P105">
        <v>2.3234408538555525E-2</v>
      </c>
      <c r="Q105" t="s">
        <v>154</v>
      </c>
      <c r="S105" t="s">
        <v>206</v>
      </c>
      <c r="T105" t="s">
        <v>164</v>
      </c>
      <c r="U105">
        <v>1.8859696239482145E-2</v>
      </c>
      <c r="V105" t="s">
        <v>154</v>
      </c>
    </row>
    <row r="106" spans="9:22" x14ac:dyDescent="0.25">
      <c r="I106" t="s">
        <v>172</v>
      </c>
      <c r="J106" t="s">
        <v>165</v>
      </c>
      <c r="K106">
        <v>0.17509510408541853</v>
      </c>
      <c r="L106" t="s">
        <v>154</v>
      </c>
      <c r="N106" t="s">
        <v>196</v>
      </c>
      <c r="O106" t="s">
        <v>165</v>
      </c>
      <c r="P106">
        <v>0.23775432030802623</v>
      </c>
      <c r="Q106" t="s">
        <v>154</v>
      </c>
      <c r="S106" t="s">
        <v>206</v>
      </c>
      <c r="T106" t="s">
        <v>165</v>
      </c>
      <c r="U106">
        <v>0.13837951194128389</v>
      </c>
      <c r="V106" t="s">
        <v>154</v>
      </c>
    </row>
    <row r="107" spans="9:22" x14ac:dyDescent="0.25">
      <c r="I107" t="s">
        <v>173</v>
      </c>
      <c r="J107" t="s">
        <v>153</v>
      </c>
      <c r="K107">
        <v>2.6135112220958107E-3</v>
      </c>
      <c r="L107" t="s">
        <v>154</v>
      </c>
      <c r="N107" t="s">
        <v>197</v>
      </c>
      <c r="O107" t="s">
        <v>153</v>
      </c>
      <c r="P107">
        <v>0.1416367794772336</v>
      </c>
      <c r="Q107" t="s">
        <v>154</v>
      </c>
      <c r="S107" t="s">
        <v>207</v>
      </c>
      <c r="T107" t="s">
        <v>153</v>
      </c>
      <c r="U107">
        <v>0.10999912539265522</v>
      </c>
      <c r="V107" t="s">
        <v>154</v>
      </c>
    </row>
    <row r="108" spans="9:22" x14ac:dyDescent="0.25">
      <c r="I108" t="s">
        <v>173</v>
      </c>
      <c r="J108" t="s">
        <v>155</v>
      </c>
      <c r="K108">
        <v>3.8890483532460669E-2</v>
      </c>
      <c r="L108" t="s">
        <v>154</v>
      </c>
      <c r="N108" t="s">
        <v>197</v>
      </c>
      <c r="O108" t="s">
        <v>155</v>
      </c>
      <c r="P108">
        <v>3.7970703243857942E-2</v>
      </c>
      <c r="Q108" t="s">
        <v>154</v>
      </c>
      <c r="S108" t="s">
        <v>207</v>
      </c>
      <c r="T108" t="s">
        <v>155</v>
      </c>
      <c r="U108">
        <v>3.1253461833868942E-2</v>
      </c>
      <c r="V108" t="s">
        <v>154</v>
      </c>
    </row>
    <row r="109" spans="9:22" x14ac:dyDescent="0.25">
      <c r="I109" t="s">
        <v>173</v>
      </c>
      <c r="J109" t="s">
        <v>156</v>
      </c>
      <c r="K109">
        <v>0.37021826525180085</v>
      </c>
      <c r="L109" t="s">
        <v>154</v>
      </c>
      <c r="N109" t="s">
        <v>197</v>
      </c>
      <c r="O109" t="s">
        <v>156</v>
      </c>
      <c r="P109">
        <v>0.31201261896783899</v>
      </c>
      <c r="Q109" t="s">
        <v>154</v>
      </c>
      <c r="S109" t="s">
        <v>207</v>
      </c>
      <c r="T109" t="s">
        <v>156</v>
      </c>
      <c r="U109">
        <v>0.22402520028124903</v>
      </c>
      <c r="V109" t="s">
        <v>154</v>
      </c>
    </row>
    <row r="110" spans="9:22" x14ac:dyDescent="0.25">
      <c r="I110" t="s">
        <v>173</v>
      </c>
      <c r="J110" t="s">
        <v>157</v>
      </c>
      <c r="K110">
        <v>1.7595343780980608E-3</v>
      </c>
      <c r="L110" t="s">
        <v>154</v>
      </c>
      <c r="N110" t="s">
        <v>197</v>
      </c>
      <c r="O110" t="s">
        <v>157</v>
      </c>
      <c r="P110">
        <v>1.5930326299676025E-2</v>
      </c>
      <c r="Q110" t="s">
        <v>154</v>
      </c>
      <c r="S110" t="s">
        <v>207</v>
      </c>
      <c r="T110" t="s">
        <v>157</v>
      </c>
      <c r="U110">
        <v>2.2118746152928883E-2</v>
      </c>
      <c r="V110" t="s">
        <v>154</v>
      </c>
    </row>
    <row r="111" spans="9:22" x14ac:dyDescent="0.25">
      <c r="I111" t="s">
        <v>173</v>
      </c>
      <c r="J111" t="s">
        <v>158</v>
      </c>
      <c r="K111">
        <v>1.3859383894397215E-2</v>
      </c>
      <c r="L111" t="s">
        <v>154</v>
      </c>
      <c r="N111" t="s">
        <v>197</v>
      </c>
      <c r="O111" t="s">
        <v>158</v>
      </c>
      <c r="P111">
        <v>4.651165221216909E-3</v>
      </c>
      <c r="Q111" t="s">
        <v>154</v>
      </c>
      <c r="S111" t="s">
        <v>207</v>
      </c>
      <c r="T111" t="s">
        <v>158</v>
      </c>
      <c r="U111">
        <v>6.571381071818554E-3</v>
      </c>
      <c r="V111" t="s">
        <v>154</v>
      </c>
    </row>
    <row r="112" spans="9:22" x14ac:dyDescent="0.25">
      <c r="I112" t="s">
        <v>173</v>
      </c>
      <c r="J112" t="s">
        <v>159</v>
      </c>
      <c r="K112">
        <v>0.10586865302940585</v>
      </c>
      <c r="L112" t="s">
        <v>154</v>
      </c>
      <c r="N112" t="s">
        <v>197</v>
      </c>
      <c r="O112" t="s">
        <v>159</v>
      </c>
      <c r="P112">
        <v>2.8545620367851323E-2</v>
      </c>
      <c r="Q112" t="s">
        <v>154</v>
      </c>
      <c r="S112" t="s">
        <v>207</v>
      </c>
      <c r="T112" t="s">
        <v>159</v>
      </c>
      <c r="U112">
        <v>4.6282631817088575E-2</v>
      </c>
      <c r="V112" t="s">
        <v>154</v>
      </c>
    </row>
    <row r="113" spans="9:22" x14ac:dyDescent="0.25">
      <c r="I113" t="s">
        <v>173</v>
      </c>
      <c r="J113" t="s">
        <v>160</v>
      </c>
      <c r="K113">
        <v>1.8982728118198062E-3</v>
      </c>
      <c r="L113" t="s">
        <v>154</v>
      </c>
      <c r="N113" t="s">
        <v>197</v>
      </c>
      <c r="O113" t="s">
        <v>160</v>
      </c>
      <c r="P113">
        <v>5.9078323438443894E-2</v>
      </c>
      <c r="Q113" t="s">
        <v>154</v>
      </c>
      <c r="S113" t="s">
        <v>207</v>
      </c>
      <c r="T113" t="s">
        <v>160</v>
      </c>
      <c r="U113">
        <v>0.10669223067539459</v>
      </c>
      <c r="V113" t="s">
        <v>154</v>
      </c>
    </row>
    <row r="114" spans="9:22" x14ac:dyDescent="0.25">
      <c r="I114" t="s">
        <v>173</v>
      </c>
      <c r="J114" t="s">
        <v>161</v>
      </c>
      <c r="K114">
        <v>2.6829665676615932E-2</v>
      </c>
      <c r="L114" t="s">
        <v>154</v>
      </c>
      <c r="N114" t="s">
        <v>197</v>
      </c>
      <c r="O114" t="s">
        <v>161</v>
      </c>
      <c r="P114">
        <v>1.8031747744250502E-2</v>
      </c>
      <c r="Q114" t="s">
        <v>154</v>
      </c>
      <c r="S114" t="s">
        <v>207</v>
      </c>
      <c r="T114" t="s">
        <v>161</v>
      </c>
      <c r="U114">
        <v>3.0739845169901147E-2</v>
      </c>
      <c r="V114" t="s">
        <v>154</v>
      </c>
    </row>
    <row r="115" spans="9:22" x14ac:dyDescent="0.25">
      <c r="I115" t="s">
        <v>173</v>
      </c>
      <c r="J115" t="s">
        <v>162</v>
      </c>
      <c r="K115">
        <v>0.23093427381455695</v>
      </c>
      <c r="L115" t="s">
        <v>154</v>
      </c>
      <c r="N115" t="s">
        <v>197</v>
      </c>
      <c r="O115" t="s">
        <v>162</v>
      </c>
      <c r="P115">
        <v>0.11105580054448962</v>
      </c>
      <c r="Q115" t="s">
        <v>154</v>
      </c>
      <c r="S115" t="s">
        <v>207</v>
      </c>
      <c r="T115" t="s">
        <v>162</v>
      </c>
      <c r="U115">
        <v>0.22624905121091127</v>
      </c>
      <c r="V115" t="s">
        <v>154</v>
      </c>
    </row>
    <row r="116" spans="9:22" x14ac:dyDescent="0.25">
      <c r="I116" t="s">
        <v>173</v>
      </c>
      <c r="J116" t="s">
        <v>163</v>
      </c>
      <c r="K116">
        <v>3.3251729053045166E-3</v>
      </c>
      <c r="L116" t="s">
        <v>154</v>
      </c>
      <c r="N116" t="s">
        <v>197</v>
      </c>
      <c r="O116" t="s">
        <v>163</v>
      </c>
      <c r="P116">
        <v>7.2603194509146568E-2</v>
      </c>
      <c r="Q116" t="s">
        <v>154</v>
      </c>
      <c r="S116" t="s">
        <v>207</v>
      </c>
      <c r="T116" t="s">
        <v>163</v>
      </c>
      <c r="U116">
        <v>5.5303223707479324E-2</v>
      </c>
      <c r="V116" t="s">
        <v>154</v>
      </c>
    </row>
    <row r="117" spans="9:22" x14ac:dyDescent="0.25">
      <c r="I117" t="s">
        <v>173</v>
      </c>
      <c r="J117" t="s">
        <v>164</v>
      </c>
      <c r="K117">
        <v>2.3222564486103249E-2</v>
      </c>
      <c r="L117" t="s">
        <v>154</v>
      </c>
      <c r="N117" t="s">
        <v>197</v>
      </c>
      <c r="O117" t="s">
        <v>164</v>
      </c>
      <c r="P117">
        <v>2.0454550508988523E-2</v>
      </c>
      <c r="Q117" t="s">
        <v>154</v>
      </c>
      <c r="S117" t="s">
        <v>207</v>
      </c>
      <c r="T117" t="s">
        <v>164</v>
      </c>
      <c r="U117">
        <v>1.6948646179311491E-2</v>
      </c>
      <c r="V117" t="s">
        <v>154</v>
      </c>
    </row>
    <row r="118" spans="9:22" x14ac:dyDescent="0.25">
      <c r="I118" t="s">
        <v>173</v>
      </c>
      <c r="J118" t="s">
        <v>165</v>
      </c>
      <c r="K118">
        <v>0.18058021899734</v>
      </c>
      <c r="L118" t="s">
        <v>154</v>
      </c>
      <c r="N118" t="s">
        <v>197</v>
      </c>
      <c r="O118" t="s">
        <v>165</v>
      </c>
      <c r="P118">
        <v>0.17802916967700497</v>
      </c>
      <c r="Q118" t="s">
        <v>154</v>
      </c>
      <c r="S118" t="s">
        <v>207</v>
      </c>
      <c r="T118" t="s">
        <v>165</v>
      </c>
      <c r="U118">
        <v>0.12381645650739126</v>
      </c>
      <c r="V118" t="s">
        <v>154</v>
      </c>
    </row>
    <row r="119" spans="9:22" x14ac:dyDescent="0.25">
      <c r="I119" t="s">
        <v>174</v>
      </c>
      <c r="J119" t="s">
        <v>153</v>
      </c>
      <c r="K119">
        <v>3.0149726856317041E-3</v>
      </c>
      <c r="L119" t="s">
        <v>154</v>
      </c>
      <c r="N119" t="s">
        <v>198</v>
      </c>
      <c r="O119" t="s">
        <v>153</v>
      </c>
      <c r="P119">
        <v>0.13551413229974082</v>
      </c>
      <c r="Q119" t="s">
        <v>154</v>
      </c>
      <c r="S119" t="s">
        <v>208</v>
      </c>
      <c r="T119" t="s">
        <v>153</v>
      </c>
      <c r="U119">
        <v>0.11500999148500694</v>
      </c>
      <c r="V119" t="s">
        <v>154</v>
      </c>
    </row>
    <row r="120" spans="9:22" x14ac:dyDescent="0.25">
      <c r="I120" t="s">
        <v>174</v>
      </c>
      <c r="J120" t="s">
        <v>155</v>
      </c>
      <c r="K120">
        <v>4.1778908643746018E-2</v>
      </c>
      <c r="L120" t="s">
        <v>154</v>
      </c>
      <c r="N120" t="s">
        <v>198</v>
      </c>
      <c r="O120" t="s">
        <v>155</v>
      </c>
      <c r="P120">
        <v>3.3558118605465745E-2</v>
      </c>
      <c r="Q120" t="s">
        <v>154</v>
      </c>
      <c r="S120" t="s">
        <v>208</v>
      </c>
      <c r="T120" t="s">
        <v>155</v>
      </c>
      <c r="U120">
        <v>3.3331425731283067E-2</v>
      </c>
      <c r="V120" t="s">
        <v>154</v>
      </c>
    </row>
    <row r="121" spans="9:22" x14ac:dyDescent="0.25">
      <c r="I121" t="s">
        <v>174</v>
      </c>
      <c r="J121" t="s">
        <v>156</v>
      </c>
      <c r="K121">
        <v>0.36320153842738967</v>
      </c>
      <c r="L121" t="s">
        <v>154</v>
      </c>
      <c r="N121" t="s">
        <v>198</v>
      </c>
      <c r="O121" t="s">
        <v>156</v>
      </c>
      <c r="P121">
        <v>0.33514452141129936</v>
      </c>
      <c r="Q121" t="s">
        <v>154</v>
      </c>
      <c r="S121" t="s">
        <v>208</v>
      </c>
      <c r="T121" t="s">
        <v>156</v>
      </c>
      <c r="U121">
        <v>0.2388298796791741</v>
      </c>
      <c r="V121" t="s">
        <v>154</v>
      </c>
    </row>
    <row r="122" spans="9:22" x14ac:dyDescent="0.25">
      <c r="I122" t="s">
        <v>174</v>
      </c>
      <c r="J122" t="s">
        <v>157</v>
      </c>
      <c r="K122">
        <v>2.5852840212304802E-3</v>
      </c>
      <c r="L122" t="s">
        <v>154</v>
      </c>
      <c r="N122" t="s">
        <v>198</v>
      </c>
      <c r="O122" t="s">
        <v>157</v>
      </c>
      <c r="P122">
        <v>1.1855411207596887E-2</v>
      </c>
      <c r="Q122" t="s">
        <v>154</v>
      </c>
      <c r="S122" t="s">
        <v>208</v>
      </c>
      <c r="T122" t="s">
        <v>157</v>
      </c>
      <c r="U122">
        <v>2.0443138453967846E-2</v>
      </c>
      <c r="V122" t="s">
        <v>154</v>
      </c>
    </row>
    <row r="123" spans="9:22" x14ac:dyDescent="0.25">
      <c r="I123" t="s">
        <v>174</v>
      </c>
      <c r="J123" t="s">
        <v>158</v>
      </c>
      <c r="K123">
        <v>1.3499621434426642E-2</v>
      </c>
      <c r="L123" t="s">
        <v>154</v>
      </c>
      <c r="N123" t="s">
        <v>198</v>
      </c>
      <c r="O123" t="s">
        <v>158</v>
      </c>
      <c r="P123">
        <v>3.814114195607204E-3</v>
      </c>
      <c r="Q123" t="s">
        <v>154</v>
      </c>
      <c r="S123" t="s">
        <v>208</v>
      </c>
      <c r="T123" t="s">
        <v>158</v>
      </c>
      <c r="U123">
        <v>6.8569053175739237E-3</v>
      </c>
      <c r="V123" t="s">
        <v>154</v>
      </c>
    </row>
    <row r="124" spans="9:22" x14ac:dyDescent="0.25">
      <c r="I124" t="s">
        <v>174</v>
      </c>
      <c r="J124" t="s">
        <v>159</v>
      </c>
      <c r="K124">
        <v>0.10231471021348651</v>
      </c>
      <c r="L124" t="s">
        <v>154</v>
      </c>
      <c r="N124" t="s">
        <v>198</v>
      </c>
      <c r="O124" t="s">
        <v>159</v>
      </c>
      <c r="P124">
        <v>2.5255453505857832E-2</v>
      </c>
      <c r="Q124" t="s">
        <v>154</v>
      </c>
      <c r="S124" t="s">
        <v>208</v>
      </c>
      <c r="T124" t="s">
        <v>159</v>
      </c>
      <c r="U124">
        <v>4.3942302681779261E-2</v>
      </c>
      <c r="V124" t="s">
        <v>154</v>
      </c>
    </row>
    <row r="125" spans="9:22" x14ac:dyDescent="0.25">
      <c r="I125" t="s">
        <v>174</v>
      </c>
      <c r="J125" t="s">
        <v>160</v>
      </c>
      <c r="K125">
        <v>4.8032101190772216E-3</v>
      </c>
      <c r="L125" t="s">
        <v>154</v>
      </c>
      <c r="N125" t="s">
        <v>198</v>
      </c>
      <c r="O125" t="s">
        <v>160</v>
      </c>
      <c r="P125">
        <v>3.57901088601301E-2</v>
      </c>
      <c r="Q125" t="s">
        <v>154</v>
      </c>
      <c r="S125" t="s">
        <v>208</v>
      </c>
      <c r="T125" t="s">
        <v>160</v>
      </c>
      <c r="U125">
        <v>9.9472510768386202E-2</v>
      </c>
      <c r="V125" t="s">
        <v>154</v>
      </c>
    </row>
    <row r="126" spans="9:22" x14ac:dyDescent="0.25">
      <c r="I126" t="s">
        <v>174</v>
      </c>
      <c r="J126" t="s">
        <v>161</v>
      </c>
      <c r="K126">
        <v>2.8704834648626717E-2</v>
      </c>
      <c r="L126" t="s">
        <v>154</v>
      </c>
      <c r="N126" t="s">
        <v>198</v>
      </c>
      <c r="O126" t="s">
        <v>161</v>
      </c>
      <c r="P126">
        <v>1.3606937388663884E-2</v>
      </c>
      <c r="Q126" t="s">
        <v>154</v>
      </c>
      <c r="S126" t="s">
        <v>208</v>
      </c>
      <c r="T126" t="s">
        <v>161</v>
      </c>
      <c r="U126">
        <v>2.9756786631159424E-2</v>
      </c>
      <c r="V126" t="s">
        <v>154</v>
      </c>
    </row>
    <row r="127" spans="9:22" x14ac:dyDescent="0.25">
      <c r="I127" t="s">
        <v>174</v>
      </c>
      <c r="J127" t="s">
        <v>162</v>
      </c>
      <c r="K127">
        <v>0.22287704844896877</v>
      </c>
      <c r="L127" t="s">
        <v>154</v>
      </c>
      <c r="N127" t="s">
        <v>198</v>
      </c>
      <c r="O127" t="s">
        <v>162</v>
      </c>
      <c r="P127">
        <v>8.5142336653325698E-2</v>
      </c>
      <c r="Q127" t="s">
        <v>154</v>
      </c>
      <c r="S127" t="s">
        <v>208</v>
      </c>
      <c r="T127" t="s">
        <v>162</v>
      </c>
      <c r="U127">
        <v>0.21568557929452353</v>
      </c>
      <c r="V127" t="s">
        <v>154</v>
      </c>
    </row>
    <row r="128" spans="9:22" x14ac:dyDescent="0.25">
      <c r="I128" t="s">
        <v>174</v>
      </c>
      <c r="J128" t="s">
        <v>163</v>
      </c>
      <c r="K128">
        <v>4.2208997937533211E-3</v>
      </c>
      <c r="L128" t="s">
        <v>154</v>
      </c>
      <c r="N128" t="s">
        <v>198</v>
      </c>
      <c r="O128" t="s">
        <v>163</v>
      </c>
      <c r="P128">
        <v>8.0853993945146627E-2</v>
      </c>
      <c r="Q128" t="s">
        <v>154</v>
      </c>
      <c r="S128" t="s">
        <v>208</v>
      </c>
      <c r="T128" t="s">
        <v>163</v>
      </c>
      <c r="U128">
        <v>5.6628557244248277E-2</v>
      </c>
      <c r="V128" t="s">
        <v>154</v>
      </c>
    </row>
    <row r="129" spans="9:22" x14ac:dyDescent="0.25">
      <c r="I129" t="s">
        <v>174</v>
      </c>
      <c r="J129" t="s">
        <v>164</v>
      </c>
      <c r="K129">
        <v>2.6155869133131324E-2</v>
      </c>
      <c r="L129" t="s">
        <v>154</v>
      </c>
      <c r="N129" t="s">
        <v>198</v>
      </c>
      <c r="O129" t="s">
        <v>164</v>
      </c>
      <c r="P129">
        <v>2.0689846728310625E-2</v>
      </c>
      <c r="Q129" t="s">
        <v>154</v>
      </c>
      <c r="S129" t="s">
        <v>208</v>
      </c>
      <c r="T129" t="s">
        <v>164</v>
      </c>
      <c r="U129">
        <v>1.6122076754752666E-2</v>
      </c>
      <c r="V129" t="s">
        <v>154</v>
      </c>
    </row>
    <row r="130" spans="9:22" x14ac:dyDescent="0.25">
      <c r="I130" t="s">
        <v>174</v>
      </c>
      <c r="J130" t="s">
        <v>165</v>
      </c>
      <c r="K130">
        <v>0.18684310243053479</v>
      </c>
      <c r="L130" t="s">
        <v>154</v>
      </c>
      <c r="N130" t="s">
        <v>198</v>
      </c>
      <c r="O130" t="s">
        <v>165</v>
      </c>
      <c r="P130">
        <v>0.21877502519885728</v>
      </c>
      <c r="Q130" t="s">
        <v>154</v>
      </c>
      <c r="S130" t="s">
        <v>208</v>
      </c>
      <c r="T130" t="s">
        <v>165</v>
      </c>
      <c r="U130">
        <v>0.12392084595814457</v>
      </c>
      <c r="V130" t="s">
        <v>154</v>
      </c>
    </row>
    <row r="131" spans="9:22" x14ac:dyDescent="0.25">
      <c r="I131" t="s">
        <v>175</v>
      </c>
      <c r="J131" t="s">
        <v>153</v>
      </c>
      <c r="K131">
        <v>3.9083554102092742E-3</v>
      </c>
      <c r="L131" t="s">
        <v>154</v>
      </c>
    </row>
    <row r="132" spans="9:22" x14ac:dyDescent="0.25">
      <c r="I132" t="s">
        <v>175</v>
      </c>
      <c r="J132" t="s">
        <v>155</v>
      </c>
      <c r="K132">
        <v>4.7893126626578998E-2</v>
      </c>
      <c r="L132" t="s">
        <v>154</v>
      </c>
    </row>
    <row r="133" spans="9:22" x14ac:dyDescent="0.25">
      <c r="I133" t="s">
        <v>175</v>
      </c>
      <c r="J133" t="s">
        <v>156</v>
      </c>
      <c r="K133">
        <v>0.36128830413831925</v>
      </c>
      <c r="L133" t="s">
        <v>154</v>
      </c>
    </row>
    <row r="134" spans="9:22" x14ac:dyDescent="0.25">
      <c r="I134" t="s">
        <v>175</v>
      </c>
      <c r="J134" t="s">
        <v>157</v>
      </c>
      <c r="K134">
        <v>2.318602949297506E-3</v>
      </c>
      <c r="L134" t="s">
        <v>154</v>
      </c>
    </row>
    <row r="135" spans="9:22" x14ac:dyDescent="0.25">
      <c r="I135" t="s">
        <v>175</v>
      </c>
      <c r="J135" t="s">
        <v>158</v>
      </c>
      <c r="K135">
        <v>1.3904925714836418E-2</v>
      </c>
      <c r="L135" t="s">
        <v>154</v>
      </c>
    </row>
    <row r="136" spans="9:22" x14ac:dyDescent="0.25">
      <c r="I136" t="s">
        <v>175</v>
      </c>
      <c r="J136" t="s">
        <v>159</v>
      </c>
      <c r="K136">
        <v>0.10105606018418853</v>
      </c>
      <c r="L136" t="s">
        <v>154</v>
      </c>
    </row>
    <row r="137" spans="9:22" x14ac:dyDescent="0.25">
      <c r="I137" t="s">
        <v>175</v>
      </c>
      <c r="J137" t="s">
        <v>160</v>
      </c>
      <c r="K137">
        <v>5.0597598052559397E-3</v>
      </c>
      <c r="L137" t="s">
        <v>154</v>
      </c>
    </row>
    <row r="138" spans="9:22" x14ac:dyDescent="0.25">
      <c r="I138" t="s">
        <v>175</v>
      </c>
      <c r="J138" t="s">
        <v>161</v>
      </c>
      <c r="K138">
        <v>2.9257243595310036E-2</v>
      </c>
      <c r="L138" t="s">
        <v>154</v>
      </c>
    </row>
    <row r="139" spans="9:22" x14ac:dyDescent="0.25">
      <c r="I139" t="s">
        <v>175</v>
      </c>
      <c r="J139" t="s">
        <v>162</v>
      </c>
      <c r="K139">
        <v>0.21912594007227043</v>
      </c>
      <c r="L139" t="s">
        <v>154</v>
      </c>
    </row>
    <row r="140" spans="9:22" x14ac:dyDescent="0.25">
      <c r="I140" t="s">
        <v>175</v>
      </c>
      <c r="J140" t="s">
        <v>163</v>
      </c>
      <c r="K140">
        <v>4.3342873753231589E-3</v>
      </c>
      <c r="L140" t="s">
        <v>154</v>
      </c>
    </row>
    <row r="141" spans="9:22" x14ac:dyDescent="0.25">
      <c r="I141" t="s">
        <v>175</v>
      </c>
      <c r="J141" t="s">
        <v>164</v>
      </c>
      <c r="K141">
        <v>2.8103387320192089E-2</v>
      </c>
      <c r="L141" t="s">
        <v>154</v>
      </c>
    </row>
    <row r="142" spans="9:22" x14ac:dyDescent="0.25">
      <c r="I142" t="s">
        <v>175</v>
      </c>
      <c r="J142" t="s">
        <v>165</v>
      </c>
      <c r="K142">
        <v>0.18375000680821782</v>
      </c>
      <c r="L142" t="s">
        <v>154</v>
      </c>
    </row>
    <row r="143" spans="9:22" x14ac:dyDescent="0.25">
      <c r="I143" t="s">
        <v>176</v>
      </c>
      <c r="J143" t="s">
        <v>153</v>
      </c>
      <c r="K143">
        <v>4.4022807167699704E-3</v>
      </c>
      <c r="L143" t="s">
        <v>154</v>
      </c>
    </row>
    <row r="144" spans="9:22" x14ac:dyDescent="0.25">
      <c r="I144" t="s">
        <v>176</v>
      </c>
      <c r="J144" t="s">
        <v>155</v>
      </c>
      <c r="K144">
        <v>5.3293556988807285E-2</v>
      </c>
      <c r="L144" t="s">
        <v>154</v>
      </c>
    </row>
    <row r="145" spans="9:12" x14ac:dyDescent="0.25">
      <c r="I145" t="s">
        <v>176</v>
      </c>
      <c r="J145" t="s">
        <v>156</v>
      </c>
      <c r="K145">
        <v>0.36377100186438177</v>
      </c>
      <c r="L145" t="s">
        <v>154</v>
      </c>
    </row>
    <row r="146" spans="9:12" x14ac:dyDescent="0.25">
      <c r="I146" t="s">
        <v>176</v>
      </c>
      <c r="J146" t="s">
        <v>157</v>
      </c>
      <c r="K146">
        <v>3.2833547531127241E-3</v>
      </c>
      <c r="L146" t="s">
        <v>154</v>
      </c>
    </row>
    <row r="147" spans="9:12" x14ac:dyDescent="0.25">
      <c r="I147" t="s">
        <v>176</v>
      </c>
      <c r="J147" t="s">
        <v>158</v>
      </c>
      <c r="K147">
        <v>1.4138609282178315E-2</v>
      </c>
      <c r="L147" t="s">
        <v>154</v>
      </c>
    </row>
    <row r="148" spans="9:12" x14ac:dyDescent="0.25">
      <c r="I148" t="s">
        <v>176</v>
      </c>
      <c r="J148" t="s">
        <v>159</v>
      </c>
      <c r="K148">
        <v>0.1003507754942302</v>
      </c>
      <c r="L148" t="s">
        <v>154</v>
      </c>
    </row>
    <row r="149" spans="9:12" x14ac:dyDescent="0.25">
      <c r="I149" t="s">
        <v>176</v>
      </c>
      <c r="J149" t="s">
        <v>160</v>
      </c>
      <c r="K149">
        <v>5.5745463982180866E-3</v>
      </c>
      <c r="L149" t="s">
        <v>154</v>
      </c>
    </row>
    <row r="150" spans="9:12" x14ac:dyDescent="0.25">
      <c r="I150" t="s">
        <v>176</v>
      </c>
      <c r="J150" t="s">
        <v>161</v>
      </c>
      <c r="K150">
        <v>3.0268135743788158E-2</v>
      </c>
      <c r="L150" t="s">
        <v>154</v>
      </c>
    </row>
    <row r="151" spans="9:12" x14ac:dyDescent="0.25">
      <c r="I151" t="s">
        <v>176</v>
      </c>
      <c r="J151" t="s">
        <v>162</v>
      </c>
      <c r="K151">
        <v>0.21650759161151809</v>
      </c>
      <c r="L151" t="s">
        <v>154</v>
      </c>
    </row>
    <row r="152" spans="9:12" x14ac:dyDescent="0.25">
      <c r="I152" t="s">
        <v>176</v>
      </c>
      <c r="J152" t="s">
        <v>163</v>
      </c>
      <c r="K152">
        <v>4.667183002691682E-3</v>
      </c>
      <c r="L152" t="s">
        <v>154</v>
      </c>
    </row>
    <row r="153" spans="9:12" x14ac:dyDescent="0.25">
      <c r="I153" t="s">
        <v>176</v>
      </c>
      <c r="J153" t="s">
        <v>164</v>
      </c>
      <c r="K153">
        <v>2.7633196695506873E-2</v>
      </c>
      <c r="L153" t="s">
        <v>154</v>
      </c>
    </row>
    <row r="154" spans="9:12" x14ac:dyDescent="0.25">
      <c r="I154" t="s">
        <v>176</v>
      </c>
      <c r="J154" t="s">
        <v>165</v>
      </c>
      <c r="K154">
        <v>0.17610976744879606</v>
      </c>
      <c r="L154" t="s">
        <v>154</v>
      </c>
    </row>
    <row r="155" spans="9:12" x14ac:dyDescent="0.25">
      <c r="I155" t="s">
        <v>177</v>
      </c>
      <c r="J155" t="s">
        <v>153</v>
      </c>
      <c r="K155">
        <v>3.2097043471984326E-3</v>
      </c>
      <c r="L155" t="s">
        <v>154</v>
      </c>
    </row>
    <row r="156" spans="9:12" x14ac:dyDescent="0.25">
      <c r="I156" t="s">
        <v>177</v>
      </c>
      <c r="J156" t="s">
        <v>155</v>
      </c>
      <c r="K156">
        <v>4.4241346955525153E-2</v>
      </c>
      <c r="L156" t="s">
        <v>154</v>
      </c>
    </row>
    <row r="157" spans="9:12" x14ac:dyDescent="0.25">
      <c r="I157" t="s">
        <v>177</v>
      </c>
      <c r="J157" t="s">
        <v>156</v>
      </c>
      <c r="K157">
        <v>0.36700624165117818</v>
      </c>
      <c r="L157" t="s">
        <v>154</v>
      </c>
    </row>
    <row r="158" spans="9:12" x14ac:dyDescent="0.25">
      <c r="I158" t="s">
        <v>177</v>
      </c>
      <c r="J158" t="s">
        <v>157</v>
      </c>
      <c r="K158">
        <v>2.3967615417297842E-3</v>
      </c>
      <c r="L158" t="s">
        <v>154</v>
      </c>
    </row>
    <row r="159" spans="9:12" x14ac:dyDescent="0.25">
      <c r="I159" t="s">
        <v>177</v>
      </c>
      <c r="J159" t="s">
        <v>158</v>
      </c>
      <c r="K159">
        <v>1.3960134435284372E-2</v>
      </c>
      <c r="L159" t="s">
        <v>154</v>
      </c>
    </row>
    <row r="160" spans="9:12" x14ac:dyDescent="0.25">
      <c r="I160" t="s">
        <v>177</v>
      </c>
      <c r="J160" t="s">
        <v>159</v>
      </c>
      <c r="K160">
        <v>0.10450785792991146</v>
      </c>
      <c r="L160" t="s">
        <v>154</v>
      </c>
    </row>
    <row r="161" spans="9:12" x14ac:dyDescent="0.25">
      <c r="I161" t="s">
        <v>177</v>
      </c>
      <c r="J161" t="s">
        <v>160</v>
      </c>
      <c r="K161">
        <v>2.4940673672235441E-3</v>
      </c>
      <c r="L161" t="s">
        <v>154</v>
      </c>
    </row>
    <row r="162" spans="9:12" x14ac:dyDescent="0.25">
      <c r="I162" t="s">
        <v>177</v>
      </c>
      <c r="J162" t="s">
        <v>161</v>
      </c>
      <c r="K162">
        <v>2.894309507252036E-2</v>
      </c>
      <c r="L162" t="s">
        <v>154</v>
      </c>
    </row>
    <row r="163" spans="9:12" x14ac:dyDescent="0.25">
      <c r="I163" t="s">
        <v>177</v>
      </c>
      <c r="J163" t="s">
        <v>162</v>
      </c>
      <c r="K163">
        <v>0.22627342248818516</v>
      </c>
      <c r="L163" t="s">
        <v>154</v>
      </c>
    </row>
    <row r="164" spans="9:12" x14ac:dyDescent="0.25">
      <c r="I164" t="s">
        <v>177</v>
      </c>
      <c r="J164" t="s">
        <v>163</v>
      </c>
      <c r="K164">
        <v>4.0151360556488951E-3</v>
      </c>
      <c r="L164" t="s">
        <v>154</v>
      </c>
    </row>
    <row r="165" spans="9:12" x14ac:dyDescent="0.25">
      <c r="I165" t="s">
        <v>177</v>
      </c>
      <c r="J165" t="s">
        <v>164</v>
      </c>
      <c r="K165">
        <v>2.5831960578960922E-2</v>
      </c>
      <c r="L165" t="s">
        <v>154</v>
      </c>
    </row>
    <row r="166" spans="9:12" x14ac:dyDescent="0.25">
      <c r="I166" t="s">
        <v>177</v>
      </c>
      <c r="J166" t="s">
        <v>165</v>
      </c>
      <c r="K166">
        <v>0.17712027157663524</v>
      </c>
      <c r="L166" t="s">
        <v>154</v>
      </c>
    </row>
    <row r="167" spans="9:12" x14ac:dyDescent="0.25">
      <c r="I167" t="s">
        <v>178</v>
      </c>
      <c r="J167" t="s">
        <v>153</v>
      </c>
      <c r="K167">
        <v>0</v>
      </c>
      <c r="L167" t="s">
        <v>154</v>
      </c>
    </row>
    <row r="168" spans="9:12" x14ac:dyDescent="0.25">
      <c r="I168" t="s">
        <v>178</v>
      </c>
      <c r="J168" t="s">
        <v>155</v>
      </c>
      <c r="K168">
        <v>3.634436635288979E-2</v>
      </c>
      <c r="L168" t="s">
        <v>154</v>
      </c>
    </row>
    <row r="169" spans="9:12" x14ac:dyDescent="0.25">
      <c r="I169" t="s">
        <v>178</v>
      </c>
      <c r="J169" t="s">
        <v>156</v>
      </c>
      <c r="K169">
        <v>0.3877165816532856</v>
      </c>
      <c r="L169" t="s">
        <v>154</v>
      </c>
    </row>
    <row r="170" spans="9:12" x14ac:dyDescent="0.25">
      <c r="I170" t="s">
        <v>178</v>
      </c>
      <c r="J170" t="s">
        <v>157</v>
      </c>
      <c r="K170">
        <v>0</v>
      </c>
      <c r="L170" t="s">
        <v>154</v>
      </c>
    </row>
    <row r="171" spans="9:12" x14ac:dyDescent="0.25">
      <c r="I171" t="s">
        <v>178</v>
      </c>
      <c r="J171" t="s">
        <v>158</v>
      </c>
      <c r="K171">
        <v>8.3897525133011536E-3</v>
      </c>
      <c r="L171" t="s">
        <v>154</v>
      </c>
    </row>
    <row r="172" spans="9:12" x14ac:dyDescent="0.25">
      <c r="I172" t="s">
        <v>178</v>
      </c>
      <c r="J172" t="s">
        <v>159</v>
      </c>
      <c r="K172">
        <v>9.841618452001466E-2</v>
      </c>
      <c r="L172" t="s">
        <v>154</v>
      </c>
    </row>
    <row r="173" spans="9:12" x14ac:dyDescent="0.25">
      <c r="I173" t="s">
        <v>178</v>
      </c>
      <c r="J173" t="s">
        <v>160</v>
      </c>
      <c r="K173">
        <v>0</v>
      </c>
      <c r="L173" t="s">
        <v>154</v>
      </c>
    </row>
    <row r="174" spans="9:12" x14ac:dyDescent="0.25">
      <c r="I174" t="s">
        <v>178</v>
      </c>
      <c r="J174" t="s">
        <v>161</v>
      </c>
      <c r="K174">
        <v>2.1154949511839327E-2</v>
      </c>
      <c r="L174" t="s">
        <v>154</v>
      </c>
    </row>
    <row r="175" spans="9:12" x14ac:dyDescent="0.25">
      <c r="I175" t="s">
        <v>178</v>
      </c>
      <c r="J175" t="s">
        <v>162</v>
      </c>
      <c r="K175">
        <v>0.22796836690793035</v>
      </c>
      <c r="L175" t="s">
        <v>154</v>
      </c>
    </row>
    <row r="176" spans="9:12" x14ac:dyDescent="0.25">
      <c r="I176" t="s">
        <v>178</v>
      </c>
      <c r="J176" t="s">
        <v>163</v>
      </c>
      <c r="K176">
        <v>0</v>
      </c>
      <c r="L176" t="s">
        <v>154</v>
      </c>
    </row>
    <row r="177" spans="9:12" x14ac:dyDescent="0.25">
      <c r="I177" t="s">
        <v>178</v>
      </c>
      <c r="J177" t="s">
        <v>164</v>
      </c>
      <c r="K177">
        <v>2.1572387200886108E-2</v>
      </c>
      <c r="L177" t="s">
        <v>154</v>
      </c>
    </row>
    <row r="178" spans="9:12" x14ac:dyDescent="0.25">
      <c r="I178" t="s">
        <v>178</v>
      </c>
      <c r="J178" t="s">
        <v>165</v>
      </c>
      <c r="K178">
        <v>0.19843741133985418</v>
      </c>
      <c r="L178" t="s">
        <v>154</v>
      </c>
    </row>
    <row r="179" spans="9:12" x14ac:dyDescent="0.25">
      <c r="I179" t="s">
        <v>179</v>
      </c>
      <c r="J179" t="s">
        <v>153</v>
      </c>
      <c r="K179">
        <v>0</v>
      </c>
      <c r="L179" t="s">
        <v>154</v>
      </c>
    </row>
    <row r="180" spans="9:12" x14ac:dyDescent="0.25">
      <c r="I180" t="s">
        <v>179</v>
      </c>
      <c r="J180" t="s">
        <v>155</v>
      </c>
      <c r="K180">
        <v>2.5406042296906413E-2</v>
      </c>
      <c r="L180" t="s">
        <v>154</v>
      </c>
    </row>
    <row r="181" spans="9:12" x14ac:dyDescent="0.25">
      <c r="I181" t="s">
        <v>179</v>
      </c>
      <c r="J181" t="s">
        <v>156</v>
      </c>
      <c r="K181">
        <v>0.39356361025085229</v>
      </c>
      <c r="L181" t="s">
        <v>154</v>
      </c>
    </row>
    <row r="182" spans="9:12" x14ac:dyDescent="0.25">
      <c r="I182" t="s">
        <v>179</v>
      </c>
      <c r="J182" t="s">
        <v>157</v>
      </c>
      <c r="K182">
        <v>0</v>
      </c>
      <c r="L182" t="s">
        <v>154</v>
      </c>
    </row>
    <row r="183" spans="9:12" x14ac:dyDescent="0.25">
      <c r="I183" t="s">
        <v>179</v>
      </c>
      <c r="J183" t="s">
        <v>158</v>
      </c>
      <c r="K183">
        <v>6.9405313086556347E-3</v>
      </c>
      <c r="L183" t="s">
        <v>154</v>
      </c>
    </row>
    <row r="184" spans="9:12" x14ac:dyDescent="0.25">
      <c r="I184" t="s">
        <v>179</v>
      </c>
      <c r="J184" t="s">
        <v>159</v>
      </c>
      <c r="K184">
        <v>0.10383873010929669</v>
      </c>
      <c r="L184" t="s">
        <v>154</v>
      </c>
    </row>
    <row r="185" spans="9:12" x14ac:dyDescent="0.25">
      <c r="I185" t="s">
        <v>179</v>
      </c>
      <c r="J185" t="s">
        <v>160</v>
      </c>
      <c r="K185">
        <v>0</v>
      </c>
      <c r="L185" t="s">
        <v>154</v>
      </c>
    </row>
    <row r="186" spans="9:12" x14ac:dyDescent="0.25">
      <c r="I186" t="s">
        <v>179</v>
      </c>
      <c r="J186" t="s">
        <v>161</v>
      </c>
      <c r="K186">
        <v>1.7774221492095867E-2</v>
      </c>
      <c r="L186" t="s">
        <v>154</v>
      </c>
    </row>
    <row r="187" spans="9:12" x14ac:dyDescent="0.25">
      <c r="I187" t="s">
        <v>179</v>
      </c>
      <c r="J187" t="s">
        <v>162</v>
      </c>
      <c r="K187">
        <v>0.23617785672478797</v>
      </c>
      <c r="L187" t="s">
        <v>154</v>
      </c>
    </row>
    <row r="188" spans="9:12" x14ac:dyDescent="0.25">
      <c r="I188" t="s">
        <v>179</v>
      </c>
      <c r="J188" t="s">
        <v>163</v>
      </c>
      <c r="K188">
        <v>0</v>
      </c>
      <c r="L188" t="s">
        <v>154</v>
      </c>
    </row>
    <row r="189" spans="9:12" x14ac:dyDescent="0.25">
      <c r="I189" t="s">
        <v>179</v>
      </c>
      <c r="J189" t="s">
        <v>164</v>
      </c>
      <c r="K189">
        <v>1.7186805902577276E-2</v>
      </c>
      <c r="L189" t="s">
        <v>154</v>
      </c>
    </row>
    <row r="190" spans="9:12" x14ac:dyDescent="0.25">
      <c r="I190" t="s">
        <v>179</v>
      </c>
      <c r="J190" t="s">
        <v>165</v>
      </c>
      <c r="K190">
        <v>0.19911220191482801</v>
      </c>
      <c r="L190" t="s">
        <v>154</v>
      </c>
    </row>
    <row r="191" spans="9:12" x14ac:dyDescent="0.25">
      <c r="I191" t="s">
        <v>180</v>
      </c>
      <c r="J191" t="s">
        <v>153</v>
      </c>
      <c r="K191">
        <v>0</v>
      </c>
      <c r="L191" t="s">
        <v>154</v>
      </c>
    </row>
    <row r="192" spans="9:12" x14ac:dyDescent="0.25">
      <c r="I192" t="s">
        <v>180</v>
      </c>
      <c r="J192" t="s">
        <v>155</v>
      </c>
      <c r="K192">
        <v>3.2163973968381492E-2</v>
      </c>
      <c r="L192" t="s">
        <v>154</v>
      </c>
    </row>
    <row r="193" spans="9:12" x14ac:dyDescent="0.25">
      <c r="I193" t="s">
        <v>180</v>
      </c>
      <c r="J193" t="s">
        <v>156</v>
      </c>
      <c r="K193">
        <v>0.39052109675411112</v>
      </c>
      <c r="L193" t="s">
        <v>154</v>
      </c>
    </row>
    <row r="194" spans="9:12" x14ac:dyDescent="0.25">
      <c r="I194" t="s">
        <v>180</v>
      </c>
      <c r="J194" t="s">
        <v>157</v>
      </c>
      <c r="K194">
        <v>0</v>
      </c>
      <c r="L194" t="s">
        <v>154</v>
      </c>
    </row>
    <row r="195" spans="9:12" x14ac:dyDescent="0.25">
      <c r="I195" t="s">
        <v>180</v>
      </c>
      <c r="J195" t="s">
        <v>158</v>
      </c>
      <c r="K195">
        <v>8.1624928623715617E-3</v>
      </c>
      <c r="L195" t="s">
        <v>154</v>
      </c>
    </row>
    <row r="196" spans="9:12" x14ac:dyDescent="0.25">
      <c r="I196" t="s">
        <v>180</v>
      </c>
      <c r="J196" t="s">
        <v>159</v>
      </c>
      <c r="K196">
        <v>0.10057177623629095</v>
      </c>
      <c r="L196" t="s">
        <v>154</v>
      </c>
    </row>
    <row r="197" spans="9:12" x14ac:dyDescent="0.25">
      <c r="I197" t="s">
        <v>180</v>
      </c>
      <c r="J197" t="s">
        <v>160</v>
      </c>
      <c r="K197">
        <v>0</v>
      </c>
      <c r="L197" t="s">
        <v>154</v>
      </c>
    </row>
    <row r="198" spans="9:12" x14ac:dyDescent="0.25">
      <c r="I198" t="s">
        <v>180</v>
      </c>
      <c r="J198" t="s">
        <v>161</v>
      </c>
      <c r="K198">
        <v>2.0759512490476795E-2</v>
      </c>
      <c r="L198" t="s">
        <v>154</v>
      </c>
    </row>
    <row r="199" spans="9:12" x14ac:dyDescent="0.25">
      <c r="I199" t="s">
        <v>180</v>
      </c>
      <c r="J199" t="s">
        <v>162</v>
      </c>
      <c r="K199">
        <v>0.23421840841553648</v>
      </c>
      <c r="L199" t="s">
        <v>154</v>
      </c>
    </row>
    <row r="200" spans="9:12" x14ac:dyDescent="0.25">
      <c r="I200" t="s">
        <v>180</v>
      </c>
      <c r="J200" t="s">
        <v>163</v>
      </c>
      <c r="K200">
        <v>0</v>
      </c>
      <c r="L200" t="s">
        <v>154</v>
      </c>
    </row>
    <row r="201" spans="9:12" x14ac:dyDescent="0.25">
      <c r="I201" t="s">
        <v>180</v>
      </c>
      <c r="J201" t="s">
        <v>164</v>
      </c>
      <c r="K201">
        <v>1.9213451133125281E-2</v>
      </c>
      <c r="L201" t="s">
        <v>154</v>
      </c>
    </row>
    <row r="202" spans="9:12" x14ac:dyDescent="0.25">
      <c r="I202" t="s">
        <v>180</v>
      </c>
      <c r="J202" t="s">
        <v>165</v>
      </c>
      <c r="K202">
        <v>0.19438928813970577</v>
      </c>
      <c r="L202" t="s">
        <v>154</v>
      </c>
    </row>
    <row r="203" spans="9:12" x14ac:dyDescent="0.25">
      <c r="I203" t="s">
        <v>181</v>
      </c>
      <c r="J203" t="s">
        <v>153</v>
      </c>
      <c r="K203">
        <v>0</v>
      </c>
      <c r="L203" t="s">
        <v>154</v>
      </c>
    </row>
    <row r="204" spans="9:12" x14ac:dyDescent="0.25">
      <c r="I204" t="s">
        <v>181</v>
      </c>
      <c r="J204" t="s">
        <v>155</v>
      </c>
      <c r="K204">
        <v>3.526406779930371E-2</v>
      </c>
      <c r="L204" t="s">
        <v>154</v>
      </c>
    </row>
    <row r="205" spans="9:12" x14ac:dyDescent="0.25">
      <c r="I205" t="s">
        <v>181</v>
      </c>
      <c r="J205" t="s">
        <v>156</v>
      </c>
      <c r="K205">
        <v>0.3871794136129228</v>
      </c>
      <c r="L205" t="s">
        <v>154</v>
      </c>
    </row>
    <row r="206" spans="9:12" x14ac:dyDescent="0.25">
      <c r="I206" t="s">
        <v>181</v>
      </c>
      <c r="J206" t="s">
        <v>157</v>
      </c>
      <c r="K206">
        <v>0</v>
      </c>
      <c r="L206" t="s">
        <v>154</v>
      </c>
    </row>
    <row r="207" spans="9:12" x14ac:dyDescent="0.25">
      <c r="I207" t="s">
        <v>181</v>
      </c>
      <c r="J207" t="s">
        <v>158</v>
      </c>
      <c r="K207">
        <v>1.055915125232915E-2</v>
      </c>
      <c r="L207" t="s">
        <v>154</v>
      </c>
    </row>
    <row r="208" spans="9:12" x14ac:dyDescent="0.25">
      <c r="I208" t="s">
        <v>181</v>
      </c>
      <c r="J208" t="s">
        <v>159</v>
      </c>
      <c r="K208">
        <v>0.10889796274845073</v>
      </c>
      <c r="L208" t="s">
        <v>154</v>
      </c>
    </row>
    <row r="209" spans="9:12" x14ac:dyDescent="0.25">
      <c r="I209" t="s">
        <v>181</v>
      </c>
      <c r="J209" t="s">
        <v>160</v>
      </c>
      <c r="K209">
        <v>0</v>
      </c>
      <c r="L209" t="s">
        <v>154</v>
      </c>
    </row>
    <row r="210" spans="9:12" x14ac:dyDescent="0.25">
      <c r="I210" t="s">
        <v>181</v>
      </c>
      <c r="J210" t="s">
        <v>161</v>
      </c>
      <c r="K210">
        <v>2.0506667173749188E-2</v>
      </c>
      <c r="L210" t="s">
        <v>154</v>
      </c>
    </row>
    <row r="211" spans="9:12" x14ac:dyDescent="0.25">
      <c r="I211" t="s">
        <v>181</v>
      </c>
      <c r="J211" t="s">
        <v>162</v>
      </c>
      <c r="K211">
        <v>0.24141443975928178</v>
      </c>
      <c r="L211" t="s">
        <v>154</v>
      </c>
    </row>
    <row r="212" spans="9:12" x14ac:dyDescent="0.25">
      <c r="I212" t="s">
        <v>181</v>
      </c>
      <c r="J212" t="s">
        <v>163</v>
      </c>
      <c r="K212">
        <v>0</v>
      </c>
      <c r="L212" t="s">
        <v>154</v>
      </c>
    </row>
    <row r="213" spans="9:12" x14ac:dyDescent="0.25">
      <c r="I213" t="s">
        <v>181</v>
      </c>
      <c r="J213" t="s">
        <v>164</v>
      </c>
      <c r="K213">
        <v>1.7130049540146342E-2</v>
      </c>
      <c r="L213" t="s">
        <v>154</v>
      </c>
    </row>
    <row r="214" spans="9:12" x14ac:dyDescent="0.25">
      <c r="I214" t="s">
        <v>181</v>
      </c>
      <c r="J214" t="s">
        <v>165</v>
      </c>
      <c r="K214">
        <v>0.17904824811381714</v>
      </c>
      <c r="L214" t="s">
        <v>154</v>
      </c>
    </row>
    <row r="215" spans="9:12" x14ac:dyDescent="0.25">
      <c r="I215" t="s">
        <v>182</v>
      </c>
      <c r="J215" t="s">
        <v>153</v>
      </c>
      <c r="K215">
        <v>0</v>
      </c>
      <c r="L215" t="s">
        <v>154</v>
      </c>
    </row>
    <row r="216" spans="9:12" x14ac:dyDescent="0.25">
      <c r="I216" t="s">
        <v>182</v>
      </c>
      <c r="J216" t="s">
        <v>155</v>
      </c>
      <c r="K216">
        <v>3.2410397844629485E-2</v>
      </c>
      <c r="L216" t="s">
        <v>154</v>
      </c>
    </row>
    <row r="217" spans="9:12" x14ac:dyDescent="0.25">
      <c r="I217" t="s">
        <v>182</v>
      </c>
      <c r="J217" t="s">
        <v>156</v>
      </c>
      <c r="K217">
        <v>0.39010982982066311</v>
      </c>
      <c r="L217" t="s">
        <v>154</v>
      </c>
    </row>
    <row r="218" spans="9:12" x14ac:dyDescent="0.25">
      <c r="I218" t="s">
        <v>182</v>
      </c>
      <c r="J218" t="s">
        <v>157</v>
      </c>
      <c r="K218">
        <v>0</v>
      </c>
      <c r="L218" t="s">
        <v>154</v>
      </c>
    </row>
    <row r="219" spans="9:12" x14ac:dyDescent="0.25">
      <c r="I219" t="s">
        <v>182</v>
      </c>
      <c r="J219" t="s">
        <v>158</v>
      </c>
      <c r="K219">
        <v>1.0656219456184234E-2</v>
      </c>
      <c r="L219" t="s">
        <v>154</v>
      </c>
    </row>
    <row r="220" spans="9:12" x14ac:dyDescent="0.25">
      <c r="I220" t="s">
        <v>182</v>
      </c>
      <c r="J220" t="s">
        <v>159</v>
      </c>
      <c r="K220">
        <v>0.10963868630140848</v>
      </c>
      <c r="L220" t="s">
        <v>154</v>
      </c>
    </row>
    <row r="221" spans="9:12" x14ac:dyDescent="0.25">
      <c r="I221" t="s">
        <v>182</v>
      </c>
      <c r="J221" t="s">
        <v>160</v>
      </c>
      <c r="K221">
        <v>0</v>
      </c>
      <c r="L221" t="s">
        <v>154</v>
      </c>
    </row>
    <row r="222" spans="9:12" x14ac:dyDescent="0.25">
      <c r="I222" t="s">
        <v>182</v>
      </c>
      <c r="J222" t="s">
        <v>161</v>
      </c>
      <c r="K222">
        <v>1.9482057570069673E-2</v>
      </c>
      <c r="L222" t="s">
        <v>154</v>
      </c>
    </row>
    <row r="223" spans="9:12" x14ac:dyDescent="0.25">
      <c r="I223" t="s">
        <v>182</v>
      </c>
      <c r="J223" t="s">
        <v>162</v>
      </c>
      <c r="K223">
        <v>0.23357805933366485</v>
      </c>
      <c r="L223" t="s">
        <v>154</v>
      </c>
    </row>
    <row r="224" spans="9:12" x14ac:dyDescent="0.25">
      <c r="I224" t="s">
        <v>182</v>
      </c>
      <c r="J224" t="s">
        <v>163</v>
      </c>
      <c r="K224">
        <v>0</v>
      </c>
      <c r="L224" t="s">
        <v>154</v>
      </c>
    </row>
    <row r="225" spans="9:12" x14ac:dyDescent="0.25">
      <c r="I225" t="s">
        <v>182</v>
      </c>
      <c r="J225" t="s">
        <v>164</v>
      </c>
      <c r="K225">
        <v>1.6791224172094676E-2</v>
      </c>
      <c r="L225" t="s">
        <v>154</v>
      </c>
    </row>
    <row r="226" spans="9:12" x14ac:dyDescent="0.25">
      <c r="I226" t="s">
        <v>182</v>
      </c>
      <c r="J226" t="s">
        <v>165</v>
      </c>
      <c r="K226">
        <v>0.18733352550128365</v>
      </c>
      <c r="L226" t="s">
        <v>154</v>
      </c>
    </row>
    <row r="227" spans="9:12" x14ac:dyDescent="0.25">
      <c r="I227" t="s">
        <v>183</v>
      </c>
      <c r="J227" t="s">
        <v>153</v>
      </c>
      <c r="K227">
        <v>0</v>
      </c>
      <c r="L227" t="s">
        <v>154</v>
      </c>
    </row>
    <row r="228" spans="9:12" x14ac:dyDescent="0.25">
      <c r="I228" t="s">
        <v>183</v>
      </c>
      <c r="J228" t="s">
        <v>155</v>
      </c>
      <c r="K228">
        <v>3.332982558045141E-2</v>
      </c>
      <c r="L228" t="s">
        <v>154</v>
      </c>
    </row>
    <row r="229" spans="9:12" x14ac:dyDescent="0.25">
      <c r="I229" t="s">
        <v>183</v>
      </c>
      <c r="J229" t="s">
        <v>156</v>
      </c>
      <c r="K229">
        <v>0.38841692992555549</v>
      </c>
      <c r="L229" t="s">
        <v>154</v>
      </c>
    </row>
    <row r="230" spans="9:12" x14ac:dyDescent="0.25">
      <c r="I230" t="s">
        <v>183</v>
      </c>
      <c r="J230" t="s">
        <v>157</v>
      </c>
      <c r="K230">
        <v>0</v>
      </c>
      <c r="L230" t="s">
        <v>154</v>
      </c>
    </row>
    <row r="231" spans="9:12" x14ac:dyDescent="0.25">
      <c r="I231" t="s">
        <v>183</v>
      </c>
      <c r="J231" t="s">
        <v>158</v>
      </c>
      <c r="K231">
        <v>1.0823540306373901E-2</v>
      </c>
      <c r="L231" t="s">
        <v>154</v>
      </c>
    </row>
    <row r="232" spans="9:12" x14ac:dyDescent="0.25">
      <c r="I232" t="s">
        <v>183</v>
      </c>
      <c r="J232" t="s">
        <v>159</v>
      </c>
      <c r="K232">
        <v>0.1119041054276261</v>
      </c>
      <c r="L232" t="s">
        <v>154</v>
      </c>
    </row>
    <row r="233" spans="9:12" x14ac:dyDescent="0.25">
      <c r="I233" t="s">
        <v>183</v>
      </c>
      <c r="J233" t="s">
        <v>160</v>
      </c>
      <c r="K233">
        <v>0</v>
      </c>
      <c r="L233" t="s">
        <v>154</v>
      </c>
    </row>
    <row r="234" spans="9:12" x14ac:dyDescent="0.25">
      <c r="I234" t="s">
        <v>183</v>
      </c>
      <c r="J234" t="s">
        <v>161</v>
      </c>
      <c r="K234">
        <v>1.9569159899052196E-2</v>
      </c>
      <c r="L234" t="s">
        <v>154</v>
      </c>
    </row>
    <row r="235" spans="9:12" x14ac:dyDescent="0.25">
      <c r="I235" t="s">
        <v>183</v>
      </c>
      <c r="J235" t="s">
        <v>162</v>
      </c>
      <c r="K235">
        <v>0.23518236323802971</v>
      </c>
      <c r="L235" t="s">
        <v>154</v>
      </c>
    </row>
    <row r="236" spans="9:12" x14ac:dyDescent="0.25">
      <c r="I236" t="s">
        <v>183</v>
      </c>
      <c r="J236" t="s">
        <v>163</v>
      </c>
      <c r="K236">
        <v>0</v>
      </c>
      <c r="L236" t="s">
        <v>154</v>
      </c>
    </row>
    <row r="237" spans="9:12" x14ac:dyDescent="0.25">
      <c r="I237" t="s">
        <v>183</v>
      </c>
      <c r="J237" t="s">
        <v>164</v>
      </c>
      <c r="K237">
        <v>1.668343307121193E-2</v>
      </c>
      <c r="L237" t="s">
        <v>154</v>
      </c>
    </row>
    <row r="238" spans="9:12" x14ac:dyDescent="0.25">
      <c r="I238" t="s">
        <v>183</v>
      </c>
      <c r="J238" t="s">
        <v>165</v>
      </c>
      <c r="K238">
        <v>0.18409064255169746</v>
      </c>
      <c r="L238" t="s">
        <v>154</v>
      </c>
    </row>
    <row r="239" spans="9:12" x14ac:dyDescent="0.25">
      <c r="I239" t="s">
        <v>184</v>
      </c>
      <c r="J239" t="s">
        <v>153</v>
      </c>
      <c r="K239">
        <v>0</v>
      </c>
      <c r="L239" t="s">
        <v>154</v>
      </c>
    </row>
    <row r="240" spans="9:12" x14ac:dyDescent="0.25">
      <c r="I240" t="s">
        <v>184</v>
      </c>
      <c r="J240" t="s">
        <v>155</v>
      </c>
      <c r="K240">
        <v>3.1564790902893734E-2</v>
      </c>
      <c r="L240" t="s">
        <v>154</v>
      </c>
    </row>
    <row r="241" spans="9:12" x14ac:dyDescent="0.25">
      <c r="I241" t="s">
        <v>184</v>
      </c>
      <c r="J241" t="s">
        <v>156</v>
      </c>
      <c r="K241">
        <v>0.3959239066008578</v>
      </c>
      <c r="L241" t="s">
        <v>154</v>
      </c>
    </row>
    <row r="242" spans="9:12" x14ac:dyDescent="0.25">
      <c r="I242" t="s">
        <v>184</v>
      </c>
      <c r="J242" t="s">
        <v>157</v>
      </c>
      <c r="K242">
        <v>0</v>
      </c>
      <c r="L242" t="s">
        <v>154</v>
      </c>
    </row>
    <row r="243" spans="9:12" x14ac:dyDescent="0.25">
      <c r="I243" t="s">
        <v>184</v>
      </c>
      <c r="J243" t="s">
        <v>158</v>
      </c>
      <c r="K243">
        <v>1.0256967224131278E-2</v>
      </c>
      <c r="L243" t="s">
        <v>154</v>
      </c>
    </row>
    <row r="244" spans="9:12" x14ac:dyDescent="0.25">
      <c r="I244" t="s">
        <v>184</v>
      </c>
      <c r="J244" t="s">
        <v>159</v>
      </c>
      <c r="K244">
        <v>0.10971174772610154</v>
      </c>
      <c r="L244" t="s">
        <v>154</v>
      </c>
    </row>
    <row r="245" spans="9:12" x14ac:dyDescent="0.25">
      <c r="I245" t="s">
        <v>184</v>
      </c>
      <c r="J245" t="s">
        <v>160</v>
      </c>
      <c r="K245">
        <v>0</v>
      </c>
      <c r="L245" t="s">
        <v>154</v>
      </c>
    </row>
    <row r="246" spans="9:12" x14ac:dyDescent="0.25">
      <c r="I246" t="s">
        <v>184</v>
      </c>
      <c r="J246" t="s">
        <v>161</v>
      </c>
      <c r="K246">
        <v>2.0678485826860948E-2</v>
      </c>
      <c r="L246" t="s">
        <v>154</v>
      </c>
    </row>
    <row r="247" spans="9:12" x14ac:dyDescent="0.25">
      <c r="I247" t="s">
        <v>184</v>
      </c>
      <c r="J247" t="s">
        <v>162</v>
      </c>
      <c r="K247">
        <v>0.23667586661607423</v>
      </c>
      <c r="L247" t="s">
        <v>154</v>
      </c>
    </row>
    <row r="248" spans="9:12" x14ac:dyDescent="0.25">
      <c r="I248" t="s">
        <v>184</v>
      </c>
      <c r="J248" t="s">
        <v>163</v>
      </c>
      <c r="K248">
        <v>0</v>
      </c>
      <c r="L248" t="s">
        <v>154</v>
      </c>
    </row>
    <row r="249" spans="9:12" x14ac:dyDescent="0.25">
      <c r="I249" t="s">
        <v>184</v>
      </c>
      <c r="J249" t="s">
        <v>164</v>
      </c>
      <c r="K249">
        <v>1.6343421803042595E-2</v>
      </c>
      <c r="L249" t="s">
        <v>154</v>
      </c>
    </row>
    <row r="250" spans="9:12" x14ac:dyDescent="0.25">
      <c r="I250" t="s">
        <v>184</v>
      </c>
      <c r="J250" t="s">
        <v>165</v>
      </c>
      <c r="K250">
        <v>0.17884481330004084</v>
      </c>
      <c r="L250" t="s">
        <v>154</v>
      </c>
    </row>
    <row r="251" spans="9:12" x14ac:dyDescent="0.25">
      <c r="I251" t="s">
        <v>185</v>
      </c>
      <c r="J251" t="s">
        <v>153</v>
      </c>
      <c r="K251">
        <v>0</v>
      </c>
      <c r="L251" t="s">
        <v>154</v>
      </c>
    </row>
    <row r="252" spans="9:12" x14ac:dyDescent="0.25">
      <c r="I252" t="s">
        <v>185</v>
      </c>
      <c r="J252" t="s">
        <v>155</v>
      </c>
      <c r="K252">
        <v>3.0210237860265225E-2</v>
      </c>
      <c r="L252" t="s">
        <v>154</v>
      </c>
    </row>
    <row r="253" spans="9:12" x14ac:dyDescent="0.25">
      <c r="I253" t="s">
        <v>185</v>
      </c>
      <c r="J253" t="s">
        <v>156</v>
      </c>
      <c r="K253">
        <v>0.39727112474918025</v>
      </c>
      <c r="L253" t="s">
        <v>154</v>
      </c>
    </row>
    <row r="254" spans="9:12" x14ac:dyDescent="0.25">
      <c r="I254" t="s">
        <v>185</v>
      </c>
      <c r="J254" t="s">
        <v>157</v>
      </c>
      <c r="K254">
        <v>0</v>
      </c>
      <c r="L254" t="s">
        <v>154</v>
      </c>
    </row>
    <row r="255" spans="9:12" x14ac:dyDescent="0.25">
      <c r="I255" t="s">
        <v>185</v>
      </c>
      <c r="J255" t="s">
        <v>158</v>
      </c>
      <c r="K255">
        <v>1.0111293223182782E-2</v>
      </c>
      <c r="L255" t="s">
        <v>154</v>
      </c>
    </row>
    <row r="256" spans="9:12" x14ac:dyDescent="0.25">
      <c r="I256" t="s">
        <v>185</v>
      </c>
      <c r="J256" t="s">
        <v>159</v>
      </c>
      <c r="K256">
        <v>0.10926974021724473</v>
      </c>
      <c r="L256" t="s">
        <v>154</v>
      </c>
    </row>
    <row r="257" spans="9:12" x14ac:dyDescent="0.25">
      <c r="I257" t="s">
        <v>185</v>
      </c>
      <c r="J257" t="s">
        <v>160</v>
      </c>
      <c r="K257">
        <v>0</v>
      </c>
      <c r="L257" t="s">
        <v>154</v>
      </c>
    </row>
    <row r="258" spans="9:12" x14ac:dyDescent="0.25">
      <c r="I258" t="s">
        <v>185</v>
      </c>
      <c r="J258" t="s">
        <v>161</v>
      </c>
      <c r="K258">
        <v>2.1962561071534301E-2</v>
      </c>
      <c r="L258" t="s">
        <v>154</v>
      </c>
    </row>
    <row r="259" spans="9:12" x14ac:dyDescent="0.25">
      <c r="I259" t="s">
        <v>185</v>
      </c>
      <c r="J259" t="s">
        <v>162</v>
      </c>
      <c r="K259">
        <v>0.24369208049462998</v>
      </c>
      <c r="L259" t="s">
        <v>154</v>
      </c>
    </row>
    <row r="260" spans="9:12" x14ac:dyDescent="0.25">
      <c r="I260" t="s">
        <v>185</v>
      </c>
      <c r="J260" t="s">
        <v>163</v>
      </c>
      <c r="K260">
        <v>0</v>
      </c>
      <c r="L260" t="s">
        <v>154</v>
      </c>
    </row>
    <row r="261" spans="9:12" x14ac:dyDescent="0.25">
      <c r="I261" t="s">
        <v>185</v>
      </c>
      <c r="J261" t="s">
        <v>164</v>
      </c>
      <c r="K261">
        <v>1.7203508965572784E-2</v>
      </c>
      <c r="L261" t="s">
        <v>154</v>
      </c>
    </row>
    <row r="262" spans="9:12" x14ac:dyDescent="0.25">
      <c r="I262" t="s">
        <v>185</v>
      </c>
      <c r="J262" t="s">
        <v>165</v>
      </c>
      <c r="K262">
        <v>0.17027945341839085</v>
      </c>
      <c r="L262" t="s">
        <v>154</v>
      </c>
    </row>
    <row r="263" spans="9:12" x14ac:dyDescent="0.25">
      <c r="I263" t="s">
        <v>186</v>
      </c>
      <c r="J263" t="s">
        <v>153</v>
      </c>
      <c r="K263">
        <v>0</v>
      </c>
      <c r="L263" t="s">
        <v>154</v>
      </c>
    </row>
    <row r="264" spans="9:12" x14ac:dyDescent="0.25">
      <c r="I264" t="s">
        <v>186</v>
      </c>
      <c r="J264" t="s">
        <v>155</v>
      </c>
      <c r="K264">
        <v>3.2190682295293482E-2</v>
      </c>
      <c r="L264" t="s">
        <v>154</v>
      </c>
    </row>
    <row r="265" spans="9:12" x14ac:dyDescent="0.25">
      <c r="I265" t="s">
        <v>186</v>
      </c>
      <c r="J265" t="s">
        <v>156</v>
      </c>
      <c r="K265">
        <v>0.40423521944427754</v>
      </c>
      <c r="L265" t="s">
        <v>154</v>
      </c>
    </row>
    <row r="266" spans="9:12" x14ac:dyDescent="0.25">
      <c r="I266" t="s">
        <v>186</v>
      </c>
      <c r="J266" t="s">
        <v>157</v>
      </c>
      <c r="K266">
        <v>0</v>
      </c>
      <c r="L266" t="s">
        <v>154</v>
      </c>
    </row>
    <row r="267" spans="9:12" x14ac:dyDescent="0.25">
      <c r="I267" t="s">
        <v>186</v>
      </c>
      <c r="J267" t="s">
        <v>158</v>
      </c>
      <c r="K267">
        <v>1.0458093229112286E-2</v>
      </c>
      <c r="L267" t="s">
        <v>154</v>
      </c>
    </row>
    <row r="268" spans="9:12" x14ac:dyDescent="0.25">
      <c r="I268" t="s">
        <v>186</v>
      </c>
      <c r="J268" t="s">
        <v>159</v>
      </c>
      <c r="K268">
        <v>0.10805777982226684</v>
      </c>
      <c r="L268" t="s">
        <v>154</v>
      </c>
    </row>
    <row r="269" spans="9:12" x14ac:dyDescent="0.25">
      <c r="I269" t="s">
        <v>186</v>
      </c>
      <c r="J269" t="s">
        <v>160</v>
      </c>
      <c r="K269">
        <v>0</v>
      </c>
      <c r="L269" t="s">
        <v>154</v>
      </c>
    </row>
    <row r="270" spans="9:12" x14ac:dyDescent="0.25">
      <c r="I270" t="s">
        <v>186</v>
      </c>
      <c r="J270" t="s">
        <v>161</v>
      </c>
      <c r="K270">
        <v>2.1709628802499326E-2</v>
      </c>
      <c r="L270" t="s">
        <v>154</v>
      </c>
    </row>
    <row r="271" spans="9:12" x14ac:dyDescent="0.25">
      <c r="I271" t="s">
        <v>186</v>
      </c>
      <c r="J271" t="s">
        <v>162</v>
      </c>
      <c r="K271">
        <v>0.2319965998995335</v>
      </c>
      <c r="L271" t="s">
        <v>154</v>
      </c>
    </row>
    <row r="272" spans="9:12" x14ac:dyDescent="0.25">
      <c r="I272" t="s">
        <v>186</v>
      </c>
      <c r="J272" t="s">
        <v>163</v>
      </c>
      <c r="K272">
        <v>0</v>
      </c>
      <c r="L272" t="s">
        <v>154</v>
      </c>
    </row>
    <row r="273" spans="9:12" x14ac:dyDescent="0.25">
      <c r="I273" t="s">
        <v>186</v>
      </c>
      <c r="J273" t="s">
        <v>164</v>
      </c>
      <c r="K273">
        <v>1.7717941662648558E-2</v>
      </c>
      <c r="L273" t="s">
        <v>154</v>
      </c>
    </row>
    <row r="274" spans="9:12" x14ac:dyDescent="0.25">
      <c r="I274" t="s">
        <v>186</v>
      </c>
      <c r="J274" t="s">
        <v>165</v>
      </c>
      <c r="K274">
        <v>0.17363405484436664</v>
      </c>
      <c r="L274" t="s">
        <v>154</v>
      </c>
    </row>
    <row r="275" spans="9:12" x14ac:dyDescent="0.25">
      <c r="I275" t="s">
        <v>187</v>
      </c>
      <c r="J275" t="s">
        <v>153</v>
      </c>
      <c r="K275">
        <v>0</v>
      </c>
      <c r="L275" t="s">
        <v>154</v>
      </c>
    </row>
    <row r="276" spans="9:12" x14ac:dyDescent="0.25">
      <c r="I276" t="s">
        <v>187</v>
      </c>
      <c r="J276" t="s">
        <v>155</v>
      </c>
      <c r="K276">
        <v>3.1515366940586813E-2</v>
      </c>
      <c r="L276" t="s">
        <v>154</v>
      </c>
    </row>
    <row r="277" spans="9:12" x14ac:dyDescent="0.25">
      <c r="I277" t="s">
        <v>187</v>
      </c>
      <c r="J277" t="s">
        <v>156</v>
      </c>
      <c r="K277">
        <v>0.40767312566513747</v>
      </c>
      <c r="L277" t="s">
        <v>154</v>
      </c>
    </row>
    <row r="278" spans="9:12" x14ac:dyDescent="0.25">
      <c r="I278" t="s">
        <v>187</v>
      </c>
      <c r="J278" t="s">
        <v>157</v>
      </c>
      <c r="K278">
        <v>0</v>
      </c>
      <c r="L278" t="s">
        <v>154</v>
      </c>
    </row>
    <row r="279" spans="9:12" x14ac:dyDescent="0.25">
      <c r="I279" t="s">
        <v>187</v>
      </c>
      <c r="J279" t="s">
        <v>158</v>
      </c>
      <c r="K279">
        <v>9.5743980760410064E-3</v>
      </c>
      <c r="L279" t="s">
        <v>154</v>
      </c>
    </row>
    <row r="280" spans="9:12" x14ac:dyDescent="0.25">
      <c r="I280" t="s">
        <v>187</v>
      </c>
      <c r="J280" t="s">
        <v>159</v>
      </c>
      <c r="K280">
        <v>0.10225443237020471</v>
      </c>
      <c r="L280" t="s">
        <v>154</v>
      </c>
    </row>
    <row r="281" spans="9:12" x14ac:dyDescent="0.25">
      <c r="I281" t="s">
        <v>187</v>
      </c>
      <c r="J281" t="s">
        <v>160</v>
      </c>
      <c r="K281">
        <v>0</v>
      </c>
      <c r="L281" t="s">
        <v>154</v>
      </c>
    </row>
    <row r="282" spans="9:12" x14ac:dyDescent="0.25">
      <c r="I282" t="s">
        <v>187</v>
      </c>
      <c r="J282" t="s">
        <v>161</v>
      </c>
      <c r="K282">
        <v>2.4449474920523094E-2</v>
      </c>
      <c r="L282" t="s">
        <v>154</v>
      </c>
    </row>
    <row r="283" spans="9:12" x14ac:dyDescent="0.25">
      <c r="I283" t="s">
        <v>187</v>
      </c>
      <c r="J283" t="s">
        <v>162</v>
      </c>
      <c r="K283">
        <v>0.24120980605748948</v>
      </c>
      <c r="L283" t="s">
        <v>154</v>
      </c>
    </row>
    <row r="284" spans="9:12" x14ac:dyDescent="0.25">
      <c r="I284" t="s">
        <v>187</v>
      </c>
      <c r="J284" t="s">
        <v>163</v>
      </c>
      <c r="K284">
        <v>0</v>
      </c>
      <c r="L284" t="s">
        <v>154</v>
      </c>
    </row>
    <row r="285" spans="9:12" x14ac:dyDescent="0.25">
      <c r="I285" t="s">
        <v>187</v>
      </c>
      <c r="J285" t="s">
        <v>164</v>
      </c>
      <c r="K285">
        <v>1.6089058452751451E-2</v>
      </c>
      <c r="L285" t="s">
        <v>154</v>
      </c>
    </row>
    <row r="286" spans="9:12" x14ac:dyDescent="0.25">
      <c r="I286" t="s">
        <v>187</v>
      </c>
      <c r="J286" t="s">
        <v>165</v>
      </c>
      <c r="K286">
        <v>0.16723433751726757</v>
      </c>
      <c r="L286" t="s">
        <v>154</v>
      </c>
    </row>
    <row r="287" spans="9:12" x14ac:dyDescent="0.25">
      <c r="I287" t="s">
        <v>188</v>
      </c>
      <c r="J287" t="s">
        <v>153</v>
      </c>
      <c r="K287">
        <v>0</v>
      </c>
      <c r="L287" t="s">
        <v>154</v>
      </c>
    </row>
    <row r="288" spans="9:12" x14ac:dyDescent="0.25">
      <c r="I288" t="s">
        <v>188</v>
      </c>
      <c r="J288" t="s">
        <v>155</v>
      </c>
      <c r="K288">
        <v>3.2308323370794922E-2</v>
      </c>
      <c r="L288" t="s">
        <v>154</v>
      </c>
    </row>
    <row r="289" spans="9:12" x14ac:dyDescent="0.25">
      <c r="I289" t="s">
        <v>188</v>
      </c>
      <c r="J289" t="s">
        <v>156</v>
      </c>
      <c r="K289">
        <v>0.40461233846027694</v>
      </c>
      <c r="L289" t="s">
        <v>154</v>
      </c>
    </row>
    <row r="290" spans="9:12" x14ac:dyDescent="0.25">
      <c r="I290" t="s">
        <v>188</v>
      </c>
      <c r="J290" t="s">
        <v>157</v>
      </c>
      <c r="K290">
        <v>0</v>
      </c>
      <c r="L290" t="s">
        <v>154</v>
      </c>
    </row>
    <row r="291" spans="9:12" x14ac:dyDescent="0.25">
      <c r="I291" t="s">
        <v>188</v>
      </c>
      <c r="J291" t="s">
        <v>158</v>
      </c>
      <c r="K291">
        <v>9.2090531375338385E-3</v>
      </c>
      <c r="L291" t="s">
        <v>154</v>
      </c>
    </row>
    <row r="292" spans="9:12" x14ac:dyDescent="0.25">
      <c r="I292" t="s">
        <v>188</v>
      </c>
      <c r="J292" t="s">
        <v>159</v>
      </c>
      <c r="K292">
        <v>0.10345830485464311</v>
      </c>
      <c r="L292" t="s">
        <v>154</v>
      </c>
    </row>
    <row r="293" spans="9:12" x14ac:dyDescent="0.25">
      <c r="I293" t="s">
        <v>188</v>
      </c>
      <c r="J293" t="s">
        <v>160</v>
      </c>
      <c r="K293">
        <v>0</v>
      </c>
      <c r="L293" t="s">
        <v>154</v>
      </c>
    </row>
    <row r="294" spans="9:12" x14ac:dyDescent="0.25">
      <c r="I294" t="s">
        <v>188</v>
      </c>
      <c r="J294" t="s">
        <v>161</v>
      </c>
      <c r="K294">
        <v>2.2905905721050696E-2</v>
      </c>
      <c r="L294" t="s">
        <v>154</v>
      </c>
    </row>
    <row r="295" spans="9:12" x14ac:dyDescent="0.25">
      <c r="I295" t="s">
        <v>188</v>
      </c>
      <c r="J295" t="s">
        <v>162</v>
      </c>
      <c r="K295">
        <v>0.24405067834433244</v>
      </c>
      <c r="L295" t="s">
        <v>154</v>
      </c>
    </row>
    <row r="296" spans="9:12" x14ac:dyDescent="0.25">
      <c r="I296" t="s">
        <v>188</v>
      </c>
      <c r="J296" t="s">
        <v>163</v>
      </c>
      <c r="K296">
        <v>0</v>
      </c>
      <c r="L296" t="s">
        <v>154</v>
      </c>
    </row>
    <row r="297" spans="9:12" x14ac:dyDescent="0.25">
      <c r="I297" t="s">
        <v>188</v>
      </c>
      <c r="J297" t="s">
        <v>164</v>
      </c>
      <c r="K297">
        <v>1.6094559497504421E-2</v>
      </c>
      <c r="L297" t="s">
        <v>154</v>
      </c>
    </row>
    <row r="298" spans="9:12" x14ac:dyDescent="0.25">
      <c r="I298" t="s">
        <v>188</v>
      </c>
      <c r="J298" t="s">
        <v>165</v>
      </c>
      <c r="K298">
        <v>0.16736083661386028</v>
      </c>
      <c r="L298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E683-3D18-4BDE-AFD8-5EEF0495B011}">
  <dimension ref="A9:AN586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221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209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152</v>
      </c>
      <c r="J11" t="s">
        <v>153</v>
      </c>
      <c r="K11">
        <v>6.3895927623498789E-3</v>
      </c>
      <c r="L11" t="s">
        <v>154</v>
      </c>
      <c r="N11" t="s">
        <v>189</v>
      </c>
      <c r="O11" t="s">
        <v>153</v>
      </c>
      <c r="P11">
        <v>0.11007057648118974</v>
      </c>
      <c r="Q11" t="s">
        <v>154</v>
      </c>
      <c r="S11" t="s">
        <v>199</v>
      </c>
      <c r="T11" t="s">
        <v>153</v>
      </c>
      <c r="U11">
        <v>0.13323642134289679</v>
      </c>
      <c r="V11" t="s">
        <v>154</v>
      </c>
      <c r="X11">
        <v>0.12146118721461187</v>
      </c>
      <c r="Y11">
        <v>4.79672492520863E-2</v>
      </c>
      <c r="Z11" t="s">
        <v>153</v>
      </c>
      <c r="AA11" t="s">
        <v>25</v>
      </c>
      <c r="AC11" t="s">
        <v>22</v>
      </c>
      <c r="AD11" t="s">
        <v>153</v>
      </c>
      <c r="AE11">
        <v>8.7407208733324179E-2</v>
      </c>
      <c r="AG11" t="s">
        <v>96</v>
      </c>
      <c r="AH11" t="s">
        <v>153</v>
      </c>
      <c r="AI11">
        <v>0.21018271530769828</v>
      </c>
    </row>
    <row r="12" spans="1:40" x14ac:dyDescent="0.2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5.9375881106090302E-2</v>
      </c>
      <c r="L12" t="s">
        <v>154</v>
      </c>
      <c r="N12" t="s">
        <v>189</v>
      </c>
      <c r="O12" t="s">
        <v>155</v>
      </c>
      <c r="P12">
        <v>2.4357346260640678E-2</v>
      </c>
      <c r="Q12" t="s">
        <v>154</v>
      </c>
      <c r="S12" t="s">
        <v>199</v>
      </c>
      <c r="T12" t="s">
        <v>155</v>
      </c>
      <c r="U12">
        <v>3.8795361546521502E-2</v>
      </c>
      <c r="V12" t="s">
        <v>154</v>
      </c>
      <c r="X12">
        <v>3.4703196347031964E-2</v>
      </c>
      <c r="Y12">
        <v>5.1141552511415535E-2</v>
      </c>
      <c r="Z12" t="s">
        <v>155</v>
      </c>
      <c r="AA12" t="s">
        <v>25</v>
      </c>
      <c r="AC12" t="s">
        <v>22</v>
      </c>
      <c r="AD12" t="s">
        <v>155</v>
      </c>
      <c r="AE12">
        <v>3.2869915969691875E-2</v>
      </c>
      <c r="AG12" t="s">
        <v>96</v>
      </c>
      <c r="AH12" t="s">
        <v>155</v>
      </c>
      <c r="AI12">
        <v>0.1667317930970893</v>
      </c>
    </row>
    <row r="13" spans="1:40" x14ac:dyDescent="0.2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4.5174628086172293E-2</v>
      </c>
      <c r="L13" t="s">
        <v>154</v>
      </c>
      <c r="N13" t="s">
        <v>189</v>
      </c>
      <c r="O13" t="s">
        <v>156</v>
      </c>
      <c r="P13">
        <v>1.3781327306713201E-2</v>
      </c>
      <c r="Q13" t="s">
        <v>154</v>
      </c>
      <c r="S13" t="s">
        <v>199</v>
      </c>
      <c r="T13" t="s">
        <v>156</v>
      </c>
      <c r="U13">
        <v>1.9805002955419666E-2</v>
      </c>
      <c r="V13" t="s">
        <v>154</v>
      </c>
      <c r="X13">
        <v>1.7351598173515982E-2</v>
      </c>
      <c r="Y13">
        <v>2.196819398519919E-2</v>
      </c>
      <c r="Z13" t="s">
        <v>156</v>
      </c>
      <c r="AA13" t="s">
        <v>25</v>
      </c>
      <c r="AC13" t="s">
        <v>22</v>
      </c>
      <c r="AD13" t="s">
        <v>156</v>
      </c>
      <c r="AE13">
        <v>1.901140650171319E-2</v>
      </c>
      <c r="AG13" t="s">
        <v>96</v>
      </c>
      <c r="AH13" t="s">
        <v>156</v>
      </c>
      <c r="AI13">
        <v>0.11508777149488902</v>
      </c>
    </row>
    <row r="14" spans="1:40" x14ac:dyDescent="0.25">
      <c r="C14" t="s">
        <v>150</v>
      </c>
      <c r="E14" t="s">
        <v>218</v>
      </c>
      <c r="G14" t="s">
        <v>143</v>
      </c>
      <c r="I14" t="s">
        <v>152</v>
      </c>
      <c r="J14" t="s">
        <v>222</v>
      </c>
      <c r="K14">
        <v>0.21085166450106579</v>
      </c>
      <c r="L14" t="s">
        <v>154</v>
      </c>
      <c r="N14" t="s">
        <v>189</v>
      </c>
      <c r="O14" t="s">
        <v>222</v>
      </c>
      <c r="P14">
        <v>6.5844083274127232E-2</v>
      </c>
      <c r="Q14" t="s">
        <v>154</v>
      </c>
      <c r="S14" t="s">
        <v>199</v>
      </c>
      <c r="T14" t="s">
        <v>222</v>
      </c>
      <c r="U14">
        <v>7.4167189226543764E-2</v>
      </c>
      <c r="V14" t="s">
        <v>154</v>
      </c>
      <c r="X14">
        <v>6.9406392694063929E-2</v>
      </c>
      <c r="Y14">
        <v>8.7066603684459162E-2</v>
      </c>
      <c r="Z14" t="s">
        <v>222</v>
      </c>
      <c r="AA14" t="s">
        <v>25</v>
      </c>
      <c r="AC14" t="s">
        <v>22</v>
      </c>
      <c r="AD14" t="s">
        <v>222</v>
      </c>
      <c r="AE14">
        <v>8.7274610819156759E-2</v>
      </c>
      <c r="AG14" t="s">
        <v>96</v>
      </c>
      <c r="AH14" t="s">
        <v>222</v>
      </c>
      <c r="AI14">
        <v>0.18741224909163012</v>
      </c>
    </row>
    <row r="15" spans="1:40" x14ac:dyDescent="0.25">
      <c r="E15" t="s">
        <v>219</v>
      </c>
      <c r="G15" t="s">
        <v>143</v>
      </c>
      <c r="I15" t="s">
        <v>152</v>
      </c>
      <c r="J15" t="s">
        <v>223</v>
      </c>
      <c r="K15">
        <v>0.12222539847623413</v>
      </c>
      <c r="L15" t="s">
        <v>154</v>
      </c>
      <c r="N15" t="s">
        <v>189</v>
      </c>
      <c r="O15" t="s">
        <v>223</v>
      </c>
      <c r="P15">
        <v>8.218045692505746E-2</v>
      </c>
      <c r="Q15" t="s">
        <v>154</v>
      </c>
      <c r="S15" t="s">
        <v>199</v>
      </c>
      <c r="T15" t="s">
        <v>223</v>
      </c>
      <c r="U15">
        <v>6.6706571323118038E-2</v>
      </c>
      <c r="V15" t="s">
        <v>154</v>
      </c>
      <c r="X15">
        <v>6.9406392694063929E-2</v>
      </c>
      <c r="Y15">
        <v>0.11659266257282321</v>
      </c>
      <c r="Z15" t="s">
        <v>223</v>
      </c>
      <c r="AA15" t="s">
        <v>25</v>
      </c>
      <c r="AC15" t="s">
        <v>22</v>
      </c>
      <c r="AD15" t="s">
        <v>223</v>
      </c>
      <c r="AE15">
        <v>8.9371754312795704E-2</v>
      </c>
      <c r="AG15" t="s">
        <v>96</v>
      </c>
      <c r="AH15" t="s">
        <v>223</v>
      </c>
      <c r="AI15">
        <v>0.17483246646255246</v>
      </c>
    </row>
    <row r="16" spans="1:40" x14ac:dyDescent="0.25">
      <c r="E16" t="s">
        <v>220</v>
      </c>
      <c r="G16" t="s">
        <v>143</v>
      </c>
      <c r="I16" t="s">
        <v>152</v>
      </c>
      <c r="J16" t="s">
        <v>224</v>
      </c>
      <c r="K16">
        <v>0</v>
      </c>
      <c r="L16" t="s">
        <v>154</v>
      </c>
      <c r="N16" t="s">
        <v>189</v>
      </c>
      <c r="O16" t="s">
        <v>224</v>
      </c>
      <c r="P16">
        <v>0.11149849582304908</v>
      </c>
      <c r="Q16" t="s">
        <v>154</v>
      </c>
      <c r="S16" t="s">
        <v>199</v>
      </c>
      <c r="T16" t="s">
        <v>224</v>
      </c>
      <c r="U16">
        <v>0.11681318452600983</v>
      </c>
      <c r="V16" t="s">
        <v>154</v>
      </c>
      <c r="X16">
        <v>0.10410958904109589</v>
      </c>
      <c r="Y16">
        <v>9.1702094158400249E-2</v>
      </c>
      <c r="Z16" t="s">
        <v>224</v>
      </c>
      <c r="AA16" t="s">
        <v>25</v>
      </c>
      <c r="AC16" t="s">
        <v>22</v>
      </c>
      <c r="AD16" t="s">
        <v>224</v>
      </c>
      <c r="AE16">
        <v>0.12805834909143402</v>
      </c>
      <c r="AG16" t="s">
        <v>96</v>
      </c>
      <c r="AH16" t="s">
        <v>224</v>
      </c>
      <c r="AI16">
        <v>0.17346137186496158</v>
      </c>
    </row>
    <row r="17" spans="9:35" x14ac:dyDescent="0.25">
      <c r="I17" t="s">
        <v>152</v>
      </c>
      <c r="J17" t="s">
        <v>157</v>
      </c>
      <c r="K17">
        <v>3.5484569435157319E-3</v>
      </c>
      <c r="L17" t="s">
        <v>154</v>
      </c>
      <c r="N17" t="s">
        <v>189</v>
      </c>
      <c r="O17" t="s">
        <v>157</v>
      </c>
      <c r="P17">
        <v>1.5064882383619372E-2</v>
      </c>
      <c r="Q17" t="s">
        <v>154</v>
      </c>
      <c r="S17" t="s">
        <v>199</v>
      </c>
      <c r="T17" t="s">
        <v>157</v>
      </c>
      <c r="U17">
        <v>1.4762329398174578E-2</v>
      </c>
      <c r="V17" t="s">
        <v>154</v>
      </c>
      <c r="X17">
        <v>3.3561643835616439E-2</v>
      </c>
      <c r="Y17">
        <v>1.3254108345971212E-2</v>
      </c>
      <c r="Z17" t="s">
        <v>157</v>
      </c>
      <c r="AA17" t="s">
        <v>25</v>
      </c>
      <c r="AC17" t="s">
        <v>22</v>
      </c>
      <c r="AD17" t="s">
        <v>157</v>
      </c>
      <c r="AE17">
        <v>2.8517764263876699E-2</v>
      </c>
      <c r="AG17" t="s">
        <v>96</v>
      </c>
      <c r="AH17" t="s">
        <v>157</v>
      </c>
      <c r="AI17">
        <v>0.17572767726567906</v>
      </c>
    </row>
    <row r="18" spans="9:35" x14ac:dyDescent="0.25">
      <c r="I18" t="s">
        <v>152</v>
      </c>
      <c r="J18" t="s">
        <v>158</v>
      </c>
      <c r="K18">
        <v>1.5700093644480766E-2</v>
      </c>
      <c r="L18" t="s">
        <v>154</v>
      </c>
      <c r="N18" t="s">
        <v>189</v>
      </c>
      <c r="O18" t="s">
        <v>158</v>
      </c>
      <c r="P18">
        <v>3.0521093835506378E-3</v>
      </c>
      <c r="Q18" t="s">
        <v>154</v>
      </c>
      <c r="S18" t="s">
        <v>199</v>
      </c>
      <c r="T18" t="s">
        <v>158</v>
      </c>
      <c r="U18">
        <v>3.9560927953087204E-3</v>
      </c>
      <c r="V18" t="s">
        <v>154</v>
      </c>
      <c r="X18">
        <v>9.5890410958904115E-3</v>
      </c>
      <c r="Y18">
        <v>1.4131218457101661E-2</v>
      </c>
      <c r="Z18" t="s">
        <v>158</v>
      </c>
      <c r="AA18" t="s">
        <v>25</v>
      </c>
      <c r="AC18" t="s">
        <v>22</v>
      </c>
      <c r="AD18" t="s">
        <v>158</v>
      </c>
      <c r="AE18">
        <v>1.0088850847448106E-2</v>
      </c>
      <c r="AG18" t="s">
        <v>96</v>
      </c>
      <c r="AH18" t="s">
        <v>158</v>
      </c>
      <c r="AI18">
        <v>0.14656505860482283</v>
      </c>
    </row>
    <row r="19" spans="9:35" x14ac:dyDescent="0.25">
      <c r="I19" t="s">
        <v>152</v>
      </c>
      <c r="J19" t="s">
        <v>159</v>
      </c>
      <c r="K19">
        <v>1.1421992480620077E-2</v>
      </c>
      <c r="L19" t="s">
        <v>154</v>
      </c>
      <c r="N19" t="s">
        <v>189</v>
      </c>
      <c r="O19" t="s">
        <v>159</v>
      </c>
      <c r="P19">
        <v>1.4419980914660087E-3</v>
      </c>
      <c r="Q19" t="s">
        <v>154</v>
      </c>
      <c r="S19" t="s">
        <v>199</v>
      </c>
      <c r="T19" t="s">
        <v>159</v>
      </c>
      <c r="U19">
        <v>1.9055581873693962E-3</v>
      </c>
      <c r="V19" t="s">
        <v>154</v>
      </c>
      <c r="X19">
        <v>4.7945205479452057E-3</v>
      </c>
      <c r="Y19">
        <v>6.0701588643313539E-3</v>
      </c>
      <c r="Z19" t="s">
        <v>159</v>
      </c>
      <c r="AA19" t="s">
        <v>25</v>
      </c>
      <c r="AC19" t="s">
        <v>22</v>
      </c>
      <c r="AD19" t="s">
        <v>159</v>
      </c>
      <c r="AE19">
        <v>6.0943128004988184E-3</v>
      </c>
      <c r="AG19" t="s">
        <v>96</v>
      </c>
      <c r="AH19" t="s">
        <v>159</v>
      </c>
      <c r="AI19">
        <v>8.0144397491046293E-2</v>
      </c>
    </row>
    <row r="20" spans="9:35" x14ac:dyDescent="0.25">
      <c r="I20" t="s">
        <v>152</v>
      </c>
      <c r="J20" t="s">
        <v>225</v>
      </c>
      <c r="K20">
        <v>5.6843261087425392E-2</v>
      </c>
      <c r="L20" t="s">
        <v>154</v>
      </c>
      <c r="N20" t="s">
        <v>189</v>
      </c>
      <c r="O20" t="s">
        <v>225</v>
      </c>
      <c r="P20">
        <v>5.8214157718206897E-3</v>
      </c>
      <c r="Q20" t="s">
        <v>154</v>
      </c>
      <c r="S20" t="s">
        <v>199</v>
      </c>
      <c r="T20" t="s">
        <v>225</v>
      </c>
      <c r="U20">
        <v>8.2521604569853278E-3</v>
      </c>
      <c r="V20" t="s">
        <v>154</v>
      </c>
      <c r="X20">
        <v>1.9178082191780823E-2</v>
      </c>
      <c r="Y20">
        <v>2.4057877333863709E-2</v>
      </c>
      <c r="Z20" t="s">
        <v>225</v>
      </c>
      <c r="AA20" t="s">
        <v>25</v>
      </c>
      <c r="AC20" t="s">
        <v>22</v>
      </c>
      <c r="AD20" t="s">
        <v>225</v>
      </c>
      <c r="AE20">
        <v>2.842952840718465E-2</v>
      </c>
      <c r="AG20" t="s">
        <v>96</v>
      </c>
      <c r="AH20" t="s">
        <v>225</v>
      </c>
      <c r="AI20">
        <v>0.11701539747805945</v>
      </c>
    </row>
    <row r="21" spans="9:35" x14ac:dyDescent="0.25">
      <c r="I21" t="s">
        <v>152</v>
      </c>
      <c r="J21" t="s">
        <v>226</v>
      </c>
      <c r="K21">
        <v>2.9716341366791008E-2</v>
      </c>
      <c r="L21" t="s">
        <v>154</v>
      </c>
      <c r="N21" t="s">
        <v>189</v>
      </c>
      <c r="O21" t="s">
        <v>226</v>
      </c>
      <c r="P21">
        <v>1.3623620898830558E-2</v>
      </c>
      <c r="Q21" t="s">
        <v>154</v>
      </c>
      <c r="S21" t="s">
        <v>199</v>
      </c>
      <c r="T21" t="s">
        <v>226</v>
      </c>
      <c r="U21">
        <v>8.3432100292366255E-3</v>
      </c>
      <c r="V21" t="s">
        <v>154</v>
      </c>
      <c r="X21">
        <v>1.9178082191780823E-2</v>
      </c>
      <c r="Y21">
        <v>3.2216393605648513E-2</v>
      </c>
      <c r="Z21" t="s">
        <v>226</v>
      </c>
      <c r="AA21" t="s">
        <v>25</v>
      </c>
      <c r="AC21" t="s">
        <v>22</v>
      </c>
      <c r="AD21" t="s">
        <v>226</v>
      </c>
      <c r="AE21">
        <v>2.9359683676392634E-2</v>
      </c>
      <c r="AG21" t="s">
        <v>96</v>
      </c>
      <c r="AH21" t="s">
        <v>226</v>
      </c>
      <c r="AI21">
        <v>0.10017446458986035</v>
      </c>
    </row>
    <row r="22" spans="9:35" x14ac:dyDescent="0.25">
      <c r="I22" t="s">
        <v>152</v>
      </c>
      <c r="J22" t="s">
        <v>227</v>
      </c>
      <c r="K22">
        <v>0</v>
      </c>
      <c r="L22" t="s">
        <v>154</v>
      </c>
      <c r="N22" t="s">
        <v>189</v>
      </c>
      <c r="O22" t="s">
        <v>227</v>
      </c>
      <c r="P22">
        <v>2.1090359804766319E-2</v>
      </c>
      <c r="Q22" t="s">
        <v>154</v>
      </c>
      <c r="S22" t="s">
        <v>199</v>
      </c>
      <c r="T22" t="s">
        <v>227</v>
      </c>
      <c r="U22">
        <v>9.4983555222959634E-3</v>
      </c>
      <c r="V22" t="s">
        <v>154</v>
      </c>
      <c r="X22">
        <v>2.8767123287671233E-2</v>
      </c>
      <c r="Y22">
        <v>2.5338736543768493E-2</v>
      </c>
      <c r="Z22" t="s">
        <v>227</v>
      </c>
      <c r="AA22" t="s">
        <v>25</v>
      </c>
      <c r="AC22" t="s">
        <v>22</v>
      </c>
      <c r="AD22" t="s">
        <v>227</v>
      </c>
      <c r="AE22">
        <v>4.0895991578814767E-2</v>
      </c>
      <c r="AG22" t="s">
        <v>96</v>
      </c>
      <c r="AH22" t="s">
        <v>227</v>
      </c>
      <c r="AI22">
        <v>0.12286430595829079</v>
      </c>
    </row>
    <row r="23" spans="9:35" x14ac:dyDescent="0.25">
      <c r="I23" t="s">
        <v>152</v>
      </c>
      <c r="J23" t="s">
        <v>160</v>
      </c>
      <c r="K23">
        <v>6.9525798815303847E-3</v>
      </c>
      <c r="L23" t="s">
        <v>154</v>
      </c>
      <c r="N23" t="s">
        <v>189</v>
      </c>
      <c r="O23" t="s">
        <v>160</v>
      </c>
      <c r="P23">
        <v>0.10121408376293153</v>
      </c>
      <c r="Q23" t="s">
        <v>154</v>
      </c>
      <c r="S23" t="s">
        <v>199</v>
      </c>
      <c r="T23" t="s">
        <v>160</v>
      </c>
      <c r="U23">
        <v>6.3171177539672413E-2</v>
      </c>
      <c r="V23" t="s">
        <v>154</v>
      </c>
      <c r="X23">
        <v>7.2716894977168947E-2</v>
      </c>
      <c r="Y23">
        <v>2.8717234749604293E-2</v>
      </c>
      <c r="Z23" t="s">
        <v>160</v>
      </c>
      <c r="AA23" t="s">
        <v>25</v>
      </c>
      <c r="AC23" t="s">
        <v>22</v>
      </c>
      <c r="AD23" t="s">
        <v>160</v>
      </c>
      <c r="AE23">
        <v>4.558533441023771E-2</v>
      </c>
      <c r="AG23" t="s">
        <v>96</v>
      </c>
      <c r="AH23" t="s">
        <v>160</v>
      </c>
      <c r="AI23">
        <v>0.14870507170930924</v>
      </c>
    </row>
    <row r="24" spans="9:35" x14ac:dyDescent="0.25">
      <c r="I24" t="s">
        <v>152</v>
      </c>
      <c r="J24" t="s">
        <v>161</v>
      </c>
      <c r="K24">
        <v>3.3566218631170507E-2</v>
      </c>
      <c r="L24" t="s">
        <v>154</v>
      </c>
      <c r="N24" t="s">
        <v>189</v>
      </c>
      <c r="O24" t="s">
        <v>161</v>
      </c>
      <c r="P24">
        <v>2.1539302284152986E-2</v>
      </c>
      <c r="Q24" t="s">
        <v>154</v>
      </c>
      <c r="S24" t="s">
        <v>199</v>
      </c>
      <c r="T24" t="s">
        <v>161</v>
      </c>
      <c r="U24">
        <v>1.8234255724841088E-2</v>
      </c>
      <c r="V24" t="s">
        <v>154</v>
      </c>
      <c r="X24">
        <v>2.0776255707762557E-2</v>
      </c>
      <c r="Y24">
        <v>3.0617639990386931E-2</v>
      </c>
      <c r="Z24" t="s">
        <v>161</v>
      </c>
      <c r="AA24" t="s">
        <v>25</v>
      </c>
      <c r="AC24" t="s">
        <v>22</v>
      </c>
      <c r="AD24" t="s">
        <v>161</v>
      </c>
      <c r="AE24">
        <v>1.8556488541127989E-2</v>
      </c>
      <c r="AG24" t="s">
        <v>96</v>
      </c>
      <c r="AH24" t="s">
        <v>161</v>
      </c>
      <c r="AI24">
        <v>0.1457548925711476</v>
      </c>
    </row>
    <row r="25" spans="9:35" x14ac:dyDescent="0.25">
      <c r="I25" t="s">
        <v>152</v>
      </c>
      <c r="J25" t="s">
        <v>162</v>
      </c>
      <c r="K25">
        <v>2.4768559879178177E-2</v>
      </c>
      <c r="L25" t="s">
        <v>154</v>
      </c>
      <c r="N25" t="s">
        <v>189</v>
      </c>
      <c r="O25" t="s">
        <v>162</v>
      </c>
      <c r="P25">
        <v>1.0019746563444662E-2</v>
      </c>
      <c r="Q25" t="s">
        <v>154</v>
      </c>
      <c r="S25" t="s">
        <v>199</v>
      </c>
      <c r="T25" t="s">
        <v>162</v>
      </c>
      <c r="U25">
        <v>9.0518445927461281E-3</v>
      </c>
      <c r="V25" t="s">
        <v>154</v>
      </c>
      <c r="X25">
        <v>1.0388127853881279E-2</v>
      </c>
      <c r="Y25">
        <v>1.3152010872717935E-2</v>
      </c>
      <c r="Z25" t="s">
        <v>162</v>
      </c>
      <c r="AA25" t="s">
        <v>25</v>
      </c>
      <c r="AC25" t="s">
        <v>22</v>
      </c>
      <c r="AD25" t="s">
        <v>162</v>
      </c>
      <c r="AE25">
        <v>1.0408795903296394E-2</v>
      </c>
      <c r="AG25" t="s">
        <v>96</v>
      </c>
      <c r="AH25" t="s">
        <v>162</v>
      </c>
      <c r="AI25">
        <v>0.15229378470505783</v>
      </c>
    </row>
    <row r="26" spans="9:35" x14ac:dyDescent="0.25">
      <c r="I26" t="s">
        <v>152</v>
      </c>
      <c r="J26" t="s">
        <v>228</v>
      </c>
      <c r="K26">
        <v>0.11692926681488064</v>
      </c>
      <c r="L26" t="s">
        <v>154</v>
      </c>
      <c r="N26" t="s">
        <v>189</v>
      </c>
      <c r="O26" t="s">
        <v>228</v>
      </c>
      <c r="P26">
        <v>4.8116464805882136E-2</v>
      </c>
      <c r="Q26" t="s">
        <v>154</v>
      </c>
      <c r="S26" t="s">
        <v>199</v>
      </c>
      <c r="T26" t="s">
        <v>228</v>
      </c>
      <c r="U26">
        <v>4.0829435061250183E-2</v>
      </c>
      <c r="V26" t="s">
        <v>154</v>
      </c>
      <c r="X26">
        <v>4.1552511415525115E-2</v>
      </c>
      <c r="Y26">
        <v>5.2125400890038052E-2</v>
      </c>
      <c r="Z26" t="s">
        <v>228</v>
      </c>
      <c r="AA26" t="s">
        <v>25</v>
      </c>
      <c r="AC26" t="s">
        <v>22</v>
      </c>
      <c r="AD26" t="s">
        <v>228</v>
      </c>
      <c r="AE26">
        <v>4.6016661756258223E-2</v>
      </c>
      <c r="AG26" t="s">
        <v>96</v>
      </c>
      <c r="AH26" t="s">
        <v>228</v>
      </c>
      <c r="AI26">
        <v>0.19640782657380318</v>
      </c>
    </row>
    <row r="27" spans="9:35" x14ac:dyDescent="0.25">
      <c r="I27" t="s">
        <v>152</v>
      </c>
      <c r="J27" t="s">
        <v>229</v>
      </c>
      <c r="K27">
        <v>6.5291191681516036E-2</v>
      </c>
      <c r="L27" t="s">
        <v>154</v>
      </c>
      <c r="N27" t="s">
        <v>189</v>
      </c>
      <c r="O27" t="s">
        <v>229</v>
      </c>
      <c r="P27">
        <v>7.2762780274749819E-2</v>
      </c>
      <c r="Q27" t="s">
        <v>154</v>
      </c>
      <c r="S27" t="s">
        <v>199</v>
      </c>
      <c r="T27" t="s">
        <v>229</v>
      </c>
      <c r="U27">
        <v>4.4466251209170721E-2</v>
      </c>
      <c r="V27" t="s">
        <v>154</v>
      </c>
      <c r="X27">
        <v>4.1552511415525115E-2</v>
      </c>
      <c r="Y27">
        <v>6.9802186145571779E-2</v>
      </c>
      <c r="Z27" t="s">
        <v>229</v>
      </c>
      <c r="AA27" t="s">
        <v>25</v>
      </c>
      <c r="AC27" t="s">
        <v>22</v>
      </c>
      <c r="AD27" t="s">
        <v>229</v>
      </c>
      <c r="AE27">
        <v>4.6972757922428512E-2</v>
      </c>
      <c r="AG27" t="s">
        <v>96</v>
      </c>
      <c r="AH27" t="s">
        <v>229</v>
      </c>
      <c r="AI27">
        <v>0.20337612348703082</v>
      </c>
    </row>
    <row r="28" spans="9:35" x14ac:dyDescent="0.25">
      <c r="I28" t="s">
        <v>152</v>
      </c>
      <c r="J28" t="s">
        <v>230</v>
      </c>
      <c r="K28">
        <v>0</v>
      </c>
      <c r="L28" t="s">
        <v>154</v>
      </c>
      <c r="N28" t="s">
        <v>189</v>
      </c>
      <c r="O28" t="s">
        <v>230</v>
      </c>
      <c r="P28">
        <v>0.11175575694798678</v>
      </c>
      <c r="Q28" t="s">
        <v>154</v>
      </c>
      <c r="S28" t="s">
        <v>199</v>
      </c>
      <c r="T28" t="s">
        <v>230</v>
      </c>
      <c r="U28">
        <v>4.8814673086207794E-2</v>
      </c>
      <c r="V28" t="s">
        <v>154</v>
      </c>
      <c r="X28">
        <v>6.2328767123287672E-2</v>
      </c>
      <c r="Y28">
        <v>5.4900595844831736E-2</v>
      </c>
      <c r="Z28" t="s">
        <v>230</v>
      </c>
      <c r="AA28" t="s">
        <v>25</v>
      </c>
      <c r="AC28" t="s">
        <v>22</v>
      </c>
      <c r="AD28" t="s">
        <v>230</v>
      </c>
      <c r="AE28">
        <v>7.0197101544926796E-2</v>
      </c>
      <c r="AG28" t="s">
        <v>96</v>
      </c>
      <c r="AH28" t="s">
        <v>230</v>
      </c>
      <c r="AI28">
        <v>0.1884993847789922</v>
      </c>
    </row>
    <row r="29" spans="9:35" x14ac:dyDescent="0.25">
      <c r="I29" t="s">
        <v>152</v>
      </c>
      <c r="J29" t="s">
        <v>163</v>
      </c>
      <c r="K29">
        <v>5.0769317637917952E-3</v>
      </c>
      <c r="L29" t="s">
        <v>154</v>
      </c>
      <c r="N29" t="s">
        <v>189</v>
      </c>
      <c r="O29" t="s">
        <v>163</v>
      </c>
      <c r="P29">
        <v>4.4948884998072085E-2</v>
      </c>
      <c r="Q29" t="s">
        <v>154</v>
      </c>
      <c r="S29" t="s">
        <v>199</v>
      </c>
      <c r="T29" t="s">
        <v>163</v>
      </c>
      <c r="U29">
        <v>7.9026292170430792E-2</v>
      </c>
      <c r="V29" t="s">
        <v>154</v>
      </c>
      <c r="X29">
        <v>6.3926940639269403E-2</v>
      </c>
      <c r="Y29">
        <v>2.5245920658992786E-2</v>
      </c>
      <c r="Z29" t="s">
        <v>163</v>
      </c>
      <c r="AA29" t="s">
        <v>25</v>
      </c>
      <c r="AC29" t="s">
        <v>22</v>
      </c>
      <c r="AD29" t="s">
        <v>163</v>
      </c>
      <c r="AE29">
        <v>3.569556881518407E-2</v>
      </c>
      <c r="AG29" t="s">
        <v>96</v>
      </c>
      <c r="AH29" t="s">
        <v>163</v>
      </c>
      <c r="AI29">
        <v>9.7103508447340836E-2</v>
      </c>
    </row>
    <row r="30" spans="9:35" x14ac:dyDescent="0.25">
      <c r="I30" t="s">
        <v>152</v>
      </c>
      <c r="J30" t="s">
        <v>164</v>
      </c>
      <c r="K30">
        <v>2.8183635268778973E-2</v>
      </c>
      <c r="L30" t="s">
        <v>154</v>
      </c>
      <c r="N30" t="s">
        <v>189</v>
      </c>
      <c r="O30" t="s">
        <v>164</v>
      </c>
      <c r="P30">
        <v>1.0999263877681983E-2</v>
      </c>
      <c r="Q30" t="s">
        <v>154</v>
      </c>
      <c r="S30" t="s">
        <v>199</v>
      </c>
      <c r="T30" t="s">
        <v>164</v>
      </c>
      <c r="U30">
        <v>2.2351173177059102E-2</v>
      </c>
      <c r="V30" t="s">
        <v>154</v>
      </c>
      <c r="X30">
        <v>1.8264840182648401E-2</v>
      </c>
      <c r="Y30">
        <v>2.6916606584955545E-2</v>
      </c>
      <c r="Z30" t="s">
        <v>164</v>
      </c>
      <c r="AA30" t="s">
        <v>25</v>
      </c>
      <c r="AC30" t="s">
        <v>22</v>
      </c>
      <c r="AD30" t="s">
        <v>164</v>
      </c>
      <c r="AE30">
        <v>1.5163020090632213E-2</v>
      </c>
      <c r="AG30" t="s">
        <v>96</v>
      </c>
      <c r="AH30" t="s">
        <v>164</v>
      </c>
      <c r="AI30">
        <v>0.1129343999366863</v>
      </c>
    </row>
    <row r="31" spans="9:35" x14ac:dyDescent="0.25">
      <c r="I31" t="s">
        <v>152</v>
      </c>
      <c r="J31" t="s">
        <v>165</v>
      </c>
      <c r="K31">
        <v>2.1616836785745795E-2</v>
      </c>
      <c r="L31" t="s">
        <v>154</v>
      </c>
      <c r="N31" t="s">
        <v>189</v>
      </c>
      <c r="O31" t="s">
        <v>165</v>
      </c>
      <c r="P31">
        <v>5.8454998451359114E-3</v>
      </c>
      <c r="Q31" t="s">
        <v>154</v>
      </c>
      <c r="S31" t="s">
        <v>199</v>
      </c>
      <c r="T31" t="s">
        <v>165</v>
      </c>
      <c r="U31">
        <v>1.1305231806811044E-2</v>
      </c>
      <c r="V31" t="s">
        <v>154</v>
      </c>
      <c r="X31">
        <v>9.1324200913242004E-3</v>
      </c>
      <c r="Y31">
        <v>1.1562207360631151E-2</v>
      </c>
      <c r="Z31" t="s">
        <v>165</v>
      </c>
      <c r="AA31" t="s">
        <v>25</v>
      </c>
      <c r="AC31" t="s">
        <v>22</v>
      </c>
      <c r="AD31" t="s">
        <v>165</v>
      </c>
      <c r="AE31">
        <v>7.7468294644563512E-3</v>
      </c>
      <c r="AG31" t="s">
        <v>96</v>
      </c>
      <c r="AH31" t="s">
        <v>165</v>
      </c>
      <c r="AI31">
        <v>0.10020088762592172</v>
      </c>
    </row>
    <row r="32" spans="9:35" x14ac:dyDescent="0.25">
      <c r="I32" t="s">
        <v>152</v>
      </c>
      <c r="J32" t="s">
        <v>231</v>
      </c>
      <c r="K32">
        <v>9.4601625050214147E-2</v>
      </c>
      <c r="L32" t="s">
        <v>154</v>
      </c>
      <c r="N32" t="s">
        <v>189</v>
      </c>
      <c r="O32" t="s">
        <v>231</v>
      </c>
      <c r="P32">
        <v>2.4430133235831156E-2</v>
      </c>
      <c r="Q32" t="s">
        <v>154</v>
      </c>
      <c r="S32" t="s">
        <v>199</v>
      </c>
      <c r="T32" t="s">
        <v>231</v>
      </c>
      <c r="U32">
        <v>4.5484142059385814E-2</v>
      </c>
      <c r="V32" t="s">
        <v>154</v>
      </c>
      <c r="X32">
        <v>3.6529680365296802E-2</v>
      </c>
      <c r="Y32">
        <v>4.58245282549785E-2</v>
      </c>
      <c r="Z32" t="s">
        <v>231</v>
      </c>
      <c r="AA32" t="s">
        <v>25</v>
      </c>
      <c r="AC32" t="s">
        <v>22</v>
      </c>
      <c r="AD32" t="s">
        <v>231</v>
      </c>
      <c r="AE32">
        <v>3.2135887262882308E-2</v>
      </c>
      <c r="AG32" t="s">
        <v>96</v>
      </c>
      <c r="AH32" t="s">
        <v>231</v>
      </c>
      <c r="AI32">
        <v>8.766383310674164E-2</v>
      </c>
    </row>
    <row r="33" spans="9:35" x14ac:dyDescent="0.25">
      <c r="I33" t="s">
        <v>152</v>
      </c>
      <c r="J33" t="s">
        <v>232</v>
      </c>
      <c r="K33">
        <v>4.1765843788447173E-2</v>
      </c>
      <c r="L33" t="s">
        <v>154</v>
      </c>
      <c r="N33" t="s">
        <v>189</v>
      </c>
      <c r="O33" t="s">
        <v>232</v>
      </c>
      <c r="P33">
        <v>3.5113004835020376E-2</v>
      </c>
      <c r="Q33" t="s">
        <v>154</v>
      </c>
      <c r="S33" t="s">
        <v>199</v>
      </c>
      <c r="T33" t="s">
        <v>232</v>
      </c>
      <c r="U33">
        <v>4.6412662368151586E-2</v>
      </c>
      <c r="V33" t="s">
        <v>154</v>
      </c>
      <c r="X33">
        <v>3.6529680365296802E-2</v>
      </c>
      <c r="Y33">
        <v>6.1364559248854311E-2</v>
      </c>
      <c r="Z33" t="s">
        <v>232</v>
      </c>
      <c r="AA33" t="s">
        <v>25</v>
      </c>
      <c r="AC33" t="s">
        <v>22</v>
      </c>
      <c r="AD33" t="s">
        <v>232</v>
      </c>
      <c r="AE33">
        <v>3.2967208888460151E-2</v>
      </c>
      <c r="AG33" t="s">
        <v>96</v>
      </c>
      <c r="AH33" t="s">
        <v>232</v>
      </c>
      <c r="AI33">
        <v>9.8685831981704109E-2</v>
      </c>
    </row>
    <row r="34" spans="9:35" x14ac:dyDescent="0.25">
      <c r="I34" t="s">
        <v>152</v>
      </c>
      <c r="J34" t="s">
        <v>233</v>
      </c>
      <c r="K34">
        <v>0</v>
      </c>
      <c r="L34" t="s">
        <v>154</v>
      </c>
      <c r="N34" t="s">
        <v>189</v>
      </c>
      <c r="O34" t="s">
        <v>233</v>
      </c>
      <c r="P34">
        <v>4.5428406164282835E-2</v>
      </c>
      <c r="Q34" t="s">
        <v>154</v>
      </c>
      <c r="S34" t="s">
        <v>199</v>
      </c>
      <c r="T34" t="s">
        <v>233</v>
      </c>
      <c r="U34">
        <v>7.4611423894393181E-2</v>
      </c>
      <c r="V34" t="s">
        <v>154</v>
      </c>
      <c r="X34">
        <v>5.4794520547945202E-2</v>
      </c>
      <c r="Y34">
        <v>4.8264260083368565E-2</v>
      </c>
      <c r="Z34" t="s">
        <v>233</v>
      </c>
      <c r="AA34" t="s">
        <v>25</v>
      </c>
      <c r="AC34" t="s">
        <v>22</v>
      </c>
      <c r="AD34" t="s">
        <v>233</v>
      </c>
      <c r="AE34">
        <v>5.1174968397777833E-2</v>
      </c>
      <c r="AG34" t="s">
        <v>96</v>
      </c>
      <c r="AH34" t="s">
        <v>233</v>
      </c>
      <c r="AI34">
        <v>0.14374606236437049</v>
      </c>
    </row>
    <row r="35" spans="9:35" x14ac:dyDescent="0.25">
      <c r="I35" t="s">
        <v>166</v>
      </c>
      <c r="J35" t="s">
        <v>153</v>
      </c>
      <c r="K35">
        <v>7.0474549709300255E-3</v>
      </c>
      <c r="L35" t="s">
        <v>154</v>
      </c>
      <c r="N35" t="s">
        <v>190</v>
      </c>
      <c r="O35" t="s">
        <v>153</v>
      </c>
      <c r="P35">
        <v>9.8260042903510647E-2</v>
      </c>
      <c r="Q35" t="s">
        <v>154</v>
      </c>
      <c r="S35" t="s">
        <v>200</v>
      </c>
      <c r="T35" t="s">
        <v>153</v>
      </c>
      <c r="U35">
        <v>0.12793864396073382</v>
      </c>
      <c r="V35" t="s">
        <v>154</v>
      </c>
      <c r="AC35" t="s">
        <v>19</v>
      </c>
      <c r="AD35" t="s">
        <v>153</v>
      </c>
      <c r="AE35">
        <v>0.11927245608570815</v>
      </c>
    </row>
    <row r="36" spans="9:35" x14ac:dyDescent="0.25">
      <c r="I36" t="s">
        <v>166</v>
      </c>
      <c r="J36" t="s">
        <v>155</v>
      </c>
      <c r="K36">
        <v>6.4420252159045593E-2</v>
      </c>
      <c r="L36" t="s">
        <v>154</v>
      </c>
      <c r="N36" t="s">
        <v>190</v>
      </c>
      <c r="O36" t="s">
        <v>155</v>
      </c>
      <c r="P36">
        <v>2.4854052252161626E-2</v>
      </c>
      <c r="Q36" t="s">
        <v>154</v>
      </c>
      <c r="S36" t="s">
        <v>200</v>
      </c>
      <c r="T36" t="s">
        <v>155</v>
      </c>
      <c r="U36">
        <v>3.9111973710550349E-2</v>
      </c>
      <c r="V36" t="s">
        <v>154</v>
      </c>
      <c r="AC36" t="s">
        <v>19</v>
      </c>
      <c r="AD36" t="s">
        <v>155</v>
      </c>
      <c r="AE36">
        <v>3.4494965440775287E-2</v>
      </c>
    </row>
    <row r="37" spans="9:35" x14ac:dyDescent="0.25">
      <c r="I37" t="s">
        <v>166</v>
      </c>
      <c r="J37" t="s">
        <v>156</v>
      </c>
      <c r="K37">
        <v>4.7160147950061904E-2</v>
      </c>
      <c r="L37" t="s">
        <v>154</v>
      </c>
      <c r="N37" t="s">
        <v>190</v>
      </c>
      <c r="O37" t="s">
        <v>156</v>
      </c>
      <c r="P37">
        <v>1.2986297961452004E-2</v>
      </c>
      <c r="Q37" t="s">
        <v>154</v>
      </c>
      <c r="S37" t="s">
        <v>200</v>
      </c>
      <c r="T37" t="s">
        <v>156</v>
      </c>
      <c r="U37">
        <v>2.0283269210987137E-2</v>
      </c>
      <c r="V37" t="s">
        <v>154</v>
      </c>
      <c r="AC37" t="s">
        <v>19</v>
      </c>
      <c r="AD37" t="s">
        <v>156</v>
      </c>
      <c r="AE37">
        <v>1.7383581018850052E-2</v>
      </c>
    </row>
    <row r="38" spans="9:35" x14ac:dyDescent="0.25">
      <c r="I38" t="s">
        <v>166</v>
      </c>
      <c r="J38" t="s">
        <v>222</v>
      </c>
      <c r="K38">
        <v>0.20869630247990056</v>
      </c>
      <c r="L38" t="s">
        <v>154</v>
      </c>
      <c r="N38" t="s">
        <v>190</v>
      </c>
      <c r="O38" t="s">
        <v>222</v>
      </c>
      <c r="P38">
        <v>6.2259815720347771E-2</v>
      </c>
      <c r="Q38" t="s">
        <v>154</v>
      </c>
      <c r="S38" t="s">
        <v>200</v>
      </c>
      <c r="T38" t="s">
        <v>222</v>
      </c>
      <c r="U38">
        <v>8.0266241872491276E-2</v>
      </c>
      <c r="V38" t="s">
        <v>154</v>
      </c>
      <c r="AC38" t="s">
        <v>19</v>
      </c>
      <c r="AD38" t="s">
        <v>222</v>
      </c>
      <c r="AE38">
        <v>7.0127483890707928E-2</v>
      </c>
    </row>
    <row r="39" spans="9:35" x14ac:dyDescent="0.25">
      <c r="I39" t="s">
        <v>166</v>
      </c>
      <c r="J39" t="s">
        <v>223</v>
      </c>
      <c r="K39">
        <v>0.12208221170070932</v>
      </c>
      <c r="L39" t="s">
        <v>154</v>
      </c>
      <c r="N39" t="s">
        <v>190</v>
      </c>
      <c r="O39" t="s">
        <v>223</v>
      </c>
      <c r="P39">
        <v>8.2719770684722221E-2</v>
      </c>
      <c r="Q39" t="s">
        <v>154</v>
      </c>
      <c r="S39" t="s">
        <v>200</v>
      </c>
      <c r="T39" t="s">
        <v>223</v>
      </c>
      <c r="U39">
        <v>7.4538464914972152E-2</v>
      </c>
      <c r="V39" t="s">
        <v>154</v>
      </c>
      <c r="AC39" t="s">
        <v>19</v>
      </c>
      <c r="AD39" t="s">
        <v>223</v>
      </c>
      <c r="AE39">
        <v>7.0238263383970531E-2</v>
      </c>
    </row>
    <row r="40" spans="9:35" x14ac:dyDescent="0.25">
      <c r="I40" t="s">
        <v>166</v>
      </c>
      <c r="J40" t="s">
        <v>224</v>
      </c>
      <c r="K40">
        <v>0</v>
      </c>
      <c r="L40" t="s">
        <v>154</v>
      </c>
      <c r="N40" t="s">
        <v>190</v>
      </c>
      <c r="O40" t="s">
        <v>224</v>
      </c>
      <c r="P40">
        <v>0.12862206736185683</v>
      </c>
      <c r="Q40" t="s">
        <v>154</v>
      </c>
      <c r="S40" t="s">
        <v>200</v>
      </c>
      <c r="T40" t="s">
        <v>224</v>
      </c>
      <c r="U40">
        <v>0.11700771837166864</v>
      </c>
      <c r="V40" t="s">
        <v>154</v>
      </c>
      <c r="AC40" t="s">
        <v>19</v>
      </c>
      <c r="AD40" t="s">
        <v>224</v>
      </c>
      <c r="AE40">
        <v>0.10504048902552894</v>
      </c>
    </row>
    <row r="41" spans="9:35" x14ac:dyDescent="0.25">
      <c r="I41" t="s">
        <v>166</v>
      </c>
      <c r="J41" t="s">
        <v>157</v>
      </c>
      <c r="K41">
        <v>3.2335945573008732E-3</v>
      </c>
      <c r="L41" t="s">
        <v>154</v>
      </c>
      <c r="N41" t="s">
        <v>190</v>
      </c>
      <c r="O41" t="s">
        <v>157</v>
      </c>
      <c r="P41">
        <v>1.718297786476676E-2</v>
      </c>
      <c r="Q41" t="s">
        <v>154</v>
      </c>
      <c r="S41" t="s">
        <v>200</v>
      </c>
      <c r="T41" t="s">
        <v>157</v>
      </c>
      <c r="U41">
        <v>7.6548176944495035E-3</v>
      </c>
      <c r="V41" t="s">
        <v>154</v>
      </c>
      <c r="AC41" t="s">
        <v>19</v>
      </c>
      <c r="AD41" t="s">
        <v>157</v>
      </c>
      <c r="AE41">
        <v>3.2905700873221443E-2</v>
      </c>
    </row>
    <row r="42" spans="9:35" x14ac:dyDescent="0.25">
      <c r="I42" t="s">
        <v>166</v>
      </c>
      <c r="J42" t="s">
        <v>158</v>
      </c>
      <c r="K42">
        <v>1.4021374830959931E-2</v>
      </c>
      <c r="L42" t="s">
        <v>154</v>
      </c>
      <c r="N42" t="s">
        <v>190</v>
      </c>
      <c r="O42" t="s">
        <v>158</v>
      </c>
      <c r="P42">
        <v>5.7715859364114728E-3</v>
      </c>
      <c r="Q42" t="s">
        <v>154</v>
      </c>
      <c r="S42" t="s">
        <v>200</v>
      </c>
      <c r="T42" t="s">
        <v>158</v>
      </c>
      <c r="U42">
        <v>2.3379913306090165E-3</v>
      </c>
      <c r="V42" t="s">
        <v>154</v>
      </c>
      <c r="AC42" t="s">
        <v>19</v>
      </c>
      <c r="AD42" t="s">
        <v>158</v>
      </c>
      <c r="AE42">
        <v>9.5041558703959188E-3</v>
      </c>
    </row>
    <row r="43" spans="9:35" x14ac:dyDescent="0.25">
      <c r="I43" t="s">
        <v>166</v>
      </c>
      <c r="J43" t="s">
        <v>159</v>
      </c>
      <c r="K43">
        <v>1.0560514540843507E-2</v>
      </c>
      <c r="L43" t="s">
        <v>154</v>
      </c>
      <c r="N43" t="s">
        <v>190</v>
      </c>
      <c r="O43" t="s">
        <v>159</v>
      </c>
      <c r="P43">
        <v>2.9657550829160291E-3</v>
      </c>
      <c r="Q43" t="s">
        <v>154</v>
      </c>
      <c r="S43" t="s">
        <v>200</v>
      </c>
      <c r="T43" t="s">
        <v>159</v>
      </c>
      <c r="U43">
        <v>1.3134633539112826E-3</v>
      </c>
      <c r="V43" t="s">
        <v>154</v>
      </c>
      <c r="AC43" t="s">
        <v>19</v>
      </c>
      <c r="AD43" t="s">
        <v>159</v>
      </c>
      <c r="AE43">
        <v>4.8075371786568373E-3</v>
      </c>
    </row>
    <row r="44" spans="9:35" x14ac:dyDescent="0.25">
      <c r="I44" t="s">
        <v>166</v>
      </c>
      <c r="J44" t="s">
        <v>225</v>
      </c>
      <c r="K44">
        <v>5.205660893303176E-2</v>
      </c>
      <c r="L44" t="s">
        <v>154</v>
      </c>
      <c r="N44" t="s">
        <v>190</v>
      </c>
      <c r="O44" t="s">
        <v>225</v>
      </c>
      <c r="P44">
        <v>1.4885477617976241E-2</v>
      </c>
      <c r="Q44" t="s">
        <v>154</v>
      </c>
      <c r="S44" t="s">
        <v>200</v>
      </c>
      <c r="T44" t="s">
        <v>225</v>
      </c>
      <c r="U44">
        <v>5.3294517809180757E-3</v>
      </c>
      <c r="V44" t="s">
        <v>154</v>
      </c>
      <c r="AC44" t="s">
        <v>19</v>
      </c>
      <c r="AD44" t="s">
        <v>225</v>
      </c>
      <c r="AE44">
        <v>1.9444206177415262E-2</v>
      </c>
    </row>
    <row r="45" spans="9:35" x14ac:dyDescent="0.25">
      <c r="I45" t="s">
        <v>166</v>
      </c>
      <c r="J45" t="s">
        <v>226</v>
      </c>
      <c r="K45">
        <v>2.8668498397498309E-2</v>
      </c>
      <c r="L45" t="s">
        <v>154</v>
      </c>
      <c r="N45" t="s">
        <v>190</v>
      </c>
      <c r="O45" t="s">
        <v>226</v>
      </c>
      <c r="P45">
        <v>1.2923317461438905E-2</v>
      </c>
      <c r="Q45" t="s">
        <v>154</v>
      </c>
      <c r="S45" t="s">
        <v>200</v>
      </c>
      <c r="T45" t="s">
        <v>226</v>
      </c>
      <c r="U45">
        <v>4.3281442488949072E-3</v>
      </c>
      <c r="V45" t="s">
        <v>154</v>
      </c>
      <c r="AC45" t="s">
        <v>19</v>
      </c>
      <c r="AD45" t="s">
        <v>226</v>
      </c>
      <c r="AE45">
        <v>1.949334069286018E-2</v>
      </c>
    </row>
    <row r="46" spans="9:35" x14ac:dyDescent="0.25">
      <c r="I46" t="s">
        <v>166</v>
      </c>
      <c r="J46" t="s">
        <v>227</v>
      </c>
      <c r="K46">
        <v>2.1608930234792863E-4</v>
      </c>
      <c r="L46" t="s">
        <v>154</v>
      </c>
      <c r="N46" t="s">
        <v>190</v>
      </c>
      <c r="O46" t="s">
        <v>227</v>
      </c>
      <c r="P46">
        <v>1.3874715411975283E-2</v>
      </c>
      <c r="Q46" t="s">
        <v>154</v>
      </c>
      <c r="S46" t="s">
        <v>200</v>
      </c>
      <c r="T46" t="s">
        <v>227</v>
      </c>
      <c r="U46">
        <v>4.1744326139699093E-3</v>
      </c>
      <c r="V46" t="s">
        <v>154</v>
      </c>
      <c r="AC46" t="s">
        <v>19</v>
      </c>
      <c r="AD46" t="s">
        <v>227</v>
      </c>
      <c r="AE46">
        <v>2.9073957024619752E-2</v>
      </c>
    </row>
    <row r="47" spans="9:35" x14ac:dyDescent="0.25">
      <c r="I47" t="s">
        <v>166</v>
      </c>
      <c r="J47" t="s">
        <v>160</v>
      </c>
      <c r="K47">
        <v>7.0091864335315229E-3</v>
      </c>
      <c r="L47" t="s">
        <v>154</v>
      </c>
      <c r="N47" t="s">
        <v>190</v>
      </c>
      <c r="O47" t="s">
        <v>160</v>
      </c>
      <c r="P47">
        <v>0.10130962049177765</v>
      </c>
      <c r="Q47" t="s">
        <v>154</v>
      </c>
      <c r="S47" t="s">
        <v>200</v>
      </c>
      <c r="T47" t="s">
        <v>160</v>
      </c>
      <c r="U47">
        <v>5.0122619506413994E-2</v>
      </c>
      <c r="V47" t="s">
        <v>154</v>
      </c>
      <c r="AC47" t="s">
        <v>19</v>
      </c>
      <c r="AD47" t="s">
        <v>160</v>
      </c>
      <c r="AE47">
        <v>7.1448323012267959E-2</v>
      </c>
    </row>
    <row r="48" spans="9:35" x14ac:dyDescent="0.25">
      <c r="I48" t="s">
        <v>166</v>
      </c>
      <c r="J48" t="s">
        <v>161</v>
      </c>
      <c r="K48">
        <v>3.4002241564124749E-2</v>
      </c>
      <c r="L48" t="s">
        <v>154</v>
      </c>
      <c r="N48" t="s">
        <v>190</v>
      </c>
      <c r="O48" t="s">
        <v>161</v>
      </c>
      <c r="P48">
        <v>3.0959452010657119E-2</v>
      </c>
      <c r="Q48" t="s">
        <v>154</v>
      </c>
      <c r="S48" t="s">
        <v>200</v>
      </c>
      <c r="T48" t="s">
        <v>161</v>
      </c>
      <c r="U48">
        <v>1.7181191487392243E-2</v>
      </c>
      <c r="V48" t="s">
        <v>154</v>
      </c>
      <c r="AC48" t="s">
        <v>19</v>
      </c>
      <c r="AD48" t="s">
        <v>161</v>
      </c>
      <c r="AE48">
        <v>2.0706034571315035E-2</v>
      </c>
    </row>
    <row r="49" spans="9:31" x14ac:dyDescent="0.25">
      <c r="I49" t="s">
        <v>166</v>
      </c>
      <c r="J49" t="s">
        <v>162</v>
      </c>
      <c r="K49">
        <v>2.4949284792539553E-2</v>
      </c>
      <c r="L49" t="s">
        <v>154</v>
      </c>
      <c r="N49" t="s">
        <v>190</v>
      </c>
      <c r="O49" t="s">
        <v>162</v>
      </c>
      <c r="P49">
        <v>1.6300249471099291E-2</v>
      </c>
      <c r="Q49" t="s">
        <v>154</v>
      </c>
      <c r="S49" t="s">
        <v>200</v>
      </c>
      <c r="T49" t="s">
        <v>162</v>
      </c>
      <c r="U49">
        <v>9.538495544453891E-3</v>
      </c>
      <c r="V49" t="s">
        <v>154</v>
      </c>
      <c r="AC49" t="s">
        <v>19</v>
      </c>
      <c r="AD49" t="s">
        <v>162</v>
      </c>
      <c r="AE49">
        <v>1.0412737537209785E-2</v>
      </c>
    </row>
    <row r="50" spans="9:31" x14ac:dyDescent="0.25">
      <c r="I50" t="s">
        <v>166</v>
      </c>
      <c r="J50" t="s">
        <v>228</v>
      </c>
      <c r="K50">
        <v>0.11637731743732328</v>
      </c>
      <c r="L50" t="s">
        <v>154</v>
      </c>
      <c r="N50" t="s">
        <v>190</v>
      </c>
      <c r="O50" t="s">
        <v>228</v>
      </c>
      <c r="P50">
        <v>7.1752944137871824E-2</v>
      </c>
      <c r="Q50" t="s">
        <v>154</v>
      </c>
      <c r="S50" t="s">
        <v>200</v>
      </c>
      <c r="T50" t="s">
        <v>228</v>
      </c>
      <c r="U50">
        <v>3.8441624974260603E-2</v>
      </c>
      <c r="V50" t="s">
        <v>154</v>
      </c>
      <c r="AC50" t="s">
        <v>19</v>
      </c>
      <c r="AD50" t="s">
        <v>228</v>
      </c>
      <c r="AE50">
        <v>4.1882397319670826E-2</v>
      </c>
    </row>
    <row r="51" spans="9:31" x14ac:dyDescent="0.25">
      <c r="I51" t="s">
        <v>166</v>
      </c>
      <c r="J51" t="s">
        <v>229</v>
      </c>
      <c r="K51">
        <v>6.6948000245750511E-2</v>
      </c>
      <c r="L51" t="s">
        <v>154</v>
      </c>
      <c r="N51" t="s">
        <v>190</v>
      </c>
      <c r="O51" t="s">
        <v>229</v>
      </c>
      <c r="P51">
        <v>6.5433092605303625E-2</v>
      </c>
      <c r="Q51" t="s">
        <v>154</v>
      </c>
      <c r="S51" t="s">
        <v>200</v>
      </c>
      <c r="T51" t="s">
        <v>229</v>
      </c>
      <c r="U51">
        <v>3.056962083976298E-2</v>
      </c>
      <c r="V51" t="s">
        <v>154</v>
      </c>
      <c r="AC51" t="s">
        <v>19</v>
      </c>
      <c r="AD51" t="s">
        <v>229</v>
      </c>
      <c r="AE51">
        <v>4.193290213687572E-2</v>
      </c>
    </row>
    <row r="52" spans="9:31" x14ac:dyDescent="0.25">
      <c r="I52" t="s">
        <v>166</v>
      </c>
      <c r="J52" t="s">
        <v>230</v>
      </c>
      <c r="K52">
        <v>2.8425241647465096E-4</v>
      </c>
      <c r="L52" t="s">
        <v>154</v>
      </c>
      <c r="N52" t="s">
        <v>190</v>
      </c>
      <c r="O52" t="s">
        <v>230</v>
      </c>
      <c r="P52">
        <v>7.4134999238538002E-2</v>
      </c>
      <c r="Q52" t="s">
        <v>154</v>
      </c>
      <c r="S52" t="s">
        <v>200</v>
      </c>
      <c r="T52" t="s">
        <v>230</v>
      </c>
      <c r="U52">
        <v>2.9862729719108593E-2</v>
      </c>
      <c r="V52" t="s">
        <v>154</v>
      </c>
      <c r="AC52" t="s">
        <v>19</v>
      </c>
      <c r="AD52" t="s">
        <v>230</v>
      </c>
      <c r="AE52">
        <v>6.2885511452411169E-2</v>
      </c>
    </row>
    <row r="53" spans="9:31" x14ac:dyDescent="0.25">
      <c r="I53" t="s">
        <v>166</v>
      </c>
      <c r="J53" t="s">
        <v>163</v>
      </c>
      <c r="K53">
        <v>4.267898455796065E-3</v>
      </c>
      <c r="L53" t="s">
        <v>154</v>
      </c>
      <c r="N53" t="s">
        <v>190</v>
      </c>
      <c r="O53" t="s">
        <v>163</v>
      </c>
      <c r="P53">
        <v>4.3629814772105265E-2</v>
      </c>
      <c r="Q53" t="s">
        <v>154</v>
      </c>
      <c r="S53" t="s">
        <v>200</v>
      </c>
      <c r="T53" t="s">
        <v>163</v>
      </c>
      <c r="U53">
        <v>9.5020052461856644E-2</v>
      </c>
      <c r="V53" t="s">
        <v>154</v>
      </c>
      <c r="AC53" t="s">
        <v>19</v>
      </c>
      <c r="AD53" t="s">
        <v>163</v>
      </c>
      <c r="AE53">
        <v>6.3050390560718386E-2</v>
      </c>
    </row>
    <row r="54" spans="9:31" x14ac:dyDescent="0.25">
      <c r="I54" t="s">
        <v>166</v>
      </c>
      <c r="J54" t="s">
        <v>164</v>
      </c>
      <c r="K54">
        <v>2.8973331990246778E-2</v>
      </c>
      <c r="L54" t="s">
        <v>154</v>
      </c>
      <c r="N54" t="s">
        <v>190</v>
      </c>
      <c r="O54" t="s">
        <v>164</v>
      </c>
      <c r="P54">
        <v>1.0727787649622232E-2</v>
      </c>
      <c r="Q54" t="s">
        <v>154</v>
      </c>
      <c r="S54" t="s">
        <v>200</v>
      </c>
      <c r="T54" t="s">
        <v>164</v>
      </c>
      <c r="U54">
        <v>2.7677482508914046E-2</v>
      </c>
      <c r="V54" t="s">
        <v>154</v>
      </c>
      <c r="AC54" t="s">
        <v>19</v>
      </c>
      <c r="AD54" t="s">
        <v>164</v>
      </c>
      <c r="AE54">
        <v>1.8276630719635287E-2</v>
      </c>
    </row>
    <row r="55" spans="9:31" x14ac:dyDescent="0.25">
      <c r="I55" t="s">
        <v>166</v>
      </c>
      <c r="J55" t="s">
        <v>165</v>
      </c>
      <c r="K55">
        <v>2.1795916226706815E-2</v>
      </c>
      <c r="L55" t="s">
        <v>154</v>
      </c>
      <c r="N55" t="s">
        <v>190</v>
      </c>
      <c r="O55" t="s">
        <v>165</v>
      </c>
      <c r="P55">
        <v>5.2274849726395064E-3</v>
      </c>
      <c r="Q55" t="s">
        <v>154</v>
      </c>
      <c r="S55" t="s">
        <v>200</v>
      </c>
      <c r="T55" t="s">
        <v>165</v>
      </c>
      <c r="U55">
        <v>1.38587537069947E-2</v>
      </c>
      <c r="V55" t="s">
        <v>154</v>
      </c>
      <c r="AC55" t="s">
        <v>19</v>
      </c>
      <c r="AD55" t="s">
        <v>165</v>
      </c>
      <c r="AE55">
        <v>9.1470481916598022E-3</v>
      </c>
    </row>
    <row r="56" spans="9:31" x14ac:dyDescent="0.25">
      <c r="I56" t="s">
        <v>166</v>
      </c>
      <c r="J56" t="s">
        <v>231</v>
      </c>
      <c r="K56">
        <v>9.2960977879300924E-2</v>
      </c>
      <c r="L56" t="s">
        <v>154</v>
      </c>
      <c r="N56" t="s">
        <v>190</v>
      </c>
      <c r="O56" t="s">
        <v>231</v>
      </c>
      <c r="P56">
        <v>2.4397487211555494E-2</v>
      </c>
      <c r="Q56" t="s">
        <v>154</v>
      </c>
      <c r="S56" t="s">
        <v>200</v>
      </c>
      <c r="T56" t="s">
        <v>231</v>
      </c>
      <c r="U56">
        <v>5.4606558405951341E-2</v>
      </c>
      <c r="V56" t="s">
        <v>154</v>
      </c>
      <c r="AC56" t="s">
        <v>19</v>
      </c>
      <c r="AD56" t="s">
        <v>231</v>
      </c>
      <c r="AE56">
        <v>3.6648864788870923E-2</v>
      </c>
    </row>
    <row r="57" spans="9:31" x14ac:dyDescent="0.25">
      <c r="I57" t="s">
        <v>166</v>
      </c>
      <c r="J57" t="s">
        <v>232</v>
      </c>
      <c r="K57">
        <v>4.4268542735574422E-2</v>
      </c>
      <c r="L57" t="s">
        <v>154</v>
      </c>
      <c r="N57" t="s">
        <v>190</v>
      </c>
      <c r="O57" t="s">
        <v>232</v>
      </c>
      <c r="P57">
        <v>2.9868698398861731E-2</v>
      </c>
      <c r="Q57" t="s">
        <v>154</v>
      </c>
      <c r="S57" t="s">
        <v>200</v>
      </c>
      <c r="T57" t="s">
        <v>232</v>
      </c>
      <c r="U57">
        <v>5.395765997674435E-2</v>
      </c>
      <c r="V57" t="s">
        <v>154</v>
      </c>
      <c r="AC57" t="s">
        <v>19</v>
      </c>
      <c r="AD57" t="s">
        <v>232</v>
      </c>
      <c r="AE57">
        <v>3.669277851661492E-2</v>
      </c>
    </row>
    <row r="58" spans="9:31" x14ac:dyDescent="0.25">
      <c r="I58" t="s">
        <v>166</v>
      </c>
      <c r="J58" t="s">
        <v>233</v>
      </c>
      <c r="K58">
        <v>0</v>
      </c>
      <c r="L58" t="s">
        <v>154</v>
      </c>
      <c r="N58" t="s">
        <v>190</v>
      </c>
      <c r="O58" t="s">
        <v>233</v>
      </c>
      <c r="P58">
        <v>4.8952492780429804E-2</v>
      </c>
      <c r="Q58" t="s">
        <v>154</v>
      </c>
      <c r="S58" t="s">
        <v>200</v>
      </c>
      <c r="T58" t="s">
        <v>233</v>
      </c>
      <c r="U58">
        <v>9.4878597803990092E-2</v>
      </c>
      <c r="V58" t="s">
        <v>154</v>
      </c>
      <c r="AC58" t="s">
        <v>19</v>
      </c>
      <c r="AD58" t="s">
        <v>233</v>
      </c>
      <c r="AE58">
        <v>5.5130244530039958E-2</v>
      </c>
    </row>
    <row r="59" spans="9:31" x14ac:dyDescent="0.25">
      <c r="I59" t="s">
        <v>167</v>
      </c>
      <c r="J59" t="s">
        <v>153</v>
      </c>
      <c r="K59">
        <v>7.1436917218204408E-3</v>
      </c>
      <c r="L59" t="s">
        <v>154</v>
      </c>
      <c r="N59" t="s">
        <v>191</v>
      </c>
      <c r="O59" t="s">
        <v>153</v>
      </c>
      <c r="P59">
        <v>8.7573765711562848E-2</v>
      </c>
      <c r="Q59" t="s">
        <v>154</v>
      </c>
      <c r="S59" t="s">
        <v>201</v>
      </c>
      <c r="T59" t="s">
        <v>153</v>
      </c>
      <c r="U59">
        <v>0.12190068445334033</v>
      </c>
      <c r="V59" t="s">
        <v>154</v>
      </c>
    </row>
    <row r="60" spans="9:31" x14ac:dyDescent="0.25">
      <c r="I60" t="s">
        <v>167</v>
      </c>
      <c r="J60" t="s">
        <v>155</v>
      </c>
      <c r="K60">
        <v>6.4578370065131216E-2</v>
      </c>
      <c r="L60" t="s">
        <v>154</v>
      </c>
      <c r="N60" t="s">
        <v>191</v>
      </c>
      <c r="O60" t="s">
        <v>155</v>
      </c>
      <c r="P60">
        <v>2.0044744002178934E-2</v>
      </c>
      <c r="Q60" t="s">
        <v>154</v>
      </c>
      <c r="S60" t="s">
        <v>201</v>
      </c>
      <c r="T60" t="s">
        <v>155</v>
      </c>
      <c r="U60">
        <v>3.90335772408806E-2</v>
      </c>
      <c r="V60" t="s">
        <v>154</v>
      </c>
    </row>
    <row r="61" spans="9:31" x14ac:dyDescent="0.25">
      <c r="I61" t="s">
        <v>167</v>
      </c>
      <c r="J61" t="s">
        <v>156</v>
      </c>
      <c r="K61">
        <v>4.8133608499254868E-2</v>
      </c>
      <c r="L61" t="s">
        <v>154</v>
      </c>
      <c r="N61" t="s">
        <v>191</v>
      </c>
      <c r="O61" t="s">
        <v>156</v>
      </c>
      <c r="P61">
        <v>1.0931279971570861E-2</v>
      </c>
      <c r="Q61" t="s">
        <v>154</v>
      </c>
      <c r="S61" t="s">
        <v>201</v>
      </c>
      <c r="T61" t="s">
        <v>156</v>
      </c>
      <c r="U61">
        <v>2.0681978235788205E-2</v>
      </c>
      <c r="V61" t="s">
        <v>154</v>
      </c>
    </row>
    <row r="62" spans="9:31" x14ac:dyDescent="0.25">
      <c r="I62" t="s">
        <v>167</v>
      </c>
      <c r="J62" t="s">
        <v>222</v>
      </c>
      <c r="K62">
        <v>0.21041960497544421</v>
      </c>
      <c r="L62" t="s">
        <v>154</v>
      </c>
      <c r="N62" t="s">
        <v>191</v>
      </c>
      <c r="O62" t="s">
        <v>222</v>
      </c>
      <c r="P62">
        <v>5.6749784270975788E-2</v>
      </c>
      <c r="Q62" t="s">
        <v>154</v>
      </c>
      <c r="S62" t="s">
        <v>201</v>
      </c>
      <c r="T62" t="s">
        <v>222</v>
      </c>
      <c r="U62">
        <v>8.1702500360517433E-2</v>
      </c>
      <c r="V62" t="s">
        <v>154</v>
      </c>
    </row>
    <row r="63" spans="9:31" x14ac:dyDescent="0.25">
      <c r="I63" t="s">
        <v>167</v>
      </c>
      <c r="J63" t="s">
        <v>223</v>
      </c>
      <c r="K63">
        <v>0.10921266063791607</v>
      </c>
      <c r="L63" t="s">
        <v>154</v>
      </c>
      <c r="N63" t="s">
        <v>191</v>
      </c>
      <c r="O63" t="s">
        <v>223</v>
      </c>
      <c r="P63">
        <v>7.4862129433747177E-2</v>
      </c>
      <c r="Q63" t="s">
        <v>154</v>
      </c>
      <c r="S63" t="s">
        <v>201</v>
      </c>
      <c r="T63" t="s">
        <v>223</v>
      </c>
      <c r="U63">
        <v>7.461824554724833E-2</v>
      </c>
      <c r="V63" t="s">
        <v>154</v>
      </c>
    </row>
    <row r="64" spans="9:31" x14ac:dyDescent="0.25">
      <c r="I64" t="s">
        <v>167</v>
      </c>
      <c r="J64" t="s">
        <v>224</v>
      </c>
      <c r="K64">
        <v>0</v>
      </c>
      <c r="L64" t="s">
        <v>154</v>
      </c>
      <c r="N64" t="s">
        <v>191</v>
      </c>
      <c r="O64" t="s">
        <v>224</v>
      </c>
      <c r="P64">
        <v>0.10037554111996767</v>
      </c>
      <c r="Q64" t="s">
        <v>154</v>
      </c>
      <c r="S64" t="s">
        <v>201</v>
      </c>
      <c r="T64" t="s">
        <v>224</v>
      </c>
      <c r="U64">
        <v>0.11017534529842665</v>
      </c>
      <c r="V64" t="s">
        <v>154</v>
      </c>
    </row>
    <row r="65" spans="9:22" x14ac:dyDescent="0.25">
      <c r="I65" t="s">
        <v>167</v>
      </c>
      <c r="J65" t="s">
        <v>157</v>
      </c>
      <c r="K65">
        <v>3.4305476106417676E-3</v>
      </c>
      <c r="L65" t="s">
        <v>154</v>
      </c>
      <c r="N65" t="s">
        <v>191</v>
      </c>
      <c r="O65" t="s">
        <v>157</v>
      </c>
      <c r="P65">
        <v>1.5766307621321609E-2</v>
      </c>
      <c r="Q65" t="s">
        <v>154</v>
      </c>
      <c r="S65" t="s">
        <v>201</v>
      </c>
      <c r="T65" t="s">
        <v>157</v>
      </c>
      <c r="U65">
        <v>1.1992045122355339E-2</v>
      </c>
      <c r="V65" t="s">
        <v>154</v>
      </c>
    </row>
    <row r="66" spans="9:22" x14ac:dyDescent="0.25">
      <c r="I66" t="s">
        <v>167</v>
      </c>
      <c r="J66" t="s">
        <v>158</v>
      </c>
      <c r="K66">
        <v>1.554592254179436E-2</v>
      </c>
      <c r="L66" t="s">
        <v>154</v>
      </c>
      <c r="N66" t="s">
        <v>191</v>
      </c>
      <c r="O66" t="s">
        <v>158</v>
      </c>
      <c r="P66">
        <v>4.578510519919453E-3</v>
      </c>
      <c r="Q66" t="s">
        <v>154</v>
      </c>
      <c r="S66" t="s">
        <v>201</v>
      </c>
      <c r="T66" t="s">
        <v>158</v>
      </c>
      <c r="U66">
        <v>3.3536524083889623E-3</v>
      </c>
      <c r="V66" t="s">
        <v>154</v>
      </c>
    </row>
    <row r="67" spans="9:22" x14ac:dyDescent="0.25">
      <c r="I67" t="s">
        <v>167</v>
      </c>
      <c r="J67" t="s">
        <v>159</v>
      </c>
      <c r="K67">
        <v>1.1628362554909139E-2</v>
      </c>
      <c r="L67" t="s">
        <v>154</v>
      </c>
      <c r="N67" t="s">
        <v>191</v>
      </c>
      <c r="O67" t="s">
        <v>159</v>
      </c>
      <c r="P67">
        <v>2.2151216374360354E-3</v>
      </c>
      <c r="Q67" t="s">
        <v>154</v>
      </c>
      <c r="S67" t="s">
        <v>201</v>
      </c>
      <c r="T67" t="s">
        <v>159</v>
      </c>
      <c r="U67">
        <v>1.7976164753760562E-3</v>
      </c>
      <c r="V67" t="s">
        <v>154</v>
      </c>
    </row>
    <row r="68" spans="9:22" x14ac:dyDescent="0.25">
      <c r="I68" t="s">
        <v>167</v>
      </c>
      <c r="J68" t="s">
        <v>225</v>
      </c>
      <c r="K68">
        <v>5.5519269172611282E-2</v>
      </c>
      <c r="L68" t="s">
        <v>154</v>
      </c>
      <c r="N68" t="s">
        <v>191</v>
      </c>
      <c r="O68" t="s">
        <v>225</v>
      </c>
      <c r="P68">
        <v>1.2604593200433344E-2</v>
      </c>
      <c r="Q68" t="s">
        <v>154</v>
      </c>
      <c r="S68" t="s">
        <v>201</v>
      </c>
      <c r="T68" t="s">
        <v>225</v>
      </c>
      <c r="U68">
        <v>7.4900733467480477E-3</v>
      </c>
      <c r="V68" t="s">
        <v>154</v>
      </c>
    </row>
    <row r="69" spans="9:22" x14ac:dyDescent="0.25">
      <c r="I69" t="s">
        <v>167</v>
      </c>
      <c r="J69" t="s">
        <v>226</v>
      </c>
      <c r="K69">
        <v>2.8141285116918383E-2</v>
      </c>
      <c r="L69" t="s">
        <v>154</v>
      </c>
      <c r="N69" t="s">
        <v>191</v>
      </c>
      <c r="O69" t="s">
        <v>226</v>
      </c>
      <c r="P69">
        <v>1.6517775351533429E-2</v>
      </c>
      <c r="Q69" t="s">
        <v>154</v>
      </c>
      <c r="S69" t="s">
        <v>201</v>
      </c>
      <c r="T69" t="s">
        <v>226</v>
      </c>
      <c r="U69">
        <v>6.7501594301138971E-3</v>
      </c>
      <c r="V69" t="s">
        <v>154</v>
      </c>
    </row>
    <row r="70" spans="9:22" x14ac:dyDescent="0.25">
      <c r="I70" t="s">
        <v>167</v>
      </c>
      <c r="J70" t="s">
        <v>227</v>
      </c>
      <c r="K70">
        <v>1.3611269466966356E-6</v>
      </c>
      <c r="L70" t="s">
        <v>154</v>
      </c>
      <c r="N70" t="s">
        <v>191</v>
      </c>
      <c r="O70" t="s">
        <v>227</v>
      </c>
      <c r="P70">
        <v>1.9525350067345716E-2</v>
      </c>
      <c r="Q70" t="s">
        <v>154</v>
      </c>
      <c r="S70" t="s">
        <v>201</v>
      </c>
      <c r="T70" t="s">
        <v>227</v>
      </c>
      <c r="U70">
        <v>6.8314909453674978E-3</v>
      </c>
      <c r="V70" t="s">
        <v>154</v>
      </c>
    </row>
    <row r="71" spans="9:22" x14ac:dyDescent="0.25">
      <c r="I71" t="s">
        <v>167</v>
      </c>
      <c r="J71" t="s">
        <v>160</v>
      </c>
      <c r="K71">
        <v>8.0691462354244015E-3</v>
      </c>
      <c r="L71" t="s">
        <v>154</v>
      </c>
      <c r="N71" t="s">
        <v>191</v>
      </c>
      <c r="O71" t="s">
        <v>160</v>
      </c>
      <c r="P71">
        <v>0.11215147330986845</v>
      </c>
      <c r="Q71" t="s">
        <v>154</v>
      </c>
      <c r="S71" t="s">
        <v>201</v>
      </c>
      <c r="T71" t="s">
        <v>160</v>
      </c>
      <c r="U71">
        <v>5.4670433467216749E-2</v>
      </c>
      <c r="V71" t="s">
        <v>154</v>
      </c>
    </row>
    <row r="72" spans="9:22" x14ac:dyDescent="0.25">
      <c r="I72" t="s">
        <v>167</v>
      </c>
      <c r="J72" t="s">
        <v>161</v>
      </c>
      <c r="K72">
        <v>3.6407195835427481E-2</v>
      </c>
      <c r="L72" t="s">
        <v>154</v>
      </c>
      <c r="N72" t="s">
        <v>191</v>
      </c>
      <c r="O72" t="s">
        <v>161</v>
      </c>
      <c r="P72">
        <v>3.0540962403541046E-2</v>
      </c>
      <c r="Q72" t="s">
        <v>154</v>
      </c>
      <c r="S72" t="s">
        <v>201</v>
      </c>
      <c r="T72" t="s">
        <v>161</v>
      </c>
      <c r="U72">
        <v>1.71108752633032E-2</v>
      </c>
      <c r="V72" t="s">
        <v>154</v>
      </c>
    </row>
    <row r="73" spans="9:22" x14ac:dyDescent="0.25">
      <c r="I73" t="s">
        <v>167</v>
      </c>
      <c r="J73" t="s">
        <v>162</v>
      </c>
      <c r="K73">
        <v>2.6162931648145246E-2</v>
      </c>
      <c r="L73" t="s">
        <v>154</v>
      </c>
      <c r="N73" t="s">
        <v>191</v>
      </c>
      <c r="O73" t="s">
        <v>162</v>
      </c>
      <c r="P73">
        <v>1.4724326873673539E-2</v>
      </c>
      <c r="Q73" t="s">
        <v>154</v>
      </c>
      <c r="S73" t="s">
        <v>201</v>
      </c>
      <c r="T73" t="s">
        <v>162</v>
      </c>
      <c r="U73">
        <v>9.0342099198879953E-3</v>
      </c>
      <c r="V73" t="s">
        <v>154</v>
      </c>
    </row>
    <row r="74" spans="9:22" x14ac:dyDescent="0.25">
      <c r="I74" t="s">
        <v>167</v>
      </c>
      <c r="J74" t="s">
        <v>228</v>
      </c>
      <c r="K74">
        <v>0.11931380525411624</v>
      </c>
      <c r="L74" t="s">
        <v>154</v>
      </c>
      <c r="N74" t="s">
        <v>191</v>
      </c>
      <c r="O74" t="s">
        <v>228</v>
      </c>
      <c r="P74">
        <v>7.3097131792788914E-2</v>
      </c>
      <c r="Q74" t="s">
        <v>154</v>
      </c>
      <c r="S74" t="s">
        <v>201</v>
      </c>
      <c r="T74" t="s">
        <v>228</v>
      </c>
      <c r="U74">
        <v>3.716438386877785E-2</v>
      </c>
      <c r="V74" t="s">
        <v>154</v>
      </c>
    </row>
    <row r="75" spans="9:22" x14ac:dyDescent="0.25">
      <c r="I75" t="s">
        <v>167</v>
      </c>
      <c r="J75" t="s">
        <v>229</v>
      </c>
      <c r="K75">
        <v>6.329399296954262E-2</v>
      </c>
      <c r="L75" t="s">
        <v>154</v>
      </c>
      <c r="N75" t="s">
        <v>191</v>
      </c>
      <c r="O75" t="s">
        <v>229</v>
      </c>
      <c r="P75">
        <v>8.3093892303314709E-2</v>
      </c>
      <c r="Q75" t="s">
        <v>154</v>
      </c>
      <c r="S75" t="s">
        <v>201</v>
      </c>
      <c r="T75" t="s">
        <v>229</v>
      </c>
      <c r="U75">
        <v>3.1226602095371019E-2</v>
      </c>
      <c r="V75" t="s">
        <v>154</v>
      </c>
    </row>
    <row r="76" spans="9:22" x14ac:dyDescent="0.25">
      <c r="I76" t="s">
        <v>167</v>
      </c>
      <c r="J76" t="s">
        <v>230</v>
      </c>
      <c r="K76">
        <v>1.0825394755572237E-5</v>
      </c>
      <c r="L76" t="s">
        <v>154</v>
      </c>
      <c r="N76" t="s">
        <v>191</v>
      </c>
      <c r="O76" t="s">
        <v>230</v>
      </c>
      <c r="P76">
        <v>0.10168180211083185</v>
      </c>
      <c r="Q76" t="s">
        <v>154</v>
      </c>
      <c r="S76" t="s">
        <v>201</v>
      </c>
      <c r="T76" t="s">
        <v>230</v>
      </c>
      <c r="U76">
        <v>3.0183200424650062E-2</v>
      </c>
      <c r="V76" t="s">
        <v>154</v>
      </c>
    </row>
    <row r="77" spans="9:22" x14ac:dyDescent="0.25">
      <c r="I77" t="s">
        <v>167</v>
      </c>
      <c r="J77" t="s">
        <v>163</v>
      </c>
      <c r="K77">
        <v>5.5734323545130185E-3</v>
      </c>
      <c r="L77" t="s">
        <v>154</v>
      </c>
      <c r="N77" t="s">
        <v>191</v>
      </c>
      <c r="O77" t="s">
        <v>163</v>
      </c>
      <c r="P77">
        <v>4.5052594359359363E-2</v>
      </c>
      <c r="Q77" t="s">
        <v>154</v>
      </c>
      <c r="S77" t="s">
        <v>201</v>
      </c>
      <c r="T77" t="s">
        <v>163</v>
      </c>
      <c r="U77">
        <v>9.2475692464977527E-2</v>
      </c>
      <c r="V77" t="s">
        <v>154</v>
      </c>
    </row>
    <row r="78" spans="9:22" x14ac:dyDescent="0.25">
      <c r="I78" t="s">
        <v>167</v>
      </c>
      <c r="J78" t="s">
        <v>164</v>
      </c>
      <c r="K78">
        <v>3.1061799115532331E-2</v>
      </c>
      <c r="L78" t="s">
        <v>154</v>
      </c>
      <c r="N78" t="s">
        <v>191</v>
      </c>
      <c r="O78" t="s">
        <v>164</v>
      </c>
      <c r="P78">
        <v>1.10577837864155E-2</v>
      </c>
      <c r="Q78" t="s">
        <v>154</v>
      </c>
      <c r="S78" t="s">
        <v>201</v>
      </c>
      <c r="T78" t="s">
        <v>164</v>
      </c>
      <c r="U78">
        <v>2.7124837719203633E-2</v>
      </c>
      <c r="V78" t="s">
        <v>154</v>
      </c>
    </row>
    <row r="79" spans="9:22" x14ac:dyDescent="0.25">
      <c r="I79" t="s">
        <v>167</v>
      </c>
      <c r="J79" t="s">
        <v>165</v>
      </c>
      <c r="K79">
        <v>2.3276825647909099E-2</v>
      </c>
      <c r="L79" t="s">
        <v>154</v>
      </c>
      <c r="N79" t="s">
        <v>191</v>
      </c>
      <c r="O79" t="s">
        <v>165</v>
      </c>
      <c r="P79">
        <v>5.5268998783026754E-3</v>
      </c>
      <c r="Q79" t="s">
        <v>154</v>
      </c>
      <c r="S79" t="s">
        <v>201</v>
      </c>
      <c r="T79" t="s">
        <v>165</v>
      </c>
      <c r="U79">
        <v>1.3818281551692917E-2</v>
      </c>
      <c r="V79" t="s">
        <v>154</v>
      </c>
    </row>
    <row r="80" spans="9:22" x14ac:dyDescent="0.25">
      <c r="I80" t="s">
        <v>167</v>
      </c>
      <c r="J80" t="s">
        <v>231</v>
      </c>
      <c r="K80">
        <v>9.4682133793094952E-2</v>
      </c>
      <c r="L80" t="s">
        <v>154</v>
      </c>
      <c r="N80" t="s">
        <v>191</v>
      </c>
      <c r="O80" t="s">
        <v>231</v>
      </c>
      <c r="P80">
        <v>2.5359935253703794E-2</v>
      </c>
      <c r="Q80" t="s">
        <v>154</v>
      </c>
      <c r="S80" t="s">
        <v>201</v>
      </c>
      <c r="T80" t="s">
        <v>231</v>
      </c>
      <c r="U80">
        <v>5.4414868281313415E-2</v>
      </c>
      <c r="V80" t="s">
        <v>154</v>
      </c>
    </row>
    <row r="81" spans="9:22" x14ac:dyDescent="0.25">
      <c r="I81" t="s">
        <v>167</v>
      </c>
      <c r="J81" t="s">
        <v>232</v>
      </c>
      <c r="K81">
        <v>3.8393227728151819E-2</v>
      </c>
      <c r="L81" t="s">
        <v>154</v>
      </c>
      <c r="N81" t="s">
        <v>191</v>
      </c>
      <c r="O81" t="s">
        <v>232</v>
      </c>
      <c r="P81">
        <v>3.2930061346361582E-2</v>
      </c>
      <c r="Q81" t="s">
        <v>154</v>
      </c>
      <c r="S81" t="s">
        <v>201</v>
      </c>
      <c r="T81" t="s">
        <v>232</v>
      </c>
      <c r="U81">
        <v>5.2779068392685244E-2</v>
      </c>
      <c r="V81" t="s">
        <v>154</v>
      </c>
    </row>
    <row r="82" spans="9:22" x14ac:dyDescent="0.25">
      <c r="I82" t="s">
        <v>167</v>
      </c>
      <c r="J82" t="s">
        <v>233</v>
      </c>
      <c r="K82">
        <v>0</v>
      </c>
      <c r="L82" t="s">
        <v>154</v>
      </c>
      <c r="N82" t="s">
        <v>191</v>
      </c>
      <c r="O82" t="s">
        <v>233</v>
      </c>
      <c r="P82">
        <v>4.303823367384714E-2</v>
      </c>
      <c r="Q82" t="s">
        <v>154</v>
      </c>
      <c r="S82" t="s">
        <v>201</v>
      </c>
      <c r="T82" t="s">
        <v>233</v>
      </c>
      <c r="U82">
        <v>9.3670177686366596E-2</v>
      </c>
      <c r="V82" t="s">
        <v>154</v>
      </c>
    </row>
    <row r="83" spans="9:22" x14ac:dyDescent="0.25">
      <c r="I83" t="s">
        <v>168</v>
      </c>
      <c r="J83" t="s">
        <v>153</v>
      </c>
      <c r="K83">
        <v>0</v>
      </c>
      <c r="L83" t="s">
        <v>154</v>
      </c>
      <c r="N83" t="s">
        <v>192</v>
      </c>
      <c r="O83" t="s">
        <v>153</v>
      </c>
      <c r="P83">
        <v>0.15864058894261873</v>
      </c>
      <c r="Q83" t="s">
        <v>154</v>
      </c>
      <c r="S83" t="s">
        <v>202</v>
      </c>
      <c r="T83" t="s">
        <v>153</v>
      </c>
      <c r="U83">
        <v>0.11587946084971706</v>
      </c>
      <c r="V83" t="s">
        <v>154</v>
      </c>
    </row>
    <row r="84" spans="9:22" x14ac:dyDescent="0.25">
      <c r="I84" t="s">
        <v>168</v>
      </c>
      <c r="J84" t="s">
        <v>155</v>
      </c>
      <c r="K84">
        <v>3.9815642079498906E-2</v>
      </c>
      <c r="L84" t="s">
        <v>154</v>
      </c>
      <c r="N84" t="s">
        <v>192</v>
      </c>
      <c r="O84" t="s">
        <v>155</v>
      </c>
      <c r="P84">
        <v>3.674043667252213E-2</v>
      </c>
      <c r="Q84" t="s">
        <v>154</v>
      </c>
      <c r="S84" t="s">
        <v>202</v>
      </c>
      <c r="T84" t="s">
        <v>155</v>
      </c>
      <c r="U84">
        <v>3.1750571854606849E-2</v>
      </c>
      <c r="V84" t="s">
        <v>154</v>
      </c>
    </row>
    <row r="85" spans="9:22" x14ac:dyDescent="0.25">
      <c r="I85" t="s">
        <v>168</v>
      </c>
      <c r="J85" t="s">
        <v>156</v>
      </c>
      <c r="K85">
        <v>3.7435195123170117E-2</v>
      </c>
      <c r="L85" t="s">
        <v>154</v>
      </c>
      <c r="N85" t="s">
        <v>192</v>
      </c>
      <c r="O85" t="s">
        <v>156</v>
      </c>
      <c r="P85">
        <v>1.9929481749762151E-2</v>
      </c>
      <c r="Q85" t="s">
        <v>154</v>
      </c>
      <c r="S85" t="s">
        <v>202</v>
      </c>
      <c r="T85" t="s">
        <v>156</v>
      </c>
      <c r="U85">
        <v>1.5961944645763126E-2</v>
      </c>
      <c r="V85" t="s">
        <v>154</v>
      </c>
    </row>
    <row r="86" spans="9:22" x14ac:dyDescent="0.25">
      <c r="I86" t="s">
        <v>168</v>
      </c>
      <c r="J86" t="s">
        <v>222</v>
      </c>
      <c r="K86">
        <v>0.19833581608920858</v>
      </c>
      <c r="L86" t="s">
        <v>154</v>
      </c>
      <c r="N86" t="s">
        <v>192</v>
      </c>
      <c r="O86" t="s">
        <v>222</v>
      </c>
      <c r="P86">
        <v>8.8477180450855161E-2</v>
      </c>
      <c r="Q86" t="s">
        <v>154</v>
      </c>
      <c r="S86" t="s">
        <v>202</v>
      </c>
      <c r="T86" t="s">
        <v>222</v>
      </c>
      <c r="U86">
        <v>6.1272507107535748E-2</v>
      </c>
      <c r="V86" t="s">
        <v>154</v>
      </c>
    </row>
    <row r="87" spans="9:22" x14ac:dyDescent="0.25">
      <c r="I87" t="s">
        <v>168</v>
      </c>
      <c r="J87" t="s">
        <v>223</v>
      </c>
      <c r="K87">
        <v>0.13130317567622246</v>
      </c>
      <c r="L87" t="s">
        <v>154</v>
      </c>
      <c r="N87" t="s">
        <v>192</v>
      </c>
      <c r="O87" t="s">
        <v>223</v>
      </c>
      <c r="P87">
        <v>9.5688687144082157E-2</v>
      </c>
      <c r="Q87" t="s">
        <v>154</v>
      </c>
      <c r="S87" t="s">
        <v>202</v>
      </c>
      <c r="T87" t="s">
        <v>223</v>
      </c>
      <c r="U87">
        <v>7.0720357846397131E-2</v>
      </c>
      <c r="V87" t="s">
        <v>154</v>
      </c>
    </row>
    <row r="88" spans="9:22" x14ac:dyDescent="0.25">
      <c r="I88" t="s">
        <v>168</v>
      </c>
      <c r="J88" t="s">
        <v>224</v>
      </c>
      <c r="K88">
        <v>1.0155327009926898E-2</v>
      </c>
      <c r="L88" t="s">
        <v>154</v>
      </c>
      <c r="N88" t="s">
        <v>192</v>
      </c>
      <c r="O88" t="s">
        <v>224</v>
      </c>
      <c r="P88">
        <v>0.12434794532540604</v>
      </c>
      <c r="Q88" t="s">
        <v>154</v>
      </c>
      <c r="S88" t="s">
        <v>202</v>
      </c>
      <c r="T88" t="s">
        <v>224</v>
      </c>
      <c r="U88">
        <v>0.12127622033682571</v>
      </c>
      <c r="V88" t="s">
        <v>154</v>
      </c>
    </row>
    <row r="89" spans="9:22" x14ac:dyDescent="0.25">
      <c r="I89" t="s">
        <v>168</v>
      </c>
      <c r="J89" t="s">
        <v>157</v>
      </c>
      <c r="K89">
        <v>0</v>
      </c>
      <c r="L89" t="s">
        <v>154</v>
      </c>
      <c r="N89" t="s">
        <v>192</v>
      </c>
      <c r="O89" t="s">
        <v>157</v>
      </c>
      <c r="P89">
        <v>1.6597692359819557E-2</v>
      </c>
      <c r="Q89" t="s">
        <v>154</v>
      </c>
      <c r="S89" t="s">
        <v>202</v>
      </c>
      <c r="T89" t="s">
        <v>157</v>
      </c>
      <c r="U89">
        <v>1.7128116459425091E-2</v>
      </c>
      <c r="V89" t="s">
        <v>154</v>
      </c>
    </row>
    <row r="90" spans="9:22" x14ac:dyDescent="0.25">
      <c r="I90" t="s">
        <v>168</v>
      </c>
      <c r="J90" t="s">
        <v>158</v>
      </c>
      <c r="K90">
        <v>1.4034361201460083E-2</v>
      </c>
      <c r="L90" t="s">
        <v>154</v>
      </c>
      <c r="N90" t="s">
        <v>192</v>
      </c>
      <c r="O90" t="s">
        <v>158</v>
      </c>
      <c r="P90">
        <v>3.7147727362556418E-3</v>
      </c>
      <c r="Q90" t="s">
        <v>154</v>
      </c>
      <c r="S90" t="s">
        <v>202</v>
      </c>
      <c r="T90" t="s">
        <v>158</v>
      </c>
      <c r="U90">
        <v>5.7636118652688089E-3</v>
      </c>
      <c r="V90" t="s">
        <v>154</v>
      </c>
    </row>
    <row r="91" spans="9:22" x14ac:dyDescent="0.25">
      <c r="I91" t="s">
        <v>168</v>
      </c>
      <c r="J91" t="s">
        <v>159</v>
      </c>
      <c r="K91">
        <v>1.1298645493712334E-2</v>
      </c>
      <c r="L91" t="s">
        <v>154</v>
      </c>
      <c r="N91" t="s">
        <v>192</v>
      </c>
      <c r="O91" t="s">
        <v>159</v>
      </c>
      <c r="P91">
        <v>1.9392402070441191E-3</v>
      </c>
      <c r="Q91" t="s">
        <v>154</v>
      </c>
      <c r="S91" t="s">
        <v>202</v>
      </c>
      <c r="T91" t="s">
        <v>159</v>
      </c>
      <c r="U91">
        <v>3.0738734871625208E-3</v>
      </c>
      <c r="V91" t="s">
        <v>154</v>
      </c>
    </row>
    <row r="92" spans="9:22" x14ac:dyDescent="0.25">
      <c r="I92" t="s">
        <v>168</v>
      </c>
      <c r="J92" t="s">
        <v>225</v>
      </c>
      <c r="K92">
        <v>5.8956987202876003E-2</v>
      </c>
      <c r="L92" t="s">
        <v>154</v>
      </c>
      <c r="N92" t="s">
        <v>192</v>
      </c>
      <c r="O92" t="s">
        <v>225</v>
      </c>
      <c r="P92">
        <v>9.3609155894429953E-3</v>
      </c>
      <c r="Q92" t="s">
        <v>154</v>
      </c>
      <c r="S92" t="s">
        <v>202</v>
      </c>
      <c r="T92" t="s">
        <v>225</v>
      </c>
      <c r="U92">
        <v>1.2889575299872532E-2</v>
      </c>
      <c r="V92" t="s">
        <v>154</v>
      </c>
    </row>
    <row r="93" spans="9:22" x14ac:dyDescent="0.25">
      <c r="I93" t="s">
        <v>168</v>
      </c>
      <c r="J93" t="s">
        <v>226</v>
      </c>
      <c r="K93">
        <v>3.8287104634392555E-2</v>
      </c>
      <c r="L93" t="s">
        <v>154</v>
      </c>
      <c r="N93" t="s">
        <v>192</v>
      </c>
      <c r="O93" t="s">
        <v>226</v>
      </c>
      <c r="P93">
        <v>8.7198771446128226E-3</v>
      </c>
      <c r="Q93" t="s">
        <v>154</v>
      </c>
      <c r="S93" t="s">
        <v>202</v>
      </c>
      <c r="T93" t="s">
        <v>226</v>
      </c>
      <c r="U93">
        <v>1.1285732374963832E-2</v>
      </c>
      <c r="V93" t="s">
        <v>154</v>
      </c>
    </row>
    <row r="94" spans="9:22" x14ac:dyDescent="0.25">
      <c r="I94" t="s">
        <v>168</v>
      </c>
      <c r="J94" t="s">
        <v>227</v>
      </c>
      <c r="K94">
        <v>3.6287537736500106E-3</v>
      </c>
      <c r="L94" t="s">
        <v>154</v>
      </c>
      <c r="N94" t="s">
        <v>192</v>
      </c>
      <c r="O94" t="s">
        <v>227</v>
      </c>
      <c r="P94">
        <v>1.0688053437162347E-2</v>
      </c>
      <c r="Q94" t="s">
        <v>154</v>
      </c>
      <c r="S94" t="s">
        <v>202</v>
      </c>
      <c r="T94" t="s">
        <v>227</v>
      </c>
      <c r="U94">
        <v>1.3192679922494073E-2</v>
      </c>
      <c r="V94" t="s">
        <v>154</v>
      </c>
    </row>
    <row r="95" spans="9:22" x14ac:dyDescent="0.25">
      <c r="I95" t="s">
        <v>168</v>
      </c>
      <c r="J95" t="s">
        <v>160</v>
      </c>
      <c r="K95">
        <v>3.3710367444523447E-4</v>
      </c>
      <c r="L95" t="s">
        <v>154</v>
      </c>
      <c r="N95" t="s">
        <v>192</v>
      </c>
      <c r="O95" t="s">
        <v>160</v>
      </c>
      <c r="P95">
        <v>6.2567736096545354E-2</v>
      </c>
      <c r="Q95" t="s">
        <v>154</v>
      </c>
      <c r="S95" t="s">
        <v>202</v>
      </c>
      <c r="T95" t="s">
        <v>160</v>
      </c>
      <c r="U95">
        <v>9.8350304877854386E-2</v>
      </c>
      <c r="V95" t="s">
        <v>154</v>
      </c>
    </row>
    <row r="96" spans="9:22" x14ac:dyDescent="0.25">
      <c r="I96" t="s">
        <v>168</v>
      </c>
      <c r="J96" t="s">
        <v>161</v>
      </c>
      <c r="K96">
        <v>2.5303270689023376E-2</v>
      </c>
      <c r="L96" t="s">
        <v>154</v>
      </c>
      <c r="N96" t="s">
        <v>192</v>
      </c>
      <c r="O96" t="s">
        <v>161</v>
      </c>
      <c r="P96">
        <v>1.5755406073757937E-2</v>
      </c>
      <c r="Q96" t="s">
        <v>154</v>
      </c>
      <c r="S96" t="s">
        <v>202</v>
      </c>
      <c r="T96" t="s">
        <v>161</v>
      </c>
      <c r="U96">
        <v>3.0778892342623841E-2</v>
      </c>
      <c r="V96" t="s">
        <v>154</v>
      </c>
    </row>
    <row r="97" spans="9:22" x14ac:dyDescent="0.25">
      <c r="I97" t="s">
        <v>168</v>
      </c>
      <c r="J97" t="s">
        <v>162</v>
      </c>
      <c r="K97">
        <v>2.318078103498861E-2</v>
      </c>
      <c r="L97" t="s">
        <v>154</v>
      </c>
      <c r="N97" t="s">
        <v>192</v>
      </c>
      <c r="O97" t="s">
        <v>162</v>
      </c>
      <c r="P97">
        <v>7.4167320567789562E-3</v>
      </c>
      <c r="Q97" t="s">
        <v>154</v>
      </c>
      <c r="S97" t="s">
        <v>202</v>
      </c>
      <c r="T97" t="s">
        <v>162</v>
      </c>
      <c r="U97">
        <v>1.5580620412100985E-2</v>
      </c>
      <c r="V97" t="s">
        <v>154</v>
      </c>
    </row>
    <row r="98" spans="9:22" x14ac:dyDescent="0.25">
      <c r="I98" t="s">
        <v>168</v>
      </c>
      <c r="J98" t="s">
        <v>228</v>
      </c>
      <c r="K98">
        <v>0.12574168492589616</v>
      </c>
      <c r="L98" t="s">
        <v>154</v>
      </c>
      <c r="N98" t="s">
        <v>192</v>
      </c>
      <c r="O98" t="s">
        <v>228</v>
      </c>
      <c r="P98">
        <v>2.982761473036024E-2</v>
      </c>
      <c r="Q98" t="s">
        <v>154</v>
      </c>
      <c r="S98" t="s">
        <v>202</v>
      </c>
      <c r="T98" t="s">
        <v>228</v>
      </c>
      <c r="U98">
        <v>6.435859077573429E-2</v>
      </c>
      <c r="V98" t="s">
        <v>154</v>
      </c>
    </row>
    <row r="99" spans="9:22" x14ac:dyDescent="0.25">
      <c r="I99" t="s">
        <v>168</v>
      </c>
      <c r="J99" t="s">
        <v>229</v>
      </c>
      <c r="K99">
        <v>8.3914192250148081E-2</v>
      </c>
      <c r="L99" t="s">
        <v>154</v>
      </c>
      <c r="N99" t="s">
        <v>192</v>
      </c>
      <c r="O99" t="s">
        <v>229</v>
      </c>
      <c r="P99">
        <v>2.7825911849586077E-2</v>
      </c>
      <c r="Q99" t="s">
        <v>154</v>
      </c>
      <c r="S99" t="s">
        <v>202</v>
      </c>
      <c r="T99" t="s">
        <v>229</v>
      </c>
      <c r="U99">
        <v>6.0981518665276027E-2</v>
      </c>
      <c r="V99" t="s">
        <v>154</v>
      </c>
    </row>
    <row r="100" spans="9:22" x14ac:dyDescent="0.25">
      <c r="I100" t="s">
        <v>168</v>
      </c>
      <c r="J100" t="s">
        <v>230</v>
      </c>
      <c r="K100">
        <v>4.8550588706102208E-3</v>
      </c>
      <c r="L100" t="s">
        <v>154</v>
      </c>
      <c r="N100" t="s">
        <v>192</v>
      </c>
      <c r="O100" t="s">
        <v>230</v>
      </c>
      <c r="P100">
        <v>3.6694697779811263E-2</v>
      </c>
      <c r="Q100" t="s">
        <v>154</v>
      </c>
      <c r="S100" t="s">
        <v>202</v>
      </c>
      <c r="T100" t="s">
        <v>230</v>
      </c>
      <c r="U100">
        <v>7.1770020243579216E-2</v>
      </c>
      <c r="V100" t="s">
        <v>154</v>
      </c>
    </row>
    <row r="101" spans="9:22" x14ac:dyDescent="0.25">
      <c r="I101" t="s">
        <v>168</v>
      </c>
      <c r="J101" t="s">
        <v>163</v>
      </c>
      <c r="K101">
        <v>1.8088410594772242E-3</v>
      </c>
      <c r="L101" t="s">
        <v>154</v>
      </c>
      <c r="N101" t="s">
        <v>192</v>
      </c>
      <c r="O101" t="s">
        <v>163</v>
      </c>
      <c r="P101">
        <v>7.7073975097651876E-2</v>
      </c>
      <c r="Q101" t="s">
        <v>154</v>
      </c>
      <c r="S101" t="s">
        <v>202</v>
      </c>
      <c r="T101" t="s">
        <v>163</v>
      </c>
      <c r="U101">
        <v>5.2415915689206775E-2</v>
      </c>
      <c r="V101" t="s">
        <v>154</v>
      </c>
    </row>
    <row r="102" spans="9:22" x14ac:dyDescent="0.25">
      <c r="I102" t="s">
        <v>168</v>
      </c>
      <c r="J102" t="s">
        <v>164</v>
      </c>
      <c r="K102">
        <v>2.1859438020302373E-2</v>
      </c>
      <c r="L102" t="s">
        <v>154</v>
      </c>
      <c r="N102" t="s">
        <v>192</v>
      </c>
      <c r="O102" t="s">
        <v>164</v>
      </c>
      <c r="P102">
        <v>2.0223960921380253E-2</v>
      </c>
      <c r="Q102" t="s">
        <v>154</v>
      </c>
      <c r="S102" t="s">
        <v>202</v>
      </c>
      <c r="T102" t="s">
        <v>164</v>
      </c>
      <c r="U102">
        <v>1.4386811803314928E-2</v>
      </c>
      <c r="V102" t="s">
        <v>154</v>
      </c>
    </row>
    <row r="103" spans="9:22" x14ac:dyDescent="0.25">
      <c r="I103" t="s">
        <v>168</v>
      </c>
      <c r="J103" t="s">
        <v>165</v>
      </c>
      <c r="K103">
        <v>1.9682657565359789E-2</v>
      </c>
      <c r="L103" t="s">
        <v>154</v>
      </c>
      <c r="N103" t="s">
        <v>192</v>
      </c>
      <c r="O103" t="s">
        <v>165</v>
      </c>
      <c r="P103">
        <v>9.7145147266545998E-3</v>
      </c>
      <c r="Q103" t="s">
        <v>154</v>
      </c>
      <c r="S103" t="s">
        <v>202</v>
      </c>
      <c r="T103" t="s">
        <v>165</v>
      </c>
      <c r="U103">
        <v>6.8591396302217092E-3</v>
      </c>
      <c r="V103" t="s">
        <v>154</v>
      </c>
    </row>
    <row r="104" spans="9:22" x14ac:dyDescent="0.25">
      <c r="I104" t="s">
        <v>168</v>
      </c>
      <c r="J104" t="s">
        <v>231</v>
      </c>
      <c r="K104">
        <v>9.6676533870965989E-2</v>
      </c>
      <c r="L104" t="s">
        <v>154</v>
      </c>
      <c r="N104" t="s">
        <v>192</v>
      </c>
      <c r="O104" t="s">
        <v>231</v>
      </c>
      <c r="P104">
        <v>3.8220947923288659E-2</v>
      </c>
      <c r="Q104" t="s">
        <v>154</v>
      </c>
      <c r="S104" t="s">
        <v>202</v>
      </c>
      <c r="T104" t="s">
        <v>231</v>
      </c>
      <c r="U104">
        <v>2.4415708405019547E-2</v>
      </c>
      <c r="V104" t="s">
        <v>154</v>
      </c>
    </row>
    <row r="105" spans="9:22" x14ac:dyDescent="0.25">
      <c r="I105" t="s">
        <v>168</v>
      </c>
      <c r="J105" t="s">
        <v>232</v>
      </c>
      <c r="K105">
        <v>5.330211398705105E-2</v>
      </c>
      <c r="L105" t="s">
        <v>154</v>
      </c>
      <c r="N105" t="s">
        <v>192</v>
      </c>
      <c r="O105" t="s">
        <v>232</v>
      </c>
      <c r="P105">
        <v>4.0964156715300092E-2</v>
      </c>
      <c r="Q105" t="s">
        <v>154</v>
      </c>
      <c r="S105" t="s">
        <v>202</v>
      </c>
      <c r="T105" t="s">
        <v>232</v>
      </c>
      <c r="U105">
        <v>3.0282104861860035E-2</v>
      </c>
      <c r="V105" t="s">
        <v>154</v>
      </c>
    </row>
    <row r="106" spans="9:22" x14ac:dyDescent="0.25">
      <c r="I106" t="s">
        <v>168</v>
      </c>
      <c r="J106" t="s">
        <v>233</v>
      </c>
      <c r="K106">
        <v>8.7315767617342899E-5</v>
      </c>
      <c r="L106" t="s">
        <v>154</v>
      </c>
      <c r="N106" t="s">
        <v>192</v>
      </c>
      <c r="O106" t="s">
        <v>233</v>
      </c>
      <c r="P106">
        <v>5.8869474269302044E-2</v>
      </c>
      <c r="Q106" t="s">
        <v>154</v>
      </c>
      <c r="S106" t="s">
        <v>202</v>
      </c>
      <c r="T106" t="s">
        <v>233</v>
      </c>
      <c r="U106">
        <v>4.9625720243171835E-2</v>
      </c>
      <c r="V106" t="s">
        <v>154</v>
      </c>
    </row>
    <row r="107" spans="9:22" x14ac:dyDescent="0.25">
      <c r="I107" t="s">
        <v>169</v>
      </c>
      <c r="J107" t="s">
        <v>153</v>
      </c>
      <c r="K107">
        <v>9.6093700328665689E-4</v>
      </c>
      <c r="L107" t="s">
        <v>154</v>
      </c>
      <c r="N107" t="s">
        <v>193</v>
      </c>
      <c r="O107" t="s">
        <v>153</v>
      </c>
      <c r="P107">
        <v>0.17121088218509239</v>
      </c>
      <c r="Q107" t="s">
        <v>154</v>
      </c>
      <c r="S107" t="s">
        <v>203</v>
      </c>
      <c r="T107" t="s">
        <v>153</v>
      </c>
      <c r="U107">
        <v>0.10056252370070819</v>
      </c>
      <c r="V107" t="s">
        <v>154</v>
      </c>
    </row>
    <row r="108" spans="9:22" x14ac:dyDescent="0.25">
      <c r="I108" t="s">
        <v>169</v>
      </c>
      <c r="J108" t="s">
        <v>155</v>
      </c>
      <c r="K108">
        <v>4.1180510521388505E-2</v>
      </c>
      <c r="L108" t="s">
        <v>154</v>
      </c>
      <c r="N108" t="s">
        <v>193</v>
      </c>
      <c r="O108" t="s">
        <v>155</v>
      </c>
      <c r="P108">
        <v>3.898430074421956E-2</v>
      </c>
      <c r="Q108" t="s">
        <v>154</v>
      </c>
      <c r="S108" t="s">
        <v>203</v>
      </c>
      <c r="T108" t="s">
        <v>155</v>
      </c>
      <c r="U108">
        <v>2.5674409662720728E-2</v>
      </c>
      <c r="V108" t="s">
        <v>154</v>
      </c>
    </row>
    <row r="109" spans="9:22" x14ac:dyDescent="0.25">
      <c r="I109" t="s">
        <v>169</v>
      </c>
      <c r="J109" t="s">
        <v>156</v>
      </c>
      <c r="K109">
        <v>3.8049702113078836E-2</v>
      </c>
      <c r="L109" t="s">
        <v>154</v>
      </c>
      <c r="N109" t="s">
        <v>193</v>
      </c>
      <c r="O109" t="s">
        <v>156</v>
      </c>
      <c r="P109">
        <v>1.9110913440917886E-2</v>
      </c>
      <c r="Q109" t="s">
        <v>154</v>
      </c>
      <c r="S109" t="s">
        <v>203</v>
      </c>
      <c r="T109" t="s">
        <v>156</v>
      </c>
      <c r="U109">
        <v>1.4005706839636778E-2</v>
      </c>
      <c r="V109" t="s">
        <v>154</v>
      </c>
    </row>
    <row r="110" spans="9:22" x14ac:dyDescent="0.25">
      <c r="I110" t="s">
        <v>169</v>
      </c>
      <c r="J110" t="s">
        <v>222</v>
      </c>
      <c r="K110">
        <v>0.19780018179877218</v>
      </c>
      <c r="L110" t="s">
        <v>154</v>
      </c>
      <c r="N110" t="s">
        <v>193</v>
      </c>
      <c r="O110" t="s">
        <v>222</v>
      </c>
      <c r="P110">
        <v>7.3266928483351215E-2</v>
      </c>
      <c r="Q110" t="s">
        <v>154</v>
      </c>
      <c r="S110" t="s">
        <v>203</v>
      </c>
      <c r="T110" t="s">
        <v>222</v>
      </c>
      <c r="U110">
        <v>5.6024863570160052E-2</v>
      </c>
      <c r="V110" t="s">
        <v>154</v>
      </c>
    </row>
    <row r="111" spans="9:22" x14ac:dyDescent="0.25">
      <c r="I111" t="s">
        <v>169</v>
      </c>
      <c r="J111" t="s">
        <v>223</v>
      </c>
      <c r="K111">
        <v>0.12779568414316658</v>
      </c>
      <c r="L111" t="s">
        <v>154</v>
      </c>
      <c r="N111" t="s">
        <v>193</v>
      </c>
      <c r="O111" t="s">
        <v>223</v>
      </c>
      <c r="P111">
        <v>8.0825953573303119E-2</v>
      </c>
      <c r="Q111" t="s">
        <v>154</v>
      </c>
      <c r="S111" t="s">
        <v>203</v>
      </c>
      <c r="T111" t="s">
        <v>223</v>
      </c>
      <c r="U111">
        <v>5.7878369648084911E-2</v>
      </c>
      <c r="V111" t="s">
        <v>154</v>
      </c>
    </row>
    <row r="112" spans="9:22" x14ac:dyDescent="0.25">
      <c r="I112" t="s">
        <v>169</v>
      </c>
      <c r="J112" t="s">
        <v>224</v>
      </c>
      <c r="K112">
        <v>5.441516082661765E-3</v>
      </c>
      <c r="L112" t="s">
        <v>154</v>
      </c>
      <c r="N112" t="s">
        <v>193</v>
      </c>
      <c r="O112" t="s">
        <v>224</v>
      </c>
      <c r="P112">
        <v>0.13497359893071229</v>
      </c>
      <c r="Q112" t="s">
        <v>154</v>
      </c>
      <c r="S112" t="s">
        <v>203</v>
      </c>
      <c r="T112" t="s">
        <v>224</v>
      </c>
      <c r="U112">
        <v>9.3517664022722269E-2</v>
      </c>
      <c r="V112" t="s">
        <v>154</v>
      </c>
    </row>
    <row r="113" spans="9:22" x14ac:dyDescent="0.25">
      <c r="I113" t="s">
        <v>169</v>
      </c>
      <c r="J113" t="s">
        <v>157</v>
      </c>
      <c r="K113">
        <v>1.4283329751846828E-4</v>
      </c>
      <c r="L113" t="s">
        <v>154</v>
      </c>
      <c r="N113" t="s">
        <v>193</v>
      </c>
      <c r="O113" t="s">
        <v>157</v>
      </c>
      <c r="P113">
        <v>1.9570305647237069E-2</v>
      </c>
      <c r="Q113" t="s">
        <v>154</v>
      </c>
      <c r="S113" t="s">
        <v>203</v>
      </c>
      <c r="T113" t="s">
        <v>157</v>
      </c>
      <c r="U113">
        <v>2.1178354361007044E-2</v>
      </c>
      <c r="V113" t="s">
        <v>154</v>
      </c>
    </row>
    <row r="114" spans="9:22" x14ac:dyDescent="0.25">
      <c r="I114" t="s">
        <v>169</v>
      </c>
      <c r="J114" t="s">
        <v>158</v>
      </c>
      <c r="K114">
        <v>1.5045301388182086E-2</v>
      </c>
      <c r="L114" t="s">
        <v>154</v>
      </c>
      <c r="N114" t="s">
        <v>193</v>
      </c>
      <c r="O114" t="s">
        <v>158</v>
      </c>
      <c r="P114">
        <v>3.9745696703854892E-3</v>
      </c>
      <c r="Q114" t="s">
        <v>154</v>
      </c>
      <c r="S114" t="s">
        <v>203</v>
      </c>
      <c r="T114" t="s">
        <v>158</v>
      </c>
      <c r="U114">
        <v>6.1852310006443563E-3</v>
      </c>
      <c r="V114" t="s">
        <v>154</v>
      </c>
    </row>
    <row r="115" spans="9:22" x14ac:dyDescent="0.25">
      <c r="I115" t="s">
        <v>169</v>
      </c>
      <c r="J115" t="s">
        <v>159</v>
      </c>
      <c r="K115">
        <v>1.1809948154731523E-2</v>
      </c>
      <c r="L115" t="s">
        <v>154</v>
      </c>
      <c r="N115" t="s">
        <v>193</v>
      </c>
      <c r="O115" t="s">
        <v>159</v>
      </c>
      <c r="P115">
        <v>2.351709293921323E-3</v>
      </c>
      <c r="Q115" t="s">
        <v>154</v>
      </c>
      <c r="S115" t="s">
        <v>203</v>
      </c>
      <c r="T115" t="s">
        <v>159</v>
      </c>
      <c r="U115">
        <v>3.0197930709385803E-3</v>
      </c>
      <c r="V115" t="s">
        <v>154</v>
      </c>
    </row>
    <row r="116" spans="9:22" x14ac:dyDescent="0.25">
      <c r="I116" t="s">
        <v>169</v>
      </c>
      <c r="J116" t="s">
        <v>225</v>
      </c>
      <c r="K116">
        <v>5.8750811649489185E-2</v>
      </c>
      <c r="L116" t="s">
        <v>154</v>
      </c>
      <c r="N116" t="s">
        <v>193</v>
      </c>
      <c r="O116" t="s">
        <v>225</v>
      </c>
      <c r="P116">
        <v>9.7925124374684275E-3</v>
      </c>
      <c r="Q116" t="s">
        <v>154</v>
      </c>
      <c r="S116" t="s">
        <v>203</v>
      </c>
      <c r="T116" t="s">
        <v>225</v>
      </c>
      <c r="U116">
        <v>1.4075637893486861E-2</v>
      </c>
      <c r="V116" t="s">
        <v>154</v>
      </c>
    </row>
    <row r="117" spans="9:22" x14ac:dyDescent="0.25">
      <c r="I117" t="s">
        <v>169</v>
      </c>
      <c r="J117" t="s">
        <v>226</v>
      </c>
      <c r="K117">
        <v>3.6836330440244085E-2</v>
      </c>
      <c r="L117" t="s">
        <v>154</v>
      </c>
      <c r="N117" t="s">
        <v>193</v>
      </c>
      <c r="O117" t="s">
        <v>226</v>
      </c>
      <c r="P117">
        <v>7.5278260599554517E-3</v>
      </c>
      <c r="Q117" t="s">
        <v>154</v>
      </c>
      <c r="S117" t="s">
        <v>203</v>
      </c>
      <c r="T117" t="s">
        <v>226</v>
      </c>
      <c r="U117">
        <v>1.459496056378152E-2</v>
      </c>
      <c r="V117" t="s">
        <v>154</v>
      </c>
    </row>
    <row r="118" spans="9:22" x14ac:dyDescent="0.25">
      <c r="I118" t="s">
        <v>169</v>
      </c>
      <c r="J118" t="s">
        <v>227</v>
      </c>
      <c r="K118">
        <v>3.1570895505814464E-3</v>
      </c>
      <c r="L118" t="s">
        <v>154</v>
      </c>
      <c r="N118" t="s">
        <v>193</v>
      </c>
      <c r="O118" t="s">
        <v>227</v>
      </c>
      <c r="P118">
        <v>9.9048036448080717E-3</v>
      </c>
      <c r="Q118" t="s">
        <v>154</v>
      </c>
      <c r="S118" t="s">
        <v>203</v>
      </c>
      <c r="T118" t="s">
        <v>227</v>
      </c>
      <c r="U118">
        <v>1.7714539405119682E-2</v>
      </c>
      <c r="V118" t="s">
        <v>154</v>
      </c>
    </row>
    <row r="119" spans="9:22" x14ac:dyDescent="0.25">
      <c r="I119" t="s">
        <v>169</v>
      </c>
      <c r="J119" t="s">
        <v>160</v>
      </c>
      <c r="K119">
        <v>1.6358551259239005E-3</v>
      </c>
      <c r="L119" t="s">
        <v>154</v>
      </c>
      <c r="N119" t="s">
        <v>193</v>
      </c>
      <c r="O119" t="s">
        <v>160</v>
      </c>
      <c r="P119">
        <v>7.2372521348894908E-2</v>
      </c>
      <c r="Q119" t="s">
        <v>154</v>
      </c>
      <c r="S119" t="s">
        <v>203</v>
      </c>
      <c r="T119" t="s">
        <v>160</v>
      </c>
      <c r="U119">
        <v>0.12040314471644453</v>
      </c>
      <c r="V119" t="s">
        <v>154</v>
      </c>
    </row>
    <row r="120" spans="9:22" x14ac:dyDescent="0.25">
      <c r="I120" t="s">
        <v>169</v>
      </c>
      <c r="J120" t="s">
        <v>161</v>
      </c>
      <c r="K120">
        <v>2.6739476261010829E-2</v>
      </c>
      <c r="L120" t="s">
        <v>154</v>
      </c>
      <c r="N120" t="s">
        <v>193</v>
      </c>
      <c r="O120" t="s">
        <v>161</v>
      </c>
      <c r="P120">
        <v>1.6275642889556574E-2</v>
      </c>
      <c r="Q120" t="s">
        <v>154</v>
      </c>
      <c r="S120" t="s">
        <v>203</v>
      </c>
      <c r="T120" t="s">
        <v>161</v>
      </c>
      <c r="U120">
        <v>3.4572733599573427E-2</v>
      </c>
      <c r="V120" t="s">
        <v>154</v>
      </c>
    </row>
    <row r="121" spans="9:22" x14ac:dyDescent="0.25">
      <c r="I121" t="s">
        <v>169</v>
      </c>
      <c r="J121" t="s">
        <v>162</v>
      </c>
      <c r="K121">
        <v>2.374587124040935E-2</v>
      </c>
      <c r="L121" t="s">
        <v>154</v>
      </c>
      <c r="N121" t="s">
        <v>193</v>
      </c>
      <c r="O121" t="s">
        <v>162</v>
      </c>
      <c r="P121">
        <v>7.6506592486592379E-3</v>
      </c>
      <c r="Q121" t="s">
        <v>154</v>
      </c>
      <c r="S121" t="s">
        <v>203</v>
      </c>
      <c r="T121" t="s">
        <v>162</v>
      </c>
      <c r="U121">
        <v>1.7205878402674658E-2</v>
      </c>
      <c r="V121" t="s">
        <v>154</v>
      </c>
    </row>
    <row r="122" spans="9:22" x14ac:dyDescent="0.25">
      <c r="I122" t="s">
        <v>169</v>
      </c>
      <c r="J122" t="s">
        <v>228</v>
      </c>
      <c r="K122">
        <v>0.12339894876990465</v>
      </c>
      <c r="L122" t="s">
        <v>154</v>
      </c>
      <c r="N122" t="s">
        <v>193</v>
      </c>
      <c r="O122" t="s">
        <v>228</v>
      </c>
      <c r="P122">
        <v>3.2645890168835637E-2</v>
      </c>
      <c r="Q122" t="s">
        <v>154</v>
      </c>
      <c r="S122" t="s">
        <v>203</v>
      </c>
      <c r="T122" t="s">
        <v>228</v>
      </c>
      <c r="U122">
        <v>7.3178387778539522E-2</v>
      </c>
      <c r="V122" t="s">
        <v>154</v>
      </c>
    </row>
    <row r="123" spans="9:22" x14ac:dyDescent="0.25">
      <c r="I123" t="s">
        <v>169</v>
      </c>
      <c r="J123" t="s">
        <v>229</v>
      </c>
      <c r="K123">
        <v>8.0992887166905059E-2</v>
      </c>
      <c r="L123" t="s">
        <v>154</v>
      </c>
      <c r="N123" t="s">
        <v>193</v>
      </c>
      <c r="O123" t="s">
        <v>229</v>
      </c>
      <c r="P123">
        <v>3.0522298777584764E-2</v>
      </c>
      <c r="Q123" t="s">
        <v>154</v>
      </c>
      <c r="S123" t="s">
        <v>203</v>
      </c>
      <c r="T123" t="s">
        <v>229</v>
      </c>
      <c r="U123">
        <v>7.5245032650705992E-2</v>
      </c>
      <c r="V123" t="s">
        <v>154</v>
      </c>
    </row>
    <row r="124" spans="9:22" x14ac:dyDescent="0.25">
      <c r="I124" t="s">
        <v>169</v>
      </c>
      <c r="J124" t="s">
        <v>230</v>
      </c>
      <c r="K124">
        <v>3.6670529746322092E-3</v>
      </c>
      <c r="L124" t="s">
        <v>154</v>
      </c>
      <c r="N124" t="s">
        <v>193</v>
      </c>
      <c r="O124" t="s">
        <v>230</v>
      </c>
      <c r="P124">
        <v>4.3811195785904027E-2</v>
      </c>
      <c r="Q124" t="s">
        <v>154</v>
      </c>
      <c r="S124" t="s">
        <v>203</v>
      </c>
      <c r="T124" t="s">
        <v>230</v>
      </c>
      <c r="U124">
        <v>0.10018096230422031</v>
      </c>
      <c r="V124" t="s">
        <v>154</v>
      </c>
    </row>
    <row r="125" spans="9:22" x14ac:dyDescent="0.25">
      <c r="I125" t="s">
        <v>169</v>
      </c>
      <c r="J125" t="s">
        <v>163</v>
      </c>
      <c r="K125">
        <v>3.4664400268613646E-3</v>
      </c>
      <c r="L125" t="s">
        <v>154</v>
      </c>
      <c r="N125" t="s">
        <v>193</v>
      </c>
      <c r="O125" t="s">
        <v>163</v>
      </c>
      <c r="P125">
        <v>7.8956070375426721E-2</v>
      </c>
      <c r="Q125" t="s">
        <v>154</v>
      </c>
      <c r="S125" t="s">
        <v>203</v>
      </c>
      <c r="T125" t="s">
        <v>163</v>
      </c>
      <c r="U125">
        <v>4.5652553346330914E-2</v>
      </c>
      <c r="V125" t="s">
        <v>154</v>
      </c>
    </row>
    <row r="126" spans="9:22" x14ac:dyDescent="0.25">
      <c r="I126" t="s">
        <v>169</v>
      </c>
      <c r="J126" t="s">
        <v>164</v>
      </c>
      <c r="K126">
        <v>2.4425639819568572E-2</v>
      </c>
      <c r="L126" t="s">
        <v>154</v>
      </c>
      <c r="N126" t="s">
        <v>193</v>
      </c>
      <c r="O126" t="s">
        <v>164</v>
      </c>
      <c r="P126">
        <v>1.987961510297688E-2</v>
      </c>
      <c r="Q126" t="s">
        <v>154</v>
      </c>
      <c r="S126" t="s">
        <v>203</v>
      </c>
      <c r="T126" t="s">
        <v>164</v>
      </c>
      <c r="U126">
        <v>1.3049670967366813E-2</v>
      </c>
      <c r="V126" t="s">
        <v>154</v>
      </c>
    </row>
    <row r="127" spans="9:22" x14ac:dyDescent="0.25">
      <c r="I127" t="s">
        <v>169</v>
      </c>
      <c r="J127" t="s">
        <v>165</v>
      </c>
      <c r="K127">
        <v>2.0072443025778673E-2</v>
      </c>
      <c r="L127" t="s">
        <v>154</v>
      </c>
      <c r="N127" t="s">
        <v>193</v>
      </c>
      <c r="O127" t="s">
        <v>165</v>
      </c>
      <c r="P127">
        <v>9.0350895165845994E-3</v>
      </c>
      <c r="Q127" t="s">
        <v>154</v>
      </c>
      <c r="S127" t="s">
        <v>203</v>
      </c>
      <c r="T127" t="s">
        <v>165</v>
      </c>
      <c r="U127">
        <v>6.7790609523475697E-3</v>
      </c>
      <c r="V127" t="s">
        <v>154</v>
      </c>
    </row>
    <row r="128" spans="9:22" x14ac:dyDescent="0.25">
      <c r="I128" t="s">
        <v>169</v>
      </c>
      <c r="J128" t="s">
        <v>231</v>
      </c>
      <c r="K128">
        <v>9.8911809580565821E-2</v>
      </c>
      <c r="L128" t="s">
        <v>154</v>
      </c>
      <c r="N128" t="s">
        <v>193</v>
      </c>
      <c r="O128" t="s">
        <v>231</v>
      </c>
      <c r="P128">
        <v>3.0258471691569776E-2</v>
      </c>
      <c r="Q128" t="s">
        <v>154</v>
      </c>
      <c r="S128" t="s">
        <v>203</v>
      </c>
      <c r="T128" t="s">
        <v>231</v>
      </c>
      <c r="U128">
        <v>2.4637467679439324E-2</v>
      </c>
      <c r="V128" t="s">
        <v>154</v>
      </c>
    </row>
    <row r="129" spans="9:22" x14ac:dyDescent="0.25">
      <c r="I129" t="s">
        <v>169</v>
      </c>
      <c r="J129" t="s">
        <v>232</v>
      </c>
      <c r="K129">
        <v>5.5966105351120565E-2</v>
      </c>
      <c r="L129" t="s">
        <v>154</v>
      </c>
      <c r="N129" t="s">
        <v>193</v>
      </c>
      <c r="O129" t="s">
        <v>232</v>
      </c>
      <c r="P129">
        <v>3.0483859868322152E-2</v>
      </c>
      <c r="Q129" t="s">
        <v>154</v>
      </c>
      <c r="S129" t="s">
        <v>203</v>
      </c>
      <c r="T129" t="s">
        <v>232</v>
      </c>
      <c r="U129">
        <v>2.5633253328400121E-2</v>
      </c>
      <c r="V129" t="s">
        <v>154</v>
      </c>
    </row>
    <row r="130" spans="9:22" x14ac:dyDescent="0.25">
      <c r="I130" t="s">
        <v>169</v>
      </c>
      <c r="J130" t="s">
        <v>233</v>
      </c>
      <c r="K130">
        <v>6.6245142182587732E-6</v>
      </c>
      <c r="L130" t="s">
        <v>154</v>
      </c>
      <c r="N130" t="s">
        <v>193</v>
      </c>
      <c r="O130" t="s">
        <v>233</v>
      </c>
      <c r="P130">
        <v>5.6614381114316048E-2</v>
      </c>
      <c r="Q130" t="s">
        <v>154</v>
      </c>
      <c r="S130" t="s">
        <v>203</v>
      </c>
      <c r="T130" t="s">
        <v>233</v>
      </c>
      <c r="U130">
        <v>3.9029800534946382E-2</v>
      </c>
      <c r="V130" t="s">
        <v>154</v>
      </c>
    </row>
    <row r="131" spans="9:22" x14ac:dyDescent="0.25">
      <c r="I131" t="s">
        <v>170</v>
      </c>
      <c r="J131" t="s">
        <v>153</v>
      </c>
      <c r="K131">
        <v>1.5782797190599821E-3</v>
      </c>
      <c r="L131" t="s">
        <v>154</v>
      </c>
      <c r="N131" t="s">
        <v>194</v>
      </c>
      <c r="O131" t="s">
        <v>153</v>
      </c>
      <c r="P131">
        <v>0.12288790726974559</v>
      </c>
      <c r="Q131" t="s">
        <v>154</v>
      </c>
      <c r="S131" t="s">
        <v>204</v>
      </c>
      <c r="T131" t="s">
        <v>153</v>
      </c>
      <c r="U131">
        <v>0.10432988044898238</v>
      </c>
      <c r="V131" t="s">
        <v>154</v>
      </c>
    </row>
    <row r="132" spans="9:22" x14ac:dyDescent="0.25">
      <c r="I132" t="s">
        <v>170</v>
      </c>
      <c r="J132" t="s">
        <v>155</v>
      </c>
      <c r="K132">
        <v>4.1139088056249239E-2</v>
      </c>
      <c r="L132" t="s">
        <v>154</v>
      </c>
      <c r="N132" t="s">
        <v>194</v>
      </c>
      <c r="O132" t="s">
        <v>155</v>
      </c>
      <c r="P132">
        <v>2.9357232599106439E-2</v>
      </c>
      <c r="Q132" t="s">
        <v>154</v>
      </c>
      <c r="S132" t="s">
        <v>204</v>
      </c>
      <c r="T132" t="s">
        <v>155</v>
      </c>
      <c r="U132">
        <v>2.9900828685848459E-2</v>
      </c>
      <c r="V132" t="s">
        <v>154</v>
      </c>
    </row>
    <row r="133" spans="9:22" x14ac:dyDescent="0.25">
      <c r="I133" t="s">
        <v>170</v>
      </c>
      <c r="J133" t="s">
        <v>156</v>
      </c>
      <c r="K133">
        <v>3.7728735154589202E-2</v>
      </c>
      <c r="L133" t="s">
        <v>154</v>
      </c>
      <c r="N133" t="s">
        <v>194</v>
      </c>
      <c r="O133" t="s">
        <v>156</v>
      </c>
      <c r="P133">
        <v>1.2620436653056184E-2</v>
      </c>
      <c r="Q133" t="s">
        <v>154</v>
      </c>
      <c r="S133" t="s">
        <v>204</v>
      </c>
      <c r="T133" t="s">
        <v>156</v>
      </c>
      <c r="U133">
        <v>1.5351697762990188E-2</v>
      </c>
      <c r="V133" t="s">
        <v>154</v>
      </c>
    </row>
    <row r="134" spans="9:22" x14ac:dyDescent="0.25">
      <c r="I134" t="s">
        <v>170</v>
      </c>
      <c r="J134" t="s">
        <v>222</v>
      </c>
      <c r="K134">
        <v>0.19916190061859565</v>
      </c>
      <c r="L134" t="s">
        <v>154</v>
      </c>
      <c r="N134" t="s">
        <v>194</v>
      </c>
      <c r="O134" t="s">
        <v>222</v>
      </c>
      <c r="P134">
        <v>4.3019575131594961E-2</v>
      </c>
      <c r="Q134" t="s">
        <v>154</v>
      </c>
      <c r="S134" t="s">
        <v>204</v>
      </c>
      <c r="T134" t="s">
        <v>222</v>
      </c>
      <c r="U134">
        <v>5.8858278723154023E-2</v>
      </c>
      <c r="V134" t="s">
        <v>154</v>
      </c>
    </row>
    <row r="135" spans="9:22" x14ac:dyDescent="0.25">
      <c r="I135" t="s">
        <v>170</v>
      </c>
      <c r="J135" t="s">
        <v>223</v>
      </c>
      <c r="K135">
        <v>0.13108740973100402</v>
      </c>
      <c r="L135" t="s">
        <v>154</v>
      </c>
      <c r="N135" t="s">
        <v>194</v>
      </c>
      <c r="O135" t="s">
        <v>223</v>
      </c>
      <c r="P135">
        <v>6.5380078749736448E-2</v>
      </c>
      <c r="Q135" t="s">
        <v>154</v>
      </c>
      <c r="S135" t="s">
        <v>204</v>
      </c>
      <c r="T135" t="s">
        <v>223</v>
      </c>
      <c r="U135">
        <v>6.0217351764836828E-2</v>
      </c>
      <c r="V135" t="s">
        <v>154</v>
      </c>
    </row>
    <row r="136" spans="9:22" x14ac:dyDescent="0.25">
      <c r="I136" t="s">
        <v>170</v>
      </c>
      <c r="J136" t="s">
        <v>224</v>
      </c>
      <c r="K136">
        <v>7.1035982123668281E-3</v>
      </c>
      <c r="L136" t="s">
        <v>154</v>
      </c>
      <c r="N136" t="s">
        <v>194</v>
      </c>
      <c r="O136" t="s">
        <v>224</v>
      </c>
      <c r="P136">
        <v>0.11939350223702704</v>
      </c>
      <c r="Q136" t="s">
        <v>154</v>
      </c>
      <c r="S136" t="s">
        <v>204</v>
      </c>
      <c r="T136" t="s">
        <v>224</v>
      </c>
      <c r="U136">
        <v>0.10421258782939805</v>
      </c>
      <c r="V136" t="s">
        <v>154</v>
      </c>
    </row>
    <row r="137" spans="9:22" x14ac:dyDescent="0.25">
      <c r="I137" t="s">
        <v>170</v>
      </c>
      <c r="J137" t="s">
        <v>157</v>
      </c>
      <c r="K137">
        <v>3.3823529124221691E-4</v>
      </c>
      <c r="L137" t="s">
        <v>154</v>
      </c>
      <c r="N137" t="s">
        <v>194</v>
      </c>
      <c r="O137" t="s">
        <v>157</v>
      </c>
      <c r="P137">
        <v>2.8430832822544164E-2</v>
      </c>
      <c r="Q137" t="s">
        <v>154</v>
      </c>
      <c r="S137" t="s">
        <v>204</v>
      </c>
      <c r="T137" t="s">
        <v>157</v>
      </c>
      <c r="U137">
        <v>2.0344539786036002E-2</v>
      </c>
      <c r="V137" t="s">
        <v>154</v>
      </c>
    </row>
    <row r="138" spans="9:22" x14ac:dyDescent="0.25">
      <c r="I138" t="s">
        <v>170</v>
      </c>
      <c r="J138" t="s">
        <v>158</v>
      </c>
      <c r="K138">
        <v>1.4088335050958177E-2</v>
      </c>
      <c r="L138" t="s">
        <v>154</v>
      </c>
      <c r="N138" t="s">
        <v>194</v>
      </c>
      <c r="O138" t="s">
        <v>158</v>
      </c>
      <c r="P138">
        <v>6.9072582571195499E-3</v>
      </c>
      <c r="Q138" t="s">
        <v>154</v>
      </c>
      <c r="S138" t="s">
        <v>204</v>
      </c>
      <c r="T138" t="s">
        <v>158</v>
      </c>
      <c r="U138">
        <v>6.054677370556487E-3</v>
      </c>
      <c r="V138" t="s">
        <v>154</v>
      </c>
    </row>
    <row r="139" spans="9:22" x14ac:dyDescent="0.25">
      <c r="I139" t="s">
        <v>170</v>
      </c>
      <c r="J139" t="s">
        <v>159</v>
      </c>
      <c r="K139">
        <v>1.1263013871784232E-2</v>
      </c>
      <c r="L139" t="s">
        <v>154</v>
      </c>
      <c r="N139" t="s">
        <v>194</v>
      </c>
      <c r="O139" t="s">
        <v>159</v>
      </c>
      <c r="P139">
        <v>3.3518484845860464E-3</v>
      </c>
      <c r="Q139" t="s">
        <v>154</v>
      </c>
      <c r="S139" t="s">
        <v>204</v>
      </c>
      <c r="T139" t="s">
        <v>159</v>
      </c>
      <c r="U139">
        <v>3.331280162465834E-3</v>
      </c>
      <c r="V139" t="s">
        <v>154</v>
      </c>
    </row>
    <row r="140" spans="9:22" x14ac:dyDescent="0.25">
      <c r="I140" t="s">
        <v>170</v>
      </c>
      <c r="J140" t="s">
        <v>225</v>
      </c>
      <c r="K140">
        <v>5.8578709167787103E-2</v>
      </c>
      <c r="L140" t="s">
        <v>154</v>
      </c>
      <c r="N140" t="s">
        <v>194</v>
      </c>
      <c r="O140" t="s">
        <v>225</v>
      </c>
      <c r="P140">
        <v>1.5277988097161355E-2</v>
      </c>
      <c r="Q140" t="s">
        <v>154</v>
      </c>
      <c r="S140" t="s">
        <v>204</v>
      </c>
      <c r="T140" t="s">
        <v>225</v>
      </c>
      <c r="U140">
        <v>1.4462974544532574E-2</v>
      </c>
      <c r="V140" t="s">
        <v>154</v>
      </c>
    </row>
    <row r="141" spans="9:22" x14ac:dyDescent="0.25">
      <c r="I141" t="s">
        <v>170</v>
      </c>
      <c r="J141" t="s">
        <v>226</v>
      </c>
      <c r="K141">
        <v>3.7239720853817444E-2</v>
      </c>
      <c r="L141" t="s">
        <v>154</v>
      </c>
      <c r="N141" t="s">
        <v>194</v>
      </c>
      <c r="O141" t="s">
        <v>226</v>
      </c>
      <c r="P141">
        <v>1.6653440461650324E-2</v>
      </c>
      <c r="Q141" t="s">
        <v>154</v>
      </c>
      <c r="S141" t="s">
        <v>204</v>
      </c>
      <c r="T141" t="s">
        <v>226</v>
      </c>
      <c r="U141">
        <v>1.2720745667602501E-2</v>
      </c>
      <c r="V141" t="s">
        <v>154</v>
      </c>
    </row>
    <row r="142" spans="9:22" x14ac:dyDescent="0.25">
      <c r="I142" t="s">
        <v>170</v>
      </c>
      <c r="J142" t="s">
        <v>227</v>
      </c>
      <c r="K142">
        <v>3.4737388453051823E-3</v>
      </c>
      <c r="L142" t="s">
        <v>154</v>
      </c>
      <c r="N142" t="s">
        <v>194</v>
      </c>
      <c r="O142" t="s">
        <v>227</v>
      </c>
      <c r="P142">
        <v>1.9100141196786893E-2</v>
      </c>
      <c r="Q142" t="s">
        <v>154</v>
      </c>
      <c r="S142" t="s">
        <v>204</v>
      </c>
      <c r="T142" t="s">
        <v>227</v>
      </c>
      <c r="U142">
        <v>1.5391499859192042E-2</v>
      </c>
      <c r="V142" t="s">
        <v>154</v>
      </c>
    </row>
    <row r="143" spans="9:22" x14ac:dyDescent="0.25">
      <c r="I143" t="s">
        <v>170</v>
      </c>
      <c r="J143" t="s">
        <v>160</v>
      </c>
      <c r="K143">
        <v>1.4709877171953736E-3</v>
      </c>
      <c r="L143" t="s">
        <v>154</v>
      </c>
      <c r="N143" t="s">
        <v>194</v>
      </c>
      <c r="O143" t="s">
        <v>160</v>
      </c>
      <c r="P143">
        <v>2.9345913400214429E-2</v>
      </c>
      <c r="Q143" t="s">
        <v>154</v>
      </c>
      <c r="S143" t="s">
        <v>204</v>
      </c>
      <c r="T143" t="s">
        <v>160</v>
      </c>
      <c r="U143">
        <v>0.10989795994870966</v>
      </c>
      <c r="V143" t="s">
        <v>154</v>
      </c>
    </row>
    <row r="144" spans="9:22" x14ac:dyDescent="0.25">
      <c r="I144" t="s">
        <v>170</v>
      </c>
      <c r="J144" t="s">
        <v>161</v>
      </c>
      <c r="K144">
        <v>2.5748769118673895E-2</v>
      </c>
      <c r="L144" t="s">
        <v>154</v>
      </c>
      <c r="N144" t="s">
        <v>194</v>
      </c>
      <c r="O144" t="s">
        <v>161</v>
      </c>
      <c r="P144">
        <v>6.1726574282247601E-3</v>
      </c>
      <c r="Q144" t="s">
        <v>154</v>
      </c>
      <c r="S144" t="s">
        <v>204</v>
      </c>
      <c r="T144" t="s">
        <v>161</v>
      </c>
      <c r="U144">
        <v>3.2641747035471687E-2</v>
      </c>
      <c r="V144" t="s">
        <v>154</v>
      </c>
    </row>
    <row r="145" spans="9:22" x14ac:dyDescent="0.25">
      <c r="I145" t="s">
        <v>170</v>
      </c>
      <c r="J145" t="s">
        <v>162</v>
      </c>
      <c r="K145">
        <v>2.3685972481490382E-2</v>
      </c>
      <c r="L145" t="s">
        <v>154</v>
      </c>
      <c r="N145" t="s">
        <v>194</v>
      </c>
      <c r="O145" t="s">
        <v>162</v>
      </c>
      <c r="P145">
        <v>3.6623368484434856E-3</v>
      </c>
      <c r="Q145" t="s">
        <v>154</v>
      </c>
      <c r="S145" t="s">
        <v>204</v>
      </c>
      <c r="T145" t="s">
        <v>162</v>
      </c>
      <c r="U145">
        <v>1.6461247329406771E-2</v>
      </c>
      <c r="V145" t="s">
        <v>154</v>
      </c>
    </row>
    <row r="146" spans="9:22" x14ac:dyDescent="0.25">
      <c r="I146" t="s">
        <v>170</v>
      </c>
      <c r="J146" t="s">
        <v>228</v>
      </c>
      <c r="K146">
        <v>0.12538912690982335</v>
      </c>
      <c r="L146" t="s">
        <v>154</v>
      </c>
      <c r="N146" t="s">
        <v>194</v>
      </c>
      <c r="O146" t="s">
        <v>228</v>
      </c>
      <c r="P146">
        <v>2.5657636042185968E-2</v>
      </c>
      <c r="Q146" t="s">
        <v>154</v>
      </c>
      <c r="S146" t="s">
        <v>204</v>
      </c>
      <c r="T146" t="s">
        <v>228</v>
      </c>
      <c r="U146">
        <v>7.0858123738383391E-2</v>
      </c>
      <c r="V146" t="s">
        <v>154</v>
      </c>
    </row>
    <row r="147" spans="9:22" x14ac:dyDescent="0.25">
      <c r="I147" t="s">
        <v>170</v>
      </c>
      <c r="J147" t="s">
        <v>229</v>
      </c>
      <c r="K147">
        <v>8.0533483014697593E-2</v>
      </c>
      <c r="L147" t="s">
        <v>154</v>
      </c>
      <c r="N147" t="s">
        <v>194</v>
      </c>
      <c r="O147" t="s">
        <v>229</v>
      </c>
      <c r="P147">
        <v>3.5414943865475161E-2</v>
      </c>
      <c r="Q147" t="s">
        <v>154</v>
      </c>
      <c r="S147" t="s">
        <v>204</v>
      </c>
      <c r="T147" t="s">
        <v>229</v>
      </c>
      <c r="U147">
        <v>6.9332290072244965E-2</v>
      </c>
      <c r="V147" t="s">
        <v>154</v>
      </c>
    </row>
    <row r="148" spans="9:22" x14ac:dyDescent="0.25">
      <c r="I148" t="s">
        <v>170</v>
      </c>
      <c r="J148" t="s">
        <v>230</v>
      </c>
      <c r="K148">
        <v>3.8589438158866912E-3</v>
      </c>
      <c r="L148" t="s">
        <v>154</v>
      </c>
      <c r="N148" t="s">
        <v>194</v>
      </c>
      <c r="O148" t="s">
        <v>230</v>
      </c>
      <c r="P148">
        <v>2.9008320986889793E-2</v>
      </c>
      <c r="Q148" t="s">
        <v>154</v>
      </c>
      <c r="S148" t="s">
        <v>204</v>
      </c>
      <c r="T148" t="s">
        <v>230</v>
      </c>
      <c r="U148">
        <v>8.8091413815630626E-2</v>
      </c>
      <c r="V148" t="s">
        <v>154</v>
      </c>
    </row>
    <row r="149" spans="9:22" x14ac:dyDescent="0.25">
      <c r="I149" t="s">
        <v>170</v>
      </c>
      <c r="J149" t="s">
        <v>163</v>
      </c>
      <c r="K149">
        <v>3.1088345474727676E-3</v>
      </c>
      <c r="L149" t="s">
        <v>154</v>
      </c>
      <c r="N149" t="s">
        <v>194</v>
      </c>
      <c r="O149" t="s">
        <v>163</v>
      </c>
      <c r="P149">
        <v>0.11749731863735031</v>
      </c>
      <c r="Q149" t="s">
        <v>154</v>
      </c>
      <c r="S149" t="s">
        <v>204</v>
      </c>
      <c r="T149" t="s">
        <v>163</v>
      </c>
      <c r="U149">
        <v>4.8669267048230845E-2</v>
      </c>
      <c r="V149" t="s">
        <v>154</v>
      </c>
    </row>
    <row r="150" spans="9:22" x14ac:dyDescent="0.25">
      <c r="I150" t="s">
        <v>170</v>
      </c>
      <c r="J150" t="s">
        <v>164</v>
      </c>
      <c r="K150">
        <v>2.2812979010769053E-2</v>
      </c>
      <c r="L150" t="s">
        <v>154</v>
      </c>
      <c r="N150" t="s">
        <v>194</v>
      </c>
      <c r="O150" t="s">
        <v>164</v>
      </c>
      <c r="P150">
        <v>3.167693577767957E-2</v>
      </c>
      <c r="Q150" t="s">
        <v>154</v>
      </c>
      <c r="S150" t="s">
        <v>204</v>
      </c>
      <c r="T150" t="s">
        <v>164</v>
      </c>
      <c r="U150">
        <v>1.423507365936489E-2</v>
      </c>
      <c r="V150" t="s">
        <v>154</v>
      </c>
    </row>
    <row r="151" spans="9:22" x14ac:dyDescent="0.25">
      <c r="I151" t="s">
        <v>170</v>
      </c>
      <c r="J151" t="s">
        <v>165</v>
      </c>
      <c r="K151">
        <v>1.9240986508019475E-2</v>
      </c>
      <c r="L151" t="s">
        <v>154</v>
      </c>
      <c r="N151" t="s">
        <v>194</v>
      </c>
      <c r="O151" t="s">
        <v>165</v>
      </c>
      <c r="P151">
        <v>1.4728523158417717E-2</v>
      </c>
      <c r="Q151" t="s">
        <v>154</v>
      </c>
      <c r="S151" t="s">
        <v>204</v>
      </c>
      <c r="T151" t="s">
        <v>165</v>
      </c>
      <c r="U151">
        <v>6.9621570239020722E-3</v>
      </c>
      <c r="V151" t="s">
        <v>154</v>
      </c>
    </row>
    <row r="152" spans="9:22" x14ac:dyDescent="0.25">
      <c r="I152" t="s">
        <v>170</v>
      </c>
      <c r="J152" t="s">
        <v>231</v>
      </c>
      <c r="K152">
        <v>9.7265347203783686E-2</v>
      </c>
      <c r="L152" t="s">
        <v>154</v>
      </c>
      <c r="N152" t="s">
        <v>194</v>
      </c>
      <c r="O152" t="s">
        <v>231</v>
      </c>
      <c r="P152">
        <v>4.9728787382259367E-2</v>
      </c>
      <c r="Q152" t="s">
        <v>154</v>
      </c>
      <c r="S152" t="s">
        <v>204</v>
      </c>
      <c r="T152" t="s">
        <v>231</v>
      </c>
      <c r="U152">
        <v>2.5165677709534342E-2</v>
      </c>
      <c r="V152" t="s">
        <v>154</v>
      </c>
    </row>
    <row r="153" spans="9:22" x14ac:dyDescent="0.25">
      <c r="I153" t="s">
        <v>170</v>
      </c>
      <c r="J153" t="s">
        <v>232</v>
      </c>
      <c r="K153">
        <v>5.4102130901442093E-2</v>
      </c>
      <c r="L153" t="s">
        <v>154</v>
      </c>
      <c r="N153" t="s">
        <v>194</v>
      </c>
      <c r="O153" t="s">
        <v>232</v>
      </c>
      <c r="P153">
        <v>5.4866464916941783E-2</v>
      </c>
      <c r="Q153" t="s">
        <v>154</v>
      </c>
      <c r="S153" t="s">
        <v>204</v>
      </c>
      <c r="T153" t="s">
        <v>232</v>
      </c>
      <c r="U153">
        <v>2.7803654570254986E-2</v>
      </c>
      <c r="V153" t="s">
        <v>154</v>
      </c>
    </row>
    <row r="154" spans="9:22" x14ac:dyDescent="0.25">
      <c r="I154" t="s">
        <v>170</v>
      </c>
      <c r="J154" t="s">
        <v>233</v>
      </c>
      <c r="K154">
        <v>1.6741979858244961E-6</v>
      </c>
      <c r="L154" t="s">
        <v>154</v>
      </c>
      <c r="N154" t="s">
        <v>194</v>
      </c>
      <c r="O154" t="s">
        <v>233</v>
      </c>
      <c r="P154">
        <v>0.11985991959580228</v>
      </c>
      <c r="Q154" t="s">
        <v>154</v>
      </c>
      <c r="S154" t="s">
        <v>204</v>
      </c>
      <c r="T154" t="s">
        <v>233</v>
      </c>
      <c r="U154">
        <v>4.4705045443272654E-2</v>
      </c>
      <c r="V154" t="s">
        <v>154</v>
      </c>
    </row>
    <row r="155" spans="9:22" x14ac:dyDescent="0.25">
      <c r="I155" t="s">
        <v>171</v>
      </c>
      <c r="J155" t="s">
        <v>153</v>
      </c>
      <c r="K155">
        <v>7.3435042154922792E-3</v>
      </c>
      <c r="L155" t="s">
        <v>154</v>
      </c>
      <c r="N155" t="s">
        <v>195</v>
      </c>
      <c r="O155" t="s">
        <v>153</v>
      </c>
      <c r="P155">
        <v>0.1048390230461744</v>
      </c>
      <c r="Q155" t="s">
        <v>154</v>
      </c>
      <c r="S155" t="s">
        <v>205</v>
      </c>
      <c r="T155" t="s">
        <v>153</v>
      </c>
      <c r="U155">
        <v>0.1298562171510014</v>
      </c>
      <c r="V155" t="s">
        <v>154</v>
      </c>
    </row>
    <row r="156" spans="9:22" x14ac:dyDescent="0.25">
      <c r="I156" t="s">
        <v>171</v>
      </c>
      <c r="J156" t="s">
        <v>155</v>
      </c>
      <c r="K156">
        <v>5.8553727316399011E-2</v>
      </c>
      <c r="L156" t="s">
        <v>154</v>
      </c>
      <c r="N156" t="s">
        <v>195</v>
      </c>
      <c r="O156" t="s">
        <v>155</v>
      </c>
      <c r="P156">
        <v>2.5425939202306423E-2</v>
      </c>
      <c r="Q156" t="s">
        <v>154</v>
      </c>
      <c r="S156" t="s">
        <v>205</v>
      </c>
      <c r="T156" t="s">
        <v>155</v>
      </c>
      <c r="U156">
        <v>3.788929845381786E-2</v>
      </c>
      <c r="V156" t="s">
        <v>154</v>
      </c>
    </row>
    <row r="157" spans="9:22" x14ac:dyDescent="0.25">
      <c r="I157" t="s">
        <v>171</v>
      </c>
      <c r="J157" t="s">
        <v>156</v>
      </c>
      <c r="K157">
        <v>4.4245458574946529E-2</v>
      </c>
      <c r="L157" t="s">
        <v>154</v>
      </c>
      <c r="N157" t="s">
        <v>195</v>
      </c>
      <c r="O157" t="s">
        <v>156</v>
      </c>
      <c r="P157">
        <v>1.5877142201212582E-2</v>
      </c>
      <c r="Q157" t="s">
        <v>154</v>
      </c>
      <c r="S157" t="s">
        <v>205</v>
      </c>
      <c r="T157" t="s">
        <v>156</v>
      </c>
      <c r="U157">
        <v>1.8935060793641278E-2</v>
      </c>
      <c r="V157" t="s">
        <v>154</v>
      </c>
    </row>
    <row r="158" spans="9:22" x14ac:dyDescent="0.25">
      <c r="I158" t="s">
        <v>171</v>
      </c>
      <c r="J158" t="s">
        <v>222</v>
      </c>
      <c r="K158">
        <v>0.20296538575796208</v>
      </c>
      <c r="L158" t="s">
        <v>154</v>
      </c>
      <c r="N158" t="s">
        <v>195</v>
      </c>
      <c r="O158" t="s">
        <v>222</v>
      </c>
      <c r="P158">
        <v>6.8676183890706732E-2</v>
      </c>
      <c r="Q158" t="s">
        <v>154</v>
      </c>
      <c r="S158" t="s">
        <v>205</v>
      </c>
      <c r="T158" t="s">
        <v>222</v>
      </c>
      <c r="U158">
        <v>6.8481705863646783E-2</v>
      </c>
      <c r="V158" t="s">
        <v>154</v>
      </c>
    </row>
    <row r="159" spans="9:22" x14ac:dyDescent="0.25">
      <c r="I159" t="s">
        <v>171</v>
      </c>
      <c r="J159" t="s">
        <v>223</v>
      </c>
      <c r="K159">
        <v>0.11515651275197819</v>
      </c>
      <c r="L159" t="s">
        <v>154</v>
      </c>
      <c r="N159" t="s">
        <v>195</v>
      </c>
      <c r="O159" t="s">
        <v>223</v>
      </c>
      <c r="P159">
        <v>8.1405343136288305E-2</v>
      </c>
      <c r="Q159" t="s">
        <v>154</v>
      </c>
      <c r="S159" t="s">
        <v>205</v>
      </c>
      <c r="T159" t="s">
        <v>223</v>
      </c>
      <c r="U159">
        <v>6.4752241085091616E-2</v>
      </c>
      <c r="V159" t="s">
        <v>154</v>
      </c>
    </row>
    <row r="160" spans="9:22" x14ac:dyDescent="0.25">
      <c r="I160" t="s">
        <v>171</v>
      </c>
      <c r="J160" t="s">
        <v>224</v>
      </c>
      <c r="K160">
        <v>0</v>
      </c>
      <c r="L160" t="s">
        <v>154</v>
      </c>
      <c r="N160" t="s">
        <v>195</v>
      </c>
      <c r="O160" t="s">
        <v>224</v>
      </c>
      <c r="P160">
        <v>0.12397844488095525</v>
      </c>
      <c r="Q160" t="s">
        <v>154</v>
      </c>
      <c r="S160" t="s">
        <v>205</v>
      </c>
      <c r="T160" t="s">
        <v>224</v>
      </c>
      <c r="U160">
        <v>0.11210828814603613</v>
      </c>
      <c r="V160" t="s">
        <v>154</v>
      </c>
    </row>
    <row r="161" spans="9:22" x14ac:dyDescent="0.25">
      <c r="I161" t="s">
        <v>171</v>
      </c>
      <c r="J161" t="s">
        <v>157</v>
      </c>
      <c r="K161">
        <v>2.8965865180397899E-3</v>
      </c>
      <c r="L161" t="s">
        <v>154</v>
      </c>
      <c r="N161" t="s">
        <v>195</v>
      </c>
      <c r="O161" t="s">
        <v>157</v>
      </c>
      <c r="P161">
        <v>3.1690946623175335E-2</v>
      </c>
      <c r="Q161" t="s">
        <v>154</v>
      </c>
      <c r="S161" t="s">
        <v>205</v>
      </c>
      <c r="T161" t="s">
        <v>157</v>
      </c>
      <c r="U161">
        <v>1.7421555947572984E-2</v>
      </c>
      <c r="V161" t="s">
        <v>154</v>
      </c>
    </row>
    <row r="162" spans="9:22" x14ac:dyDescent="0.25">
      <c r="I162" t="s">
        <v>171</v>
      </c>
      <c r="J162" t="s">
        <v>158</v>
      </c>
      <c r="K162">
        <v>1.4102047329191281E-2</v>
      </c>
      <c r="L162" t="s">
        <v>154</v>
      </c>
      <c r="N162" t="s">
        <v>195</v>
      </c>
      <c r="O162" t="s">
        <v>158</v>
      </c>
      <c r="P162">
        <v>7.2544449673119984E-3</v>
      </c>
      <c r="Q162" t="s">
        <v>154</v>
      </c>
      <c r="S162" t="s">
        <v>205</v>
      </c>
      <c r="T162" t="s">
        <v>158</v>
      </c>
      <c r="U162">
        <v>6.4877691654401199E-3</v>
      </c>
      <c r="V162" t="s">
        <v>154</v>
      </c>
    </row>
    <row r="163" spans="9:22" x14ac:dyDescent="0.25">
      <c r="I163" t="s">
        <v>171</v>
      </c>
      <c r="J163" t="s">
        <v>159</v>
      </c>
      <c r="K163">
        <v>1.1141547549551604E-2</v>
      </c>
      <c r="L163" t="s">
        <v>154</v>
      </c>
      <c r="N163" t="s">
        <v>195</v>
      </c>
      <c r="O163" t="s">
        <v>159</v>
      </c>
      <c r="P163">
        <v>3.9986258133203854E-3</v>
      </c>
      <c r="Q163" t="s">
        <v>154</v>
      </c>
      <c r="S163" t="s">
        <v>205</v>
      </c>
      <c r="T163" t="s">
        <v>159</v>
      </c>
      <c r="U163">
        <v>3.2925729255870893E-3</v>
      </c>
      <c r="V163" t="s">
        <v>154</v>
      </c>
    </row>
    <row r="164" spans="9:22" x14ac:dyDescent="0.25">
      <c r="I164" t="s">
        <v>171</v>
      </c>
      <c r="J164" t="s">
        <v>225</v>
      </c>
      <c r="K164">
        <v>5.4749194165458516E-2</v>
      </c>
      <c r="L164" t="s">
        <v>154</v>
      </c>
      <c r="N164" t="s">
        <v>195</v>
      </c>
      <c r="O164" t="s">
        <v>225</v>
      </c>
      <c r="P164">
        <v>2.2854487119334355E-2</v>
      </c>
      <c r="Q164" t="s">
        <v>154</v>
      </c>
      <c r="S164" t="s">
        <v>205</v>
      </c>
      <c r="T164" t="s">
        <v>225</v>
      </c>
      <c r="U164">
        <v>1.2575534574193857E-2</v>
      </c>
      <c r="V164" t="s">
        <v>154</v>
      </c>
    </row>
    <row r="165" spans="9:22" x14ac:dyDescent="0.25">
      <c r="I165" t="s">
        <v>171</v>
      </c>
      <c r="J165" t="s">
        <v>226</v>
      </c>
      <c r="K165">
        <v>2.7334454418755021E-2</v>
      </c>
      <c r="L165" t="s">
        <v>154</v>
      </c>
      <c r="N165" t="s">
        <v>195</v>
      </c>
      <c r="O165" t="s">
        <v>226</v>
      </c>
      <c r="P165">
        <v>2.6507464456166849E-2</v>
      </c>
      <c r="Q165" t="s">
        <v>154</v>
      </c>
      <c r="S165" t="s">
        <v>205</v>
      </c>
      <c r="T165" t="s">
        <v>226</v>
      </c>
      <c r="U165">
        <v>1.106869923364911E-2</v>
      </c>
      <c r="V165" t="s">
        <v>154</v>
      </c>
    </row>
    <row r="166" spans="9:22" x14ac:dyDescent="0.25">
      <c r="I166" t="s">
        <v>171</v>
      </c>
      <c r="J166" t="s">
        <v>227</v>
      </c>
      <c r="K166">
        <v>7.6434370690839986E-6</v>
      </c>
      <c r="L166" t="s">
        <v>154</v>
      </c>
      <c r="N166" t="s">
        <v>195</v>
      </c>
      <c r="O166" t="s">
        <v>227</v>
      </c>
      <c r="P166">
        <v>2.5703734759162211E-2</v>
      </c>
      <c r="Q166" t="s">
        <v>154</v>
      </c>
      <c r="S166" t="s">
        <v>205</v>
      </c>
      <c r="T166" t="s">
        <v>227</v>
      </c>
      <c r="U166">
        <v>1.2717365010270739E-2</v>
      </c>
      <c r="V166" t="s">
        <v>154</v>
      </c>
    </row>
    <row r="167" spans="9:22" x14ac:dyDescent="0.25">
      <c r="I167" t="s">
        <v>171</v>
      </c>
      <c r="J167" t="s">
        <v>160</v>
      </c>
      <c r="K167">
        <v>6.573037214620216E-3</v>
      </c>
      <c r="L167" t="s">
        <v>154</v>
      </c>
      <c r="N167" t="s">
        <v>195</v>
      </c>
      <c r="O167" t="s">
        <v>160</v>
      </c>
      <c r="P167">
        <v>3.5080983724582203E-2</v>
      </c>
      <c r="Q167" t="s">
        <v>154</v>
      </c>
      <c r="S167" t="s">
        <v>205</v>
      </c>
      <c r="T167" t="s">
        <v>160</v>
      </c>
      <c r="U167">
        <v>8.2828306362406748E-2</v>
      </c>
      <c r="V167" t="s">
        <v>154</v>
      </c>
    </row>
    <row r="168" spans="9:22" x14ac:dyDescent="0.25">
      <c r="I168" t="s">
        <v>171</v>
      </c>
      <c r="J168" t="s">
        <v>161</v>
      </c>
      <c r="K168">
        <v>3.3668693924931832E-2</v>
      </c>
      <c r="L168" t="s">
        <v>154</v>
      </c>
      <c r="N168" t="s">
        <v>195</v>
      </c>
      <c r="O168" t="s">
        <v>161</v>
      </c>
      <c r="P168">
        <v>7.590430783183116E-3</v>
      </c>
      <c r="Q168" t="s">
        <v>154</v>
      </c>
      <c r="S168" t="s">
        <v>205</v>
      </c>
      <c r="T168" t="s">
        <v>161</v>
      </c>
      <c r="U168">
        <v>2.5703326808168368E-2</v>
      </c>
      <c r="V168" t="s">
        <v>154</v>
      </c>
    </row>
    <row r="169" spans="9:22" x14ac:dyDescent="0.25">
      <c r="I169" t="s">
        <v>171</v>
      </c>
      <c r="J169" t="s">
        <v>162</v>
      </c>
      <c r="K169">
        <v>2.5580033576990981E-2</v>
      </c>
      <c r="L169" t="s">
        <v>154</v>
      </c>
      <c r="N169" t="s">
        <v>195</v>
      </c>
      <c r="O169" t="s">
        <v>162</v>
      </c>
      <c r="P169">
        <v>5.164828522103729E-3</v>
      </c>
      <c r="Q169" t="s">
        <v>154</v>
      </c>
      <c r="S169" t="s">
        <v>205</v>
      </c>
      <c r="T169" t="s">
        <v>162</v>
      </c>
      <c r="U169">
        <v>1.3275639626485081E-2</v>
      </c>
      <c r="V169" t="s">
        <v>154</v>
      </c>
    </row>
    <row r="170" spans="9:22" x14ac:dyDescent="0.25">
      <c r="I170" t="s">
        <v>171</v>
      </c>
      <c r="J170" t="s">
        <v>228</v>
      </c>
      <c r="K170">
        <v>0.11831499944560923</v>
      </c>
      <c r="L170" t="s">
        <v>154</v>
      </c>
      <c r="N170" t="s">
        <v>195</v>
      </c>
      <c r="O170" t="s">
        <v>228</v>
      </c>
      <c r="P170">
        <v>3.5919940759552994E-2</v>
      </c>
      <c r="Q170" t="s">
        <v>154</v>
      </c>
      <c r="S170" t="s">
        <v>205</v>
      </c>
      <c r="T170" t="s">
        <v>228</v>
      </c>
      <c r="U170">
        <v>5.622303705769597E-2</v>
      </c>
      <c r="V170" t="s">
        <v>154</v>
      </c>
    </row>
    <row r="171" spans="9:22" x14ac:dyDescent="0.25">
      <c r="I171" t="s">
        <v>171</v>
      </c>
      <c r="J171" t="s">
        <v>229</v>
      </c>
      <c r="K171">
        <v>6.3430893074098105E-2</v>
      </c>
      <c r="L171" t="s">
        <v>154</v>
      </c>
      <c r="N171" t="s">
        <v>195</v>
      </c>
      <c r="O171" t="s">
        <v>229</v>
      </c>
      <c r="P171">
        <v>4.3239147870245701E-2</v>
      </c>
      <c r="Q171" t="s">
        <v>154</v>
      </c>
      <c r="S171" t="s">
        <v>205</v>
      </c>
      <c r="T171" t="s">
        <v>229</v>
      </c>
      <c r="U171">
        <v>5.3434827291686048E-2</v>
      </c>
      <c r="V171" t="s">
        <v>154</v>
      </c>
    </row>
    <row r="172" spans="9:22" x14ac:dyDescent="0.25">
      <c r="I172" t="s">
        <v>171</v>
      </c>
      <c r="J172" t="s">
        <v>230</v>
      </c>
      <c r="K172">
        <v>3.4705452535472922E-5</v>
      </c>
      <c r="L172" t="s">
        <v>154</v>
      </c>
      <c r="N172" t="s">
        <v>195</v>
      </c>
      <c r="O172" t="s">
        <v>230</v>
      </c>
      <c r="P172">
        <v>3.196354320861524E-2</v>
      </c>
      <c r="Q172" t="s">
        <v>154</v>
      </c>
      <c r="S172" t="s">
        <v>205</v>
      </c>
      <c r="T172" t="s">
        <v>230</v>
      </c>
      <c r="U172">
        <v>6.4679963457069348E-2</v>
      </c>
      <c r="V172" t="s">
        <v>154</v>
      </c>
    </row>
    <row r="173" spans="9:22" x14ac:dyDescent="0.25">
      <c r="I173" t="s">
        <v>171</v>
      </c>
      <c r="J173" t="s">
        <v>163</v>
      </c>
      <c r="K173">
        <v>6.3709796004243644E-3</v>
      </c>
      <c r="L173" t="s">
        <v>154</v>
      </c>
      <c r="N173" t="s">
        <v>195</v>
      </c>
      <c r="O173" t="s">
        <v>163</v>
      </c>
      <c r="P173">
        <v>7.3391714478256598E-2</v>
      </c>
      <c r="Q173" t="s">
        <v>154</v>
      </c>
      <c r="S173" t="s">
        <v>205</v>
      </c>
      <c r="T173" t="s">
        <v>163</v>
      </c>
      <c r="U173">
        <v>6.2345187728744755E-2</v>
      </c>
      <c r="V173" t="s">
        <v>154</v>
      </c>
    </row>
    <row r="174" spans="9:22" x14ac:dyDescent="0.25">
      <c r="I174" t="s">
        <v>171</v>
      </c>
      <c r="J174" t="s">
        <v>164</v>
      </c>
      <c r="K174">
        <v>3.3598167509551281E-2</v>
      </c>
      <c r="L174" t="s">
        <v>154</v>
      </c>
      <c r="N174" t="s">
        <v>195</v>
      </c>
      <c r="O174" t="s">
        <v>164</v>
      </c>
      <c r="P174">
        <v>2.146589454658817E-2</v>
      </c>
      <c r="Q174" t="s">
        <v>154</v>
      </c>
      <c r="S174" t="s">
        <v>205</v>
      </c>
      <c r="T174" t="s">
        <v>164</v>
      </c>
      <c r="U174">
        <v>1.7555615691069535E-2</v>
      </c>
      <c r="V174" t="s">
        <v>154</v>
      </c>
    </row>
    <row r="175" spans="9:22" x14ac:dyDescent="0.25">
      <c r="I175" t="s">
        <v>171</v>
      </c>
      <c r="J175" t="s">
        <v>165</v>
      </c>
      <c r="K175">
        <v>2.4606526258448988E-2</v>
      </c>
      <c r="L175" t="s">
        <v>154</v>
      </c>
      <c r="N175" t="s">
        <v>195</v>
      </c>
      <c r="O175" t="s">
        <v>165</v>
      </c>
      <c r="P175">
        <v>1.3574339167092137E-2</v>
      </c>
      <c r="Q175" t="s">
        <v>154</v>
      </c>
      <c r="S175" t="s">
        <v>205</v>
      </c>
      <c r="T175" t="s">
        <v>165</v>
      </c>
      <c r="U175">
        <v>8.6565410874082545E-3</v>
      </c>
      <c r="V175" t="s">
        <v>154</v>
      </c>
    </row>
    <row r="176" spans="9:22" x14ac:dyDescent="0.25">
      <c r="I176" t="s">
        <v>171</v>
      </c>
      <c r="J176" t="s">
        <v>231</v>
      </c>
      <c r="K176">
        <v>0.10498781286938275</v>
      </c>
      <c r="L176" t="s">
        <v>154</v>
      </c>
      <c r="N176" t="s">
        <v>195</v>
      </c>
      <c r="O176" t="s">
        <v>231</v>
      </c>
      <c r="P176">
        <v>5.3899367533578123E-2</v>
      </c>
      <c r="Q176" t="s">
        <v>154</v>
      </c>
      <c r="S176" t="s">
        <v>205</v>
      </c>
      <c r="T176" t="s">
        <v>231</v>
      </c>
      <c r="U176">
        <v>3.1229703955233078E-2</v>
      </c>
      <c r="V176" t="s">
        <v>154</v>
      </c>
    </row>
    <row r="177" spans="9:22" x14ac:dyDescent="0.25">
      <c r="I177" t="s">
        <v>171</v>
      </c>
      <c r="J177" t="s">
        <v>232</v>
      </c>
      <c r="K177">
        <v>4.4338089038559715E-2</v>
      </c>
      <c r="L177" t="s">
        <v>154</v>
      </c>
      <c r="N177" t="s">
        <v>195</v>
      </c>
      <c r="O177" t="s">
        <v>232</v>
      </c>
      <c r="P177">
        <v>5.2915981630938753E-2</v>
      </c>
      <c r="Q177" t="s">
        <v>154</v>
      </c>
      <c r="S177" t="s">
        <v>205</v>
      </c>
      <c r="T177" t="s">
        <v>232</v>
      </c>
      <c r="U177">
        <v>3.1593346978619576E-2</v>
      </c>
      <c r="V177" t="s">
        <v>154</v>
      </c>
    </row>
    <row r="178" spans="9:22" x14ac:dyDescent="0.25">
      <c r="I178" t="s">
        <v>171</v>
      </c>
      <c r="J178" t="s">
        <v>233</v>
      </c>
      <c r="K178">
        <v>0</v>
      </c>
      <c r="L178" t="s">
        <v>154</v>
      </c>
      <c r="N178" t="s">
        <v>195</v>
      </c>
      <c r="O178" t="s">
        <v>233</v>
      </c>
      <c r="P178">
        <v>8.758204767914908E-2</v>
      </c>
      <c r="Q178" t="s">
        <v>154</v>
      </c>
      <c r="S178" t="s">
        <v>205</v>
      </c>
      <c r="T178" t="s">
        <v>233</v>
      </c>
      <c r="U178">
        <v>5.6888195605464348E-2</v>
      </c>
      <c r="V178" t="s">
        <v>154</v>
      </c>
    </row>
    <row r="179" spans="9:22" x14ac:dyDescent="0.25">
      <c r="I179" t="s">
        <v>172</v>
      </c>
      <c r="J179" t="s">
        <v>153</v>
      </c>
      <c r="K179">
        <v>5.8488087339790629E-3</v>
      </c>
      <c r="L179" t="s">
        <v>154</v>
      </c>
      <c r="N179" t="s">
        <v>196</v>
      </c>
      <c r="O179" t="s">
        <v>153</v>
      </c>
      <c r="P179">
        <v>0.10580631421511948</v>
      </c>
      <c r="Q179" t="s">
        <v>154</v>
      </c>
      <c r="S179" t="s">
        <v>206</v>
      </c>
      <c r="T179" t="s">
        <v>153</v>
      </c>
      <c r="U179">
        <v>0.11157798332136072</v>
      </c>
      <c r="V179" t="s">
        <v>154</v>
      </c>
    </row>
    <row r="180" spans="9:22" x14ac:dyDescent="0.25">
      <c r="I180" t="s">
        <v>172</v>
      </c>
      <c r="J180" t="s">
        <v>155</v>
      </c>
      <c r="K180">
        <v>5.7612425537313439E-2</v>
      </c>
      <c r="L180" t="s">
        <v>154</v>
      </c>
      <c r="N180" t="s">
        <v>196</v>
      </c>
      <c r="O180" t="s">
        <v>155</v>
      </c>
      <c r="P180">
        <v>2.8644701432301248E-2</v>
      </c>
      <c r="Q180" t="s">
        <v>154</v>
      </c>
      <c r="S180" t="s">
        <v>206</v>
      </c>
      <c r="T180" t="s">
        <v>155</v>
      </c>
      <c r="U180">
        <v>3.214446575069204E-2</v>
      </c>
      <c r="V180" t="s">
        <v>154</v>
      </c>
    </row>
    <row r="181" spans="9:22" x14ac:dyDescent="0.25">
      <c r="I181" t="s">
        <v>172</v>
      </c>
      <c r="J181" t="s">
        <v>156</v>
      </c>
      <c r="K181">
        <v>4.429944023446742E-2</v>
      </c>
      <c r="L181" t="s">
        <v>154</v>
      </c>
      <c r="N181" t="s">
        <v>196</v>
      </c>
      <c r="O181" t="s">
        <v>156</v>
      </c>
      <c r="P181">
        <v>1.570937588893109E-2</v>
      </c>
      <c r="Q181" t="s">
        <v>154</v>
      </c>
      <c r="S181" t="s">
        <v>206</v>
      </c>
      <c r="T181" t="s">
        <v>156</v>
      </c>
      <c r="U181">
        <v>1.6393245485509078E-2</v>
      </c>
      <c r="V181" t="s">
        <v>154</v>
      </c>
    </row>
    <row r="182" spans="9:22" x14ac:dyDescent="0.25">
      <c r="I182" t="s">
        <v>172</v>
      </c>
      <c r="J182" t="s">
        <v>222</v>
      </c>
      <c r="K182">
        <v>0.2040680650401715</v>
      </c>
      <c r="L182" t="s">
        <v>154</v>
      </c>
      <c r="N182" t="s">
        <v>196</v>
      </c>
      <c r="O182" t="s">
        <v>222</v>
      </c>
      <c r="P182">
        <v>7.4015275258644486E-2</v>
      </c>
      <c r="Q182" t="s">
        <v>154</v>
      </c>
      <c r="S182" t="s">
        <v>206</v>
      </c>
      <c r="T182" t="s">
        <v>222</v>
      </c>
      <c r="U182">
        <v>6.1276922171446618E-2</v>
      </c>
      <c r="V182" t="s">
        <v>154</v>
      </c>
    </row>
    <row r="183" spans="9:22" x14ac:dyDescent="0.25">
      <c r="I183" t="s">
        <v>172</v>
      </c>
      <c r="J183" t="s">
        <v>223</v>
      </c>
      <c r="K183">
        <v>0.10703996399466884</v>
      </c>
      <c r="L183" t="s">
        <v>154</v>
      </c>
      <c r="N183" t="s">
        <v>196</v>
      </c>
      <c r="O183" t="s">
        <v>223</v>
      </c>
      <c r="P183">
        <v>9.5154825466530299E-2</v>
      </c>
      <c r="Q183" t="s">
        <v>154</v>
      </c>
      <c r="S183" t="s">
        <v>206</v>
      </c>
      <c r="T183" t="s">
        <v>223</v>
      </c>
      <c r="U183">
        <v>5.6092708730703898E-2</v>
      </c>
      <c r="V183" t="s">
        <v>154</v>
      </c>
    </row>
    <row r="184" spans="9:22" x14ac:dyDescent="0.25">
      <c r="I184" t="s">
        <v>172</v>
      </c>
      <c r="J184" t="s">
        <v>224</v>
      </c>
      <c r="K184">
        <v>7.9478559272890302E-5</v>
      </c>
      <c r="L184" t="s">
        <v>154</v>
      </c>
      <c r="N184" t="s">
        <v>196</v>
      </c>
      <c r="O184" t="s">
        <v>224</v>
      </c>
      <c r="P184">
        <v>0.13012776601457585</v>
      </c>
      <c r="Q184" t="s">
        <v>154</v>
      </c>
      <c r="S184" t="s">
        <v>206</v>
      </c>
      <c r="T184" t="s">
        <v>224</v>
      </c>
      <c r="U184">
        <v>9.5131893799130299E-2</v>
      </c>
      <c r="V184" t="s">
        <v>154</v>
      </c>
    </row>
    <row r="185" spans="9:22" x14ac:dyDescent="0.25">
      <c r="I185" t="s">
        <v>172</v>
      </c>
      <c r="J185" t="s">
        <v>157</v>
      </c>
      <c r="K185">
        <v>3.1284781384761265E-3</v>
      </c>
      <c r="L185" t="s">
        <v>154</v>
      </c>
      <c r="N185" t="s">
        <v>196</v>
      </c>
      <c r="O185" t="s">
        <v>157</v>
      </c>
      <c r="P185">
        <v>6.3093583967765059E-3</v>
      </c>
      <c r="Q185" t="s">
        <v>154</v>
      </c>
      <c r="S185" t="s">
        <v>206</v>
      </c>
      <c r="T185" t="s">
        <v>157</v>
      </c>
      <c r="U185">
        <v>2.1321547659344568E-2</v>
      </c>
      <c r="V185" t="s">
        <v>154</v>
      </c>
    </row>
    <row r="186" spans="9:22" x14ac:dyDescent="0.25">
      <c r="I186" t="s">
        <v>172</v>
      </c>
      <c r="J186" t="s">
        <v>158</v>
      </c>
      <c r="K186">
        <v>1.465453452434225E-2</v>
      </c>
      <c r="L186" t="s">
        <v>154</v>
      </c>
      <c r="N186" t="s">
        <v>196</v>
      </c>
      <c r="O186" t="s">
        <v>158</v>
      </c>
      <c r="P186">
        <v>2.6549938189455312E-3</v>
      </c>
      <c r="Q186" t="s">
        <v>154</v>
      </c>
      <c r="S186" t="s">
        <v>206</v>
      </c>
      <c r="T186" t="s">
        <v>158</v>
      </c>
      <c r="U186">
        <v>7.092554676466383E-3</v>
      </c>
      <c r="V186" t="s">
        <v>154</v>
      </c>
    </row>
    <row r="187" spans="9:22" x14ac:dyDescent="0.25">
      <c r="I187" t="s">
        <v>172</v>
      </c>
      <c r="J187" t="s">
        <v>159</v>
      </c>
      <c r="K187">
        <v>1.139896252934583E-2</v>
      </c>
      <c r="L187" t="s">
        <v>154</v>
      </c>
      <c r="N187" t="s">
        <v>196</v>
      </c>
      <c r="O187" t="s">
        <v>159</v>
      </c>
      <c r="P187">
        <v>1.1905111685092116E-3</v>
      </c>
      <c r="Q187" t="s">
        <v>154</v>
      </c>
      <c r="S187" t="s">
        <v>206</v>
      </c>
      <c r="T187" t="s">
        <v>159</v>
      </c>
      <c r="U187">
        <v>3.5207957894466671E-3</v>
      </c>
      <c r="V187" t="s">
        <v>154</v>
      </c>
    </row>
    <row r="188" spans="9:22" x14ac:dyDescent="0.25">
      <c r="I188" t="s">
        <v>172</v>
      </c>
      <c r="J188" t="s">
        <v>225</v>
      </c>
      <c r="K188">
        <v>5.6214972316799436E-2</v>
      </c>
      <c r="L188" t="s">
        <v>154</v>
      </c>
      <c r="N188" t="s">
        <v>196</v>
      </c>
      <c r="O188" t="s">
        <v>225</v>
      </c>
      <c r="P188">
        <v>6.3816183523463747E-3</v>
      </c>
      <c r="Q188" t="s">
        <v>154</v>
      </c>
      <c r="S188" t="s">
        <v>206</v>
      </c>
      <c r="T188" t="s">
        <v>225</v>
      </c>
      <c r="U188">
        <v>1.3372040573119073E-2</v>
      </c>
      <c r="V188" t="s">
        <v>154</v>
      </c>
    </row>
    <row r="189" spans="9:22" x14ac:dyDescent="0.25">
      <c r="I189" t="s">
        <v>172</v>
      </c>
      <c r="J189" t="s">
        <v>226</v>
      </c>
      <c r="K189">
        <v>2.9672310602342548E-2</v>
      </c>
      <c r="L189" t="s">
        <v>154</v>
      </c>
      <c r="N189" t="s">
        <v>196</v>
      </c>
      <c r="O189" t="s">
        <v>226</v>
      </c>
      <c r="P189">
        <v>5.5672157840030911E-3</v>
      </c>
      <c r="Q189" t="s">
        <v>154</v>
      </c>
      <c r="S189" t="s">
        <v>206</v>
      </c>
      <c r="T189" t="s">
        <v>226</v>
      </c>
      <c r="U189">
        <v>1.243768582481335E-2</v>
      </c>
      <c r="V189" t="s">
        <v>154</v>
      </c>
    </row>
    <row r="190" spans="9:22" x14ac:dyDescent="0.25">
      <c r="I190" t="s">
        <v>172</v>
      </c>
      <c r="J190" t="s">
        <v>227</v>
      </c>
      <c r="K190">
        <v>9.8012934295578291E-5</v>
      </c>
      <c r="L190" t="s">
        <v>154</v>
      </c>
      <c r="N190" t="s">
        <v>196</v>
      </c>
      <c r="O190" t="s">
        <v>227</v>
      </c>
      <c r="P190">
        <v>5.1674028071948645E-3</v>
      </c>
      <c r="Q190" t="s">
        <v>154</v>
      </c>
      <c r="S190" t="s">
        <v>206</v>
      </c>
      <c r="T190" t="s">
        <v>227</v>
      </c>
      <c r="U190">
        <v>1.4119023082042582E-2</v>
      </c>
      <c r="V190" t="s">
        <v>154</v>
      </c>
    </row>
    <row r="191" spans="9:22" x14ac:dyDescent="0.25">
      <c r="I191" t="s">
        <v>172</v>
      </c>
      <c r="J191" t="s">
        <v>160</v>
      </c>
      <c r="K191">
        <v>6.868800576368162E-3</v>
      </c>
      <c r="L191" t="s">
        <v>154</v>
      </c>
      <c r="N191" t="s">
        <v>196</v>
      </c>
      <c r="O191" t="s">
        <v>160</v>
      </c>
      <c r="P191">
        <v>3.6376673152664893E-2</v>
      </c>
      <c r="Q191" t="s">
        <v>154</v>
      </c>
      <c r="S191" t="s">
        <v>206</v>
      </c>
      <c r="T191" t="s">
        <v>160</v>
      </c>
      <c r="U191">
        <v>9.8611954060750018E-2</v>
      </c>
      <c r="V191" t="s">
        <v>154</v>
      </c>
    </row>
    <row r="192" spans="9:22" x14ac:dyDescent="0.25">
      <c r="I192" t="s">
        <v>172</v>
      </c>
      <c r="J192" t="s">
        <v>161</v>
      </c>
      <c r="K192">
        <v>3.2743697652040375E-2</v>
      </c>
      <c r="L192" t="s">
        <v>154</v>
      </c>
      <c r="N192" t="s">
        <v>196</v>
      </c>
      <c r="O192" t="s">
        <v>161</v>
      </c>
      <c r="P192">
        <v>1.5324384469014667E-2</v>
      </c>
      <c r="Q192" t="s">
        <v>154</v>
      </c>
      <c r="S192" t="s">
        <v>206</v>
      </c>
      <c r="T192" t="s">
        <v>161</v>
      </c>
      <c r="U192">
        <v>2.8156768216972786E-2</v>
      </c>
      <c r="V192" t="s">
        <v>154</v>
      </c>
    </row>
    <row r="193" spans="9:22" x14ac:dyDescent="0.25">
      <c r="I193" t="s">
        <v>172</v>
      </c>
      <c r="J193" t="s">
        <v>162</v>
      </c>
      <c r="K193">
        <v>2.5411363370201296E-2</v>
      </c>
      <c r="L193" t="s">
        <v>154</v>
      </c>
      <c r="N193" t="s">
        <v>196</v>
      </c>
      <c r="O193" t="s">
        <v>162</v>
      </c>
      <c r="P193">
        <v>9.0830843431726534E-3</v>
      </c>
      <c r="Q193" t="s">
        <v>154</v>
      </c>
      <c r="S193" t="s">
        <v>206</v>
      </c>
      <c r="T193" t="s">
        <v>162</v>
      </c>
      <c r="U193">
        <v>1.4213936242912872E-2</v>
      </c>
      <c r="V193" t="s">
        <v>154</v>
      </c>
    </row>
    <row r="194" spans="9:22" x14ac:dyDescent="0.25">
      <c r="I194" t="s">
        <v>172</v>
      </c>
      <c r="J194" t="s">
        <v>228</v>
      </c>
      <c r="K194">
        <v>0.12061187932831521</v>
      </c>
      <c r="L194" t="s">
        <v>154</v>
      </c>
      <c r="N194" t="s">
        <v>196</v>
      </c>
      <c r="O194" t="s">
        <v>228</v>
      </c>
      <c r="P194">
        <v>4.0472487127595949E-2</v>
      </c>
      <c r="Q194" t="s">
        <v>154</v>
      </c>
      <c r="S194" t="s">
        <v>206</v>
      </c>
      <c r="T194" t="s">
        <v>228</v>
      </c>
      <c r="U194">
        <v>5.8872374439192791E-2</v>
      </c>
      <c r="V194" t="s">
        <v>154</v>
      </c>
    </row>
    <row r="195" spans="9:22" x14ac:dyDescent="0.25">
      <c r="I195" t="s">
        <v>172</v>
      </c>
      <c r="J195" t="s">
        <v>229</v>
      </c>
      <c r="K195">
        <v>6.6785981707599584E-2</v>
      </c>
      <c r="L195" t="s">
        <v>154</v>
      </c>
      <c r="N195" t="s">
        <v>196</v>
      </c>
      <c r="O195" t="s">
        <v>229</v>
      </c>
      <c r="P195">
        <v>3.5899625741213713E-2</v>
      </c>
      <c r="Q195" t="s">
        <v>154</v>
      </c>
      <c r="S195" t="s">
        <v>206</v>
      </c>
      <c r="T195" t="s">
        <v>229</v>
      </c>
      <c r="U195">
        <v>5.7889842188991167E-2</v>
      </c>
      <c r="V195" t="s">
        <v>154</v>
      </c>
    </row>
    <row r="196" spans="9:22" x14ac:dyDescent="0.25">
      <c r="I196" t="s">
        <v>172</v>
      </c>
      <c r="J196" t="s">
        <v>230</v>
      </c>
      <c r="K196">
        <v>8.3940218830018366E-4</v>
      </c>
      <c r="L196" t="s">
        <v>154</v>
      </c>
      <c r="N196" t="s">
        <v>196</v>
      </c>
      <c r="O196" t="s">
        <v>230</v>
      </c>
      <c r="P196">
        <v>4.2575561348369428E-2</v>
      </c>
      <c r="Q196" t="s">
        <v>154</v>
      </c>
      <c r="S196" t="s">
        <v>206</v>
      </c>
      <c r="T196" t="s">
        <v>230</v>
      </c>
      <c r="U196">
        <v>7.8415895187140483E-2</v>
      </c>
      <c r="V196" t="s">
        <v>154</v>
      </c>
    </row>
    <row r="197" spans="9:22" x14ac:dyDescent="0.25">
      <c r="I197" t="s">
        <v>172</v>
      </c>
      <c r="J197" t="s">
        <v>163</v>
      </c>
      <c r="K197">
        <v>5.6979745085378028E-3</v>
      </c>
      <c r="L197" t="s">
        <v>154</v>
      </c>
      <c r="N197" t="s">
        <v>196</v>
      </c>
      <c r="O197" t="s">
        <v>163</v>
      </c>
      <c r="P197">
        <v>8.2550096367508222E-2</v>
      </c>
      <c r="Q197" t="s">
        <v>154</v>
      </c>
      <c r="S197" t="s">
        <v>206</v>
      </c>
      <c r="T197" t="s">
        <v>163</v>
      </c>
      <c r="U197">
        <v>6.2119154619197328E-2</v>
      </c>
      <c r="V197" t="s">
        <v>154</v>
      </c>
    </row>
    <row r="198" spans="9:22" x14ac:dyDescent="0.25">
      <c r="I198" t="s">
        <v>172</v>
      </c>
      <c r="J198" t="s">
        <v>164</v>
      </c>
      <c r="K198">
        <v>3.1830343437743248E-2</v>
      </c>
      <c r="L198" t="s">
        <v>154</v>
      </c>
      <c r="N198" t="s">
        <v>196</v>
      </c>
      <c r="O198" t="s">
        <v>164</v>
      </c>
      <c r="P198">
        <v>2.3234408538555525E-2</v>
      </c>
      <c r="Q198" t="s">
        <v>154</v>
      </c>
      <c r="S198" t="s">
        <v>206</v>
      </c>
      <c r="T198" t="s">
        <v>164</v>
      </c>
      <c r="U198">
        <v>1.8859696239482145E-2</v>
      </c>
      <c r="V198" t="s">
        <v>154</v>
      </c>
    </row>
    <row r="199" spans="9:22" x14ac:dyDescent="0.25">
      <c r="I199" t="s">
        <v>172</v>
      </c>
      <c r="J199" t="s">
        <v>165</v>
      </c>
      <c r="K199">
        <v>2.3748095048158755E-2</v>
      </c>
      <c r="L199" t="s">
        <v>154</v>
      </c>
      <c r="N199" t="s">
        <v>196</v>
      </c>
      <c r="O199" t="s">
        <v>165</v>
      </c>
      <c r="P199">
        <v>1.1659533737634301E-2</v>
      </c>
      <c r="Q199" t="s">
        <v>154</v>
      </c>
      <c r="S199" t="s">
        <v>206</v>
      </c>
      <c r="T199" t="s">
        <v>165</v>
      </c>
      <c r="U199">
        <v>9.5339274878778434E-3</v>
      </c>
      <c r="V199" t="s">
        <v>154</v>
      </c>
    </row>
    <row r="200" spans="9:22" x14ac:dyDescent="0.25">
      <c r="I200" t="s">
        <v>172</v>
      </c>
      <c r="J200" t="s">
        <v>231</v>
      </c>
      <c r="K200">
        <v>0.10465165165520426</v>
      </c>
      <c r="L200" t="s">
        <v>154</v>
      </c>
      <c r="N200" t="s">
        <v>196</v>
      </c>
      <c r="O200" t="s">
        <v>231</v>
      </c>
      <c r="P200">
        <v>5.2761076049388331E-2</v>
      </c>
      <c r="Q200" t="s">
        <v>154</v>
      </c>
      <c r="S200" t="s">
        <v>206</v>
      </c>
      <c r="T200" t="s">
        <v>231</v>
      </c>
      <c r="U200">
        <v>3.640795790457331E-2</v>
      </c>
      <c r="V200" t="s">
        <v>154</v>
      </c>
    </row>
    <row r="201" spans="9:22" x14ac:dyDescent="0.25">
      <c r="I201" t="s">
        <v>172</v>
      </c>
      <c r="J201" t="s">
        <v>232</v>
      </c>
      <c r="K201">
        <v>4.6695357382055519E-2</v>
      </c>
      <c r="L201" t="s">
        <v>154</v>
      </c>
      <c r="N201" t="s">
        <v>196</v>
      </c>
      <c r="O201" t="s">
        <v>232</v>
      </c>
      <c r="P201">
        <v>7.1107950491547917E-2</v>
      </c>
      <c r="Q201" t="s">
        <v>154</v>
      </c>
      <c r="S201" t="s">
        <v>206</v>
      </c>
      <c r="T201" t="s">
        <v>232</v>
      </c>
      <c r="U201">
        <v>3.5046214245966087E-2</v>
      </c>
      <c r="V201" t="s">
        <v>154</v>
      </c>
    </row>
    <row r="202" spans="9:22" x14ac:dyDescent="0.25">
      <c r="I202" t="s">
        <v>172</v>
      </c>
      <c r="J202" t="s">
        <v>233</v>
      </c>
      <c r="K202">
        <v>0</v>
      </c>
      <c r="L202" t="s">
        <v>154</v>
      </c>
      <c r="N202" t="s">
        <v>196</v>
      </c>
      <c r="O202" t="s">
        <v>233</v>
      </c>
      <c r="P202">
        <v>0.1022257600294557</v>
      </c>
      <c r="Q202" t="s">
        <v>154</v>
      </c>
      <c r="S202" t="s">
        <v>206</v>
      </c>
      <c r="T202" t="s">
        <v>233</v>
      </c>
      <c r="U202">
        <v>5.7391412302866651E-2</v>
      </c>
      <c r="V202" t="s">
        <v>154</v>
      </c>
    </row>
    <row r="203" spans="9:22" x14ac:dyDescent="0.25">
      <c r="I203" t="s">
        <v>173</v>
      </c>
      <c r="J203" t="s">
        <v>153</v>
      </c>
      <c r="K203">
        <v>2.6135112220958107E-3</v>
      </c>
      <c r="L203" t="s">
        <v>154</v>
      </c>
      <c r="N203" t="s">
        <v>197</v>
      </c>
      <c r="O203" t="s">
        <v>153</v>
      </c>
      <c r="P203">
        <v>0.1416367794772336</v>
      </c>
      <c r="Q203" t="s">
        <v>154</v>
      </c>
      <c r="S203" t="s">
        <v>207</v>
      </c>
      <c r="T203" t="s">
        <v>153</v>
      </c>
      <c r="U203">
        <v>0.10999912539265522</v>
      </c>
      <c r="V203" t="s">
        <v>154</v>
      </c>
    </row>
    <row r="204" spans="9:22" x14ac:dyDescent="0.25">
      <c r="I204" t="s">
        <v>173</v>
      </c>
      <c r="J204" t="s">
        <v>155</v>
      </c>
      <c r="K204">
        <v>3.8890483532460669E-2</v>
      </c>
      <c r="L204" t="s">
        <v>154</v>
      </c>
      <c r="N204" t="s">
        <v>197</v>
      </c>
      <c r="O204" t="s">
        <v>155</v>
      </c>
      <c r="P204">
        <v>3.7970703243857942E-2</v>
      </c>
      <c r="Q204" t="s">
        <v>154</v>
      </c>
      <c r="S204" t="s">
        <v>207</v>
      </c>
      <c r="T204" t="s">
        <v>155</v>
      </c>
      <c r="U204">
        <v>3.1253461833868942E-2</v>
      </c>
      <c r="V204" t="s">
        <v>154</v>
      </c>
    </row>
    <row r="205" spans="9:22" x14ac:dyDescent="0.25">
      <c r="I205" t="s">
        <v>173</v>
      </c>
      <c r="J205" t="s">
        <v>156</v>
      </c>
      <c r="K205">
        <v>3.7314395643705582E-2</v>
      </c>
      <c r="L205" t="s">
        <v>154</v>
      </c>
      <c r="N205" t="s">
        <v>197</v>
      </c>
      <c r="O205" t="s">
        <v>156</v>
      </c>
      <c r="P205">
        <v>1.8696749025363529E-2</v>
      </c>
      <c r="Q205" t="s">
        <v>154</v>
      </c>
      <c r="S205" t="s">
        <v>207</v>
      </c>
      <c r="T205" t="s">
        <v>156</v>
      </c>
      <c r="U205">
        <v>1.5896457135384578E-2</v>
      </c>
      <c r="V205" t="s">
        <v>154</v>
      </c>
    </row>
    <row r="206" spans="9:22" x14ac:dyDescent="0.25">
      <c r="I206" t="s">
        <v>173</v>
      </c>
      <c r="J206" t="s">
        <v>222</v>
      </c>
      <c r="K206">
        <v>0.20105880726083325</v>
      </c>
      <c r="L206" t="s">
        <v>154</v>
      </c>
      <c r="N206" t="s">
        <v>197</v>
      </c>
      <c r="O206" t="s">
        <v>222</v>
      </c>
      <c r="P206">
        <v>7.9949331891430817E-2</v>
      </c>
      <c r="Q206" t="s">
        <v>154</v>
      </c>
      <c r="S206" t="s">
        <v>207</v>
      </c>
      <c r="T206" t="s">
        <v>222</v>
      </c>
      <c r="U206">
        <v>6.006109389402179E-2</v>
      </c>
      <c r="V206" t="s">
        <v>154</v>
      </c>
    </row>
    <row r="207" spans="9:22" x14ac:dyDescent="0.25">
      <c r="I207" t="s">
        <v>173</v>
      </c>
      <c r="J207" t="s">
        <v>223</v>
      </c>
      <c r="K207">
        <v>0.12869408494562234</v>
      </c>
      <c r="L207" t="s">
        <v>154</v>
      </c>
      <c r="N207" t="s">
        <v>197</v>
      </c>
      <c r="O207" t="s">
        <v>223</v>
      </c>
      <c r="P207">
        <v>8.7584577335335007E-2</v>
      </c>
      <c r="Q207" t="s">
        <v>154</v>
      </c>
      <c r="S207" t="s">
        <v>207</v>
      </c>
      <c r="T207" t="s">
        <v>223</v>
      </c>
      <c r="U207">
        <v>5.4557714779743645E-2</v>
      </c>
      <c r="V207" t="s">
        <v>154</v>
      </c>
    </row>
    <row r="208" spans="9:22" x14ac:dyDescent="0.25">
      <c r="I208" t="s">
        <v>173</v>
      </c>
      <c r="J208" t="s">
        <v>224</v>
      </c>
      <c r="K208">
        <v>3.1509774016396925E-3</v>
      </c>
      <c r="L208" t="s">
        <v>154</v>
      </c>
      <c r="N208" t="s">
        <v>197</v>
      </c>
      <c r="O208" t="s">
        <v>224</v>
      </c>
      <c r="P208">
        <v>0.12578196071570966</v>
      </c>
      <c r="Q208" t="s">
        <v>154</v>
      </c>
      <c r="S208" t="s">
        <v>207</v>
      </c>
      <c r="T208" t="s">
        <v>224</v>
      </c>
      <c r="U208">
        <v>9.3509934472099002E-2</v>
      </c>
      <c r="V208" t="s">
        <v>154</v>
      </c>
    </row>
    <row r="209" spans="9:22" x14ac:dyDescent="0.25">
      <c r="I209" t="s">
        <v>173</v>
      </c>
      <c r="J209" t="s">
        <v>157</v>
      </c>
      <c r="K209">
        <v>1.7595343780980608E-3</v>
      </c>
      <c r="L209" t="s">
        <v>154</v>
      </c>
      <c r="N209" t="s">
        <v>197</v>
      </c>
      <c r="O209" t="s">
        <v>157</v>
      </c>
      <c r="P209">
        <v>1.5930326299676025E-2</v>
      </c>
      <c r="Q209" t="s">
        <v>154</v>
      </c>
      <c r="S209" t="s">
        <v>207</v>
      </c>
      <c r="T209" t="s">
        <v>157</v>
      </c>
      <c r="U209">
        <v>2.2118746152928883E-2</v>
      </c>
      <c r="V209" t="s">
        <v>154</v>
      </c>
    </row>
    <row r="210" spans="9:22" x14ac:dyDescent="0.25">
      <c r="I210" t="s">
        <v>173</v>
      </c>
      <c r="J210" t="s">
        <v>158</v>
      </c>
      <c r="K210">
        <v>1.3859383894397215E-2</v>
      </c>
      <c r="L210" t="s">
        <v>154</v>
      </c>
      <c r="N210" t="s">
        <v>197</v>
      </c>
      <c r="O210" t="s">
        <v>158</v>
      </c>
      <c r="P210">
        <v>4.651165221216909E-3</v>
      </c>
      <c r="Q210" t="s">
        <v>154</v>
      </c>
      <c r="S210" t="s">
        <v>207</v>
      </c>
      <c r="T210" t="s">
        <v>158</v>
      </c>
      <c r="U210">
        <v>6.571381071818554E-3</v>
      </c>
      <c r="V210" t="s">
        <v>154</v>
      </c>
    </row>
    <row r="211" spans="9:22" x14ac:dyDescent="0.25">
      <c r="I211" t="s">
        <v>173</v>
      </c>
      <c r="J211" t="s">
        <v>159</v>
      </c>
      <c r="K211">
        <v>1.1510659185903927E-2</v>
      </c>
      <c r="L211" t="s">
        <v>154</v>
      </c>
      <c r="N211" t="s">
        <v>197</v>
      </c>
      <c r="O211" t="s">
        <v>159</v>
      </c>
      <c r="P211">
        <v>2.2247750781946899E-3</v>
      </c>
      <c r="Q211" t="s">
        <v>154</v>
      </c>
      <c r="S211" t="s">
        <v>207</v>
      </c>
      <c r="T211" t="s">
        <v>159</v>
      </c>
      <c r="U211">
        <v>3.5842325404905379E-3</v>
      </c>
      <c r="V211" t="s">
        <v>154</v>
      </c>
    </row>
    <row r="212" spans="9:22" x14ac:dyDescent="0.25">
      <c r="I212" t="s">
        <v>173</v>
      </c>
      <c r="J212" t="s">
        <v>225</v>
      </c>
      <c r="K212">
        <v>5.8681807359839001E-2</v>
      </c>
      <c r="L212" t="s">
        <v>154</v>
      </c>
      <c r="N212" t="s">
        <v>197</v>
      </c>
      <c r="O212" t="s">
        <v>225</v>
      </c>
      <c r="P212">
        <v>7.7322157822121386E-3</v>
      </c>
      <c r="Q212" t="s">
        <v>154</v>
      </c>
      <c r="S212" t="s">
        <v>207</v>
      </c>
      <c r="T212" t="s">
        <v>225</v>
      </c>
      <c r="U212">
        <v>1.4569524089739308E-2</v>
      </c>
      <c r="V212" t="s">
        <v>154</v>
      </c>
    </row>
    <row r="213" spans="9:22" x14ac:dyDescent="0.25">
      <c r="I213" t="s">
        <v>173</v>
      </c>
      <c r="J213" t="s">
        <v>226</v>
      </c>
      <c r="K213">
        <v>3.4693799110886749E-2</v>
      </c>
      <c r="L213" t="s">
        <v>154</v>
      </c>
      <c r="N213" t="s">
        <v>197</v>
      </c>
      <c r="O213" t="s">
        <v>226</v>
      </c>
      <c r="P213">
        <v>6.8079746301114496E-3</v>
      </c>
      <c r="Q213" t="s">
        <v>154</v>
      </c>
      <c r="S213" t="s">
        <v>207</v>
      </c>
      <c r="T213" t="s">
        <v>226</v>
      </c>
      <c r="U213">
        <v>1.3367726876883663E-2</v>
      </c>
      <c r="V213" t="s">
        <v>154</v>
      </c>
    </row>
    <row r="214" spans="9:22" x14ac:dyDescent="0.25">
      <c r="I214" t="s">
        <v>173</v>
      </c>
      <c r="J214" t="s">
        <v>227</v>
      </c>
      <c r="K214">
        <v>9.8238737277617076E-4</v>
      </c>
      <c r="L214" t="s">
        <v>154</v>
      </c>
      <c r="N214" t="s">
        <v>197</v>
      </c>
      <c r="O214" t="s">
        <v>227</v>
      </c>
      <c r="P214">
        <v>1.1780654877333045E-2</v>
      </c>
      <c r="Q214" t="s">
        <v>154</v>
      </c>
      <c r="S214" t="s">
        <v>207</v>
      </c>
      <c r="T214" t="s">
        <v>227</v>
      </c>
      <c r="U214">
        <v>1.4761148309975065E-2</v>
      </c>
      <c r="V214" t="s">
        <v>154</v>
      </c>
    </row>
    <row r="215" spans="9:22" x14ac:dyDescent="0.25">
      <c r="I215" t="s">
        <v>173</v>
      </c>
      <c r="J215" t="s">
        <v>160</v>
      </c>
      <c r="K215">
        <v>1.8982728118198062E-3</v>
      </c>
      <c r="L215" t="s">
        <v>154</v>
      </c>
      <c r="N215" t="s">
        <v>197</v>
      </c>
      <c r="O215" t="s">
        <v>160</v>
      </c>
      <c r="P215">
        <v>5.9078323438443894E-2</v>
      </c>
      <c r="Q215" t="s">
        <v>154</v>
      </c>
      <c r="S215" t="s">
        <v>207</v>
      </c>
      <c r="T215" t="s">
        <v>160</v>
      </c>
      <c r="U215">
        <v>0.10669223067539459</v>
      </c>
      <c r="V215" t="s">
        <v>154</v>
      </c>
    </row>
    <row r="216" spans="9:22" x14ac:dyDescent="0.25">
      <c r="I216" t="s">
        <v>173</v>
      </c>
      <c r="J216" t="s">
        <v>161</v>
      </c>
      <c r="K216">
        <v>2.6829665676615932E-2</v>
      </c>
      <c r="L216" t="s">
        <v>154</v>
      </c>
      <c r="N216" t="s">
        <v>197</v>
      </c>
      <c r="O216" t="s">
        <v>161</v>
      </c>
      <c r="P216">
        <v>1.8031747744250502E-2</v>
      </c>
      <c r="Q216" t="s">
        <v>154</v>
      </c>
      <c r="S216" t="s">
        <v>207</v>
      </c>
      <c r="T216" t="s">
        <v>161</v>
      </c>
      <c r="U216">
        <v>3.0739845169901147E-2</v>
      </c>
      <c r="V216" t="s">
        <v>154</v>
      </c>
    </row>
    <row r="217" spans="9:22" x14ac:dyDescent="0.25">
      <c r="I217" t="s">
        <v>173</v>
      </c>
      <c r="J217" t="s">
        <v>162</v>
      </c>
      <c r="K217">
        <v>2.3949733940502482E-2</v>
      </c>
      <c r="L217" t="s">
        <v>154</v>
      </c>
      <c r="N217" t="s">
        <v>197</v>
      </c>
      <c r="O217" t="s">
        <v>162</v>
      </c>
      <c r="P217">
        <v>8.9881659392043976E-3</v>
      </c>
      <c r="Q217" t="s">
        <v>154</v>
      </c>
      <c r="S217" t="s">
        <v>207</v>
      </c>
      <c r="T217" t="s">
        <v>162</v>
      </c>
      <c r="U217">
        <v>1.5813528459164963E-2</v>
      </c>
      <c r="V217" t="s">
        <v>154</v>
      </c>
    </row>
    <row r="218" spans="9:22" x14ac:dyDescent="0.25">
      <c r="I218" t="s">
        <v>173</v>
      </c>
      <c r="J218" t="s">
        <v>228</v>
      </c>
      <c r="K218">
        <v>0.12570505139262456</v>
      </c>
      <c r="L218" t="s">
        <v>154</v>
      </c>
      <c r="N218" t="s">
        <v>197</v>
      </c>
      <c r="O218" t="s">
        <v>228</v>
      </c>
      <c r="P218">
        <v>2.9649863615838667E-2</v>
      </c>
      <c r="Q218" t="s">
        <v>154</v>
      </c>
      <c r="S218" t="s">
        <v>207</v>
      </c>
      <c r="T218" t="s">
        <v>228</v>
      </c>
      <c r="U218">
        <v>6.3890193247578803E-2</v>
      </c>
      <c r="V218" t="s">
        <v>154</v>
      </c>
    </row>
    <row r="219" spans="9:22" x14ac:dyDescent="0.25">
      <c r="I219" t="s">
        <v>173</v>
      </c>
      <c r="J219" t="s">
        <v>229</v>
      </c>
      <c r="K219">
        <v>7.8457524254686328E-2</v>
      </c>
      <c r="L219" t="s">
        <v>154</v>
      </c>
      <c r="N219" t="s">
        <v>197</v>
      </c>
      <c r="O219" t="s">
        <v>229</v>
      </c>
      <c r="P219">
        <v>2.8430396586226661E-2</v>
      </c>
      <c r="Q219" t="s">
        <v>154</v>
      </c>
      <c r="S219" t="s">
        <v>207</v>
      </c>
      <c r="T219" t="s">
        <v>229</v>
      </c>
      <c r="U219">
        <v>6.2163735576902017E-2</v>
      </c>
      <c r="V219" t="s">
        <v>154</v>
      </c>
    </row>
    <row r="220" spans="9:22" x14ac:dyDescent="0.25">
      <c r="I220" t="s">
        <v>173</v>
      </c>
      <c r="J220" t="s">
        <v>230</v>
      </c>
      <c r="K220">
        <v>2.8219642267435633E-3</v>
      </c>
      <c r="L220" t="s">
        <v>154</v>
      </c>
      <c r="N220" t="s">
        <v>197</v>
      </c>
      <c r="O220" t="s">
        <v>230</v>
      </c>
      <c r="P220">
        <v>4.3987374403219898E-2</v>
      </c>
      <c r="Q220" t="s">
        <v>154</v>
      </c>
      <c r="S220" t="s">
        <v>207</v>
      </c>
      <c r="T220" t="s">
        <v>230</v>
      </c>
      <c r="U220">
        <v>8.4381593927265477E-2</v>
      </c>
      <c r="V220" t="s">
        <v>154</v>
      </c>
    </row>
    <row r="221" spans="9:22" x14ac:dyDescent="0.25">
      <c r="I221" t="s">
        <v>173</v>
      </c>
      <c r="J221" t="s">
        <v>163</v>
      </c>
      <c r="K221">
        <v>3.3251729053045166E-3</v>
      </c>
      <c r="L221" t="s">
        <v>154</v>
      </c>
      <c r="N221" t="s">
        <v>197</v>
      </c>
      <c r="O221" t="s">
        <v>163</v>
      </c>
      <c r="P221">
        <v>7.2603194509146568E-2</v>
      </c>
      <c r="Q221" t="s">
        <v>154</v>
      </c>
      <c r="S221" t="s">
        <v>207</v>
      </c>
      <c r="T221" t="s">
        <v>163</v>
      </c>
      <c r="U221">
        <v>5.5303223707479324E-2</v>
      </c>
      <c r="V221" t="s">
        <v>154</v>
      </c>
    </row>
    <row r="222" spans="9:22" x14ac:dyDescent="0.25">
      <c r="I222" t="s">
        <v>173</v>
      </c>
      <c r="J222" t="s">
        <v>164</v>
      </c>
      <c r="K222">
        <v>2.3222564486103249E-2</v>
      </c>
      <c r="L222" t="s">
        <v>154</v>
      </c>
      <c r="N222" t="s">
        <v>197</v>
      </c>
      <c r="O222" t="s">
        <v>164</v>
      </c>
      <c r="P222">
        <v>2.0454550508988523E-2</v>
      </c>
      <c r="Q222" t="s">
        <v>154</v>
      </c>
      <c r="S222" t="s">
        <v>207</v>
      </c>
      <c r="T222" t="s">
        <v>164</v>
      </c>
      <c r="U222">
        <v>1.6948646179311491E-2</v>
      </c>
      <c r="V222" t="s">
        <v>154</v>
      </c>
    </row>
    <row r="223" spans="9:22" x14ac:dyDescent="0.25">
      <c r="I223" t="s">
        <v>173</v>
      </c>
      <c r="J223" t="s">
        <v>165</v>
      </c>
      <c r="K223">
        <v>2.0075056092908463E-2</v>
      </c>
      <c r="L223" t="s">
        <v>154</v>
      </c>
      <c r="N223" t="s">
        <v>197</v>
      </c>
      <c r="O223" t="s">
        <v>165</v>
      </c>
      <c r="P223">
        <v>1.0363714086312384E-2</v>
      </c>
      <c r="Q223" t="s">
        <v>154</v>
      </c>
      <c r="S223" t="s">
        <v>207</v>
      </c>
      <c r="T223" t="s">
        <v>165</v>
      </c>
      <c r="U223">
        <v>8.7385516156699185E-3</v>
      </c>
      <c r="V223" t="s">
        <v>154</v>
      </c>
    </row>
    <row r="224" spans="9:22" x14ac:dyDescent="0.25">
      <c r="I224" t="s">
        <v>173</v>
      </c>
      <c r="J224" t="s">
        <v>231</v>
      </c>
      <c r="K224">
        <v>0.10136719480759124</v>
      </c>
      <c r="L224" t="s">
        <v>154</v>
      </c>
      <c r="N224" t="s">
        <v>197</v>
      </c>
      <c r="O224" t="s">
        <v>231</v>
      </c>
      <c r="P224">
        <v>4.3276236739763087E-2</v>
      </c>
      <c r="Q224" t="s">
        <v>154</v>
      </c>
      <c r="S224" t="s">
        <v>207</v>
      </c>
      <c r="T224" t="s">
        <v>231</v>
      </c>
      <c r="U224">
        <v>3.1999152101868891E-2</v>
      </c>
      <c r="V224" t="s">
        <v>154</v>
      </c>
    </row>
    <row r="225" spans="9:22" x14ac:dyDescent="0.25">
      <c r="I225" t="s">
        <v>173</v>
      </c>
      <c r="J225" t="s">
        <v>232</v>
      </c>
      <c r="K225">
        <v>5.9137968096840292E-2</v>
      </c>
      <c r="L225" t="s">
        <v>154</v>
      </c>
      <c r="N225" t="s">
        <v>197</v>
      </c>
      <c r="O225" t="s">
        <v>232</v>
      </c>
      <c r="P225">
        <v>4.9008740392813735E-2</v>
      </c>
      <c r="Q225" t="s">
        <v>154</v>
      </c>
      <c r="S225" t="s">
        <v>207</v>
      </c>
      <c r="T225" t="s">
        <v>232</v>
      </c>
      <c r="U225">
        <v>3.2238331866448429E-2</v>
      </c>
      <c r="V225" t="s">
        <v>154</v>
      </c>
    </row>
    <row r="226" spans="9:22" x14ac:dyDescent="0.25">
      <c r="I226" t="s">
        <v>173</v>
      </c>
      <c r="J226" t="s">
        <v>233</v>
      </c>
      <c r="K226">
        <v>0</v>
      </c>
      <c r="L226" t="s">
        <v>154</v>
      </c>
      <c r="N226" t="s">
        <v>197</v>
      </c>
      <c r="O226" t="s">
        <v>233</v>
      </c>
      <c r="P226">
        <v>7.5380478458115741E-2</v>
      </c>
      <c r="Q226" t="s">
        <v>154</v>
      </c>
      <c r="S226" t="s">
        <v>207</v>
      </c>
      <c r="T226" t="s">
        <v>233</v>
      </c>
      <c r="U226">
        <v>5.084042092340401E-2</v>
      </c>
      <c r="V226" t="s">
        <v>154</v>
      </c>
    </row>
    <row r="227" spans="9:22" x14ac:dyDescent="0.25">
      <c r="I227" t="s">
        <v>174</v>
      </c>
      <c r="J227" t="s">
        <v>153</v>
      </c>
      <c r="K227">
        <v>3.0149726856317041E-3</v>
      </c>
      <c r="L227" t="s">
        <v>154</v>
      </c>
      <c r="N227" t="s">
        <v>198</v>
      </c>
      <c r="O227" t="s">
        <v>153</v>
      </c>
      <c r="P227">
        <v>0.13551413229974082</v>
      </c>
      <c r="Q227" t="s">
        <v>154</v>
      </c>
      <c r="S227" t="s">
        <v>208</v>
      </c>
      <c r="T227" t="s">
        <v>153</v>
      </c>
      <c r="U227">
        <v>0.11500999148500694</v>
      </c>
      <c r="V227" t="s">
        <v>154</v>
      </c>
    </row>
    <row r="228" spans="9:22" x14ac:dyDescent="0.25">
      <c r="I228" t="s">
        <v>174</v>
      </c>
      <c r="J228" t="s">
        <v>155</v>
      </c>
      <c r="K228">
        <v>4.1778908643746018E-2</v>
      </c>
      <c r="L228" t="s">
        <v>154</v>
      </c>
      <c r="N228" t="s">
        <v>198</v>
      </c>
      <c r="O228" t="s">
        <v>155</v>
      </c>
      <c r="P228">
        <v>3.3558118605465745E-2</v>
      </c>
      <c r="Q228" t="s">
        <v>154</v>
      </c>
      <c r="S228" t="s">
        <v>208</v>
      </c>
      <c r="T228" t="s">
        <v>155</v>
      </c>
      <c r="U228">
        <v>3.3331425731283067E-2</v>
      </c>
      <c r="V228" t="s">
        <v>154</v>
      </c>
    </row>
    <row r="229" spans="9:22" x14ac:dyDescent="0.25">
      <c r="I229" t="s">
        <v>174</v>
      </c>
      <c r="J229" t="s">
        <v>156</v>
      </c>
      <c r="K229">
        <v>3.980812582489781E-2</v>
      </c>
      <c r="L229" t="s">
        <v>154</v>
      </c>
      <c r="N229" t="s">
        <v>198</v>
      </c>
      <c r="O229" t="s">
        <v>156</v>
      </c>
      <c r="P229">
        <v>1.6710430810156145E-2</v>
      </c>
      <c r="Q229" t="s">
        <v>154</v>
      </c>
      <c r="S229" t="s">
        <v>208</v>
      </c>
      <c r="T229" t="s">
        <v>156</v>
      </c>
      <c r="U229">
        <v>1.7192578188713222E-2</v>
      </c>
      <c r="V229" t="s">
        <v>154</v>
      </c>
    </row>
    <row r="230" spans="9:22" x14ac:dyDescent="0.25">
      <c r="I230" t="s">
        <v>174</v>
      </c>
      <c r="J230" t="s">
        <v>222</v>
      </c>
      <c r="K230">
        <v>0.20652305564666731</v>
      </c>
      <c r="L230" t="s">
        <v>154</v>
      </c>
      <c r="N230" t="s">
        <v>198</v>
      </c>
      <c r="O230" t="s">
        <v>222</v>
      </c>
      <c r="P230">
        <v>7.6796052589033714E-2</v>
      </c>
      <c r="Q230" t="s">
        <v>154</v>
      </c>
      <c r="S230" t="s">
        <v>208</v>
      </c>
      <c r="T230" t="s">
        <v>222</v>
      </c>
      <c r="U230">
        <v>6.3703278514468581E-2</v>
      </c>
      <c r="V230" t="s">
        <v>154</v>
      </c>
    </row>
    <row r="231" spans="9:22" x14ac:dyDescent="0.25">
      <c r="I231" t="s">
        <v>174</v>
      </c>
      <c r="J231" t="s">
        <v>223</v>
      </c>
      <c r="K231">
        <v>0.11603602413165509</v>
      </c>
      <c r="L231" t="s">
        <v>154</v>
      </c>
      <c r="N231" t="s">
        <v>198</v>
      </c>
      <c r="O231" t="s">
        <v>223</v>
      </c>
      <c r="P231">
        <v>9.9612906830561815E-2</v>
      </c>
      <c r="Q231" t="s">
        <v>154</v>
      </c>
      <c r="S231" t="s">
        <v>208</v>
      </c>
      <c r="T231" t="s">
        <v>223</v>
      </c>
      <c r="U231">
        <v>5.8043261282065078E-2</v>
      </c>
      <c r="V231" t="s">
        <v>154</v>
      </c>
    </row>
    <row r="232" spans="9:22" x14ac:dyDescent="0.25">
      <c r="I232" t="s">
        <v>174</v>
      </c>
      <c r="J232" t="s">
        <v>224</v>
      </c>
      <c r="K232">
        <v>8.3433282416945991E-4</v>
      </c>
      <c r="L232" t="s">
        <v>154</v>
      </c>
      <c r="N232" t="s">
        <v>198</v>
      </c>
      <c r="O232" t="s">
        <v>224</v>
      </c>
      <c r="P232">
        <v>0.14202513118154769</v>
      </c>
      <c r="Q232" t="s">
        <v>154</v>
      </c>
      <c r="S232" t="s">
        <v>208</v>
      </c>
      <c r="T232" t="s">
        <v>224</v>
      </c>
      <c r="U232">
        <v>9.9890761693927202E-2</v>
      </c>
      <c r="V232" t="s">
        <v>154</v>
      </c>
    </row>
    <row r="233" spans="9:22" x14ac:dyDescent="0.25">
      <c r="I233" t="s">
        <v>174</v>
      </c>
      <c r="J233" t="s">
        <v>157</v>
      </c>
      <c r="K233">
        <v>2.5852840212304802E-3</v>
      </c>
      <c r="L233" t="s">
        <v>154</v>
      </c>
      <c r="N233" t="s">
        <v>198</v>
      </c>
      <c r="O233" t="s">
        <v>157</v>
      </c>
      <c r="P233">
        <v>1.1855411207596887E-2</v>
      </c>
      <c r="Q233" t="s">
        <v>154</v>
      </c>
      <c r="S233" t="s">
        <v>208</v>
      </c>
      <c r="T233" t="s">
        <v>157</v>
      </c>
      <c r="U233">
        <v>2.0443138453967846E-2</v>
      </c>
      <c r="V233" t="s">
        <v>154</v>
      </c>
    </row>
    <row r="234" spans="9:22" x14ac:dyDescent="0.25">
      <c r="I234" t="s">
        <v>174</v>
      </c>
      <c r="J234" t="s">
        <v>158</v>
      </c>
      <c r="K234">
        <v>1.3499621434426642E-2</v>
      </c>
      <c r="L234" t="s">
        <v>154</v>
      </c>
      <c r="N234" t="s">
        <v>198</v>
      </c>
      <c r="O234" t="s">
        <v>158</v>
      </c>
      <c r="P234">
        <v>3.814114195607204E-3</v>
      </c>
      <c r="Q234" t="s">
        <v>154</v>
      </c>
      <c r="S234" t="s">
        <v>208</v>
      </c>
      <c r="T234" t="s">
        <v>158</v>
      </c>
      <c r="U234">
        <v>6.8569053175739237E-3</v>
      </c>
      <c r="V234" t="s">
        <v>154</v>
      </c>
    </row>
    <row r="235" spans="9:22" x14ac:dyDescent="0.25">
      <c r="I235" t="s">
        <v>174</v>
      </c>
      <c r="J235" t="s">
        <v>159</v>
      </c>
      <c r="K235">
        <v>1.1420604491701425E-2</v>
      </c>
      <c r="L235" t="s">
        <v>154</v>
      </c>
      <c r="N235" t="s">
        <v>198</v>
      </c>
      <c r="O235" t="s">
        <v>159</v>
      </c>
      <c r="P235">
        <v>1.9463685763077914E-3</v>
      </c>
      <c r="Q235" t="s">
        <v>154</v>
      </c>
      <c r="S235" t="s">
        <v>208</v>
      </c>
      <c r="T235" t="s">
        <v>159</v>
      </c>
      <c r="U235">
        <v>3.4995539158773096E-3</v>
      </c>
      <c r="V235" t="s">
        <v>154</v>
      </c>
    </row>
    <row r="236" spans="9:22" x14ac:dyDescent="0.25">
      <c r="I236" t="s">
        <v>174</v>
      </c>
      <c r="J236" t="s">
        <v>225</v>
      </c>
      <c r="K236">
        <v>5.8665631028912944E-2</v>
      </c>
      <c r="L236" t="s">
        <v>154</v>
      </c>
      <c r="N236" t="s">
        <v>198</v>
      </c>
      <c r="O236" t="s">
        <v>225</v>
      </c>
      <c r="P236">
        <v>6.6413790048477014E-3</v>
      </c>
      <c r="Q236" t="s">
        <v>154</v>
      </c>
      <c r="S236" t="s">
        <v>208</v>
      </c>
      <c r="T236" t="s">
        <v>225</v>
      </c>
      <c r="U236">
        <v>1.3680945392082096E-2</v>
      </c>
      <c r="V236" t="s">
        <v>154</v>
      </c>
    </row>
    <row r="237" spans="9:22" x14ac:dyDescent="0.25">
      <c r="I237" t="s">
        <v>174</v>
      </c>
      <c r="J237" t="s">
        <v>226</v>
      </c>
      <c r="K237">
        <v>3.2222946579019841E-2</v>
      </c>
      <c r="L237" t="s">
        <v>154</v>
      </c>
      <c r="N237" t="s">
        <v>198</v>
      </c>
      <c r="O237" t="s">
        <v>226</v>
      </c>
      <c r="P237">
        <v>6.208857529811233E-3</v>
      </c>
      <c r="Q237" t="s">
        <v>154</v>
      </c>
      <c r="S237" t="s">
        <v>208</v>
      </c>
      <c r="T237" t="s">
        <v>226</v>
      </c>
      <c r="U237">
        <v>1.2632341468083249E-2</v>
      </c>
      <c r="V237" t="s">
        <v>154</v>
      </c>
    </row>
    <row r="238" spans="9:22" x14ac:dyDescent="0.25">
      <c r="I238" t="s">
        <v>174</v>
      </c>
      <c r="J238" t="s">
        <v>227</v>
      </c>
      <c r="K238">
        <v>5.52811385229959E-6</v>
      </c>
      <c r="L238" t="s">
        <v>154</v>
      </c>
      <c r="N238" t="s">
        <v>198</v>
      </c>
      <c r="O238" t="s">
        <v>227</v>
      </c>
      <c r="P238">
        <v>1.0458848394891107E-2</v>
      </c>
      <c r="Q238" t="s">
        <v>154</v>
      </c>
      <c r="S238" t="s">
        <v>208</v>
      </c>
      <c r="T238" t="s">
        <v>227</v>
      </c>
      <c r="U238">
        <v>1.4129461905736601E-2</v>
      </c>
      <c r="V238" t="s">
        <v>154</v>
      </c>
    </row>
    <row r="239" spans="9:22" x14ac:dyDescent="0.25">
      <c r="I239" t="s">
        <v>174</v>
      </c>
      <c r="J239" t="s">
        <v>160</v>
      </c>
      <c r="K239">
        <v>4.8032101190772216E-3</v>
      </c>
      <c r="L239" t="s">
        <v>154</v>
      </c>
      <c r="N239" t="s">
        <v>198</v>
      </c>
      <c r="O239" t="s">
        <v>160</v>
      </c>
      <c r="P239">
        <v>3.57901088601301E-2</v>
      </c>
      <c r="Q239" t="s">
        <v>154</v>
      </c>
      <c r="S239" t="s">
        <v>208</v>
      </c>
      <c r="T239" t="s">
        <v>160</v>
      </c>
      <c r="U239">
        <v>9.9472510768386202E-2</v>
      </c>
      <c r="V239" t="s">
        <v>154</v>
      </c>
    </row>
    <row r="240" spans="9:22" x14ac:dyDescent="0.25">
      <c r="I240" t="s">
        <v>174</v>
      </c>
      <c r="J240" t="s">
        <v>161</v>
      </c>
      <c r="K240">
        <v>2.8704834648626717E-2</v>
      </c>
      <c r="L240" t="s">
        <v>154</v>
      </c>
      <c r="N240" t="s">
        <v>198</v>
      </c>
      <c r="O240" t="s">
        <v>161</v>
      </c>
      <c r="P240">
        <v>1.3606937388663884E-2</v>
      </c>
      <c r="Q240" t="s">
        <v>154</v>
      </c>
      <c r="S240" t="s">
        <v>208</v>
      </c>
      <c r="T240" t="s">
        <v>161</v>
      </c>
      <c r="U240">
        <v>2.9756786631159424E-2</v>
      </c>
      <c r="V240" t="s">
        <v>154</v>
      </c>
    </row>
    <row r="241" spans="9:22" x14ac:dyDescent="0.25">
      <c r="I241" t="s">
        <v>174</v>
      </c>
      <c r="J241" t="s">
        <v>162</v>
      </c>
      <c r="K241">
        <v>2.4596470937900943E-2</v>
      </c>
      <c r="L241" t="s">
        <v>154</v>
      </c>
      <c r="N241" t="s">
        <v>198</v>
      </c>
      <c r="O241" t="s">
        <v>162</v>
      </c>
      <c r="P241">
        <v>6.939258250594835E-3</v>
      </c>
      <c r="Q241" t="s">
        <v>154</v>
      </c>
      <c r="S241" t="s">
        <v>208</v>
      </c>
      <c r="T241" t="s">
        <v>162</v>
      </c>
      <c r="U241">
        <v>1.4988145321718951E-2</v>
      </c>
      <c r="V241" t="s">
        <v>154</v>
      </c>
    </row>
    <row r="242" spans="9:22" x14ac:dyDescent="0.25">
      <c r="I242" t="s">
        <v>174</v>
      </c>
      <c r="J242" t="s">
        <v>228</v>
      </c>
      <c r="K242">
        <v>0.12635061905084946</v>
      </c>
      <c r="L242" t="s">
        <v>154</v>
      </c>
      <c r="N242" t="s">
        <v>198</v>
      </c>
      <c r="O242" t="s">
        <v>228</v>
      </c>
      <c r="P242">
        <v>2.2932143568859489E-2</v>
      </c>
      <c r="Q242" t="s">
        <v>154</v>
      </c>
      <c r="S242" t="s">
        <v>208</v>
      </c>
      <c r="T242" t="s">
        <v>228</v>
      </c>
      <c r="U242">
        <v>6.2151193944219377E-2</v>
      </c>
      <c r="V242" t="s">
        <v>154</v>
      </c>
    </row>
    <row r="243" spans="9:22" x14ac:dyDescent="0.25">
      <c r="I243" t="s">
        <v>174</v>
      </c>
      <c r="J243" t="s">
        <v>229</v>
      </c>
      <c r="K243">
        <v>7.1901048014183983E-2</v>
      </c>
      <c r="L243" t="s">
        <v>154</v>
      </c>
      <c r="N243" t="s">
        <v>198</v>
      </c>
      <c r="O243" t="s">
        <v>229</v>
      </c>
      <c r="P243">
        <v>2.1136569073538239E-2</v>
      </c>
      <c r="Q243" t="s">
        <v>154</v>
      </c>
      <c r="S243" t="s">
        <v>208</v>
      </c>
      <c r="T243" t="s">
        <v>229</v>
      </c>
      <c r="U243">
        <v>6.1175251777774303E-2</v>
      </c>
      <c r="V243" t="s">
        <v>154</v>
      </c>
    </row>
    <row r="244" spans="9:22" x14ac:dyDescent="0.25">
      <c r="I244" t="s">
        <v>174</v>
      </c>
      <c r="J244" t="s">
        <v>230</v>
      </c>
      <c r="K244">
        <v>2.8910446034370442E-5</v>
      </c>
      <c r="L244" t="s">
        <v>154</v>
      </c>
      <c r="N244" t="s">
        <v>198</v>
      </c>
      <c r="O244" t="s">
        <v>230</v>
      </c>
      <c r="P244">
        <v>3.4134365760333137E-2</v>
      </c>
      <c r="Q244" t="s">
        <v>154</v>
      </c>
      <c r="S244" t="s">
        <v>208</v>
      </c>
      <c r="T244" t="s">
        <v>230</v>
      </c>
      <c r="U244">
        <v>7.7370988250810901E-2</v>
      </c>
      <c r="V244" t="s">
        <v>154</v>
      </c>
    </row>
    <row r="245" spans="9:22" x14ac:dyDescent="0.25">
      <c r="I245" t="s">
        <v>174</v>
      </c>
      <c r="J245" t="s">
        <v>163</v>
      </c>
      <c r="K245">
        <v>4.2208997937533211E-3</v>
      </c>
      <c r="L245" t="s">
        <v>154</v>
      </c>
      <c r="N245" t="s">
        <v>198</v>
      </c>
      <c r="O245" t="s">
        <v>163</v>
      </c>
      <c r="P245">
        <v>8.0853993945146627E-2</v>
      </c>
      <c r="Q245" t="s">
        <v>154</v>
      </c>
      <c r="S245" t="s">
        <v>208</v>
      </c>
      <c r="T245" t="s">
        <v>163</v>
      </c>
      <c r="U245">
        <v>5.6628557244248277E-2</v>
      </c>
      <c r="V245" t="s">
        <v>154</v>
      </c>
    </row>
    <row r="246" spans="9:22" x14ac:dyDescent="0.25">
      <c r="I246" t="s">
        <v>174</v>
      </c>
      <c r="J246" t="s">
        <v>164</v>
      </c>
      <c r="K246">
        <v>2.6155869133131324E-2</v>
      </c>
      <c r="L246" t="s">
        <v>154</v>
      </c>
      <c r="N246" t="s">
        <v>198</v>
      </c>
      <c r="O246" t="s">
        <v>164</v>
      </c>
      <c r="P246">
        <v>2.0689846728310625E-2</v>
      </c>
      <c r="Q246" t="s">
        <v>154</v>
      </c>
      <c r="S246" t="s">
        <v>208</v>
      </c>
      <c r="T246" t="s">
        <v>164</v>
      </c>
      <c r="U246">
        <v>1.6122076754752666E-2</v>
      </c>
      <c r="V246" t="s">
        <v>154</v>
      </c>
    </row>
    <row r="247" spans="9:22" x14ac:dyDescent="0.25">
      <c r="I247" t="s">
        <v>174</v>
      </c>
      <c r="J247" t="s">
        <v>165</v>
      </c>
      <c r="K247">
        <v>2.2235965335317603E-2</v>
      </c>
      <c r="L247" t="s">
        <v>154</v>
      </c>
      <c r="N247" t="s">
        <v>198</v>
      </c>
      <c r="O247" t="s">
        <v>165</v>
      </c>
      <c r="P247">
        <v>1.0585060347841133E-2</v>
      </c>
      <c r="Q247" t="s">
        <v>154</v>
      </c>
      <c r="S247" t="s">
        <v>208</v>
      </c>
      <c r="T247" t="s">
        <v>165</v>
      </c>
      <c r="U247">
        <v>8.2760642018063144E-3</v>
      </c>
      <c r="V247" t="s">
        <v>154</v>
      </c>
    </row>
    <row r="248" spans="9:22" x14ac:dyDescent="0.25">
      <c r="I248" t="s">
        <v>174</v>
      </c>
      <c r="J248" t="s">
        <v>231</v>
      </c>
      <c r="K248">
        <v>0.10727294223663655</v>
      </c>
      <c r="L248" t="s">
        <v>154</v>
      </c>
      <c r="N248" t="s">
        <v>198</v>
      </c>
      <c r="O248" t="s">
        <v>231</v>
      </c>
      <c r="P248">
        <v>4.7390620721783842E-2</v>
      </c>
      <c r="Q248" t="s">
        <v>154</v>
      </c>
      <c r="S248" t="s">
        <v>208</v>
      </c>
      <c r="T248" t="s">
        <v>231</v>
      </c>
      <c r="U248">
        <v>3.1559015956981407E-2</v>
      </c>
      <c r="V248" t="s">
        <v>154</v>
      </c>
    </row>
    <row r="249" spans="9:22" x14ac:dyDescent="0.25">
      <c r="I249" t="s">
        <v>174</v>
      </c>
      <c r="J249" t="s">
        <v>232</v>
      </c>
      <c r="K249">
        <v>5.7334194858580614E-2</v>
      </c>
      <c r="L249" t="s">
        <v>154</v>
      </c>
      <c r="N249" t="s">
        <v>198</v>
      </c>
      <c r="O249" t="s">
        <v>232</v>
      </c>
      <c r="P249">
        <v>6.505242740487302E-2</v>
      </c>
      <c r="Q249" t="s">
        <v>154</v>
      </c>
      <c r="S249" t="s">
        <v>208</v>
      </c>
      <c r="T249" t="s">
        <v>232</v>
      </c>
      <c r="U249">
        <v>3.1721436029282159E-2</v>
      </c>
      <c r="V249" t="s">
        <v>154</v>
      </c>
    </row>
    <row r="250" spans="9:22" x14ac:dyDescent="0.25">
      <c r="I250" t="s">
        <v>174</v>
      </c>
      <c r="J250" t="s">
        <v>233</v>
      </c>
      <c r="K250">
        <v>0</v>
      </c>
      <c r="L250" t="s">
        <v>154</v>
      </c>
      <c r="N250" t="s">
        <v>198</v>
      </c>
      <c r="O250" t="s">
        <v>233</v>
      </c>
      <c r="P250">
        <v>9.5746916724359296E-2</v>
      </c>
      <c r="Q250" t="s">
        <v>154</v>
      </c>
      <c r="S250" t="s">
        <v>208</v>
      </c>
      <c r="T250" t="s">
        <v>233</v>
      </c>
      <c r="U250">
        <v>5.2364329770074679E-2</v>
      </c>
      <c r="V250" t="s">
        <v>154</v>
      </c>
    </row>
    <row r="251" spans="9:22" x14ac:dyDescent="0.25">
      <c r="I251" t="s">
        <v>175</v>
      </c>
      <c r="J251" t="s">
        <v>153</v>
      </c>
      <c r="K251">
        <v>3.9083554102092742E-3</v>
      </c>
      <c r="L251" t="s">
        <v>154</v>
      </c>
    </row>
    <row r="252" spans="9:22" x14ac:dyDescent="0.25">
      <c r="I252" t="s">
        <v>175</v>
      </c>
      <c r="J252" t="s">
        <v>155</v>
      </c>
      <c r="K252">
        <v>4.7893126626578998E-2</v>
      </c>
      <c r="L252" t="s">
        <v>154</v>
      </c>
    </row>
    <row r="253" spans="9:22" x14ac:dyDescent="0.25">
      <c r="I253" t="s">
        <v>175</v>
      </c>
      <c r="J253" t="s">
        <v>156</v>
      </c>
      <c r="K253">
        <v>4.2204289022137693E-2</v>
      </c>
      <c r="L253" t="s">
        <v>154</v>
      </c>
    </row>
    <row r="254" spans="9:22" x14ac:dyDescent="0.25">
      <c r="I254" t="s">
        <v>175</v>
      </c>
      <c r="J254" t="s">
        <v>222</v>
      </c>
      <c r="K254">
        <v>0.20794835248388036</v>
      </c>
      <c r="L254" t="s">
        <v>154</v>
      </c>
    </row>
    <row r="255" spans="9:22" x14ac:dyDescent="0.25">
      <c r="I255" t="s">
        <v>175</v>
      </c>
      <c r="J255" t="s">
        <v>223</v>
      </c>
      <c r="K255">
        <v>0.1110358582976283</v>
      </c>
      <c r="L255" t="s">
        <v>154</v>
      </c>
    </row>
    <row r="256" spans="9:22" x14ac:dyDescent="0.25">
      <c r="I256" t="s">
        <v>175</v>
      </c>
      <c r="J256" t="s">
        <v>224</v>
      </c>
      <c r="K256">
        <v>9.9804334672887909E-5</v>
      </c>
      <c r="L256" t="s">
        <v>154</v>
      </c>
    </row>
    <row r="257" spans="9:12" x14ac:dyDescent="0.25">
      <c r="I257" t="s">
        <v>175</v>
      </c>
      <c r="J257" t="s">
        <v>157</v>
      </c>
      <c r="K257">
        <v>2.318602949297506E-3</v>
      </c>
      <c r="L257" t="s">
        <v>154</v>
      </c>
    </row>
    <row r="258" spans="9:12" x14ac:dyDescent="0.25">
      <c r="I258" t="s">
        <v>175</v>
      </c>
      <c r="J258" t="s">
        <v>158</v>
      </c>
      <c r="K258">
        <v>1.3904925714836418E-2</v>
      </c>
      <c r="L258" t="s">
        <v>154</v>
      </c>
    </row>
    <row r="259" spans="9:12" x14ac:dyDescent="0.25">
      <c r="I259" t="s">
        <v>175</v>
      </c>
      <c r="J259" t="s">
        <v>159</v>
      </c>
      <c r="K259">
        <v>1.144931266497044E-2</v>
      </c>
      <c r="L259" t="s">
        <v>154</v>
      </c>
    </row>
    <row r="260" spans="9:12" x14ac:dyDescent="0.25">
      <c r="I260" t="s">
        <v>175</v>
      </c>
      <c r="J260" t="s">
        <v>225</v>
      </c>
      <c r="K260">
        <v>5.8075703083463805E-2</v>
      </c>
      <c r="L260" t="s">
        <v>154</v>
      </c>
    </row>
    <row r="261" spans="9:12" x14ac:dyDescent="0.25">
      <c r="I261" t="s">
        <v>175</v>
      </c>
      <c r="J261" t="s">
        <v>226</v>
      </c>
      <c r="K261">
        <v>3.1513066718616513E-2</v>
      </c>
      <c r="L261" t="s">
        <v>154</v>
      </c>
    </row>
    <row r="262" spans="9:12" x14ac:dyDescent="0.25">
      <c r="I262" t="s">
        <v>175</v>
      </c>
      <c r="J262" t="s">
        <v>227</v>
      </c>
      <c r="K262">
        <v>1.7977717137770653E-5</v>
      </c>
      <c r="L262" t="s">
        <v>154</v>
      </c>
    </row>
    <row r="263" spans="9:12" x14ac:dyDescent="0.25">
      <c r="I263" t="s">
        <v>175</v>
      </c>
      <c r="J263" t="s">
        <v>160</v>
      </c>
      <c r="K263">
        <v>5.0597598052559397E-3</v>
      </c>
      <c r="L263" t="s">
        <v>154</v>
      </c>
    </row>
    <row r="264" spans="9:12" x14ac:dyDescent="0.25">
      <c r="I264" t="s">
        <v>175</v>
      </c>
      <c r="J264" t="s">
        <v>161</v>
      </c>
      <c r="K264">
        <v>2.9257243595310036E-2</v>
      </c>
      <c r="L264" t="s">
        <v>154</v>
      </c>
    </row>
    <row r="265" spans="9:12" x14ac:dyDescent="0.25">
      <c r="I265" t="s">
        <v>175</v>
      </c>
      <c r="J265" t="s">
        <v>162</v>
      </c>
      <c r="K265">
        <v>2.4994324743036755E-2</v>
      </c>
      <c r="L265" t="s">
        <v>154</v>
      </c>
    </row>
    <row r="266" spans="9:12" x14ac:dyDescent="0.25">
      <c r="I266" t="s">
        <v>175</v>
      </c>
      <c r="J266" t="s">
        <v>228</v>
      </c>
      <c r="K266">
        <v>0.12495701708153349</v>
      </c>
      <c r="L266" t="s">
        <v>154</v>
      </c>
    </row>
    <row r="267" spans="9:12" x14ac:dyDescent="0.25">
      <c r="I267" t="s">
        <v>175</v>
      </c>
      <c r="J267" t="s">
        <v>229</v>
      </c>
      <c r="K267">
        <v>6.9021458225734786E-2</v>
      </c>
      <c r="L267" t="s">
        <v>154</v>
      </c>
    </row>
    <row r="268" spans="9:12" x14ac:dyDescent="0.25">
      <c r="I268" t="s">
        <v>175</v>
      </c>
      <c r="J268" t="s">
        <v>230</v>
      </c>
      <c r="K268">
        <v>1.5314002196538509E-4</v>
      </c>
      <c r="L268" t="s">
        <v>154</v>
      </c>
    </row>
    <row r="269" spans="9:12" x14ac:dyDescent="0.25">
      <c r="I269" t="s">
        <v>175</v>
      </c>
      <c r="J269" t="s">
        <v>163</v>
      </c>
      <c r="K269">
        <v>4.3342873753231589E-3</v>
      </c>
      <c r="L269" t="s">
        <v>154</v>
      </c>
    </row>
    <row r="270" spans="9:12" x14ac:dyDescent="0.25">
      <c r="I270" t="s">
        <v>175</v>
      </c>
      <c r="J270" t="s">
        <v>164</v>
      </c>
      <c r="K270">
        <v>2.8103387320192089E-2</v>
      </c>
      <c r="L270" t="s">
        <v>154</v>
      </c>
    </row>
    <row r="271" spans="9:12" x14ac:dyDescent="0.25">
      <c r="I271" t="s">
        <v>175</v>
      </c>
      <c r="J271" t="s">
        <v>165</v>
      </c>
      <c r="K271">
        <v>2.3085763591461635E-2</v>
      </c>
      <c r="L271" t="s">
        <v>154</v>
      </c>
    </row>
    <row r="272" spans="9:12" x14ac:dyDescent="0.25">
      <c r="I272" t="s">
        <v>175</v>
      </c>
      <c r="J272" t="s">
        <v>231</v>
      </c>
      <c r="K272">
        <v>0.10705104349160027</v>
      </c>
      <c r="L272" t="s">
        <v>154</v>
      </c>
    </row>
    <row r="273" spans="9:12" x14ac:dyDescent="0.25">
      <c r="I273" t="s">
        <v>175</v>
      </c>
      <c r="J273" t="s">
        <v>232</v>
      </c>
      <c r="K273">
        <v>5.3613199725155915E-2</v>
      </c>
      <c r="L273" t="s">
        <v>154</v>
      </c>
    </row>
    <row r="274" spans="9:12" x14ac:dyDescent="0.25">
      <c r="I274" t="s">
        <v>175</v>
      </c>
      <c r="J274" t="s">
        <v>233</v>
      </c>
      <c r="K274">
        <v>0</v>
      </c>
      <c r="L274" t="s">
        <v>154</v>
      </c>
    </row>
    <row r="275" spans="9:12" x14ac:dyDescent="0.25">
      <c r="I275" t="s">
        <v>176</v>
      </c>
      <c r="J275" t="s">
        <v>153</v>
      </c>
      <c r="K275">
        <v>4.4022807167699704E-3</v>
      </c>
      <c r="L275" t="s">
        <v>154</v>
      </c>
    </row>
    <row r="276" spans="9:12" x14ac:dyDescent="0.25">
      <c r="I276" t="s">
        <v>176</v>
      </c>
      <c r="J276" t="s">
        <v>155</v>
      </c>
      <c r="K276">
        <v>5.3293556988807285E-2</v>
      </c>
      <c r="L276" t="s">
        <v>154</v>
      </c>
    </row>
    <row r="277" spans="9:12" x14ac:dyDescent="0.25">
      <c r="I277" t="s">
        <v>176</v>
      </c>
      <c r="J277" t="s">
        <v>156</v>
      </c>
      <c r="K277">
        <v>4.2894254673537746E-2</v>
      </c>
      <c r="L277" t="s">
        <v>154</v>
      </c>
    </row>
    <row r="278" spans="9:12" x14ac:dyDescent="0.25">
      <c r="I278" t="s">
        <v>176</v>
      </c>
      <c r="J278" t="s">
        <v>222</v>
      </c>
      <c r="K278">
        <v>0.20231468719713355</v>
      </c>
      <c r="L278" t="s">
        <v>154</v>
      </c>
    </row>
    <row r="279" spans="9:12" x14ac:dyDescent="0.25">
      <c r="I279" t="s">
        <v>176</v>
      </c>
      <c r="J279" t="s">
        <v>223</v>
      </c>
      <c r="K279">
        <v>0.11640889880628411</v>
      </c>
      <c r="L279" t="s">
        <v>154</v>
      </c>
    </row>
    <row r="280" spans="9:12" x14ac:dyDescent="0.25">
      <c r="I280" t="s">
        <v>176</v>
      </c>
      <c r="J280" t="s">
        <v>224</v>
      </c>
      <c r="K280">
        <v>2.1531611874263988E-3</v>
      </c>
      <c r="L280" t="s">
        <v>154</v>
      </c>
    </row>
    <row r="281" spans="9:12" x14ac:dyDescent="0.25">
      <c r="I281" t="s">
        <v>176</v>
      </c>
      <c r="J281" t="s">
        <v>157</v>
      </c>
      <c r="K281">
        <v>3.2833547531127241E-3</v>
      </c>
      <c r="L281" t="s">
        <v>154</v>
      </c>
    </row>
    <row r="282" spans="9:12" x14ac:dyDescent="0.25">
      <c r="I282" t="s">
        <v>176</v>
      </c>
      <c r="J282" t="s">
        <v>158</v>
      </c>
      <c r="K282">
        <v>1.4138609282178315E-2</v>
      </c>
      <c r="L282" t="s">
        <v>154</v>
      </c>
    </row>
    <row r="283" spans="9:12" x14ac:dyDescent="0.25">
      <c r="I283" t="s">
        <v>176</v>
      </c>
      <c r="J283" t="s">
        <v>159</v>
      </c>
      <c r="K283">
        <v>1.1012499589412087E-2</v>
      </c>
      <c r="L283" t="s">
        <v>154</v>
      </c>
    </row>
    <row r="284" spans="9:12" x14ac:dyDescent="0.25">
      <c r="I284" t="s">
        <v>176</v>
      </c>
      <c r="J284" t="s">
        <v>225</v>
      </c>
      <c r="K284">
        <v>5.6351324488386832E-2</v>
      </c>
      <c r="L284" t="s">
        <v>154</v>
      </c>
    </row>
    <row r="285" spans="9:12" x14ac:dyDescent="0.25">
      <c r="I285" t="s">
        <v>176</v>
      </c>
      <c r="J285" t="s">
        <v>226</v>
      </c>
      <c r="K285">
        <v>3.2120745420164153E-2</v>
      </c>
      <c r="L285" t="s">
        <v>154</v>
      </c>
    </row>
    <row r="286" spans="9:12" x14ac:dyDescent="0.25">
      <c r="I286" t="s">
        <v>176</v>
      </c>
      <c r="J286" t="s">
        <v>227</v>
      </c>
      <c r="K286">
        <v>8.6620599626713898E-4</v>
      </c>
      <c r="L286" t="s">
        <v>154</v>
      </c>
    </row>
    <row r="287" spans="9:12" x14ac:dyDescent="0.25">
      <c r="I287" t="s">
        <v>176</v>
      </c>
      <c r="J287" t="s">
        <v>160</v>
      </c>
      <c r="K287">
        <v>5.5745463982180866E-3</v>
      </c>
      <c r="L287" t="s">
        <v>154</v>
      </c>
    </row>
    <row r="288" spans="9:12" x14ac:dyDescent="0.25">
      <c r="I288" t="s">
        <v>176</v>
      </c>
      <c r="J288" t="s">
        <v>161</v>
      </c>
      <c r="K288">
        <v>3.0268135743788158E-2</v>
      </c>
      <c r="L288" t="s">
        <v>154</v>
      </c>
    </row>
    <row r="289" spans="9:12" x14ac:dyDescent="0.25">
      <c r="I289" t="s">
        <v>176</v>
      </c>
      <c r="J289" t="s">
        <v>162</v>
      </c>
      <c r="K289">
        <v>2.4106935994785438E-2</v>
      </c>
      <c r="L289" t="s">
        <v>154</v>
      </c>
    </row>
    <row r="290" spans="9:12" x14ac:dyDescent="0.25">
      <c r="I290" t="s">
        <v>176</v>
      </c>
      <c r="J290" t="s">
        <v>228</v>
      </c>
      <c r="K290">
        <v>0.11963472503451449</v>
      </c>
      <c r="L290" t="s">
        <v>154</v>
      </c>
    </row>
    <row r="291" spans="9:12" x14ac:dyDescent="0.25">
      <c r="I291" t="s">
        <v>176</v>
      </c>
      <c r="J291" t="s">
        <v>229</v>
      </c>
      <c r="K291">
        <v>7.0336473793354365E-2</v>
      </c>
      <c r="L291" t="s">
        <v>154</v>
      </c>
    </row>
    <row r="292" spans="9:12" x14ac:dyDescent="0.25">
      <c r="I292" t="s">
        <v>176</v>
      </c>
      <c r="J292" t="s">
        <v>230</v>
      </c>
      <c r="K292">
        <v>2.4294567888637985E-3</v>
      </c>
      <c r="L292" t="s">
        <v>154</v>
      </c>
    </row>
    <row r="293" spans="9:12" x14ac:dyDescent="0.25">
      <c r="I293" t="s">
        <v>176</v>
      </c>
      <c r="J293" t="s">
        <v>163</v>
      </c>
      <c r="K293">
        <v>4.667183002691682E-3</v>
      </c>
      <c r="L293" t="s">
        <v>154</v>
      </c>
    </row>
    <row r="294" spans="9:12" x14ac:dyDescent="0.25">
      <c r="I294" t="s">
        <v>176</v>
      </c>
      <c r="J294" t="s">
        <v>164</v>
      </c>
      <c r="K294">
        <v>2.7633196695506873E-2</v>
      </c>
      <c r="L294" t="s">
        <v>154</v>
      </c>
    </row>
    <row r="295" spans="9:12" x14ac:dyDescent="0.25">
      <c r="I295" t="s">
        <v>176</v>
      </c>
      <c r="J295" t="s">
        <v>165</v>
      </c>
      <c r="K295">
        <v>2.1464291160470491E-2</v>
      </c>
      <c r="L295" t="s">
        <v>154</v>
      </c>
    </row>
    <row r="296" spans="9:12" x14ac:dyDescent="0.25">
      <c r="I296" t="s">
        <v>176</v>
      </c>
      <c r="J296" t="s">
        <v>231</v>
      </c>
      <c r="K296">
        <v>0.10132719617610048</v>
      </c>
      <c r="L296" t="s">
        <v>154</v>
      </c>
    </row>
    <row r="297" spans="9:12" x14ac:dyDescent="0.25">
      <c r="I297" t="s">
        <v>176</v>
      </c>
      <c r="J297" t="s">
        <v>232</v>
      </c>
      <c r="K297">
        <v>5.3318280112225086E-2</v>
      </c>
      <c r="L297" t="s">
        <v>154</v>
      </c>
    </row>
    <row r="298" spans="9:12" x14ac:dyDescent="0.25">
      <c r="I298" t="s">
        <v>176</v>
      </c>
      <c r="J298" t="s">
        <v>233</v>
      </c>
      <c r="K298">
        <v>0</v>
      </c>
      <c r="L298" t="s">
        <v>154</v>
      </c>
    </row>
    <row r="299" spans="9:12" x14ac:dyDescent="0.25">
      <c r="I299" t="s">
        <v>177</v>
      </c>
      <c r="J299" t="s">
        <v>153</v>
      </c>
      <c r="K299">
        <v>3.2097043471984326E-3</v>
      </c>
      <c r="L299" t="s">
        <v>154</v>
      </c>
    </row>
    <row r="300" spans="9:12" x14ac:dyDescent="0.25">
      <c r="I300" t="s">
        <v>177</v>
      </c>
      <c r="J300" t="s">
        <v>155</v>
      </c>
      <c r="K300">
        <v>4.4241346955525153E-2</v>
      </c>
      <c r="L300" t="s">
        <v>154</v>
      </c>
    </row>
    <row r="301" spans="9:12" x14ac:dyDescent="0.25">
      <c r="I301" t="s">
        <v>177</v>
      </c>
      <c r="J301" t="s">
        <v>156</v>
      </c>
      <c r="K301">
        <v>3.9718683068737437E-2</v>
      </c>
      <c r="L301" t="s">
        <v>154</v>
      </c>
    </row>
    <row r="302" spans="9:12" x14ac:dyDescent="0.25">
      <c r="I302" t="s">
        <v>177</v>
      </c>
      <c r="J302" t="s">
        <v>222</v>
      </c>
      <c r="K302">
        <v>0.20269089460631654</v>
      </c>
      <c r="L302" t="s">
        <v>154</v>
      </c>
    </row>
    <row r="303" spans="9:12" x14ac:dyDescent="0.25">
      <c r="I303" t="s">
        <v>177</v>
      </c>
      <c r="J303" t="s">
        <v>223</v>
      </c>
      <c r="K303">
        <v>0.12095380201974322</v>
      </c>
      <c r="L303" t="s">
        <v>154</v>
      </c>
    </row>
    <row r="304" spans="9:12" x14ac:dyDescent="0.25">
      <c r="I304" t="s">
        <v>177</v>
      </c>
      <c r="J304" t="s">
        <v>224</v>
      </c>
      <c r="K304">
        <v>3.6428619563809738E-3</v>
      </c>
      <c r="L304" t="s">
        <v>154</v>
      </c>
    </row>
    <row r="305" spans="9:12" x14ac:dyDescent="0.25">
      <c r="I305" t="s">
        <v>177</v>
      </c>
      <c r="J305" t="s">
        <v>157</v>
      </c>
      <c r="K305">
        <v>2.3967615417297842E-3</v>
      </c>
      <c r="L305" t="s">
        <v>154</v>
      </c>
    </row>
    <row r="306" spans="9:12" x14ac:dyDescent="0.25">
      <c r="I306" t="s">
        <v>177</v>
      </c>
      <c r="J306" t="s">
        <v>158</v>
      </c>
      <c r="K306">
        <v>1.3960134435284372E-2</v>
      </c>
      <c r="L306" t="s">
        <v>154</v>
      </c>
    </row>
    <row r="307" spans="9:12" x14ac:dyDescent="0.25">
      <c r="I307" t="s">
        <v>177</v>
      </c>
      <c r="J307" t="s">
        <v>159</v>
      </c>
      <c r="K307">
        <v>1.1866125875923537E-2</v>
      </c>
      <c r="L307" t="s">
        <v>154</v>
      </c>
    </row>
    <row r="308" spans="9:12" x14ac:dyDescent="0.25">
      <c r="I308" t="s">
        <v>177</v>
      </c>
      <c r="J308" t="s">
        <v>225</v>
      </c>
      <c r="K308">
        <v>5.834244524984171E-2</v>
      </c>
      <c r="L308" t="s">
        <v>154</v>
      </c>
    </row>
    <row r="309" spans="9:12" x14ac:dyDescent="0.25">
      <c r="I309" t="s">
        <v>177</v>
      </c>
      <c r="J309" t="s">
        <v>226</v>
      </c>
      <c r="K309">
        <v>3.2829179256575455E-2</v>
      </c>
      <c r="L309" t="s">
        <v>154</v>
      </c>
    </row>
    <row r="310" spans="9:12" x14ac:dyDescent="0.25">
      <c r="I310" t="s">
        <v>177</v>
      </c>
      <c r="J310" t="s">
        <v>227</v>
      </c>
      <c r="K310">
        <v>1.4701075475707622E-3</v>
      </c>
      <c r="L310" t="s">
        <v>154</v>
      </c>
    </row>
    <row r="311" spans="9:12" x14ac:dyDescent="0.25">
      <c r="I311" t="s">
        <v>177</v>
      </c>
      <c r="J311" t="s">
        <v>160</v>
      </c>
      <c r="K311">
        <v>2.4940673672235441E-3</v>
      </c>
      <c r="L311" t="s">
        <v>154</v>
      </c>
    </row>
    <row r="312" spans="9:12" x14ac:dyDescent="0.25">
      <c r="I312" t="s">
        <v>177</v>
      </c>
      <c r="J312" t="s">
        <v>161</v>
      </c>
      <c r="K312">
        <v>2.894309507252036E-2</v>
      </c>
      <c r="L312" t="s">
        <v>154</v>
      </c>
    </row>
    <row r="313" spans="9:12" x14ac:dyDescent="0.25">
      <c r="I313" t="s">
        <v>177</v>
      </c>
      <c r="J313" t="s">
        <v>162</v>
      </c>
      <c r="K313">
        <v>2.4767879004606589E-2</v>
      </c>
      <c r="L313" t="s">
        <v>154</v>
      </c>
    </row>
    <row r="314" spans="9:12" x14ac:dyDescent="0.25">
      <c r="I314" t="s">
        <v>177</v>
      </c>
      <c r="J314" t="s">
        <v>228</v>
      </c>
      <c r="K314">
        <v>0.1252513129903374</v>
      </c>
      <c r="L314" t="s">
        <v>154</v>
      </c>
    </row>
    <row r="315" spans="9:12" x14ac:dyDescent="0.25">
      <c r="I315" t="s">
        <v>177</v>
      </c>
      <c r="J315" t="s">
        <v>229</v>
      </c>
      <c r="K315">
        <v>7.3782585853081159E-2</v>
      </c>
      <c r="L315" t="s">
        <v>154</v>
      </c>
    </row>
    <row r="316" spans="9:12" x14ac:dyDescent="0.25">
      <c r="I316" t="s">
        <v>177</v>
      </c>
      <c r="J316" t="s">
        <v>230</v>
      </c>
      <c r="K316">
        <v>2.4716446401600103E-3</v>
      </c>
      <c r="L316" t="s">
        <v>154</v>
      </c>
    </row>
    <row r="317" spans="9:12" x14ac:dyDescent="0.25">
      <c r="I317" t="s">
        <v>177</v>
      </c>
      <c r="J317" t="s">
        <v>163</v>
      </c>
      <c r="K317">
        <v>4.0151360556488951E-3</v>
      </c>
      <c r="L317" t="s">
        <v>154</v>
      </c>
    </row>
    <row r="318" spans="9:12" x14ac:dyDescent="0.25">
      <c r="I318" t="s">
        <v>177</v>
      </c>
      <c r="J318" t="s">
        <v>164</v>
      </c>
      <c r="K318">
        <v>2.5831960578960922E-2</v>
      </c>
      <c r="L318" t="s">
        <v>154</v>
      </c>
    </row>
    <row r="319" spans="9:12" x14ac:dyDescent="0.25">
      <c r="I319" t="s">
        <v>177</v>
      </c>
      <c r="J319" t="s">
        <v>165</v>
      </c>
      <c r="K319">
        <v>2.1317699853331887E-2</v>
      </c>
      <c r="L319" t="s">
        <v>154</v>
      </c>
    </row>
    <row r="320" spans="9:12" x14ac:dyDescent="0.25">
      <c r="I320" t="s">
        <v>177</v>
      </c>
      <c r="J320" t="s">
        <v>231</v>
      </c>
      <c r="K320">
        <v>0.10117509302135627</v>
      </c>
      <c r="L320" t="s">
        <v>154</v>
      </c>
    </row>
    <row r="321" spans="9:12" x14ac:dyDescent="0.25">
      <c r="I321" t="s">
        <v>177</v>
      </c>
      <c r="J321" t="s">
        <v>232</v>
      </c>
      <c r="K321">
        <v>5.462747870194707E-2</v>
      </c>
      <c r="L321" t="s">
        <v>154</v>
      </c>
    </row>
    <row r="322" spans="9:12" x14ac:dyDescent="0.25">
      <c r="I322" t="s">
        <v>177</v>
      </c>
      <c r="J322" t="s">
        <v>233</v>
      </c>
      <c r="K322">
        <v>0</v>
      </c>
      <c r="L322" t="s">
        <v>154</v>
      </c>
    </row>
    <row r="323" spans="9:12" x14ac:dyDescent="0.25">
      <c r="I323" t="s">
        <v>178</v>
      </c>
      <c r="J323" t="s">
        <v>153</v>
      </c>
      <c r="K323">
        <v>0</v>
      </c>
      <c r="L323" t="s">
        <v>154</v>
      </c>
    </row>
    <row r="324" spans="9:12" x14ac:dyDescent="0.25">
      <c r="I324" t="s">
        <v>178</v>
      </c>
      <c r="J324" t="s">
        <v>155</v>
      </c>
      <c r="K324">
        <v>3.634436635288979E-2</v>
      </c>
      <c r="L324" t="s">
        <v>154</v>
      </c>
    </row>
    <row r="325" spans="9:12" x14ac:dyDescent="0.25">
      <c r="I325" t="s">
        <v>178</v>
      </c>
      <c r="J325" t="s">
        <v>156</v>
      </c>
      <c r="K325">
        <v>3.5161670374478225E-2</v>
      </c>
      <c r="L325" t="s">
        <v>154</v>
      </c>
    </row>
    <row r="326" spans="9:12" x14ac:dyDescent="0.25">
      <c r="I326" t="s">
        <v>178</v>
      </c>
      <c r="J326" t="s">
        <v>222</v>
      </c>
      <c r="K326">
        <v>0.18834882821326701</v>
      </c>
      <c r="L326" t="s">
        <v>154</v>
      </c>
    </row>
    <row r="327" spans="9:12" x14ac:dyDescent="0.25">
      <c r="I327" t="s">
        <v>178</v>
      </c>
      <c r="J327" t="s">
        <v>223</v>
      </c>
      <c r="K327">
        <v>0.14806715492751835</v>
      </c>
      <c r="L327" t="s">
        <v>154</v>
      </c>
    </row>
    <row r="328" spans="9:12" x14ac:dyDescent="0.25">
      <c r="I328" t="s">
        <v>178</v>
      </c>
      <c r="J328" t="s">
        <v>224</v>
      </c>
      <c r="K328">
        <v>1.6138928138022025E-2</v>
      </c>
      <c r="L328" t="s">
        <v>154</v>
      </c>
    </row>
    <row r="329" spans="9:12" x14ac:dyDescent="0.25">
      <c r="I329" t="s">
        <v>178</v>
      </c>
      <c r="J329" t="s">
        <v>157</v>
      </c>
      <c r="K329">
        <v>0</v>
      </c>
      <c r="L329" t="s">
        <v>154</v>
      </c>
    </row>
    <row r="330" spans="9:12" x14ac:dyDescent="0.25">
      <c r="I330" t="s">
        <v>178</v>
      </c>
      <c r="J330" t="s">
        <v>158</v>
      </c>
      <c r="K330">
        <v>8.3897525133011536E-3</v>
      </c>
      <c r="L330" t="s">
        <v>154</v>
      </c>
    </row>
    <row r="331" spans="9:12" x14ac:dyDescent="0.25">
      <c r="I331" t="s">
        <v>178</v>
      </c>
      <c r="J331" t="s">
        <v>159</v>
      </c>
      <c r="K331">
        <v>8.5469986185139606E-3</v>
      </c>
      <c r="L331" t="s">
        <v>154</v>
      </c>
    </row>
    <row r="332" spans="9:12" x14ac:dyDescent="0.25">
      <c r="I332" t="s">
        <v>178</v>
      </c>
      <c r="J332" t="s">
        <v>225</v>
      </c>
      <c r="K332">
        <v>4.9818729960689326E-2</v>
      </c>
      <c r="L332" t="s">
        <v>154</v>
      </c>
    </row>
    <row r="333" spans="9:12" x14ac:dyDescent="0.25">
      <c r="I333" t="s">
        <v>178</v>
      </c>
      <c r="J333" t="s">
        <v>226</v>
      </c>
      <c r="K333">
        <v>3.6309269101844448E-2</v>
      </c>
      <c r="L333" t="s">
        <v>154</v>
      </c>
    </row>
    <row r="334" spans="9:12" x14ac:dyDescent="0.25">
      <c r="I334" t="s">
        <v>178</v>
      </c>
      <c r="J334" t="s">
        <v>227</v>
      </c>
      <c r="K334">
        <v>3.7411868389669251E-3</v>
      </c>
      <c r="L334" t="s">
        <v>154</v>
      </c>
    </row>
    <row r="335" spans="9:12" x14ac:dyDescent="0.25">
      <c r="I335" t="s">
        <v>178</v>
      </c>
      <c r="J335" t="s">
        <v>160</v>
      </c>
      <c r="K335">
        <v>0</v>
      </c>
      <c r="L335" t="s">
        <v>154</v>
      </c>
    </row>
    <row r="336" spans="9:12" x14ac:dyDescent="0.25">
      <c r="I336" t="s">
        <v>178</v>
      </c>
      <c r="J336" t="s">
        <v>161</v>
      </c>
      <c r="K336">
        <v>2.1154949511839327E-2</v>
      </c>
      <c r="L336" t="s">
        <v>154</v>
      </c>
    </row>
    <row r="337" spans="9:12" x14ac:dyDescent="0.25">
      <c r="I337" t="s">
        <v>178</v>
      </c>
      <c r="J337" t="s">
        <v>162</v>
      </c>
      <c r="K337">
        <v>2.0911747269974423E-2</v>
      </c>
      <c r="L337" t="s">
        <v>154</v>
      </c>
    </row>
    <row r="338" spans="9:12" x14ac:dyDescent="0.25">
      <c r="I338" t="s">
        <v>178</v>
      </c>
      <c r="J338" t="s">
        <v>228</v>
      </c>
      <c r="K338">
        <v>0.11505277935484207</v>
      </c>
      <c r="L338" t="s">
        <v>154</v>
      </c>
    </row>
    <row r="339" spans="9:12" x14ac:dyDescent="0.25">
      <c r="I339" t="s">
        <v>178</v>
      </c>
      <c r="J339" t="s">
        <v>229</v>
      </c>
      <c r="K339">
        <v>8.3644728288379405E-2</v>
      </c>
      <c r="L339" t="s">
        <v>154</v>
      </c>
    </row>
    <row r="340" spans="9:12" x14ac:dyDescent="0.25">
      <c r="I340" t="s">
        <v>178</v>
      </c>
      <c r="J340" t="s">
        <v>230</v>
      </c>
      <c r="K340">
        <v>8.3591119947344639E-3</v>
      </c>
      <c r="L340" t="s">
        <v>154</v>
      </c>
    </row>
    <row r="341" spans="9:12" x14ac:dyDescent="0.25">
      <c r="I341" t="s">
        <v>178</v>
      </c>
      <c r="J341" t="s">
        <v>163</v>
      </c>
      <c r="K341">
        <v>0</v>
      </c>
      <c r="L341" t="s">
        <v>154</v>
      </c>
    </row>
    <row r="342" spans="9:12" x14ac:dyDescent="0.25">
      <c r="I342" t="s">
        <v>178</v>
      </c>
      <c r="J342" t="s">
        <v>164</v>
      </c>
      <c r="K342">
        <v>2.1572387200886108E-2</v>
      </c>
      <c r="L342" t="s">
        <v>154</v>
      </c>
    </row>
    <row r="343" spans="9:12" x14ac:dyDescent="0.25">
      <c r="I343" t="s">
        <v>178</v>
      </c>
      <c r="J343" t="s">
        <v>165</v>
      </c>
      <c r="K343">
        <v>1.9981506164991093E-2</v>
      </c>
      <c r="L343" t="s">
        <v>154</v>
      </c>
    </row>
    <row r="344" spans="9:12" x14ac:dyDescent="0.25">
      <c r="I344" t="s">
        <v>178</v>
      </c>
      <c r="J344" t="s">
        <v>231</v>
      </c>
      <c r="K344">
        <v>9.9978389287330396E-2</v>
      </c>
      <c r="L344" t="s">
        <v>154</v>
      </c>
    </row>
    <row r="345" spans="9:12" x14ac:dyDescent="0.25">
      <c r="I345" t="s">
        <v>178</v>
      </c>
      <c r="J345" t="s">
        <v>232</v>
      </c>
      <c r="K345">
        <v>7.1466605348390763E-2</v>
      </c>
      <c r="L345" t="s">
        <v>154</v>
      </c>
    </row>
    <row r="346" spans="9:12" x14ac:dyDescent="0.25">
      <c r="I346" t="s">
        <v>178</v>
      </c>
      <c r="J346" t="s">
        <v>233</v>
      </c>
      <c r="K346">
        <v>7.010910539141932E-3</v>
      </c>
      <c r="L346" t="s">
        <v>154</v>
      </c>
    </row>
    <row r="347" spans="9:12" x14ac:dyDescent="0.25">
      <c r="I347" t="s">
        <v>179</v>
      </c>
      <c r="J347" t="s">
        <v>153</v>
      </c>
      <c r="K347">
        <v>0</v>
      </c>
      <c r="L347" t="s">
        <v>154</v>
      </c>
    </row>
    <row r="348" spans="9:12" x14ac:dyDescent="0.25">
      <c r="I348" t="s">
        <v>179</v>
      </c>
      <c r="J348" t="s">
        <v>155</v>
      </c>
      <c r="K348">
        <v>2.5406042296906413E-2</v>
      </c>
      <c r="L348" t="s">
        <v>154</v>
      </c>
    </row>
    <row r="349" spans="9:12" x14ac:dyDescent="0.25">
      <c r="I349" t="s">
        <v>179</v>
      </c>
      <c r="J349" t="s">
        <v>156</v>
      </c>
      <c r="K349">
        <v>3.3241362348867334E-2</v>
      </c>
      <c r="L349" t="s">
        <v>154</v>
      </c>
    </row>
    <row r="350" spans="9:12" x14ac:dyDescent="0.25">
      <c r="I350" t="s">
        <v>179</v>
      </c>
      <c r="J350" t="s">
        <v>222</v>
      </c>
      <c r="K350">
        <v>0.19338833214752371</v>
      </c>
      <c r="L350" t="s">
        <v>154</v>
      </c>
    </row>
    <row r="351" spans="9:12" x14ac:dyDescent="0.25">
      <c r="I351" t="s">
        <v>179</v>
      </c>
      <c r="J351" t="s">
        <v>223</v>
      </c>
      <c r="K351">
        <v>0.15323139518617471</v>
      </c>
      <c r="L351" t="s">
        <v>154</v>
      </c>
    </row>
    <row r="352" spans="9:12" x14ac:dyDescent="0.25">
      <c r="I352" t="s">
        <v>179</v>
      </c>
      <c r="J352" t="s">
        <v>224</v>
      </c>
      <c r="K352">
        <v>1.3702520568286537E-2</v>
      </c>
      <c r="L352" t="s">
        <v>154</v>
      </c>
    </row>
    <row r="353" spans="9:12" x14ac:dyDescent="0.25">
      <c r="I353" t="s">
        <v>179</v>
      </c>
      <c r="J353" t="s">
        <v>157</v>
      </c>
      <c r="K353">
        <v>0</v>
      </c>
      <c r="L353" t="s">
        <v>154</v>
      </c>
    </row>
    <row r="354" spans="9:12" x14ac:dyDescent="0.25">
      <c r="I354" t="s">
        <v>179</v>
      </c>
      <c r="J354" t="s">
        <v>158</v>
      </c>
      <c r="K354">
        <v>6.9405313086556347E-3</v>
      </c>
      <c r="L354" t="s">
        <v>154</v>
      </c>
    </row>
    <row r="355" spans="9:12" x14ac:dyDescent="0.25">
      <c r="I355" t="s">
        <v>179</v>
      </c>
      <c r="J355" t="s">
        <v>159</v>
      </c>
      <c r="K355">
        <v>8.7630395041394128E-3</v>
      </c>
      <c r="L355" t="s">
        <v>154</v>
      </c>
    </row>
    <row r="356" spans="9:12" x14ac:dyDescent="0.25">
      <c r="I356" t="s">
        <v>179</v>
      </c>
      <c r="J356" t="s">
        <v>225</v>
      </c>
      <c r="K356">
        <v>5.4253488558204471E-2</v>
      </c>
      <c r="L356" t="s">
        <v>154</v>
      </c>
    </row>
    <row r="357" spans="9:12" x14ac:dyDescent="0.25">
      <c r="I357" t="s">
        <v>179</v>
      </c>
      <c r="J357" t="s">
        <v>226</v>
      </c>
      <c r="K357">
        <v>3.7944740932482235E-2</v>
      </c>
      <c r="L357" t="s">
        <v>154</v>
      </c>
    </row>
    <row r="358" spans="9:12" x14ac:dyDescent="0.25">
      <c r="I358" t="s">
        <v>179</v>
      </c>
      <c r="J358" t="s">
        <v>227</v>
      </c>
      <c r="K358">
        <v>2.8774611144705706E-3</v>
      </c>
      <c r="L358" t="s">
        <v>154</v>
      </c>
    </row>
    <row r="359" spans="9:12" x14ac:dyDescent="0.25">
      <c r="I359" t="s">
        <v>179</v>
      </c>
      <c r="J359" t="s">
        <v>160</v>
      </c>
      <c r="K359">
        <v>0</v>
      </c>
      <c r="L359" t="s">
        <v>154</v>
      </c>
    </row>
    <row r="360" spans="9:12" x14ac:dyDescent="0.25">
      <c r="I360" t="s">
        <v>179</v>
      </c>
      <c r="J360" t="s">
        <v>161</v>
      </c>
      <c r="K360">
        <v>1.7774221492095867E-2</v>
      </c>
      <c r="L360" t="s">
        <v>154</v>
      </c>
    </row>
    <row r="361" spans="9:12" x14ac:dyDescent="0.25">
      <c r="I361" t="s">
        <v>179</v>
      </c>
      <c r="J361" t="s">
        <v>162</v>
      </c>
      <c r="K361">
        <v>2.0535076149412978E-2</v>
      </c>
      <c r="L361" t="s">
        <v>154</v>
      </c>
    </row>
    <row r="362" spans="9:12" x14ac:dyDescent="0.25">
      <c r="I362" t="s">
        <v>179</v>
      </c>
      <c r="J362" t="s">
        <v>228</v>
      </c>
      <c r="K362">
        <v>0.12136118415035933</v>
      </c>
      <c r="L362" t="s">
        <v>154</v>
      </c>
    </row>
    <row r="363" spans="9:12" x14ac:dyDescent="0.25">
      <c r="I363" t="s">
        <v>179</v>
      </c>
      <c r="J363" t="s">
        <v>229</v>
      </c>
      <c r="K363">
        <v>8.7669212167145016E-2</v>
      </c>
      <c r="L363" t="s">
        <v>154</v>
      </c>
    </row>
    <row r="364" spans="9:12" x14ac:dyDescent="0.25">
      <c r="I364" t="s">
        <v>179</v>
      </c>
      <c r="J364" t="s">
        <v>230</v>
      </c>
      <c r="K364">
        <v>6.6123842578706491E-3</v>
      </c>
      <c r="L364" t="s">
        <v>154</v>
      </c>
    </row>
    <row r="365" spans="9:12" x14ac:dyDescent="0.25">
      <c r="I365" t="s">
        <v>179</v>
      </c>
      <c r="J365" t="s">
        <v>163</v>
      </c>
      <c r="K365">
        <v>0</v>
      </c>
      <c r="L365" t="s">
        <v>154</v>
      </c>
    </row>
    <row r="366" spans="9:12" x14ac:dyDescent="0.25">
      <c r="I366" t="s">
        <v>179</v>
      </c>
      <c r="J366" t="s">
        <v>164</v>
      </c>
      <c r="K366">
        <v>1.7186805902577276E-2</v>
      </c>
      <c r="L366" t="s">
        <v>154</v>
      </c>
    </row>
    <row r="367" spans="9:12" x14ac:dyDescent="0.25">
      <c r="I367" t="s">
        <v>179</v>
      </c>
      <c r="J367" t="s">
        <v>165</v>
      </c>
      <c r="K367">
        <v>1.9884756755043569E-2</v>
      </c>
      <c r="L367" t="s">
        <v>154</v>
      </c>
    </row>
    <row r="368" spans="9:12" x14ac:dyDescent="0.25">
      <c r="I368" t="s">
        <v>179</v>
      </c>
      <c r="J368" t="s">
        <v>231</v>
      </c>
      <c r="K368">
        <v>0.10605900193262348</v>
      </c>
      <c r="L368" t="s">
        <v>154</v>
      </c>
    </row>
    <row r="369" spans="9:12" x14ac:dyDescent="0.25">
      <c r="I369" t="s">
        <v>179</v>
      </c>
      <c r="J369" t="s">
        <v>232</v>
      </c>
      <c r="K369">
        <v>6.8457623011077939E-2</v>
      </c>
      <c r="L369" t="s">
        <v>154</v>
      </c>
    </row>
    <row r="370" spans="9:12" x14ac:dyDescent="0.25">
      <c r="I370" t="s">
        <v>179</v>
      </c>
      <c r="J370" t="s">
        <v>233</v>
      </c>
      <c r="K370">
        <v>4.7108202160830387E-3</v>
      </c>
      <c r="L370" t="s">
        <v>154</v>
      </c>
    </row>
    <row r="371" spans="9:12" x14ac:dyDescent="0.25">
      <c r="I371" t="s">
        <v>180</v>
      </c>
      <c r="J371" t="s">
        <v>153</v>
      </c>
      <c r="K371">
        <v>0</v>
      </c>
      <c r="L371" t="s">
        <v>154</v>
      </c>
    </row>
    <row r="372" spans="9:12" x14ac:dyDescent="0.25">
      <c r="I372" t="s">
        <v>180</v>
      </c>
      <c r="J372" t="s">
        <v>155</v>
      </c>
      <c r="K372">
        <v>3.2163973968381492E-2</v>
      </c>
      <c r="L372" t="s">
        <v>154</v>
      </c>
    </row>
    <row r="373" spans="9:12" x14ac:dyDescent="0.25">
      <c r="I373" t="s">
        <v>180</v>
      </c>
      <c r="J373" t="s">
        <v>156</v>
      </c>
      <c r="K373">
        <v>3.4308252662652965E-2</v>
      </c>
      <c r="L373" t="s">
        <v>154</v>
      </c>
    </row>
    <row r="374" spans="9:12" x14ac:dyDescent="0.25">
      <c r="I374" t="s">
        <v>180</v>
      </c>
      <c r="J374" t="s">
        <v>222</v>
      </c>
      <c r="K374">
        <v>0.19097055145268954</v>
      </c>
      <c r="L374" t="s">
        <v>154</v>
      </c>
    </row>
    <row r="375" spans="9:12" x14ac:dyDescent="0.25">
      <c r="I375" t="s">
        <v>180</v>
      </c>
      <c r="J375" t="s">
        <v>223</v>
      </c>
      <c r="K375">
        <v>0.1500496087816755</v>
      </c>
      <c r="L375" t="s">
        <v>154</v>
      </c>
    </row>
    <row r="376" spans="9:12" x14ac:dyDescent="0.25">
      <c r="I376" t="s">
        <v>180</v>
      </c>
      <c r="J376" t="s">
        <v>224</v>
      </c>
      <c r="K376">
        <v>1.5192683857093115E-2</v>
      </c>
      <c r="L376" t="s">
        <v>154</v>
      </c>
    </row>
    <row r="377" spans="9:12" x14ac:dyDescent="0.25">
      <c r="I377" t="s">
        <v>180</v>
      </c>
      <c r="J377" t="s">
        <v>157</v>
      </c>
      <c r="K377">
        <v>0</v>
      </c>
      <c r="L377" t="s">
        <v>154</v>
      </c>
    </row>
    <row r="378" spans="9:12" x14ac:dyDescent="0.25">
      <c r="I378" t="s">
        <v>180</v>
      </c>
      <c r="J378" t="s">
        <v>158</v>
      </c>
      <c r="K378">
        <v>8.1624928623715617E-3</v>
      </c>
      <c r="L378" t="s">
        <v>154</v>
      </c>
    </row>
    <row r="379" spans="9:12" x14ac:dyDescent="0.25">
      <c r="I379" t="s">
        <v>180</v>
      </c>
      <c r="J379" t="s">
        <v>159</v>
      </c>
      <c r="K379">
        <v>8.8299112300905241E-3</v>
      </c>
      <c r="L379" t="s">
        <v>154</v>
      </c>
    </row>
    <row r="380" spans="9:12" x14ac:dyDescent="0.25">
      <c r="I380" t="s">
        <v>180</v>
      </c>
      <c r="J380" t="s">
        <v>225</v>
      </c>
      <c r="K380">
        <v>5.1566854560171516E-2</v>
      </c>
      <c r="L380" t="s">
        <v>154</v>
      </c>
    </row>
    <row r="381" spans="9:12" x14ac:dyDescent="0.25">
      <c r="I381" t="s">
        <v>180</v>
      </c>
      <c r="J381" t="s">
        <v>226</v>
      </c>
      <c r="K381">
        <v>3.6988105120186882E-2</v>
      </c>
      <c r="L381" t="s">
        <v>154</v>
      </c>
    </row>
    <row r="382" spans="9:12" x14ac:dyDescent="0.25">
      <c r="I382" t="s">
        <v>180</v>
      </c>
      <c r="J382" t="s">
        <v>227</v>
      </c>
      <c r="K382">
        <v>3.186905325842029E-3</v>
      </c>
      <c r="L382" t="s">
        <v>154</v>
      </c>
    </row>
    <row r="383" spans="9:12" x14ac:dyDescent="0.25">
      <c r="I383" t="s">
        <v>180</v>
      </c>
      <c r="J383" t="s">
        <v>160</v>
      </c>
      <c r="K383">
        <v>0</v>
      </c>
      <c r="L383" t="s">
        <v>154</v>
      </c>
    </row>
    <row r="384" spans="9:12" x14ac:dyDescent="0.25">
      <c r="I384" t="s">
        <v>180</v>
      </c>
      <c r="J384" t="s">
        <v>161</v>
      </c>
      <c r="K384">
        <v>2.0759512490476795E-2</v>
      </c>
      <c r="L384" t="s">
        <v>154</v>
      </c>
    </row>
    <row r="385" spans="9:12" x14ac:dyDescent="0.25">
      <c r="I385" t="s">
        <v>180</v>
      </c>
      <c r="J385" t="s">
        <v>162</v>
      </c>
      <c r="K385">
        <v>2.1058771852958319E-2</v>
      </c>
      <c r="L385" t="s">
        <v>154</v>
      </c>
    </row>
    <row r="386" spans="9:12" x14ac:dyDescent="0.25">
      <c r="I386" t="s">
        <v>180</v>
      </c>
      <c r="J386" t="s">
        <v>228</v>
      </c>
      <c r="K386">
        <v>0.11913839347448445</v>
      </c>
      <c r="L386" t="s">
        <v>154</v>
      </c>
    </row>
    <row r="387" spans="9:12" x14ac:dyDescent="0.25">
      <c r="I387" t="s">
        <v>180</v>
      </c>
      <c r="J387" t="s">
        <v>229</v>
      </c>
      <c r="K387">
        <v>8.6447244276511695E-2</v>
      </c>
      <c r="L387" t="s">
        <v>154</v>
      </c>
    </row>
    <row r="388" spans="9:12" x14ac:dyDescent="0.25">
      <c r="I388" t="s">
        <v>180</v>
      </c>
      <c r="J388" t="s">
        <v>230</v>
      </c>
      <c r="K388">
        <v>7.5739988115820214E-3</v>
      </c>
      <c r="L388" t="s">
        <v>154</v>
      </c>
    </row>
    <row r="389" spans="9:12" x14ac:dyDescent="0.25">
      <c r="I389" t="s">
        <v>180</v>
      </c>
      <c r="J389" t="s">
        <v>163</v>
      </c>
      <c r="K389">
        <v>0</v>
      </c>
      <c r="L389" t="s">
        <v>154</v>
      </c>
    </row>
    <row r="390" spans="9:12" x14ac:dyDescent="0.25">
      <c r="I390" t="s">
        <v>180</v>
      </c>
      <c r="J390" t="s">
        <v>164</v>
      </c>
      <c r="K390">
        <v>1.9213451133125281E-2</v>
      </c>
      <c r="L390" t="s">
        <v>154</v>
      </c>
    </row>
    <row r="391" spans="9:12" x14ac:dyDescent="0.25">
      <c r="I391" t="s">
        <v>180</v>
      </c>
      <c r="J391" t="s">
        <v>165</v>
      </c>
      <c r="K391">
        <v>1.9258384302209931E-2</v>
      </c>
      <c r="L391" t="s">
        <v>154</v>
      </c>
    </row>
    <row r="392" spans="9:12" x14ac:dyDescent="0.25">
      <c r="I392" t="s">
        <v>180</v>
      </c>
      <c r="J392" t="s">
        <v>231</v>
      </c>
      <c r="K392">
        <v>0.1014840841052848</v>
      </c>
      <c r="L392" t="s">
        <v>154</v>
      </c>
    </row>
    <row r="393" spans="9:12" x14ac:dyDescent="0.25">
      <c r="I393" t="s">
        <v>180</v>
      </c>
      <c r="J393" t="s">
        <v>232</v>
      </c>
      <c r="K393">
        <v>6.8487959093593509E-2</v>
      </c>
      <c r="L393" t="s">
        <v>154</v>
      </c>
    </row>
    <row r="394" spans="9:12" x14ac:dyDescent="0.25">
      <c r="I394" t="s">
        <v>180</v>
      </c>
      <c r="J394" t="s">
        <v>233</v>
      </c>
      <c r="K394">
        <v>5.1588606386175177E-3</v>
      </c>
      <c r="L394" t="s">
        <v>154</v>
      </c>
    </row>
    <row r="395" spans="9:12" x14ac:dyDescent="0.25">
      <c r="I395" t="s">
        <v>181</v>
      </c>
      <c r="J395" t="s">
        <v>153</v>
      </c>
      <c r="K395">
        <v>0</v>
      </c>
      <c r="L395" t="s">
        <v>154</v>
      </c>
    </row>
    <row r="396" spans="9:12" x14ac:dyDescent="0.25">
      <c r="I396" t="s">
        <v>181</v>
      </c>
      <c r="J396" t="s">
        <v>155</v>
      </c>
      <c r="K396">
        <v>3.526406779930371E-2</v>
      </c>
      <c r="L396" t="s">
        <v>154</v>
      </c>
    </row>
    <row r="397" spans="9:12" x14ac:dyDescent="0.25">
      <c r="I397" t="s">
        <v>181</v>
      </c>
      <c r="J397" t="s">
        <v>156</v>
      </c>
      <c r="K397">
        <v>3.3878725837004353E-2</v>
      </c>
      <c r="L397" t="s">
        <v>154</v>
      </c>
    </row>
    <row r="398" spans="9:12" x14ac:dyDescent="0.25">
      <c r="I398" t="s">
        <v>181</v>
      </c>
      <c r="J398" t="s">
        <v>222</v>
      </c>
      <c r="K398">
        <v>0.18765615057730889</v>
      </c>
      <c r="L398" t="s">
        <v>154</v>
      </c>
    </row>
    <row r="399" spans="9:12" x14ac:dyDescent="0.25">
      <c r="I399" t="s">
        <v>181</v>
      </c>
      <c r="J399" t="s">
        <v>223</v>
      </c>
      <c r="K399">
        <v>0.14997870271656583</v>
      </c>
      <c r="L399" t="s">
        <v>154</v>
      </c>
    </row>
    <row r="400" spans="9:12" x14ac:dyDescent="0.25">
      <c r="I400" t="s">
        <v>181</v>
      </c>
      <c r="J400" t="s">
        <v>224</v>
      </c>
      <c r="K400">
        <v>1.5665834482043707E-2</v>
      </c>
      <c r="L400" t="s">
        <v>154</v>
      </c>
    </row>
    <row r="401" spans="9:12" x14ac:dyDescent="0.25">
      <c r="I401" t="s">
        <v>181</v>
      </c>
      <c r="J401" t="s">
        <v>157</v>
      </c>
      <c r="K401">
        <v>0</v>
      </c>
      <c r="L401" t="s">
        <v>154</v>
      </c>
    </row>
    <row r="402" spans="9:12" x14ac:dyDescent="0.25">
      <c r="I402" t="s">
        <v>181</v>
      </c>
      <c r="J402" t="s">
        <v>158</v>
      </c>
      <c r="K402">
        <v>1.055915125232915E-2</v>
      </c>
      <c r="L402" t="s">
        <v>154</v>
      </c>
    </row>
    <row r="403" spans="9:12" x14ac:dyDescent="0.25">
      <c r="I403" t="s">
        <v>181</v>
      </c>
      <c r="J403" t="s">
        <v>159</v>
      </c>
      <c r="K403">
        <v>9.3877025962073243E-3</v>
      </c>
      <c r="L403" t="s">
        <v>154</v>
      </c>
    </row>
    <row r="404" spans="9:12" x14ac:dyDescent="0.25">
      <c r="I404" t="s">
        <v>181</v>
      </c>
      <c r="J404" t="s">
        <v>225</v>
      </c>
      <c r="K404">
        <v>5.4003609217704619E-2</v>
      </c>
      <c r="L404" t="s">
        <v>154</v>
      </c>
    </row>
    <row r="405" spans="9:12" x14ac:dyDescent="0.25">
      <c r="I405" t="s">
        <v>181</v>
      </c>
      <c r="J405" t="s">
        <v>226</v>
      </c>
      <c r="K405">
        <v>4.1295144668948951E-2</v>
      </c>
      <c r="L405" t="s">
        <v>154</v>
      </c>
    </row>
    <row r="406" spans="9:12" x14ac:dyDescent="0.25">
      <c r="I406" t="s">
        <v>181</v>
      </c>
      <c r="J406" t="s">
        <v>227</v>
      </c>
      <c r="K406">
        <v>4.2115062655898412E-3</v>
      </c>
      <c r="L406" t="s">
        <v>154</v>
      </c>
    </row>
    <row r="407" spans="9:12" x14ac:dyDescent="0.25">
      <c r="I407" t="s">
        <v>181</v>
      </c>
      <c r="J407" t="s">
        <v>160</v>
      </c>
      <c r="K407">
        <v>0</v>
      </c>
      <c r="L407" t="s">
        <v>154</v>
      </c>
    </row>
    <row r="408" spans="9:12" x14ac:dyDescent="0.25">
      <c r="I408" t="s">
        <v>181</v>
      </c>
      <c r="J408" t="s">
        <v>161</v>
      </c>
      <c r="K408">
        <v>2.0506667173749188E-2</v>
      </c>
      <c r="L408" t="s">
        <v>154</v>
      </c>
    </row>
    <row r="409" spans="9:12" x14ac:dyDescent="0.25">
      <c r="I409" t="s">
        <v>181</v>
      </c>
      <c r="J409" t="s">
        <v>162</v>
      </c>
      <c r="K409">
        <v>2.0859015705720695E-2</v>
      </c>
      <c r="L409" t="s">
        <v>154</v>
      </c>
    </row>
    <row r="410" spans="9:12" x14ac:dyDescent="0.25">
      <c r="I410" t="s">
        <v>181</v>
      </c>
      <c r="J410" t="s">
        <v>228</v>
      </c>
      <c r="K410">
        <v>0.11781185560804075</v>
      </c>
      <c r="L410" t="s">
        <v>154</v>
      </c>
    </row>
    <row r="411" spans="9:12" x14ac:dyDescent="0.25">
      <c r="I411" t="s">
        <v>181</v>
      </c>
      <c r="J411" t="s">
        <v>229</v>
      </c>
      <c r="K411">
        <v>9.3318258875530996E-2</v>
      </c>
      <c r="L411" t="s">
        <v>154</v>
      </c>
    </row>
    <row r="412" spans="9:12" x14ac:dyDescent="0.25">
      <c r="I412" t="s">
        <v>181</v>
      </c>
      <c r="J412" t="s">
        <v>230</v>
      </c>
      <c r="K412">
        <v>9.4253095699893437E-3</v>
      </c>
      <c r="L412" t="s">
        <v>154</v>
      </c>
    </row>
    <row r="413" spans="9:12" x14ac:dyDescent="0.25">
      <c r="I413" t="s">
        <v>181</v>
      </c>
      <c r="J413" t="s">
        <v>163</v>
      </c>
      <c r="K413">
        <v>0</v>
      </c>
      <c r="L413" t="s">
        <v>154</v>
      </c>
    </row>
    <row r="414" spans="9:12" x14ac:dyDescent="0.25">
      <c r="I414" t="s">
        <v>181</v>
      </c>
      <c r="J414" t="s">
        <v>164</v>
      </c>
      <c r="K414">
        <v>1.7130049540146342E-2</v>
      </c>
      <c r="L414" t="s">
        <v>154</v>
      </c>
    </row>
    <row r="415" spans="9:12" x14ac:dyDescent="0.25">
      <c r="I415" t="s">
        <v>181</v>
      </c>
      <c r="J415" t="s">
        <v>165</v>
      </c>
      <c r="K415">
        <v>1.6949693352671765E-2</v>
      </c>
      <c r="L415" t="s">
        <v>154</v>
      </c>
    </row>
    <row r="416" spans="9:12" x14ac:dyDescent="0.25">
      <c r="I416" t="s">
        <v>181</v>
      </c>
      <c r="J416" t="s">
        <v>231</v>
      </c>
      <c r="K416">
        <v>9.1324456921649672E-2</v>
      </c>
      <c r="L416" t="s">
        <v>154</v>
      </c>
    </row>
    <row r="417" spans="9:12" x14ac:dyDescent="0.25">
      <c r="I417" t="s">
        <v>181</v>
      </c>
      <c r="J417" t="s">
        <v>232</v>
      </c>
      <c r="K417">
        <v>6.5250158231960981E-2</v>
      </c>
      <c r="L417" t="s">
        <v>154</v>
      </c>
    </row>
    <row r="418" spans="9:12" x14ac:dyDescent="0.25">
      <c r="I418" t="s">
        <v>181</v>
      </c>
      <c r="J418" t="s">
        <v>233</v>
      </c>
      <c r="K418">
        <v>5.5239396075347407E-3</v>
      </c>
      <c r="L418" t="s">
        <v>154</v>
      </c>
    </row>
    <row r="419" spans="9:12" x14ac:dyDescent="0.25">
      <c r="I419" t="s">
        <v>182</v>
      </c>
      <c r="J419" t="s">
        <v>153</v>
      </c>
      <c r="K419">
        <v>0</v>
      </c>
      <c r="L419" t="s">
        <v>154</v>
      </c>
    </row>
    <row r="420" spans="9:12" x14ac:dyDescent="0.25">
      <c r="I420" t="s">
        <v>182</v>
      </c>
      <c r="J420" t="s">
        <v>155</v>
      </c>
      <c r="K420">
        <v>3.2410397844629485E-2</v>
      </c>
      <c r="L420" t="s">
        <v>154</v>
      </c>
    </row>
    <row r="421" spans="9:12" x14ac:dyDescent="0.25">
      <c r="I421" t="s">
        <v>182</v>
      </c>
      <c r="J421" t="s">
        <v>156</v>
      </c>
      <c r="K421">
        <v>3.3143680908026281E-2</v>
      </c>
      <c r="L421" t="s">
        <v>154</v>
      </c>
    </row>
    <row r="422" spans="9:12" x14ac:dyDescent="0.25">
      <c r="I422" t="s">
        <v>182</v>
      </c>
      <c r="J422" t="s">
        <v>222</v>
      </c>
      <c r="K422">
        <v>0.19096971227115614</v>
      </c>
      <c r="L422" t="s">
        <v>154</v>
      </c>
    </row>
    <row r="423" spans="9:12" x14ac:dyDescent="0.25">
      <c r="I423" t="s">
        <v>182</v>
      </c>
      <c r="J423" t="s">
        <v>223</v>
      </c>
      <c r="K423">
        <v>0.15050553118049112</v>
      </c>
      <c r="L423" t="s">
        <v>154</v>
      </c>
    </row>
    <row r="424" spans="9:12" x14ac:dyDescent="0.25">
      <c r="I424" t="s">
        <v>182</v>
      </c>
      <c r="J424" t="s">
        <v>224</v>
      </c>
      <c r="K424">
        <v>1.549090546098955E-2</v>
      </c>
      <c r="L424" t="s">
        <v>154</v>
      </c>
    </row>
    <row r="425" spans="9:12" x14ac:dyDescent="0.25">
      <c r="I425" t="s">
        <v>182</v>
      </c>
      <c r="J425" t="s">
        <v>157</v>
      </c>
      <c r="K425">
        <v>0</v>
      </c>
      <c r="L425" t="s">
        <v>154</v>
      </c>
    </row>
    <row r="426" spans="9:12" x14ac:dyDescent="0.25">
      <c r="I426" t="s">
        <v>182</v>
      </c>
      <c r="J426" t="s">
        <v>158</v>
      </c>
      <c r="K426">
        <v>1.0656219456184234E-2</v>
      </c>
      <c r="L426" t="s">
        <v>154</v>
      </c>
    </row>
    <row r="427" spans="9:12" x14ac:dyDescent="0.25">
      <c r="I427" t="s">
        <v>182</v>
      </c>
      <c r="J427" t="s">
        <v>159</v>
      </c>
      <c r="K427">
        <v>9.5191740109954771E-3</v>
      </c>
      <c r="L427" t="s">
        <v>154</v>
      </c>
    </row>
    <row r="428" spans="9:12" x14ac:dyDescent="0.25">
      <c r="I428" t="s">
        <v>182</v>
      </c>
      <c r="J428" t="s">
        <v>225</v>
      </c>
      <c r="K428">
        <v>5.3523009474370997E-2</v>
      </c>
      <c r="L428" t="s">
        <v>154</v>
      </c>
    </row>
    <row r="429" spans="9:12" x14ac:dyDescent="0.25">
      <c r="I429" t="s">
        <v>182</v>
      </c>
      <c r="J429" t="s">
        <v>226</v>
      </c>
      <c r="K429">
        <v>4.1997777213680886E-2</v>
      </c>
      <c r="L429" t="s">
        <v>154</v>
      </c>
    </row>
    <row r="430" spans="9:12" x14ac:dyDescent="0.25">
      <c r="I430" t="s">
        <v>182</v>
      </c>
      <c r="J430" t="s">
        <v>227</v>
      </c>
      <c r="K430">
        <v>4.5987256023611121E-3</v>
      </c>
      <c r="L430" t="s">
        <v>154</v>
      </c>
    </row>
    <row r="431" spans="9:12" x14ac:dyDescent="0.25">
      <c r="I431" t="s">
        <v>182</v>
      </c>
      <c r="J431" t="s">
        <v>160</v>
      </c>
      <c r="K431">
        <v>0</v>
      </c>
      <c r="L431" t="s">
        <v>154</v>
      </c>
    </row>
    <row r="432" spans="9:12" x14ac:dyDescent="0.25">
      <c r="I432" t="s">
        <v>182</v>
      </c>
      <c r="J432" t="s">
        <v>161</v>
      </c>
      <c r="K432">
        <v>1.9482057570069673E-2</v>
      </c>
      <c r="L432" t="s">
        <v>154</v>
      </c>
    </row>
    <row r="433" spans="9:12" x14ac:dyDescent="0.25">
      <c r="I433" t="s">
        <v>182</v>
      </c>
      <c r="J433" t="s">
        <v>162</v>
      </c>
      <c r="K433">
        <v>1.9080605873366286E-2</v>
      </c>
      <c r="L433" t="s">
        <v>154</v>
      </c>
    </row>
    <row r="434" spans="9:12" x14ac:dyDescent="0.25">
      <c r="I434" t="s">
        <v>182</v>
      </c>
      <c r="J434" t="s">
        <v>228</v>
      </c>
      <c r="K434">
        <v>0.11429875082327001</v>
      </c>
      <c r="L434" t="s">
        <v>154</v>
      </c>
    </row>
    <row r="435" spans="9:12" x14ac:dyDescent="0.25">
      <c r="I435" t="s">
        <v>182</v>
      </c>
      <c r="J435" t="s">
        <v>229</v>
      </c>
      <c r="K435">
        <v>9.0644848486212418E-2</v>
      </c>
      <c r="L435" t="s">
        <v>154</v>
      </c>
    </row>
    <row r="436" spans="9:12" x14ac:dyDescent="0.25">
      <c r="I436" t="s">
        <v>182</v>
      </c>
      <c r="J436" t="s">
        <v>230</v>
      </c>
      <c r="K436">
        <v>9.553854150816124E-3</v>
      </c>
      <c r="L436" t="s">
        <v>154</v>
      </c>
    </row>
    <row r="437" spans="9:12" x14ac:dyDescent="0.25">
      <c r="I437" t="s">
        <v>182</v>
      </c>
      <c r="J437" t="s">
        <v>163</v>
      </c>
      <c r="K437">
        <v>0</v>
      </c>
      <c r="L437" t="s">
        <v>154</v>
      </c>
    </row>
    <row r="438" spans="9:12" x14ac:dyDescent="0.25">
      <c r="I438" t="s">
        <v>182</v>
      </c>
      <c r="J438" t="s">
        <v>164</v>
      </c>
      <c r="K438">
        <v>1.6791224172094676E-2</v>
      </c>
      <c r="L438" t="s">
        <v>154</v>
      </c>
    </row>
    <row r="439" spans="9:12" x14ac:dyDescent="0.25">
      <c r="I439" t="s">
        <v>182</v>
      </c>
      <c r="J439" t="s">
        <v>165</v>
      </c>
      <c r="K439">
        <v>1.7316760190164055E-2</v>
      </c>
      <c r="L439" t="s">
        <v>154</v>
      </c>
    </row>
    <row r="440" spans="9:12" x14ac:dyDescent="0.25">
      <c r="I440" t="s">
        <v>182</v>
      </c>
      <c r="J440" t="s">
        <v>231</v>
      </c>
      <c r="K440">
        <v>9.5272516940300381E-2</v>
      </c>
      <c r="L440" t="s">
        <v>154</v>
      </c>
    </row>
    <row r="441" spans="9:12" x14ac:dyDescent="0.25">
      <c r="I441" t="s">
        <v>182</v>
      </c>
      <c r="J441" t="s">
        <v>232</v>
      </c>
      <c r="K441">
        <v>6.9338530714779453E-2</v>
      </c>
      <c r="L441" t="s">
        <v>154</v>
      </c>
    </row>
    <row r="442" spans="9:12" x14ac:dyDescent="0.25">
      <c r="I442" t="s">
        <v>182</v>
      </c>
      <c r="J442" t="s">
        <v>233</v>
      </c>
      <c r="K442">
        <v>5.4057176560397728E-3</v>
      </c>
      <c r="L442" t="s">
        <v>154</v>
      </c>
    </row>
    <row r="443" spans="9:12" x14ac:dyDescent="0.25">
      <c r="I443" t="s">
        <v>183</v>
      </c>
      <c r="J443" t="s">
        <v>153</v>
      </c>
      <c r="K443">
        <v>0</v>
      </c>
      <c r="L443" t="s">
        <v>154</v>
      </c>
    </row>
    <row r="444" spans="9:12" x14ac:dyDescent="0.25">
      <c r="I444" t="s">
        <v>183</v>
      </c>
      <c r="J444" t="s">
        <v>155</v>
      </c>
      <c r="K444">
        <v>3.332982558045141E-2</v>
      </c>
      <c r="L444" t="s">
        <v>154</v>
      </c>
    </row>
    <row r="445" spans="9:12" x14ac:dyDescent="0.25">
      <c r="I445" t="s">
        <v>183</v>
      </c>
      <c r="J445" t="s">
        <v>156</v>
      </c>
      <c r="K445">
        <v>3.463107699208607E-2</v>
      </c>
      <c r="L445" t="s">
        <v>154</v>
      </c>
    </row>
    <row r="446" spans="9:12" x14ac:dyDescent="0.25">
      <c r="I446" t="s">
        <v>183</v>
      </c>
      <c r="J446" t="s">
        <v>222</v>
      </c>
      <c r="K446">
        <v>0.19371929970069329</v>
      </c>
      <c r="L446" t="s">
        <v>154</v>
      </c>
    </row>
    <row r="447" spans="9:12" x14ac:dyDescent="0.25">
      <c r="I447" t="s">
        <v>183</v>
      </c>
      <c r="J447" t="s">
        <v>223</v>
      </c>
      <c r="K447">
        <v>0.14636938077263886</v>
      </c>
      <c r="L447" t="s">
        <v>154</v>
      </c>
    </row>
    <row r="448" spans="9:12" x14ac:dyDescent="0.25">
      <c r="I448" t="s">
        <v>183</v>
      </c>
      <c r="J448" t="s">
        <v>224</v>
      </c>
      <c r="K448">
        <v>1.3697172460137255E-2</v>
      </c>
      <c r="L448" t="s">
        <v>154</v>
      </c>
    </row>
    <row r="449" spans="9:12" x14ac:dyDescent="0.25">
      <c r="I449" t="s">
        <v>183</v>
      </c>
      <c r="J449" t="s">
        <v>157</v>
      </c>
      <c r="K449">
        <v>0</v>
      </c>
      <c r="L449" t="s">
        <v>154</v>
      </c>
    </row>
    <row r="450" spans="9:12" x14ac:dyDescent="0.25">
      <c r="I450" t="s">
        <v>183</v>
      </c>
      <c r="J450" t="s">
        <v>158</v>
      </c>
      <c r="K450">
        <v>1.0823540306373901E-2</v>
      </c>
      <c r="L450" t="s">
        <v>154</v>
      </c>
    </row>
    <row r="451" spans="9:12" x14ac:dyDescent="0.25">
      <c r="I451" t="s">
        <v>183</v>
      </c>
      <c r="J451" t="s">
        <v>159</v>
      </c>
      <c r="K451">
        <v>9.8557674786874591E-3</v>
      </c>
      <c r="L451" t="s">
        <v>154</v>
      </c>
    </row>
    <row r="452" spans="9:12" x14ac:dyDescent="0.25">
      <c r="I452" t="s">
        <v>183</v>
      </c>
      <c r="J452" t="s">
        <v>225</v>
      </c>
      <c r="K452">
        <v>5.5750580563826237E-2</v>
      </c>
      <c r="L452" t="s">
        <v>154</v>
      </c>
    </row>
    <row r="453" spans="9:12" x14ac:dyDescent="0.25">
      <c r="I453" t="s">
        <v>183</v>
      </c>
      <c r="J453" t="s">
        <v>226</v>
      </c>
      <c r="K453">
        <v>4.2054890799421048E-2</v>
      </c>
      <c r="L453" t="s">
        <v>154</v>
      </c>
    </row>
    <row r="454" spans="9:12" x14ac:dyDescent="0.25">
      <c r="I454" t="s">
        <v>183</v>
      </c>
      <c r="J454" t="s">
        <v>227</v>
      </c>
      <c r="K454">
        <v>4.242866585691364E-3</v>
      </c>
      <c r="L454" t="s">
        <v>154</v>
      </c>
    </row>
    <row r="455" spans="9:12" x14ac:dyDescent="0.25">
      <c r="I455" t="s">
        <v>183</v>
      </c>
      <c r="J455" t="s">
        <v>160</v>
      </c>
      <c r="K455">
        <v>0</v>
      </c>
      <c r="L455" t="s">
        <v>154</v>
      </c>
    </row>
    <row r="456" spans="9:12" x14ac:dyDescent="0.25">
      <c r="I456" t="s">
        <v>183</v>
      </c>
      <c r="J456" t="s">
        <v>161</v>
      </c>
      <c r="K456">
        <v>1.9569159899052196E-2</v>
      </c>
      <c r="L456" t="s">
        <v>154</v>
      </c>
    </row>
    <row r="457" spans="9:12" x14ac:dyDescent="0.25">
      <c r="I457" t="s">
        <v>183</v>
      </c>
      <c r="J457" t="s">
        <v>162</v>
      </c>
      <c r="K457">
        <v>2.0130828492789719E-2</v>
      </c>
      <c r="L457" t="s">
        <v>154</v>
      </c>
    </row>
    <row r="458" spans="9:12" x14ac:dyDescent="0.25">
      <c r="I458" t="s">
        <v>183</v>
      </c>
      <c r="J458" t="s">
        <v>228</v>
      </c>
      <c r="K458">
        <v>0.11466858491548292</v>
      </c>
      <c r="L458" t="s">
        <v>154</v>
      </c>
    </row>
    <row r="459" spans="9:12" x14ac:dyDescent="0.25">
      <c r="I459" t="s">
        <v>183</v>
      </c>
      <c r="J459" t="s">
        <v>229</v>
      </c>
      <c r="K459">
        <v>9.1020323396861849E-2</v>
      </c>
      <c r="L459" t="s">
        <v>154</v>
      </c>
    </row>
    <row r="460" spans="9:12" x14ac:dyDescent="0.25">
      <c r="I460" t="s">
        <v>183</v>
      </c>
      <c r="J460" t="s">
        <v>230</v>
      </c>
      <c r="K460">
        <v>9.3626264328952203E-3</v>
      </c>
      <c r="L460" t="s">
        <v>154</v>
      </c>
    </row>
    <row r="461" spans="9:12" x14ac:dyDescent="0.25">
      <c r="I461" t="s">
        <v>183</v>
      </c>
      <c r="J461" t="s">
        <v>163</v>
      </c>
      <c r="K461">
        <v>0</v>
      </c>
      <c r="L461" t="s">
        <v>154</v>
      </c>
    </row>
    <row r="462" spans="9:12" x14ac:dyDescent="0.25">
      <c r="I462" t="s">
        <v>183</v>
      </c>
      <c r="J462" t="s">
        <v>164</v>
      </c>
      <c r="K462">
        <v>1.668343307121193E-2</v>
      </c>
      <c r="L462" t="s">
        <v>154</v>
      </c>
    </row>
    <row r="463" spans="9:12" x14ac:dyDescent="0.25">
      <c r="I463" t="s">
        <v>183</v>
      </c>
      <c r="J463" t="s">
        <v>165</v>
      </c>
      <c r="K463">
        <v>1.7572800147304415E-2</v>
      </c>
      <c r="L463" t="s">
        <v>154</v>
      </c>
    </row>
    <row r="464" spans="9:12" x14ac:dyDescent="0.25">
      <c r="I464" t="s">
        <v>183</v>
      </c>
      <c r="J464" t="s">
        <v>231</v>
      </c>
      <c r="K464">
        <v>9.5029905910011689E-2</v>
      </c>
      <c r="L464" t="s">
        <v>154</v>
      </c>
    </row>
    <row r="465" spans="9:12" x14ac:dyDescent="0.25">
      <c r="I465" t="s">
        <v>183</v>
      </c>
      <c r="J465" t="s">
        <v>232</v>
      </c>
      <c r="K465">
        <v>6.6802591262253033E-2</v>
      </c>
      <c r="L465" t="s">
        <v>154</v>
      </c>
    </row>
    <row r="466" spans="9:12" x14ac:dyDescent="0.25">
      <c r="I466" t="s">
        <v>183</v>
      </c>
      <c r="J466" t="s">
        <v>233</v>
      </c>
      <c r="K466">
        <v>4.6853452321283318E-3</v>
      </c>
      <c r="L466" t="s">
        <v>154</v>
      </c>
    </row>
    <row r="467" spans="9:12" x14ac:dyDescent="0.25">
      <c r="I467" t="s">
        <v>184</v>
      </c>
      <c r="J467" t="s">
        <v>153</v>
      </c>
      <c r="K467">
        <v>0</v>
      </c>
      <c r="L467" t="s">
        <v>154</v>
      </c>
    </row>
    <row r="468" spans="9:12" x14ac:dyDescent="0.25">
      <c r="I468" t="s">
        <v>184</v>
      </c>
      <c r="J468" t="s">
        <v>155</v>
      </c>
      <c r="K468">
        <v>3.1564790902893734E-2</v>
      </c>
      <c r="L468" t="s">
        <v>154</v>
      </c>
    </row>
    <row r="469" spans="9:12" x14ac:dyDescent="0.25">
      <c r="I469" t="s">
        <v>184</v>
      </c>
      <c r="J469" t="s">
        <v>156</v>
      </c>
      <c r="K469">
        <v>3.5029057123676696E-2</v>
      </c>
      <c r="L469" t="s">
        <v>154</v>
      </c>
    </row>
    <row r="470" spans="9:12" x14ac:dyDescent="0.25">
      <c r="I470" t="s">
        <v>184</v>
      </c>
      <c r="J470" t="s">
        <v>222</v>
      </c>
      <c r="K470">
        <v>0.19706578205646447</v>
      </c>
      <c r="L470" t="s">
        <v>154</v>
      </c>
    </row>
    <row r="471" spans="9:12" x14ac:dyDescent="0.25">
      <c r="I471" t="s">
        <v>184</v>
      </c>
      <c r="J471" t="s">
        <v>223</v>
      </c>
      <c r="K471">
        <v>0.14993337745172522</v>
      </c>
      <c r="L471" t="s">
        <v>154</v>
      </c>
    </row>
    <row r="472" spans="9:12" x14ac:dyDescent="0.25">
      <c r="I472" t="s">
        <v>184</v>
      </c>
      <c r="J472" t="s">
        <v>224</v>
      </c>
      <c r="K472">
        <v>1.3895689968991402E-2</v>
      </c>
      <c r="L472" t="s">
        <v>154</v>
      </c>
    </row>
    <row r="473" spans="9:12" x14ac:dyDescent="0.25">
      <c r="I473" t="s">
        <v>184</v>
      </c>
      <c r="J473" t="s">
        <v>157</v>
      </c>
      <c r="K473">
        <v>0</v>
      </c>
      <c r="L473" t="s">
        <v>154</v>
      </c>
    </row>
    <row r="474" spans="9:12" x14ac:dyDescent="0.25">
      <c r="I474" t="s">
        <v>184</v>
      </c>
      <c r="J474" t="s">
        <v>158</v>
      </c>
      <c r="K474">
        <v>1.0256967224131278E-2</v>
      </c>
      <c r="L474" t="s">
        <v>154</v>
      </c>
    </row>
    <row r="475" spans="9:12" x14ac:dyDescent="0.25">
      <c r="I475" t="s">
        <v>184</v>
      </c>
      <c r="J475" t="s">
        <v>159</v>
      </c>
      <c r="K475">
        <v>9.6434375469641488E-3</v>
      </c>
      <c r="L475" t="s">
        <v>154</v>
      </c>
    </row>
    <row r="476" spans="9:12" x14ac:dyDescent="0.25">
      <c r="I476" t="s">
        <v>184</v>
      </c>
      <c r="J476" t="s">
        <v>225</v>
      </c>
      <c r="K476">
        <v>5.4398509510089961E-2</v>
      </c>
      <c r="L476" t="s">
        <v>154</v>
      </c>
    </row>
    <row r="477" spans="9:12" x14ac:dyDescent="0.25">
      <c r="I477" t="s">
        <v>184</v>
      </c>
      <c r="J477" t="s">
        <v>226</v>
      </c>
      <c r="K477">
        <v>4.1762922278173346E-2</v>
      </c>
      <c r="L477" t="s">
        <v>154</v>
      </c>
    </row>
    <row r="478" spans="9:12" x14ac:dyDescent="0.25">
      <c r="I478" t="s">
        <v>184</v>
      </c>
      <c r="J478" t="s">
        <v>227</v>
      </c>
      <c r="K478">
        <v>3.9068783908740804E-3</v>
      </c>
      <c r="L478" t="s">
        <v>154</v>
      </c>
    </row>
    <row r="479" spans="9:12" x14ac:dyDescent="0.25">
      <c r="I479" t="s">
        <v>184</v>
      </c>
      <c r="J479" t="s">
        <v>160</v>
      </c>
      <c r="K479">
        <v>0</v>
      </c>
      <c r="L479" t="s">
        <v>154</v>
      </c>
    </row>
    <row r="480" spans="9:12" x14ac:dyDescent="0.25">
      <c r="I480" t="s">
        <v>184</v>
      </c>
      <c r="J480" t="s">
        <v>161</v>
      </c>
      <c r="K480">
        <v>2.0678485826860948E-2</v>
      </c>
      <c r="L480" t="s">
        <v>154</v>
      </c>
    </row>
    <row r="481" spans="9:12" x14ac:dyDescent="0.25">
      <c r="I481" t="s">
        <v>184</v>
      </c>
      <c r="J481" t="s">
        <v>162</v>
      </c>
      <c r="K481">
        <v>2.0904088790503376E-2</v>
      </c>
      <c r="L481" t="s">
        <v>154</v>
      </c>
    </row>
    <row r="482" spans="9:12" x14ac:dyDescent="0.25">
      <c r="I482" t="s">
        <v>184</v>
      </c>
      <c r="J482" t="s">
        <v>228</v>
      </c>
      <c r="K482">
        <v>0.11595479732248135</v>
      </c>
      <c r="L482" t="s">
        <v>154</v>
      </c>
    </row>
    <row r="483" spans="9:12" x14ac:dyDescent="0.25">
      <c r="I483" t="s">
        <v>184</v>
      </c>
      <c r="J483" t="s">
        <v>229</v>
      </c>
      <c r="K483">
        <v>9.1251780313462788E-2</v>
      </c>
      <c r="L483" t="s">
        <v>154</v>
      </c>
    </row>
    <row r="484" spans="9:12" x14ac:dyDescent="0.25">
      <c r="I484" t="s">
        <v>184</v>
      </c>
      <c r="J484" t="s">
        <v>230</v>
      </c>
      <c r="K484">
        <v>8.5652001896267121E-3</v>
      </c>
      <c r="L484" t="s">
        <v>154</v>
      </c>
    </row>
    <row r="485" spans="9:12" x14ac:dyDescent="0.25">
      <c r="I485" t="s">
        <v>184</v>
      </c>
      <c r="J485" t="s">
        <v>163</v>
      </c>
      <c r="K485">
        <v>0</v>
      </c>
      <c r="L485" t="s">
        <v>154</v>
      </c>
    </row>
    <row r="486" spans="9:12" x14ac:dyDescent="0.25">
      <c r="I486" t="s">
        <v>184</v>
      </c>
      <c r="J486" t="s">
        <v>164</v>
      </c>
      <c r="K486">
        <v>1.6343421803042595E-2</v>
      </c>
      <c r="L486" t="s">
        <v>154</v>
      </c>
    </row>
    <row r="487" spans="9:12" x14ac:dyDescent="0.25">
      <c r="I487" t="s">
        <v>184</v>
      </c>
      <c r="J487" t="s">
        <v>165</v>
      </c>
      <c r="K487">
        <v>1.7465819188907709E-2</v>
      </c>
      <c r="L487" t="s">
        <v>154</v>
      </c>
    </row>
    <row r="488" spans="9:12" x14ac:dyDescent="0.25">
      <c r="I488" t="s">
        <v>184</v>
      </c>
      <c r="J488" t="s">
        <v>231</v>
      </c>
      <c r="K488">
        <v>9.3526576195102532E-2</v>
      </c>
      <c r="L488" t="s">
        <v>154</v>
      </c>
    </row>
    <row r="489" spans="9:12" x14ac:dyDescent="0.25">
      <c r="I489" t="s">
        <v>184</v>
      </c>
      <c r="J489" t="s">
        <v>232</v>
      </c>
      <c r="K489">
        <v>6.3700033404468656E-2</v>
      </c>
      <c r="L489" t="s">
        <v>154</v>
      </c>
    </row>
    <row r="490" spans="9:12" x14ac:dyDescent="0.25">
      <c r="I490" t="s">
        <v>184</v>
      </c>
      <c r="J490" t="s">
        <v>233</v>
      </c>
      <c r="K490">
        <v>4.1523845115619493E-3</v>
      </c>
      <c r="L490" t="s">
        <v>154</v>
      </c>
    </row>
    <row r="491" spans="9:12" x14ac:dyDescent="0.25">
      <c r="I491" t="s">
        <v>185</v>
      </c>
      <c r="J491" t="s">
        <v>153</v>
      </c>
      <c r="K491">
        <v>0</v>
      </c>
      <c r="L491" t="s">
        <v>154</v>
      </c>
    </row>
    <row r="492" spans="9:12" x14ac:dyDescent="0.25">
      <c r="I492" t="s">
        <v>185</v>
      </c>
      <c r="J492" t="s">
        <v>155</v>
      </c>
      <c r="K492">
        <v>3.0210237860265225E-2</v>
      </c>
      <c r="L492" t="s">
        <v>154</v>
      </c>
    </row>
    <row r="493" spans="9:12" x14ac:dyDescent="0.25">
      <c r="I493" t="s">
        <v>185</v>
      </c>
      <c r="J493" t="s">
        <v>156</v>
      </c>
      <c r="K493">
        <v>3.6450155480943949E-2</v>
      </c>
      <c r="L493" t="s">
        <v>154</v>
      </c>
    </row>
    <row r="494" spans="9:12" x14ac:dyDescent="0.25">
      <c r="I494" t="s">
        <v>185</v>
      </c>
      <c r="J494" t="s">
        <v>222</v>
      </c>
      <c r="K494">
        <v>0.20235697459669719</v>
      </c>
      <c r="L494" t="s">
        <v>154</v>
      </c>
    </row>
    <row r="495" spans="9:12" x14ac:dyDescent="0.25">
      <c r="I495" t="s">
        <v>185</v>
      </c>
      <c r="J495" t="s">
        <v>223</v>
      </c>
      <c r="K495">
        <v>0.14456524558941106</v>
      </c>
      <c r="L495" t="s">
        <v>154</v>
      </c>
    </row>
    <row r="496" spans="9:12" x14ac:dyDescent="0.25">
      <c r="I496" t="s">
        <v>185</v>
      </c>
      <c r="J496" t="s">
        <v>224</v>
      </c>
      <c r="K496">
        <v>1.3898749082128084E-2</v>
      </c>
      <c r="L496" t="s">
        <v>154</v>
      </c>
    </row>
    <row r="497" spans="9:12" x14ac:dyDescent="0.25">
      <c r="I497" t="s">
        <v>185</v>
      </c>
      <c r="J497" t="s">
        <v>157</v>
      </c>
      <c r="K497">
        <v>0</v>
      </c>
      <c r="L497" t="s">
        <v>154</v>
      </c>
    </row>
    <row r="498" spans="9:12" x14ac:dyDescent="0.25">
      <c r="I498" t="s">
        <v>185</v>
      </c>
      <c r="J498" t="s">
        <v>158</v>
      </c>
      <c r="K498">
        <v>1.0111293223182782E-2</v>
      </c>
      <c r="L498" t="s">
        <v>154</v>
      </c>
    </row>
    <row r="499" spans="9:12" x14ac:dyDescent="0.25">
      <c r="I499" t="s">
        <v>185</v>
      </c>
      <c r="J499" t="s">
        <v>159</v>
      </c>
      <c r="K499">
        <v>1.0082019019739178E-2</v>
      </c>
      <c r="L499" t="s">
        <v>154</v>
      </c>
    </row>
    <row r="500" spans="9:12" x14ac:dyDescent="0.25">
      <c r="I500" t="s">
        <v>185</v>
      </c>
      <c r="J500" t="s">
        <v>225</v>
      </c>
      <c r="K500">
        <v>5.7783066398640053E-2</v>
      </c>
      <c r="L500" t="s">
        <v>154</v>
      </c>
    </row>
    <row r="501" spans="9:12" x14ac:dyDescent="0.25">
      <c r="I501" t="s">
        <v>185</v>
      </c>
      <c r="J501" t="s">
        <v>226</v>
      </c>
      <c r="K501">
        <v>3.8193883376054463E-2</v>
      </c>
      <c r="L501" t="s">
        <v>154</v>
      </c>
    </row>
    <row r="502" spans="9:12" x14ac:dyDescent="0.25">
      <c r="I502" t="s">
        <v>185</v>
      </c>
      <c r="J502" t="s">
        <v>227</v>
      </c>
      <c r="K502">
        <v>3.210771422811033E-3</v>
      </c>
      <c r="L502" t="s">
        <v>154</v>
      </c>
    </row>
    <row r="503" spans="9:12" x14ac:dyDescent="0.25">
      <c r="I503" t="s">
        <v>185</v>
      </c>
      <c r="J503" t="s">
        <v>160</v>
      </c>
      <c r="K503">
        <v>0</v>
      </c>
      <c r="L503" t="s">
        <v>154</v>
      </c>
    </row>
    <row r="504" spans="9:12" x14ac:dyDescent="0.25">
      <c r="I504" t="s">
        <v>185</v>
      </c>
      <c r="J504" t="s">
        <v>161</v>
      </c>
      <c r="K504">
        <v>2.1962561071534301E-2</v>
      </c>
      <c r="L504" t="s">
        <v>154</v>
      </c>
    </row>
    <row r="505" spans="9:12" x14ac:dyDescent="0.25">
      <c r="I505" t="s">
        <v>185</v>
      </c>
      <c r="J505" t="s">
        <v>162</v>
      </c>
      <c r="K505">
        <v>2.2493720013768391E-2</v>
      </c>
      <c r="L505" t="s">
        <v>154</v>
      </c>
    </row>
    <row r="506" spans="9:12" x14ac:dyDescent="0.25">
      <c r="I506" t="s">
        <v>185</v>
      </c>
      <c r="J506" t="s">
        <v>228</v>
      </c>
      <c r="K506">
        <v>0.12491080185080289</v>
      </c>
      <c r="L506" t="s">
        <v>154</v>
      </c>
    </row>
    <row r="507" spans="9:12" x14ac:dyDescent="0.25">
      <c r="I507" t="s">
        <v>185</v>
      </c>
      <c r="J507" t="s">
        <v>229</v>
      </c>
      <c r="K507">
        <v>8.8564801405442831E-2</v>
      </c>
      <c r="L507" t="s">
        <v>154</v>
      </c>
    </row>
    <row r="508" spans="9:12" x14ac:dyDescent="0.25">
      <c r="I508" t="s">
        <v>185</v>
      </c>
      <c r="J508" t="s">
        <v>230</v>
      </c>
      <c r="K508">
        <v>7.72275722461586E-3</v>
      </c>
      <c r="L508" t="s">
        <v>154</v>
      </c>
    </row>
    <row r="509" spans="9:12" x14ac:dyDescent="0.25">
      <c r="I509" t="s">
        <v>185</v>
      </c>
      <c r="J509" t="s">
        <v>163</v>
      </c>
      <c r="K509">
        <v>0</v>
      </c>
      <c r="L509" t="s">
        <v>154</v>
      </c>
    </row>
    <row r="510" spans="9:12" x14ac:dyDescent="0.25">
      <c r="I510" t="s">
        <v>185</v>
      </c>
      <c r="J510" t="s">
        <v>164</v>
      </c>
      <c r="K510">
        <v>1.7203508965572784E-2</v>
      </c>
      <c r="L510" t="s">
        <v>154</v>
      </c>
    </row>
    <row r="511" spans="9:12" x14ac:dyDescent="0.25">
      <c r="I511" t="s">
        <v>185</v>
      </c>
      <c r="J511" t="s">
        <v>165</v>
      </c>
      <c r="K511">
        <v>1.7726754201510063E-2</v>
      </c>
      <c r="L511" t="s">
        <v>154</v>
      </c>
    </row>
    <row r="512" spans="9:12" x14ac:dyDescent="0.25">
      <c r="I512" t="s">
        <v>185</v>
      </c>
      <c r="J512" t="s">
        <v>231</v>
      </c>
      <c r="K512">
        <v>9.3788314357676636E-2</v>
      </c>
      <c r="L512" t="s">
        <v>154</v>
      </c>
    </row>
    <row r="513" spans="9:12" x14ac:dyDescent="0.25">
      <c r="I513" t="s">
        <v>185</v>
      </c>
      <c r="J513" t="s">
        <v>232</v>
      </c>
      <c r="K513">
        <v>5.4736607504439372E-2</v>
      </c>
      <c r="L513" t="s">
        <v>154</v>
      </c>
    </row>
    <row r="514" spans="9:12" x14ac:dyDescent="0.25">
      <c r="I514" t="s">
        <v>185</v>
      </c>
      <c r="J514" t="s">
        <v>233</v>
      </c>
      <c r="K514">
        <v>4.027777354764759E-3</v>
      </c>
      <c r="L514" t="s">
        <v>154</v>
      </c>
    </row>
    <row r="515" spans="9:12" x14ac:dyDescent="0.25">
      <c r="I515" t="s">
        <v>186</v>
      </c>
      <c r="J515" t="s">
        <v>153</v>
      </c>
      <c r="K515">
        <v>0</v>
      </c>
      <c r="L515" t="s">
        <v>154</v>
      </c>
    </row>
    <row r="516" spans="9:12" x14ac:dyDescent="0.25">
      <c r="I516" t="s">
        <v>186</v>
      </c>
      <c r="J516" t="s">
        <v>155</v>
      </c>
      <c r="K516">
        <v>3.2190682295293482E-2</v>
      </c>
      <c r="L516" t="s">
        <v>154</v>
      </c>
    </row>
    <row r="517" spans="9:12" x14ac:dyDescent="0.25">
      <c r="I517" t="s">
        <v>186</v>
      </c>
      <c r="J517" t="s">
        <v>156</v>
      </c>
      <c r="K517">
        <v>3.750364176565911E-2</v>
      </c>
      <c r="L517" t="s">
        <v>154</v>
      </c>
    </row>
    <row r="518" spans="9:12" x14ac:dyDescent="0.25">
      <c r="I518" t="s">
        <v>186</v>
      </c>
      <c r="J518" t="s">
        <v>222</v>
      </c>
      <c r="K518">
        <v>0.2068614069731031</v>
      </c>
      <c r="L518" t="s">
        <v>154</v>
      </c>
    </row>
    <row r="519" spans="9:12" x14ac:dyDescent="0.25">
      <c r="I519" t="s">
        <v>186</v>
      </c>
      <c r="J519" t="s">
        <v>223</v>
      </c>
      <c r="K519">
        <v>0.14698348098860933</v>
      </c>
      <c r="L519" t="s">
        <v>154</v>
      </c>
    </row>
    <row r="520" spans="9:12" x14ac:dyDescent="0.25">
      <c r="I520" t="s">
        <v>186</v>
      </c>
      <c r="J520" t="s">
        <v>224</v>
      </c>
      <c r="K520">
        <v>1.2886689716905998E-2</v>
      </c>
      <c r="L520" t="s">
        <v>154</v>
      </c>
    </row>
    <row r="521" spans="9:12" x14ac:dyDescent="0.25">
      <c r="I521" t="s">
        <v>186</v>
      </c>
      <c r="J521" t="s">
        <v>157</v>
      </c>
      <c r="K521">
        <v>0</v>
      </c>
      <c r="L521" t="s">
        <v>154</v>
      </c>
    </row>
    <row r="522" spans="9:12" x14ac:dyDescent="0.25">
      <c r="I522" t="s">
        <v>186</v>
      </c>
      <c r="J522" t="s">
        <v>158</v>
      </c>
      <c r="K522">
        <v>1.0458093229112286E-2</v>
      </c>
      <c r="L522" t="s">
        <v>154</v>
      </c>
    </row>
    <row r="523" spans="9:12" x14ac:dyDescent="0.25">
      <c r="I523" t="s">
        <v>186</v>
      </c>
      <c r="J523" t="s">
        <v>159</v>
      </c>
      <c r="K523">
        <v>9.9671345201644158E-3</v>
      </c>
      <c r="L523" t="s">
        <v>154</v>
      </c>
    </row>
    <row r="524" spans="9:12" x14ac:dyDescent="0.25">
      <c r="I524" t="s">
        <v>186</v>
      </c>
      <c r="J524" t="s">
        <v>225</v>
      </c>
      <c r="K524">
        <v>5.6739926671017245E-2</v>
      </c>
      <c r="L524" t="s">
        <v>154</v>
      </c>
    </row>
    <row r="525" spans="9:12" x14ac:dyDescent="0.25">
      <c r="I525" t="s">
        <v>186</v>
      </c>
      <c r="J525" t="s">
        <v>226</v>
      </c>
      <c r="K525">
        <v>3.8399328839167426E-2</v>
      </c>
      <c r="L525" t="s">
        <v>154</v>
      </c>
    </row>
    <row r="526" spans="9:12" x14ac:dyDescent="0.25">
      <c r="I526" t="s">
        <v>186</v>
      </c>
      <c r="J526" t="s">
        <v>227</v>
      </c>
      <c r="K526">
        <v>2.9513897919177597E-3</v>
      </c>
      <c r="L526" t="s">
        <v>154</v>
      </c>
    </row>
    <row r="527" spans="9:12" x14ac:dyDescent="0.25">
      <c r="I527" t="s">
        <v>186</v>
      </c>
      <c r="J527" t="s">
        <v>160</v>
      </c>
      <c r="K527">
        <v>0</v>
      </c>
      <c r="L527" t="s">
        <v>154</v>
      </c>
    </row>
    <row r="528" spans="9:12" x14ac:dyDescent="0.25">
      <c r="I528" t="s">
        <v>186</v>
      </c>
      <c r="J528" t="s">
        <v>161</v>
      </c>
      <c r="K528">
        <v>2.1709628802499326E-2</v>
      </c>
      <c r="L528" t="s">
        <v>154</v>
      </c>
    </row>
    <row r="529" spans="9:12" x14ac:dyDescent="0.25">
      <c r="I529" t="s">
        <v>186</v>
      </c>
      <c r="J529" t="s">
        <v>162</v>
      </c>
      <c r="K529">
        <v>2.1507972285322838E-2</v>
      </c>
      <c r="L529" t="s">
        <v>154</v>
      </c>
    </row>
    <row r="530" spans="9:12" x14ac:dyDescent="0.25">
      <c r="I530" t="s">
        <v>186</v>
      </c>
      <c r="J530" t="s">
        <v>228</v>
      </c>
      <c r="K530">
        <v>0.1192486444244351</v>
      </c>
      <c r="L530" t="s">
        <v>154</v>
      </c>
    </row>
    <row r="531" spans="9:12" x14ac:dyDescent="0.25">
      <c r="I531" t="s">
        <v>186</v>
      </c>
      <c r="J531" t="s">
        <v>229</v>
      </c>
      <c r="K531">
        <v>8.4093450109606255E-2</v>
      </c>
      <c r="L531" t="s">
        <v>154</v>
      </c>
    </row>
    <row r="532" spans="9:12" x14ac:dyDescent="0.25">
      <c r="I532" t="s">
        <v>186</v>
      </c>
      <c r="J532" t="s">
        <v>230</v>
      </c>
      <c r="K532">
        <v>7.1465330801693209E-3</v>
      </c>
      <c r="L532" t="s">
        <v>154</v>
      </c>
    </row>
    <row r="533" spans="9:12" x14ac:dyDescent="0.25">
      <c r="I533" t="s">
        <v>186</v>
      </c>
      <c r="J533" t="s">
        <v>163</v>
      </c>
      <c r="K533">
        <v>0</v>
      </c>
      <c r="L533" t="s">
        <v>154</v>
      </c>
    </row>
    <row r="534" spans="9:12" x14ac:dyDescent="0.25">
      <c r="I534" t="s">
        <v>186</v>
      </c>
      <c r="J534" t="s">
        <v>164</v>
      </c>
      <c r="K534">
        <v>1.7717941662648558E-2</v>
      </c>
      <c r="L534" t="s">
        <v>154</v>
      </c>
    </row>
    <row r="535" spans="9:12" x14ac:dyDescent="0.25">
      <c r="I535" t="s">
        <v>186</v>
      </c>
      <c r="J535" t="s">
        <v>165</v>
      </c>
      <c r="K535">
        <v>1.8484119056705668E-2</v>
      </c>
      <c r="L535" t="s">
        <v>154</v>
      </c>
    </row>
    <row r="536" spans="9:12" x14ac:dyDescent="0.25">
      <c r="I536" t="s">
        <v>186</v>
      </c>
      <c r="J536" t="s">
        <v>231</v>
      </c>
      <c r="K536">
        <v>9.5739529460626388E-2</v>
      </c>
      <c r="L536" t="s">
        <v>154</v>
      </c>
    </row>
    <row r="537" spans="9:12" x14ac:dyDescent="0.25">
      <c r="I537" t="s">
        <v>186</v>
      </c>
      <c r="J537" t="s">
        <v>232</v>
      </c>
      <c r="K537">
        <v>5.634298716506389E-2</v>
      </c>
      <c r="L537" t="s">
        <v>154</v>
      </c>
    </row>
    <row r="538" spans="9:12" x14ac:dyDescent="0.25">
      <c r="I538" t="s">
        <v>186</v>
      </c>
      <c r="J538" t="s">
        <v>233</v>
      </c>
      <c r="K538">
        <v>3.0674191619706869E-3</v>
      </c>
      <c r="L538" t="s">
        <v>154</v>
      </c>
    </row>
    <row r="539" spans="9:12" x14ac:dyDescent="0.25">
      <c r="I539" t="s">
        <v>187</v>
      </c>
      <c r="J539" t="s">
        <v>153</v>
      </c>
      <c r="K539">
        <v>0</v>
      </c>
      <c r="L539" t="s">
        <v>154</v>
      </c>
    </row>
    <row r="540" spans="9:12" x14ac:dyDescent="0.25">
      <c r="I540" t="s">
        <v>187</v>
      </c>
      <c r="J540" t="s">
        <v>155</v>
      </c>
      <c r="K540">
        <v>3.1515366940586813E-2</v>
      </c>
      <c r="L540" t="s">
        <v>154</v>
      </c>
    </row>
    <row r="541" spans="9:12" x14ac:dyDescent="0.25">
      <c r="I541" t="s">
        <v>187</v>
      </c>
      <c r="J541" t="s">
        <v>156</v>
      </c>
      <c r="K541">
        <v>3.8082343524862755E-2</v>
      </c>
      <c r="L541" t="s">
        <v>154</v>
      </c>
    </row>
    <row r="542" spans="9:12" x14ac:dyDescent="0.25">
      <c r="I542" t="s">
        <v>187</v>
      </c>
      <c r="J542" t="s">
        <v>222</v>
      </c>
      <c r="K542">
        <v>0.20786568634874872</v>
      </c>
      <c r="L542" t="s">
        <v>154</v>
      </c>
    </row>
    <row r="543" spans="9:12" x14ac:dyDescent="0.25">
      <c r="I543" t="s">
        <v>187</v>
      </c>
      <c r="J543" t="s">
        <v>223</v>
      </c>
      <c r="K543">
        <v>0.14759398993411668</v>
      </c>
      <c r="L543" t="s">
        <v>154</v>
      </c>
    </row>
    <row r="544" spans="9:12" x14ac:dyDescent="0.25">
      <c r="I544" t="s">
        <v>187</v>
      </c>
      <c r="J544" t="s">
        <v>224</v>
      </c>
      <c r="K544">
        <v>1.4131105857409346E-2</v>
      </c>
      <c r="L544" t="s">
        <v>154</v>
      </c>
    </row>
    <row r="545" spans="9:12" x14ac:dyDescent="0.25">
      <c r="I545" t="s">
        <v>187</v>
      </c>
      <c r="J545" t="s">
        <v>157</v>
      </c>
      <c r="K545">
        <v>0</v>
      </c>
      <c r="L545" t="s">
        <v>154</v>
      </c>
    </row>
    <row r="546" spans="9:12" x14ac:dyDescent="0.25">
      <c r="I546" t="s">
        <v>187</v>
      </c>
      <c r="J546" t="s">
        <v>158</v>
      </c>
      <c r="K546">
        <v>9.5743980760410064E-3</v>
      </c>
      <c r="L546" t="s">
        <v>154</v>
      </c>
    </row>
    <row r="547" spans="9:12" x14ac:dyDescent="0.25">
      <c r="I547" t="s">
        <v>187</v>
      </c>
      <c r="J547" t="s">
        <v>159</v>
      </c>
      <c r="K547">
        <v>9.3232432503376206E-3</v>
      </c>
      <c r="L547" t="s">
        <v>154</v>
      </c>
    </row>
    <row r="548" spans="9:12" x14ac:dyDescent="0.25">
      <c r="I548" t="s">
        <v>187</v>
      </c>
      <c r="J548" t="s">
        <v>225</v>
      </c>
      <c r="K548">
        <v>5.4369850139313891E-2</v>
      </c>
      <c r="L548" t="s">
        <v>154</v>
      </c>
    </row>
    <row r="549" spans="9:12" x14ac:dyDescent="0.25">
      <c r="I549" t="s">
        <v>187</v>
      </c>
      <c r="J549" t="s">
        <v>226</v>
      </c>
      <c r="K549">
        <v>3.5664318757483993E-2</v>
      </c>
      <c r="L549" t="s">
        <v>154</v>
      </c>
    </row>
    <row r="550" spans="9:12" x14ac:dyDescent="0.25">
      <c r="I550" t="s">
        <v>187</v>
      </c>
      <c r="J550" t="s">
        <v>227</v>
      </c>
      <c r="K550">
        <v>2.8970202230691965E-3</v>
      </c>
      <c r="L550" t="s">
        <v>154</v>
      </c>
    </row>
    <row r="551" spans="9:12" x14ac:dyDescent="0.25">
      <c r="I551" t="s">
        <v>187</v>
      </c>
      <c r="J551" t="s">
        <v>160</v>
      </c>
      <c r="K551">
        <v>0</v>
      </c>
      <c r="L551" t="s">
        <v>154</v>
      </c>
    </row>
    <row r="552" spans="9:12" x14ac:dyDescent="0.25">
      <c r="I552" t="s">
        <v>187</v>
      </c>
      <c r="J552" t="s">
        <v>161</v>
      </c>
      <c r="K552">
        <v>2.4449474920523094E-2</v>
      </c>
      <c r="L552" t="s">
        <v>154</v>
      </c>
    </row>
    <row r="553" spans="9:12" x14ac:dyDescent="0.25">
      <c r="I553" t="s">
        <v>187</v>
      </c>
      <c r="J553" t="s">
        <v>162</v>
      </c>
      <c r="K553">
        <v>2.3570752881046052E-2</v>
      </c>
      <c r="L553" t="s">
        <v>154</v>
      </c>
    </row>
    <row r="554" spans="9:12" x14ac:dyDescent="0.25">
      <c r="I554" t="s">
        <v>187</v>
      </c>
      <c r="J554" t="s">
        <v>228</v>
      </c>
      <c r="K554">
        <v>0.12486825087122191</v>
      </c>
      <c r="L554" t="s">
        <v>154</v>
      </c>
    </row>
    <row r="555" spans="9:12" x14ac:dyDescent="0.25">
      <c r="I555" t="s">
        <v>187</v>
      </c>
      <c r="J555" t="s">
        <v>229</v>
      </c>
      <c r="K555">
        <v>8.5223500040187763E-2</v>
      </c>
      <c r="L555" t="s">
        <v>154</v>
      </c>
    </row>
    <row r="556" spans="9:12" x14ac:dyDescent="0.25">
      <c r="I556" t="s">
        <v>187</v>
      </c>
      <c r="J556" t="s">
        <v>230</v>
      </c>
      <c r="K556">
        <v>7.5473022650337758E-3</v>
      </c>
      <c r="L556" t="s">
        <v>154</v>
      </c>
    </row>
    <row r="557" spans="9:12" x14ac:dyDescent="0.25">
      <c r="I557" t="s">
        <v>187</v>
      </c>
      <c r="J557" t="s">
        <v>163</v>
      </c>
      <c r="K557">
        <v>0</v>
      </c>
      <c r="L557" t="s">
        <v>154</v>
      </c>
    </row>
    <row r="558" spans="9:12" x14ac:dyDescent="0.25">
      <c r="I558" t="s">
        <v>187</v>
      </c>
      <c r="J558" t="s">
        <v>164</v>
      </c>
      <c r="K558">
        <v>1.6089058452751451E-2</v>
      </c>
      <c r="L558" t="s">
        <v>154</v>
      </c>
    </row>
    <row r="559" spans="9:12" x14ac:dyDescent="0.25">
      <c r="I559" t="s">
        <v>187</v>
      </c>
      <c r="J559" t="s">
        <v>165</v>
      </c>
      <c r="K559">
        <v>1.7461649620451335E-2</v>
      </c>
      <c r="L559" t="s">
        <v>154</v>
      </c>
    </row>
    <row r="560" spans="9:12" x14ac:dyDescent="0.25">
      <c r="I560" t="s">
        <v>187</v>
      </c>
      <c r="J560" t="s">
        <v>231</v>
      </c>
      <c r="K560">
        <v>9.0858818586160198E-2</v>
      </c>
      <c r="L560" t="s">
        <v>154</v>
      </c>
    </row>
    <row r="561" spans="9:12" x14ac:dyDescent="0.25">
      <c r="I561" t="s">
        <v>187</v>
      </c>
      <c r="J561" t="s">
        <v>232</v>
      </c>
      <c r="K561">
        <v>5.4787867970353232E-2</v>
      </c>
      <c r="L561" t="s">
        <v>154</v>
      </c>
    </row>
    <row r="562" spans="9:12" x14ac:dyDescent="0.25">
      <c r="I562" t="s">
        <v>187</v>
      </c>
      <c r="J562" t="s">
        <v>233</v>
      </c>
      <c r="K562">
        <v>4.1260013403028014E-3</v>
      </c>
      <c r="L562" t="s">
        <v>154</v>
      </c>
    </row>
    <row r="563" spans="9:12" x14ac:dyDescent="0.25">
      <c r="I563" t="s">
        <v>188</v>
      </c>
      <c r="J563" t="s">
        <v>153</v>
      </c>
      <c r="K563">
        <v>0</v>
      </c>
      <c r="L563" t="s">
        <v>154</v>
      </c>
    </row>
    <row r="564" spans="9:12" x14ac:dyDescent="0.25">
      <c r="I564" t="s">
        <v>188</v>
      </c>
      <c r="J564" t="s">
        <v>155</v>
      </c>
      <c r="K564">
        <v>3.2308323370794922E-2</v>
      </c>
      <c r="L564" t="s">
        <v>154</v>
      </c>
    </row>
    <row r="565" spans="9:12" x14ac:dyDescent="0.25">
      <c r="I565" t="s">
        <v>188</v>
      </c>
      <c r="J565" t="s">
        <v>156</v>
      </c>
      <c r="K565">
        <v>3.5129982277708624E-2</v>
      </c>
      <c r="L565" t="s">
        <v>154</v>
      </c>
    </row>
    <row r="566" spans="9:12" x14ac:dyDescent="0.25">
      <c r="I566" t="s">
        <v>188</v>
      </c>
      <c r="J566" t="s">
        <v>222</v>
      </c>
      <c r="K566">
        <v>0.19710971108460881</v>
      </c>
      <c r="L566" t="s">
        <v>154</v>
      </c>
    </row>
    <row r="567" spans="9:12" x14ac:dyDescent="0.25">
      <c r="I567" t="s">
        <v>188</v>
      </c>
      <c r="J567" t="s">
        <v>223</v>
      </c>
      <c r="K567">
        <v>0.15533242238959211</v>
      </c>
      <c r="L567" t="s">
        <v>154</v>
      </c>
    </row>
    <row r="568" spans="9:12" x14ac:dyDescent="0.25">
      <c r="I568" t="s">
        <v>188</v>
      </c>
      <c r="J568" t="s">
        <v>224</v>
      </c>
      <c r="K568">
        <v>1.7040222708367383E-2</v>
      </c>
      <c r="L568" t="s">
        <v>154</v>
      </c>
    </row>
    <row r="569" spans="9:12" x14ac:dyDescent="0.25">
      <c r="I569" t="s">
        <v>188</v>
      </c>
      <c r="J569" t="s">
        <v>157</v>
      </c>
      <c r="K569">
        <v>0</v>
      </c>
      <c r="L569" t="s">
        <v>154</v>
      </c>
    </row>
    <row r="570" spans="9:12" x14ac:dyDescent="0.25">
      <c r="I570" t="s">
        <v>188</v>
      </c>
      <c r="J570" t="s">
        <v>158</v>
      </c>
      <c r="K570">
        <v>9.2090531375338385E-3</v>
      </c>
      <c r="L570" t="s">
        <v>154</v>
      </c>
    </row>
    <row r="571" spans="9:12" x14ac:dyDescent="0.25">
      <c r="I571" t="s">
        <v>188</v>
      </c>
      <c r="J571" t="s">
        <v>159</v>
      </c>
      <c r="K571">
        <v>9.0796363779644864E-3</v>
      </c>
      <c r="L571" t="s">
        <v>154</v>
      </c>
    </row>
    <row r="572" spans="9:12" x14ac:dyDescent="0.25">
      <c r="I572" t="s">
        <v>188</v>
      </c>
      <c r="J572" t="s">
        <v>225</v>
      </c>
      <c r="K572">
        <v>5.2896099190704732E-2</v>
      </c>
      <c r="L572" t="s">
        <v>154</v>
      </c>
    </row>
    <row r="573" spans="9:12" x14ac:dyDescent="0.25">
      <c r="I573" t="s">
        <v>188</v>
      </c>
      <c r="J573" t="s">
        <v>226</v>
      </c>
      <c r="K573">
        <v>3.7618690532011057E-2</v>
      </c>
      <c r="L573" t="s">
        <v>154</v>
      </c>
    </row>
    <row r="574" spans="9:12" x14ac:dyDescent="0.25">
      <c r="I574" t="s">
        <v>188</v>
      </c>
      <c r="J574" t="s">
        <v>227</v>
      </c>
      <c r="K574">
        <v>3.8638787539628256E-3</v>
      </c>
      <c r="L574" t="s">
        <v>154</v>
      </c>
    </row>
    <row r="575" spans="9:12" x14ac:dyDescent="0.25">
      <c r="I575" t="s">
        <v>188</v>
      </c>
      <c r="J575" t="s">
        <v>160</v>
      </c>
      <c r="K575">
        <v>0</v>
      </c>
      <c r="L575" t="s">
        <v>154</v>
      </c>
    </row>
    <row r="576" spans="9:12" x14ac:dyDescent="0.25">
      <c r="I576" t="s">
        <v>188</v>
      </c>
      <c r="J576" t="s">
        <v>161</v>
      </c>
      <c r="K576">
        <v>2.2905905721050696E-2</v>
      </c>
      <c r="L576" t="s">
        <v>154</v>
      </c>
    </row>
    <row r="577" spans="9:12" x14ac:dyDescent="0.25">
      <c r="I577" t="s">
        <v>188</v>
      </c>
      <c r="J577" t="s">
        <v>162</v>
      </c>
      <c r="K577">
        <v>2.2500826699500261E-2</v>
      </c>
      <c r="L577" t="s">
        <v>154</v>
      </c>
    </row>
    <row r="578" spans="9:12" x14ac:dyDescent="0.25">
      <c r="I578" t="s">
        <v>188</v>
      </c>
      <c r="J578" t="s">
        <v>228</v>
      </c>
      <c r="K578">
        <v>0.12286286281012579</v>
      </c>
      <c r="L578" t="s">
        <v>154</v>
      </c>
    </row>
    <row r="579" spans="9:12" x14ac:dyDescent="0.25">
      <c r="I579" t="s">
        <v>188</v>
      </c>
      <c r="J579" t="s">
        <v>229</v>
      </c>
      <c r="K579">
        <v>8.9900883860439748E-2</v>
      </c>
      <c r="L579" t="s">
        <v>154</v>
      </c>
    </row>
    <row r="580" spans="9:12" x14ac:dyDescent="0.25">
      <c r="I580" t="s">
        <v>188</v>
      </c>
      <c r="J580" t="s">
        <v>230</v>
      </c>
      <c r="K580">
        <v>8.7861049742666304E-3</v>
      </c>
      <c r="L580" t="s">
        <v>154</v>
      </c>
    </row>
    <row r="581" spans="9:12" x14ac:dyDescent="0.25">
      <c r="I581" t="s">
        <v>188</v>
      </c>
      <c r="J581" t="s">
        <v>163</v>
      </c>
      <c r="K581">
        <v>0</v>
      </c>
      <c r="L581" t="s">
        <v>154</v>
      </c>
    </row>
    <row r="582" spans="9:12" x14ac:dyDescent="0.25">
      <c r="I582" t="s">
        <v>188</v>
      </c>
      <c r="J582" t="s">
        <v>164</v>
      </c>
      <c r="K582">
        <v>1.6094559497504421E-2</v>
      </c>
      <c r="L582" t="s">
        <v>154</v>
      </c>
    </row>
    <row r="583" spans="9:12" x14ac:dyDescent="0.25">
      <c r="I583" t="s">
        <v>188</v>
      </c>
      <c r="J583" t="s">
        <v>165</v>
      </c>
      <c r="K583">
        <v>1.6154154248405269E-2</v>
      </c>
      <c r="L583" t="s">
        <v>154</v>
      </c>
    </row>
    <row r="584" spans="9:12" x14ac:dyDescent="0.25">
      <c r="I584" t="s">
        <v>188</v>
      </c>
      <c r="J584" t="s">
        <v>231</v>
      </c>
      <c r="K584">
        <v>8.7995847386566878E-2</v>
      </c>
      <c r="L584" t="s">
        <v>154</v>
      </c>
    </row>
    <row r="585" spans="9:12" x14ac:dyDescent="0.25">
      <c r="I585" t="s">
        <v>188</v>
      </c>
      <c r="J585" t="s">
        <v>232</v>
      </c>
      <c r="K585">
        <v>5.8219333972816985E-2</v>
      </c>
      <c r="L585" t="s">
        <v>154</v>
      </c>
    </row>
    <row r="586" spans="9:12" x14ac:dyDescent="0.25">
      <c r="I586" t="s">
        <v>188</v>
      </c>
      <c r="J586" t="s">
        <v>233</v>
      </c>
      <c r="K586">
        <v>4.9915010060711494E-3</v>
      </c>
      <c r="L586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1FB6-D659-4800-838D-FDB98AEEA58C}">
  <dimension ref="A9:AN874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239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209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236</v>
      </c>
      <c r="G11" t="s">
        <v>143</v>
      </c>
      <c r="I11" t="s">
        <v>152</v>
      </c>
      <c r="J11" t="s">
        <v>153</v>
      </c>
      <c r="K11">
        <v>1.3380513163901774E-6</v>
      </c>
      <c r="L11" t="s">
        <v>154</v>
      </c>
      <c r="N11" t="s">
        <v>189</v>
      </c>
      <c r="O11" t="s">
        <v>153</v>
      </c>
      <c r="P11">
        <v>2.7953093066657678E-2</v>
      </c>
      <c r="Q11" t="s">
        <v>154</v>
      </c>
      <c r="S11" t="s">
        <v>199</v>
      </c>
      <c r="T11" t="s">
        <v>153</v>
      </c>
      <c r="U11">
        <v>4.879781891605417E-2</v>
      </c>
      <c r="V11" t="s">
        <v>154</v>
      </c>
      <c r="X11">
        <v>1.8378995433789954E-2</v>
      </c>
      <c r="Y11">
        <v>7.2582021894604257E-3</v>
      </c>
      <c r="Z11" t="s">
        <v>153</v>
      </c>
      <c r="AA11" t="s">
        <v>25</v>
      </c>
      <c r="AC11" t="s">
        <v>22</v>
      </c>
      <c r="AD11" t="s">
        <v>153</v>
      </c>
      <c r="AE11">
        <v>1.1456210884632176E-2</v>
      </c>
      <c r="AG11" t="s">
        <v>96</v>
      </c>
      <c r="AH11" t="s">
        <v>153</v>
      </c>
      <c r="AI11">
        <v>7.2000355730215126E-2</v>
      </c>
    </row>
    <row r="12" spans="1:40" x14ac:dyDescent="0.2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9.0541613390701676E-3</v>
      </c>
      <c r="L12" t="s">
        <v>154</v>
      </c>
      <c r="N12" t="s">
        <v>189</v>
      </c>
      <c r="O12" t="s">
        <v>155</v>
      </c>
      <c r="P12">
        <v>5.347522989577142E-3</v>
      </c>
      <c r="Q12" t="s">
        <v>154</v>
      </c>
      <c r="S12" t="s">
        <v>199</v>
      </c>
      <c r="T12" t="s">
        <v>155</v>
      </c>
      <c r="U12">
        <v>1.3964360593501183E-2</v>
      </c>
      <c r="V12" t="s">
        <v>154</v>
      </c>
      <c r="X12">
        <v>5.2511415525114159E-3</v>
      </c>
      <c r="Y12">
        <v>7.7385243931747186E-3</v>
      </c>
      <c r="Z12" t="s">
        <v>155</v>
      </c>
      <c r="AA12" t="s">
        <v>25</v>
      </c>
      <c r="AC12" t="s">
        <v>22</v>
      </c>
      <c r="AD12" t="s">
        <v>155</v>
      </c>
      <c r="AE12">
        <v>4.6630100008376403E-3</v>
      </c>
      <c r="AG12" t="s">
        <v>96</v>
      </c>
      <c r="AH12" t="s">
        <v>155</v>
      </c>
      <c r="AI12">
        <v>0.10608061070168273</v>
      </c>
    </row>
    <row r="13" spans="1:40" x14ac:dyDescent="0.2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6.8108364955417697E-3</v>
      </c>
      <c r="L13" t="s">
        <v>154</v>
      </c>
      <c r="N13" t="s">
        <v>189</v>
      </c>
      <c r="O13" t="s">
        <v>156</v>
      </c>
      <c r="P13">
        <v>2.9335242147380601E-3</v>
      </c>
      <c r="Q13" t="s">
        <v>154</v>
      </c>
      <c r="S13" t="s">
        <v>199</v>
      </c>
      <c r="T13" t="s">
        <v>156</v>
      </c>
      <c r="U13">
        <v>7.3017094750932668E-3</v>
      </c>
      <c r="V13" t="s">
        <v>154</v>
      </c>
      <c r="X13">
        <v>2.625570776255708E-3</v>
      </c>
      <c r="Y13">
        <v>3.3241346161814555E-3</v>
      </c>
      <c r="Z13" t="s">
        <v>156</v>
      </c>
      <c r="AA13" t="s">
        <v>25</v>
      </c>
      <c r="AC13" t="s">
        <v>22</v>
      </c>
      <c r="AD13" t="s">
        <v>156</v>
      </c>
      <c r="AE13">
        <v>2.5343907901411666E-3</v>
      </c>
      <c r="AG13" t="s">
        <v>96</v>
      </c>
      <c r="AH13" t="s">
        <v>156</v>
      </c>
      <c r="AI13">
        <v>6.9244113109922623E-2</v>
      </c>
    </row>
    <row r="14" spans="1:40" x14ac:dyDescent="0.25">
      <c r="C14" t="s">
        <v>150</v>
      </c>
      <c r="E14" t="s">
        <v>218</v>
      </c>
      <c r="G14" t="s">
        <v>143</v>
      </c>
      <c r="I14" t="s">
        <v>152</v>
      </c>
      <c r="J14" t="s">
        <v>222</v>
      </c>
      <c r="K14">
        <v>3.02147405407618E-2</v>
      </c>
      <c r="L14" t="s">
        <v>154</v>
      </c>
      <c r="N14" t="s">
        <v>189</v>
      </c>
      <c r="O14" t="s">
        <v>222</v>
      </c>
      <c r="P14">
        <v>1.47179820771685E-2</v>
      </c>
      <c r="Q14" t="s">
        <v>154</v>
      </c>
      <c r="S14" t="s">
        <v>199</v>
      </c>
      <c r="T14" t="s">
        <v>222</v>
      </c>
      <c r="U14">
        <v>2.7550919212049604E-2</v>
      </c>
      <c r="V14" t="s">
        <v>154</v>
      </c>
      <c r="X14">
        <v>1.0502283105022832E-2</v>
      </c>
      <c r="Y14">
        <v>1.3174551873306321E-2</v>
      </c>
      <c r="Z14" t="s">
        <v>222</v>
      </c>
      <c r="AA14" t="s">
        <v>25</v>
      </c>
      <c r="AC14" t="s">
        <v>22</v>
      </c>
      <c r="AD14" t="s">
        <v>222</v>
      </c>
      <c r="AE14">
        <v>1.0985053829384851E-2</v>
      </c>
      <c r="AG14" t="s">
        <v>96</v>
      </c>
      <c r="AH14" t="s">
        <v>222</v>
      </c>
      <c r="AI14">
        <v>5.1823519569437426E-2</v>
      </c>
    </row>
    <row r="15" spans="1:40" x14ac:dyDescent="0.25">
      <c r="C15" t="s">
        <v>237</v>
      </c>
      <c r="E15" t="s">
        <v>219</v>
      </c>
      <c r="G15" t="s">
        <v>143</v>
      </c>
      <c r="I15" t="s">
        <v>152</v>
      </c>
      <c r="J15" t="s">
        <v>223</v>
      </c>
      <c r="K15">
        <v>1.6884963205340223E-2</v>
      </c>
      <c r="L15" t="s">
        <v>154</v>
      </c>
      <c r="N15" t="s">
        <v>189</v>
      </c>
      <c r="O15" t="s">
        <v>223</v>
      </c>
      <c r="P15">
        <v>1.5605292174634645E-2</v>
      </c>
      <c r="Q15" t="s">
        <v>154</v>
      </c>
      <c r="S15" t="s">
        <v>199</v>
      </c>
      <c r="T15" t="s">
        <v>223</v>
      </c>
      <c r="U15">
        <v>2.607533100580204E-2</v>
      </c>
      <c r="V15" t="s">
        <v>154</v>
      </c>
      <c r="X15">
        <v>1.0502283105022832E-2</v>
      </c>
      <c r="Y15">
        <v>1.7642310784045611E-2</v>
      </c>
      <c r="Z15" t="s">
        <v>223</v>
      </c>
      <c r="AA15" t="s">
        <v>25</v>
      </c>
      <c r="AC15" t="s">
        <v>22</v>
      </c>
      <c r="AD15" t="s">
        <v>223</v>
      </c>
      <c r="AE15">
        <v>1.109265181829336E-2</v>
      </c>
      <c r="AG15" t="s">
        <v>96</v>
      </c>
      <c r="AH15" t="s">
        <v>223</v>
      </c>
      <c r="AI15">
        <v>5.6616443210199652E-2</v>
      </c>
    </row>
    <row r="16" spans="1:40" x14ac:dyDescent="0.25">
      <c r="C16" t="s">
        <v>238</v>
      </c>
      <c r="E16" t="s">
        <v>220</v>
      </c>
      <c r="G16" t="s">
        <v>143</v>
      </c>
      <c r="I16" t="s">
        <v>152</v>
      </c>
      <c r="J16" t="s">
        <v>224</v>
      </c>
      <c r="K16">
        <v>0</v>
      </c>
      <c r="L16" t="s">
        <v>154</v>
      </c>
      <c r="N16" t="s">
        <v>189</v>
      </c>
      <c r="O16" t="s">
        <v>224</v>
      </c>
      <c r="P16">
        <v>2.5217680375008295E-2</v>
      </c>
      <c r="Q16" t="s">
        <v>154</v>
      </c>
      <c r="S16" t="s">
        <v>199</v>
      </c>
      <c r="T16" t="s">
        <v>224</v>
      </c>
      <c r="U16">
        <v>4.4148382786562017E-2</v>
      </c>
      <c r="V16" t="s">
        <v>154</v>
      </c>
      <c r="X16">
        <v>1.5753424657534248E-2</v>
      </c>
      <c r="Y16">
        <v>1.387597477396846E-2</v>
      </c>
      <c r="Z16" t="s">
        <v>224</v>
      </c>
      <c r="AA16" t="s">
        <v>25</v>
      </c>
      <c r="AC16" t="s">
        <v>22</v>
      </c>
      <c r="AD16" t="s">
        <v>224</v>
      </c>
      <c r="AE16">
        <v>1.7140056670969284E-2</v>
      </c>
      <c r="AG16" t="s">
        <v>96</v>
      </c>
      <c r="AH16" t="s">
        <v>224</v>
      </c>
      <c r="AI16">
        <v>0.10897521328215198</v>
      </c>
    </row>
    <row r="17" spans="9:35" x14ac:dyDescent="0.25">
      <c r="I17" t="s">
        <v>152</v>
      </c>
      <c r="J17" t="s">
        <v>157</v>
      </c>
      <c r="K17">
        <v>5.0823782201101205E-3</v>
      </c>
      <c r="L17" t="s">
        <v>154</v>
      </c>
      <c r="N17" t="s">
        <v>189</v>
      </c>
      <c r="O17" t="s">
        <v>157</v>
      </c>
      <c r="P17">
        <v>7.7550264249113307E-2</v>
      </c>
      <c r="Q17" t="s">
        <v>154</v>
      </c>
      <c r="S17" t="s">
        <v>199</v>
      </c>
      <c r="T17" t="s">
        <v>157</v>
      </c>
      <c r="U17">
        <v>8.3987981986522325E-2</v>
      </c>
      <c r="V17" t="s">
        <v>154</v>
      </c>
      <c r="X17">
        <v>9.1095890410958905E-2</v>
      </c>
      <c r="Y17">
        <v>3.5975436939064721E-2</v>
      </c>
      <c r="Z17" t="s">
        <v>157</v>
      </c>
      <c r="AA17" t="s">
        <v>25</v>
      </c>
      <c r="AC17" t="s">
        <v>22</v>
      </c>
      <c r="AD17" t="s">
        <v>157</v>
      </c>
      <c r="AE17">
        <v>6.6397395104880241E-2</v>
      </c>
      <c r="AG17" t="s">
        <v>96</v>
      </c>
      <c r="AH17" t="s">
        <v>157</v>
      </c>
      <c r="AI17">
        <v>0.20362510007412804</v>
      </c>
    </row>
    <row r="18" spans="9:35" x14ac:dyDescent="0.25">
      <c r="I18" t="s">
        <v>152</v>
      </c>
      <c r="J18" t="s">
        <v>158</v>
      </c>
      <c r="K18">
        <v>4.4770664603793787E-2</v>
      </c>
      <c r="L18" t="s">
        <v>154</v>
      </c>
      <c r="N18" t="s">
        <v>189</v>
      </c>
      <c r="O18" t="s">
        <v>158</v>
      </c>
      <c r="P18">
        <v>1.8042835425882208E-2</v>
      </c>
      <c r="Q18" t="s">
        <v>154</v>
      </c>
      <c r="S18" t="s">
        <v>199</v>
      </c>
      <c r="T18" t="s">
        <v>158</v>
      </c>
      <c r="U18">
        <v>2.4671905827918318E-2</v>
      </c>
      <c r="V18" t="s">
        <v>154</v>
      </c>
      <c r="X18">
        <v>2.6027397260273973E-2</v>
      </c>
      <c r="Y18">
        <v>3.8356164383561646E-2</v>
      </c>
      <c r="Z18" t="s">
        <v>158</v>
      </c>
      <c r="AA18" t="s">
        <v>25</v>
      </c>
      <c r="AC18" t="s">
        <v>22</v>
      </c>
      <c r="AD18" t="s">
        <v>158</v>
      </c>
      <c r="AE18">
        <v>2.4819813001229547E-2</v>
      </c>
      <c r="AG18" t="s">
        <v>96</v>
      </c>
      <c r="AH18" t="s">
        <v>158</v>
      </c>
      <c r="AI18">
        <v>0.16296052072201794</v>
      </c>
    </row>
    <row r="19" spans="9:35" x14ac:dyDescent="0.25">
      <c r="I19" t="s">
        <v>152</v>
      </c>
      <c r="J19" t="s">
        <v>159</v>
      </c>
      <c r="K19">
        <v>3.4201691004959324E-2</v>
      </c>
      <c r="L19" t="s">
        <v>154</v>
      </c>
      <c r="N19" t="s">
        <v>189</v>
      </c>
      <c r="O19" t="s">
        <v>159</v>
      </c>
      <c r="P19">
        <v>1.0321158735948787E-2</v>
      </c>
      <c r="Q19" t="s">
        <v>154</v>
      </c>
      <c r="S19" t="s">
        <v>199</v>
      </c>
      <c r="T19" t="s">
        <v>159</v>
      </c>
      <c r="U19">
        <v>1.2442204084177972E-2</v>
      </c>
      <c r="V19" t="s">
        <v>154</v>
      </c>
      <c r="X19">
        <v>1.3013698630136987E-2</v>
      </c>
      <c r="Y19">
        <v>1.6476145488899394E-2</v>
      </c>
      <c r="Z19" t="s">
        <v>159</v>
      </c>
      <c r="AA19" t="s">
        <v>25</v>
      </c>
      <c r="AC19" t="s">
        <v>22</v>
      </c>
      <c r="AD19" t="s">
        <v>159</v>
      </c>
      <c r="AE19">
        <v>1.4421426449170936E-2</v>
      </c>
      <c r="AG19" t="s">
        <v>96</v>
      </c>
      <c r="AH19" t="s">
        <v>159</v>
      </c>
      <c r="AI19">
        <v>0.10836603830234393</v>
      </c>
    </row>
    <row r="20" spans="9:35" x14ac:dyDescent="0.25">
      <c r="I20" t="s">
        <v>152</v>
      </c>
      <c r="J20" t="s">
        <v>225</v>
      </c>
      <c r="K20">
        <v>0.15908929476709818</v>
      </c>
      <c r="L20" t="s">
        <v>154</v>
      </c>
      <c r="N20" t="s">
        <v>189</v>
      </c>
      <c r="O20" t="s">
        <v>225</v>
      </c>
      <c r="P20">
        <v>4.8694981518255055E-2</v>
      </c>
      <c r="Q20" t="s">
        <v>154</v>
      </c>
      <c r="S20" t="s">
        <v>199</v>
      </c>
      <c r="T20" t="s">
        <v>225</v>
      </c>
      <c r="U20">
        <v>4.6316921785392415E-2</v>
      </c>
      <c r="V20" t="s">
        <v>154</v>
      </c>
      <c r="X20">
        <v>5.2054794520547946E-2</v>
      </c>
      <c r="Y20">
        <v>6.5299952763344368E-2</v>
      </c>
      <c r="Z20" t="s">
        <v>225</v>
      </c>
      <c r="AA20" t="s">
        <v>25</v>
      </c>
      <c r="AC20" t="s">
        <v>22</v>
      </c>
      <c r="AD20" t="s">
        <v>225</v>
      </c>
      <c r="AE20">
        <v>6.6422955945115242E-2</v>
      </c>
      <c r="AG20" t="s">
        <v>96</v>
      </c>
      <c r="AH20" t="s">
        <v>225</v>
      </c>
      <c r="AI20">
        <v>0.17748594706889809</v>
      </c>
    </row>
    <row r="21" spans="9:35" x14ac:dyDescent="0.25">
      <c r="I21" t="s">
        <v>152</v>
      </c>
      <c r="J21" t="s">
        <v>226</v>
      </c>
      <c r="K21">
        <v>9.4570183005781946E-2</v>
      </c>
      <c r="L21" t="s">
        <v>154</v>
      </c>
      <c r="N21" t="s">
        <v>189</v>
      </c>
      <c r="O21" t="s">
        <v>226</v>
      </c>
      <c r="P21">
        <v>6.3827154120363702E-2</v>
      </c>
      <c r="Q21" t="s">
        <v>154</v>
      </c>
      <c r="S21" t="s">
        <v>199</v>
      </c>
      <c r="T21" t="s">
        <v>226</v>
      </c>
      <c r="U21">
        <v>4.0276106181939934E-2</v>
      </c>
      <c r="V21" t="s">
        <v>154</v>
      </c>
      <c r="X21">
        <v>5.2054794520547946E-2</v>
      </c>
      <c r="Y21">
        <v>8.7444496929617394E-2</v>
      </c>
      <c r="Z21" t="s">
        <v>226</v>
      </c>
      <c r="AA21" t="s">
        <v>25</v>
      </c>
      <c r="AC21" t="s">
        <v>22</v>
      </c>
      <c r="AD21" t="s">
        <v>226</v>
      </c>
      <c r="AE21">
        <v>6.807794995742307E-2</v>
      </c>
      <c r="AG21" t="s">
        <v>96</v>
      </c>
      <c r="AH21" t="s">
        <v>226</v>
      </c>
      <c r="AI21">
        <v>0.1643098124516198</v>
      </c>
    </row>
    <row r="22" spans="9:35" x14ac:dyDescent="0.25">
      <c r="I22" t="s">
        <v>152</v>
      </c>
      <c r="J22" t="s">
        <v>227</v>
      </c>
      <c r="K22">
        <v>0</v>
      </c>
      <c r="L22" t="s">
        <v>154</v>
      </c>
      <c r="N22" t="s">
        <v>189</v>
      </c>
      <c r="O22" t="s">
        <v>227</v>
      </c>
      <c r="P22">
        <v>8.3200114188507382E-2</v>
      </c>
      <c r="Q22" t="s">
        <v>154</v>
      </c>
      <c r="S22" t="s">
        <v>199</v>
      </c>
      <c r="T22" t="s">
        <v>227</v>
      </c>
      <c r="U22">
        <v>7.2423130983029993E-2</v>
      </c>
      <c r="V22" t="s">
        <v>154</v>
      </c>
      <c r="X22">
        <v>7.8082191780821916E-2</v>
      </c>
      <c r="Y22">
        <v>6.8776570618800201E-2</v>
      </c>
      <c r="Z22" t="s">
        <v>227</v>
      </c>
      <c r="AA22" t="s">
        <v>25</v>
      </c>
      <c r="AC22" t="s">
        <v>22</v>
      </c>
      <c r="AD22" t="s">
        <v>227</v>
      </c>
      <c r="AE22">
        <v>9.6848937180809405E-2</v>
      </c>
      <c r="AG22" t="s">
        <v>96</v>
      </c>
      <c r="AH22" t="s">
        <v>227</v>
      </c>
      <c r="AI22">
        <v>0.16804071474300808</v>
      </c>
    </row>
    <row r="23" spans="9:35" x14ac:dyDescent="0.25">
      <c r="I23" t="s">
        <v>152</v>
      </c>
      <c r="J23" t="s">
        <v>160</v>
      </c>
      <c r="K23">
        <v>1.3058764909233678E-3</v>
      </c>
      <c r="L23" t="s">
        <v>154</v>
      </c>
      <c r="N23" t="s">
        <v>189</v>
      </c>
      <c r="O23" t="s">
        <v>160</v>
      </c>
      <c r="P23">
        <v>4.5672191654187646E-3</v>
      </c>
      <c r="Q23" t="s">
        <v>154</v>
      </c>
      <c r="S23" t="s">
        <v>199</v>
      </c>
      <c r="T23" t="s">
        <v>160</v>
      </c>
      <c r="U23">
        <v>4.506204403202895E-4</v>
      </c>
      <c r="V23" t="s">
        <v>154</v>
      </c>
      <c r="X23">
        <v>1.1986301369863013E-2</v>
      </c>
      <c r="Y23">
        <v>4.7336101235611484E-3</v>
      </c>
      <c r="Z23" t="s">
        <v>160</v>
      </c>
      <c r="AA23" t="s">
        <v>25</v>
      </c>
      <c r="AC23" t="s">
        <v>22</v>
      </c>
      <c r="AD23" t="s">
        <v>160</v>
      </c>
      <c r="AE23">
        <v>9.5536027438117652E-3</v>
      </c>
      <c r="AG23" t="s">
        <v>96</v>
      </c>
      <c r="AH23" t="s">
        <v>160</v>
      </c>
      <c r="AI23">
        <v>0.11292411556543636</v>
      </c>
    </row>
    <row r="24" spans="9:35" x14ac:dyDescent="0.25">
      <c r="I24" t="s">
        <v>152</v>
      </c>
      <c r="J24" t="s">
        <v>161</v>
      </c>
      <c r="K24">
        <v>5.5510551632263492E-3</v>
      </c>
      <c r="L24" t="s">
        <v>154</v>
      </c>
      <c r="N24" t="s">
        <v>189</v>
      </c>
      <c r="O24" t="s">
        <v>161</v>
      </c>
      <c r="P24">
        <v>9.6698784518132628E-4</v>
      </c>
      <c r="Q24" t="s">
        <v>154</v>
      </c>
      <c r="S24" t="s">
        <v>199</v>
      </c>
      <c r="T24" t="s">
        <v>161</v>
      </c>
      <c r="U24">
        <v>1.5909512510200465E-4</v>
      </c>
      <c r="V24" t="s">
        <v>154</v>
      </c>
      <c r="X24">
        <v>3.4246575342465752E-3</v>
      </c>
      <c r="Y24">
        <v>5.0468637346791642E-3</v>
      </c>
      <c r="Z24" t="s">
        <v>161</v>
      </c>
      <c r="AA24" t="s">
        <v>25</v>
      </c>
      <c r="AC24" t="s">
        <v>22</v>
      </c>
      <c r="AD24" t="s">
        <v>161</v>
      </c>
      <c r="AE24">
        <v>3.3870929676246882E-3</v>
      </c>
      <c r="AG24" t="s">
        <v>96</v>
      </c>
      <c r="AH24" t="s">
        <v>161</v>
      </c>
      <c r="AI24">
        <v>9.9580663220244059E-2</v>
      </c>
    </row>
    <row r="25" spans="9:35" x14ac:dyDescent="0.25">
      <c r="I25" t="s">
        <v>152</v>
      </c>
      <c r="J25" t="s">
        <v>162</v>
      </c>
      <c r="K25">
        <v>4.1621005856711966E-3</v>
      </c>
      <c r="L25" t="s">
        <v>154</v>
      </c>
      <c r="N25" t="s">
        <v>189</v>
      </c>
      <c r="O25" t="s">
        <v>162</v>
      </c>
      <c r="P25">
        <v>5.2664435602635558E-4</v>
      </c>
      <c r="Q25" t="s">
        <v>154</v>
      </c>
      <c r="S25" t="s">
        <v>199</v>
      </c>
      <c r="T25" t="s">
        <v>162</v>
      </c>
      <c r="U25">
        <v>6.1089396148426072E-5</v>
      </c>
      <c r="V25" t="s">
        <v>154</v>
      </c>
      <c r="X25">
        <v>1.7123287671232876E-3</v>
      </c>
      <c r="Y25">
        <v>2.1679138801183415E-3</v>
      </c>
      <c r="Z25" t="s">
        <v>162</v>
      </c>
      <c r="AA25" t="s">
        <v>25</v>
      </c>
      <c r="AC25" t="s">
        <v>22</v>
      </c>
      <c r="AD25" t="s">
        <v>162</v>
      </c>
      <c r="AE25">
        <v>2.0555892624010848E-3</v>
      </c>
      <c r="AG25" t="s">
        <v>96</v>
      </c>
      <c r="AH25" t="s">
        <v>162</v>
      </c>
      <c r="AI25">
        <v>6.0796289392311298E-2</v>
      </c>
    </row>
    <row r="26" spans="9:35" x14ac:dyDescent="0.25">
      <c r="I26" t="s">
        <v>152</v>
      </c>
      <c r="J26" t="s">
        <v>228</v>
      </c>
      <c r="K26">
        <v>2.1547629193205822E-2</v>
      </c>
      <c r="L26" t="s">
        <v>154</v>
      </c>
      <c r="N26" t="s">
        <v>189</v>
      </c>
      <c r="O26" t="s">
        <v>228</v>
      </c>
      <c r="P26">
        <v>2.4311196787036695E-3</v>
      </c>
      <c r="Q26" t="s">
        <v>154</v>
      </c>
      <c r="S26" t="s">
        <v>199</v>
      </c>
      <c r="T26" t="s">
        <v>228</v>
      </c>
      <c r="U26">
        <v>2.993482291017538E-4</v>
      </c>
      <c r="V26" t="s">
        <v>154</v>
      </c>
      <c r="X26">
        <v>6.8493150684931503E-3</v>
      </c>
      <c r="Y26">
        <v>8.5920990478084696E-3</v>
      </c>
      <c r="Z26" t="s">
        <v>228</v>
      </c>
      <c r="AA26" t="s">
        <v>25</v>
      </c>
      <c r="AC26" t="s">
        <v>22</v>
      </c>
      <c r="AD26" t="s">
        <v>228</v>
      </c>
      <c r="AE26">
        <v>9.8666010446566681E-3</v>
      </c>
      <c r="AG26" t="s">
        <v>96</v>
      </c>
      <c r="AH26" t="s">
        <v>228</v>
      </c>
      <c r="AI26">
        <v>7.8829912558695314E-2</v>
      </c>
    </row>
    <row r="27" spans="9:35" x14ac:dyDescent="0.25">
      <c r="I27" t="s">
        <v>152</v>
      </c>
      <c r="J27" t="s">
        <v>229</v>
      </c>
      <c r="K27">
        <v>1.0770252265111956E-2</v>
      </c>
      <c r="L27" t="s">
        <v>154</v>
      </c>
      <c r="N27" t="s">
        <v>189</v>
      </c>
      <c r="O27" t="s">
        <v>229</v>
      </c>
      <c r="P27">
        <v>2.7480106300591146E-3</v>
      </c>
      <c r="Q27" t="s">
        <v>154</v>
      </c>
      <c r="S27" t="s">
        <v>199</v>
      </c>
      <c r="T27" t="s">
        <v>229</v>
      </c>
      <c r="U27">
        <v>3.5513413537605732E-4</v>
      </c>
      <c r="V27" t="s">
        <v>154</v>
      </c>
      <c r="X27">
        <v>6.8493150684931503E-3</v>
      </c>
      <c r="Y27">
        <v>1.150585485916018E-2</v>
      </c>
      <c r="Z27" t="s">
        <v>229</v>
      </c>
      <c r="AA27" t="s">
        <v>25</v>
      </c>
      <c r="AC27" t="s">
        <v>22</v>
      </c>
      <c r="AD27" t="s">
        <v>229</v>
      </c>
      <c r="AE27">
        <v>1.0201152537079284E-2</v>
      </c>
      <c r="AG27" t="s">
        <v>96</v>
      </c>
      <c r="AH27" t="s">
        <v>229</v>
      </c>
      <c r="AI27">
        <v>7.467807025727291E-2</v>
      </c>
    </row>
    <row r="28" spans="9:35" x14ac:dyDescent="0.25">
      <c r="I28" t="s">
        <v>152</v>
      </c>
      <c r="J28" t="s">
        <v>230</v>
      </c>
      <c r="K28">
        <v>0</v>
      </c>
      <c r="L28" t="s">
        <v>154</v>
      </c>
      <c r="N28" t="s">
        <v>189</v>
      </c>
      <c r="O28" t="s">
        <v>230</v>
      </c>
      <c r="P28">
        <v>3.0807012595333969E-3</v>
      </c>
      <c r="Q28" t="s">
        <v>154</v>
      </c>
      <c r="S28" t="s">
        <v>199</v>
      </c>
      <c r="T28" t="s">
        <v>230</v>
      </c>
      <c r="U28">
        <v>2.4167075641783292E-4</v>
      </c>
      <c r="V28" t="s">
        <v>154</v>
      </c>
      <c r="X28">
        <v>1.0273972602739725E-2</v>
      </c>
      <c r="Y28">
        <v>9.0495487656316043E-3</v>
      </c>
      <c r="Z28" t="s">
        <v>230</v>
      </c>
      <c r="AA28" t="s">
        <v>25</v>
      </c>
      <c r="AC28" t="s">
        <v>22</v>
      </c>
      <c r="AD28" t="s">
        <v>230</v>
      </c>
      <c r="AE28">
        <v>1.4069355239655332E-2</v>
      </c>
      <c r="AG28" t="s">
        <v>96</v>
      </c>
      <c r="AH28" t="s">
        <v>230</v>
      </c>
      <c r="AI28">
        <v>9.1201157632313956E-2</v>
      </c>
    </row>
    <row r="29" spans="9:35" x14ac:dyDescent="0.25">
      <c r="I29" t="s">
        <v>152</v>
      </c>
      <c r="J29" t="s">
        <v>163</v>
      </c>
      <c r="K29">
        <v>3.5484569435157319E-3</v>
      </c>
      <c r="L29" t="s">
        <v>154</v>
      </c>
      <c r="N29" t="s">
        <v>189</v>
      </c>
      <c r="O29" t="s">
        <v>163</v>
      </c>
      <c r="P29">
        <v>1.5064882383619372E-2</v>
      </c>
      <c r="Q29" t="s">
        <v>154</v>
      </c>
      <c r="S29" t="s">
        <v>199</v>
      </c>
      <c r="T29" t="s">
        <v>163</v>
      </c>
      <c r="U29">
        <v>1.4762329398174578E-2</v>
      </c>
      <c r="V29" t="s">
        <v>154</v>
      </c>
      <c r="X29">
        <v>3.3561643835616439E-2</v>
      </c>
      <c r="Y29">
        <v>1.3254108345971212E-2</v>
      </c>
      <c r="Z29" t="s">
        <v>163</v>
      </c>
      <c r="AA29" t="s">
        <v>25</v>
      </c>
      <c r="AC29" t="s">
        <v>22</v>
      </c>
      <c r="AD29" t="s">
        <v>163</v>
      </c>
      <c r="AE29">
        <v>2.8517764263876699E-2</v>
      </c>
      <c r="AG29" t="s">
        <v>96</v>
      </c>
      <c r="AH29" t="s">
        <v>163</v>
      </c>
      <c r="AI29">
        <v>0.17572767726567906</v>
      </c>
    </row>
    <row r="30" spans="9:35" x14ac:dyDescent="0.25">
      <c r="I30" t="s">
        <v>152</v>
      </c>
      <c r="J30" t="s">
        <v>164</v>
      </c>
      <c r="K30">
        <v>1.5700093644480766E-2</v>
      </c>
      <c r="L30" t="s">
        <v>154</v>
      </c>
      <c r="N30" t="s">
        <v>189</v>
      </c>
      <c r="O30" t="s">
        <v>164</v>
      </c>
      <c r="P30">
        <v>3.0521093835506378E-3</v>
      </c>
      <c r="Q30" t="s">
        <v>154</v>
      </c>
      <c r="S30" t="s">
        <v>199</v>
      </c>
      <c r="T30" t="s">
        <v>164</v>
      </c>
      <c r="U30">
        <v>3.9560927953087204E-3</v>
      </c>
      <c r="V30" t="s">
        <v>154</v>
      </c>
      <c r="X30">
        <v>9.5890410958904115E-3</v>
      </c>
      <c r="Y30">
        <v>1.4131218457101661E-2</v>
      </c>
      <c r="Z30" t="s">
        <v>164</v>
      </c>
      <c r="AA30" t="s">
        <v>25</v>
      </c>
      <c r="AC30" t="s">
        <v>22</v>
      </c>
      <c r="AD30" t="s">
        <v>164</v>
      </c>
      <c r="AE30">
        <v>1.0088850847448106E-2</v>
      </c>
      <c r="AG30" t="s">
        <v>96</v>
      </c>
      <c r="AH30" t="s">
        <v>164</v>
      </c>
      <c r="AI30">
        <v>0.14656505860482283</v>
      </c>
    </row>
    <row r="31" spans="9:35" x14ac:dyDescent="0.25">
      <c r="I31" t="s">
        <v>152</v>
      </c>
      <c r="J31" t="s">
        <v>165</v>
      </c>
      <c r="K31">
        <v>1.1421992480620077E-2</v>
      </c>
      <c r="L31" t="s">
        <v>154</v>
      </c>
      <c r="N31" t="s">
        <v>189</v>
      </c>
      <c r="O31" t="s">
        <v>165</v>
      </c>
      <c r="P31">
        <v>1.4419980914660087E-3</v>
      </c>
      <c r="Q31" t="s">
        <v>154</v>
      </c>
      <c r="S31" t="s">
        <v>199</v>
      </c>
      <c r="T31" t="s">
        <v>165</v>
      </c>
      <c r="U31">
        <v>1.9055581873693962E-3</v>
      </c>
      <c r="V31" t="s">
        <v>154</v>
      </c>
      <c r="X31">
        <v>4.7945205479452057E-3</v>
      </c>
      <c r="Y31">
        <v>6.0701588643313539E-3</v>
      </c>
      <c r="Z31" t="s">
        <v>165</v>
      </c>
      <c r="AA31" t="s">
        <v>25</v>
      </c>
      <c r="AC31" t="s">
        <v>22</v>
      </c>
      <c r="AD31" t="s">
        <v>165</v>
      </c>
      <c r="AE31">
        <v>6.0943128004988184E-3</v>
      </c>
      <c r="AG31" t="s">
        <v>96</v>
      </c>
      <c r="AH31" t="s">
        <v>165</v>
      </c>
      <c r="AI31">
        <v>8.0144397491046293E-2</v>
      </c>
    </row>
    <row r="32" spans="9:35" x14ac:dyDescent="0.25">
      <c r="I32" t="s">
        <v>152</v>
      </c>
      <c r="J32" t="s">
        <v>231</v>
      </c>
      <c r="K32">
        <v>5.6843261087425392E-2</v>
      </c>
      <c r="L32" t="s">
        <v>154</v>
      </c>
      <c r="N32" t="s">
        <v>189</v>
      </c>
      <c r="O32" t="s">
        <v>231</v>
      </c>
      <c r="P32">
        <v>5.8214157718206897E-3</v>
      </c>
      <c r="Q32" t="s">
        <v>154</v>
      </c>
      <c r="S32" t="s">
        <v>199</v>
      </c>
      <c r="T32" t="s">
        <v>231</v>
      </c>
      <c r="U32">
        <v>8.2521604569853278E-3</v>
      </c>
      <c r="V32" t="s">
        <v>154</v>
      </c>
      <c r="X32">
        <v>1.9178082191780823E-2</v>
      </c>
      <c r="Y32">
        <v>2.4057877333863709E-2</v>
      </c>
      <c r="Z32" t="s">
        <v>231</v>
      </c>
      <c r="AA32" t="s">
        <v>25</v>
      </c>
      <c r="AC32" t="s">
        <v>22</v>
      </c>
      <c r="AD32" t="s">
        <v>231</v>
      </c>
      <c r="AE32">
        <v>2.842952840718465E-2</v>
      </c>
      <c r="AG32" t="s">
        <v>96</v>
      </c>
      <c r="AH32" t="s">
        <v>231</v>
      </c>
      <c r="AI32">
        <v>0.11701539747805945</v>
      </c>
    </row>
    <row r="33" spans="9:35" x14ac:dyDescent="0.25">
      <c r="I33" t="s">
        <v>152</v>
      </c>
      <c r="J33" t="s">
        <v>232</v>
      </c>
      <c r="K33">
        <v>2.9716341366791008E-2</v>
      </c>
      <c r="L33" t="s">
        <v>154</v>
      </c>
      <c r="N33" t="s">
        <v>189</v>
      </c>
      <c r="O33" t="s">
        <v>232</v>
      </c>
      <c r="P33">
        <v>1.3623620898830558E-2</v>
      </c>
      <c r="Q33" t="s">
        <v>154</v>
      </c>
      <c r="S33" t="s">
        <v>199</v>
      </c>
      <c r="T33" t="s">
        <v>232</v>
      </c>
      <c r="U33">
        <v>8.3432100292366255E-3</v>
      </c>
      <c r="V33" t="s">
        <v>154</v>
      </c>
      <c r="X33">
        <v>1.9178082191780823E-2</v>
      </c>
      <c r="Y33">
        <v>3.2216393605648513E-2</v>
      </c>
      <c r="Z33" t="s">
        <v>232</v>
      </c>
      <c r="AA33" t="s">
        <v>25</v>
      </c>
      <c r="AC33" t="s">
        <v>22</v>
      </c>
      <c r="AD33" t="s">
        <v>232</v>
      </c>
      <c r="AE33">
        <v>2.9359683676392634E-2</v>
      </c>
      <c r="AG33" t="s">
        <v>96</v>
      </c>
      <c r="AH33" t="s">
        <v>232</v>
      </c>
      <c r="AI33">
        <v>0.10017446458986035</v>
      </c>
    </row>
    <row r="34" spans="9:35" x14ac:dyDescent="0.25">
      <c r="I34" t="s">
        <v>152</v>
      </c>
      <c r="J34" t="s">
        <v>233</v>
      </c>
      <c r="K34">
        <v>0</v>
      </c>
      <c r="L34" t="s">
        <v>154</v>
      </c>
      <c r="N34" t="s">
        <v>189</v>
      </c>
      <c r="O34" t="s">
        <v>233</v>
      </c>
      <c r="P34">
        <v>2.1090359804766319E-2</v>
      </c>
      <c r="Q34" t="s">
        <v>154</v>
      </c>
      <c r="S34" t="s">
        <v>199</v>
      </c>
      <c r="T34" t="s">
        <v>233</v>
      </c>
      <c r="U34">
        <v>9.4983555222959634E-3</v>
      </c>
      <c r="V34" t="s">
        <v>154</v>
      </c>
      <c r="X34">
        <v>2.8767123287671233E-2</v>
      </c>
      <c r="Y34">
        <v>2.5338736543768493E-2</v>
      </c>
      <c r="Z34" t="s">
        <v>233</v>
      </c>
      <c r="AA34" t="s">
        <v>25</v>
      </c>
      <c r="AC34" t="s">
        <v>22</v>
      </c>
      <c r="AD34" t="s">
        <v>233</v>
      </c>
      <c r="AE34">
        <v>4.0895991578814767E-2</v>
      </c>
      <c r="AG34" t="s">
        <v>96</v>
      </c>
      <c r="AH34" t="s">
        <v>233</v>
      </c>
      <c r="AI34">
        <v>0.12286430595829079</v>
      </c>
    </row>
    <row r="35" spans="9:35" x14ac:dyDescent="0.25">
      <c r="I35" t="s">
        <v>152</v>
      </c>
      <c r="J35" t="s">
        <v>240</v>
      </c>
      <c r="K35">
        <v>6.9525798815303847E-3</v>
      </c>
      <c r="L35" t="s">
        <v>154</v>
      </c>
      <c r="N35" t="s">
        <v>189</v>
      </c>
      <c r="O35" t="s">
        <v>240</v>
      </c>
      <c r="P35">
        <v>0.10121408376293153</v>
      </c>
      <c r="Q35" t="s">
        <v>154</v>
      </c>
      <c r="S35" t="s">
        <v>199</v>
      </c>
      <c r="T35" t="s">
        <v>240</v>
      </c>
      <c r="U35">
        <v>6.3171177539672413E-2</v>
      </c>
      <c r="V35" t="s">
        <v>154</v>
      </c>
      <c r="X35">
        <v>7.2716894977168947E-2</v>
      </c>
      <c r="Y35">
        <v>2.8717234749604293E-2</v>
      </c>
      <c r="Z35" t="s">
        <v>240</v>
      </c>
      <c r="AA35" t="s">
        <v>25</v>
      </c>
      <c r="AC35" t="s">
        <v>22</v>
      </c>
      <c r="AD35" t="s">
        <v>240</v>
      </c>
      <c r="AE35">
        <v>4.558533441023771E-2</v>
      </c>
      <c r="AG35" t="s">
        <v>96</v>
      </c>
      <c r="AH35" t="s">
        <v>240</v>
      </c>
      <c r="AI35">
        <v>0.14870507170930924</v>
      </c>
    </row>
    <row r="36" spans="9:35" x14ac:dyDescent="0.25">
      <c r="I36" t="s">
        <v>152</v>
      </c>
      <c r="J36" t="s">
        <v>241</v>
      </c>
      <c r="K36">
        <v>3.3566218631170507E-2</v>
      </c>
      <c r="L36" t="s">
        <v>154</v>
      </c>
      <c r="N36" t="s">
        <v>189</v>
      </c>
      <c r="O36" t="s">
        <v>241</v>
      </c>
      <c r="P36">
        <v>2.1539302284152986E-2</v>
      </c>
      <c r="Q36" t="s">
        <v>154</v>
      </c>
      <c r="S36" t="s">
        <v>199</v>
      </c>
      <c r="T36" t="s">
        <v>241</v>
      </c>
      <c r="U36">
        <v>1.8234255724841088E-2</v>
      </c>
      <c r="V36" t="s">
        <v>154</v>
      </c>
      <c r="X36">
        <v>2.0776255707762557E-2</v>
      </c>
      <c r="Y36">
        <v>3.0617639990386931E-2</v>
      </c>
      <c r="Z36" t="s">
        <v>241</v>
      </c>
      <c r="AA36" t="s">
        <v>25</v>
      </c>
      <c r="AC36" t="s">
        <v>22</v>
      </c>
      <c r="AD36" t="s">
        <v>241</v>
      </c>
      <c r="AE36">
        <v>1.8556488541127989E-2</v>
      </c>
      <c r="AG36" t="s">
        <v>96</v>
      </c>
      <c r="AH36" t="s">
        <v>241</v>
      </c>
      <c r="AI36">
        <v>0.1457548925711476</v>
      </c>
    </row>
    <row r="37" spans="9:35" x14ac:dyDescent="0.25">
      <c r="I37" t="s">
        <v>152</v>
      </c>
      <c r="J37" t="s">
        <v>242</v>
      </c>
      <c r="K37">
        <v>2.4768559879178177E-2</v>
      </c>
      <c r="L37" t="s">
        <v>154</v>
      </c>
      <c r="N37" t="s">
        <v>189</v>
      </c>
      <c r="O37" t="s">
        <v>242</v>
      </c>
      <c r="P37">
        <v>1.0019746563444662E-2</v>
      </c>
      <c r="Q37" t="s">
        <v>154</v>
      </c>
      <c r="S37" t="s">
        <v>199</v>
      </c>
      <c r="T37" t="s">
        <v>242</v>
      </c>
      <c r="U37">
        <v>9.0518445927461281E-3</v>
      </c>
      <c r="V37" t="s">
        <v>154</v>
      </c>
      <c r="X37">
        <v>1.0388127853881279E-2</v>
      </c>
      <c r="Y37">
        <v>1.3152010872717935E-2</v>
      </c>
      <c r="Z37" t="s">
        <v>242</v>
      </c>
      <c r="AA37" t="s">
        <v>25</v>
      </c>
      <c r="AC37" t="s">
        <v>22</v>
      </c>
      <c r="AD37" t="s">
        <v>242</v>
      </c>
      <c r="AE37">
        <v>1.0408795903296394E-2</v>
      </c>
      <c r="AG37" t="s">
        <v>96</v>
      </c>
      <c r="AH37" t="s">
        <v>242</v>
      </c>
      <c r="AI37">
        <v>0.15229378470505783</v>
      </c>
    </row>
    <row r="38" spans="9:35" x14ac:dyDescent="0.25">
      <c r="I38" t="s">
        <v>152</v>
      </c>
      <c r="J38" t="s">
        <v>243</v>
      </c>
      <c r="K38">
        <v>0.11692926681488064</v>
      </c>
      <c r="L38" t="s">
        <v>154</v>
      </c>
      <c r="N38" t="s">
        <v>189</v>
      </c>
      <c r="O38" t="s">
        <v>243</v>
      </c>
      <c r="P38">
        <v>4.8116464805882136E-2</v>
      </c>
      <c r="Q38" t="s">
        <v>154</v>
      </c>
      <c r="S38" t="s">
        <v>199</v>
      </c>
      <c r="T38" t="s">
        <v>243</v>
      </c>
      <c r="U38">
        <v>4.0829435061250183E-2</v>
      </c>
      <c r="V38" t="s">
        <v>154</v>
      </c>
      <c r="X38">
        <v>4.1552511415525115E-2</v>
      </c>
      <c r="Y38">
        <v>5.2125400890038052E-2</v>
      </c>
      <c r="Z38" t="s">
        <v>243</v>
      </c>
      <c r="AA38" t="s">
        <v>25</v>
      </c>
      <c r="AC38" t="s">
        <v>22</v>
      </c>
      <c r="AD38" t="s">
        <v>243</v>
      </c>
      <c r="AE38">
        <v>4.6016661756258223E-2</v>
      </c>
      <c r="AG38" t="s">
        <v>96</v>
      </c>
      <c r="AH38" t="s">
        <v>243</v>
      </c>
      <c r="AI38">
        <v>0.19640782657380318</v>
      </c>
    </row>
    <row r="39" spans="9:35" x14ac:dyDescent="0.25">
      <c r="I39" t="s">
        <v>152</v>
      </c>
      <c r="J39" t="s">
        <v>244</v>
      </c>
      <c r="K39">
        <v>6.5291191681516036E-2</v>
      </c>
      <c r="L39" t="s">
        <v>154</v>
      </c>
      <c r="N39" t="s">
        <v>189</v>
      </c>
      <c r="O39" t="s">
        <v>244</v>
      </c>
      <c r="P39">
        <v>7.2762780274749819E-2</v>
      </c>
      <c r="Q39" t="s">
        <v>154</v>
      </c>
      <c r="S39" t="s">
        <v>199</v>
      </c>
      <c r="T39" t="s">
        <v>244</v>
      </c>
      <c r="U39">
        <v>4.4466251209170721E-2</v>
      </c>
      <c r="V39" t="s">
        <v>154</v>
      </c>
      <c r="X39">
        <v>4.1552511415525115E-2</v>
      </c>
      <c r="Y39">
        <v>6.9802186145571779E-2</v>
      </c>
      <c r="Z39" t="s">
        <v>244</v>
      </c>
      <c r="AA39" t="s">
        <v>25</v>
      </c>
      <c r="AC39" t="s">
        <v>22</v>
      </c>
      <c r="AD39" t="s">
        <v>244</v>
      </c>
      <c r="AE39">
        <v>4.6972757922428512E-2</v>
      </c>
      <c r="AG39" t="s">
        <v>96</v>
      </c>
      <c r="AH39" t="s">
        <v>244</v>
      </c>
      <c r="AI39">
        <v>0.20337612348703082</v>
      </c>
    </row>
    <row r="40" spans="9:35" x14ac:dyDescent="0.25">
      <c r="I40" t="s">
        <v>152</v>
      </c>
      <c r="J40" t="s">
        <v>245</v>
      </c>
      <c r="K40">
        <v>0</v>
      </c>
      <c r="L40" t="s">
        <v>154</v>
      </c>
      <c r="N40" t="s">
        <v>189</v>
      </c>
      <c r="O40" t="s">
        <v>245</v>
      </c>
      <c r="P40">
        <v>0.11175575694798678</v>
      </c>
      <c r="Q40" t="s">
        <v>154</v>
      </c>
      <c r="S40" t="s">
        <v>199</v>
      </c>
      <c r="T40" t="s">
        <v>245</v>
      </c>
      <c r="U40">
        <v>4.8814673086207794E-2</v>
      </c>
      <c r="V40" t="s">
        <v>154</v>
      </c>
      <c r="X40">
        <v>6.2328767123287672E-2</v>
      </c>
      <c r="Y40">
        <v>5.4900595844831736E-2</v>
      </c>
      <c r="Z40" t="s">
        <v>245</v>
      </c>
      <c r="AA40" t="s">
        <v>25</v>
      </c>
      <c r="AC40" t="s">
        <v>22</v>
      </c>
      <c r="AD40" t="s">
        <v>245</v>
      </c>
      <c r="AE40">
        <v>7.0197101544926796E-2</v>
      </c>
      <c r="AG40" t="s">
        <v>96</v>
      </c>
      <c r="AH40" t="s">
        <v>245</v>
      </c>
      <c r="AI40">
        <v>0.1884993847789922</v>
      </c>
    </row>
    <row r="41" spans="9:35" x14ac:dyDescent="0.25">
      <c r="I41" t="s">
        <v>152</v>
      </c>
      <c r="J41" t="s">
        <v>246</v>
      </c>
      <c r="K41">
        <v>5.0769317637917952E-3</v>
      </c>
      <c r="L41" t="s">
        <v>154</v>
      </c>
      <c r="N41" t="s">
        <v>189</v>
      </c>
      <c r="O41" t="s">
        <v>246</v>
      </c>
      <c r="P41">
        <v>4.4948884998072085E-2</v>
      </c>
      <c r="Q41" t="s">
        <v>154</v>
      </c>
      <c r="S41" t="s">
        <v>199</v>
      </c>
      <c r="T41" t="s">
        <v>246</v>
      </c>
      <c r="U41">
        <v>7.9026292170430792E-2</v>
      </c>
      <c r="V41" t="s">
        <v>154</v>
      </c>
      <c r="X41">
        <v>6.3926940639269403E-2</v>
      </c>
      <c r="Y41">
        <v>2.5245920658992786E-2</v>
      </c>
      <c r="Z41" t="s">
        <v>246</v>
      </c>
      <c r="AA41" t="s">
        <v>25</v>
      </c>
      <c r="AC41" t="s">
        <v>22</v>
      </c>
      <c r="AD41" t="s">
        <v>246</v>
      </c>
      <c r="AE41">
        <v>3.569556881518407E-2</v>
      </c>
      <c r="AG41" t="s">
        <v>96</v>
      </c>
      <c r="AH41" t="s">
        <v>246</v>
      </c>
      <c r="AI41">
        <v>9.7103508447340836E-2</v>
      </c>
    </row>
    <row r="42" spans="9:35" x14ac:dyDescent="0.25">
      <c r="I42" t="s">
        <v>152</v>
      </c>
      <c r="J42" t="s">
        <v>247</v>
      </c>
      <c r="K42">
        <v>2.8183635268778973E-2</v>
      </c>
      <c r="L42" t="s">
        <v>154</v>
      </c>
      <c r="N42" t="s">
        <v>189</v>
      </c>
      <c r="O42" t="s">
        <v>247</v>
      </c>
      <c r="P42">
        <v>1.0999263877681983E-2</v>
      </c>
      <c r="Q42" t="s">
        <v>154</v>
      </c>
      <c r="S42" t="s">
        <v>199</v>
      </c>
      <c r="T42" t="s">
        <v>247</v>
      </c>
      <c r="U42">
        <v>2.2351173177059102E-2</v>
      </c>
      <c r="V42" t="s">
        <v>154</v>
      </c>
      <c r="X42">
        <v>1.8264840182648401E-2</v>
      </c>
      <c r="Y42">
        <v>2.6916606584955545E-2</v>
      </c>
      <c r="Z42" t="s">
        <v>247</v>
      </c>
      <c r="AA42" t="s">
        <v>25</v>
      </c>
      <c r="AC42" t="s">
        <v>22</v>
      </c>
      <c r="AD42" t="s">
        <v>247</v>
      </c>
      <c r="AE42">
        <v>1.5163020090632213E-2</v>
      </c>
      <c r="AG42" t="s">
        <v>96</v>
      </c>
      <c r="AH42" t="s">
        <v>247</v>
      </c>
      <c r="AI42">
        <v>0.1129343999366863</v>
      </c>
    </row>
    <row r="43" spans="9:35" x14ac:dyDescent="0.25">
      <c r="I43" t="s">
        <v>152</v>
      </c>
      <c r="J43" t="s">
        <v>248</v>
      </c>
      <c r="K43">
        <v>2.1616836785745795E-2</v>
      </c>
      <c r="L43" t="s">
        <v>154</v>
      </c>
      <c r="N43" t="s">
        <v>189</v>
      </c>
      <c r="O43" t="s">
        <v>248</v>
      </c>
      <c r="P43">
        <v>5.8454998451359114E-3</v>
      </c>
      <c r="Q43" t="s">
        <v>154</v>
      </c>
      <c r="S43" t="s">
        <v>199</v>
      </c>
      <c r="T43" t="s">
        <v>248</v>
      </c>
      <c r="U43">
        <v>1.1305231806811044E-2</v>
      </c>
      <c r="V43" t="s">
        <v>154</v>
      </c>
      <c r="X43">
        <v>9.1324200913242004E-3</v>
      </c>
      <c r="Y43">
        <v>1.1562207360631151E-2</v>
      </c>
      <c r="Z43" t="s">
        <v>248</v>
      </c>
      <c r="AA43" t="s">
        <v>25</v>
      </c>
      <c r="AC43" t="s">
        <v>22</v>
      </c>
      <c r="AD43" t="s">
        <v>248</v>
      </c>
      <c r="AE43">
        <v>7.7468294644563512E-3</v>
      </c>
      <c r="AG43" t="s">
        <v>96</v>
      </c>
      <c r="AH43" t="s">
        <v>248</v>
      </c>
      <c r="AI43">
        <v>0.10020088762592172</v>
      </c>
    </row>
    <row r="44" spans="9:35" x14ac:dyDescent="0.25">
      <c r="I44" t="s">
        <v>152</v>
      </c>
      <c r="J44" t="s">
        <v>249</v>
      </c>
      <c r="K44">
        <v>9.4601625050214147E-2</v>
      </c>
      <c r="L44" t="s">
        <v>154</v>
      </c>
      <c r="N44" t="s">
        <v>189</v>
      </c>
      <c r="O44" t="s">
        <v>249</v>
      </c>
      <c r="P44">
        <v>2.4430133235831156E-2</v>
      </c>
      <c r="Q44" t="s">
        <v>154</v>
      </c>
      <c r="S44" t="s">
        <v>199</v>
      </c>
      <c r="T44" t="s">
        <v>249</v>
      </c>
      <c r="U44">
        <v>4.5484142059385814E-2</v>
      </c>
      <c r="V44" t="s">
        <v>154</v>
      </c>
      <c r="X44">
        <v>3.6529680365296802E-2</v>
      </c>
      <c r="Y44">
        <v>4.58245282549785E-2</v>
      </c>
      <c r="Z44" t="s">
        <v>249</v>
      </c>
      <c r="AA44" t="s">
        <v>25</v>
      </c>
      <c r="AC44" t="s">
        <v>22</v>
      </c>
      <c r="AD44" t="s">
        <v>249</v>
      </c>
      <c r="AE44">
        <v>3.2135887262882308E-2</v>
      </c>
      <c r="AG44" t="s">
        <v>96</v>
      </c>
      <c r="AH44" t="s">
        <v>249</v>
      </c>
      <c r="AI44">
        <v>8.766383310674164E-2</v>
      </c>
    </row>
    <row r="45" spans="9:35" x14ac:dyDescent="0.25">
      <c r="I45" t="s">
        <v>152</v>
      </c>
      <c r="J45" t="s">
        <v>250</v>
      </c>
      <c r="K45">
        <v>4.1765843788447173E-2</v>
      </c>
      <c r="L45" t="s">
        <v>154</v>
      </c>
      <c r="N45" t="s">
        <v>189</v>
      </c>
      <c r="O45" t="s">
        <v>250</v>
      </c>
      <c r="P45">
        <v>3.5113004835020376E-2</v>
      </c>
      <c r="Q45" t="s">
        <v>154</v>
      </c>
      <c r="S45" t="s">
        <v>199</v>
      </c>
      <c r="T45" t="s">
        <v>250</v>
      </c>
      <c r="U45">
        <v>4.6412662368151586E-2</v>
      </c>
      <c r="V45" t="s">
        <v>154</v>
      </c>
      <c r="X45">
        <v>3.6529680365296802E-2</v>
      </c>
      <c r="Y45">
        <v>6.1364559248854311E-2</v>
      </c>
      <c r="Z45" t="s">
        <v>250</v>
      </c>
      <c r="AA45" t="s">
        <v>25</v>
      </c>
      <c r="AC45" t="s">
        <v>22</v>
      </c>
      <c r="AD45" t="s">
        <v>250</v>
      </c>
      <c r="AE45">
        <v>3.2967208888460151E-2</v>
      </c>
      <c r="AG45" t="s">
        <v>96</v>
      </c>
      <c r="AH45" t="s">
        <v>250</v>
      </c>
      <c r="AI45">
        <v>9.8685831981704109E-2</v>
      </c>
    </row>
    <row r="46" spans="9:35" x14ac:dyDescent="0.25">
      <c r="I46" t="s">
        <v>152</v>
      </c>
      <c r="J46" t="s">
        <v>251</v>
      </c>
      <c r="K46">
        <v>0</v>
      </c>
      <c r="L46" t="s">
        <v>154</v>
      </c>
      <c r="N46" t="s">
        <v>189</v>
      </c>
      <c r="O46" t="s">
        <v>251</v>
      </c>
      <c r="P46">
        <v>4.5428406164282835E-2</v>
      </c>
      <c r="Q46" t="s">
        <v>154</v>
      </c>
      <c r="S46" t="s">
        <v>199</v>
      </c>
      <c r="T46" t="s">
        <v>251</v>
      </c>
      <c r="U46">
        <v>7.4611423894393181E-2</v>
      </c>
      <c r="V46" t="s">
        <v>154</v>
      </c>
      <c r="X46">
        <v>5.4794520547945202E-2</v>
      </c>
      <c r="Y46">
        <v>4.8264260083368565E-2</v>
      </c>
      <c r="Z46" t="s">
        <v>251</v>
      </c>
      <c r="AA46" t="s">
        <v>25</v>
      </c>
      <c r="AC46" t="s">
        <v>22</v>
      </c>
      <c r="AD46" t="s">
        <v>251</v>
      </c>
      <c r="AE46">
        <v>5.1174968397777833E-2</v>
      </c>
      <c r="AG46" t="s">
        <v>96</v>
      </c>
      <c r="AH46" t="s">
        <v>251</v>
      </c>
      <c r="AI46">
        <v>0.14374606236437049</v>
      </c>
    </row>
    <row r="47" spans="9:35" x14ac:dyDescent="0.25">
      <c r="I47" t="s">
        <v>166</v>
      </c>
      <c r="J47" t="s">
        <v>153</v>
      </c>
      <c r="K47">
        <v>0</v>
      </c>
      <c r="L47" t="s">
        <v>154</v>
      </c>
      <c r="N47" t="s">
        <v>190</v>
      </c>
      <c r="O47" t="s">
        <v>153</v>
      </c>
      <c r="P47">
        <v>2.2505328361763461E-2</v>
      </c>
      <c r="Q47" t="s">
        <v>154</v>
      </c>
      <c r="S47" t="s">
        <v>200</v>
      </c>
      <c r="T47" t="s">
        <v>153</v>
      </c>
      <c r="U47">
        <v>4.4684545409898073E-2</v>
      </c>
      <c r="V47" t="s">
        <v>154</v>
      </c>
      <c r="AC47" t="s">
        <v>19</v>
      </c>
      <c r="AD47" t="s">
        <v>153</v>
      </c>
      <c r="AE47">
        <v>1.8084567107502583E-2</v>
      </c>
    </row>
    <row r="48" spans="9:35" x14ac:dyDescent="0.25">
      <c r="I48" t="s">
        <v>166</v>
      </c>
      <c r="J48" t="s">
        <v>155</v>
      </c>
      <c r="K48">
        <v>9.1971185435824315E-3</v>
      </c>
      <c r="L48" t="s">
        <v>154</v>
      </c>
      <c r="N48" t="s">
        <v>190</v>
      </c>
      <c r="O48" t="s">
        <v>155</v>
      </c>
      <c r="P48">
        <v>5.8819652335436691E-3</v>
      </c>
      <c r="Q48" t="s">
        <v>154</v>
      </c>
      <c r="S48" t="s">
        <v>200</v>
      </c>
      <c r="T48" t="s">
        <v>155</v>
      </c>
      <c r="U48">
        <v>1.3238971593833864E-2</v>
      </c>
      <c r="V48" t="s">
        <v>154</v>
      </c>
      <c r="AC48" t="s">
        <v>19</v>
      </c>
      <c r="AD48" t="s">
        <v>155</v>
      </c>
      <c r="AE48">
        <v>5.2404343230736316E-3</v>
      </c>
    </row>
    <row r="49" spans="9:31" x14ac:dyDescent="0.25">
      <c r="I49" t="s">
        <v>166</v>
      </c>
      <c r="J49" t="s">
        <v>156</v>
      </c>
      <c r="K49">
        <v>7.3187608990377719E-3</v>
      </c>
      <c r="L49" t="s">
        <v>154</v>
      </c>
      <c r="N49" t="s">
        <v>190</v>
      </c>
      <c r="O49" t="s">
        <v>156</v>
      </c>
      <c r="P49">
        <v>3.004634800265903E-3</v>
      </c>
      <c r="Q49" t="s">
        <v>154</v>
      </c>
      <c r="S49" t="s">
        <v>200</v>
      </c>
      <c r="T49" t="s">
        <v>156</v>
      </c>
      <c r="U49">
        <v>6.7877472203611141E-3</v>
      </c>
      <c r="V49" t="s">
        <v>154</v>
      </c>
      <c r="AC49" t="s">
        <v>19</v>
      </c>
      <c r="AD49" t="s">
        <v>156</v>
      </c>
      <c r="AE49">
        <v>2.6309343990762592E-3</v>
      </c>
    </row>
    <row r="50" spans="9:31" x14ac:dyDescent="0.25">
      <c r="I50" t="s">
        <v>166</v>
      </c>
      <c r="J50" t="s">
        <v>222</v>
      </c>
      <c r="K50">
        <v>2.9622585509994092E-2</v>
      </c>
      <c r="L50" t="s">
        <v>154</v>
      </c>
      <c r="N50" t="s">
        <v>190</v>
      </c>
      <c r="O50" t="s">
        <v>222</v>
      </c>
      <c r="P50">
        <v>1.3903000640139041E-2</v>
      </c>
      <c r="Q50" t="s">
        <v>154</v>
      </c>
      <c r="S50" t="s">
        <v>200</v>
      </c>
      <c r="T50" t="s">
        <v>222</v>
      </c>
      <c r="U50">
        <v>2.7545357584116397E-2</v>
      </c>
      <c r="V50" t="s">
        <v>154</v>
      </c>
      <c r="AC50" t="s">
        <v>19</v>
      </c>
      <c r="AD50" t="s">
        <v>222</v>
      </c>
      <c r="AE50">
        <v>1.0568505437476356E-2</v>
      </c>
    </row>
    <row r="51" spans="9:31" x14ac:dyDescent="0.25">
      <c r="I51" t="s">
        <v>166</v>
      </c>
      <c r="J51" t="s">
        <v>223</v>
      </c>
      <c r="K51">
        <v>1.7662819957397137E-2</v>
      </c>
      <c r="L51" t="s">
        <v>154</v>
      </c>
      <c r="N51" t="s">
        <v>190</v>
      </c>
      <c r="O51" t="s">
        <v>223</v>
      </c>
      <c r="P51">
        <v>1.6368680400910701E-2</v>
      </c>
      <c r="Q51" t="s">
        <v>154</v>
      </c>
      <c r="S51" t="s">
        <v>200</v>
      </c>
      <c r="T51" t="s">
        <v>223</v>
      </c>
      <c r="U51">
        <v>2.633631632063357E-2</v>
      </c>
      <c r="V51" t="s">
        <v>154</v>
      </c>
      <c r="AC51" t="s">
        <v>19</v>
      </c>
      <c r="AD51" t="s">
        <v>223</v>
      </c>
      <c r="AE51">
        <v>1.0574189192891052E-2</v>
      </c>
    </row>
    <row r="52" spans="9:31" x14ac:dyDescent="0.25">
      <c r="I52" t="s">
        <v>166</v>
      </c>
      <c r="J52" t="s">
        <v>224</v>
      </c>
      <c r="K52">
        <v>0</v>
      </c>
      <c r="L52" t="s">
        <v>154</v>
      </c>
      <c r="N52" t="s">
        <v>190</v>
      </c>
      <c r="O52" t="s">
        <v>224</v>
      </c>
      <c r="P52">
        <v>2.4111683739352928E-2</v>
      </c>
      <c r="Q52" t="s">
        <v>154</v>
      </c>
      <c r="S52" t="s">
        <v>200</v>
      </c>
      <c r="T52" t="s">
        <v>224</v>
      </c>
      <c r="U52">
        <v>4.1444584122579821E-2</v>
      </c>
      <c r="V52" t="s">
        <v>154</v>
      </c>
      <c r="AC52" t="s">
        <v>19</v>
      </c>
      <c r="AD52" t="s">
        <v>224</v>
      </c>
      <c r="AE52">
        <v>1.5887752779950286E-2</v>
      </c>
    </row>
    <row r="53" spans="9:31" x14ac:dyDescent="0.25">
      <c r="I53" t="s">
        <v>166</v>
      </c>
      <c r="J53" t="s">
        <v>157</v>
      </c>
      <c r="K53">
        <v>5.8700231242472013E-3</v>
      </c>
      <c r="L53" t="s">
        <v>154</v>
      </c>
      <c r="N53" t="s">
        <v>190</v>
      </c>
      <c r="O53" t="s">
        <v>157</v>
      </c>
      <c r="P53">
        <v>7.4318433974133014E-2</v>
      </c>
      <c r="Q53" t="s">
        <v>154</v>
      </c>
      <c r="S53" t="s">
        <v>200</v>
      </c>
      <c r="T53" t="s">
        <v>157</v>
      </c>
      <c r="U53">
        <v>8.0897273023181365E-2</v>
      </c>
      <c r="V53" t="s">
        <v>154</v>
      </c>
      <c r="AC53" t="s">
        <v>19</v>
      </c>
      <c r="AD53" t="s">
        <v>157</v>
      </c>
      <c r="AE53">
        <v>8.9453123698736342E-2</v>
      </c>
    </row>
    <row r="54" spans="9:31" x14ac:dyDescent="0.25">
      <c r="I54" t="s">
        <v>166</v>
      </c>
      <c r="J54" t="s">
        <v>158</v>
      </c>
      <c r="K54">
        <v>4.9463178024465176E-2</v>
      </c>
      <c r="L54" t="s">
        <v>154</v>
      </c>
      <c r="N54" t="s">
        <v>190</v>
      </c>
      <c r="O54" t="s">
        <v>158</v>
      </c>
      <c r="P54">
        <v>1.8432405408013341E-2</v>
      </c>
      <c r="Q54" t="s">
        <v>154</v>
      </c>
      <c r="S54" t="s">
        <v>200</v>
      </c>
      <c r="T54" t="s">
        <v>158</v>
      </c>
      <c r="U54">
        <v>2.5385157483856224E-2</v>
      </c>
      <c r="V54" t="s">
        <v>154</v>
      </c>
      <c r="AC54" t="s">
        <v>19</v>
      </c>
      <c r="AD54" t="s">
        <v>158</v>
      </c>
      <c r="AE54">
        <v>2.5867009675334268E-2</v>
      </c>
    </row>
    <row r="55" spans="9:31" x14ac:dyDescent="0.25">
      <c r="I55" t="s">
        <v>166</v>
      </c>
      <c r="J55" t="s">
        <v>159</v>
      </c>
      <c r="K55">
        <v>3.5624267869025381E-2</v>
      </c>
      <c r="L55" t="s">
        <v>154</v>
      </c>
      <c r="N55" t="s">
        <v>190</v>
      </c>
      <c r="O55" t="s">
        <v>159</v>
      </c>
      <c r="P55">
        <v>9.7413423539522963E-3</v>
      </c>
      <c r="Q55" t="s">
        <v>154</v>
      </c>
      <c r="S55" t="s">
        <v>200</v>
      </c>
      <c r="T55" t="s">
        <v>159</v>
      </c>
      <c r="U55">
        <v>1.3257040508522633E-2</v>
      </c>
      <c r="V55" t="s">
        <v>154</v>
      </c>
      <c r="AC55" t="s">
        <v>19</v>
      </c>
      <c r="AD55" t="s">
        <v>159</v>
      </c>
      <c r="AE55">
        <v>1.3039761353382249E-2</v>
      </c>
    </row>
    <row r="56" spans="9:31" x14ac:dyDescent="0.25">
      <c r="I56" t="s">
        <v>166</v>
      </c>
      <c r="J56" t="s">
        <v>225</v>
      </c>
      <c r="K56">
        <v>0.15951659996717682</v>
      </c>
      <c r="L56" t="s">
        <v>154</v>
      </c>
      <c r="N56" t="s">
        <v>190</v>
      </c>
      <c r="O56" t="s">
        <v>225</v>
      </c>
      <c r="P56">
        <v>4.7233556482382359E-2</v>
      </c>
      <c r="Q56" t="s">
        <v>154</v>
      </c>
      <c r="S56" t="s">
        <v>200</v>
      </c>
      <c r="T56" t="s">
        <v>225</v>
      </c>
      <c r="U56">
        <v>5.1661922979119194E-2</v>
      </c>
      <c r="V56" t="s">
        <v>154</v>
      </c>
      <c r="AC56" t="s">
        <v>19</v>
      </c>
      <c r="AD56" t="s">
        <v>225</v>
      </c>
      <c r="AE56">
        <v>5.2620581854353289E-2</v>
      </c>
    </row>
    <row r="57" spans="9:31" x14ac:dyDescent="0.25">
      <c r="I57" t="s">
        <v>166</v>
      </c>
      <c r="J57" t="s">
        <v>226</v>
      </c>
      <c r="K57">
        <v>9.3678881069126113E-2</v>
      </c>
      <c r="L57" t="s">
        <v>154</v>
      </c>
      <c r="N57" t="s">
        <v>190</v>
      </c>
      <c r="O57" t="s">
        <v>226</v>
      </c>
      <c r="P57">
        <v>6.5959905700135074E-2</v>
      </c>
      <c r="Q57" t="s">
        <v>154</v>
      </c>
      <c r="S57" t="s">
        <v>200</v>
      </c>
      <c r="T57" t="s">
        <v>226</v>
      </c>
      <c r="U57">
        <v>4.7172841114262835E-2</v>
      </c>
      <c r="V57" t="s">
        <v>154</v>
      </c>
      <c r="AC57" t="s">
        <v>19</v>
      </c>
      <c r="AD57" t="s">
        <v>226</v>
      </c>
      <c r="AE57">
        <v>5.2708005246501814E-2</v>
      </c>
    </row>
    <row r="58" spans="9:31" x14ac:dyDescent="0.25">
      <c r="I58" t="s">
        <v>166</v>
      </c>
      <c r="J58" t="s">
        <v>227</v>
      </c>
      <c r="K58">
        <v>0</v>
      </c>
      <c r="L58" t="s">
        <v>154</v>
      </c>
      <c r="N58" t="s">
        <v>190</v>
      </c>
      <c r="O58" t="s">
        <v>227</v>
      </c>
      <c r="P58">
        <v>0.10372237148132256</v>
      </c>
      <c r="Q58" t="s">
        <v>154</v>
      </c>
      <c r="S58" t="s">
        <v>200</v>
      </c>
      <c r="T58" t="s">
        <v>227</v>
      </c>
      <c r="U58">
        <v>7.4232107255781318E-2</v>
      </c>
      <c r="V58" t="s">
        <v>154</v>
      </c>
      <c r="AC58" t="s">
        <v>19</v>
      </c>
      <c r="AD58" t="s">
        <v>227</v>
      </c>
      <c r="AE58">
        <v>7.8783731721354333E-2</v>
      </c>
    </row>
    <row r="59" spans="9:31" x14ac:dyDescent="0.25">
      <c r="I59" t="s">
        <v>166</v>
      </c>
      <c r="J59" t="s">
        <v>160</v>
      </c>
      <c r="K59">
        <v>1.1774318466828244E-3</v>
      </c>
      <c r="L59" t="s">
        <v>154</v>
      </c>
      <c r="N59" t="s">
        <v>190</v>
      </c>
      <c r="O59" t="s">
        <v>160</v>
      </c>
      <c r="P59">
        <v>1.4362805676141621E-3</v>
      </c>
      <c r="Q59" t="s">
        <v>154</v>
      </c>
      <c r="S59" t="s">
        <v>200</v>
      </c>
      <c r="T59" t="s">
        <v>160</v>
      </c>
      <c r="U59">
        <v>2.3568255276543862E-3</v>
      </c>
      <c r="V59" t="s">
        <v>154</v>
      </c>
      <c r="AC59" t="s">
        <v>19</v>
      </c>
      <c r="AD59" t="s">
        <v>160</v>
      </c>
      <c r="AE59">
        <v>1.1734765279469202E-2</v>
      </c>
    </row>
    <row r="60" spans="9:31" x14ac:dyDescent="0.25">
      <c r="I60" t="s">
        <v>166</v>
      </c>
      <c r="J60" t="s">
        <v>161</v>
      </c>
      <c r="K60">
        <v>5.7599555909979916E-3</v>
      </c>
      <c r="L60" t="s">
        <v>154</v>
      </c>
      <c r="N60" t="s">
        <v>190</v>
      </c>
      <c r="O60" t="s">
        <v>161</v>
      </c>
      <c r="P60">
        <v>5.3968161060461719E-4</v>
      </c>
      <c r="Q60" t="s">
        <v>154</v>
      </c>
      <c r="S60" t="s">
        <v>200</v>
      </c>
      <c r="T60" t="s">
        <v>161</v>
      </c>
      <c r="U60">
        <v>4.8784463286026222E-4</v>
      </c>
      <c r="V60" t="s">
        <v>154</v>
      </c>
      <c r="AC60" t="s">
        <v>19</v>
      </c>
      <c r="AD60" t="s">
        <v>161</v>
      </c>
      <c r="AE60">
        <v>3.3875214423673889E-3</v>
      </c>
    </row>
    <row r="61" spans="9:31" x14ac:dyDescent="0.25">
      <c r="I61" t="s">
        <v>166</v>
      </c>
      <c r="J61" t="s">
        <v>162</v>
      </c>
      <c r="K61">
        <v>4.2171191819987495E-3</v>
      </c>
      <c r="L61" t="s">
        <v>154</v>
      </c>
      <c r="N61" t="s">
        <v>190</v>
      </c>
      <c r="O61" t="s">
        <v>162</v>
      </c>
      <c r="P61">
        <v>2.4032080723380414E-4</v>
      </c>
      <c r="Q61" t="s">
        <v>154</v>
      </c>
      <c r="S61" t="s">
        <v>200</v>
      </c>
      <c r="T61" t="s">
        <v>162</v>
      </c>
      <c r="U61">
        <v>2.3848148210338919E-4</v>
      </c>
      <c r="V61" t="s">
        <v>154</v>
      </c>
      <c r="AC61" t="s">
        <v>19</v>
      </c>
      <c r="AD61" t="s">
        <v>162</v>
      </c>
      <c r="AE61">
        <v>1.7128852663915461E-3</v>
      </c>
    </row>
    <row r="62" spans="9:31" x14ac:dyDescent="0.25">
      <c r="I62" t="s">
        <v>166</v>
      </c>
      <c r="J62" t="s">
        <v>228</v>
      </c>
      <c r="K62">
        <v>1.955711700272967E-2</v>
      </c>
      <c r="L62" t="s">
        <v>154</v>
      </c>
      <c r="N62" t="s">
        <v>190</v>
      </c>
      <c r="O62" t="s">
        <v>228</v>
      </c>
      <c r="P62">
        <v>1.1232585978263676E-3</v>
      </c>
      <c r="Q62" t="s">
        <v>154</v>
      </c>
      <c r="S62" t="s">
        <v>200</v>
      </c>
      <c r="T62" t="s">
        <v>228</v>
      </c>
      <c r="U62">
        <v>1.0589613092556788E-3</v>
      </c>
      <c r="V62" t="s">
        <v>154</v>
      </c>
      <c r="AC62" t="s">
        <v>19</v>
      </c>
      <c r="AD62" t="s">
        <v>228</v>
      </c>
      <c r="AE62">
        <v>6.9383965988782772E-3</v>
      </c>
    </row>
    <row r="63" spans="9:31" x14ac:dyDescent="0.25">
      <c r="I63" t="s">
        <v>166</v>
      </c>
      <c r="J63" t="s">
        <v>229</v>
      </c>
      <c r="K63">
        <v>1.0740510674186073E-2</v>
      </c>
      <c r="L63" t="s">
        <v>154</v>
      </c>
      <c r="N63" t="s">
        <v>190</v>
      </c>
      <c r="O63" t="s">
        <v>229</v>
      </c>
      <c r="P63">
        <v>3.9118458367644457E-4</v>
      </c>
      <c r="Q63" t="s">
        <v>154</v>
      </c>
      <c r="S63" t="s">
        <v>200</v>
      </c>
      <c r="T63" t="s">
        <v>229</v>
      </c>
      <c r="U63">
        <v>1.0293074800757471E-3</v>
      </c>
      <c r="V63" t="s">
        <v>154</v>
      </c>
      <c r="AC63" t="s">
        <v>19</v>
      </c>
      <c r="AD63" t="s">
        <v>229</v>
      </c>
      <c r="AE63">
        <v>6.9560689445776749E-3</v>
      </c>
    </row>
    <row r="64" spans="9:31" x14ac:dyDescent="0.25">
      <c r="I64" t="s">
        <v>166</v>
      </c>
      <c r="J64" t="s">
        <v>230</v>
      </c>
      <c r="K64">
        <v>0</v>
      </c>
      <c r="L64" t="s">
        <v>154</v>
      </c>
      <c r="N64" t="s">
        <v>190</v>
      </c>
      <c r="O64" t="s">
        <v>230</v>
      </c>
      <c r="P64">
        <v>7.8801214118134129E-4</v>
      </c>
      <c r="Q64" t="s">
        <v>154</v>
      </c>
      <c r="S64" t="s">
        <v>200</v>
      </c>
      <c r="T64" t="s">
        <v>230</v>
      </c>
      <c r="U64">
        <v>1.331026993307493E-3</v>
      </c>
      <c r="V64" t="s">
        <v>154</v>
      </c>
      <c r="AC64" t="s">
        <v>19</v>
      </c>
      <c r="AD64" t="s">
        <v>230</v>
      </c>
      <c r="AE64">
        <v>1.0369004524224311E-2</v>
      </c>
    </row>
    <row r="65" spans="9:31" x14ac:dyDescent="0.25">
      <c r="I65" t="s">
        <v>166</v>
      </c>
      <c r="J65" t="s">
        <v>163</v>
      </c>
      <c r="K65">
        <v>3.2335945573008732E-3</v>
      </c>
      <c r="L65" t="s">
        <v>154</v>
      </c>
      <c r="N65" t="s">
        <v>190</v>
      </c>
      <c r="O65" t="s">
        <v>163</v>
      </c>
      <c r="P65">
        <v>1.718297786476676E-2</v>
      </c>
      <c r="Q65" t="s">
        <v>154</v>
      </c>
      <c r="S65" t="s">
        <v>200</v>
      </c>
      <c r="T65" t="s">
        <v>163</v>
      </c>
      <c r="U65">
        <v>7.6548176944495035E-3</v>
      </c>
      <c r="V65" t="s">
        <v>154</v>
      </c>
      <c r="AC65" t="s">
        <v>19</v>
      </c>
      <c r="AD65" t="s">
        <v>163</v>
      </c>
      <c r="AE65">
        <v>3.2905700873221443E-2</v>
      </c>
    </row>
    <row r="66" spans="9:31" x14ac:dyDescent="0.25">
      <c r="I66" t="s">
        <v>166</v>
      </c>
      <c r="J66" t="s">
        <v>164</v>
      </c>
      <c r="K66">
        <v>1.4021374830959931E-2</v>
      </c>
      <c r="L66" t="s">
        <v>154</v>
      </c>
      <c r="N66" t="s">
        <v>190</v>
      </c>
      <c r="O66" t="s">
        <v>164</v>
      </c>
      <c r="P66">
        <v>5.7715859364114728E-3</v>
      </c>
      <c r="Q66" t="s">
        <v>154</v>
      </c>
      <c r="S66" t="s">
        <v>200</v>
      </c>
      <c r="T66" t="s">
        <v>164</v>
      </c>
      <c r="U66">
        <v>2.3379913306090165E-3</v>
      </c>
      <c r="V66" t="s">
        <v>154</v>
      </c>
      <c r="AC66" t="s">
        <v>19</v>
      </c>
      <c r="AD66" t="s">
        <v>164</v>
      </c>
      <c r="AE66">
        <v>9.5041558703959188E-3</v>
      </c>
    </row>
    <row r="67" spans="9:31" x14ac:dyDescent="0.25">
      <c r="I67" t="s">
        <v>166</v>
      </c>
      <c r="J67" t="s">
        <v>165</v>
      </c>
      <c r="K67">
        <v>1.0560514540843507E-2</v>
      </c>
      <c r="L67" t="s">
        <v>154</v>
      </c>
      <c r="N67" t="s">
        <v>190</v>
      </c>
      <c r="O67" t="s">
        <v>165</v>
      </c>
      <c r="P67">
        <v>2.9657550829160291E-3</v>
      </c>
      <c r="Q67" t="s">
        <v>154</v>
      </c>
      <c r="S67" t="s">
        <v>200</v>
      </c>
      <c r="T67" t="s">
        <v>165</v>
      </c>
      <c r="U67">
        <v>1.3134633539112826E-3</v>
      </c>
      <c r="V67" t="s">
        <v>154</v>
      </c>
      <c r="AC67" t="s">
        <v>19</v>
      </c>
      <c r="AD67" t="s">
        <v>165</v>
      </c>
      <c r="AE67">
        <v>4.8075371786568373E-3</v>
      </c>
    </row>
    <row r="68" spans="9:31" x14ac:dyDescent="0.25">
      <c r="I68" t="s">
        <v>166</v>
      </c>
      <c r="J68" t="s">
        <v>231</v>
      </c>
      <c r="K68">
        <v>5.205660893303176E-2</v>
      </c>
      <c r="L68" t="s">
        <v>154</v>
      </c>
      <c r="N68" t="s">
        <v>190</v>
      </c>
      <c r="O68" t="s">
        <v>231</v>
      </c>
      <c r="P68">
        <v>1.4885477617976241E-2</v>
      </c>
      <c r="Q68" t="s">
        <v>154</v>
      </c>
      <c r="S68" t="s">
        <v>200</v>
      </c>
      <c r="T68" t="s">
        <v>231</v>
      </c>
      <c r="U68">
        <v>5.3294517809180757E-3</v>
      </c>
      <c r="V68" t="s">
        <v>154</v>
      </c>
      <c r="AC68" t="s">
        <v>19</v>
      </c>
      <c r="AD68" t="s">
        <v>231</v>
      </c>
      <c r="AE68">
        <v>1.9444206177415262E-2</v>
      </c>
    </row>
    <row r="69" spans="9:31" x14ac:dyDescent="0.25">
      <c r="I69" t="s">
        <v>166</v>
      </c>
      <c r="J69" t="s">
        <v>232</v>
      </c>
      <c r="K69">
        <v>2.8668498397498309E-2</v>
      </c>
      <c r="L69" t="s">
        <v>154</v>
      </c>
      <c r="N69" t="s">
        <v>190</v>
      </c>
      <c r="O69" t="s">
        <v>232</v>
      </c>
      <c r="P69">
        <v>1.2923317461438905E-2</v>
      </c>
      <c r="Q69" t="s">
        <v>154</v>
      </c>
      <c r="S69" t="s">
        <v>200</v>
      </c>
      <c r="T69" t="s">
        <v>232</v>
      </c>
      <c r="U69">
        <v>4.3281442488949072E-3</v>
      </c>
      <c r="V69" t="s">
        <v>154</v>
      </c>
      <c r="AC69" t="s">
        <v>19</v>
      </c>
      <c r="AD69" t="s">
        <v>232</v>
      </c>
      <c r="AE69">
        <v>1.949334069286018E-2</v>
      </c>
    </row>
    <row r="70" spans="9:31" x14ac:dyDescent="0.25">
      <c r="I70" t="s">
        <v>166</v>
      </c>
      <c r="J70" t="s">
        <v>233</v>
      </c>
      <c r="K70">
        <v>2.1608930234792863E-4</v>
      </c>
      <c r="L70" t="s">
        <v>154</v>
      </c>
      <c r="N70" t="s">
        <v>190</v>
      </c>
      <c r="O70" t="s">
        <v>233</v>
      </c>
      <c r="P70">
        <v>1.3874715411975283E-2</v>
      </c>
      <c r="Q70" t="s">
        <v>154</v>
      </c>
      <c r="S70" t="s">
        <v>200</v>
      </c>
      <c r="T70" t="s">
        <v>233</v>
      </c>
      <c r="U70">
        <v>4.1744326139699093E-3</v>
      </c>
      <c r="V70" t="s">
        <v>154</v>
      </c>
      <c r="AC70" t="s">
        <v>19</v>
      </c>
      <c r="AD70" t="s">
        <v>233</v>
      </c>
      <c r="AE70">
        <v>2.9073957024619752E-2</v>
      </c>
    </row>
    <row r="71" spans="9:31" x14ac:dyDescent="0.25">
      <c r="I71" t="s">
        <v>166</v>
      </c>
      <c r="J71" t="s">
        <v>240</v>
      </c>
      <c r="K71">
        <v>7.0091864335315229E-3</v>
      </c>
      <c r="L71" t="s">
        <v>154</v>
      </c>
      <c r="N71" t="s">
        <v>190</v>
      </c>
      <c r="O71" t="s">
        <v>240</v>
      </c>
      <c r="P71">
        <v>0.10130962049177765</v>
      </c>
      <c r="Q71" t="s">
        <v>154</v>
      </c>
      <c r="S71" t="s">
        <v>200</v>
      </c>
      <c r="T71" t="s">
        <v>240</v>
      </c>
      <c r="U71">
        <v>5.0122619506413994E-2</v>
      </c>
      <c r="V71" t="s">
        <v>154</v>
      </c>
      <c r="AC71" t="s">
        <v>19</v>
      </c>
      <c r="AD71" t="s">
        <v>240</v>
      </c>
      <c r="AE71">
        <v>7.1448323012267959E-2</v>
      </c>
    </row>
    <row r="72" spans="9:31" x14ac:dyDescent="0.25">
      <c r="I72" t="s">
        <v>166</v>
      </c>
      <c r="J72" t="s">
        <v>241</v>
      </c>
      <c r="K72">
        <v>3.4002241564124749E-2</v>
      </c>
      <c r="L72" t="s">
        <v>154</v>
      </c>
      <c r="N72" t="s">
        <v>190</v>
      </c>
      <c r="O72" t="s">
        <v>241</v>
      </c>
      <c r="P72">
        <v>3.0959452010657119E-2</v>
      </c>
      <c r="Q72" t="s">
        <v>154</v>
      </c>
      <c r="S72" t="s">
        <v>200</v>
      </c>
      <c r="T72" t="s">
        <v>241</v>
      </c>
      <c r="U72">
        <v>1.7181191487392243E-2</v>
      </c>
      <c r="V72" t="s">
        <v>154</v>
      </c>
      <c r="AC72" t="s">
        <v>19</v>
      </c>
      <c r="AD72" t="s">
        <v>241</v>
      </c>
      <c r="AE72">
        <v>2.0706034571315035E-2</v>
      </c>
    </row>
    <row r="73" spans="9:31" x14ac:dyDescent="0.25">
      <c r="I73" t="s">
        <v>166</v>
      </c>
      <c r="J73" t="s">
        <v>242</v>
      </c>
      <c r="K73">
        <v>2.4949284792539553E-2</v>
      </c>
      <c r="L73" t="s">
        <v>154</v>
      </c>
      <c r="N73" t="s">
        <v>190</v>
      </c>
      <c r="O73" t="s">
        <v>242</v>
      </c>
      <c r="P73">
        <v>1.6300249471099291E-2</v>
      </c>
      <c r="Q73" t="s">
        <v>154</v>
      </c>
      <c r="S73" t="s">
        <v>200</v>
      </c>
      <c r="T73" t="s">
        <v>242</v>
      </c>
      <c r="U73">
        <v>9.538495544453891E-3</v>
      </c>
      <c r="V73" t="s">
        <v>154</v>
      </c>
      <c r="AC73" t="s">
        <v>19</v>
      </c>
      <c r="AD73" t="s">
        <v>242</v>
      </c>
      <c r="AE73">
        <v>1.0412737537209785E-2</v>
      </c>
    </row>
    <row r="74" spans="9:31" x14ac:dyDescent="0.25">
      <c r="I74" t="s">
        <v>166</v>
      </c>
      <c r="J74" t="s">
        <v>243</v>
      </c>
      <c r="K74">
        <v>0.11637731743732328</v>
      </c>
      <c r="L74" t="s">
        <v>154</v>
      </c>
      <c r="N74" t="s">
        <v>190</v>
      </c>
      <c r="O74" t="s">
        <v>243</v>
      </c>
      <c r="P74">
        <v>7.1752944137871824E-2</v>
      </c>
      <c r="Q74" t="s">
        <v>154</v>
      </c>
      <c r="S74" t="s">
        <v>200</v>
      </c>
      <c r="T74" t="s">
        <v>243</v>
      </c>
      <c r="U74">
        <v>3.8441624974260603E-2</v>
      </c>
      <c r="V74" t="s">
        <v>154</v>
      </c>
      <c r="AC74" t="s">
        <v>19</v>
      </c>
      <c r="AD74" t="s">
        <v>243</v>
      </c>
      <c r="AE74">
        <v>4.1882397319670826E-2</v>
      </c>
    </row>
    <row r="75" spans="9:31" x14ac:dyDescent="0.25">
      <c r="I75" t="s">
        <v>166</v>
      </c>
      <c r="J75" t="s">
        <v>244</v>
      </c>
      <c r="K75">
        <v>6.6948000245750511E-2</v>
      </c>
      <c r="L75" t="s">
        <v>154</v>
      </c>
      <c r="N75" t="s">
        <v>190</v>
      </c>
      <c r="O75" t="s">
        <v>244</v>
      </c>
      <c r="P75">
        <v>6.5433092605303625E-2</v>
      </c>
      <c r="Q75" t="s">
        <v>154</v>
      </c>
      <c r="S75" t="s">
        <v>200</v>
      </c>
      <c r="T75" t="s">
        <v>244</v>
      </c>
      <c r="U75">
        <v>3.056962083976298E-2</v>
      </c>
      <c r="V75" t="s">
        <v>154</v>
      </c>
      <c r="AC75" t="s">
        <v>19</v>
      </c>
      <c r="AD75" t="s">
        <v>244</v>
      </c>
      <c r="AE75">
        <v>4.193290213687572E-2</v>
      </c>
    </row>
    <row r="76" spans="9:31" x14ac:dyDescent="0.25">
      <c r="I76" t="s">
        <v>166</v>
      </c>
      <c r="J76" t="s">
        <v>245</v>
      </c>
      <c r="K76">
        <v>2.8425241647465096E-4</v>
      </c>
      <c r="L76" t="s">
        <v>154</v>
      </c>
      <c r="N76" t="s">
        <v>190</v>
      </c>
      <c r="O76" t="s">
        <v>245</v>
      </c>
      <c r="P76">
        <v>7.4134999238538002E-2</v>
      </c>
      <c r="Q76" t="s">
        <v>154</v>
      </c>
      <c r="S76" t="s">
        <v>200</v>
      </c>
      <c r="T76" t="s">
        <v>245</v>
      </c>
      <c r="U76">
        <v>2.9862729719108593E-2</v>
      </c>
      <c r="V76" t="s">
        <v>154</v>
      </c>
      <c r="AC76" t="s">
        <v>19</v>
      </c>
      <c r="AD76" t="s">
        <v>245</v>
      </c>
      <c r="AE76">
        <v>6.2885511452411169E-2</v>
      </c>
    </row>
    <row r="77" spans="9:31" x14ac:dyDescent="0.25">
      <c r="I77" t="s">
        <v>166</v>
      </c>
      <c r="J77" t="s">
        <v>246</v>
      </c>
      <c r="K77">
        <v>4.267898455796065E-3</v>
      </c>
      <c r="L77" t="s">
        <v>154</v>
      </c>
      <c r="N77" t="s">
        <v>190</v>
      </c>
      <c r="O77" t="s">
        <v>246</v>
      </c>
      <c r="P77">
        <v>4.3629814772105265E-2</v>
      </c>
      <c r="Q77" t="s">
        <v>154</v>
      </c>
      <c r="S77" t="s">
        <v>200</v>
      </c>
      <c r="T77" t="s">
        <v>246</v>
      </c>
      <c r="U77">
        <v>9.5020052461856644E-2</v>
      </c>
      <c r="V77" t="s">
        <v>154</v>
      </c>
      <c r="AC77" t="s">
        <v>19</v>
      </c>
      <c r="AD77" t="s">
        <v>246</v>
      </c>
      <c r="AE77">
        <v>6.3050390560718386E-2</v>
      </c>
    </row>
    <row r="78" spans="9:31" x14ac:dyDescent="0.25">
      <c r="I78" t="s">
        <v>166</v>
      </c>
      <c r="J78" t="s">
        <v>247</v>
      </c>
      <c r="K78">
        <v>2.8973331990246778E-2</v>
      </c>
      <c r="L78" t="s">
        <v>154</v>
      </c>
      <c r="N78" t="s">
        <v>190</v>
      </c>
      <c r="O78" t="s">
        <v>247</v>
      </c>
      <c r="P78">
        <v>1.0727787649622232E-2</v>
      </c>
      <c r="Q78" t="s">
        <v>154</v>
      </c>
      <c r="S78" t="s">
        <v>200</v>
      </c>
      <c r="T78" t="s">
        <v>247</v>
      </c>
      <c r="U78">
        <v>2.7677482508914046E-2</v>
      </c>
      <c r="V78" t="s">
        <v>154</v>
      </c>
      <c r="AC78" t="s">
        <v>19</v>
      </c>
      <c r="AD78" t="s">
        <v>247</v>
      </c>
      <c r="AE78">
        <v>1.8276630719635287E-2</v>
      </c>
    </row>
    <row r="79" spans="9:31" x14ac:dyDescent="0.25">
      <c r="I79" t="s">
        <v>166</v>
      </c>
      <c r="J79" t="s">
        <v>248</v>
      </c>
      <c r="K79">
        <v>2.1795916226706815E-2</v>
      </c>
      <c r="L79" t="s">
        <v>154</v>
      </c>
      <c r="N79" t="s">
        <v>190</v>
      </c>
      <c r="O79" t="s">
        <v>248</v>
      </c>
      <c r="P79">
        <v>5.2274849726395064E-3</v>
      </c>
      <c r="Q79" t="s">
        <v>154</v>
      </c>
      <c r="S79" t="s">
        <v>200</v>
      </c>
      <c r="T79" t="s">
        <v>248</v>
      </c>
      <c r="U79">
        <v>1.38587537069947E-2</v>
      </c>
      <c r="V79" t="s">
        <v>154</v>
      </c>
      <c r="AC79" t="s">
        <v>19</v>
      </c>
      <c r="AD79" t="s">
        <v>248</v>
      </c>
      <c r="AE79">
        <v>9.1470481916598022E-3</v>
      </c>
    </row>
    <row r="80" spans="9:31" x14ac:dyDescent="0.25">
      <c r="I80" t="s">
        <v>166</v>
      </c>
      <c r="J80" t="s">
        <v>249</v>
      </c>
      <c r="K80">
        <v>9.2960977879300924E-2</v>
      </c>
      <c r="L80" t="s">
        <v>154</v>
      </c>
      <c r="N80" t="s">
        <v>190</v>
      </c>
      <c r="O80" t="s">
        <v>249</v>
      </c>
      <c r="P80">
        <v>2.4397487211555494E-2</v>
      </c>
      <c r="Q80" t="s">
        <v>154</v>
      </c>
      <c r="S80" t="s">
        <v>200</v>
      </c>
      <c r="T80" t="s">
        <v>249</v>
      </c>
      <c r="U80">
        <v>5.4606558405951341E-2</v>
      </c>
      <c r="V80" t="s">
        <v>154</v>
      </c>
      <c r="AC80" t="s">
        <v>19</v>
      </c>
      <c r="AD80" t="s">
        <v>249</v>
      </c>
      <c r="AE80">
        <v>3.6648864788870923E-2</v>
      </c>
    </row>
    <row r="81" spans="9:31" x14ac:dyDescent="0.25">
      <c r="I81" t="s">
        <v>166</v>
      </c>
      <c r="J81" t="s">
        <v>250</v>
      </c>
      <c r="K81">
        <v>4.4268542735574422E-2</v>
      </c>
      <c r="L81" t="s">
        <v>154</v>
      </c>
      <c r="N81" t="s">
        <v>190</v>
      </c>
      <c r="O81" t="s">
        <v>250</v>
      </c>
      <c r="P81">
        <v>2.9868698398861731E-2</v>
      </c>
      <c r="Q81" t="s">
        <v>154</v>
      </c>
      <c r="S81" t="s">
        <v>200</v>
      </c>
      <c r="T81" t="s">
        <v>250</v>
      </c>
      <c r="U81">
        <v>5.395765997674435E-2</v>
      </c>
      <c r="V81" t="s">
        <v>154</v>
      </c>
      <c r="AC81" t="s">
        <v>19</v>
      </c>
      <c r="AD81" t="s">
        <v>250</v>
      </c>
      <c r="AE81">
        <v>3.669277851661492E-2</v>
      </c>
    </row>
    <row r="82" spans="9:31" x14ac:dyDescent="0.25">
      <c r="I82" t="s">
        <v>166</v>
      </c>
      <c r="J82" t="s">
        <v>251</v>
      </c>
      <c r="K82">
        <v>0</v>
      </c>
      <c r="L82" t="s">
        <v>154</v>
      </c>
      <c r="N82" t="s">
        <v>190</v>
      </c>
      <c r="O82" t="s">
        <v>251</v>
      </c>
      <c r="P82">
        <v>4.8952492780429804E-2</v>
      </c>
      <c r="Q82" t="s">
        <v>154</v>
      </c>
      <c r="S82" t="s">
        <v>200</v>
      </c>
      <c r="T82" t="s">
        <v>251</v>
      </c>
      <c r="U82">
        <v>9.4878597803990092E-2</v>
      </c>
      <c r="V82" t="s">
        <v>154</v>
      </c>
      <c r="AC82" t="s">
        <v>19</v>
      </c>
      <c r="AD82" t="s">
        <v>251</v>
      </c>
      <c r="AE82">
        <v>5.5130244530039958E-2</v>
      </c>
    </row>
    <row r="83" spans="9:31" x14ac:dyDescent="0.25">
      <c r="I83" t="s">
        <v>167</v>
      </c>
      <c r="J83" t="s">
        <v>153</v>
      </c>
      <c r="K83">
        <v>0</v>
      </c>
      <c r="L83" t="s">
        <v>154</v>
      </c>
      <c r="N83" t="s">
        <v>191</v>
      </c>
      <c r="O83" t="s">
        <v>153</v>
      </c>
      <c r="P83">
        <v>1.9539375489862724E-2</v>
      </c>
      <c r="Q83" t="s">
        <v>154</v>
      </c>
      <c r="S83" t="s">
        <v>201</v>
      </c>
      <c r="T83" t="s">
        <v>153</v>
      </c>
      <c r="U83">
        <v>3.9117540813746292E-2</v>
      </c>
      <c r="V83" t="s">
        <v>154</v>
      </c>
    </row>
    <row r="84" spans="9:31" x14ac:dyDescent="0.25">
      <c r="I84" t="s">
        <v>167</v>
      </c>
      <c r="J84" t="s">
        <v>155</v>
      </c>
      <c r="K84">
        <v>9.0906332539620136E-3</v>
      </c>
      <c r="L84" t="s">
        <v>154</v>
      </c>
      <c r="N84" t="s">
        <v>191</v>
      </c>
      <c r="O84" t="s">
        <v>155</v>
      </c>
      <c r="P84">
        <v>4.1542094854324042E-3</v>
      </c>
      <c r="Q84" t="s">
        <v>154</v>
      </c>
      <c r="S84" t="s">
        <v>201</v>
      </c>
      <c r="T84" t="s">
        <v>155</v>
      </c>
      <c r="U84">
        <v>1.1981953636167936E-2</v>
      </c>
      <c r="V84" t="s">
        <v>154</v>
      </c>
    </row>
    <row r="85" spans="9:31" x14ac:dyDescent="0.25">
      <c r="I85" t="s">
        <v>167</v>
      </c>
      <c r="J85" t="s">
        <v>156</v>
      </c>
      <c r="K85">
        <v>7.1870293429905112E-3</v>
      </c>
      <c r="L85" t="s">
        <v>154</v>
      </c>
      <c r="N85" t="s">
        <v>191</v>
      </c>
      <c r="O85" t="s">
        <v>156</v>
      </c>
      <c r="P85">
        <v>2.1893970611682732E-3</v>
      </c>
      <c r="Q85" t="s">
        <v>154</v>
      </c>
      <c r="S85" t="s">
        <v>201</v>
      </c>
      <c r="T85" t="s">
        <v>156</v>
      </c>
      <c r="U85">
        <v>6.2552091391046014E-3</v>
      </c>
      <c r="V85" t="s">
        <v>154</v>
      </c>
    </row>
    <row r="86" spans="9:31" x14ac:dyDescent="0.25">
      <c r="I86" t="s">
        <v>167</v>
      </c>
      <c r="J86" t="s">
        <v>222</v>
      </c>
      <c r="K86">
        <v>2.9981656905430341E-2</v>
      </c>
      <c r="L86" t="s">
        <v>154</v>
      </c>
      <c r="N86" t="s">
        <v>191</v>
      </c>
      <c r="O86" t="s">
        <v>222</v>
      </c>
      <c r="P86">
        <v>1.2506028606451818E-2</v>
      </c>
      <c r="Q86" t="s">
        <v>154</v>
      </c>
      <c r="S86" t="s">
        <v>201</v>
      </c>
      <c r="T86" t="s">
        <v>222</v>
      </c>
      <c r="U86">
        <v>2.6199863584927648E-2</v>
      </c>
      <c r="V86" t="s">
        <v>154</v>
      </c>
    </row>
    <row r="87" spans="9:31" x14ac:dyDescent="0.25">
      <c r="I87" t="s">
        <v>167</v>
      </c>
      <c r="J87" t="s">
        <v>223</v>
      </c>
      <c r="K87">
        <v>1.6160482574168498E-2</v>
      </c>
      <c r="L87" t="s">
        <v>154</v>
      </c>
      <c r="N87" t="s">
        <v>191</v>
      </c>
      <c r="O87" t="s">
        <v>223</v>
      </c>
      <c r="P87">
        <v>1.348592550163322E-2</v>
      </c>
      <c r="Q87" t="s">
        <v>154</v>
      </c>
      <c r="S87" t="s">
        <v>201</v>
      </c>
      <c r="T87" t="s">
        <v>223</v>
      </c>
      <c r="U87">
        <v>2.4610948652657713E-2</v>
      </c>
      <c r="V87" t="s">
        <v>154</v>
      </c>
    </row>
    <row r="88" spans="9:31" x14ac:dyDescent="0.25">
      <c r="I88" t="s">
        <v>167</v>
      </c>
      <c r="J88" t="s">
        <v>224</v>
      </c>
      <c r="K88">
        <v>0</v>
      </c>
      <c r="L88" t="s">
        <v>154</v>
      </c>
      <c r="N88" t="s">
        <v>191</v>
      </c>
      <c r="O88" t="s">
        <v>224</v>
      </c>
      <c r="P88">
        <v>1.9099948039150973E-2</v>
      </c>
      <c r="Q88" t="s">
        <v>154</v>
      </c>
      <c r="S88" t="s">
        <v>201</v>
      </c>
      <c r="T88" t="s">
        <v>224</v>
      </c>
      <c r="U88">
        <v>3.6094460041536713E-2</v>
      </c>
      <c r="V88" t="s">
        <v>154</v>
      </c>
    </row>
    <row r="89" spans="9:31" x14ac:dyDescent="0.25">
      <c r="I89" t="s">
        <v>167</v>
      </c>
      <c r="J89" t="s">
        <v>157</v>
      </c>
      <c r="K89">
        <v>5.8500800180156408E-3</v>
      </c>
      <c r="L89" t="s">
        <v>154</v>
      </c>
      <c r="N89" t="s">
        <v>191</v>
      </c>
      <c r="O89" t="s">
        <v>157</v>
      </c>
      <c r="P89">
        <v>6.5878035537488597E-2</v>
      </c>
      <c r="Q89" t="s">
        <v>154</v>
      </c>
      <c r="S89" t="s">
        <v>201</v>
      </c>
      <c r="T89" t="s">
        <v>157</v>
      </c>
      <c r="U89">
        <v>8.0592039457763165E-2</v>
      </c>
      <c r="V89" t="s">
        <v>154</v>
      </c>
    </row>
    <row r="90" spans="9:31" x14ac:dyDescent="0.25">
      <c r="I90" t="s">
        <v>167</v>
      </c>
      <c r="J90" t="s">
        <v>158</v>
      </c>
      <c r="K90">
        <v>4.960891632290361E-2</v>
      </c>
      <c r="L90" t="s">
        <v>154</v>
      </c>
      <c r="N90" t="s">
        <v>191</v>
      </c>
      <c r="O90" t="s">
        <v>158</v>
      </c>
      <c r="P90">
        <v>1.5406927542947018E-2</v>
      </c>
      <c r="Q90" t="s">
        <v>154</v>
      </c>
      <c r="S90" t="s">
        <v>201</v>
      </c>
      <c r="T90" t="s">
        <v>158</v>
      </c>
      <c r="U90">
        <v>2.651601448462157E-2</v>
      </c>
      <c r="V90" t="s">
        <v>154</v>
      </c>
    </row>
    <row r="91" spans="9:31" x14ac:dyDescent="0.25">
      <c r="I91" t="s">
        <v>167</v>
      </c>
      <c r="J91" t="s">
        <v>159</v>
      </c>
      <c r="K91">
        <v>3.6543585756372773E-2</v>
      </c>
      <c r="L91" t="s">
        <v>154</v>
      </c>
      <c r="N91" t="s">
        <v>191</v>
      </c>
      <c r="O91" t="s">
        <v>159</v>
      </c>
      <c r="P91">
        <v>8.5236508239256506E-3</v>
      </c>
      <c r="Q91" t="s">
        <v>154</v>
      </c>
      <c r="S91" t="s">
        <v>201</v>
      </c>
      <c r="T91" t="s">
        <v>159</v>
      </c>
      <c r="U91">
        <v>1.4163260748431321E-2</v>
      </c>
      <c r="V91" t="s">
        <v>154</v>
      </c>
    </row>
    <row r="92" spans="9:31" x14ac:dyDescent="0.25">
      <c r="I92" t="s">
        <v>167</v>
      </c>
      <c r="J92" t="s">
        <v>225</v>
      </c>
      <c r="K92">
        <v>0.15932239636113746</v>
      </c>
      <c r="L92" t="s">
        <v>154</v>
      </c>
      <c r="N92" t="s">
        <v>191</v>
      </c>
      <c r="O92" t="s">
        <v>225</v>
      </c>
      <c r="P92">
        <v>4.3023988497765488E-2</v>
      </c>
      <c r="Q92" t="s">
        <v>154</v>
      </c>
      <c r="S92" t="s">
        <v>201</v>
      </c>
      <c r="T92" t="s">
        <v>225</v>
      </c>
      <c r="U92">
        <v>5.4170669586496509E-2</v>
      </c>
      <c r="V92" t="s">
        <v>154</v>
      </c>
    </row>
    <row r="93" spans="9:31" x14ac:dyDescent="0.25">
      <c r="I93" t="s">
        <v>167</v>
      </c>
      <c r="J93" t="s">
        <v>226</v>
      </c>
      <c r="K93">
        <v>8.3408701456804207E-2</v>
      </c>
      <c r="L93" t="s">
        <v>154</v>
      </c>
      <c r="N93" t="s">
        <v>191</v>
      </c>
      <c r="O93" t="s">
        <v>226</v>
      </c>
      <c r="P93">
        <v>6.0348218258170008E-2</v>
      </c>
      <c r="Q93" t="s">
        <v>154</v>
      </c>
      <c r="S93" t="s">
        <v>201</v>
      </c>
      <c r="T93" t="s">
        <v>226</v>
      </c>
      <c r="U93">
        <v>4.8821443341597062E-2</v>
      </c>
      <c r="V93" t="s">
        <v>154</v>
      </c>
    </row>
    <row r="94" spans="9:31" x14ac:dyDescent="0.25">
      <c r="I94" t="s">
        <v>167</v>
      </c>
      <c r="J94" t="s">
        <v>227</v>
      </c>
      <c r="K94">
        <v>0</v>
      </c>
      <c r="L94" t="s">
        <v>154</v>
      </c>
      <c r="N94" t="s">
        <v>191</v>
      </c>
      <c r="O94" t="s">
        <v>227</v>
      </c>
      <c r="P94">
        <v>7.9928521362827451E-2</v>
      </c>
      <c r="Q94" t="s">
        <v>154</v>
      </c>
      <c r="S94" t="s">
        <v>201</v>
      </c>
      <c r="T94" t="s">
        <v>227</v>
      </c>
      <c r="U94">
        <v>7.2989863914998759E-2</v>
      </c>
      <c r="V94" t="s">
        <v>154</v>
      </c>
    </row>
    <row r="95" spans="9:31" x14ac:dyDescent="0.25">
      <c r="I95" t="s">
        <v>167</v>
      </c>
      <c r="J95" t="s">
        <v>160</v>
      </c>
      <c r="K95">
        <v>1.2936117038048001E-3</v>
      </c>
      <c r="L95" t="s">
        <v>154</v>
      </c>
      <c r="N95" t="s">
        <v>191</v>
      </c>
      <c r="O95" t="s">
        <v>160</v>
      </c>
      <c r="P95">
        <v>2.156354684211533E-3</v>
      </c>
      <c r="Q95" t="s">
        <v>154</v>
      </c>
      <c r="S95" t="s">
        <v>201</v>
      </c>
      <c r="T95" t="s">
        <v>160</v>
      </c>
      <c r="U95">
        <v>2.1911041818308821E-3</v>
      </c>
      <c r="V95" t="s">
        <v>154</v>
      </c>
    </row>
    <row r="96" spans="9:31" x14ac:dyDescent="0.25">
      <c r="I96" t="s">
        <v>167</v>
      </c>
      <c r="J96" t="s">
        <v>161</v>
      </c>
      <c r="K96">
        <v>5.8788204882655962E-3</v>
      </c>
      <c r="L96" t="s">
        <v>154</v>
      </c>
      <c r="N96" t="s">
        <v>191</v>
      </c>
      <c r="O96" t="s">
        <v>161</v>
      </c>
      <c r="P96">
        <v>4.8360697379951079E-4</v>
      </c>
      <c r="Q96" t="s">
        <v>154</v>
      </c>
      <c r="S96" t="s">
        <v>201</v>
      </c>
      <c r="T96" t="s">
        <v>161</v>
      </c>
      <c r="U96">
        <v>5.3560912009109737E-4</v>
      </c>
      <c r="V96" t="s">
        <v>154</v>
      </c>
    </row>
    <row r="97" spans="9:22" x14ac:dyDescent="0.25">
      <c r="I97" t="s">
        <v>167</v>
      </c>
      <c r="J97" t="s">
        <v>162</v>
      </c>
      <c r="K97">
        <v>4.4029933998915834E-3</v>
      </c>
      <c r="L97" t="s">
        <v>154</v>
      </c>
      <c r="N97" t="s">
        <v>191</v>
      </c>
      <c r="O97" t="s">
        <v>162</v>
      </c>
      <c r="P97">
        <v>2.1823208647693608E-4</v>
      </c>
      <c r="Q97" t="s">
        <v>154</v>
      </c>
      <c r="S97" t="s">
        <v>201</v>
      </c>
      <c r="T97" t="s">
        <v>162</v>
      </c>
      <c r="U97">
        <v>2.6350834825228332E-4</v>
      </c>
      <c r="V97" t="s">
        <v>154</v>
      </c>
    </row>
    <row r="98" spans="9:22" x14ac:dyDescent="0.25">
      <c r="I98" t="s">
        <v>167</v>
      </c>
      <c r="J98" t="s">
        <v>228</v>
      </c>
      <c r="K98">
        <v>2.1115551708876402E-2</v>
      </c>
      <c r="L98" t="s">
        <v>154</v>
      </c>
      <c r="N98" t="s">
        <v>191</v>
      </c>
      <c r="O98" t="s">
        <v>228</v>
      </c>
      <c r="P98">
        <v>1.2197671667584864E-3</v>
      </c>
      <c r="Q98" t="s">
        <v>154</v>
      </c>
      <c r="S98" t="s">
        <v>201</v>
      </c>
      <c r="T98" t="s">
        <v>228</v>
      </c>
      <c r="U98">
        <v>1.3319671890932743E-3</v>
      </c>
      <c r="V98" t="s">
        <v>154</v>
      </c>
    </row>
    <row r="99" spans="9:22" x14ac:dyDescent="0.25">
      <c r="I99" t="s">
        <v>167</v>
      </c>
      <c r="J99" t="s">
        <v>229</v>
      </c>
      <c r="K99">
        <v>9.6434766069433634E-3</v>
      </c>
      <c r="L99" t="s">
        <v>154</v>
      </c>
      <c r="N99" t="s">
        <v>191</v>
      </c>
      <c r="O99" t="s">
        <v>229</v>
      </c>
      <c r="P99">
        <v>1.0279856739439407E-3</v>
      </c>
      <c r="Q99" t="s">
        <v>154</v>
      </c>
      <c r="S99" t="s">
        <v>201</v>
      </c>
      <c r="T99" t="s">
        <v>229</v>
      </c>
      <c r="U99">
        <v>1.185853552993555E-3</v>
      </c>
      <c r="V99" t="s">
        <v>154</v>
      </c>
    </row>
    <row r="100" spans="9:22" x14ac:dyDescent="0.25">
      <c r="I100" t="s">
        <v>167</v>
      </c>
      <c r="J100" t="s">
        <v>230</v>
      </c>
      <c r="K100">
        <v>0</v>
      </c>
      <c r="L100" t="s">
        <v>154</v>
      </c>
      <c r="N100" t="s">
        <v>191</v>
      </c>
      <c r="O100" t="s">
        <v>230</v>
      </c>
      <c r="P100">
        <v>1.347071717989251E-3</v>
      </c>
      <c r="Q100" t="s">
        <v>154</v>
      </c>
      <c r="S100" t="s">
        <v>201</v>
      </c>
      <c r="T100" t="s">
        <v>230</v>
      </c>
      <c r="U100">
        <v>1.09102134189118E-3</v>
      </c>
      <c r="V100" t="s">
        <v>154</v>
      </c>
    </row>
    <row r="101" spans="9:22" x14ac:dyDescent="0.25">
      <c r="I101" t="s">
        <v>167</v>
      </c>
      <c r="J101" t="s">
        <v>163</v>
      </c>
      <c r="K101">
        <v>3.4305476106417676E-3</v>
      </c>
      <c r="L101" t="s">
        <v>154</v>
      </c>
      <c r="N101" t="s">
        <v>191</v>
      </c>
      <c r="O101" t="s">
        <v>163</v>
      </c>
      <c r="P101">
        <v>1.5766307621321609E-2</v>
      </c>
      <c r="Q101" t="s">
        <v>154</v>
      </c>
      <c r="S101" t="s">
        <v>201</v>
      </c>
      <c r="T101" t="s">
        <v>163</v>
      </c>
      <c r="U101">
        <v>1.1992045122355339E-2</v>
      </c>
      <c r="V101" t="s">
        <v>154</v>
      </c>
    </row>
    <row r="102" spans="9:22" x14ac:dyDescent="0.25">
      <c r="I102" t="s">
        <v>167</v>
      </c>
      <c r="J102" t="s">
        <v>164</v>
      </c>
      <c r="K102">
        <v>1.554592254179436E-2</v>
      </c>
      <c r="L102" t="s">
        <v>154</v>
      </c>
      <c r="N102" t="s">
        <v>191</v>
      </c>
      <c r="O102" t="s">
        <v>164</v>
      </c>
      <c r="P102">
        <v>4.578510519919453E-3</v>
      </c>
      <c r="Q102" t="s">
        <v>154</v>
      </c>
      <c r="S102" t="s">
        <v>201</v>
      </c>
      <c r="T102" t="s">
        <v>164</v>
      </c>
      <c r="U102">
        <v>3.3536524083889623E-3</v>
      </c>
      <c r="V102" t="s">
        <v>154</v>
      </c>
    </row>
    <row r="103" spans="9:22" x14ac:dyDescent="0.25">
      <c r="I103" t="s">
        <v>167</v>
      </c>
      <c r="J103" t="s">
        <v>165</v>
      </c>
      <c r="K103">
        <v>1.1628362554909139E-2</v>
      </c>
      <c r="L103" t="s">
        <v>154</v>
      </c>
      <c r="N103" t="s">
        <v>191</v>
      </c>
      <c r="O103" t="s">
        <v>165</v>
      </c>
      <c r="P103">
        <v>2.2151216374360354E-3</v>
      </c>
      <c r="Q103" t="s">
        <v>154</v>
      </c>
      <c r="S103" t="s">
        <v>201</v>
      </c>
      <c r="T103" t="s">
        <v>165</v>
      </c>
      <c r="U103">
        <v>1.7976164753760562E-3</v>
      </c>
      <c r="V103" t="s">
        <v>154</v>
      </c>
    </row>
    <row r="104" spans="9:22" x14ac:dyDescent="0.25">
      <c r="I104" t="s">
        <v>167</v>
      </c>
      <c r="J104" t="s">
        <v>231</v>
      </c>
      <c r="K104">
        <v>5.5519269172611282E-2</v>
      </c>
      <c r="L104" t="s">
        <v>154</v>
      </c>
      <c r="N104" t="s">
        <v>191</v>
      </c>
      <c r="O104" t="s">
        <v>231</v>
      </c>
      <c r="P104">
        <v>1.2604593200433344E-2</v>
      </c>
      <c r="Q104" t="s">
        <v>154</v>
      </c>
      <c r="S104" t="s">
        <v>201</v>
      </c>
      <c r="T104" t="s">
        <v>231</v>
      </c>
      <c r="U104">
        <v>7.4900733467480477E-3</v>
      </c>
      <c r="V104" t="s">
        <v>154</v>
      </c>
    </row>
    <row r="105" spans="9:22" x14ac:dyDescent="0.25">
      <c r="I105" t="s">
        <v>167</v>
      </c>
      <c r="J105" t="s">
        <v>232</v>
      </c>
      <c r="K105">
        <v>2.8141285116918383E-2</v>
      </c>
      <c r="L105" t="s">
        <v>154</v>
      </c>
      <c r="N105" t="s">
        <v>191</v>
      </c>
      <c r="O105" t="s">
        <v>232</v>
      </c>
      <c r="P105">
        <v>1.6517775351533429E-2</v>
      </c>
      <c r="Q105" t="s">
        <v>154</v>
      </c>
      <c r="S105" t="s">
        <v>201</v>
      </c>
      <c r="T105" t="s">
        <v>232</v>
      </c>
      <c r="U105">
        <v>6.7501594301138971E-3</v>
      </c>
      <c r="V105" t="s">
        <v>154</v>
      </c>
    </row>
    <row r="106" spans="9:22" x14ac:dyDescent="0.25">
      <c r="I106" t="s">
        <v>167</v>
      </c>
      <c r="J106" t="s">
        <v>233</v>
      </c>
      <c r="K106">
        <v>1.3611269466966356E-6</v>
      </c>
      <c r="L106" t="s">
        <v>154</v>
      </c>
      <c r="N106" t="s">
        <v>191</v>
      </c>
      <c r="O106" t="s">
        <v>233</v>
      </c>
      <c r="P106">
        <v>1.9525350067345716E-2</v>
      </c>
      <c r="Q106" t="s">
        <v>154</v>
      </c>
      <c r="S106" t="s">
        <v>201</v>
      </c>
      <c r="T106" t="s">
        <v>233</v>
      </c>
      <c r="U106">
        <v>6.8314909453674978E-3</v>
      </c>
      <c r="V106" t="s">
        <v>154</v>
      </c>
    </row>
    <row r="107" spans="9:22" x14ac:dyDescent="0.25">
      <c r="I107" t="s">
        <v>167</v>
      </c>
      <c r="J107" t="s">
        <v>240</v>
      </c>
      <c r="K107">
        <v>8.0691462354244015E-3</v>
      </c>
      <c r="L107" t="s">
        <v>154</v>
      </c>
      <c r="N107" t="s">
        <v>191</v>
      </c>
      <c r="O107" t="s">
        <v>240</v>
      </c>
      <c r="P107">
        <v>0.11215147330986845</v>
      </c>
      <c r="Q107" t="s">
        <v>154</v>
      </c>
      <c r="S107" t="s">
        <v>201</v>
      </c>
      <c r="T107" t="s">
        <v>240</v>
      </c>
      <c r="U107">
        <v>5.4670433467216749E-2</v>
      </c>
      <c r="V107" t="s">
        <v>154</v>
      </c>
    </row>
    <row r="108" spans="9:22" x14ac:dyDescent="0.25">
      <c r="I108" t="s">
        <v>167</v>
      </c>
      <c r="J108" t="s">
        <v>241</v>
      </c>
      <c r="K108">
        <v>3.6407195835427481E-2</v>
      </c>
      <c r="L108" t="s">
        <v>154</v>
      </c>
      <c r="N108" t="s">
        <v>191</v>
      </c>
      <c r="O108" t="s">
        <v>241</v>
      </c>
      <c r="P108">
        <v>3.0540962403541046E-2</v>
      </c>
      <c r="Q108" t="s">
        <v>154</v>
      </c>
      <c r="S108" t="s">
        <v>201</v>
      </c>
      <c r="T108" t="s">
        <v>241</v>
      </c>
      <c r="U108">
        <v>1.71108752633032E-2</v>
      </c>
      <c r="V108" t="s">
        <v>154</v>
      </c>
    </row>
    <row r="109" spans="9:22" x14ac:dyDescent="0.25">
      <c r="I109" t="s">
        <v>167</v>
      </c>
      <c r="J109" t="s">
        <v>242</v>
      </c>
      <c r="K109">
        <v>2.6162931648145246E-2</v>
      </c>
      <c r="L109" t="s">
        <v>154</v>
      </c>
      <c r="N109" t="s">
        <v>191</v>
      </c>
      <c r="O109" t="s">
        <v>242</v>
      </c>
      <c r="P109">
        <v>1.4724326873673539E-2</v>
      </c>
      <c r="Q109" t="s">
        <v>154</v>
      </c>
      <c r="S109" t="s">
        <v>201</v>
      </c>
      <c r="T109" t="s">
        <v>242</v>
      </c>
      <c r="U109">
        <v>9.0342099198879953E-3</v>
      </c>
      <c r="V109" t="s">
        <v>154</v>
      </c>
    </row>
    <row r="110" spans="9:22" x14ac:dyDescent="0.25">
      <c r="I110" t="s">
        <v>167</v>
      </c>
      <c r="J110" t="s">
        <v>243</v>
      </c>
      <c r="K110">
        <v>0.11931380525411624</v>
      </c>
      <c r="L110" t="s">
        <v>154</v>
      </c>
      <c r="N110" t="s">
        <v>191</v>
      </c>
      <c r="O110" t="s">
        <v>243</v>
      </c>
      <c r="P110">
        <v>7.3097131792788914E-2</v>
      </c>
      <c r="Q110" t="s">
        <v>154</v>
      </c>
      <c r="S110" t="s">
        <v>201</v>
      </c>
      <c r="T110" t="s">
        <v>243</v>
      </c>
      <c r="U110">
        <v>3.716438386877785E-2</v>
      </c>
      <c r="V110" t="s">
        <v>154</v>
      </c>
    </row>
    <row r="111" spans="9:22" x14ac:dyDescent="0.25">
      <c r="I111" t="s">
        <v>167</v>
      </c>
      <c r="J111" t="s">
        <v>244</v>
      </c>
      <c r="K111">
        <v>6.329399296954262E-2</v>
      </c>
      <c r="L111" t="s">
        <v>154</v>
      </c>
      <c r="N111" t="s">
        <v>191</v>
      </c>
      <c r="O111" t="s">
        <v>244</v>
      </c>
      <c r="P111">
        <v>8.3093892303314709E-2</v>
      </c>
      <c r="Q111" t="s">
        <v>154</v>
      </c>
      <c r="S111" t="s">
        <v>201</v>
      </c>
      <c r="T111" t="s">
        <v>244</v>
      </c>
      <c r="U111">
        <v>3.1226602095371019E-2</v>
      </c>
      <c r="V111" t="s">
        <v>154</v>
      </c>
    </row>
    <row r="112" spans="9:22" x14ac:dyDescent="0.25">
      <c r="I112" t="s">
        <v>167</v>
      </c>
      <c r="J112" t="s">
        <v>245</v>
      </c>
      <c r="K112">
        <v>1.0825394755572237E-5</v>
      </c>
      <c r="L112" t="s">
        <v>154</v>
      </c>
      <c r="N112" t="s">
        <v>191</v>
      </c>
      <c r="O112" t="s">
        <v>245</v>
      </c>
      <c r="P112">
        <v>0.10168180211083185</v>
      </c>
      <c r="Q112" t="s">
        <v>154</v>
      </c>
      <c r="S112" t="s">
        <v>201</v>
      </c>
      <c r="T112" t="s">
        <v>245</v>
      </c>
      <c r="U112">
        <v>3.0183200424650062E-2</v>
      </c>
      <c r="V112" t="s">
        <v>154</v>
      </c>
    </row>
    <row r="113" spans="9:22" x14ac:dyDescent="0.25">
      <c r="I113" t="s">
        <v>167</v>
      </c>
      <c r="J113" t="s">
        <v>246</v>
      </c>
      <c r="K113">
        <v>5.5734323545130185E-3</v>
      </c>
      <c r="L113" t="s">
        <v>154</v>
      </c>
      <c r="N113" t="s">
        <v>191</v>
      </c>
      <c r="O113" t="s">
        <v>246</v>
      </c>
      <c r="P113">
        <v>4.5052594359359363E-2</v>
      </c>
      <c r="Q113" t="s">
        <v>154</v>
      </c>
      <c r="S113" t="s">
        <v>201</v>
      </c>
      <c r="T113" t="s">
        <v>246</v>
      </c>
      <c r="U113">
        <v>9.2475692464977527E-2</v>
      </c>
      <c r="V113" t="s">
        <v>154</v>
      </c>
    </row>
    <row r="114" spans="9:22" x14ac:dyDescent="0.25">
      <c r="I114" t="s">
        <v>167</v>
      </c>
      <c r="J114" t="s">
        <v>247</v>
      </c>
      <c r="K114">
        <v>3.1061799115532331E-2</v>
      </c>
      <c r="L114" t="s">
        <v>154</v>
      </c>
      <c r="N114" t="s">
        <v>191</v>
      </c>
      <c r="O114" t="s">
        <v>247</v>
      </c>
      <c r="P114">
        <v>1.10577837864155E-2</v>
      </c>
      <c r="Q114" t="s">
        <v>154</v>
      </c>
      <c r="S114" t="s">
        <v>201</v>
      </c>
      <c r="T114" t="s">
        <v>247</v>
      </c>
      <c r="U114">
        <v>2.7124837719203633E-2</v>
      </c>
      <c r="V114" t="s">
        <v>154</v>
      </c>
    </row>
    <row r="115" spans="9:22" x14ac:dyDescent="0.25">
      <c r="I115" t="s">
        <v>167</v>
      </c>
      <c r="J115" t="s">
        <v>248</v>
      </c>
      <c r="K115">
        <v>2.3276825647909099E-2</v>
      </c>
      <c r="L115" t="s">
        <v>154</v>
      </c>
      <c r="N115" t="s">
        <v>191</v>
      </c>
      <c r="O115" t="s">
        <v>248</v>
      </c>
      <c r="P115">
        <v>5.5268998783026754E-3</v>
      </c>
      <c r="Q115" t="s">
        <v>154</v>
      </c>
      <c r="S115" t="s">
        <v>201</v>
      </c>
      <c r="T115" t="s">
        <v>248</v>
      </c>
      <c r="U115">
        <v>1.3818281551692917E-2</v>
      </c>
      <c r="V115" t="s">
        <v>154</v>
      </c>
    </row>
    <row r="116" spans="9:22" x14ac:dyDescent="0.25">
      <c r="I116" t="s">
        <v>167</v>
      </c>
      <c r="J116" t="s">
        <v>249</v>
      </c>
      <c r="K116">
        <v>9.4682133793094952E-2</v>
      </c>
      <c r="L116" t="s">
        <v>154</v>
      </c>
      <c r="N116" t="s">
        <v>191</v>
      </c>
      <c r="O116" t="s">
        <v>249</v>
      </c>
      <c r="P116">
        <v>2.5359935253703794E-2</v>
      </c>
      <c r="Q116" t="s">
        <v>154</v>
      </c>
      <c r="S116" t="s">
        <v>201</v>
      </c>
      <c r="T116" t="s">
        <v>249</v>
      </c>
      <c r="U116">
        <v>5.4414868281313415E-2</v>
      </c>
      <c r="V116" t="s">
        <v>154</v>
      </c>
    </row>
    <row r="117" spans="9:22" x14ac:dyDescent="0.25">
      <c r="I117" t="s">
        <v>167</v>
      </c>
      <c r="J117" t="s">
        <v>250</v>
      </c>
      <c r="K117">
        <v>3.8393227728151819E-2</v>
      </c>
      <c r="L117" t="s">
        <v>154</v>
      </c>
      <c r="N117" t="s">
        <v>191</v>
      </c>
      <c r="O117" t="s">
        <v>250</v>
      </c>
      <c r="P117">
        <v>3.2930061346361582E-2</v>
      </c>
      <c r="Q117" t="s">
        <v>154</v>
      </c>
      <c r="S117" t="s">
        <v>201</v>
      </c>
      <c r="T117" t="s">
        <v>250</v>
      </c>
      <c r="U117">
        <v>5.2779068392685244E-2</v>
      </c>
      <c r="V117" t="s">
        <v>154</v>
      </c>
    </row>
    <row r="118" spans="9:22" x14ac:dyDescent="0.25">
      <c r="I118" t="s">
        <v>167</v>
      </c>
      <c r="J118" t="s">
        <v>251</v>
      </c>
      <c r="K118">
        <v>0</v>
      </c>
      <c r="L118" t="s">
        <v>154</v>
      </c>
      <c r="N118" t="s">
        <v>191</v>
      </c>
      <c r="O118" t="s">
        <v>251</v>
      </c>
      <c r="P118">
        <v>4.303823367384714E-2</v>
      </c>
      <c r="Q118" t="s">
        <v>154</v>
      </c>
      <c r="S118" t="s">
        <v>201</v>
      </c>
      <c r="T118" t="s">
        <v>251</v>
      </c>
      <c r="U118">
        <v>9.3670177686366596E-2</v>
      </c>
      <c r="V118" t="s">
        <v>154</v>
      </c>
    </row>
    <row r="119" spans="9:22" x14ac:dyDescent="0.25">
      <c r="I119" t="s">
        <v>168</v>
      </c>
      <c r="J119" t="s">
        <v>153</v>
      </c>
      <c r="K119">
        <v>0</v>
      </c>
      <c r="L119" t="s">
        <v>154</v>
      </c>
      <c r="N119" t="s">
        <v>192</v>
      </c>
      <c r="O119" t="s">
        <v>153</v>
      </c>
      <c r="P119">
        <v>5.8446439072002948E-2</v>
      </c>
      <c r="Q119" t="s">
        <v>154</v>
      </c>
      <c r="S119" t="s">
        <v>202</v>
      </c>
      <c r="T119" t="s">
        <v>153</v>
      </c>
      <c r="U119">
        <v>2.4385745510243573E-2</v>
      </c>
      <c r="V119" t="s">
        <v>154</v>
      </c>
    </row>
    <row r="120" spans="9:22" x14ac:dyDescent="0.25">
      <c r="I120" t="s">
        <v>168</v>
      </c>
      <c r="J120" t="s">
        <v>155</v>
      </c>
      <c r="K120">
        <v>5.4801970305514928E-3</v>
      </c>
      <c r="L120" t="s">
        <v>154</v>
      </c>
      <c r="N120" t="s">
        <v>192</v>
      </c>
      <c r="O120" t="s">
        <v>155</v>
      </c>
      <c r="P120">
        <v>1.2665641574689874E-2</v>
      </c>
      <c r="Q120" t="s">
        <v>154</v>
      </c>
      <c r="S120" t="s">
        <v>202</v>
      </c>
      <c r="T120" t="s">
        <v>155</v>
      </c>
      <c r="U120">
        <v>6.360168948381005E-3</v>
      </c>
      <c r="V120" t="s">
        <v>154</v>
      </c>
    </row>
    <row r="121" spans="9:22" x14ac:dyDescent="0.25">
      <c r="I121" t="s">
        <v>168</v>
      </c>
      <c r="J121" t="s">
        <v>156</v>
      </c>
      <c r="K121">
        <v>5.3178293247569302E-3</v>
      </c>
      <c r="L121" t="s">
        <v>154</v>
      </c>
      <c r="N121" t="s">
        <v>192</v>
      </c>
      <c r="O121" t="s">
        <v>156</v>
      </c>
      <c r="P121">
        <v>6.7777368095101901E-3</v>
      </c>
      <c r="Q121" t="s">
        <v>154</v>
      </c>
      <c r="S121" t="s">
        <v>202</v>
      </c>
      <c r="T121" t="s">
        <v>156</v>
      </c>
      <c r="U121">
        <v>3.1541278612516703E-3</v>
      </c>
      <c r="V121" t="s">
        <v>154</v>
      </c>
    </row>
    <row r="122" spans="9:22" x14ac:dyDescent="0.25">
      <c r="I122" t="s">
        <v>168</v>
      </c>
      <c r="J122" t="s">
        <v>222</v>
      </c>
      <c r="K122">
        <v>2.7898999152106193E-2</v>
      </c>
      <c r="L122" t="s">
        <v>154</v>
      </c>
      <c r="N122" t="s">
        <v>192</v>
      </c>
      <c r="O122" t="s">
        <v>222</v>
      </c>
      <c r="P122">
        <v>3.0657987117779284E-2</v>
      </c>
      <c r="Q122" t="s">
        <v>154</v>
      </c>
      <c r="S122" t="s">
        <v>202</v>
      </c>
      <c r="T122" t="s">
        <v>222</v>
      </c>
      <c r="U122">
        <v>1.2467769800507289E-2</v>
      </c>
      <c r="V122" t="s">
        <v>154</v>
      </c>
    </row>
    <row r="123" spans="9:22" x14ac:dyDescent="0.25">
      <c r="I123" t="s">
        <v>168</v>
      </c>
      <c r="J123" t="s">
        <v>223</v>
      </c>
      <c r="K123">
        <v>1.8496935000528528E-2</v>
      </c>
      <c r="L123" t="s">
        <v>154</v>
      </c>
      <c r="N123" t="s">
        <v>192</v>
      </c>
      <c r="O123" t="s">
        <v>223</v>
      </c>
      <c r="P123">
        <v>3.0856881397022265E-2</v>
      </c>
      <c r="Q123" t="s">
        <v>154</v>
      </c>
      <c r="S123" t="s">
        <v>202</v>
      </c>
      <c r="T123" t="s">
        <v>223</v>
      </c>
      <c r="U123">
        <v>1.3478732201394047E-2</v>
      </c>
      <c r="V123" t="s">
        <v>154</v>
      </c>
    </row>
    <row r="124" spans="9:22" x14ac:dyDescent="0.25">
      <c r="I124" t="s">
        <v>168</v>
      </c>
      <c r="J124" t="s">
        <v>224</v>
      </c>
      <c r="K124">
        <v>1.1289306412835503E-3</v>
      </c>
      <c r="L124" t="s">
        <v>154</v>
      </c>
      <c r="N124" t="s">
        <v>192</v>
      </c>
      <c r="O124" t="s">
        <v>224</v>
      </c>
      <c r="P124">
        <v>4.0641188236732566E-2</v>
      </c>
      <c r="Q124" t="s">
        <v>154</v>
      </c>
      <c r="S124" t="s">
        <v>202</v>
      </c>
      <c r="T124" t="s">
        <v>224</v>
      </c>
      <c r="U124">
        <v>2.2683888620278248E-2</v>
      </c>
      <c r="V124" t="s">
        <v>154</v>
      </c>
    </row>
    <row r="125" spans="9:22" x14ac:dyDescent="0.25">
      <c r="I125" t="s">
        <v>168</v>
      </c>
      <c r="J125" t="s">
        <v>157</v>
      </c>
      <c r="K125">
        <v>0</v>
      </c>
      <c r="L125" t="s">
        <v>154</v>
      </c>
      <c r="N125" t="s">
        <v>192</v>
      </c>
      <c r="O125" t="s">
        <v>157</v>
      </c>
      <c r="P125">
        <v>9.822440273563561E-2</v>
      </c>
      <c r="Q125" t="s">
        <v>154</v>
      </c>
      <c r="S125" t="s">
        <v>202</v>
      </c>
      <c r="T125" t="s">
        <v>157</v>
      </c>
      <c r="U125">
        <v>9.0645180123060498E-2</v>
      </c>
      <c r="V125" t="s">
        <v>154</v>
      </c>
    </row>
    <row r="126" spans="9:22" x14ac:dyDescent="0.25">
      <c r="I126" t="s">
        <v>168</v>
      </c>
      <c r="J126" t="s">
        <v>158</v>
      </c>
      <c r="K126">
        <v>3.0340095516733258E-2</v>
      </c>
      <c r="L126" t="s">
        <v>154</v>
      </c>
      <c r="N126" t="s">
        <v>192</v>
      </c>
      <c r="O126" t="s">
        <v>158</v>
      </c>
      <c r="P126">
        <v>2.3667300660611134E-2</v>
      </c>
      <c r="Q126" t="s">
        <v>154</v>
      </c>
      <c r="S126" t="s">
        <v>202</v>
      </c>
      <c r="T126" t="s">
        <v>158</v>
      </c>
      <c r="U126">
        <v>2.4998375043935452E-2</v>
      </c>
      <c r="V126" t="s">
        <v>154</v>
      </c>
    </row>
    <row r="127" spans="9:22" x14ac:dyDescent="0.25">
      <c r="I127" t="s">
        <v>168</v>
      </c>
      <c r="J127" t="s">
        <v>159</v>
      </c>
      <c r="K127">
        <v>2.8448677768733496E-2</v>
      </c>
      <c r="L127" t="s">
        <v>154</v>
      </c>
      <c r="N127" t="s">
        <v>192</v>
      </c>
      <c r="O127" t="s">
        <v>159</v>
      </c>
      <c r="P127">
        <v>1.3010663080835283E-2</v>
      </c>
      <c r="Q127" t="s">
        <v>154</v>
      </c>
      <c r="S127" t="s">
        <v>202</v>
      </c>
      <c r="T127" t="s">
        <v>159</v>
      </c>
      <c r="U127">
        <v>1.2634498172429478E-2</v>
      </c>
      <c r="V127" t="s">
        <v>154</v>
      </c>
    </row>
    <row r="128" spans="9:22" x14ac:dyDescent="0.25">
      <c r="I128" t="s">
        <v>168</v>
      </c>
      <c r="J128" t="s">
        <v>225</v>
      </c>
      <c r="K128">
        <v>0.1507336792484136</v>
      </c>
      <c r="L128" t="s">
        <v>154</v>
      </c>
      <c r="N128" t="s">
        <v>192</v>
      </c>
      <c r="O128" t="s">
        <v>225</v>
      </c>
      <c r="P128">
        <v>5.741509341293493E-2</v>
      </c>
      <c r="Q128" t="s">
        <v>154</v>
      </c>
      <c r="S128" t="s">
        <v>202</v>
      </c>
      <c r="T128" t="s">
        <v>225</v>
      </c>
      <c r="U128">
        <v>4.8307315123506181E-2</v>
      </c>
      <c r="V128" t="s">
        <v>154</v>
      </c>
    </row>
    <row r="129" spans="9:22" x14ac:dyDescent="0.25">
      <c r="I129" t="s">
        <v>168</v>
      </c>
      <c r="J129" t="s">
        <v>226</v>
      </c>
      <c r="K129">
        <v>0.10164303266087256</v>
      </c>
      <c r="L129" t="s">
        <v>154</v>
      </c>
      <c r="N129" t="s">
        <v>192</v>
      </c>
      <c r="O129" t="s">
        <v>226</v>
      </c>
      <c r="P129">
        <v>6.4393958579007302E-2</v>
      </c>
      <c r="Q129" t="s">
        <v>154</v>
      </c>
      <c r="S129" t="s">
        <v>202</v>
      </c>
      <c r="T129" t="s">
        <v>226</v>
      </c>
      <c r="U129">
        <v>5.6990293721441904E-2</v>
      </c>
      <c r="V129" t="s">
        <v>154</v>
      </c>
    </row>
    <row r="130" spans="9:22" x14ac:dyDescent="0.25">
      <c r="I130" t="s">
        <v>168</v>
      </c>
      <c r="J130" t="s">
        <v>227</v>
      </c>
      <c r="K130">
        <v>7.9724864647146652E-3</v>
      </c>
      <c r="L130" t="s">
        <v>154</v>
      </c>
      <c r="N130" t="s">
        <v>192</v>
      </c>
      <c r="O130" t="s">
        <v>227</v>
      </c>
      <c r="P130">
        <v>8.2111787240067721E-2</v>
      </c>
      <c r="Q130" t="s">
        <v>154</v>
      </c>
      <c r="S130" t="s">
        <v>202</v>
      </c>
      <c r="T130" t="s">
        <v>227</v>
      </c>
      <c r="U130">
        <v>9.8025997178382993E-2</v>
      </c>
      <c r="V130" t="s">
        <v>154</v>
      </c>
    </row>
    <row r="131" spans="9:22" x14ac:dyDescent="0.25">
      <c r="I131" t="s">
        <v>168</v>
      </c>
      <c r="J131" t="s">
        <v>160</v>
      </c>
      <c r="K131">
        <v>0</v>
      </c>
      <c r="L131" t="s">
        <v>154</v>
      </c>
      <c r="N131" t="s">
        <v>192</v>
      </c>
      <c r="O131" t="s">
        <v>160</v>
      </c>
      <c r="P131">
        <v>1.9697471349801664E-3</v>
      </c>
      <c r="Q131" t="s">
        <v>154</v>
      </c>
      <c r="S131" t="s">
        <v>202</v>
      </c>
      <c r="T131" t="s">
        <v>160</v>
      </c>
      <c r="U131">
        <v>8.4853521641299091E-4</v>
      </c>
      <c r="V131" t="s">
        <v>154</v>
      </c>
    </row>
    <row r="132" spans="9:22" x14ac:dyDescent="0.25">
      <c r="I132" t="s">
        <v>168</v>
      </c>
      <c r="J132" t="s">
        <v>161</v>
      </c>
      <c r="K132">
        <v>3.9953495322141569E-3</v>
      </c>
      <c r="L132" t="s">
        <v>154</v>
      </c>
      <c r="N132" t="s">
        <v>192</v>
      </c>
      <c r="O132" t="s">
        <v>161</v>
      </c>
      <c r="P132">
        <v>4.0749443722112074E-4</v>
      </c>
      <c r="Q132" t="s">
        <v>154</v>
      </c>
      <c r="S132" t="s">
        <v>202</v>
      </c>
      <c r="T132" t="s">
        <v>161</v>
      </c>
      <c r="U132">
        <v>3.9202786229039233E-4</v>
      </c>
      <c r="V132" t="s">
        <v>154</v>
      </c>
    </row>
    <row r="133" spans="9:22" x14ac:dyDescent="0.25">
      <c r="I133" t="s">
        <v>168</v>
      </c>
      <c r="J133" t="s">
        <v>162</v>
      </c>
      <c r="K133">
        <v>3.6686880296796912E-3</v>
      </c>
      <c r="L133" t="s">
        <v>154</v>
      </c>
      <c r="N133" t="s">
        <v>192</v>
      </c>
      <c r="O133" t="s">
        <v>162</v>
      </c>
      <c r="P133">
        <v>1.4108185941667711E-4</v>
      </c>
      <c r="Q133" t="s">
        <v>154</v>
      </c>
      <c r="S133" t="s">
        <v>202</v>
      </c>
      <c r="T133" t="s">
        <v>162</v>
      </c>
      <c r="U133">
        <v>1.7331861208197733E-4</v>
      </c>
      <c r="V133" t="s">
        <v>154</v>
      </c>
    </row>
    <row r="134" spans="9:22" x14ac:dyDescent="0.25">
      <c r="I134" t="s">
        <v>168</v>
      </c>
      <c r="J134" t="s">
        <v>228</v>
      </c>
      <c r="K134">
        <v>1.9703137688688803E-2</v>
      </c>
      <c r="L134" t="s">
        <v>154</v>
      </c>
      <c r="N134" t="s">
        <v>192</v>
      </c>
      <c r="O134" t="s">
        <v>228</v>
      </c>
      <c r="P134">
        <v>4.0409992014095214E-4</v>
      </c>
      <c r="Q134" t="s">
        <v>154</v>
      </c>
      <c r="S134" t="s">
        <v>202</v>
      </c>
      <c r="T134" t="s">
        <v>228</v>
      </c>
      <c r="U134">
        <v>4.9742218352227547E-4</v>
      </c>
      <c r="V134" t="s">
        <v>154</v>
      </c>
    </row>
    <row r="135" spans="9:22" x14ac:dyDescent="0.25">
      <c r="I135" t="s">
        <v>168</v>
      </c>
      <c r="J135" t="s">
        <v>229</v>
      </c>
      <c r="K135">
        <v>1.1163208014821379E-2</v>
      </c>
      <c r="L135" t="s">
        <v>154</v>
      </c>
      <c r="N135" t="s">
        <v>192</v>
      </c>
      <c r="O135" t="s">
        <v>229</v>
      </c>
      <c r="P135">
        <v>4.3784716805258964E-4</v>
      </c>
      <c r="Q135" t="s">
        <v>154</v>
      </c>
      <c r="S135" t="s">
        <v>202</v>
      </c>
      <c r="T135" t="s">
        <v>229</v>
      </c>
      <c r="U135">
        <v>2.5133192356118362E-4</v>
      </c>
      <c r="V135" t="s">
        <v>154</v>
      </c>
    </row>
    <row r="136" spans="9:22" x14ac:dyDescent="0.25">
      <c r="I136" t="s">
        <v>168</v>
      </c>
      <c r="J136" t="s">
        <v>230</v>
      </c>
      <c r="K136">
        <v>1.0539099039286841E-3</v>
      </c>
      <c r="L136" t="s">
        <v>154</v>
      </c>
      <c r="N136" t="s">
        <v>192</v>
      </c>
      <c r="O136" t="s">
        <v>230</v>
      </c>
      <c r="P136">
        <v>1.5949698486057422E-3</v>
      </c>
      <c r="Q136" t="s">
        <v>154</v>
      </c>
      <c r="S136" t="s">
        <v>202</v>
      </c>
      <c r="T136" t="s">
        <v>230</v>
      </c>
      <c r="U136">
        <v>5.6633453816447657E-4</v>
      </c>
      <c r="V136" t="s">
        <v>154</v>
      </c>
    </row>
    <row r="137" spans="9:22" x14ac:dyDescent="0.25">
      <c r="I137" t="s">
        <v>168</v>
      </c>
      <c r="J137" t="s">
        <v>163</v>
      </c>
      <c r="K137">
        <v>0</v>
      </c>
      <c r="L137" t="s">
        <v>154</v>
      </c>
      <c r="N137" t="s">
        <v>192</v>
      </c>
      <c r="O137" t="s">
        <v>163</v>
      </c>
      <c r="P137">
        <v>1.6597692359819557E-2</v>
      </c>
      <c r="Q137" t="s">
        <v>154</v>
      </c>
      <c r="S137" t="s">
        <v>202</v>
      </c>
      <c r="T137" t="s">
        <v>163</v>
      </c>
      <c r="U137">
        <v>1.7128116459425091E-2</v>
      </c>
      <c r="V137" t="s">
        <v>154</v>
      </c>
    </row>
    <row r="138" spans="9:22" x14ac:dyDescent="0.25">
      <c r="I138" t="s">
        <v>168</v>
      </c>
      <c r="J138" t="s">
        <v>164</v>
      </c>
      <c r="K138">
        <v>1.4034361201460083E-2</v>
      </c>
      <c r="L138" t="s">
        <v>154</v>
      </c>
      <c r="N138" t="s">
        <v>192</v>
      </c>
      <c r="O138" t="s">
        <v>164</v>
      </c>
      <c r="P138">
        <v>3.7147727362556418E-3</v>
      </c>
      <c r="Q138" t="s">
        <v>154</v>
      </c>
      <c r="S138" t="s">
        <v>202</v>
      </c>
      <c r="T138" t="s">
        <v>164</v>
      </c>
      <c r="U138">
        <v>5.7636118652688089E-3</v>
      </c>
      <c r="V138" t="s">
        <v>154</v>
      </c>
    </row>
    <row r="139" spans="9:22" x14ac:dyDescent="0.25">
      <c r="I139" t="s">
        <v>168</v>
      </c>
      <c r="J139" t="s">
        <v>165</v>
      </c>
      <c r="K139">
        <v>1.1298645493712334E-2</v>
      </c>
      <c r="L139" t="s">
        <v>154</v>
      </c>
      <c r="N139" t="s">
        <v>192</v>
      </c>
      <c r="O139" t="s">
        <v>165</v>
      </c>
      <c r="P139">
        <v>1.9392402070441191E-3</v>
      </c>
      <c r="Q139" t="s">
        <v>154</v>
      </c>
      <c r="S139" t="s">
        <v>202</v>
      </c>
      <c r="T139" t="s">
        <v>165</v>
      </c>
      <c r="U139">
        <v>3.0738734871625208E-3</v>
      </c>
      <c r="V139" t="s">
        <v>154</v>
      </c>
    </row>
    <row r="140" spans="9:22" x14ac:dyDescent="0.25">
      <c r="I140" t="s">
        <v>168</v>
      </c>
      <c r="J140" t="s">
        <v>231</v>
      </c>
      <c r="K140">
        <v>5.8956987202876003E-2</v>
      </c>
      <c r="L140" t="s">
        <v>154</v>
      </c>
      <c r="N140" t="s">
        <v>192</v>
      </c>
      <c r="O140" t="s">
        <v>231</v>
      </c>
      <c r="P140">
        <v>9.3609155894429953E-3</v>
      </c>
      <c r="Q140" t="s">
        <v>154</v>
      </c>
      <c r="S140" t="s">
        <v>202</v>
      </c>
      <c r="T140" t="s">
        <v>231</v>
      </c>
      <c r="U140">
        <v>1.2889575299872532E-2</v>
      </c>
      <c r="V140" t="s">
        <v>154</v>
      </c>
    </row>
    <row r="141" spans="9:22" x14ac:dyDescent="0.25">
      <c r="I141" t="s">
        <v>168</v>
      </c>
      <c r="J141" t="s">
        <v>232</v>
      </c>
      <c r="K141">
        <v>3.8287104634392555E-2</v>
      </c>
      <c r="L141" t="s">
        <v>154</v>
      </c>
      <c r="N141" t="s">
        <v>192</v>
      </c>
      <c r="O141" t="s">
        <v>232</v>
      </c>
      <c r="P141">
        <v>8.7198771446128226E-3</v>
      </c>
      <c r="Q141" t="s">
        <v>154</v>
      </c>
      <c r="S141" t="s">
        <v>202</v>
      </c>
      <c r="T141" t="s">
        <v>232</v>
      </c>
      <c r="U141">
        <v>1.1285732374963832E-2</v>
      </c>
      <c r="V141" t="s">
        <v>154</v>
      </c>
    </row>
    <row r="142" spans="9:22" x14ac:dyDescent="0.25">
      <c r="I142" t="s">
        <v>168</v>
      </c>
      <c r="J142" t="s">
        <v>233</v>
      </c>
      <c r="K142">
        <v>3.6287537736500106E-3</v>
      </c>
      <c r="L142" t="s">
        <v>154</v>
      </c>
      <c r="N142" t="s">
        <v>192</v>
      </c>
      <c r="O142" t="s">
        <v>233</v>
      </c>
      <c r="P142">
        <v>1.0688053437162347E-2</v>
      </c>
      <c r="Q142" t="s">
        <v>154</v>
      </c>
      <c r="S142" t="s">
        <v>202</v>
      </c>
      <c r="T142" t="s">
        <v>233</v>
      </c>
      <c r="U142">
        <v>1.3192679922494073E-2</v>
      </c>
      <c r="V142" t="s">
        <v>154</v>
      </c>
    </row>
    <row r="143" spans="9:22" x14ac:dyDescent="0.25">
      <c r="I143" t="s">
        <v>168</v>
      </c>
      <c r="J143" t="s">
        <v>240</v>
      </c>
      <c r="K143">
        <v>3.3710367444523447E-4</v>
      </c>
      <c r="L143" t="s">
        <v>154</v>
      </c>
      <c r="N143" t="s">
        <v>192</v>
      </c>
      <c r="O143" t="s">
        <v>240</v>
      </c>
      <c r="P143">
        <v>6.2567736096545354E-2</v>
      </c>
      <c r="Q143" t="s">
        <v>154</v>
      </c>
      <c r="S143" t="s">
        <v>202</v>
      </c>
      <c r="T143" t="s">
        <v>240</v>
      </c>
      <c r="U143">
        <v>9.8350304877854386E-2</v>
      </c>
      <c r="V143" t="s">
        <v>154</v>
      </c>
    </row>
    <row r="144" spans="9:22" x14ac:dyDescent="0.25">
      <c r="I144" t="s">
        <v>168</v>
      </c>
      <c r="J144" t="s">
        <v>241</v>
      </c>
      <c r="K144">
        <v>2.5303270689023376E-2</v>
      </c>
      <c r="L144" t="s">
        <v>154</v>
      </c>
      <c r="N144" t="s">
        <v>192</v>
      </c>
      <c r="O144" t="s">
        <v>241</v>
      </c>
      <c r="P144">
        <v>1.5755406073757937E-2</v>
      </c>
      <c r="Q144" t="s">
        <v>154</v>
      </c>
      <c r="S144" t="s">
        <v>202</v>
      </c>
      <c r="T144" t="s">
        <v>241</v>
      </c>
      <c r="U144">
        <v>3.0778892342623841E-2</v>
      </c>
      <c r="V144" t="s">
        <v>154</v>
      </c>
    </row>
    <row r="145" spans="9:22" x14ac:dyDescent="0.25">
      <c r="I145" t="s">
        <v>168</v>
      </c>
      <c r="J145" t="s">
        <v>242</v>
      </c>
      <c r="K145">
        <v>2.318078103498861E-2</v>
      </c>
      <c r="L145" t="s">
        <v>154</v>
      </c>
      <c r="N145" t="s">
        <v>192</v>
      </c>
      <c r="O145" t="s">
        <v>242</v>
      </c>
      <c r="P145">
        <v>7.4167320567789562E-3</v>
      </c>
      <c r="Q145" t="s">
        <v>154</v>
      </c>
      <c r="S145" t="s">
        <v>202</v>
      </c>
      <c r="T145" t="s">
        <v>242</v>
      </c>
      <c r="U145">
        <v>1.5580620412100985E-2</v>
      </c>
      <c r="V145" t="s">
        <v>154</v>
      </c>
    </row>
    <row r="146" spans="9:22" x14ac:dyDescent="0.25">
      <c r="I146" t="s">
        <v>168</v>
      </c>
      <c r="J146" t="s">
        <v>243</v>
      </c>
      <c r="K146">
        <v>0.12574168492589616</v>
      </c>
      <c r="L146" t="s">
        <v>154</v>
      </c>
      <c r="N146" t="s">
        <v>192</v>
      </c>
      <c r="O146" t="s">
        <v>243</v>
      </c>
      <c r="P146">
        <v>2.982761473036024E-2</v>
      </c>
      <c r="Q146" t="s">
        <v>154</v>
      </c>
      <c r="S146" t="s">
        <v>202</v>
      </c>
      <c r="T146" t="s">
        <v>243</v>
      </c>
      <c r="U146">
        <v>6.435859077573429E-2</v>
      </c>
      <c r="V146" t="s">
        <v>154</v>
      </c>
    </row>
    <row r="147" spans="9:22" x14ac:dyDescent="0.25">
      <c r="I147" t="s">
        <v>168</v>
      </c>
      <c r="J147" t="s">
        <v>244</v>
      </c>
      <c r="K147">
        <v>8.3914192250148081E-2</v>
      </c>
      <c r="L147" t="s">
        <v>154</v>
      </c>
      <c r="N147" t="s">
        <v>192</v>
      </c>
      <c r="O147" t="s">
        <v>244</v>
      </c>
      <c r="P147">
        <v>2.7825911849586077E-2</v>
      </c>
      <c r="Q147" t="s">
        <v>154</v>
      </c>
      <c r="S147" t="s">
        <v>202</v>
      </c>
      <c r="T147" t="s">
        <v>244</v>
      </c>
      <c r="U147">
        <v>6.0981518665276027E-2</v>
      </c>
      <c r="V147" t="s">
        <v>154</v>
      </c>
    </row>
    <row r="148" spans="9:22" x14ac:dyDescent="0.25">
      <c r="I148" t="s">
        <v>168</v>
      </c>
      <c r="J148" t="s">
        <v>245</v>
      </c>
      <c r="K148">
        <v>4.8550588706102208E-3</v>
      </c>
      <c r="L148" t="s">
        <v>154</v>
      </c>
      <c r="N148" t="s">
        <v>192</v>
      </c>
      <c r="O148" t="s">
        <v>245</v>
      </c>
      <c r="P148">
        <v>3.6694697779811263E-2</v>
      </c>
      <c r="Q148" t="s">
        <v>154</v>
      </c>
      <c r="S148" t="s">
        <v>202</v>
      </c>
      <c r="T148" t="s">
        <v>245</v>
      </c>
      <c r="U148">
        <v>7.1770020243579216E-2</v>
      </c>
      <c r="V148" t="s">
        <v>154</v>
      </c>
    </row>
    <row r="149" spans="9:22" x14ac:dyDescent="0.25">
      <c r="I149" t="s">
        <v>168</v>
      </c>
      <c r="J149" t="s">
        <v>246</v>
      </c>
      <c r="K149">
        <v>1.8088410594772242E-3</v>
      </c>
      <c r="L149" t="s">
        <v>154</v>
      </c>
      <c r="N149" t="s">
        <v>192</v>
      </c>
      <c r="O149" t="s">
        <v>246</v>
      </c>
      <c r="P149">
        <v>7.7073975097651876E-2</v>
      </c>
      <c r="Q149" t="s">
        <v>154</v>
      </c>
      <c r="S149" t="s">
        <v>202</v>
      </c>
      <c r="T149" t="s">
        <v>246</v>
      </c>
      <c r="U149">
        <v>5.2415915689206775E-2</v>
      </c>
      <c r="V149" t="s">
        <v>154</v>
      </c>
    </row>
    <row r="150" spans="9:22" x14ac:dyDescent="0.25">
      <c r="I150" t="s">
        <v>168</v>
      </c>
      <c r="J150" t="s">
        <v>247</v>
      </c>
      <c r="K150">
        <v>2.1859438020302373E-2</v>
      </c>
      <c r="L150" t="s">
        <v>154</v>
      </c>
      <c r="N150" t="s">
        <v>192</v>
      </c>
      <c r="O150" t="s">
        <v>247</v>
      </c>
      <c r="P150">
        <v>2.0223960921380253E-2</v>
      </c>
      <c r="Q150" t="s">
        <v>154</v>
      </c>
      <c r="S150" t="s">
        <v>202</v>
      </c>
      <c r="T150" t="s">
        <v>247</v>
      </c>
      <c r="U150">
        <v>1.4386811803314928E-2</v>
      </c>
      <c r="V150" t="s">
        <v>154</v>
      </c>
    </row>
    <row r="151" spans="9:22" x14ac:dyDescent="0.25">
      <c r="I151" t="s">
        <v>168</v>
      </c>
      <c r="J151" t="s">
        <v>248</v>
      </c>
      <c r="K151">
        <v>1.9682657565359789E-2</v>
      </c>
      <c r="L151" t="s">
        <v>154</v>
      </c>
      <c r="N151" t="s">
        <v>192</v>
      </c>
      <c r="O151" t="s">
        <v>248</v>
      </c>
      <c r="P151">
        <v>9.7145147266545998E-3</v>
      </c>
      <c r="Q151" t="s">
        <v>154</v>
      </c>
      <c r="S151" t="s">
        <v>202</v>
      </c>
      <c r="T151" t="s">
        <v>248</v>
      </c>
      <c r="U151">
        <v>6.8591396302217092E-3</v>
      </c>
      <c r="V151" t="s">
        <v>154</v>
      </c>
    </row>
    <row r="152" spans="9:22" x14ac:dyDescent="0.25">
      <c r="I152" t="s">
        <v>168</v>
      </c>
      <c r="J152" t="s">
        <v>249</v>
      </c>
      <c r="K152">
        <v>9.6676533870965989E-2</v>
      </c>
      <c r="L152" t="s">
        <v>154</v>
      </c>
      <c r="N152" t="s">
        <v>192</v>
      </c>
      <c r="O152" t="s">
        <v>249</v>
      </c>
      <c r="P152">
        <v>3.8220947923288659E-2</v>
      </c>
      <c r="Q152" t="s">
        <v>154</v>
      </c>
      <c r="S152" t="s">
        <v>202</v>
      </c>
      <c r="T152" t="s">
        <v>249</v>
      </c>
      <c r="U152">
        <v>2.4415708405019547E-2</v>
      </c>
      <c r="V152" t="s">
        <v>154</v>
      </c>
    </row>
    <row r="153" spans="9:22" x14ac:dyDescent="0.25">
      <c r="I153" t="s">
        <v>168</v>
      </c>
      <c r="J153" t="s">
        <v>250</v>
      </c>
      <c r="K153">
        <v>5.330211398705105E-2</v>
      </c>
      <c r="L153" t="s">
        <v>154</v>
      </c>
      <c r="N153" t="s">
        <v>192</v>
      </c>
      <c r="O153" t="s">
        <v>250</v>
      </c>
      <c r="P153">
        <v>4.0964156715300092E-2</v>
      </c>
      <c r="Q153" t="s">
        <v>154</v>
      </c>
      <c r="S153" t="s">
        <v>202</v>
      </c>
      <c r="T153" t="s">
        <v>250</v>
      </c>
      <c r="U153">
        <v>3.0282104861860035E-2</v>
      </c>
      <c r="V153" t="s">
        <v>154</v>
      </c>
    </row>
    <row r="154" spans="9:22" x14ac:dyDescent="0.25">
      <c r="I154" t="s">
        <v>168</v>
      </c>
      <c r="J154" t="s">
        <v>251</v>
      </c>
      <c r="K154">
        <v>8.7315767617342899E-5</v>
      </c>
      <c r="L154" t="s">
        <v>154</v>
      </c>
      <c r="N154" t="s">
        <v>192</v>
      </c>
      <c r="O154" t="s">
        <v>251</v>
      </c>
      <c r="P154">
        <v>5.8869474269302044E-2</v>
      </c>
      <c r="Q154" t="s">
        <v>154</v>
      </c>
      <c r="S154" t="s">
        <v>202</v>
      </c>
      <c r="T154" t="s">
        <v>251</v>
      </c>
      <c r="U154">
        <v>4.9625720243171835E-2</v>
      </c>
      <c r="V154" t="s">
        <v>154</v>
      </c>
    </row>
    <row r="155" spans="9:22" x14ac:dyDescent="0.25">
      <c r="I155" t="s">
        <v>169</v>
      </c>
      <c r="J155" t="s">
        <v>153</v>
      </c>
      <c r="K155">
        <v>0</v>
      </c>
      <c r="L155" t="s">
        <v>154</v>
      </c>
      <c r="N155" t="s">
        <v>193</v>
      </c>
      <c r="O155" t="s">
        <v>153</v>
      </c>
      <c r="P155">
        <v>5.8804402678851418E-2</v>
      </c>
      <c r="Q155" t="s">
        <v>154</v>
      </c>
      <c r="S155" t="s">
        <v>203</v>
      </c>
      <c r="T155" t="s">
        <v>153</v>
      </c>
      <c r="U155">
        <v>2.2840336172315449E-2</v>
      </c>
      <c r="V155" t="s">
        <v>154</v>
      </c>
    </row>
    <row r="156" spans="9:22" x14ac:dyDescent="0.25">
      <c r="I156" t="s">
        <v>169</v>
      </c>
      <c r="J156" t="s">
        <v>155</v>
      </c>
      <c r="K156">
        <v>5.9900772868252215E-3</v>
      </c>
      <c r="L156" t="s">
        <v>154</v>
      </c>
      <c r="N156" t="s">
        <v>193</v>
      </c>
      <c r="O156" t="s">
        <v>155</v>
      </c>
      <c r="P156">
        <v>1.3343045897562024E-2</v>
      </c>
      <c r="Q156" t="s">
        <v>154</v>
      </c>
      <c r="S156" t="s">
        <v>203</v>
      </c>
      <c r="T156" t="s">
        <v>155</v>
      </c>
      <c r="U156">
        <v>5.5201478645645063E-3</v>
      </c>
      <c r="V156" t="s">
        <v>154</v>
      </c>
    </row>
    <row r="157" spans="9:22" x14ac:dyDescent="0.25">
      <c r="I157" t="s">
        <v>169</v>
      </c>
      <c r="J157" t="s">
        <v>156</v>
      </c>
      <c r="K157">
        <v>5.5533148944004766E-3</v>
      </c>
      <c r="L157" t="s">
        <v>154</v>
      </c>
      <c r="N157" t="s">
        <v>193</v>
      </c>
      <c r="O157" t="s">
        <v>156</v>
      </c>
      <c r="P157">
        <v>6.3982104125513929E-3</v>
      </c>
      <c r="Q157" t="s">
        <v>154</v>
      </c>
      <c r="S157" t="s">
        <v>203</v>
      </c>
      <c r="T157" t="s">
        <v>156</v>
      </c>
      <c r="U157">
        <v>2.6271437929961364E-3</v>
      </c>
      <c r="V157" t="s">
        <v>154</v>
      </c>
    </row>
    <row r="158" spans="9:22" x14ac:dyDescent="0.25">
      <c r="I158" t="s">
        <v>169</v>
      </c>
      <c r="J158" t="s">
        <v>222</v>
      </c>
      <c r="K158">
        <v>2.9264617279224008E-2</v>
      </c>
      <c r="L158" t="s">
        <v>154</v>
      </c>
      <c r="N158" t="s">
        <v>193</v>
      </c>
      <c r="O158" t="s">
        <v>222</v>
      </c>
      <c r="P158">
        <v>2.5609948804245202E-2</v>
      </c>
      <c r="Q158" t="s">
        <v>154</v>
      </c>
      <c r="S158" t="s">
        <v>203</v>
      </c>
      <c r="T158" t="s">
        <v>222</v>
      </c>
      <c r="U158">
        <v>1.1281239373397679E-2</v>
      </c>
      <c r="V158" t="s">
        <v>154</v>
      </c>
    </row>
    <row r="159" spans="9:22" x14ac:dyDescent="0.25">
      <c r="I159" t="s">
        <v>169</v>
      </c>
      <c r="J159" t="s">
        <v>223</v>
      </c>
      <c r="K159">
        <v>1.6965241738911813E-2</v>
      </c>
      <c r="L159" t="s">
        <v>154</v>
      </c>
      <c r="N159" t="s">
        <v>193</v>
      </c>
      <c r="O159" t="s">
        <v>223</v>
      </c>
      <c r="P159">
        <v>2.7640678033740491E-2</v>
      </c>
      <c r="Q159" t="s">
        <v>154</v>
      </c>
      <c r="S159" t="s">
        <v>203</v>
      </c>
      <c r="T159" t="s">
        <v>223</v>
      </c>
      <c r="U159">
        <v>1.1331465228798866E-2</v>
      </c>
      <c r="V159" t="s">
        <v>154</v>
      </c>
    </row>
    <row r="160" spans="9:22" x14ac:dyDescent="0.25">
      <c r="I160" t="s">
        <v>169</v>
      </c>
      <c r="J160" t="s">
        <v>224</v>
      </c>
      <c r="K160">
        <v>8.6831349015103196E-4</v>
      </c>
      <c r="L160" t="s">
        <v>154</v>
      </c>
      <c r="N160" t="s">
        <v>193</v>
      </c>
      <c r="O160" t="s">
        <v>224</v>
      </c>
      <c r="P160">
        <v>4.2186839691652663E-2</v>
      </c>
      <c r="Q160" t="s">
        <v>154</v>
      </c>
      <c r="S160" t="s">
        <v>203</v>
      </c>
      <c r="T160" t="s">
        <v>224</v>
      </c>
      <c r="U160">
        <v>1.9671410569378649E-2</v>
      </c>
      <c r="V160" t="s">
        <v>154</v>
      </c>
    </row>
    <row r="161" spans="9:22" x14ac:dyDescent="0.25">
      <c r="I161" t="s">
        <v>169</v>
      </c>
      <c r="J161" t="s">
        <v>157</v>
      </c>
      <c r="K161">
        <v>6.1267133009531584E-4</v>
      </c>
      <c r="L161" t="s">
        <v>154</v>
      </c>
      <c r="N161" t="s">
        <v>193</v>
      </c>
      <c r="O161" t="s">
        <v>157</v>
      </c>
      <c r="P161">
        <v>0.11019482611908926</v>
      </c>
      <c r="Q161" t="s">
        <v>154</v>
      </c>
      <c r="S161" t="s">
        <v>203</v>
      </c>
      <c r="T161" t="s">
        <v>157</v>
      </c>
      <c r="U161">
        <v>7.4813187919216512E-2</v>
      </c>
      <c r="V161" t="s">
        <v>154</v>
      </c>
    </row>
    <row r="162" spans="9:22" x14ac:dyDescent="0.25">
      <c r="I162" t="s">
        <v>169</v>
      </c>
      <c r="J162" t="s">
        <v>158</v>
      </c>
      <c r="K162">
        <v>3.0912311961422894E-2</v>
      </c>
      <c r="L162" t="s">
        <v>154</v>
      </c>
      <c r="N162" t="s">
        <v>193</v>
      </c>
      <c r="O162" t="s">
        <v>158</v>
      </c>
      <c r="P162">
        <v>2.5113163969463285E-2</v>
      </c>
      <c r="Q162" t="s">
        <v>154</v>
      </c>
      <c r="S162" t="s">
        <v>203</v>
      </c>
      <c r="T162" t="s">
        <v>158</v>
      </c>
      <c r="U162">
        <v>1.9395630561188797E-2</v>
      </c>
      <c r="V162" t="s">
        <v>154</v>
      </c>
    </row>
    <row r="163" spans="9:22" x14ac:dyDescent="0.25">
      <c r="I163" t="s">
        <v>169</v>
      </c>
      <c r="J163" t="s">
        <v>159</v>
      </c>
      <c r="K163">
        <v>2.8718540265746335E-2</v>
      </c>
      <c r="L163" t="s">
        <v>154</v>
      </c>
      <c r="N163" t="s">
        <v>193</v>
      </c>
      <c r="O163" t="s">
        <v>159</v>
      </c>
      <c r="P163">
        <v>1.2582468960292715E-2</v>
      </c>
      <c r="Q163" t="s">
        <v>154</v>
      </c>
      <c r="S163" t="s">
        <v>203</v>
      </c>
      <c r="T163" t="s">
        <v>159</v>
      </c>
      <c r="U163">
        <v>1.094931048090835E-2</v>
      </c>
      <c r="V163" t="s">
        <v>154</v>
      </c>
    </row>
    <row r="164" spans="9:22" x14ac:dyDescent="0.25">
      <c r="I164" t="s">
        <v>169</v>
      </c>
      <c r="J164" t="s">
        <v>225</v>
      </c>
      <c r="K164">
        <v>0.14859389429705436</v>
      </c>
      <c r="L164" t="s">
        <v>154</v>
      </c>
      <c r="N164" t="s">
        <v>193</v>
      </c>
      <c r="O164" t="s">
        <v>225</v>
      </c>
      <c r="P164">
        <v>4.7354047346347752E-2</v>
      </c>
      <c r="Q164" t="s">
        <v>154</v>
      </c>
      <c r="S164" t="s">
        <v>203</v>
      </c>
      <c r="T164" t="s">
        <v>225</v>
      </c>
      <c r="U164">
        <v>4.3233875961478603E-2</v>
      </c>
      <c r="V164" t="s">
        <v>154</v>
      </c>
    </row>
    <row r="165" spans="9:22" x14ac:dyDescent="0.25">
      <c r="I165" t="s">
        <v>169</v>
      </c>
      <c r="J165" t="s">
        <v>226</v>
      </c>
      <c r="K165">
        <v>9.8712250049952419E-2</v>
      </c>
      <c r="L165" t="s">
        <v>154</v>
      </c>
      <c r="N165" t="s">
        <v>193</v>
      </c>
      <c r="O165" t="s">
        <v>226</v>
      </c>
      <c r="P165">
        <v>5.2926633188136667E-2</v>
      </c>
      <c r="Q165" t="s">
        <v>154</v>
      </c>
      <c r="S165" t="s">
        <v>203</v>
      </c>
      <c r="T165" t="s">
        <v>226</v>
      </c>
      <c r="U165">
        <v>4.5585733344406743E-2</v>
      </c>
      <c r="V165" t="s">
        <v>154</v>
      </c>
    </row>
    <row r="166" spans="9:22" x14ac:dyDescent="0.25">
      <c r="I166" t="s">
        <v>169</v>
      </c>
      <c r="J166" t="s">
        <v>227</v>
      </c>
      <c r="K166">
        <v>4.4796289746869252E-3</v>
      </c>
      <c r="L166" t="s">
        <v>154</v>
      </c>
      <c r="N166" t="s">
        <v>193</v>
      </c>
      <c r="O166" t="s">
        <v>227</v>
      </c>
      <c r="P166">
        <v>9.0542226864611872E-2</v>
      </c>
      <c r="Q166" t="s">
        <v>154</v>
      </c>
      <c r="S166" t="s">
        <v>203</v>
      </c>
      <c r="T166" t="s">
        <v>227</v>
      </c>
      <c r="U166">
        <v>7.1920585188304714E-2</v>
      </c>
      <c r="V166" t="s">
        <v>154</v>
      </c>
    </row>
    <row r="167" spans="9:22" x14ac:dyDescent="0.25">
      <c r="I167" t="s">
        <v>169</v>
      </c>
      <c r="J167" t="s">
        <v>160</v>
      </c>
      <c r="K167">
        <v>3.4826567319134111E-4</v>
      </c>
      <c r="L167" t="s">
        <v>154</v>
      </c>
      <c r="N167" t="s">
        <v>193</v>
      </c>
      <c r="O167" t="s">
        <v>160</v>
      </c>
      <c r="P167">
        <v>2.2116533871517265E-3</v>
      </c>
      <c r="Q167" t="s">
        <v>154</v>
      </c>
      <c r="S167" t="s">
        <v>203</v>
      </c>
      <c r="T167" t="s">
        <v>160</v>
      </c>
      <c r="U167">
        <v>2.9089996091762305E-3</v>
      </c>
      <c r="V167" t="s">
        <v>154</v>
      </c>
    </row>
    <row r="168" spans="9:22" x14ac:dyDescent="0.25">
      <c r="I168" t="s">
        <v>169</v>
      </c>
      <c r="J168" t="s">
        <v>161</v>
      </c>
      <c r="K168">
        <v>4.278121273140389E-3</v>
      </c>
      <c r="L168" t="s">
        <v>154</v>
      </c>
      <c r="N168" t="s">
        <v>193</v>
      </c>
      <c r="O168" t="s">
        <v>161</v>
      </c>
      <c r="P168">
        <v>5.2809087719425446E-4</v>
      </c>
      <c r="Q168" t="s">
        <v>154</v>
      </c>
      <c r="S168" t="s">
        <v>203</v>
      </c>
      <c r="T168" t="s">
        <v>161</v>
      </c>
      <c r="U168">
        <v>7.5863123696742589E-4</v>
      </c>
      <c r="V168" t="s">
        <v>154</v>
      </c>
    </row>
    <row r="169" spans="9:22" x14ac:dyDescent="0.25">
      <c r="I169" t="s">
        <v>169</v>
      </c>
      <c r="J169" t="s">
        <v>162</v>
      </c>
      <c r="K169">
        <v>3.7778469529320233E-3</v>
      </c>
      <c r="L169" t="s">
        <v>154</v>
      </c>
      <c r="N169" t="s">
        <v>193</v>
      </c>
      <c r="O169" t="s">
        <v>162</v>
      </c>
      <c r="P169">
        <v>1.302340680737774E-4</v>
      </c>
      <c r="Q169" t="s">
        <v>154</v>
      </c>
      <c r="S169" t="s">
        <v>203</v>
      </c>
      <c r="T169" t="s">
        <v>162</v>
      </c>
      <c r="U169">
        <v>4.2925256573229226E-4</v>
      </c>
      <c r="V169" t="s">
        <v>154</v>
      </c>
    </row>
    <row r="170" spans="9:22" x14ac:dyDescent="0.25">
      <c r="I170" t="s">
        <v>169</v>
      </c>
      <c r="J170" t="s">
        <v>228</v>
      </c>
      <c r="K170">
        <v>1.9941670222493803E-2</v>
      </c>
      <c r="L170" t="s">
        <v>154</v>
      </c>
      <c r="N170" t="s">
        <v>193</v>
      </c>
      <c r="O170" t="s">
        <v>228</v>
      </c>
      <c r="P170">
        <v>3.0293233275826729E-4</v>
      </c>
      <c r="Q170" t="s">
        <v>154</v>
      </c>
      <c r="S170" t="s">
        <v>203</v>
      </c>
      <c r="T170" t="s">
        <v>228</v>
      </c>
      <c r="U170">
        <v>1.5097482352837714E-3</v>
      </c>
      <c r="V170" t="s">
        <v>154</v>
      </c>
    </row>
    <row r="171" spans="9:22" x14ac:dyDescent="0.25">
      <c r="I171" t="s">
        <v>169</v>
      </c>
      <c r="J171" t="s">
        <v>229</v>
      </c>
      <c r="K171">
        <v>1.2118192354302358E-2</v>
      </c>
      <c r="L171" t="s">
        <v>154</v>
      </c>
      <c r="N171" t="s">
        <v>193</v>
      </c>
      <c r="O171" t="s">
        <v>229</v>
      </c>
      <c r="P171">
        <v>2.5864235142595882E-4</v>
      </c>
      <c r="Q171" t="s">
        <v>154</v>
      </c>
      <c r="S171" t="s">
        <v>203</v>
      </c>
      <c r="T171" t="s">
        <v>229</v>
      </c>
      <c r="U171">
        <v>9.6117107487929756E-4</v>
      </c>
      <c r="V171" t="s">
        <v>154</v>
      </c>
    </row>
    <row r="172" spans="9:22" x14ac:dyDescent="0.25">
      <c r="I172" t="s">
        <v>169</v>
      </c>
      <c r="J172" t="s">
        <v>230</v>
      </c>
      <c r="K172">
        <v>9.3573617823807542E-5</v>
      </c>
      <c r="L172" t="s">
        <v>154</v>
      </c>
      <c r="N172" t="s">
        <v>193</v>
      </c>
      <c r="O172" t="s">
        <v>230</v>
      </c>
      <c r="P172">
        <v>2.244532374447758E-3</v>
      </c>
      <c r="Q172" t="s">
        <v>154</v>
      </c>
      <c r="S172" t="s">
        <v>203</v>
      </c>
      <c r="T172" t="s">
        <v>230</v>
      </c>
      <c r="U172">
        <v>1.9256682650389072E-3</v>
      </c>
      <c r="V172" t="s">
        <v>154</v>
      </c>
    </row>
    <row r="173" spans="9:22" x14ac:dyDescent="0.25">
      <c r="I173" t="s">
        <v>169</v>
      </c>
      <c r="J173" t="s">
        <v>163</v>
      </c>
      <c r="K173">
        <v>1.4283329751846828E-4</v>
      </c>
      <c r="L173" t="s">
        <v>154</v>
      </c>
      <c r="N173" t="s">
        <v>193</v>
      </c>
      <c r="O173" t="s">
        <v>163</v>
      </c>
      <c r="P173">
        <v>1.9570305647237069E-2</v>
      </c>
      <c r="Q173" t="s">
        <v>154</v>
      </c>
      <c r="S173" t="s">
        <v>203</v>
      </c>
      <c r="T173" t="s">
        <v>163</v>
      </c>
      <c r="U173">
        <v>2.1178354361007044E-2</v>
      </c>
      <c r="V173" t="s">
        <v>154</v>
      </c>
    </row>
    <row r="174" spans="9:22" x14ac:dyDescent="0.25">
      <c r="I174" t="s">
        <v>169</v>
      </c>
      <c r="J174" t="s">
        <v>164</v>
      </c>
      <c r="K174">
        <v>1.5045301388182086E-2</v>
      </c>
      <c r="L174" t="s">
        <v>154</v>
      </c>
      <c r="N174" t="s">
        <v>193</v>
      </c>
      <c r="O174" t="s">
        <v>164</v>
      </c>
      <c r="P174">
        <v>3.9745696703854892E-3</v>
      </c>
      <c r="Q174" t="s">
        <v>154</v>
      </c>
      <c r="S174" t="s">
        <v>203</v>
      </c>
      <c r="T174" t="s">
        <v>164</v>
      </c>
      <c r="U174">
        <v>6.1852310006443563E-3</v>
      </c>
      <c r="V174" t="s">
        <v>154</v>
      </c>
    </row>
    <row r="175" spans="9:22" x14ac:dyDescent="0.25">
      <c r="I175" t="s">
        <v>169</v>
      </c>
      <c r="J175" t="s">
        <v>165</v>
      </c>
      <c r="K175">
        <v>1.1809948154731523E-2</v>
      </c>
      <c r="L175" t="s">
        <v>154</v>
      </c>
      <c r="N175" t="s">
        <v>193</v>
      </c>
      <c r="O175" t="s">
        <v>165</v>
      </c>
      <c r="P175">
        <v>2.351709293921323E-3</v>
      </c>
      <c r="Q175" t="s">
        <v>154</v>
      </c>
      <c r="S175" t="s">
        <v>203</v>
      </c>
      <c r="T175" t="s">
        <v>165</v>
      </c>
      <c r="U175">
        <v>3.0197930709385803E-3</v>
      </c>
      <c r="V175" t="s">
        <v>154</v>
      </c>
    </row>
    <row r="176" spans="9:22" x14ac:dyDescent="0.25">
      <c r="I176" t="s">
        <v>169</v>
      </c>
      <c r="J176" t="s">
        <v>231</v>
      </c>
      <c r="K176">
        <v>5.8750811649489185E-2</v>
      </c>
      <c r="L176" t="s">
        <v>154</v>
      </c>
      <c r="N176" t="s">
        <v>193</v>
      </c>
      <c r="O176" t="s">
        <v>231</v>
      </c>
      <c r="P176">
        <v>9.7925124374684275E-3</v>
      </c>
      <c r="Q176" t="s">
        <v>154</v>
      </c>
      <c r="S176" t="s">
        <v>203</v>
      </c>
      <c r="T176" t="s">
        <v>231</v>
      </c>
      <c r="U176">
        <v>1.4075637893486861E-2</v>
      </c>
      <c r="V176" t="s">
        <v>154</v>
      </c>
    </row>
    <row r="177" spans="9:22" x14ac:dyDescent="0.25">
      <c r="I177" t="s">
        <v>169</v>
      </c>
      <c r="J177" t="s">
        <v>232</v>
      </c>
      <c r="K177">
        <v>3.6836330440244085E-2</v>
      </c>
      <c r="L177" t="s">
        <v>154</v>
      </c>
      <c r="N177" t="s">
        <v>193</v>
      </c>
      <c r="O177" t="s">
        <v>232</v>
      </c>
      <c r="P177">
        <v>7.5278260599554517E-3</v>
      </c>
      <c r="Q177" t="s">
        <v>154</v>
      </c>
      <c r="S177" t="s">
        <v>203</v>
      </c>
      <c r="T177" t="s">
        <v>232</v>
      </c>
      <c r="U177">
        <v>1.459496056378152E-2</v>
      </c>
      <c r="V177" t="s">
        <v>154</v>
      </c>
    </row>
    <row r="178" spans="9:22" x14ac:dyDescent="0.25">
      <c r="I178" t="s">
        <v>169</v>
      </c>
      <c r="J178" t="s">
        <v>233</v>
      </c>
      <c r="K178">
        <v>3.1570895505814464E-3</v>
      </c>
      <c r="L178" t="s">
        <v>154</v>
      </c>
      <c r="N178" t="s">
        <v>193</v>
      </c>
      <c r="O178" t="s">
        <v>233</v>
      </c>
      <c r="P178">
        <v>9.9048036448080717E-3</v>
      </c>
      <c r="Q178" t="s">
        <v>154</v>
      </c>
      <c r="S178" t="s">
        <v>203</v>
      </c>
      <c r="T178" t="s">
        <v>233</v>
      </c>
      <c r="U178">
        <v>1.7714539405119682E-2</v>
      </c>
      <c r="V178" t="s">
        <v>154</v>
      </c>
    </row>
    <row r="179" spans="9:22" x14ac:dyDescent="0.25">
      <c r="I179" t="s">
        <v>169</v>
      </c>
      <c r="J179" t="s">
        <v>240</v>
      </c>
      <c r="K179">
        <v>1.6358551259239005E-3</v>
      </c>
      <c r="L179" t="s">
        <v>154</v>
      </c>
      <c r="N179" t="s">
        <v>193</v>
      </c>
      <c r="O179" t="s">
        <v>240</v>
      </c>
      <c r="P179">
        <v>7.2372521348894908E-2</v>
      </c>
      <c r="Q179" t="s">
        <v>154</v>
      </c>
      <c r="S179" t="s">
        <v>203</v>
      </c>
      <c r="T179" t="s">
        <v>240</v>
      </c>
      <c r="U179">
        <v>0.12040314471644453</v>
      </c>
      <c r="V179" t="s">
        <v>154</v>
      </c>
    </row>
    <row r="180" spans="9:22" x14ac:dyDescent="0.25">
      <c r="I180" t="s">
        <v>169</v>
      </c>
      <c r="J180" t="s">
        <v>241</v>
      </c>
      <c r="K180">
        <v>2.6739476261010829E-2</v>
      </c>
      <c r="L180" t="s">
        <v>154</v>
      </c>
      <c r="N180" t="s">
        <v>193</v>
      </c>
      <c r="O180" t="s">
        <v>241</v>
      </c>
      <c r="P180">
        <v>1.6275642889556574E-2</v>
      </c>
      <c r="Q180" t="s">
        <v>154</v>
      </c>
      <c r="S180" t="s">
        <v>203</v>
      </c>
      <c r="T180" t="s">
        <v>241</v>
      </c>
      <c r="U180">
        <v>3.4572733599573427E-2</v>
      </c>
      <c r="V180" t="s">
        <v>154</v>
      </c>
    </row>
    <row r="181" spans="9:22" x14ac:dyDescent="0.25">
      <c r="I181" t="s">
        <v>169</v>
      </c>
      <c r="J181" t="s">
        <v>242</v>
      </c>
      <c r="K181">
        <v>2.374587124040935E-2</v>
      </c>
      <c r="L181" t="s">
        <v>154</v>
      </c>
      <c r="N181" t="s">
        <v>193</v>
      </c>
      <c r="O181" t="s">
        <v>242</v>
      </c>
      <c r="P181">
        <v>7.6506592486592379E-3</v>
      </c>
      <c r="Q181" t="s">
        <v>154</v>
      </c>
      <c r="S181" t="s">
        <v>203</v>
      </c>
      <c r="T181" t="s">
        <v>242</v>
      </c>
      <c r="U181">
        <v>1.7205878402674658E-2</v>
      </c>
      <c r="V181" t="s">
        <v>154</v>
      </c>
    </row>
    <row r="182" spans="9:22" x14ac:dyDescent="0.25">
      <c r="I182" t="s">
        <v>169</v>
      </c>
      <c r="J182" t="s">
        <v>243</v>
      </c>
      <c r="K182">
        <v>0.12339894876990465</v>
      </c>
      <c r="L182" t="s">
        <v>154</v>
      </c>
      <c r="N182" t="s">
        <v>193</v>
      </c>
      <c r="O182" t="s">
        <v>243</v>
      </c>
      <c r="P182">
        <v>3.2645890168835637E-2</v>
      </c>
      <c r="Q182" t="s">
        <v>154</v>
      </c>
      <c r="S182" t="s">
        <v>203</v>
      </c>
      <c r="T182" t="s">
        <v>243</v>
      </c>
      <c r="U182">
        <v>7.3178387778539522E-2</v>
      </c>
      <c r="V182" t="s">
        <v>154</v>
      </c>
    </row>
    <row r="183" spans="9:22" x14ac:dyDescent="0.25">
      <c r="I183" t="s">
        <v>169</v>
      </c>
      <c r="J183" t="s">
        <v>244</v>
      </c>
      <c r="K183">
        <v>8.0992887166905059E-2</v>
      </c>
      <c r="L183" t="s">
        <v>154</v>
      </c>
      <c r="N183" t="s">
        <v>193</v>
      </c>
      <c r="O183" t="s">
        <v>244</v>
      </c>
      <c r="P183">
        <v>3.0522298777584764E-2</v>
      </c>
      <c r="Q183" t="s">
        <v>154</v>
      </c>
      <c r="S183" t="s">
        <v>203</v>
      </c>
      <c r="T183" t="s">
        <v>244</v>
      </c>
      <c r="U183">
        <v>7.5245032650705992E-2</v>
      </c>
      <c r="V183" t="s">
        <v>154</v>
      </c>
    </row>
    <row r="184" spans="9:22" x14ac:dyDescent="0.25">
      <c r="I184" t="s">
        <v>169</v>
      </c>
      <c r="J184" t="s">
        <v>245</v>
      </c>
      <c r="K184">
        <v>3.6670529746322092E-3</v>
      </c>
      <c r="L184" t="s">
        <v>154</v>
      </c>
      <c r="N184" t="s">
        <v>193</v>
      </c>
      <c r="O184" t="s">
        <v>245</v>
      </c>
      <c r="P184">
        <v>4.3811195785904027E-2</v>
      </c>
      <c r="Q184" t="s">
        <v>154</v>
      </c>
      <c r="S184" t="s">
        <v>203</v>
      </c>
      <c r="T184" t="s">
        <v>245</v>
      </c>
      <c r="U184">
        <v>0.10018096230422031</v>
      </c>
      <c r="V184" t="s">
        <v>154</v>
      </c>
    </row>
    <row r="185" spans="9:22" x14ac:dyDescent="0.25">
      <c r="I185" t="s">
        <v>169</v>
      </c>
      <c r="J185" t="s">
        <v>246</v>
      </c>
      <c r="K185">
        <v>3.4664400268613646E-3</v>
      </c>
      <c r="L185" t="s">
        <v>154</v>
      </c>
      <c r="N185" t="s">
        <v>193</v>
      </c>
      <c r="O185" t="s">
        <v>246</v>
      </c>
      <c r="P185">
        <v>7.8956070375426721E-2</v>
      </c>
      <c r="Q185" t="s">
        <v>154</v>
      </c>
      <c r="S185" t="s">
        <v>203</v>
      </c>
      <c r="T185" t="s">
        <v>246</v>
      </c>
      <c r="U185">
        <v>4.5652553346330914E-2</v>
      </c>
      <c r="V185" t="s">
        <v>154</v>
      </c>
    </row>
    <row r="186" spans="9:22" x14ac:dyDescent="0.25">
      <c r="I186" t="s">
        <v>169</v>
      </c>
      <c r="J186" t="s">
        <v>247</v>
      </c>
      <c r="K186">
        <v>2.4425639819568572E-2</v>
      </c>
      <c r="L186" t="s">
        <v>154</v>
      </c>
      <c r="N186" t="s">
        <v>193</v>
      </c>
      <c r="O186" t="s">
        <v>247</v>
      </c>
      <c r="P186">
        <v>1.987961510297688E-2</v>
      </c>
      <c r="Q186" t="s">
        <v>154</v>
      </c>
      <c r="S186" t="s">
        <v>203</v>
      </c>
      <c r="T186" t="s">
        <v>247</v>
      </c>
      <c r="U186">
        <v>1.3049670967366813E-2</v>
      </c>
      <c r="V186" t="s">
        <v>154</v>
      </c>
    </row>
    <row r="187" spans="9:22" x14ac:dyDescent="0.25">
      <c r="I187" t="s">
        <v>169</v>
      </c>
      <c r="J187" t="s">
        <v>248</v>
      </c>
      <c r="K187">
        <v>2.0072443025778673E-2</v>
      </c>
      <c r="L187" t="s">
        <v>154</v>
      </c>
      <c r="N187" t="s">
        <v>193</v>
      </c>
      <c r="O187" t="s">
        <v>248</v>
      </c>
      <c r="P187">
        <v>9.0350895165845994E-3</v>
      </c>
      <c r="Q187" t="s">
        <v>154</v>
      </c>
      <c r="S187" t="s">
        <v>203</v>
      </c>
      <c r="T187" t="s">
        <v>248</v>
      </c>
      <c r="U187">
        <v>6.7790609523475697E-3</v>
      </c>
      <c r="V187" t="s">
        <v>154</v>
      </c>
    </row>
    <row r="188" spans="9:22" x14ac:dyDescent="0.25">
      <c r="I188" t="s">
        <v>169</v>
      </c>
      <c r="J188" t="s">
        <v>249</v>
      </c>
      <c r="K188">
        <v>9.8911809580565821E-2</v>
      </c>
      <c r="L188" t="s">
        <v>154</v>
      </c>
      <c r="N188" t="s">
        <v>193</v>
      </c>
      <c r="O188" t="s">
        <v>249</v>
      </c>
      <c r="P188">
        <v>3.0258471691569776E-2</v>
      </c>
      <c r="Q188" t="s">
        <v>154</v>
      </c>
      <c r="S188" t="s">
        <v>203</v>
      </c>
      <c r="T188" t="s">
        <v>249</v>
      </c>
      <c r="U188">
        <v>2.4637467679439324E-2</v>
      </c>
      <c r="V188" t="s">
        <v>154</v>
      </c>
    </row>
    <row r="189" spans="9:22" x14ac:dyDescent="0.25">
      <c r="I189" t="s">
        <v>169</v>
      </c>
      <c r="J189" t="s">
        <v>250</v>
      </c>
      <c r="K189">
        <v>5.5966105351120565E-2</v>
      </c>
      <c r="L189" t="s">
        <v>154</v>
      </c>
      <c r="N189" t="s">
        <v>193</v>
      </c>
      <c r="O189" t="s">
        <v>250</v>
      </c>
      <c r="P189">
        <v>3.0483859868322152E-2</v>
      </c>
      <c r="Q189" t="s">
        <v>154</v>
      </c>
      <c r="S189" t="s">
        <v>203</v>
      </c>
      <c r="T189" t="s">
        <v>250</v>
      </c>
      <c r="U189">
        <v>2.5633253328400121E-2</v>
      </c>
      <c r="V189" t="s">
        <v>154</v>
      </c>
    </row>
    <row r="190" spans="9:22" x14ac:dyDescent="0.25">
      <c r="I190" t="s">
        <v>169</v>
      </c>
      <c r="J190" t="s">
        <v>251</v>
      </c>
      <c r="K190">
        <v>6.6245142182587732E-6</v>
      </c>
      <c r="L190" t="s">
        <v>154</v>
      </c>
      <c r="N190" t="s">
        <v>193</v>
      </c>
      <c r="O190" t="s">
        <v>251</v>
      </c>
      <c r="P190">
        <v>5.6614381114316048E-2</v>
      </c>
      <c r="Q190" t="s">
        <v>154</v>
      </c>
      <c r="S190" t="s">
        <v>203</v>
      </c>
      <c r="T190" t="s">
        <v>251</v>
      </c>
      <c r="U190">
        <v>3.9029800534946382E-2</v>
      </c>
      <c r="V190" t="s">
        <v>154</v>
      </c>
    </row>
    <row r="191" spans="9:22" x14ac:dyDescent="0.25">
      <c r="I191" t="s">
        <v>170</v>
      </c>
      <c r="J191" t="s">
        <v>153</v>
      </c>
      <c r="K191">
        <v>0</v>
      </c>
      <c r="L191" t="s">
        <v>154</v>
      </c>
      <c r="N191" t="s">
        <v>194</v>
      </c>
      <c r="O191" t="s">
        <v>153</v>
      </c>
      <c r="P191">
        <v>3.5182260162683214E-2</v>
      </c>
      <c r="Q191" t="s">
        <v>154</v>
      </c>
      <c r="S191" t="s">
        <v>204</v>
      </c>
      <c r="T191" t="s">
        <v>153</v>
      </c>
      <c r="U191">
        <v>2.2672625008884936E-2</v>
      </c>
      <c r="V191" t="s">
        <v>154</v>
      </c>
    </row>
    <row r="192" spans="9:22" x14ac:dyDescent="0.25">
      <c r="I192" t="s">
        <v>170</v>
      </c>
      <c r="J192" t="s">
        <v>155</v>
      </c>
      <c r="K192">
        <v>5.5299976865061436E-3</v>
      </c>
      <c r="L192" t="s">
        <v>154</v>
      </c>
      <c r="N192" t="s">
        <v>194</v>
      </c>
      <c r="O192" t="s">
        <v>155</v>
      </c>
      <c r="P192">
        <v>7.9610116469557742E-3</v>
      </c>
      <c r="Q192" t="s">
        <v>154</v>
      </c>
      <c r="S192" t="s">
        <v>204</v>
      </c>
      <c r="T192" t="s">
        <v>155</v>
      </c>
      <c r="U192">
        <v>6.0597686591011756E-3</v>
      </c>
      <c r="V192" t="s">
        <v>154</v>
      </c>
    </row>
    <row r="193" spans="9:22" x14ac:dyDescent="0.25">
      <c r="I193" t="s">
        <v>170</v>
      </c>
      <c r="J193" t="s">
        <v>156</v>
      </c>
      <c r="K193">
        <v>5.3889798449266229E-3</v>
      </c>
      <c r="L193" t="s">
        <v>154</v>
      </c>
      <c r="N193" t="s">
        <v>194</v>
      </c>
      <c r="O193" t="s">
        <v>156</v>
      </c>
      <c r="P193">
        <v>3.6082199171601783E-3</v>
      </c>
      <c r="Q193" t="s">
        <v>154</v>
      </c>
      <c r="S193" t="s">
        <v>204</v>
      </c>
      <c r="T193" t="s">
        <v>156</v>
      </c>
      <c r="U193">
        <v>2.9706630580558623E-3</v>
      </c>
      <c r="V193" t="s">
        <v>154</v>
      </c>
    </row>
    <row r="194" spans="9:22" x14ac:dyDescent="0.25">
      <c r="I194" t="s">
        <v>170</v>
      </c>
      <c r="J194" t="s">
        <v>222</v>
      </c>
      <c r="K194">
        <v>2.8205802697695931E-2</v>
      </c>
      <c r="L194" t="s">
        <v>154</v>
      </c>
      <c r="N194" t="s">
        <v>194</v>
      </c>
      <c r="O194" t="s">
        <v>222</v>
      </c>
      <c r="P194">
        <v>1.1476431515069996E-2</v>
      </c>
      <c r="Q194" t="s">
        <v>154</v>
      </c>
      <c r="S194" t="s">
        <v>204</v>
      </c>
      <c r="T194" t="s">
        <v>222</v>
      </c>
      <c r="U194">
        <v>1.1700204203029408E-2</v>
      </c>
      <c r="V194" t="s">
        <v>154</v>
      </c>
    </row>
    <row r="195" spans="9:22" x14ac:dyDescent="0.25">
      <c r="I195" t="s">
        <v>170</v>
      </c>
      <c r="J195" t="s">
        <v>223</v>
      </c>
      <c r="K195">
        <v>1.6256553456306971E-2</v>
      </c>
      <c r="L195" t="s">
        <v>154</v>
      </c>
      <c r="N195" t="s">
        <v>194</v>
      </c>
      <c r="O195" t="s">
        <v>223</v>
      </c>
      <c r="P195">
        <v>1.4968970684156457E-2</v>
      </c>
      <c r="Q195" t="s">
        <v>154</v>
      </c>
      <c r="S195" t="s">
        <v>204</v>
      </c>
      <c r="T195" t="s">
        <v>223</v>
      </c>
      <c r="U195">
        <v>1.2189292329670353E-2</v>
      </c>
      <c r="V195" t="s">
        <v>154</v>
      </c>
    </row>
    <row r="196" spans="9:22" x14ac:dyDescent="0.25">
      <c r="I196" t="s">
        <v>170</v>
      </c>
      <c r="J196" t="s">
        <v>224</v>
      </c>
      <c r="K196">
        <v>8.1214191041994446E-4</v>
      </c>
      <c r="L196" t="s">
        <v>154</v>
      </c>
      <c r="N196" t="s">
        <v>194</v>
      </c>
      <c r="O196" t="s">
        <v>224</v>
      </c>
      <c r="P196">
        <v>3.7532250507741685E-2</v>
      </c>
      <c r="Q196" t="s">
        <v>154</v>
      </c>
      <c r="S196" t="s">
        <v>204</v>
      </c>
      <c r="T196" t="s">
        <v>224</v>
      </c>
      <c r="U196">
        <v>2.110365989037918E-2</v>
      </c>
      <c r="V196" t="s">
        <v>154</v>
      </c>
    </row>
    <row r="197" spans="9:22" x14ac:dyDescent="0.25">
      <c r="I197" t="s">
        <v>170</v>
      </c>
      <c r="J197" t="s">
        <v>157</v>
      </c>
      <c r="K197">
        <v>9.439123192261558E-4</v>
      </c>
      <c r="L197" t="s">
        <v>154</v>
      </c>
      <c r="N197" t="s">
        <v>194</v>
      </c>
      <c r="O197" t="s">
        <v>157</v>
      </c>
      <c r="P197">
        <v>8.5940746213841471E-2</v>
      </c>
      <c r="Q197" t="s">
        <v>154</v>
      </c>
      <c r="S197" t="s">
        <v>204</v>
      </c>
      <c r="T197" t="s">
        <v>157</v>
      </c>
      <c r="U197">
        <v>8.0104746654990414E-2</v>
      </c>
      <c r="V197" t="s">
        <v>154</v>
      </c>
    </row>
    <row r="198" spans="9:22" x14ac:dyDescent="0.25">
      <c r="I198" t="s">
        <v>170</v>
      </c>
      <c r="J198" t="s">
        <v>158</v>
      </c>
      <c r="K198">
        <v>3.1492658376850072E-2</v>
      </c>
      <c r="L198" t="s">
        <v>154</v>
      </c>
      <c r="N198" t="s">
        <v>194</v>
      </c>
      <c r="O198" t="s">
        <v>158</v>
      </c>
      <c r="P198">
        <v>2.1176097735283363E-2</v>
      </c>
      <c r="Q198" t="s">
        <v>154</v>
      </c>
      <c r="S198" t="s">
        <v>204</v>
      </c>
      <c r="T198" t="s">
        <v>158</v>
      </c>
      <c r="U198">
        <v>2.3294836798825141E-2</v>
      </c>
      <c r="V198" t="s">
        <v>154</v>
      </c>
    </row>
    <row r="199" spans="9:22" x14ac:dyDescent="0.25">
      <c r="I199" t="s">
        <v>170</v>
      </c>
      <c r="J199" t="s">
        <v>159</v>
      </c>
      <c r="K199">
        <v>2.8580481343906429E-2</v>
      </c>
      <c r="L199" t="s">
        <v>154</v>
      </c>
      <c r="N199" t="s">
        <v>194</v>
      </c>
      <c r="O199" t="s">
        <v>159</v>
      </c>
      <c r="P199">
        <v>8.8451743099286929E-3</v>
      </c>
      <c r="Q199" t="s">
        <v>154</v>
      </c>
      <c r="S199" t="s">
        <v>204</v>
      </c>
      <c r="T199" t="s">
        <v>159</v>
      </c>
      <c r="U199">
        <v>1.2089836891332216E-2</v>
      </c>
      <c r="V199" t="s">
        <v>154</v>
      </c>
    </row>
    <row r="200" spans="9:22" x14ac:dyDescent="0.25">
      <c r="I200" t="s">
        <v>170</v>
      </c>
      <c r="J200" t="s">
        <v>225</v>
      </c>
      <c r="K200">
        <v>0.15092278427479758</v>
      </c>
      <c r="L200" t="s">
        <v>154</v>
      </c>
      <c r="N200" t="s">
        <v>194</v>
      </c>
      <c r="O200" t="s">
        <v>225</v>
      </c>
      <c r="P200">
        <v>2.9217815051620875E-2</v>
      </c>
      <c r="Q200" t="s">
        <v>154</v>
      </c>
      <c r="S200" t="s">
        <v>204</v>
      </c>
      <c r="T200" t="s">
        <v>225</v>
      </c>
      <c r="U200">
        <v>4.6420369103132908E-2</v>
      </c>
      <c r="V200" t="s">
        <v>154</v>
      </c>
    </row>
    <row r="201" spans="9:22" x14ac:dyDescent="0.25">
      <c r="I201" t="s">
        <v>170</v>
      </c>
      <c r="J201" t="s">
        <v>226</v>
      </c>
      <c r="K201">
        <v>0.10140498362198792</v>
      </c>
      <c r="L201" t="s">
        <v>154</v>
      </c>
      <c r="N201" t="s">
        <v>194</v>
      </c>
      <c r="O201" t="s">
        <v>226</v>
      </c>
      <c r="P201">
        <v>4.6064850001359105E-2</v>
      </c>
      <c r="Q201" t="s">
        <v>154</v>
      </c>
      <c r="S201" t="s">
        <v>204</v>
      </c>
      <c r="T201" t="s">
        <v>226</v>
      </c>
      <c r="U201">
        <v>4.7669283731697785E-2</v>
      </c>
      <c r="V201" t="s">
        <v>154</v>
      </c>
    </row>
    <row r="202" spans="9:22" x14ac:dyDescent="0.25">
      <c r="I202" t="s">
        <v>170</v>
      </c>
      <c r="J202" t="s">
        <v>227</v>
      </c>
      <c r="K202">
        <v>5.7789444580029579E-3</v>
      </c>
      <c r="L202" t="s">
        <v>154</v>
      </c>
      <c r="N202" t="s">
        <v>194</v>
      </c>
      <c r="O202" t="s">
        <v>227</v>
      </c>
      <c r="P202">
        <v>7.6823634475413641E-2</v>
      </c>
      <c r="Q202" t="s">
        <v>154</v>
      </c>
      <c r="S202" t="s">
        <v>204</v>
      </c>
      <c r="T202" t="s">
        <v>227</v>
      </c>
      <c r="U202">
        <v>8.1807795917722845E-2</v>
      </c>
      <c r="V202" t="s">
        <v>154</v>
      </c>
    </row>
    <row r="203" spans="9:22" x14ac:dyDescent="0.25">
      <c r="I203" t="s">
        <v>170</v>
      </c>
      <c r="J203" t="s">
        <v>160</v>
      </c>
      <c r="K203">
        <v>6.3436739983382625E-4</v>
      </c>
      <c r="L203" t="s">
        <v>154</v>
      </c>
      <c r="N203" t="s">
        <v>194</v>
      </c>
      <c r="O203" t="s">
        <v>160</v>
      </c>
      <c r="P203">
        <v>1.764900893220907E-3</v>
      </c>
      <c r="Q203" t="s">
        <v>154</v>
      </c>
      <c r="S203" t="s">
        <v>204</v>
      </c>
      <c r="T203" t="s">
        <v>160</v>
      </c>
      <c r="U203">
        <v>1.5525087851070225E-3</v>
      </c>
      <c r="V203" t="s">
        <v>154</v>
      </c>
    </row>
    <row r="204" spans="9:22" x14ac:dyDescent="0.25">
      <c r="I204" t="s">
        <v>170</v>
      </c>
      <c r="J204" t="s">
        <v>161</v>
      </c>
      <c r="K204">
        <v>4.1164319928930207E-3</v>
      </c>
      <c r="L204" t="s">
        <v>154</v>
      </c>
      <c r="N204" t="s">
        <v>194</v>
      </c>
      <c r="O204" t="s">
        <v>161</v>
      </c>
      <c r="P204">
        <v>2.201232168673014E-4</v>
      </c>
      <c r="Q204" t="s">
        <v>154</v>
      </c>
      <c r="S204" t="s">
        <v>204</v>
      </c>
      <c r="T204" t="s">
        <v>161</v>
      </c>
      <c r="U204">
        <v>5.4622322792214034E-4</v>
      </c>
      <c r="V204" t="s">
        <v>154</v>
      </c>
    </row>
    <row r="205" spans="9:22" x14ac:dyDescent="0.25">
      <c r="I205" t="s">
        <v>170</v>
      </c>
      <c r="J205" t="s">
        <v>162</v>
      </c>
      <c r="K205">
        <v>3.759273965756153E-3</v>
      </c>
      <c r="L205" t="s">
        <v>154</v>
      </c>
      <c r="N205" t="s">
        <v>194</v>
      </c>
      <c r="O205" t="s">
        <v>162</v>
      </c>
      <c r="P205">
        <v>1.6704242596731215E-4</v>
      </c>
      <c r="Q205" t="s">
        <v>154</v>
      </c>
      <c r="S205" t="s">
        <v>204</v>
      </c>
      <c r="T205" t="s">
        <v>162</v>
      </c>
      <c r="U205">
        <v>2.9119781360210982E-4</v>
      </c>
      <c r="V205" t="s">
        <v>154</v>
      </c>
    </row>
    <row r="206" spans="9:22" x14ac:dyDescent="0.25">
      <c r="I206" t="s">
        <v>170</v>
      </c>
      <c r="J206" t="s">
        <v>228</v>
      </c>
      <c r="K206">
        <v>2.0033313646102158E-2</v>
      </c>
      <c r="L206" t="s">
        <v>154</v>
      </c>
      <c r="N206" t="s">
        <v>194</v>
      </c>
      <c r="O206" t="s">
        <v>228</v>
      </c>
      <c r="P206">
        <v>2.3253285649040925E-3</v>
      </c>
      <c r="Q206" t="s">
        <v>154</v>
      </c>
      <c r="S206" t="s">
        <v>204</v>
      </c>
      <c r="T206" t="s">
        <v>228</v>
      </c>
      <c r="U206">
        <v>7.3770541699170545E-4</v>
      </c>
      <c r="V206" t="s">
        <v>154</v>
      </c>
    </row>
    <row r="207" spans="9:22" x14ac:dyDescent="0.25">
      <c r="I207" t="s">
        <v>170</v>
      </c>
      <c r="J207" t="s">
        <v>229</v>
      </c>
      <c r="K207">
        <v>1.342587265270912E-2</v>
      </c>
      <c r="L207" t="s">
        <v>154</v>
      </c>
      <c r="N207" t="s">
        <v>194</v>
      </c>
      <c r="O207" t="s">
        <v>229</v>
      </c>
      <c r="P207">
        <v>4.3462580642208868E-3</v>
      </c>
      <c r="Q207" t="s">
        <v>154</v>
      </c>
      <c r="S207" t="s">
        <v>204</v>
      </c>
      <c r="T207" t="s">
        <v>229</v>
      </c>
      <c r="U207">
        <v>3.5877570346869495E-4</v>
      </c>
      <c r="V207" t="s">
        <v>154</v>
      </c>
    </row>
    <row r="208" spans="9:22" x14ac:dyDescent="0.25">
      <c r="I208" t="s">
        <v>170</v>
      </c>
      <c r="J208" t="s">
        <v>230</v>
      </c>
      <c r="K208">
        <v>5.1251184394392581E-4</v>
      </c>
      <c r="L208" t="s">
        <v>154</v>
      </c>
      <c r="N208" t="s">
        <v>194</v>
      </c>
      <c r="O208" t="s">
        <v>230</v>
      </c>
      <c r="P208">
        <v>5.0376172538717104E-3</v>
      </c>
      <c r="Q208" t="s">
        <v>154</v>
      </c>
      <c r="S208" t="s">
        <v>204</v>
      </c>
      <c r="T208" t="s">
        <v>230</v>
      </c>
      <c r="U208">
        <v>1.3011320212960279E-3</v>
      </c>
      <c r="V208" t="s">
        <v>154</v>
      </c>
    </row>
    <row r="209" spans="9:22" x14ac:dyDescent="0.25">
      <c r="I209" t="s">
        <v>170</v>
      </c>
      <c r="J209" t="s">
        <v>163</v>
      </c>
      <c r="K209">
        <v>3.3823529124221691E-4</v>
      </c>
      <c r="L209" t="s">
        <v>154</v>
      </c>
      <c r="N209" t="s">
        <v>194</v>
      </c>
      <c r="O209" t="s">
        <v>163</v>
      </c>
      <c r="P209">
        <v>2.8430832822544164E-2</v>
      </c>
      <c r="Q209" t="s">
        <v>154</v>
      </c>
      <c r="S209" t="s">
        <v>204</v>
      </c>
      <c r="T209" t="s">
        <v>163</v>
      </c>
      <c r="U209">
        <v>2.0344539786036002E-2</v>
      </c>
      <c r="V209" t="s">
        <v>154</v>
      </c>
    </row>
    <row r="210" spans="9:22" x14ac:dyDescent="0.25">
      <c r="I210" t="s">
        <v>170</v>
      </c>
      <c r="J210" t="s">
        <v>164</v>
      </c>
      <c r="K210">
        <v>1.4088335050958177E-2</v>
      </c>
      <c r="L210" t="s">
        <v>154</v>
      </c>
      <c r="N210" t="s">
        <v>194</v>
      </c>
      <c r="O210" t="s">
        <v>164</v>
      </c>
      <c r="P210">
        <v>6.9072582571195499E-3</v>
      </c>
      <c r="Q210" t="s">
        <v>154</v>
      </c>
      <c r="S210" t="s">
        <v>204</v>
      </c>
      <c r="T210" t="s">
        <v>164</v>
      </c>
      <c r="U210">
        <v>6.054677370556487E-3</v>
      </c>
      <c r="V210" t="s">
        <v>154</v>
      </c>
    </row>
    <row r="211" spans="9:22" x14ac:dyDescent="0.25">
      <c r="I211" t="s">
        <v>170</v>
      </c>
      <c r="J211" t="s">
        <v>165</v>
      </c>
      <c r="K211">
        <v>1.1263013871784232E-2</v>
      </c>
      <c r="L211" t="s">
        <v>154</v>
      </c>
      <c r="N211" t="s">
        <v>194</v>
      </c>
      <c r="O211" t="s">
        <v>165</v>
      </c>
      <c r="P211">
        <v>3.3518484845860464E-3</v>
      </c>
      <c r="Q211" t="s">
        <v>154</v>
      </c>
      <c r="S211" t="s">
        <v>204</v>
      </c>
      <c r="T211" t="s">
        <v>165</v>
      </c>
      <c r="U211">
        <v>3.331280162465834E-3</v>
      </c>
      <c r="V211" t="s">
        <v>154</v>
      </c>
    </row>
    <row r="212" spans="9:22" x14ac:dyDescent="0.25">
      <c r="I212" t="s">
        <v>170</v>
      </c>
      <c r="J212" t="s">
        <v>231</v>
      </c>
      <c r="K212">
        <v>5.8578709167787103E-2</v>
      </c>
      <c r="L212" t="s">
        <v>154</v>
      </c>
      <c r="N212" t="s">
        <v>194</v>
      </c>
      <c r="O212" t="s">
        <v>231</v>
      </c>
      <c r="P212">
        <v>1.5277988097161355E-2</v>
      </c>
      <c r="Q212" t="s">
        <v>154</v>
      </c>
      <c r="S212" t="s">
        <v>204</v>
      </c>
      <c r="T212" t="s">
        <v>231</v>
      </c>
      <c r="U212">
        <v>1.4462974544532574E-2</v>
      </c>
      <c r="V212" t="s">
        <v>154</v>
      </c>
    </row>
    <row r="213" spans="9:22" x14ac:dyDescent="0.25">
      <c r="I213" t="s">
        <v>170</v>
      </c>
      <c r="J213" t="s">
        <v>232</v>
      </c>
      <c r="K213">
        <v>3.7239720853817444E-2</v>
      </c>
      <c r="L213" t="s">
        <v>154</v>
      </c>
      <c r="N213" t="s">
        <v>194</v>
      </c>
      <c r="O213" t="s">
        <v>232</v>
      </c>
      <c r="P213">
        <v>1.6653440461650324E-2</v>
      </c>
      <c r="Q213" t="s">
        <v>154</v>
      </c>
      <c r="S213" t="s">
        <v>204</v>
      </c>
      <c r="T213" t="s">
        <v>232</v>
      </c>
      <c r="U213">
        <v>1.2720745667602501E-2</v>
      </c>
      <c r="V213" t="s">
        <v>154</v>
      </c>
    </row>
    <row r="214" spans="9:22" x14ac:dyDescent="0.25">
      <c r="I214" t="s">
        <v>170</v>
      </c>
      <c r="J214" t="s">
        <v>233</v>
      </c>
      <c r="K214">
        <v>3.4737388453051823E-3</v>
      </c>
      <c r="L214" t="s">
        <v>154</v>
      </c>
      <c r="N214" t="s">
        <v>194</v>
      </c>
      <c r="O214" t="s">
        <v>233</v>
      </c>
      <c r="P214">
        <v>1.9100141196786893E-2</v>
      </c>
      <c r="Q214" t="s">
        <v>154</v>
      </c>
      <c r="S214" t="s">
        <v>204</v>
      </c>
      <c r="T214" t="s">
        <v>233</v>
      </c>
      <c r="U214">
        <v>1.5391499859192042E-2</v>
      </c>
      <c r="V214" t="s">
        <v>154</v>
      </c>
    </row>
    <row r="215" spans="9:22" x14ac:dyDescent="0.25">
      <c r="I215" t="s">
        <v>170</v>
      </c>
      <c r="J215" t="s">
        <v>240</v>
      </c>
      <c r="K215">
        <v>1.4709877171953736E-3</v>
      </c>
      <c r="L215" t="s">
        <v>154</v>
      </c>
      <c r="N215" t="s">
        <v>194</v>
      </c>
      <c r="O215" t="s">
        <v>240</v>
      </c>
      <c r="P215">
        <v>2.9345913400214429E-2</v>
      </c>
      <c r="Q215" t="s">
        <v>154</v>
      </c>
      <c r="S215" t="s">
        <v>204</v>
      </c>
      <c r="T215" t="s">
        <v>240</v>
      </c>
      <c r="U215">
        <v>0.10989795994870966</v>
      </c>
      <c r="V215" t="s">
        <v>154</v>
      </c>
    </row>
    <row r="216" spans="9:22" x14ac:dyDescent="0.25">
      <c r="I216" t="s">
        <v>170</v>
      </c>
      <c r="J216" t="s">
        <v>241</v>
      </c>
      <c r="K216">
        <v>2.5748769118673895E-2</v>
      </c>
      <c r="L216" t="s">
        <v>154</v>
      </c>
      <c r="N216" t="s">
        <v>194</v>
      </c>
      <c r="O216" t="s">
        <v>241</v>
      </c>
      <c r="P216">
        <v>6.1726574282247601E-3</v>
      </c>
      <c r="Q216" t="s">
        <v>154</v>
      </c>
      <c r="S216" t="s">
        <v>204</v>
      </c>
      <c r="T216" t="s">
        <v>241</v>
      </c>
      <c r="U216">
        <v>3.2641747035471687E-2</v>
      </c>
      <c r="V216" t="s">
        <v>154</v>
      </c>
    </row>
    <row r="217" spans="9:22" x14ac:dyDescent="0.25">
      <c r="I217" t="s">
        <v>170</v>
      </c>
      <c r="J217" t="s">
        <v>242</v>
      </c>
      <c r="K217">
        <v>2.3685972481490382E-2</v>
      </c>
      <c r="L217" t="s">
        <v>154</v>
      </c>
      <c r="N217" t="s">
        <v>194</v>
      </c>
      <c r="O217" t="s">
        <v>242</v>
      </c>
      <c r="P217">
        <v>3.6623368484434856E-3</v>
      </c>
      <c r="Q217" t="s">
        <v>154</v>
      </c>
      <c r="S217" t="s">
        <v>204</v>
      </c>
      <c r="T217" t="s">
        <v>242</v>
      </c>
      <c r="U217">
        <v>1.6461247329406771E-2</v>
      </c>
      <c r="V217" t="s">
        <v>154</v>
      </c>
    </row>
    <row r="218" spans="9:22" x14ac:dyDescent="0.25">
      <c r="I218" t="s">
        <v>170</v>
      </c>
      <c r="J218" t="s">
        <v>243</v>
      </c>
      <c r="K218">
        <v>0.12538912690982335</v>
      </c>
      <c r="L218" t="s">
        <v>154</v>
      </c>
      <c r="N218" t="s">
        <v>194</v>
      </c>
      <c r="O218" t="s">
        <v>243</v>
      </c>
      <c r="P218">
        <v>2.5657636042185968E-2</v>
      </c>
      <c r="Q218" t="s">
        <v>154</v>
      </c>
      <c r="S218" t="s">
        <v>204</v>
      </c>
      <c r="T218" t="s">
        <v>243</v>
      </c>
      <c r="U218">
        <v>7.0858123738383391E-2</v>
      </c>
      <c r="V218" t="s">
        <v>154</v>
      </c>
    </row>
    <row r="219" spans="9:22" x14ac:dyDescent="0.25">
      <c r="I219" t="s">
        <v>170</v>
      </c>
      <c r="J219" t="s">
        <v>244</v>
      </c>
      <c r="K219">
        <v>8.0533483014697593E-2</v>
      </c>
      <c r="L219" t="s">
        <v>154</v>
      </c>
      <c r="N219" t="s">
        <v>194</v>
      </c>
      <c r="O219" t="s">
        <v>244</v>
      </c>
      <c r="P219">
        <v>3.5414943865475161E-2</v>
      </c>
      <c r="Q219" t="s">
        <v>154</v>
      </c>
      <c r="S219" t="s">
        <v>204</v>
      </c>
      <c r="T219" t="s">
        <v>244</v>
      </c>
      <c r="U219">
        <v>6.9332290072244965E-2</v>
      </c>
      <c r="V219" t="s">
        <v>154</v>
      </c>
    </row>
    <row r="220" spans="9:22" x14ac:dyDescent="0.25">
      <c r="I220" t="s">
        <v>170</v>
      </c>
      <c r="J220" t="s">
        <v>245</v>
      </c>
      <c r="K220">
        <v>3.8589438158866912E-3</v>
      </c>
      <c r="L220" t="s">
        <v>154</v>
      </c>
      <c r="N220" t="s">
        <v>194</v>
      </c>
      <c r="O220" t="s">
        <v>245</v>
      </c>
      <c r="P220">
        <v>2.9008320986889793E-2</v>
      </c>
      <c r="Q220" t="s">
        <v>154</v>
      </c>
      <c r="S220" t="s">
        <v>204</v>
      </c>
      <c r="T220" t="s">
        <v>245</v>
      </c>
      <c r="U220">
        <v>8.8091413815630626E-2</v>
      </c>
      <c r="V220" t="s">
        <v>154</v>
      </c>
    </row>
    <row r="221" spans="9:22" x14ac:dyDescent="0.25">
      <c r="I221" t="s">
        <v>170</v>
      </c>
      <c r="J221" t="s">
        <v>246</v>
      </c>
      <c r="K221">
        <v>3.1088345474727676E-3</v>
      </c>
      <c r="L221" t="s">
        <v>154</v>
      </c>
      <c r="N221" t="s">
        <v>194</v>
      </c>
      <c r="O221" t="s">
        <v>246</v>
      </c>
      <c r="P221">
        <v>0.11749731863735031</v>
      </c>
      <c r="Q221" t="s">
        <v>154</v>
      </c>
      <c r="S221" t="s">
        <v>204</v>
      </c>
      <c r="T221" t="s">
        <v>246</v>
      </c>
      <c r="U221">
        <v>4.8669267048230845E-2</v>
      </c>
      <c r="V221" t="s">
        <v>154</v>
      </c>
    </row>
    <row r="222" spans="9:22" x14ac:dyDescent="0.25">
      <c r="I222" t="s">
        <v>170</v>
      </c>
      <c r="J222" t="s">
        <v>247</v>
      </c>
      <c r="K222">
        <v>2.2812979010769053E-2</v>
      </c>
      <c r="L222" t="s">
        <v>154</v>
      </c>
      <c r="N222" t="s">
        <v>194</v>
      </c>
      <c r="O222" t="s">
        <v>247</v>
      </c>
      <c r="P222">
        <v>3.167693577767957E-2</v>
      </c>
      <c r="Q222" t="s">
        <v>154</v>
      </c>
      <c r="S222" t="s">
        <v>204</v>
      </c>
      <c r="T222" t="s">
        <v>247</v>
      </c>
      <c r="U222">
        <v>1.423507365936489E-2</v>
      </c>
      <c r="V222" t="s">
        <v>154</v>
      </c>
    </row>
    <row r="223" spans="9:22" x14ac:dyDescent="0.25">
      <c r="I223" t="s">
        <v>170</v>
      </c>
      <c r="J223" t="s">
        <v>248</v>
      </c>
      <c r="K223">
        <v>1.9240986508019475E-2</v>
      </c>
      <c r="L223" t="s">
        <v>154</v>
      </c>
      <c r="N223" t="s">
        <v>194</v>
      </c>
      <c r="O223" t="s">
        <v>248</v>
      </c>
      <c r="P223">
        <v>1.4728523158417717E-2</v>
      </c>
      <c r="Q223" t="s">
        <v>154</v>
      </c>
      <c r="S223" t="s">
        <v>204</v>
      </c>
      <c r="T223" t="s">
        <v>248</v>
      </c>
      <c r="U223">
        <v>6.9621570239020722E-3</v>
      </c>
      <c r="V223" t="s">
        <v>154</v>
      </c>
    </row>
    <row r="224" spans="9:22" x14ac:dyDescent="0.25">
      <c r="I224" t="s">
        <v>170</v>
      </c>
      <c r="J224" t="s">
        <v>249</v>
      </c>
      <c r="K224">
        <v>9.7265347203783686E-2</v>
      </c>
      <c r="L224" t="s">
        <v>154</v>
      </c>
      <c r="N224" t="s">
        <v>194</v>
      </c>
      <c r="O224" t="s">
        <v>249</v>
      </c>
      <c r="P224">
        <v>4.9728787382259367E-2</v>
      </c>
      <c r="Q224" t="s">
        <v>154</v>
      </c>
      <c r="S224" t="s">
        <v>204</v>
      </c>
      <c r="T224" t="s">
        <v>249</v>
      </c>
      <c r="U224">
        <v>2.5165677709534342E-2</v>
      </c>
      <c r="V224" t="s">
        <v>154</v>
      </c>
    </row>
    <row r="225" spans="9:22" x14ac:dyDescent="0.25">
      <c r="I225" t="s">
        <v>170</v>
      </c>
      <c r="J225" t="s">
        <v>250</v>
      </c>
      <c r="K225">
        <v>5.4102130901442093E-2</v>
      </c>
      <c r="L225" t="s">
        <v>154</v>
      </c>
      <c r="N225" t="s">
        <v>194</v>
      </c>
      <c r="O225" t="s">
        <v>250</v>
      </c>
      <c r="P225">
        <v>5.4866464916941783E-2</v>
      </c>
      <c r="Q225" t="s">
        <v>154</v>
      </c>
      <c r="S225" t="s">
        <v>204</v>
      </c>
      <c r="T225" t="s">
        <v>250</v>
      </c>
      <c r="U225">
        <v>2.7803654570254986E-2</v>
      </c>
      <c r="V225" t="s">
        <v>154</v>
      </c>
    </row>
    <row r="226" spans="9:22" x14ac:dyDescent="0.25">
      <c r="I226" t="s">
        <v>170</v>
      </c>
      <c r="J226" t="s">
        <v>251</v>
      </c>
      <c r="K226">
        <v>1.6741979858244961E-6</v>
      </c>
      <c r="L226" t="s">
        <v>154</v>
      </c>
      <c r="N226" t="s">
        <v>194</v>
      </c>
      <c r="O226" t="s">
        <v>251</v>
      </c>
      <c r="P226">
        <v>0.11985991959580228</v>
      </c>
      <c r="Q226" t="s">
        <v>154</v>
      </c>
      <c r="S226" t="s">
        <v>204</v>
      </c>
      <c r="T226" t="s">
        <v>251</v>
      </c>
      <c r="U226">
        <v>4.4705045443272654E-2</v>
      </c>
      <c r="V226" t="s">
        <v>154</v>
      </c>
    </row>
    <row r="227" spans="9:22" x14ac:dyDescent="0.25">
      <c r="I227" t="s">
        <v>171</v>
      </c>
      <c r="J227" t="s">
        <v>153</v>
      </c>
      <c r="K227">
        <v>0</v>
      </c>
      <c r="L227" t="s">
        <v>154</v>
      </c>
      <c r="N227" t="s">
        <v>195</v>
      </c>
      <c r="O227" t="s">
        <v>153</v>
      </c>
      <c r="P227">
        <v>2.7731487000404811E-2</v>
      </c>
      <c r="Q227" t="s">
        <v>154</v>
      </c>
      <c r="S227" t="s">
        <v>205</v>
      </c>
      <c r="T227" t="s">
        <v>153</v>
      </c>
      <c r="U227">
        <v>3.536623513347343E-2</v>
      </c>
      <c r="V227" t="s">
        <v>154</v>
      </c>
    </row>
    <row r="228" spans="9:22" x14ac:dyDescent="0.25">
      <c r="I228" t="s">
        <v>171</v>
      </c>
      <c r="J228" t="s">
        <v>155</v>
      </c>
      <c r="K228">
        <v>6.3324805659307325E-3</v>
      </c>
      <c r="L228" t="s">
        <v>154</v>
      </c>
      <c r="N228" t="s">
        <v>195</v>
      </c>
      <c r="O228" t="s">
        <v>155</v>
      </c>
      <c r="P228">
        <v>7.1567851208791814E-3</v>
      </c>
      <c r="Q228" t="s">
        <v>154</v>
      </c>
      <c r="S228" t="s">
        <v>205</v>
      </c>
      <c r="T228" t="s">
        <v>155</v>
      </c>
      <c r="U228">
        <v>1.0229392514808432E-2</v>
      </c>
      <c r="V228" t="s">
        <v>154</v>
      </c>
    </row>
    <row r="229" spans="9:22" x14ac:dyDescent="0.25">
      <c r="I229" t="s">
        <v>171</v>
      </c>
      <c r="J229" t="s">
        <v>156</v>
      </c>
      <c r="K229">
        <v>5.3743136550639349E-3</v>
      </c>
      <c r="L229" t="s">
        <v>154</v>
      </c>
      <c r="N229" t="s">
        <v>195</v>
      </c>
      <c r="O229" t="s">
        <v>156</v>
      </c>
      <c r="P229">
        <v>4.6374458606887351E-3</v>
      </c>
      <c r="Q229" t="s">
        <v>154</v>
      </c>
      <c r="S229" t="s">
        <v>205</v>
      </c>
      <c r="T229" t="s">
        <v>156</v>
      </c>
      <c r="U229">
        <v>5.1721200480686017E-3</v>
      </c>
      <c r="V229" t="s">
        <v>154</v>
      </c>
    </row>
    <row r="230" spans="9:22" x14ac:dyDescent="0.25">
      <c r="I230" t="s">
        <v>171</v>
      </c>
      <c r="J230" t="s">
        <v>222</v>
      </c>
      <c r="K230">
        <v>2.5213719830830143E-2</v>
      </c>
      <c r="L230" t="s">
        <v>154</v>
      </c>
      <c r="N230" t="s">
        <v>195</v>
      </c>
      <c r="O230" t="s">
        <v>222</v>
      </c>
      <c r="P230">
        <v>1.8878472414796003E-2</v>
      </c>
      <c r="Q230" t="s">
        <v>154</v>
      </c>
      <c r="S230" t="s">
        <v>205</v>
      </c>
      <c r="T230" t="s">
        <v>222</v>
      </c>
      <c r="U230">
        <v>1.9951129905497713E-2</v>
      </c>
      <c r="V230" t="s">
        <v>154</v>
      </c>
    </row>
    <row r="231" spans="9:22" x14ac:dyDescent="0.25">
      <c r="I231" t="s">
        <v>171</v>
      </c>
      <c r="J231" t="s">
        <v>223</v>
      </c>
      <c r="K231">
        <v>1.332727131818979E-2</v>
      </c>
      <c r="L231" t="s">
        <v>154</v>
      </c>
      <c r="N231" t="s">
        <v>195</v>
      </c>
      <c r="O231" t="s">
        <v>223</v>
      </c>
      <c r="P231">
        <v>1.9312380004505747E-2</v>
      </c>
      <c r="Q231" t="s">
        <v>154</v>
      </c>
      <c r="S231" t="s">
        <v>205</v>
      </c>
      <c r="T231" t="s">
        <v>223</v>
      </c>
      <c r="U231">
        <v>2.0803645706177282E-2</v>
      </c>
      <c r="V231" t="s">
        <v>154</v>
      </c>
    </row>
    <row r="232" spans="9:22" x14ac:dyDescent="0.25">
      <c r="I232" t="s">
        <v>171</v>
      </c>
      <c r="J232" t="s">
        <v>224</v>
      </c>
      <c r="K232">
        <v>0</v>
      </c>
      <c r="L232" t="s">
        <v>154</v>
      </c>
      <c r="N232" t="s">
        <v>195</v>
      </c>
      <c r="O232" t="s">
        <v>224</v>
      </c>
      <c r="P232">
        <v>3.0664421515022883E-2</v>
      </c>
      <c r="Q232" t="s">
        <v>154</v>
      </c>
      <c r="S232" t="s">
        <v>205</v>
      </c>
      <c r="T232" t="s">
        <v>224</v>
      </c>
      <c r="U232">
        <v>3.1268809053013068E-2</v>
      </c>
      <c r="V232" t="s">
        <v>154</v>
      </c>
    </row>
    <row r="233" spans="9:22" x14ac:dyDescent="0.25">
      <c r="I233" t="s">
        <v>171</v>
      </c>
      <c r="J233" t="s">
        <v>157</v>
      </c>
      <c r="K233">
        <v>6.1322398347372761E-3</v>
      </c>
      <c r="L233" t="s">
        <v>154</v>
      </c>
      <c r="N233" t="s">
        <v>195</v>
      </c>
      <c r="O233" t="s">
        <v>157</v>
      </c>
      <c r="P233">
        <v>7.5143995321278717E-2</v>
      </c>
      <c r="Q233" t="s">
        <v>154</v>
      </c>
      <c r="S233" t="s">
        <v>205</v>
      </c>
      <c r="T233" t="s">
        <v>157</v>
      </c>
      <c r="U233">
        <v>9.3998109846095954E-2</v>
      </c>
      <c r="V233" t="s">
        <v>154</v>
      </c>
    </row>
    <row r="234" spans="9:22" x14ac:dyDescent="0.25">
      <c r="I234" t="s">
        <v>171</v>
      </c>
      <c r="J234" t="s">
        <v>158</v>
      </c>
      <c r="K234">
        <v>4.656057521924567E-2</v>
      </c>
      <c r="L234" t="s">
        <v>154</v>
      </c>
      <c r="N234" t="s">
        <v>195</v>
      </c>
      <c r="O234" t="s">
        <v>158</v>
      </c>
      <c r="P234">
        <v>1.8091126562873237E-2</v>
      </c>
      <c r="Q234" t="s">
        <v>154</v>
      </c>
      <c r="S234" t="s">
        <v>205</v>
      </c>
      <c r="T234" t="s">
        <v>158</v>
      </c>
      <c r="U234">
        <v>2.7388657418059424E-2</v>
      </c>
      <c r="V234" t="s">
        <v>154</v>
      </c>
    </row>
    <row r="235" spans="9:22" x14ac:dyDescent="0.25">
      <c r="I235" t="s">
        <v>171</v>
      </c>
      <c r="J235" t="s">
        <v>159</v>
      </c>
      <c r="K235">
        <v>3.4631754960821243E-2</v>
      </c>
      <c r="L235" t="s">
        <v>154</v>
      </c>
      <c r="N235" t="s">
        <v>195</v>
      </c>
      <c r="O235" t="s">
        <v>159</v>
      </c>
      <c r="P235">
        <v>1.0948478772666042E-2</v>
      </c>
      <c r="Q235" t="s">
        <v>154</v>
      </c>
      <c r="S235" t="s">
        <v>205</v>
      </c>
      <c r="T235" t="s">
        <v>159</v>
      </c>
      <c r="U235">
        <v>1.362072668979405E-2</v>
      </c>
      <c r="V235" t="s">
        <v>154</v>
      </c>
    </row>
    <row r="236" spans="9:22" x14ac:dyDescent="0.25">
      <c r="I236" t="s">
        <v>171</v>
      </c>
      <c r="J236" t="s">
        <v>225</v>
      </c>
      <c r="K236">
        <v>0.15777137754564857</v>
      </c>
      <c r="L236" t="s">
        <v>154</v>
      </c>
      <c r="N236" t="s">
        <v>195</v>
      </c>
      <c r="O236" t="s">
        <v>225</v>
      </c>
      <c r="P236">
        <v>4.6195451549231423E-2</v>
      </c>
      <c r="Q236" t="s">
        <v>154</v>
      </c>
      <c r="S236" t="s">
        <v>205</v>
      </c>
      <c r="T236" t="s">
        <v>225</v>
      </c>
      <c r="U236">
        <v>4.8071684915721218E-2</v>
      </c>
      <c r="V236" t="s">
        <v>154</v>
      </c>
    </row>
    <row r="237" spans="9:22" x14ac:dyDescent="0.25">
      <c r="I237" t="s">
        <v>171</v>
      </c>
      <c r="J237" t="s">
        <v>226</v>
      </c>
      <c r="K237">
        <v>9.2479078119489411E-2</v>
      </c>
      <c r="L237" t="s">
        <v>154</v>
      </c>
      <c r="N237" t="s">
        <v>195</v>
      </c>
      <c r="O237" t="s">
        <v>226</v>
      </c>
      <c r="P237">
        <v>5.676917868615862E-2</v>
      </c>
      <c r="Q237" t="s">
        <v>154</v>
      </c>
      <c r="S237" t="s">
        <v>205</v>
      </c>
      <c r="T237" t="s">
        <v>226</v>
      </c>
      <c r="U237">
        <v>4.3619190496588668E-2</v>
      </c>
      <c r="V237" t="s">
        <v>154</v>
      </c>
    </row>
    <row r="238" spans="9:22" x14ac:dyDescent="0.25">
      <c r="I238" t="s">
        <v>171</v>
      </c>
      <c r="J238" t="s">
        <v>227</v>
      </c>
      <c r="K238">
        <v>0</v>
      </c>
      <c r="L238" t="s">
        <v>154</v>
      </c>
      <c r="N238" t="s">
        <v>195</v>
      </c>
      <c r="O238" t="s">
        <v>227</v>
      </c>
      <c r="P238">
        <v>8.9087972971414103E-2</v>
      </c>
      <c r="Q238" t="s">
        <v>154</v>
      </c>
      <c r="S238" t="s">
        <v>205</v>
      </c>
      <c r="T238" t="s">
        <v>227</v>
      </c>
      <c r="U238">
        <v>8.0722025307999087E-2</v>
      </c>
      <c r="V238" t="s">
        <v>154</v>
      </c>
    </row>
    <row r="239" spans="9:22" x14ac:dyDescent="0.25">
      <c r="I239" t="s">
        <v>171</v>
      </c>
      <c r="J239" t="s">
        <v>160</v>
      </c>
      <c r="K239">
        <v>1.2112643807550029E-3</v>
      </c>
      <c r="L239" t="s">
        <v>154</v>
      </c>
      <c r="N239" t="s">
        <v>195</v>
      </c>
      <c r="O239" t="s">
        <v>160</v>
      </c>
      <c r="P239">
        <v>1.9635407244908681E-3</v>
      </c>
      <c r="Q239" t="s">
        <v>154</v>
      </c>
      <c r="S239" t="s">
        <v>205</v>
      </c>
      <c r="T239" t="s">
        <v>160</v>
      </c>
      <c r="U239">
        <v>4.9187217143201764E-4</v>
      </c>
      <c r="V239" t="s">
        <v>154</v>
      </c>
    </row>
    <row r="240" spans="9:22" x14ac:dyDescent="0.25">
      <c r="I240" t="s">
        <v>171</v>
      </c>
      <c r="J240" t="s">
        <v>161</v>
      </c>
      <c r="K240">
        <v>5.6606715312226049E-3</v>
      </c>
      <c r="L240" t="s">
        <v>154</v>
      </c>
      <c r="N240" t="s">
        <v>195</v>
      </c>
      <c r="O240" t="s">
        <v>161</v>
      </c>
      <c r="P240">
        <v>1.7802751855400294E-4</v>
      </c>
      <c r="Q240" t="s">
        <v>154</v>
      </c>
      <c r="S240" t="s">
        <v>205</v>
      </c>
      <c r="T240" t="s">
        <v>161</v>
      </c>
      <c r="U240">
        <v>2.7124852095000576E-4</v>
      </c>
      <c r="V240" t="s">
        <v>154</v>
      </c>
    </row>
    <row r="241" spans="9:22" x14ac:dyDescent="0.25">
      <c r="I241" t="s">
        <v>171</v>
      </c>
      <c r="J241" t="s">
        <v>162</v>
      </c>
      <c r="K241">
        <v>4.2393899590613552E-3</v>
      </c>
      <c r="L241" t="s">
        <v>154</v>
      </c>
      <c r="N241" t="s">
        <v>195</v>
      </c>
      <c r="O241" t="s">
        <v>162</v>
      </c>
      <c r="P241">
        <v>2.9121756785780524E-4</v>
      </c>
      <c r="Q241" t="s">
        <v>154</v>
      </c>
      <c r="S241" t="s">
        <v>205</v>
      </c>
      <c r="T241" t="s">
        <v>162</v>
      </c>
      <c r="U241">
        <v>1.4221405577862596E-4</v>
      </c>
      <c r="V241" t="s">
        <v>154</v>
      </c>
    </row>
    <row r="242" spans="9:22" x14ac:dyDescent="0.25">
      <c r="I242" t="s">
        <v>171</v>
      </c>
      <c r="J242" t="s">
        <v>228</v>
      </c>
      <c r="K242">
        <v>1.9980288381483354E-2</v>
      </c>
      <c r="L242" t="s">
        <v>154</v>
      </c>
      <c r="N242" t="s">
        <v>195</v>
      </c>
      <c r="O242" t="s">
        <v>228</v>
      </c>
      <c r="P242">
        <v>3.6022599266793084E-3</v>
      </c>
      <c r="Q242" t="s">
        <v>154</v>
      </c>
      <c r="S242" t="s">
        <v>205</v>
      </c>
      <c r="T242" t="s">
        <v>228</v>
      </c>
      <c r="U242">
        <v>4.5889104242785849E-4</v>
      </c>
      <c r="V242" t="s">
        <v>154</v>
      </c>
    </row>
    <row r="243" spans="9:22" x14ac:dyDescent="0.25">
      <c r="I243" t="s">
        <v>171</v>
      </c>
      <c r="J243" t="s">
        <v>229</v>
      </c>
      <c r="K243">
        <v>9.3501633142989878E-3</v>
      </c>
      <c r="L243" t="s">
        <v>154</v>
      </c>
      <c r="N243" t="s">
        <v>195</v>
      </c>
      <c r="O243" t="s">
        <v>229</v>
      </c>
      <c r="P243">
        <v>5.3237844456239464E-3</v>
      </c>
      <c r="Q243" t="s">
        <v>154</v>
      </c>
      <c r="S243" t="s">
        <v>205</v>
      </c>
      <c r="T243" t="s">
        <v>229</v>
      </c>
      <c r="U243">
        <v>3.2940488232566256E-4</v>
      </c>
      <c r="V243" t="s">
        <v>154</v>
      </c>
    </row>
    <row r="244" spans="9:22" x14ac:dyDescent="0.25">
      <c r="I244" t="s">
        <v>171</v>
      </c>
      <c r="J244" t="s">
        <v>230</v>
      </c>
      <c r="K244">
        <v>0</v>
      </c>
      <c r="L244" t="s">
        <v>154</v>
      </c>
      <c r="N244" t="s">
        <v>195</v>
      </c>
      <c r="O244" t="s">
        <v>230</v>
      </c>
      <c r="P244">
        <v>4.2260503945182526E-3</v>
      </c>
      <c r="Q244" t="s">
        <v>154</v>
      </c>
      <c r="S244" t="s">
        <v>205</v>
      </c>
      <c r="T244" t="s">
        <v>230</v>
      </c>
      <c r="U244">
        <v>1.1745378502397641E-4</v>
      </c>
      <c r="V244" t="s">
        <v>154</v>
      </c>
    </row>
    <row r="245" spans="9:22" x14ac:dyDescent="0.25">
      <c r="I245" t="s">
        <v>171</v>
      </c>
      <c r="J245" t="s">
        <v>163</v>
      </c>
      <c r="K245">
        <v>2.8965865180397899E-3</v>
      </c>
      <c r="L245" t="s">
        <v>154</v>
      </c>
      <c r="N245" t="s">
        <v>195</v>
      </c>
      <c r="O245" t="s">
        <v>163</v>
      </c>
      <c r="P245">
        <v>3.1690946623175335E-2</v>
      </c>
      <c r="Q245" t="s">
        <v>154</v>
      </c>
      <c r="S245" t="s">
        <v>205</v>
      </c>
      <c r="T245" t="s">
        <v>163</v>
      </c>
      <c r="U245">
        <v>1.7421555947572984E-2</v>
      </c>
      <c r="V245" t="s">
        <v>154</v>
      </c>
    </row>
    <row r="246" spans="9:22" x14ac:dyDescent="0.25">
      <c r="I246" t="s">
        <v>171</v>
      </c>
      <c r="J246" t="s">
        <v>164</v>
      </c>
      <c r="K246">
        <v>1.4102047329191281E-2</v>
      </c>
      <c r="L246" t="s">
        <v>154</v>
      </c>
      <c r="N246" t="s">
        <v>195</v>
      </c>
      <c r="O246" t="s">
        <v>164</v>
      </c>
      <c r="P246">
        <v>7.2544449673119984E-3</v>
      </c>
      <c r="Q246" t="s">
        <v>154</v>
      </c>
      <c r="S246" t="s">
        <v>205</v>
      </c>
      <c r="T246" t="s">
        <v>164</v>
      </c>
      <c r="U246">
        <v>6.4877691654401199E-3</v>
      </c>
      <c r="V246" t="s">
        <v>154</v>
      </c>
    </row>
    <row r="247" spans="9:22" x14ac:dyDescent="0.25">
      <c r="I247" t="s">
        <v>171</v>
      </c>
      <c r="J247" t="s">
        <v>165</v>
      </c>
      <c r="K247">
        <v>1.1141547549551604E-2</v>
      </c>
      <c r="L247" t="s">
        <v>154</v>
      </c>
      <c r="N247" t="s">
        <v>195</v>
      </c>
      <c r="O247" t="s">
        <v>165</v>
      </c>
      <c r="P247">
        <v>3.9986258133203854E-3</v>
      </c>
      <c r="Q247" t="s">
        <v>154</v>
      </c>
      <c r="S247" t="s">
        <v>205</v>
      </c>
      <c r="T247" t="s">
        <v>165</v>
      </c>
      <c r="U247">
        <v>3.2925729255870893E-3</v>
      </c>
      <c r="V247" t="s">
        <v>154</v>
      </c>
    </row>
    <row r="248" spans="9:22" x14ac:dyDescent="0.25">
      <c r="I248" t="s">
        <v>171</v>
      </c>
      <c r="J248" t="s">
        <v>231</v>
      </c>
      <c r="K248">
        <v>5.4749194165458516E-2</v>
      </c>
      <c r="L248" t="s">
        <v>154</v>
      </c>
      <c r="N248" t="s">
        <v>195</v>
      </c>
      <c r="O248" t="s">
        <v>231</v>
      </c>
      <c r="P248">
        <v>2.2854487119334355E-2</v>
      </c>
      <c r="Q248" t="s">
        <v>154</v>
      </c>
      <c r="S248" t="s">
        <v>205</v>
      </c>
      <c r="T248" t="s">
        <v>231</v>
      </c>
      <c r="U248">
        <v>1.2575534574193857E-2</v>
      </c>
      <c r="V248" t="s">
        <v>154</v>
      </c>
    </row>
    <row r="249" spans="9:22" x14ac:dyDescent="0.25">
      <c r="I249" t="s">
        <v>171</v>
      </c>
      <c r="J249" t="s">
        <v>232</v>
      </c>
      <c r="K249">
        <v>2.7334454418755021E-2</v>
      </c>
      <c r="L249" t="s">
        <v>154</v>
      </c>
      <c r="N249" t="s">
        <v>195</v>
      </c>
      <c r="O249" t="s">
        <v>232</v>
      </c>
      <c r="P249">
        <v>2.6507464456166849E-2</v>
      </c>
      <c r="Q249" t="s">
        <v>154</v>
      </c>
      <c r="S249" t="s">
        <v>205</v>
      </c>
      <c r="T249" t="s">
        <v>232</v>
      </c>
      <c r="U249">
        <v>1.106869923364911E-2</v>
      </c>
      <c r="V249" t="s">
        <v>154</v>
      </c>
    </row>
    <row r="250" spans="9:22" x14ac:dyDescent="0.25">
      <c r="I250" t="s">
        <v>171</v>
      </c>
      <c r="J250" t="s">
        <v>233</v>
      </c>
      <c r="K250">
        <v>7.6434370690839986E-6</v>
      </c>
      <c r="L250" t="s">
        <v>154</v>
      </c>
      <c r="N250" t="s">
        <v>195</v>
      </c>
      <c r="O250" t="s">
        <v>233</v>
      </c>
      <c r="P250">
        <v>2.5703734759162211E-2</v>
      </c>
      <c r="Q250" t="s">
        <v>154</v>
      </c>
      <c r="S250" t="s">
        <v>205</v>
      </c>
      <c r="T250" t="s">
        <v>233</v>
      </c>
      <c r="U250">
        <v>1.2717365010270739E-2</v>
      </c>
      <c r="V250" t="s">
        <v>154</v>
      </c>
    </row>
    <row r="251" spans="9:22" x14ac:dyDescent="0.25">
      <c r="I251" t="s">
        <v>171</v>
      </c>
      <c r="J251" t="s">
        <v>240</v>
      </c>
      <c r="K251">
        <v>6.573037214620216E-3</v>
      </c>
      <c r="L251" t="s">
        <v>154</v>
      </c>
      <c r="N251" t="s">
        <v>195</v>
      </c>
      <c r="O251" t="s">
        <v>240</v>
      </c>
      <c r="P251">
        <v>3.5080983724582203E-2</v>
      </c>
      <c r="Q251" t="s">
        <v>154</v>
      </c>
      <c r="S251" t="s">
        <v>205</v>
      </c>
      <c r="T251" t="s">
        <v>240</v>
      </c>
      <c r="U251">
        <v>8.2828306362406748E-2</v>
      </c>
      <c r="V251" t="s">
        <v>154</v>
      </c>
    </row>
    <row r="252" spans="9:22" x14ac:dyDescent="0.25">
      <c r="I252" t="s">
        <v>171</v>
      </c>
      <c r="J252" t="s">
        <v>241</v>
      </c>
      <c r="K252">
        <v>3.3668693924931832E-2</v>
      </c>
      <c r="L252" t="s">
        <v>154</v>
      </c>
      <c r="N252" t="s">
        <v>195</v>
      </c>
      <c r="O252" t="s">
        <v>241</v>
      </c>
      <c r="P252">
        <v>7.590430783183116E-3</v>
      </c>
      <c r="Q252" t="s">
        <v>154</v>
      </c>
      <c r="S252" t="s">
        <v>205</v>
      </c>
      <c r="T252" t="s">
        <v>241</v>
      </c>
      <c r="U252">
        <v>2.5703326808168368E-2</v>
      </c>
      <c r="V252" t="s">
        <v>154</v>
      </c>
    </row>
    <row r="253" spans="9:22" x14ac:dyDescent="0.25">
      <c r="I253" t="s">
        <v>171</v>
      </c>
      <c r="J253" t="s">
        <v>242</v>
      </c>
      <c r="K253">
        <v>2.5580033576990981E-2</v>
      </c>
      <c r="L253" t="s">
        <v>154</v>
      </c>
      <c r="N253" t="s">
        <v>195</v>
      </c>
      <c r="O253" t="s">
        <v>242</v>
      </c>
      <c r="P253">
        <v>5.164828522103729E-3</v>
      </c>
      <c r="Q253" t="s">
        <v>154</v>
      </c>
      <c r="S253" t="s">
        <v>205</v>
      </c>
      <c r="T253" t="s">
        <v>242</v>
      </c>
      <c r="U253">
        <v>1.3275639626485081E-2</v>
      </c>
      <c r="V253" t="s">
        <v>154</v>
      </c>
    </row>
    <row r="254" spans="9:22" x14ac:dyDescent="0.25">
      <c r="I254" t="s">
        <v>171</v>
      </c>
      <c r="J254" t="s">
        <v>243</v>
      </c>
      <c r="K254">
        <v>0.11831499944560923</v>
      </c>
      <c r="L254" t="s">
        <v>154</v>
      </c>
      <c r="N254" t="s">
        <v>195</v>
      </c>
      <c r="O254" t="s">
        <v>243</v>
      </c>
      <c r="P254">
        <v>3.5919940759552994E-2</v>
      </c>
      <c r="Q254" t="s">
        <v>154</v>
      </c>
      <c r="S254" t="s">
        <v>205</v>
      </c>
      <c r="T254" t="s">
        <v>243</v>
      </c>
      <c r="U254">
        <v>5.622303705769597E-2</v>
      </c>
      <c r="V254" t="s">
        <v>154</v>
      </c>
    </row>
    <row r="255" spans="9:22" x14ac:dyDescent="0.25">
      <c r="I255" t="s">
        <v>171</v>
      </c>
      <c r="J255" t="s">
        <v>244</v>
      </c>
      <c r="K255">
        <v>6.3430893074098105E-2</v>
      </c>
      <c r="L255" t="s">
        <v>154</v>
      </c>
      <c r="N255" t="s">
        <v>195</v>
      </c>
      <c r="O255" t="s">
        <v>244</v>
      </c>
      <c r="P255">
        <v>4.3239147870245701E-2</v>
      </c>
      <c r="Q255" t="s">
        <v>154</v>
      </c>
      <c r="S255" t="s">
        <v>205</v>
      </c>
      <c r="T255" t="s">
        <v>244</v>
      </c>
      <c r="U255">
        <v>5.3434827291686048E-2</v>
      </c>
      <c r="V255" t="s">
        <v>154</v>
      </c>
    </row>
    <row r="256" spans="9:22" x14ac:dyDescent="0.25">
      <c r="I256" t="s">
        <v>171</v>
      </c>
      <c r="J256" t="s">
        <v>245</v>
      </c>
      <c r="K256">
        <v>3.4705452535472922E-5</v>
      </c>
      <c r="L256" t="s">
        <v>154</v>
      </c>
      <c r="N256" t="s">
        <v>195</v>
      </c>
      <c r="O256" t="s">
        <v>245</v>
      </c>
      <c r="P256">
        <v>3.196354320861524E-2</v>
      </c>
      <c r="Q256" t="s">
        <v>154</v>
      </c>
      <c r="S256" t="s">
        <v>205</v>
      </c>
      <c r="T256" t="s">
        <v>245</v>
      </c>
      <c r="U256">
        <v>6.4679963457069348E-2</v>
      </c>
      <c r="V256" t="s">
        <v>154</v>
      </c>
    </row>
    <row r="257" spans="9:22" x14ac:dyDescent="0.25">
      <c r="I257" t="s">
        <v>171</v>
      </c>
      <c r="J257" t="s">
        <v>246</v>
      </c>
      <c r="K257">
        <v>6.3709796004243644E-3</v>
      </c>
      <c r="L257" t="s">
        <v>154</v>
      </c>
      <c r="N257" t="s">
        <v>195</v>
      </c>
      <c r="O257" t="s">
        <v>246</v>
      </c>
      <c r="P257">
        <v>7.3391714478256598E-2</v>
      </c>
      <c r="Q257" t="s">
        <v>154</v>
      </c>
      <c r="S257" t="s">
        <v>205</v>
      </c>
      <c r="T257" t="s">
        <v>246</v>
      </c>
      <c r="U257">
        <v>6.2345187728744755E-2</v>
      </c>
      <c r="V257" t="s">
        <v>154</v>
      </c>
    </row>
    <row r="258" spans="9:22" x14ac:dyDescent="0.25">
      <c r="I258" t="s">
        <v>171</v>
      </c>
      <c r="J258" t="s">
        <v>247</v>
      </c>
      <c r="K258">
        <v>3.3598167509551281E-2</v>
      </c>
      <c r="L258" t="s">
        <v>154</v>
      </c>
      <c r="N258" t="s">
        <v>195</v>
      </c>
      <c r="O258" t="s">
        <v>247</v>
      </c>
      <c r="P258">
        <v>2.146589454658817E-2</v>
      </c>
      <c r="Q258" t="s">
        <v>154</v>
      </c>
      <c r="S258" t="s">
        <v>205</v>
      </c>
      <c r="T258" t="s">
        <v>247</v>
      </c>
      <c r="U258">
        <v>1.7555615691069535E-2</v>
      </c>
      <c r="V258" t="s">
        <v>154</v>
      </c>
    </row>
    <row r="259" spans="9:22" x14ac:dyDescent="0.25">
      <c r="I259" t="s">
        <v>171</v>
      </c>
      <c r="J259" t="s">
        <v>248</v>
      </c>
      <c r="K259">
        <v>2.4606526258448988E-2</v>
      </c>
      <c r="L259" t="s">
        <v>154</v>
      </c>
      <c r="N259" t="s">
        <v>195</v>
      </c>
      <c r="O259" t="s">
        <v>248</v>
      </c>
      <c r="P259">
        <v>1.3574339167092137E-2</v>
      </c>
      <c r="Q259" t="s">
        <v>154</v>
      </c>
      <c r="S259" t="s">
        <v>205</v>
      </c>
      <c r="T259" t="s">
        <v>248</v>
      </c>
      <c r="U259">
        <v>8.6565410874082545E-3</v>
      </c>
      <c r="V259" t="s">
        <v>154</v>
      </c>
    </row>
    <row r="260" spans="9:22" x14ac:dyDescent="0.25">
      <c r="I260" t="s">
        <v>171</v>
      </c>
      <c r="J260" t="s">
        <v>249</v>
      </c>
      <c r="K260">
        <v>0.10498781286938275</v>
      </c>
      <c r="L260" t="s">
        <v>154</v>
      </c>
      <c r="N260" t="s">
        <v>195</v>
      </c>
      <c r="O260" t="s">
        <v>249</v>
      </c>
      <c r="P260">
        <v>5.3899367533578123E-2</v>
      </c>
      <c r="Q260" t="s">
        <v>154</v>
      </c>
      <c r="S260" t="s">
        <v>205</v>
      </c>
      <c r="T260" t="s">
        <v>249</v>
      </c>
      <c r="U260">
        <v>3.1229703955233078E-2</v>
      </c>
      <c r="V260" t="s">
        <v>154</v>
      </c>
    </row>
    <row r="261" spans="9:22" x14ac:dyDescent="0.25">
      <c r="I261" t="s">
        <v>171</v>
      </c>
      <c r="J261" t="s">
        <v>250</v>
      </c>
      <c r="K261">
        <v>4.4338089038559715E-2</v>
      </c>
      <c r="L261" t="s">
        <v>154</v>
      </c>
      <c r="N261" t="s">
        <v>195</v>
      </c>
      <c r="O261" t="s">
        <v>250</v>
      </c>
      <c r="P261">
        <v>5.2915981630938753E-2</v>
      </c>
      <c r="Q261" t="s">
        <v>154</v>
      </c>
      <c r="S261" t="s">
        <v>205</v>
      </c>
      <c r="T261" t="s">
        <v>250</v>
      </c>
      <c r="U261">
        <v>3.1593346978619576E-2</v>
      </c>
      <c r="V261" t="s">
        <v>154</v>
      </c>
    </row>
    <row r="262" spans="9:22" x14ac:dyDescent="0.25">
      <c r="I262" t="s">
        <v>171</v>
      </c>
      <c r="J262" t="s">
        <v>251</v>
      </c>
      <c r="K262">
        <v>0</v>
      </c>
      <c r="L262" t="s">
        <v>154</v>
      </c>
      <c r="N262" t="s">
        <v>195</v>
      </c>
      <c r="O262" t="s">
        <v>251</v>
      </c>
      <c r="P262">
        <v>8.758204767914908E-2</v>
      </c>
      <c r="Q262" t="s">
        <v>154</v>
      </c>
      <c r="S262" t="s">
        <v>205</v>
      </c>
      <c r="T262" t="s">
        <v>251</v>
      </c>
      <c r="U262">
        <v>5.6888195605464348E-2</v>
      </c>
      <c r="V262" t="s">
        <v>154</v>
      </c>
    </row>
    <row r="263" spans="9:22" x14ac:dyDescent="0.25">
      <c r="I263" t="s">
        <v>172</v>
      </c>
      <c r="J263" t="s">
        <v>153</v>
      </c>
      <c r="K263">
        <v>1.1785839713817432E-6</v>
      </c>
      <c r="L263" t="s">
        <v>154</v>
      </c>
      <c r="N263" t="s">
        <v>196</v>
      </c>
      <c r="O263" t="s">
        <v>153</v>
      </c>
      <c r="P263">
        <v>4.1034194902841457E-2</v>
      </c>
      <c r="Q263" t="s">
        <v>154</v>
      </c>
      <c r="S263" t="s">
        <v>206</v>
      </c>
      <c r="T263" t="s">
        <v>153</v>
      </c>
      <c r="U263">
        <v>3.2770656575384235E-2</v>
      </c>
      <c r="V263" t="s">
        <v>154</v>
      </c>
    </row>
    <row r="264" spans="9:22" x14ac:dyDescent="0.25">
      <c r="I264" t="s">
        <v>172</v>
      </c>
      <c r="J264" t="s">
        <v>155</v>
      </c>
      <c r="K264">
        <v>6.6308981814651568E-3</v>
      </c>
      <c r="L264" t="s">
        <v>154</v>
      </c>
      <c r="N264" t="s">
        <v>196</v>
      </c>
      <c r="O264" t="s">
        <v>155</v>
      </c>
      <c r="P264">
        <v>1.109157013977087E-2</v>
      </c>
      <c r="Q264" t="s">
        <v>154</v>
      </c>
      <c r="S264" t="s">
        <v>206</v>
      </c>
      <c r="T264" t="s">
        <v>155</v>
      </c>
      <c r="U264">
        <v>9.2335928630796083E-3</v>
      </c>
      <c r="V264" t="s">
        <v>154</v>
      </c>
    </row>
    <row r="265" spans="9:22" x14ac:dyDescent="0.25">
      <c r="I265" t="s">
        <v>172</v>
      </c>
      <c r="J265" t="s">
        <v>156</v>
      </c>
      <c r="K265">
        <v>5.7752354690385503E-3</v>
      </c>
      <c r="L265" t="s">
        <v>154</v>
      </c>
      <c r="N265" t="s">
        <v>196</v>
      </c>
      <c r="O265" t="s">
        <v>156</v>
      </c>
      <c r="P265">
        <v>6.2395017206045246E-3</v>
      </c>
      <c r="Q265" t="s">
        <v>154</v>
      </c>
      <c r="S265" t="s">
        <v>206</v>
      </c>
      <c r="T265" t="s">
        <v>156</v>
      </c>
      <c r="U265">
        <v>4.7483873211367289E-3</v>
      </c>
      <c r="V265" t="s">
        <v>154</v>
      </c>
    </row>
    <row r="266" spans="9:22" x14ac:dyDescent="0.25">
      <c r="I266" t="s">
        <v>172</v>
      </c>
      <c r="J266" t="s">
        <v>222</v>
      </c>
      <c r="K266">
        <v>2.5837557004432542E-2</v>
      </c>
      <c r="L266" t="s">
        <v>154</v>
      </c>
      <c r="N266" t="s">
        <v>196</v>
      </c>
      <c r="O266" t="s">
        <v>222</v>
      </c>
      <c r="P266">
        <v>2.7601943830508676E-2</v>
      </c>
      <c r="Q266" t="s">
        <v>154</v>
      </c>
      <c r="S266" t="s">
        <v>206</v>
      </c>
      <c r="T266" t="s">
        <v>222</v>
      </c>
      <c r="U266">
        <v>1.8415762760038413E-2</v>
      </c>
      <c r="V266" t="s">
        <v>154</v>
      </c>
    </row>
    <row r="267" spans="9:22" x14ac:dyDescent="0.25">
      <c r="I267" t="s">
        <v>172</v>
      </c>
      <c r="J267" t="s">
        <v>223</v>
      </c>
      <c r="K267">
        <v>1.3153999821793315E-2</v>
      </c>
      <c r="L267" t="s">
        <v>154</v>
      </c>
      <c r="N267" t="s">
        <v>196</v>
      </c>
      <c r="O267" t="s">
        <v>223</v>
      </c>
      <c r="P267">
        <v>3.2411008526234769E-2</v>
      </c>
      <c r="Q267" t="s">
        <v>154</v>
      </c>
      <c r="S267" t="s">
        <v>206</v>
      </c>
      <c r="T267" t="s">
        <v>223</v>
      </c>
      <c r="U267">
        <v>1.7632389863252537E-2</v>
      </c>
      <c r="V267" t="s">
        <v>154</v>
      </c>
    </row>
    <row r="268" spans="9:22" x14ac:dyDescent="0.25">
      <c r="I268" t="s">
        <v>172</v>
      </c>
      <c r="J268" t="s">
        <v>224</v>
      </c>
      <c r="K268">
        <v>0</v>
      </c>
      <c r="L268" t="s">
        <v>154</v>
      </c>
      <c r="N268" t="s">
        <v>196</v>
      </c>
      <c r="O268" t="s">
        <v>224</v>
      </c>
      <c r="P268">
        <v>4.5603403033884493E-2</v>
      </c>
      <c r="Q268" t="s">
        <v>154</v>
      </c>
      <c r="S268" t="s">
        <v>206</v>
      </c>
      <c r="T268" t="s">
        <v>224</v>
      </c>
      <c r="U268">
        <v>2.779540910798272E-2</v>
      </c>
      <c r="V268" t="s">
        <v>154</v>
      </c>
    </row>
    <row r="269" spans="9:22" x14ac:dyDescent="0.25">
      <c r="I269" t="s">
        <v>172</v>
      </c>
      <c r="J269" t="s">
        <v>157</v>
      </c>
      <c r="K269">
        <v>4.4930412607385147E-3</v>
      </c>
      <c r="L269" t="s">
        <v>154</v>
      </c>
      <c r="N269" t="s">
        <v>196</v>
      </c>
      <c r="O269" t="s">
        <v>157</v>
      </c>
      <c r="P269">
        <v>6.2774443529047458E-2</v>
      </c>
      <c r="Q269" t="s">
        <v>154</v>
      </c>
      <c r="S269" t="s">
        <v>206</v>
      </c>
      <c r="T269" t="s">
        <v>157</v>
      </c>
      <c r="U269">
        <v>7.8409865052539482E-2</v>
      </c>
      <c r="V269" t="s">
        <v>154</v>
      </c>
    </row>
    <row r="270" spans="9:22" x14ac:dyDescent="0.25">
      <c r="I270" t="s">
        <v>172</v>
      </c>
      <c r="J270" t="s">
        <v>158</v>
      </c>
      <c r="K270">
        <v>4.4992438943663088E-2</v>
      </c>
      <c r="L270" t="s">
        <v>154</v>
      </c>
      <c r="N270" t="s">
        <v>196</v>
      </c>
      <c r="O270" t="s">
        <v>158</v>
      </c>
      <c r="P270">
        <v>1.6988313090824391E-2</v>
      </c>
      <c r="Q270" t="s">
        <v>154</v>
      </c>
      <c r="S270" t="s">
        <v>206</v>
      </c>
      <c r="T270" t="s">
        <v>158</v>
      </c>
      <c r="U270">
        <v>2.2819842809805549E-2</v>
      </c>
      <c r="V270" t="s">
        <v>154</v>
      </c>
    </row>
    <row r="271" spans="9:22" x14ac:dyDescent="0.25">
      <c r="I271" t="s">
        <v>172</v>
      </c>
      <c r="J271" t="s">
        <v>159</v>
      </c>
      <c r="K271">
        <v>3.4222165200785214E-2</v>
      </c>
      <c r="L271" t="s">
        <v>154</v>
      </c>
      <c r="N271" t="s">
        <v>196</v>
      </c>
      <c r="O271" t="s">
        <v>159</v>
      </c>
      <c r="P271">
        <v>9.1951579682949224E-3</v>
      </c>
      <c r="Q271" t="s">
        <v>154</v>
      </c>
      <c r="S271" t="s">
        <v>206</v>
      </c>
      <c r="T271" t="s">
        <v>159</v>
      </c>
      <c r="U271">
        <v>1.1600551035174912E-2</v>
      </c>
      <c r="V271" t="s">
        <v>154</v>
      </c>
    </row>
    <row r="272" spans="9:22" x14ac:dyDescent="0.25">
      <c r="I272" t="s">
        <v>172</v>
      </c>
      <c r="J272" t="s">
        <v>225</v>
      </c>
      <c r="K272">
        <v>0.15845105322095257</v>
      </c>
      <c r="L272" t="s">
        <v>154</v>
      </c>
      <c r="N272" t="s">
        <v>196</v>
      </c>
      <c r="O272" t="s">
        <v>225</v>
      </c>
      <c r="P272">
        <v>4.4895251021534015E-2</v>
      </c>
      <c r="Q272" t="s">
        <v>154</v>
      </c>
      <c r="S272" t="s">
        <v>206</v>
      </c>
      <c r="T272" t="s">
        <v>225</v>
      </c>
      <c r="U272">
        <v>4.2638817764297066E-2</v>
      </c>
      <c r="V272" t="s">
        <v>154</v>
      </c>
    </row>
    <row r="273" spans="9:22" x14ac:dyDescent="0.25">
      <c r="I273" t="s">
        <v>172</v>
      </c>
      <c r="J273" t="s">
        <v>226</v>
      </c>
      <c r="K273">
        <v>8.4565889492417404E-2</v>
      </c>
      <c r="L273" t="s">
        <v>154</v>
      </c>
      <c r="N273" t="s">
        <v>196</v>
      </c>
      <c r="O273" t="s">
        <v>226</v>
      </c>
      <c r="P273">
        <v>6.05444581842444E-2</v>
      </c>
      <c r="Q273" t="s">
        <v>154</v>
      </c>
      <c r="S273" t="s">
        <v>206</v>
      </c>
      <c r="T273" t="s">
        <v>226</v>
      </c>
      <c r="U273">
        <v>3.8337315241247422E-2</v>
      </c>
      <c r="V273" t="s">
        <v>154</v>
      </c>
    </row>
    <row r="274" spans="9:22" x14ac:dyDescent="0.25">
      <c r="I274" t="s">
        <v>172</v>
      </c>
      <c r="J274" t="s">
        <v>227</v>
      </c>
      <c r="K274">
        <v>7.9478559272890302E-5</v>
      </c>
      <c r="L274" t="s">
        <v>154</v>
      </c>
      <c r="N274" t="s">
        <v>196</v>
      </c>
      <c r="O274" t="s">
        <v>227</v>
      </c>
      <c r="P274">
        <v>8.2054448243939052E-2</v>
      </c>
      <c r="Q274" t="s">
        <v>154</v>
      </c>
      <c r="S274" t="s">
        <v>206</v>
      </c>
      <c r="T274" t="s">
        <v>227</v>
      </c>
      <c r="U274">
        <v>6.720186548743895E-2</v>
      </c>
      <c r="V274" t="s">
        <v>154</v>
      </c>
    </row>
    <row r="275" spans="9:22" x14ac:dyDescent="0.25">
      <c r="I275" t="s">
        <v>172</v>
      </c>
      <c r="J275" t="s">
        <v>160</v>
      </c>
      <c r="K275">
        <v>1.3545888892691664E-3</v>
      </c>
      <c r="L275" t="s">
        <v>154</v>
      </c>
      <c r="N275" t="s">
        <v>196</v>
      </c>
      <c r="O275" t="s">
        <v>160</v>
      </c>
      <c r="P275">
        <v>1.997675783230572E-3</v>
      </c>
      <c r="Q275" t="s">
        <v>154</v>
      </c>
      <c r="S275" t="s">
        <v>206</v>
      </c>
      <c r="T275" t="s">
        <v>160</v>
      </c>
      <c r="U275">
        <v>3.9746169343700687E-4</v>
      </c>
      <c r="V275" t="s">
        <v>154</v>
      </c>
    </row>
    <row r="276" spans="9:22" x14ac:dyDescent="0.25">
      <c r="I276" t="s">
        <v>172</v>
      </c>
      <c r="J276" t="s">
        <v>161</v>
      </c>
      <c r="K276">
        <v>5.9890884121851957E-3</v>
      </c>
      <c r="L276" t="s">
        <v>154</v>
      </c>
      <c r="N276" t="s">
        <v>196</v>
      </c>
      <c r="O276" t="s">
        <v>161</v>
      </c>
      <c r="P276">
        <v>5.6481820170598929E-4</v>
      </c>
      <c r="Q276" t="s">
        <v>154</v>
      </c>
      <c r="S276" t="s">
        <v>206</v>
      </c>
      <c r="T276" t="s">
        <v>161</v>
      </c>
      <c r="U276">
        <v>9.1030077806882222E-5</v>
      </c>
      <c r="V276" t="s">
        <v>154</v>
      </c>
    </row>
    <row r="277" spans="9:22" x14ac:dyDescent="0.25">
      <c r="I277" t="s">
        <v>172</v>
      </c>
      <c r="J277" t="s">
        <v>162</v>
      </c>
      <c r="K277">
        <v>4.302039564643657E-3</v>
      </c>
      <c r="L277" t="s">
        <v>154</v>
      </c>
      <c r="N277" t="s">
        <v>196</v>
      </c>
      <c r="O277" t="s">
        <v>162</v>
      </c>
      <c r="P277">
        <v>2.747162000316432E-4</v>
      </c>
      <c r="Q277" t="s">
        <v>154</v>
      </c>
      <c r="S277" t="s">
        <v>206</v>
      </c>
      <c r="T277" t="s">
        <v>162</v>
      </c>
      <c r="U277">
        <v>4.4307129197437106E-5</v>
      </c>
      <c r="V277" t="s">
        <v>154</v>
      </c>
    </row>
    <row r="278" spans="9:22" x14ac:dyDescent="0.25">
      <c r="I278" t="s">
        <v>172</v>
      </c>
      <c r="J278" t="s">
        <v>228</v>
      </c>
      <c r="K278">
        <v>1.9779454814786379E-2</v>
      </c>
      <c r="L278" t="s">
        <v>154</v>
      </c>
      <c r="N278" t="s">
        <v>196</v>
      </c>
      <c r="O278" t="s">
        <v>228</v>
      </c>
      <c r="P278">
        <v>1.5180804066017874E-3</v>
      </c>
      <c r="Q278" t="s">
        <v>154</v>
      </c>
      <c r="S278" t="s">
        <v>206</v>
      </c>
      <c r="T278" t="s">
        <v>228</v>
      </c>
      <c r="U278">
        <v>2.223416471111411E-4</v>
      </c>
      <c r="V278" t="s">
        <v>154</v>
      </c>
    </row>
    <row r="279" spans="9:22" x14ac:dyDescent="0.25">
      <c r="I279" t="s">
        <v>172</v>
      </c>
      <c r="J279" t="s">
        <v>229</v>
      </c>
      <c r="K279">
        <v>9.3200746804581198E-3</v>
      </c>
      <c r="L279" t="s">
        <v>154</v>
      </c>
      <c r="N279" t="s">
        <v>196</v>
      </c>
      <c r="O279" t="s">
        <v>229</v>
      </c>
      <c r="P279">
        <v>2.1993587560511264E-3</v>
      </c>
      <c r="Q279" t="s">
        <v>154</v>
      </c>
      <c r="S279" t="s">
        <v>206</v>
      </c>
      <c r="T279" t="s">
        <v>229</v>
      </c>
      <c r="U279">
        <v>1.2300362620393506E-4</v>
      </c>
      <c r="V279" t="s">
        <v>154</v>
      </c>
    </row>
    <row r="280" spans="9:22" x14ac:dyDescent="0.25">
      <c r="I280" t="s">
        <v>172</v>
      </c>
      <c r="J280" t="s">
        <v>230</v>
      </c>
      <c r="K280">
        <v>0</v>
      </c>
      <c r="L280" t="s">
        <v>154</v>
      </c>
      <c r="N280" t="s">
        <v>196</v>
      </c>
      <c r="O280" t="s">
        <v>230</v>
      </c>
      <c r="P280">
        <v>2.4699147367522973E-3</v>
      </c>
      <c r="Q280" t="s">
        <v>154</v>
      </c>
      <c r="S280" t="s">
        <v>206</v>
      </c>
      <c r="T280" t="s">
        <v>230</v>
      </c>
      <c r="U280">
        <v>1.3461920370862201E-4</v>
      </c>
      <c r="V280" t="s">
        <v>154</v>
      </c>
    </row>
    <row r="281" spans="9:22" x14ac:dyDescent="0.25">
      <c r="I281" t="s">
        <v>172</v>
      </c>
      <c r="J281" t="s">
        <v>163</v>
      </c>
      <c r="K281">
        <v>3.1284781384761265E-3</v>
      </c>
      <c r="L281" t="s">
        <v>154</v>
      </c>
      <c r="N281" t="s">
        <v>196</v>
      </c>
      <c r="O281" t="s">
        <v>163</v>
      </c>
      <c r="P281">
        <v>6.3093583967765059E-3</v>
      </c>
      <c r="Q281" t="s">
        <v>154</v>
      </c>
      <c r="S281" t="s">
        <v>206</v>
      </c>
      <c r="T281" t="s">
        <v>163</v>
      </c>
      <c r="U281">
        <v>2.1321547659344568E-2</v>
      </c>
      <c r="V281" t="s">
        <v>154</v>
      </c>
    </row>
    <row r="282" spans="9:22" x14ac:dyDescent="0.25">
      <c r="I282" t="s">
        <v>172</v>
      </c>
      <c r="J282" t="s">
        <v>164</v>
      </c>
      <c r="K282">
        <v>1.465453452434225E-2</v>
      </c>
      <c r="L282" t="s">
        <v>154</v>
      </c>
      <c r="N282" t="s">
        <v>196</v>
      </c>
      <c r="O282" t="s">
        <v>164</v>
      </c>
      <c r="P282">
        <v>2.6549938189455312E-3</v>
      </c>
      <c r="Q282" t="s">
        <v>154</v>
      </c>
      <c r="S282" t="s">
        <v>206</v>
      </c>
      <c r="T282" t="s">
        <v>164</v>
      </c>
      <c r="U282">
        <v>7.092554676466383E-3</v>
      </c>
      <c r="V282" t="s">
        <v>154</v>
      </c>
    </row>
    <row r="283" spans="9:22" x14ac:dyDescent="0.25">
      <c r="I283" t="s">
        <v>172</v>
      </c>
      <c r="J283" t="s">
        <v>165</v>
      </c>
      <c r="K283">
        <v>1.139896252934583E-2</v>
      </c>
      <c r="L283" t="s">
        <v>154</v>
      </c>
      <c r="N283" t="s">
        <v>196</v>
      </c>
      <c r="O283" t="s">
        <v>165</v>
      </c>
      <c r="P283">
        <v>1.1905111685092116E-3</v>
      </c>
      <c r="Q283" t="s">
        <v>154</v>
      </c>
      <c r="S283" t="s">
        <v>206</v>
      </c>
      <c r="T283" t="s">
        <v>165</v>
      </c>
      <c r="U283">
        <v>3.5207957894466671E-3</v>
      </c>
      <c r="V283" t="s">
        <v>154</v>
      </c>
    </row>
    <row r="284" spans="9:22" x14ac:dyDescent="0.25">
      <c r="I284" t="s">
        <v>172</v>
      </c>
      <c r="J284" t="s">
        <v>231</v>
      </c>
      <c r="K284">
        <v>5.6214972316799436E-2</v>
      </c>
      <c r="L284" t="s">
        <v>154</v>
      </c>
      <c r="N284" t="s">
        <v>196</v>
      </c>
      <c r="O284" t="s">
        <v>231</v>
      </c>
      <c r="P284">
        <v>6.3816183523463747E-3</v>
      </c>
      <c r="Q284" t="s">
        <v>154</v>
      </c>
      <c r="S284" t="s">
        <v>206</v>
      </c>
      <c r="T284" t="s">
        <v>231</v>
      </c>
      <c r="U284">
        <v>1.3372040573119073E-2</v>
      </c>
      <c r="V284" t="s">
        <v>154</v>
      </c>
    </row>
    <row r="285" spans="9:22" x14ac:dyDescent="0.25">
      <c r="I285" t="s">
        <v>172</v>
      </c>
      <c r="J285" t="s">
        <v>232</v>
      </c>
      <c r="K285">
        <v>2.9672310602342548E-2</v>
      </c>
      <c r="L285" t="s">
        <v>154</v>
      </c>
      <c r="N285" t="s">
        <v>196</v>
      </c>
      <c r="O285" t="s">
        <v>232</v>
      </c>
      <c r="P285">
        <v>5.5672157840030911E-3</v>
      </c>
      <c r="Q285" t="s">
        <v>154</v>
      </c>
      <c r="S285" t="s">
        <v>206</v>
      </c>
      <c r="T285" t="s">
        <v>232</v>
      </c>
      <c r="U285">
        <v>1.243768582481335E-2</v>
      </c>
      <c r="V285" t="s">
        <v>154</v>
      </c>
    </row>
    <row r="286" spans="9:22" x14ac:dyDescent="0.25">
      <c r="I286" t="s">
        <v>172</v>
      </c>
      <c r="J286" t="s">
        <v>233</v>
      </c>
      <c r="K286">
        <v>9.8012934295578291E-5</v>
      </c>
      <c r="L286" t="s">
        <v>154</v>
      </c>
      <c r="N286" t="s">
        <v>196</v>
      </c>
      <c r="O286" t="s">
        <v>233</v>
      </c>
      <c r="P286">
        <v>5.1674028071948645E-3</v>
      </c>
      <c r="Q286" t="s">
        <v>154</v>
      </c>
      <c r="S286" t="s">
        <v>206</v>
      </c>
      <c r="T286" t="s">
        <v>233</v>
      </c>
      <c r="U286">
        <v>1.4119023082042582E-2</v>
      </c>
      <c r="V286" t="s">
        <v>154</v>
      </c>
    </row>
    <row r="287" spans="9:22" x14ac:dyDescent="0.25">
      <c r="I287" t="s">
        <v>172</v>
      </c>
      <c r="J287" t="s">
        <v>240</v>
      </c>
      <c r="K287">
        <v>6.868800576368162E-3</v>
      </c>
      <c r="L287" t="s">
        <v>154</v>
      </c>
      <c r="N287" t="s">
        <v>196</v>
      </c>
      <c r="O287" t="s">
        <v>240</v>
      </c>
      <c r="P287">
        <v>3.6376673152664893E-2</v>
      </c>
      <c r="Q287" t="s">
        <v>154</v>
      </c>
      <c r="S287" t="s">
        <v>206</v>
      </c>
      <c r="T287" t="s">
        <v>240</v>
      </c>
      <c r="U287">
        <v>9.8611954060750018E-2</v>
      </c>
      <c r="V287" t="s">
        <v>154</v>
      </c>
    </row>
    <row r="288" spans="9:22" x14ac:dyDescent="0.25">
      <c r="I288" t="s">
        <v>172</v>
      </c>
      <c r="J288" t="s">
        <v>241</v>
      </c>
      <c r="K288">
        <v>3.2743697652040375E-2</v>
      </c>
      <c r="L288" t="s">
        <v>154</v>
      </c>
      <c r="N288" t="s">
        <v>196</v>
      </c>
      <c r="O288" t="s">
        <v>241</v>
      </c>
      <c r="P288">
        <v>1.5324384469014667E-2</v>
      </c>
      <c r="Q288" t="s">
        <v>154</v>
      </c>
      <c r="S288" t="s">
        <v>206</v>
      </c>
      <c r="T288" t="s">
        <v>241</v>
      </c>
      <c r="U288">
        <v>2.8156768216972786E-2</v>
      </c>
      <c r="V288" t="s">
        <v>154</v>
      </c>
    </row>
    <row r="289" spans="9:22" x14ac:dyDescent="0.25">
      <c r="I289" t="s">
        <v>172</v>
      </c>
      <c r="J289" t="s">
        <v>242</v>
      </c>
      <c r="K289">
        <v>2.5411363370201296E-2</v>
      </c>
      <c r="L289" t="s">
        <v>154</v>
      </c>
      <c r="N289" t="s">
        <v>196</v>
      </c>
      <c r="O289" t="s">
        <v>242</v>
      </c>
      <c r="P289">
        <v>9.0830843431726534E-3</v>
      </c>
      <c r="Q289" t="s">
        <v>154</v>
      </c>
      <c r="S289" t="s">
        <v>206</v>
      </c>
      <c r="T289" t="s">
        <v>242</v>
      </c>
      <c r="U289">
        <v>1.4213936242912872E-2</v>
      </c>
      <c r="V289" t="s">
        <v>154</v>
      </c>
    </row>
    <row r="290" spans="9:22" x14ac:dyDescent="0.25">
      <c r="I290" t="s">
        <v>172</v>
      </c>
      <c r="J290" t="s">
        <v>243</v>
      </c>
      <c r="K290">
        <v>0.12061187932831521</v>
      </c>
      <c r="L290" t="s">
        <v>154</v>
      </c>
      <c r="N290" t="s">
        <v>196</v>
      </c>
      <c r="O290" t="s">
        <v>243</v>
      </c>
      <c r="P290">
        <v>4.0472487127595949E-2</v>
      </c>
      <c r="Q290" t="s">
        <v>154</v>
      </c>
      <c r="S290" t="s">
        <v>206</v>
      </c>
      <c r="T290" t="s">
        <v>243</v>
      </c>
      <c r="U290">
        <v>5.8872374439192791E-2</v>
      </c>
      <c r="V290" t="s">
        <v>154</v>
      </c>
    </row>
    <row r="291" spans="9:22" x14ac:dyDescent="0.25">
      <c r="I291" t="s">
        <v>172</v>
      </c>
      <c r="J291" t="s">
        <v>244</v>
      </c>
      <c r="K291">
        <v>6.6785981707599584E-2</v>
      </c>
      <c r="L291" t="s">
        <v>154</v>
      </c>
      <c r="N291" t="s">
        <v>196</v>
      </c>
      <c r="O291" t="s">
        <v>244</v>
      </c>
      <c r="P291">
        <v>3.5899625741213713E-2</v>
      </c>
      <c r="Q291" t="s">
        <v>154</v>
      </c>
      <c r="S291" t="s">
        <v>206</v>
      </c>
      <c r="T291" t="s">
        <v>244</v>
      </c>
      <c r="U291">
        <v>5.7889842188991167E-2</v>
      </c>
      <c r="V291" t="s">
        <v>154</v>
      </c>
    </row>
    <row r="292" spans="9:22" x14ac:dyDescent="0.25">
      <c r="I292" t="s">
        <v>172</v>
      </c>
      <c r="J292" t="s">
        <v>245</v>
      </c>
      <c r="K292">
        <v>8.3940218830018366E-4</v>
      </c>
      <c r="L292" t="s">
        <v>154</v>
      </c>
      <c r="N292" t="s">
        <v>196</v>
      </c>
      <c r="O292" t="s">
        <v>245</v>
      </c>
      <c r="P292">
        <v>4.2575561348369428E-2</v>
      </c>
      <c r="Q292" t="s">
        <v>154</v>
      </c>
      <c r="S292" t="s">
        <v>206</v>
      </c>
      <c r="T292" t="s">
        <v>245</v>
      </c>
      <c r="U292">
        <v>7.8415895187140483E-2</v>
      </c>
      <c r="V292" t="s">
        <v>154</v>
      </c>
    </row>
    <row r="293" spans="9:22" x14ac:dyDescent="0.25">
      <c r="I293" t="s">
        <v>172</v>
      </c>
      <c r="J293" t="s">
        <v>246</v>
      </c>
      <c r="K293">
        <v>5.6979745085378028E-3</v>
      </c>
      <c r="L293" t="s">
        <v>154</v>
      </c>
      <c r="N293" t="s">
        <v>196</v>
      </c>
      <c r="O293" t="s">
        <v>246</v>
      </c>
      <c r="P293">
        <v>8.2550096367508222E-2</v>
      </c>
      <c r="Q293" t="s">
        <v>154</v>
      </c>
      <c r="S293" t="s">
        <v>206</v>
      </c>
      <c r="T293" t="s">
        <v>246</v>
      </c>
      <c r="U293">
        <v>6.2119154619197328E-2</v>
      </c>
      <c r="V293" t="s">
        <v>154</v>
      </c>
    </row>
    <row r="294" spans="9:22" x14ac:dyDescent="0.25">
      <c r="I294" t="s">
        <v>172</v>
      </c>
      <c r="J294" t="s">
        <v>247</v>
      </c>
      <c r="K294">
        <v>3.1830343437743248E-2</v>
      </c>
      <c r="L294" t="s">
        <v>154</v>
      </c>
      <c r="N294" t="s">
        <v>196</v>
      </c>
      <c r="O294" t="s">
        <v>247</v>
      </c>
      <c r="P294">
        <v>2.3234408538555525E-2</v>
      </c>
      <c r="Q294" t="s">
        <v>154</v>
      </c>
      <c r="S294" t="s">
        <v>206</v>
      </c>
      <c r="T294" t="s">
        <v>247</v>
      </c>
      <c r="U294">
        <v>1.8859696239482145E-2</v>
      </c>
      <c r="V294" t="s">
        <v>154</v>
      </c>
    </row>
    <row r="295" spans="9:22" x14ac:dyDescent="0.25">
      <c r="I295" t="s">
        <v>172</v>
      </c>
      <c r="J295" t="s">
        <v>248</v>
      </c>
      <c r="K295">
        <v>2.3748095048158755E-2</v>
      </c>
      <c r="L295" t="s">
        <v>154</v>
      </c>
      <c r="N295" t="s">
        <v>196</v>
      </c>
      <c r="O295" t="s">
        <v>248</v>
      </c>
      <c r="P295">
        <v>1.1659533737634301E-2</v>
      </c>
      <c r="Q295" t="s">
        <v>154</v>
      </c>
      <c r="S295" t="s">
        <v>206</v>
      </c>
      <c r="T295" t="s">
        <v>248</v>
      </c>
      <c r="U295">
        <v>9.5339274878778434E-3</v>
      </c>
      <c r="V295" t="s">
        <v>154</v>
      </c>
    </row>
    <row r="296" spans="9:22" x14ac:dyDescent="0.25">
      <c r="I296" t="s">
        <v>172</v>
      </c>
      <c r="J296" t="s">
        <v>249</v>
      </c>
      <c r="K296">
        <v>0.10465165165520426</v>
      </c>
      <c r="L296" t="s">
        <v>154</v>
      </c>
      <c r="N296" t="s">
        <v>196</v>
      </c>
      <c r="O296" t="s">
        <v>249</v>
      </c>
      <c r="P296">
        <v>5.2761076049388331E-2</v>
      </c>
      <c r="Q296" t="s">
        <v>154</v>
      </c>
      <c r="S296" t="s">
        <v>206</v>
      </c>
      <c r="T296" t="s">
        <v>249</v>
      </c>
      <c r="U296">
        <v>3.640795790457331E-2</v>
      </c>
      <c r="V296" t="s">
        <v>154</v>
      </c>
    </row>
    <row r="297" spans="9:22" x14ac:dyDescent="0.25">
      <c r="I297" t="s">
        <v>172</v>
      </c>
      <c r="J297" t="s">
        <v>250</v>
      </c>
      <c r="K297">
        <v>4.6695357382055519E-2</v>
      </c>
      <c r="L297" t="s">
        <v>154</v>
      </c>
      <c r="N297" t="s">
        <v>196</v>
      </c>
      <c r="O297" t="s">
        <v>250</v>
      </c>
      <c r="P297">
        <v>7.1107950491547917E-2</v>
      </c>
      <c r="Q297" t="s">
        <v>154</v>
      </c>
      <c r="S297" t="s">
        <v>206</v>
      </c>
      <c r="T297" t="s">
        <v>250</v>
      </c>
      <c r="U297">
        <v>3.5046214245966087E-2</v>
      </c>
      <c r="V297" t="s">
        <v>154</v>
      </c>
    </row>
    <row r="298" spans="9:22" x14ac:dyDescent="0.25">
      <c r="I298" t="s">
        <v>172</v>
      </c>
      <c r="J298" t="s">
        <v>251</v>
      </c>
      <c r="K298">
        <v>0</v>
      </c>
      <c r="L298" t="s">
        <v>154</v>
      </c>
      <c r="N298" t="s">
        <v>196</v>
      </c>
      <c r="O298" t="s">
        <v>251</v>
      </c>
      <c r="P298">
        <v>0.1022257600294557</v>
      </c>
      <c r="Q298" t="s">
        <v>154</v>
      </c>
      <c r="S298" t="s">
        <v>206</v>
      </c>
      <c r="T298" t="s">
        <v>251</v>
      </c>
      <c r="U298">
        <v>5.7391412302866651E-2</v>
      </c>
      <c r="V298" t="s">
        <v>154</v>
      </c>
    </row>
    <row r="299" spans="9:22" x14ac:dyDescent="0.25">
      <c r="I299" t="s">
        <v>173</v>
      </c>
      <c r="J299" t="s">
        <v>153</v>
      </c>
      <c r="K299">
        <v>0</v>
      </c>
      <c r="L299" t="s">
        <v>154</v>
      </c>
      <c r="N299" t="s">
        <v>197</v>
      </c>
      <c r="O299" t="s">
        <v>153</v>
      </c>
      <c r="P299">
        <v>5.7175243396404396E-2</v>
      </c>
      <c r="Q299" t="s">
        <v>154</v>
      </c>
      <c r="S299" t="s">
        <v>207</v>
      </c>
      <c r="T299" t="s">
        <v>153</v>
      </c>
      <c r="U299">
        <v>3.1885212060827513E-2</v>
      </c>
      <c r="V299" t="s">
        <v>154</v>
      </c>
    </row>
    <row r="300" spans="9:22" x14ac:dyDescent="0.25">
      <c r="I300" t="s">
        <v>173</v>
      </c>
      <c r="J300" t="s">
        <v>155</v>
      </c>
      <c r="K300">
        <v>5.3695416889517882E-3</v>
      </c>
      <c r="L300" t="s">
        <v>154</v>
      </c>
      <c r="N300" t="s">
        <v>197</v>
      </c>
      <c r="O300" t="s">
        <v>155</v>
      </c>
      <c r="P300">
        <v>1.2453177806118437E-2</v>
      </c>
      <c r="Q300" t="s">
        <v>154</v>
      </c>
      <c r="S300" t="s">
        <v>207</v>
      </c>
      <c r="T300" t="s">
        <v>155</v>
      </c>
      <c r="U300">
        <v>8.368199458813768E-3</v>
      </c>
      <c r="V300" t="s">
        <v>154</v>
      </c>
    </row>
    <row r="301" spans="9:22" x14ac:dyDescent="0.25">
      <c r="I301" t="s">
        <v>173</v>
      </c>
      <c r="J301" t="s">
        <v>156</v>
      </c>
      <c r="K301">
        <v>5.49073118936031E-3</v>
      </c>
      <c r="L301" t="s">
        <v>154</v>
      </c>
      <c r="N301" t="s">
        <v>197</v>
      </c>
      <c r="O301" t="s">
        <v>156</v>
      </c>
      <c r="P301">
        <v>6.3761379183929195E-3</v>
      </c>
      <c r="Q301" t="s">
        <v>154</v>
      </c>
      <c r="S301" t="s">
        <v>207</v>
      </c>
      <c r="T301" t="s">
        <v>156</v>
      </c>
      <c r="U301">
        <v>4.3643180104528364E-3</v>
      </c>
      <c r="V301" t="s">
        <v>154</v>
      </c>
    </row>
    <row r="302" spans="9:22" x14ac:dyDescent="0.25">
      <c r="I302" t="s">
        <v>173</v>
      </c>
      <c r="J302" t="s">
        <v>222</v>
      </c>
      <c r="K302">
        <v>2.8847656633423147E-2</v>
      </c>
      <c r="L302" t="s">
        <v>154</v>
      </c>
      <c r="N302" t="s">
        <v>197</v>
      </c>
      <c r="O302" t="s">
        <v>222</v>
      </c>
      <c r="P302">
        <v>2.8931145869200647E-2</v>
      </c>
      <c r="Q302" t="s">
        <v>154</v>
      </c>
      <c r="S302" t="s">
        <v>207</v>
      </c>
      <c r="T302" t="s">
        <v>222</v>
      </c>
      <c r="U302">
        <v>1.7341533561585572E-2</v>
      </c>
      <c r="V302" t="s">
        <v>154</v>
      </c>
    </row>
    <row r="303" spans="9:22" x14ac:dyDescent="0.25">
      <c r="I303" t="s">
        <v>173</v>
      </c>
      <c r="J303" t="s">
        <v>223</v>
      </c>
      <c r="K303">
        <v>1.7727185784999717E-2</v>
      </c>
      <c r="L303" t="s">
        <v>154</v>
      </c>
      <c r="N303" t="s">
        <v>197</v>
      </c>
      <c r="O303" t="s">
        <v>223</v>
      </c>
      <c r="P303">
        <v>2.9623315593881434E-2</v>
      </c>
      <c r="Q303" t="s">
        <v>154</v>
      </c>
      <c r="S303" t="s">
        <v>207</v>
      </c>
      <c r="T303" t="s">
        <v>223</v>
      </c>
      <c r="U303">
        <v>1.678840932274614E-2</v>
      </c>
      <c r="V303" t="s">
        <v>154</v>
      </c>
    </row>
    <row r="304" spans="9:22" x14ac:dyDescent="0.25">
      <c r="I304" t="s">
        <v>173</v>
      </c>
      <c r="J304" t="s">
        <v>224</v>
      </c>
      <c r="K304">
        <v>1.922227496397295E-4</v>
      </c>
      <c r="L304" t="s">
        <v>154</v>
      </c>
      <c r="N304" t="s">
        <v>197</v>
      </c>
      <c r="O304" t="s">
        <v>224</v>
      </c>
      <c r="P304">
        <v>4.2234418425011612E-2</v>
      </c>
      <c r="Q304" t="s">
        <v>154</v>
      </c>
      <c r="S304" t="s">
        <v>207</v>
      </c>
      <c r="T304" t="s">
        <v>224</v>
      </c>
      <c r="U304">
        <v>2.7313359078618139E-2</v>
      </c>
      <c r="V304" t="s">
        <v>154</v>
      </c>
    </row>
    <row r="305" spans="9:22" x14ac:dyDescent="0.25">
      <c r="I305" t="s">
        <v>173</v>
      </c>
      <c r="J305" t="s">
        <v>157</v>
      </c>
      <c r="K305">
        <v>1.8169214322023731E-3</v>
      </c>
      <c r="L305" t="s">
        <v>154</v>
      </c>
      <c r="N305" t="s">
        <v>197</v>
      </c>
      <c r="O305" t="s">
        <v>157</v>
      </c>
      <c r="P305">
        <v>8.2492863192920859E-2</v>
      </c>
      <c r="Q305" t="s">
        <v>154</v>
      </c>
      <c r="S305" t="s">
        <v>207</v>
      </c>
      <c r="T305" t="s">
        <v>157</v>
      </c>
      <c r="U305">
        <v>7.752319845523023E-2</v>
      </c>
      <c r="V305" t="s">
        <v>154</v>
      </c>
    </row>
    <row r="306" spans="9:22" x14ac:dyDescent="0.25">
      <c r="I306" t="s">
        <v>173</v>
      </c>
      <c r="J306" t="s">
        <v>158</v>
      </c>
      <c r="K306">
        <v>2.9567906627641114E-2</v>
      </c>
      <c r="L306" t="s">
        <v>154</v>
      </c>
      <c r="N306" t="s">
        <v>197</v>
      </c>
      <c r="O306" t="s">
        <v>158</v>
      </c>
      <c r="P306">
        <v>2.4874956609416618E-2</v>
      </c>
      <c r="Q306" t="s">
        <v>154</v>
      </c>
      <c r="S306" t="s">
        <v>207</v>
      </c>
      <c r="T306" t="s">
        <v>158</v>
      </c>
      <c r="U306">
        <v>2.2716083478468371E-2</v>
      </c>
      <c r="V306" t="s">
        <v>154</v>
      </c>
    </row>
    <row r="307" spans="9:22" x14ac:dyDescent="0.25">
      <c r="I307" t="s">
        <v>173</v>
      </c>
      <c r="J307" t="s">
        <v>159</v>
      </c>
      <c r="K307">
        <v>2.8210769468047237E-2</v>
      </c>
      <c r="L307" t="s">
        <v>154</v>
      </c>
      <c r="N307" t="s">
        <v>197</v>
      </c>
      <c r="O307" t="s">
        <v>159</v>
      </c>
      <c r="P307">
        <v>1.1950699406818869E-2</v>
      </c>
      <c r="Q307" t="s">
        <v>154</v>
      </c>
      <c r="S307" t="s">
        <v>207</v>
      </c>
      <c r="T307" t="s">
        <v>159</v>
      </c>
      <c r="U307">
        <v>1.1437098349917504E-2</v>
      </c>
      <c r="V307" t="s">
        <v>154</v>
      </c>
    </row>
    <row r="308" spans="9:22" x14ac:dyDescent="0.25">
      <c r="I308" t="s">
        <v>173</v>
      </c>
      <c r="J308" t="s">
        <v>225</v>
      </c>
      <c r="K308">
        <v>0.15226443453352334</v>
      </c>
      <c r="L308" t="s">
        <v>154</v>
      </c>
      <c r="N308" t="s">
        <v>197</v>
      </c>
      <c r="O308" t="s">
        <v>225</v>
      </c>
      <c r="P308">
        <v>4.9967102010246296E-2</v>
      </c>
      <c r="Q308" t="s">
        <v>154</v>
      </c>
      <c r="S308" t="s">
        <v>207</v>
      </c>
      <c r="T308" t="s">
        <v>225</v>
      </c>
      <c r="U308">
        <v>4.2409512975835555E-2</v>
      </c>
      <c r="V308" t="s">
        <v>154</v>
      </c>
    </row>
    <row r="309" spans="9:22" x14ac:dyDescent="0.25">
      <c r="I309" t="s">
        <v>173</v>
      </c>
      <c r="J309" t="s">
        <v>226</v>
      </c>
      <c r="K309">
        <v>9.7882206008986547E-2</v>
      </c>
      <c r="L309" t="s">
        <v>154</v>
      </c>
      <c r="N309" t="s">
        <v>197</v>
      </c>
      <c r="O309" t="s">
        <v>226</v>
      </c>
      <c r="P309">
        <v>5.6510235274087731E-2</v>
      </c>
      <c r="Q309" t="s">
        <v>154</v>
      </c>
      <c r="S309" t="s">
        <v>207</v>
      </c>
      <c r="T309" t="s">
        <v>226</v>
      </c>
      <c r="U309">
        <v>3.7661390036967127E-2</v>
      </c>
      <c r="V309" t="s">
        <v>154</v>
      </c>
    </row>
    <row r="310" spans="9:22" x14ac:dyDescent="0.25">
      <c r="I310" t="s">
        <v>173</v>
      </c>
      <c r="J310" t="s">
        <v>227</v>
      </c>
      <c r="K310">
        <v>2.9587546519999632E-3</v>
      </c>
      <c r="L310" t="s">
        <v>154</v>
      </c>
      <c r="N310" t="s">
        <v>197</v>
      </c>
      <c r="O310" t="s">
        <v>227</v>
      </c>
      <c r="P310">
        <v>8.1430905503923484E-2</v>
      </c>
      <c r="Q310" t="s">
        <v>154</v>
      </c>
      <c r="S310" t="s">
        <v>207</v>
      </c>
      <c r="T310" t="s">
        <v>227</v>
      </c>
      <c r="U310">
        <v>6.596092327367821E-2</v>
      </c>
      <c r="V310" t="s">
        <v>154</v>
      </c>
    </row>
    <row r="311" spans="9:22" x14ac:dyDescent="0.25">
      <c r="I311" t="s">
        <v>173</v>
      </c>
      <c r="J311" t="s">
        <v>160</v>
      </c>
      <c r="K311">
        <v>7.9658978989343766E-4</v>
      </c>
      <c r="L311" t="s">
        <v>154</v>
      </c>
      <c r="N311" t="s">
        <v>197</v>
      </c>
      <c r="O311" t="s">
        <v>160</v>
      </c>
      <c r="P311">
        <v>1.96867288790835E-3</v>
      </c>
      <c r="Q311" t="s">
        <v>154</v>
      </c>
      <c r="S311" t="s">
        <v>207</v>
      </c>
      <c r="T311" t="s">
        <v>160</v>
      </c>
      <c r="U311">
        <v>5.9071487659746497E-4</v>
      </c>
      <c r="V311" t="s">
        <v>154</v>
      </c>
    </row>
    <row r="312" spans="9:22" x14ac:dyDescent="0.25">
      <c r="I312" t="s">
        <v>173</v>
      </c>
      <c r="J312" t="s">
        <v>161</v>
      </c>
      <c r="K312">
        <v>3.9530352158677704E-3</v>
      </c>
      <c r="L312" t="s">
        <v>154</v>
      </c>
      <c r="N312" t="s">
        <v>197</v>
      </c>
      <c r="O312" t="s">
        <v>161</v>
      </c>
      <c r="P312">
        <v>6.4256882832289123E-4</v>
      </c>
      <c r="Q312" t="s">
        <v>154</v>
      </c>
      <c r="S312" t="s">
        <v>207</v>
      </c>
      <c r="T312" t="s">
        <v>161</v>
      </c>
      <c r="U312">
        <v>1.6917889658680653E-4</v>
      </c>
      <c r="V312" t="s">
        <v>154</v>
      </c>
    </row>
    <row r="313" spans="9:22" x14ac:dyDescent="0.25">
      <c r="I313" t="s">
        <v>173</v>
      </c>
      <c r="J313" t="s">
        <v>162</v>
      </c>
      <c r="K313">
        <v>3.6128949862980352E-3</v>
      </c>
      <c r="L313" t="s">
        <v>154</v>
      </c>
      <c r="N313" t="s">
        <v>197</v>
      </c>
      <c r="O313" t="s">
        <v>162</v>
      </c>
      <c r="P313">
        <v>3.6991170015174165E-4</v>
      </c>
      <c r="Q313" t="s">
        <v>154</v>
      </c>
      <c r="S313" t="s">
        <v>207</v>
      </c>
      <c r="T313" t="s">
        <v>162</v>
      </c>
      <c r="U313">
        <v>9.5040775014238168E-5</v>
      </c>
      <c r="V313" t="s">
        <v>154</v>
      </c>
    </row>
    <row r="314" spans="9:22" x14ac:dyDescent="0.25">
      <c r="I314" t="s">
        <v>173</v>
      </c>
      <c r="J314" t="s">
        <v>228</v>
      </c>
      <c r="K314">
        <v>1.9946716093886763E-2</v>
      </c>
      <c r="L314" t="s">
        <v>154</v>
      </c>
      <c r="N314" t="s">
        <v>197</v>
      </c>
      <c r="O314" t="s">
        <v>228</v>
      </c>
      <c r="P314">
        <v>1.0510840119838649E-3</v>
      </c>
      <c r="Q314" t="s">
        <v>154</v>
      </c>
      <c r="S314" t="s">
        <v>207</v>
      </c>
      <c r="T314" t="s">
        <v>228</v>
      </c>
      <c r="U314">
        <v>3.1004735660066765E-4</v>
      </c>
      <c r="V314" t="s">
        <v>154</v>
      </c>
    </row>
    <row r="315" spans="9:22" x14ac:dyDescent="0.25">
      <c r="I315" t="s">
        <v>173</v>
      </c>
      <c r="J315" t="s">
        <v>229</v>
      </c>
      <c r="K315">
        <v>1.3084693151636063E-2</v>
      </c>
      <c r="L315" t="s">
        <v>154</v>
      </c>
      <c r="N315" t="s">
        <v>197</v>
      </c>
      <c r="O315" t="s">
        <v>229</v>
      </c>
      <c r="P315">
        <v>1.4510264673658407E-3</v>
      </c>
      <c r="Q315" t="s">
        <v>154</v>
      </c>
      <c r="S315" t="s">
        <v>207</v>
      </c>
      <c r="T315" t="s">
        <v>229</v>
      </c>
      <c r="U315">
        <v>1.0791542003037406E-4</v>
      </c>
      <c r="V315" t="s">
        <v>154</v>
      </c>
    </row>
    <row r="316" spans="9:22" x14ac:dyDescent="0.25">
      <c r="I316" t="s">
        <v>173</v>
      </c>
      <c r="J316" t="s">
        <v>230</v>
      </c>
      <c r="K316">
        <v>0</v>
      </c>
      <c r="L316" t="s">
        <v>154</v>
      </c>
      <c r="N316" t="s">
        <v>197</v>
      </c>
      <c r="O316" t="s">
        <v>230</v>
      </c>
      <c r="P316">
        <v>2.1166367867745707E-3</v>
      </c>
      <c r="Q316" t="s">
        <v>154</v>
      </c>
      <c r="S316" t="s">
        <v>207</v>
      </c>
      <c r="T316" t="s">
        <v>230</v>
      </c>
      <c r="U316">
        <v>2.356521198026543E-4</v>
      </c>
      <c r="V316" t="s">
        <v>154</v>
      </c>
    </row>
    <row r="317" spans="9:22" x14ac:dyDescent="0.25">
      <c r="I317" t="s">
        <v>173</v>
      </c>
      <c r="J317" t="s">
        <v>163</v>
      </c>
      <c r="K317">
        <v>1.7595343780980608E-3</v>
      </c>
      <c r="L317" t="s">
        <v>154</v>
      </c>
      <c r="N317" t="s">
        <v>197</v>
      </c>
      <c r="O317" t="s">
        <v>163</v>
      </c>
      <c r="P317">
        <v>1.5930326299676025E-2</v>
      </c>
      <c r="Q317" t="s">
        <v>154</v>
      </c>
      <c r="S317" t="s">
        <v>207</v>
      </c>
      <c r="T317" t="s">
        <v>163</v>
      </c>
      <c r="U317">
        <v>2.2118746152928883E-2</v>
      </c>
      <c r="V317" t="s">
        <v>154</v>
      </c>
    </row>
    <row r="318" spans="9:22" x14ac:dyDescent="0.25">
      <c r="I318" t="s">
        <v>173</v>
      </c>
      <c r="J318" t="s">
        <v>164</v>
      </c>
      <c r="K318">
        <v>1.3859383894397215E-2</v>
      </c>
      <c r="L318" t="s">
        <v>154</v>
      </c>
      <c r="N318" t="s">
        <v>197</v>
      </c>
      <c r="O318" t="s">
        <v>164</v>
      </c>
      <c r="P318">
        <v>4.651165221216909E-3</v>
      </c>
      <c r="Q318" t="s">
        <v>154</v>
      </c>
      <c r="S318" t="s">
        <v>207</v>
      </c>
      <c r="T318" t="s">
        <v>164</v>
      </c>
      <c r="U318">
        <v>6.571381071818554E-3</v>
      </c>
      <c r="V318" t="s">
        <v>154</v>
      </c>
    </row>
    <row r="319" spans="9:22" x14ac:dyDescent="0.25">
      <c r="I319" t="s">
        <v>173</v>
      </c>
      <c r="J319" t="s">
        <v>165</v>
      </c>
      <c r="K319">
        <v>1.1510659185903927E-2</v>
      </c>
      <c r="L319" t="s">
        <v>154</v>
      </c>
      <c r="N319" t="s">
        <v>197</v>
      </c>
      <c r="O319" t="s">
        <v>165</v>
      </c>
      <c r="P319">
        <v>2.2247750781946899E-3</v>
      </c>
      <c r="Q319" t="s">
        <v>154</v>
      </c>
      <c r="S319" t="s">
        <v>207</v>
      </c>
      <c r="T319" t="s">
        <v>165</v>
      </c>
      <c r="U319">
        <v>3.5842325404905379E-3</v>
      </c>
      <c r="V319" t="s">
        <v>154</v>
      </c>
    </row>
    <row r="320" spans="9:22" x14ac:dyDescent="0.25">
      <c r="I320" t="s">
        <v>173</v>
      </c>
      <c r="J320" t="s">
        <v>231</v>
      </c>
      <c r="K320">
        <v>5.8681807359839001E-2</v>
      </c>
      <c r="L320" t="s">
        <v>154</v>
      </c>
      <c r="N320" t="s">
        <v>197</v>
      </c>
      <c r="O320" t="s">
        <v>231</v>
      </c>
      <c r="P320">
        <v>7.7322157822121386E-3</v>
      </c>
      <c r="Q320" t="s">
        <v>154</v>
      </c>
      <c r="S320" t="s">
        <v>207</v>
      </c>
      <c r="T320" t="s">
        <v>231</v>
      </c>
      <c r="U320">
        <v>1.4569524089739308E-2</v>
      </c>
      <c r="V320" t="s">
        <v>154</v>
      </c>
    </row>
    <row r="321" spans="9:22" x14ac:dyDescent="0.25">
      <c r="I321" t="s">
        <v>173</v>
      </c>
      <c r="J321" t="s">
        <v>232</v>
      </c>
      <c r="K321">
        <v>3.4693799110886749E-2</v>
      </c>
      <c r="L321" t="s">
        <v>154</v>
      </c>
      <c r="N321" t="s">
        <v>197</v>
      </c>
      <c r="O321" t="s">
        <v>232</v>
      </c>
      <c r="P321">
        <v>6.8079746301114496E-3</v>
      </c>
      <c r="Q321" t="s">
        <v>154</v>
      </c>
      <c r="S321" t="s">
        <v>207</v>
      </c>
      <c r="T321" t="s">
        <v>232</v>
      </c>
      <c r="U321">
        <v>1.3367726876883663E-2</v>
      </c>
      <c r="V321" t="s">
        <v>154</v>
      </c>
    </row>
    <row r="322" spans="9:22" x14ac:dyDescent="0.25">
      <c r="I322" t="s">
        <v>173</v>
      </c>
      <c r="J322" t="s">
        <v>233</v>
      </c>
      <c r="K322">
        <v>9.8238737277617076E-4</v>
      </c>
      <c r="L322" t="s">
        <v>154</v>
      </c>
      <c r="N322" t="s">
        <v>197</v>
      </c>
      <c r="O322" t="s">
        <v>233</v>
      </c>
      <c r="P322">
        <v>1.1780654877333045E-2</v>
      </c>
      <c r="Q322" t="s">
        <v>154</v>
      </c>
      <c r="S322" t="s">
        <v>207</v>
      </c>
      <c r="T322" t="s">
        <v>233</v>
      </c>
      <c r="U322">
        <v>1.4761148309975065E-2</v>
      </c>
      <c r="V322" t="s">
        <v>154</v>
      </c>
    </row>
    <row r="323" spans="9:22" x14ac:dyDescent="0.25">
      <c r="I323" t="s">
        <v>173</v>
      </c>
      <c r="J323" t="s">
        <v>240</v>
      </c>
      <c r="K323">
        <v>1.8982728118198062E-3</v>
      </c>
      <c r="L323" t="s">
        <v>154</v>
      </c>
      <c r="N323" t="s">
        <v>197</v>
      </c>
      <c r="O323" t="s">
        <v>240</v>
      </c>
      <c r="P323">
        <v>5.9078323438443894E-2</v>
      </c>
      <c r="Q323" t="s">
        <v>154</v>
      </c>
      <c r="S323" t="s">
        <v>207</v>
      </c>
      <c r="T323" t="s">
        <v>240</v>
      </c>
      <c r="U323">
        <v>0.10669223067539459</v>
      </c>
      <c r="V323" t="s">
        <v>154</v>
      </c>
    </row>
    <row r="324" spans="9:22" x14ac:dyDescent="0.25">
      <c r="I324" t="s">
        <v>173</v>
      </c>
      <c r="J324" t="s">
        <v>241</v>
      </c>
      <c r="K324">
        <v>2.6829665676615932E-2</v>
      </c>
      <c r="L324" t="s">
        <v>154</v>
      </c>
      <c r="N324" t="s">
        <v>197</v>
      </c>
      <c r="O324" t="s">
        <v>241</v>
      </c>
      <c r="P324">
        <v>1.8031747744250502E-2</v>
      </c>
      <c r="Q324" t="s">
        <v>154</v>
      </c>
      <c r="S324" t="s">
        <v>207</v>
      </c>
      <c r="T324" t="s">
        <v>241</v>
      </c>
      <c r="U324">
        <v>3.0739845169901147E-2</v>
      </c>
      <c r="V324" t="s">
        <v>154</v>
      </c>
    </row>
    <row r="325" spans="9:22" x14ac:dyDescent="0.25">
      <c r="I325" t="s">
        <v>173</v>
      </c>
      <c r="J325" t="s">
        <v>242</v>
      </c>
      <c r="K325">
        <v>2.3949733940502482E-2</v>
      </c>
      <c r="L325" t="s">
        <v>154</v>
      </c>
      <c r="N325" t="s">
        <v>197</v>
      </c>
      <c r="O325" t="s">
        <v>242</v>
      </c>
      <c r="P325">
        <v>8.9881659392043976E-3</v>
      </c>
      <c r="Q325" t="s">
        <v>154</v>
      </c>
      <c r="S325" t="s">
        <v>207</v>
      </c>
      <c r="T325" t="s">
        <v>242</v>
      </c>
      <c r="U325">
        <v>1.5813528459164963E-2</v>
      </c>
      <c r="V325" t="s">
        <v>154</v>
      </c>
    </row>
    <row r="326" spans="9:22" x14ac:dyDescent="0.25">
      <c r="I326" t="s">
        <v>173</v>
      </c>
      <c r="J326" t="s">
        <v>243</v>
      </c>
      <c r="K326">
        <v>0.12570505139262456</v>
      </c>
      <c r="L326" t="s">
        <v>154</v>
      </c>
      <c r="N326" t="s">
        <v>197</v>
      </c>
      <c r="O326" t="s">
        <v>243</v>
      </c>
      <c r="P326">
        <v>2.9649863615838667E-2</v>
      </c>
      <c r="Q326" t="s">
        <v>154</v>
      </c>
      <c r="S326" t="s">
        <v>207</v>
      </c>
      <c r="T326" t="s">
        <v>243</v>
      </c>
      <c r="U326">
        <v>6.3890193247578803E-2</v>
      </c>
      <c r="V326" t="s">
        <v>154</v>
      </c>
    </row>
    <row r="327" spans="9:22" x14ac:dyDescent="0.25">
      <c r="I327" t="s">
        <v>173</v>
      </c>
      <c r="J327" t="s">
        <v>244</v>
      </c>
      <c r="K327">
        <v>7.8457524254686328E-2</v>
      </c>
      <c r="L327" t="s">
        <v>154</v>
      </c>
      <c r="N327" t="s">
        <v>197</v>
      </c>
      <c r="O327" t="s">
        <v>244</v>
      </c>
      <c r="P327">
        <v>2.8430396586226661E-2</v>
      </c>
      <c r="Q327" t="s">
        <v>154</v>
      </c>
      <c r="S327" t="s">
        <v>207</v>
      </c>
      <c r="T327" t="s">
        <v>244</v>
      </c>
      <c r="U327">
        <v>6.2163735576902017E-2</v>
      </c>
      <c r="V327" t="s">
        <v>154</v>
      </c>
    </row>
    <row r="328" spans="9:22" x14ac:dyDescent="0.25">
      <c r="I328" t="s">
        <v>173</v>
      </c>
      <c r="J328" t="s">
        <v>245</v>
      </c>
      <c r="K328">
        <v>2.8219642267435633E-3</v>
      </c>
      <c r="L328" t="s">
        <v>154</v>
      </c>
      <c r="N328" t="s">
        <v>197</v>
      </c>
      <c r="O328" t="s">
        <v>245</v>
      </c>
      <c r="P328">
        <v>4.3987374403219898E-2</v>
      </c>
      <c r="Q328" t="s">
        <v>154</v>
      </c>
      <c r="S328" t="s">
        <v>207</v>
      </c>
      <c r="T328" t="s">
        <v>245</v>
      </c>
      <c r="U328">
        <v>8.4381593927265477E-2</v>
      </c>
      <c r="V328" t="s">
        <v>154</v>
      </c>
    </row>
    <row r="329" spans="9:22" x14ac:dyDescent="0.25">
      <c r="I329" t="s">
        <v>173</v>
      </c>
      <c r="J329" t="s">
        <v>246</v>
      </c>
      <c r="K329">
        <v>3.3251729053045166E-3</v>
      </c>
      <c r="L329" t="s">
        <v>154</v>
      </c>
      <c r="N329" t="s">
        <v>197</v>
      </c>
      <c r="O329" t="s">
        <v>246</v>
      </c>
      <c r="P329">
        <v>7.2603194509146568E-2</v>
      </c>
      <c r="Q329" t="s">
        <v>154</v>
      </c>
      <c r="S329" t="s">
        <v>207</v>
      </c>
      <c r="T329" t="s">
        <v>246</v>
      </c>
      <c r="U329">
        <v>5.5303223707479324E-2</v>
      </c>
      <c r="V329" t="s">
        <v>154</v>
      </c>
    </row>
    <row r="330" spans="9:22" x14ac:dyDescent="0.25">
      <c r="I330" t="s">
        <v>173</v>
      </c>
      <c r="J330" t="s">
        <v>247</v>
      </c>
      <c r="K330">
        <v>2.3222564486103249E-2</v>
      </c>
      <c r="L330" t="s">
        <v>154</v>
      </c>
      <c r="N330" t="s">
        <v>197</v>
      </c>
      <c r="O330" t="s">
        <v>247</v>
      </c>
      <c r="P330">
        <v>2.0454550508988523E-2</v>
      </c>
      <c r="Q330" t="s">
        <v>154</v>
      </c>
      <c r="S330" t="s">
        <v>207</v>
      </c>
      <c r="T330" t="s">
        <v>247</v>
      </c>
      <c r="U330">
        <v>1.6948646179311491E-2</v>
      </c>
      <c r="V330" t="s">
        <v>154</v>
      </c>
    </row>
    <row r="331" spans="9:22" x14ac:dyDescent="0.25">
      <c r="I331" t="s">
        <v>173</v>
      </c>
      <c r="J331" t="s">
        <v>248</v>
      </c>
      <c r="K331">
        <v>2.0075056092908463E-2</v>
      </c>
      <c r="L331" t="s">
        <v>154</v>
      </c>
      <c r="N331" t="s">
        <v>197</v>
      </c>
      <c r="O331" t="s">
        <v>248</v>
      </c>
      <c r="P331">
        <v>1.0363714086312384E-2</v>
      </c>
      <c r="Q331" t="s">
        <v>154</v>
      </c>
      <c r="S331" t="s">
        <v>207</v>
      </c>
      <c r="T331" t="s">
        <v>248</v>
      </c>
      <c r="U331">
        <v>8.7385516156699185E-3</v>
      </c>
      <c r="V331" t="s">
        <v>154</v>
      </c>
    </row>
    <row r="332" spans="9:22" x14ac:dyDescent="0.25">
      <c r="I332" t="s">
        <v>173</v>
      </c>
      <c r="J332" t="s">
        <v>249</v>
      </c>
      <c r="K332">
        <v>0.10136719480759124</v>
      </c>
      <c r="L332" t="s">
        <v>154</v>
      </c>
      <c r="N332" t="s">
        <v>197</v>
      </c>
      <c r="O332" t="s">
        <v>249</v>
      </c>
      <c r="P332">
        <v>4.3276236739763087E-2</v>
      </c>
      <c r="Q332" t="s">
        <v>154</v>
      </c>
      <c r="S332" t="s">
        <v>207</v>
      </c>
      <c r="T332" t="s">
        <v>249</v>
      </c>
      <c r="U332">
        <v>3.1999152101868891E-2</v>
      </c>
      <c r="V332" t="s">
        <v>154</v>
      </c>
    </row>
    <row r="333" spans="9:22" x14ac:dyDescent="0.25">
      <c r="I333" t="s">
        <v>173</v>
      </c>
      <c r="J333" t="s">
        <v>250</v>
      </c>
      <c r="K333">
        <v>5.9137968096840292E-2</v>
      </c>
      <c r="L333" t="s">
        <v>154</v>
      </c>
      <c r="N333" t="s">
        <v>197</v>
      </c>
      <c r="O333" t="s">
        <v>250</v>
      </c>
      <c r="P333">
        <v>4.9008740392813735E-2</v>
      </c>
      <c r="Q333" t="s">
        <v>154</v>
      </c>
      <c r="S333" t="s">
        <v>207</v>
      </c>
      <c r="T333" t="s">
        <v>250</v>
      </c>
      <c r="U333">
        <v>3.2238331866448429E-2</v>
      </c>
      <c r="V333" t="s">
        <v>154</v>
      </c>
    </row>
    <row r="334" spans="9:22" x14ac:dyDescent="0.25">
      <c r="I334" t="s">
        <v>173</v>
      </c>
      <c r="J334" t="s">
        <v>251</v>
      </c>
      <c r="K334">
        <v>0</v>
      </c>
      <c r="L334" t="s">
        <v>154</v>
      </c>
      <c r="N334" t="s">
        <v>197</v>
      </c>
      <c r="O334" t="s">
        <v>251</v>
      </c>
      <c r="P334">
        <v>7.5380478458115741E-2</v>
      </c>
      <c r="Q334" t="s">
        <v>154</v>
      </c>
      <c r="S334" t="s">
        <v>207</v>
      </c>
      <c r="T334" t="s">
        <v>251</v>
      </c>
      <c r="U334">
        <v>5.084042092340401E-2</v>
      </c>
      <c r="V334" t="s">
        <v>154</v>
      </c>
    </row>
    <row r="335" spans="9:22" x14ac:dyDescent="0.25">
      <c r="I335" t="s">
        <v>174</v>
      </c>
      <c r="J335" t="s">
        <v>153</v>
      </c>
      <c r="K335">
        <v>0</v>
      </c>
      <c r="L335" t="s">
        <v>154</v>
      </c>
      <c r="N335" t="s">
        <v>198</v>
      </c>
      <c r="O335" t="s">
        <v>153</v>
      </c>
      <c r="P335">
        <v>5.2015305712072933E-2</v>
      </c>
      <c r="Q335" t="s">
        <v>154</v>
      </c>
      <c r="S335" t="s">
        <v>208</v>
      </c>
      <c r="T335" t="s">
        <v>153</v>
      </c>
      <c r="U335">
        <v>3.2364456024254813E-2</v>
      </c>
      <c r="V335" t="s">
        <v>154</v>
      </c>
    </row>
    <row r="336" spans="9:22" x14ac:dyDescent="0.25">
      <c r="I336" t="s">
        <v>174</v>
      </c>
      <c r="J336" t="s">
        <v>155</v>
      </c>
      <c r="K336">
        <v>5.0893009474745222E-3</v>
      </c>
      <c r="L336" t="s">
        <v>154</v>
      </c>
      <c r="N336" t="s">
        <v>198</v>
      </c>
      <c r="O336" t="s">
        <v>155</v>
      </c>
      <c r="P336">
        <v>1.0632390340091512E-2</v>
      </c>
      <c r="Q336" t="s">
        <v>154</v>
      </c>
      <c r="S336" t="s">
        <v>208</v>
      </c>
      <c r="T336" t="s">
        <v>155</v>
      </c>
      <c r="U336">
        <v>9.138311553580367E-3</v>
      </c>
      <c r="V336" t="s">
        <v>154</v>
      </c>
    </row>
    <row r="337" spans="9:22" x14ac:dyDescent="0.25">
      <c r="I337" t="s">
        <v>174</v>
      </c>
      <c r="J337" t="s">
        <v>156</v>
      </c>
      <c r="K337">
        <v>5.581551844546233E-3</v>
      </c>
      <c r="L337" t="s">
        <v>154</v>
      </c>
      <c r="N337" t="s">
        <v>198</v>
      </c>
      <c r="O337" t="s">
        <v>156</v>
      </c>
      <c r="P337">
        <v>5.5450683365552075E-3</v>
      </c>
      <c r="Q337" t="s">
        <v>154</v>
      </c>
      <c r="S337" t="s">
        <v>208</v>
      </c>
      <c r="T337" t="s">
        <v>156</v>
      </c>
      <c r="U337">
        <v>4.6147746591039488E-3</v>
      </c>
      <c r="V337" t="s">
        <v>154</v>
      </c>
    </row>
    <row r="338" spans="9:22" x14ac:dyDescent="0.25">
      <c r="I338" t="s">
        <v>174</v>
      </c>
      <c r="J338" t="s">
        <v>222</v>
      </c>
      <c r="K338">
        <v>2.9091339583910424E-2</v>
      </c>
      <c r="L338" t="s">
        <v>154</v>
      </c>
      <c r="N338" t="s">
        <v>198</v>
      </c>
      <c r="O338" t="s">
        <v>222</v>
      </c>
      <c r="P338">
        <v>2.6027669705278738E-2</v>
      </c>
      <c r="Q338" t="s">
        <v>154</v>
      </c>
      <c r="S338" t="s">
        <v>208</v>
      </c>
      <c r="T338" t="s">
        <v>222</v>
      </c>
      <c r="U338">
        <v>1.7598304418058163E-2</v>
      </c>
      <c r="V338" t="s">
        <v>154</v>
      </c>
    </row>
    <row r="339" spans="9:22" x14ac:dyDescent="0.25">
      <c r="I339" t="s">
        <v>174</v>
      </c>
      <c r="J339" t="s">
        <v>223</v>
      </c>
      <c r="K339">
        <v>1.7045110066912304E-2</v>
      </c>
      <c r="L339" t="s">
        <v>154</v>
      </c>
      <c r="N339" t="s">
        <v>198</v>
      </c>
      <c r="O339" t="s">
        <v>223</v>
      </c>
      <c r="P339">
        <v>3.0206652867647506E-2</v>
      </c>
      <c r="Q339" t="s">
        <v>154</v>
      </c>
      <c r="S339" t="s">
        <v>208</v>
      </c>
      <c r="T339" t="s">
        <v>223</v>
      </c>
      <c r="U339">
        <v>1.7640060244453765E-2</v>
      </c>
      <c r="V339" t="s">
        <v>154</v>
      </c>
    </row>
    <row r="340" spans="9:22" x14ac:dyDescent="0.25">
      <c r="I340" t="s">
        <v>174</v>
      </c>
      <c r="J340" t="s">
        <v>224</v>
      </c>
      <c r="K340">
        <v>9.9144863652288125E-7</v>
      </c>
      <c r="L340" t="s">
        <v>154</v>
      </c>
      <c r="N340" t="s">
        <v>198</v>
      </c>
      <c r="O340" t="s">
        <v>224</v>
      </c>
      <c r="P340">
        <v>4.5748482142237187E-2</v>
      </c>
      <c r="Q340" t="s">
        <v>154</v>
      </c>
      <c r="S340" t="s">
        <v>208</v>
      </c>
      <c r="T340" t="s">
        <v>224</v>
      </c>
      <c r="U340">
        <v>2.7990137053012877E-2</v>
      </c>
      <c r="V340" t="s">
        <v>154</v>
      </c>
    </row>
    <row r="341" spans="9:22" x14ac:dyDescent="0.25">
      <c r="I341" t="s">
        <v>174</v>
      </c>
      <c r="J341" t="s">
        <v>157</v>
      </c>
      <c r="K341">
        <v>2.3431058829190329E-3</v>
      </c>
      <c r="L341" t="s">
        <v>154</v>
      </c>
      <c r="N341" t="s">
        <v>198</v>
      </c>
      <c r="O341" t="s">
        <v>157</v>
      </c>
      <c r="P341">
        <v>8.1944964737472939E-2</v>
      </c>
      <c r="Q341" t="s">
        <v>154</v>
      </c>
      <c r="S341" t="s">
        <v>208</v>
      </c>
      <c r="T341" t="s">
        <v>157</v>
      </c>
      <c r="U341">
        <v>8.2324481629904744E-2</v>
      </c>
      <c r="V341" t="s">
        <v>154</v>
      </c>
    </row>
    <row r="342" spans="9:22" x14ac:dyDescent="0.25">
      <c r="I342" t="s">
        <v>174</v>
      </c>
      <c r="J342" t="s">
        <v>158</v>
      </c>
      <c r="K342">
        <v>3.2140529690808731E-2</v>
      </c>
      <c r="L342" t="s">
        <v>154</v>
      </c>
      <c r="N342" t="s">
        <v>198</v>
      </c>
      <c r="O342" t="s">
        <v>158</v>
      </c>
      <c r="P342">
        <v>2.2333799950160872E-2</v>
      </c>
      <c r="Q342" t="s">
        <v>154</v>
      </c>
      <c r="S342" t="s">
        <v>208</v>
      </c>
      <c r="T342" t="s">
        <v>158</v>
      </c>
      <c r="U342">
        <v>2.4048929460994437E-2</v>
      </c>
      <c r="V342" t="s">
        <v>154</v>
      </c>
    </row>
    <row r="343" spans="9:22" x14ac:dyDescent="0.25">
      <c r="I343" t="s">
        <v>174</v>
      </c>
      <c r="J343" t="s">
        <v>159</v>
      </c>
      <c r="K343">
        <v>3.0238795941525613E-2</v>
      </c>
      <c r="L343" t="s">
        <v>154</v>
      </c>
      <c r="N343" t="s">
        <v>198</v>
      </c>
      <c r="O343" t="s">
        <v>159</v>
      </c>
      <c r="P343">
        <v>1.0876469267526697E-2</v>
      </c>
      <c r="Q343" t="s">
        <v>154</v>
      </c>
      <c r="S343" t="s">
        <v>208</v>
      </c>
      <c r="T343" t="s">
        <v>159</v>
      </c>
      <c r="U343">
        <v>1.2516621633802027E-2</v>
      </c>
      <c r="V343" t="s">
        <v>154</v>
      </c>
    </row>
    <row r="344" spans="9:22" x14ac:dyDescent="0.25">
      <c r="I344" t="s">
        <v>174</v>
      </c>
      <c r="J344" t="s">
        <v>225</v>
      </c>
      <c r="K344">
        <v>0.15645718022942584</v>
      </c>
      <c r="L344" t="s">
        <v>154</v>
      </c>
      <c r="N344" t="s">
        <v>198</v>
      </c>
      <c r="O344" t="s">
        <v>225</v>
      </c>
      <c r="P344">
        <v>4.9922503898116671E-2</v>
      </c>
      <c r="Q344" t="s">
        <v>154</v>
      </c>
      <c r="S344" t="s">
        <v>208</v>
      </c>
      <c r="T344" t="s">
        <v>225</v>
      </c>
      <c r="U344">
        <v>4.5867661396790708E-2</v>
      </c>
      <c r="V344" t="s">
        <v>154</v>
      </c>
    </row>
    <row r="345" spans="9:22" x14ac:dyDescent="0.25">
      <c r="I345" t="s">
        <v>174</v>
      </c>
      <c r="J345" t="s">
        <v>226</v>
      </c>
      <c r="K345">
        <v>8.7952446117912433E-2</v>
      </c>
      <c r="L345" t="s">
        <v>154</v>
      </c>
      <c r="N345" t="s">
        <v>198</v>
      </c>
      <c r="O345" t="s">
        <v>226</v>
      </c>
      <c r="P345">
        <v>6.7980373843146369E-2</v>
      </c>
      <c r="Q345" t="s">
        <v>154</v>
      </c>
      <c r="S345" t="s">
        <v>208</v>
      </c>
      <c r="T345" t="s">
        <v>226</v>
      </c>
      <c r="U345">
        <v>4.0308428421473814E-2</v>
      </c>
      <c r="V345" t="s">
        <v>154</v>
      </c>
    </row>
    <row r="346" spans="9:22" x14ac:dyDescent="0.25">
      <c r="I346" t="s">
        <v>174</v>
      </c>
      <c r="J346" t="s">
        <v>227</v>
      </c>
      <c r="K346">
        <v>8.3334137553293702E-4</v>
      </c>
      <c r="L346" t="s">
        <v>154</v>
      </c>
      <c r="N346" t="s">
        <v>198</v>
      </c>
      <c r="O346" t="s">
        <v>227</v>
      </c>
      <c r="P346">
        <v>9.4905087395921892E-2</v>
      </c>
      <c r="Q346" t="s">
        <v>154</v>
      </c>
      <c r="S346" t="s">
        <v>208</v>
      </c>
      <c r="T346" t="s">
        <v>227</v>
      </c>
      <c r="U346">
        <v>7.1823631336171187E-2</v>
      </c>
      <c r="V346" t="s">
        <v>154</v>
      </c>
    </row>
    <row r="347" spans="9:22" x14ac:dyDescent="0.25">
      <c r="I347" t="s">
        <v>174</v>
      </c>
      <c r="J347" t="s">
        <v>160</v>
      </c>
      <c r="K347">
        <v>6.7186680271267131E-4</v>
      </c>
      <c r="L347" t="s">
        <v>154</v>
      </c>
      <c r="N347" t="s">
        <v>198</v>
      </c>
      <c r="O347" t="s">
        <v>160</v>
      </c>
      <c r="P347">
        <v>1.5538618501949617E-3</v>
      </c>
      <c r="Q347" t="s">
        <v>154</v>
      </c>
      <c r="S347" t="s">
        <v>208</v>
      </c>
      <c r="T347" t="s">
        <v>160</v>
      </c>
      <c r="U347">
        <v>3.2105383084737963E-4</v>
      </c>
      <c r="V347" t="s">
        <v>154</v>
      </c>
    </row>
    <row r="348" spans="9:22" x14ac:dyDescent="0.25">
      <c r="I348" t="s">
        <v>174</v>
      </c>
      <c r="J348" t="s">
        <v>161</v>
      </c>
      <c r="K348">
        <v>4.5490780054627663E-3</v>
      </c>
      <c r="L348" t="s">
        <v>154</v>
      </c>
      <c r="N348" t="s">
        <v>198</v>
      </c>
      <c r="O348" t="s">
        <v>161</v>
      </c>
      <c r="P348">
        <v>5.9192831521336163E-4</v>
      </c>
      <c r="Q348" t="s">
        <v>154</v>
      </c>
      <c r="S348" t="s">
        <v>208</v>
      </c>
      <c r="T348" t="s">
        <v>161</v>
      </c>
      <c r="U348">
        <v>1.4418471670826091E-4</v>
      </c>
      <c r="V348" t="s">
        <v>154</v>
      </c>
    </row>
    <row r="349" spans="9:22" x14ac:dyDescent="0.25">
      <c r="I349" t="s">
        <v>174</v>
      </c>
      <c r="J349" t="s">
        <v>162</v>
      </c>
      <c r="K349">
        <v>3.9877780388259633E-3</v>
      </c>
      <c r="L349" t="s">
        <v>154</v>
      </c>
      <c r="N349" t="s">
        <v>198</v>
      </c>
      <c r="O349" t="s">
        <v>162</v>
      </c>
      <c r="P349">
        <v>2.8889320607423941E-4</v>
      </c>
      <c r="Q349" t="s">
        <v>154</v>
      </c>
      <c r="S349" t="s">
        <v>208</v>
      </c>
      <c r="T349" t="s">
        <v>162</v>
      </c>
      <c r="U349">
        <v>6.1181895807244866E-5</v>
      </c>
      <c r="V349" t="s">
        <v>154</v>
      </c>
    </row>
    <row r="350" spans="9:22" x14ac:dyDescent="0.25">
      <c r="I350" t="s">
        <v>174</v>
      </c>
      <c r="J350" t="s">
        <v>228</v>
      </c>
      <c r="K350">
        <v>2.0974535833331032E-2</v>
      </c>
      <c r="L350" t="s">
        <v>154</v>
      </c>
      <c r="N350" t="s">
        <v>198</v>
      </c>
      <c r="O350" t="s">
        <v>228</v>
      </c>
      <c r="P350">
        <v>8.4587898563830003E-4</v>
      </c>
      <c r="Q350" t="s">
        <v>154</v>
      </c>
      <c r="S350" t="s">
        <v>208</v>
      </c>
      <c r="T350" t="s">
        <v>228</v>
      </c>
      <c r="U350">
        <v>2.3731269961970261E-4</v>
      </c>
      <c r="V350" t="s">
        <v>154</v>
      </c>
    </row>
    <row r="351" spans="9:22" x14ac:dyDescent="0.25">
      <c r="I351" t="s">
        <v>174</v>
      </c>
      <c r="J351" t="s">
        <v>229</v>
      </c>
      <c r="K351">
        <v>1.1038467946830352E-2</v>
      </c>
      <c r="L351" t="s">
        <v>154</v>
      </c>
      <c r="N351" t="s">
        <v>198</v>
      </c>
      <c r="O351" t="s">
        <v>229</v>
      </c>
      <c r="P351">
        <v>1.4258801197679447E-3</v>
      </c>
      <c r="Q351" t="s">
        <v>154</v>
      </c>
      <c r="S351" t="s">
        <v>208</v>
      </c>
      <c r="T351" t="s">
        <v>229</v>
      </c>
      <c r="U351">
        <v>9.4772616137496404E-5</v>
      </c>
      <c r="V351" t="s">
        <v>154</v>
      </c>
    </row>
    <row r="352" spans="9:22" x14ac:dyDescent="0.25">
      <c r="I352" t="s">
        <v>174</v>
      </c>
      <c r="J352" t="s">
        <v>230</v>
      </c>
      <c r="K352">
        <v>0</v>
      </c>
      <c r="L352" t="s">
        <v>154</v>
      </c>
      <c r="N352" t="s">
        <v>198</v>
      </c>
      <c r="O352" t="s">
        <v>230</v>
      </c>
      <c r="P352">
        <v>1.3715616433886124E-3</v>
      </c>
      <c r="Q352" t="s">
        <v>154</v>
      </c>
      <c r="S352" t="s">
        <v>208</v>
      </c>
      <c r="T352" t="s">
        <v>230</v>
      </c>
      <c r="U352">
        <v>7.6993304743141515E-5</v>
      </c>
      <c r="V352" t="s">
        <v>154</v>
      </c>
    </row>
    <row r="353" spans="9:22" x14ac:dyDescent="0.25">
      <c r="I353" t="s">
        <v>174</v>
      </c>
      <c r="J353" t="s">
        <v>163</v>
      </c>
      <c r="K353">
        <v>2.5852840212304802E-3</v>
      </c>
      <c r="L353" t="s">
        <v>154</v>
      </c>
      <c r="N353" t="s">
        <v>198</v>
      </c>
      <c r="O353" t="s">
        <v>163</v>
      </c>
      <c r="P353">
        <v>1.1855411207596887E-2</v>
      </c>
      <c r="Q353" t="s">
        <v>154</v>
      </c>
      <c r="S353" t="s">
        <v>208</v>
      </c>
      <c r="T353" t="s">
        <v>163</v>
      </c>
      <c r="U353">
        <v>2.0443138453967846E-2</v>
      </c>
      <c r="V353" t="s">
        <v>154</v>
      </c>
    </row>
    <row r="354" spans="9:22" x14ac:dyDescent="0.25">
      <c r="I354" t="s">
        <v>174</v>
      </c>
      <c r="J354" t="s">
        <v>164</v>
      </c>
      <c r="K354">
        <v>1.3499621434426642E-2</v>
      </c>
      <c r="L354" t="s">
        <v>154</v>
      </c>
      <c r="N354" t="s">
        <v>198</v>
      </c>
      <c r="O354" t="s">
        <v>164</v>
      </c>
      <c r="P354">
        <v>3.814114195607204E-3</v>
      </c>
      <c r="Q354" t="s">
        <v>154</v>
      </c>
      <c r="S354" t="s">
        <v>208</v>
      </c>
      <c r="T354" t="s">
        <v>164</v>
      </c>
      <c r="U354">
        <v>6.8569053175739237E-3</v>
      </c>
      <c r="V354" t="s">
        <v>154</v>
      </c>
    </row>
    <row r="355" spans="9:22" x14ac:dyDescent="0.25">
      <c r="I355" t="s">
        <v>174</v>
      </c>
      <c r="J355" t="s">
        <v>165</v>
      </c>
      <c r="K355">
        <v>1.1420604491701425E-2</v>
      </c>
      <c r="L355" t="s">
        <v>154</v>
      </c>
      <c r="N355" t="s">
        <v>198</v>
      </c>
      <c r="O355" t="s">
        <v>165</v>
      </c>
      <c r="P355">
        <v>1.9463685763077914E-3</v>
      </c>
      <c r="Q355" t="s">
        <v>154</v>
      </c>
      <c r="S355" t="s">
        <v>208</v>
      </c>
      <c r="T355" t="s">
        <v>165</v>
      </c>
      <c r="U355">
        <v>3.4995539158773096E-3</v>
      </c>
      <c r="V355" t="s">
        <v>154</v>
      </c>
    </row>
    <row r="356" spans="9:22" x14ac:dyDescent="0.25">
      <c r="I356" t="s">
        <v>174</v>
      </c>
      <c r="J356" t="s">
        <v>231</v>
      </c>
      <c r="K356">
        <v>5.8665631028912944E-2</v>
      </c>
      <c r="L356" t="s">
        <v>154</v>
      </c>
      <c r="N356" t="s">
        <v>198</v>
      </c>
      <c r="O356" t="s">
        <v>231</v>
      </c>
      <c r="P356">
        <v>6.6413790048477014E-3</v>
      </c>
      <c r="Q356" t="s">
        <v>154</v>
      </c>
      <c r="S356" t="s">
        <v>208</v>
      </c>
      <c r="T356" t="s">
        <v>231</v>
      </c>
      <c r="U356">
        <v>1.3680945392082096E-2</v>
      </c>
      <c r="V356" t="s">
        <v>154</v>
      </c>
    </row>
    <row r="357" spans="9:22" x14ac:dyDescent="0.25">
      <c r="I357" t="s">
        <v>174</v>
      </c>
      <c r="J357" t="s">
        <v>232</v>
      </c>
      <c r="K357">
        <v>3.2222946579019841E-2</v>
      </c>
      <c r="L357" t="s">
        <v>154</v>
      </c>
      <c r="N357" t="s">
        <v>198</v>
      </c>
      <c r="O357" t="s">
        <v>232</v>
      </c>
      <c r="P357">
        <v>6.208857529811233E-3</v>
      </c>
      <c r="Q357" t="s">
        <v>154</v>
      </c>
      <c r="S357" t="s">
        <v>208</v>
      </c>
      <c r="T357" t="s">
        <v>232</v>
      </c>
      <c r="U357">
        <v>1.2632341468083249E-2</v>
      </c>
      <c r="V357" t="s">
        <v>154</v>
      </c>
    </row>
    <row r="358" spans="9:22" x14ac:dyDescent="0.25">
      <c r="I358" t="s">
        <v>174</v>
      </c>
      <c r="J358" t="s">
        <v>233</v>
      </c>
      <c r="K358">
        <v>5.52811385229959E-6</v>
      </c>
      <c r="L358" t="s">
        <v>154</v>
      </c>
      <c r="N358" t="s">
        <v>198</v>
      </c>
      <c r="O358" t="s">
        <v>233</v>
      </c>
      <c r="P358">
        <v>1.0458848394891107E-2</v>
      </c>
      <c r="Q358" t="s">
        <v>154</v>
      </c>
      <c r="S358" t="s">
        <v>208</v>
      </c>
      <c r="T358" t="s">
        <v>233</v>
      </c>
      <c r="U358">
        <v>1.4129461905736601E-2</v>
      </c>
      <c r="V358" t="s">
        <v>154</v>
      </c>
    </row>
    <row r="359" spans="9:22" x14ac:dyDescent="0.25">
      <c r="I359" t="s">
        <v>174</v>
      </c>
      <c r="J359" t="s">
        <v>240</v>
      </c>
      <c r="K359">
        <v>4.8032101190772216E-3</v>
      </c>
      <c r="L359" t="s">
        <v>154</v>
      </c>
      <c r="N359" t="s">
        <v>198</v>
      </c>
      <c r="O359" t="s">
        <v>240</v>
      </c>
      <c r="P359">
        <v>3.57901088601301E-2</v>
      </c>
      <c r="Q359" t="s">
        <v>154</v>
      </c>
      <c r="S359" t="s">
        <v>208</v>
      </c>
      <c r="T359" t="s">
        <v>240</v>
      </c>
      <c r="U359">
        <v>9.9472510768386202E-2</v>
      </c>
      <c r="V359" t="s">
        <v>154</v>
      </c>
    </row>
    <row r="360" spans="9:22" x14ac:dyDescent="0.25">
      <c r="I360" t="s">
        <v>174</v>
      </c>
      <c r="J360" t="s">
        <v>241</v>
      </c>
      <c r="K360">
        <v>2.8704834648626717E-2</v>
      </c>
      <c r="L360" t="s">
        <v>154</v>
      </c>
      <c r="N360" t="s">
        <v>198</v>
      </c>
      <c r="O360" t="s">
        <v>241</v>
      </c>
      <c r="P360">
        <v>1.3606937388663884E-2</v>
      </c>
      <c r="Q360" t="s">
        <v>154</v>
      </c>
      <c r="S360" t="s">
        <v>208</v>
      </c>
      <c r="T360" t="s">
        <v>241</v>
      </c>
      <c r="U360">
        <v>2.9756786631159424E-2</v>
      </c>
      <c r="V360" t="s">
        <v>154</v>
      </c>
    </row>
    <row r="361" spans="9:22" x14ac:dyDescent="0.25">
      <c r="I361" t="s">
        <v>174</v>
      </c>
      <c r="J361" t="s">
        <v>242</v>
      </c>
      <c r="K361">
        <v>2.4596470937900943E-2</v>
      </c>
      <c r="L361" t="s">
        <v>154</v>
      </c>
      <c r="N361" t="s">
        <v>198</v>
      </c>
      <c r="O361" t="s">
        <v>242</v>
      </c>
      <c r="P361">
        <v>6.939258250594835E-3</v>
      </c>
      <c r="Q361" t="s">
        <v>154</v>
      </c>
      <c r="S361" t="s">
        <v>208</v>
      </c>
      <c r="T361" t="s">
        <v>242</v>
      </c>
      <c r="U361">
        <v>1.4988145321718951E-2</v>
      </c>
      <c r="V361" t="s">
        <v>154</v>
      </c>
    </row>
    <row r="362" spans="9:22" x14ac:dyDescent="0.25">
      <c r="I362" t="s">
        <v>174</v>
      </c>
      <c r="J362" t="s">
        <v>243</v>
      </c>
      <c r="K362">
        <v>0.12635061905084946</v>
      </c>
      <c r="L362" t="s">
        <v>154</v>
      </c>
      <c r="N362" t="s">
        <v>198</v>
      </c>
      <c r="O362" t="s">
        <v>243</v>
      </c>
      <c r="P362">
        <v>2.2932143568859489E-2</v>
      </c>
      <c r="Q362" t="s">
        <v>154</v>
      </c>
      <c r="S362" t="s">
        <v>208</v>
      </c>
      <c r="T362" t="s">
        <v>243</v>
      </c>
      <c r="U362">
        <v>6.2151193944219377E-2</v>
      </c>
      <c r="V362" t="s">
        <v>154</v>
      </c>
    </row>
    <row r="363" spans="9:22" x14ac:dyDescent="0.25">
      <c r="I363" t="s">
        <v>174</v>
      </c>
      <c r="J363" t="s">
        <v>244</v>
      </c>
      <c r="K363">
        <v>7.1901048014183983E-2</v>
      </c>
      <c r="L363" t="s">
        <v>154</v>
      </c>
      <c r="N363" t="s">
        <v>198</v>
      </c>
      <c r="O363" t="s">
        <v>244</v>
      </c>
      <c r="P363">
        <v>2.1136569073538239E-2</v>
      </c>
      <c r="Q363" t="s">
        <v>154</v>
      </c>
      <c r="S363" t="s">
        <v>208</v>
      </c>
      <c r="T363" t="s">
        <v>244</v>
      </c>
      <c r="U363">
        <v>6.1175251777774303E-2</v>
      </c>
      <c r="V363" t="s">
        <v>154</v>
      </c>
    </row>
    <row r="364" spans="9:22" x14ac:dyDescent="0.25">
      <c r="I364" t="s">
        <v>174</v>
      </c>
      <c r="J364" t="s">
        <v>245</v>
      </c>
      <c r="K364">
        <v>2.8910446034370442E-5</v>
      </c>
      <c r="L364" t="s">
        <v>154</v>
      </c>
      <c r="N364" t="s">
        <v>198</v>
      </c>
      <c r="O364" t="s">
        <v>245</v>
      </c>
      <c r="P364">
        <v>3.4134365760333137E-2</v>
      </c>
      <c r="Q364" t="s">
        <v>154</v>
      </c>
      <c r="S364" t="s">
        <v>208</v>
      </c>
      <c r="T364" t="s">
        <v>245</v>
      </c>
      <c r="U364">
        <v>7.7370988250810901E-2</v>
      </c>
      <c r="V364" t="s">
        <v>154</v>
      </c>
    </row>
    <row r="365" spans="9:22" x14ac:dyDescent="0.25">
      <c r="I365" t="s">
        <v>174</v>
      </c>
      <c r="J365" t="s">
        <v>246</v>
      </c>
      <c r="K365">
        <v>4.2208997937533211E-3</v>
      </c>
      <c r="L365" t="s">
        <v>154</v>
      </c>
      <c r="N365" t="s">
        <v>198</v>
      </c>
      <c r="O365" t="s">
        <v>246</v>
      </c>
      <c r="P365">
        <v>8.0853993945146627E-2</v>
      </c>
      <c r="Q365" t="s">
        <v>154</v>
      </c>
      <c r="S365" t="s">
        <v>208</v>
      </c>
      <c r="T365" t="s">
        <v>246</v>
      </c>
      <c r="U365">
        <v>5.6628557244248277E-2</v>
      </c>
      <c r="V365" t="s">
        <v>154</v>
      </c>
    </row>
    <row r="366" spans="9:22" x14ac:dyDescent="0.25">
      <c r="I366" t="s">
        <v>174</v>
      </c>
      <c r="J366" t="s">
        <v>247</v>
      </c>
      <c r="K366">
        <v>2.6155869133131324E-2</v>
      </c>
      <c r="L366" t="s">
        <v>154</v>
      </c>
      <c r="N366" t="s">
        <v>198</v>
      </c>
      <c r="O366" t="s">
        <v>247</v>
      </c>
      <c r="P366">
        <v>2.0689846728310625E-2</v>
      </c>
      <c r="Q366" t="s">
        <v>154</v>
      </c>
      <c r="S366" t="s">
        <v>208</v>
      </c>
      <c r="T366" t="s">
        <v>247</v>
      </c>
      <c r="U366">
        <v>1.6122076754752666E-2</v>
      </c>
      <c r="V366" t="s">
        <v>154</v>
      </c>
    </row>
    <row r="367" spans="9:22" x14ac:dyDescent="0.25">
      <c r="I367" t="s">
        <v>174</v>
      </c>
      <c r="J367" t="s">
        <v>248</v>
      </c>
      <c r="K367">
        <v>2.2235965335317603E-2</v>
      </c>
      <c r="L367" t="s">
        <v>154</v>
      </c>
      <c r="N367" t="s">
        <v>198</v>
      </c>
      <c r="O367" t="s">
        <v>248</v>
      </c>
      <c r="P367">
        <v>1.0585060347841133E-2</v>
      </c>
      <c r="Q367" t="s">
        <v>154</v>
      </c>
      <c r="S367" t="s">
        <v>208</v>
      </c>
      <c r="T367" t="s">
        <v>248</v>
      </c>
      <c r="U367">
        <v>8.2760642018063144E-3</v>
      </c>
      <c r="V367" t="s">
        <v>154</v>
      </c>
    </row>
    <row r="368" spans="9:22" x14ac:dyDescent="0.25">
      <c r="I368" t="s">
        <v>174</v>
      </c>
      <c r="J368" t="s">
        <v>249</v>
      </c>
      <c r="K368">
        <v>0.10727294223663655</v>
      </c>
      <c r="L368" t="s">
        <v>154</v>
      </c>
      <c r="N368" t="s">
        <v>198</v>
      </c>
      <c r="O368" t="s">
        <v>249</v>
      </c>
      <c r="P368">
        <v>4.7390620721783842E-2</v>
      </c>
      <c r="Q368" t="s">
        <v>154</v>
      </c>
      <c r="S368" t="s">
        <v>208</v>
      </c>
      <c r="T368" t="s">
        <v>249</v>
      </c>
      <c r="U368">
        <v>3.1559015956981407E-2</v>
      </c>
      <c r="V368" t="s">
        <v>154</v>
      </c>
    </row>
    <row r="369" spans="9:22" x14ac:dyDescent="0.25">
      <c r="I369" t="s">
        <v>174</v>
      </c>
      <c r="J369" t="s">
        <v>250</v>
      </c>
      <c r="K369">
        <v>5.7334194858580614E-2</v>
      </c>
      <c r="L369" t="s">
        <v>154</v>
      </c>
      <c r="N369" t="s">
        <v>198</v>
      </c>
      <c r="O369" t="s">
        <v>250</v>
      </c>
      <c r="P369">
        <v>6.505242740487302E-2</v>
      </c>
      <c r="Q369" t="s">
        <v>154</v>
      </c>
      <c r="S369" t="s">
        <v>208</v>
      </c>
      <c r="T369" t="s">
        <v>250</v>
      </c>
      <c r="U369">
        <v>3.1721436029282159E-2</v>
      </c>
      <c r="V369" t="s">
        <v>154</v>
      </c>
    </row>
    <row r="370" spans="9:22" x14ac:dyDescent="0.25">
      <c r="I370" t="s">
        <v>174</v>
      </c>
      <c r="J370" t="s">
        <v>251</v>
      </c>
      <c r="K370">
        <v>0</v>
      </c>
      <c r="L370" t="s">
        <v>154</v>
      </c>
      <c r="N370" t="s">
        <v>198</v>
      </c>
      <c r="O370" t="s">
        <v>251</v>
      </c>
      <c r="P370">
        <v>9.5746916724359296E-2</v>
      </c>
      <c r="Q370" t="s">
        <v>154</v>
      </c>
      <c r="S370" t="s">
        <v>208</v>
      </c>
      <c r="T370" t="s">
        <v>251</v>
      </c>
      <c r="U370">
        <v>5.2364329770074679E-2</v>
      </c>
      <c r="V370" t="s">
        <v>154</v>
      </c>
    </row>
    <row r="371" spans="9:22" x14ac:dyDescent="0.25">
      <c r="I371" t="s">
        <v>175</v>
      </c>
      <c r="J371" t="s">
        <v>153</v>
      </c>
      <c r="K371">
        <v>8.0632058097863934E-7</v>
      </c>
      <c r="L371" t="s">
        <v>154</v>
      </c>
    </row>
    <row r="372" spans="9:22" x14ac:dyDescent="0.25">
      <c r="I372" t="s">
        <v>175</v>
      </c>
      <c r="J372" t="s">
        <v>155</v>
      </c>
      <c r="K372">
        <v>5.4996294741316348E-3</v>
      </c>
      <c r="L372" t="s">
        <v>154</v>
      </c>
    </row>
    <row r="373" spans="9:22" x14ac:dyDescent="0.25">
      <c r="I373" t="s">
        <v>175</v>
      </c>
      <c r="J373" t="s">
        <v>156</v>
      </c>
      <c r="K373">
        <v>5.6011667743730269E-3</v>
      </c>
      <c r="L373" t="s">
        <v>154</v>
      </c>
    </row>
    <row r="374" spans="9:22" x14ac:dyDescent="0.25">
      <c r="I374" t="s">
        <v>175</v>
      </c>
      <c r="J374" t="s">
        <v>222</v>
      </c>
      <c r="K374">
        <v>2.7615348213364335E-2</v>
      </c>
      <c r="L374" t="s">
        <v>154</v>
      </c>
    </row>
    <row r="375" spans="9:22" x14ac:dyDescent="0.25">
      <c r="I375" t="s">
        <v>175</v>
      </c>
      <c r="J375" t="s">
        <v>223</v>
      </c>
      <c r="K375">
        <v>1.5541469327947366E-2</v>
      </c>
      <c r="L375" t="s">
        <v>154</v>
      </c>
    </row>
    <row r="376" spans="9:22" x14ac:dyDescent="0.25">
      <c r="I376" t="s">
        <v>175</v>
      </c>
      <c r="J376" t="s">
        <v>224</v>
      </c>
      <c r="K376">
        <v>0</v>
      </c>
      <c r="L376" t="s">
        <v>154</v>
      </c>
    </row>
    <row r="377" spans="9:22" x14ac:dyDescent="0.25">
      <c r="I377" t="s">
        <v>175</v>
      </c>
      <c r="J377" t="s">
        <v>157</v>
      </c>
      <c r="K377">
        <v>2.9388246839786329E-3</v>
      </c>
      <c r="L377" t="s">
        <v>154</v>
      </c>
    </row>
    <row r="378" spans="9:22" x14ac:dyDescent="0.25">
      <c r="I378" t="s">
        <v>175</v>
      </c>
      <c r="J378" t="s">
        <v>158</v>
      </c>
      <c r="K378">
        <v>3.7229479355304185E-2</v>
      </c>
      <c r="L378" t="s">
        <v>154</v>
      </c>
    </row>
    <row r="379" spans="9:22" x14ac:dyDescent="0.25">
      <c r="I379" t="s">
        <v>175</v>
      </c>
      <c r="J379" t="s">
        <v>159</v>
      </c>
      <c r="K379">
        <v>3.2421901286047862E-2</v>
      </c>
      <c r="L379" t="s">
        <v>154</v>
      </c>
    </row>
    <row r="380" spans="9:22" x14ac:dyDescent="0.25">
      <c r="I380" t="s">
        <v>175</v>
      </c>
      <c r="J380" t="s">
        <v>225</v>
      </c>
      <c r="K380">
        <v>0.15935443914341901</v>
      </c>
      <c r="L380" t="s">
        <v>154</v>
      </c>
    </row>
    <row r="381" spans="9:22" x14ac:dyDescent="0.25">
      <c r="I381" t="s">
        <v>175</v>
      </c>
      <c r="J381" t="s">
        <v>226</v>
      </c>
      <c r="K381">
        <v>8.4840990675182415E-2</v>
      </c>
      <c r="L381" t="s">
        <v>154</v>
      </c>
    </row>
    <row r="382" spans="9:22" x14ac:dyDescent="0.25">
      <c r="I382" t="s">
        <v>175</v>
      </c>
      <c r="J382" t="s">
        <v>227</v>
      </c>
      <c r="K382">
        <v>9.9804334672887909E-5</v>
      </c>
      <c r="L382" t="s">
        <v>154</v>
      </c>
    </row>
    <row r="383" spans="9:22" x14ac:dyDescent="0.25">
      <c r="I383" t="s">
        <v>175</v>
      </c>
      <c r="J383" t="s">
        <v>160</v>
      </c>
      <c r="K383">
        <v>9.6872440564966253E-4</v>
      </c>
      <c r="L383" t="s">
        <v>154</v>
      </c>
    </row>
    <row r="384" spans="9:22" x14ac:dyDescent="0.25">
      <c r="I384" t="s">
        <v>175</v>
      </c>
      <c r="J384" t="s">
        <v>161</v>
      </c>
      <c r="K384">
        <v>5.1640177971431821E-3</v>
      </c>
      <c r="L384" t="s">
        <v>154</v>
      </c>
    </row>
    <row r="385" spans="9:12" x14ac:dyDescent="0.25">
      <c r="I385" t="s">
        <v>175</v>
      </c>
      <c r="J385" t="s">
        <v>162</v>
      </c>
      <c r="K385">
        <v>4.1812209617168063E-3</v>
      </c>
      <c r="L385" t="s">
        <v>154</v>
      </c>
    </row>
    <row r="386" spans="9:12" x14ac:dyDescent="0.25">
      <c r="I386" t="s">
        <v>175</v>
      </c>
      <c r="J386" t="s">
        <v>228</v>
      </c>
      <c r="K386">
        <v>2.0978565127097001E-2</v>
      </c>
      <c r="L386" t="s">
        <v>154</v>
      </c>
    </row>
    <row r="387" spans="9:12" x14ac:dyDescent="0.25">
      <c r="I387" t="s">
        <v>175</v>
      </c>
      <c r="J387" t="s">
        <v>229</v>
      </c>
      <c r="K387">
        <v>1.0653398294498507E-2</v>
      </c>
      <c r="L387" t="s">
        <v>154</v>
      </c>
    </row>
    <row r="388" spans="9:12" x14ac:dyDescent="0.25">
      <c r="I388" t="s">
        <v>175</v>
      </c>
      <c r="J388" t="s">
        <v>230</v>
      </c>
      <c r="K388">
        <v>0</v>
      </c>
      <c r="L388" t="s">
        <v>154</v>
      </c>
    </row>
    <row r="389" spans="9:12" x14ac:dyDescent="0.25">
      <c r="I389" t="s">
        <v>175</v>
      </c>
      <c r="J389" t="s">
        <v>163</v>
      </c>
      <c r="K389">
        <v>2.318602949297506E-3</v>
      </c>
      <c r="L389" t="s">
        <v>154</v>
      </c>
    </row>
    <row r="390" spans="9:12" x14ac:dyDescent="0.25">
      <c r="I390" t="s">
        <v>175</v>
      </c>
      <c r="J390" t="s">
        <v>164</v>
      </c>
      <c r="K390">
        <v>1.3904925714836418E-2</v>
      </c>
      <c r="L390" t="s">
        <v>154</v>
      </c>
    </row>
    <row r="391" spans="9:12" x14ac:dyDescent="0.25">
      <c r="I391" t="s">
        <v>175</v>
      </c>
      <c r="J391" t="s">
        <v>165</v>
      </c>
      <c r="K391">
        <v>1.144931266497044E-2</v>
      </c>
      <c r="L391" t="s">
        <v>154</v>
      </c>
    </row>
    <row r="392" spans="9:12" x14ac:dyDescent="0.25">
      <c r="I392" t="s">
        <v>175</v>
      </c>
      <c r="J392" t="s">
        <v>231</v>
      </c>
      <c r="K392">
        <v>5.8075703083463805E-2</v>
      </c>
      <c r="L392" t="s">
        <v>154</v>
      </c>
    </row>
    <row r="393" spans="9:12" x14ac:dyDescent="0.25">
      <c r="I393" t="s">
        <v>175</v>
      </c>
      <c r="J393" t="s">
        <v>232</v>
      </c>
      <c r="K393">
        <v>3.1513066718616513E-2</v>
      </c>
      <c r="L393" t="s">
        <v>154</v>
      </c>
    </row>
    <row r="394" spans="9:12" x14ac:dyDescent="0.25">
      <c r="I394" t="s">
        <v>175</v>
      </c>
      <c r="J394" t="s">
        <v>233</v>
      </c>
      <c r="K394">
        <v>1.7977717137770653E-5</v>
      </c>
      <c r="L394" t="s">
        <v>154</v>
      </c>
    </row>
    <row r="395" spans="9:12" x14ac:dyDescent="0.25">
      <c r="I395" t="s">
        <v>175</v>
      </c>
      <c r="J395" t="s">
        <v>240</v>
      </c>
      <c r="K395">
        <v>5.0597598052559397E-3</v>
      </c>
      <c r="L395" t="s">
        <v>154</v>
      </c>
    </row>
    <row r="396" spans="9:12" x14ac:dyDescent="0.25">
      <c r="I396" t="s">
        <v>175</v>
      </c>
      <c r="J396" t="s">
        <v>241</v>
      </c>
      <c r="K396">
        <v>2.9257243595310036E-2</v>
      </c>
      <c r="L396" t="s">
        <v>154</v>
      </c>
    </row>
    <row r="397" spans="9:12" x14ac:dyDescent="0.25">
      <c r="I397" t="s">
        <v>175</v>
      </c>
      <c r="J397" t="s">
        <v>242</v>
      </c>
      <c r="K397">
        <v>2.4994324743036755E-2</v>
      </c>
      <c r="L397" t="s">
        <v>154</v>
      </c>
    </row>
    <row r="398" spans="9:12" x14ac:dyDescent="0.25">
      <c r="I398" t="s">
        <v>175</v>
      </c>
      <c r="J398" t="s">
        <v>243</v>
      </c>
      <c r="K398">
        <v>0.12495701708153349</v>
      </c>
      <c r="L398" t="s">
        <v>154</v>
      </c>
    </row>
    <row r="399" spans="9:12" x14ac:dyDescent="0.25">
      <c r="I399" t="s">
        <v>175</v>
      </c>
      <c r="J399" t="s">
        <v>244</v>
      </c>
      <c r="K399">
        <v>6.9021458225734786E-2</v>
      </c>
      <c r="L399" t="s">
        <v>154</v>
      </c>
    </row>
    <row r="400" spans="9:12" x14ac:dyDescent="0.25">
      <c r="I400" t="s">
        <v>175</v>
      </c>
      <c r="J400" t="s">
        <v>245</v>
      </c>
      <c r="K400">
        <v>1.5314002196538509E-4</v>
      </c>
      <c r="L400" t="s">
        <v>154</v>
      </c>
    </row>
    <row r="401" spans="9:12" x14ac:dyDescent="0.25">
      <c r="I401" t="s">
        <v>175</v>
      </c>
      <c r="J401" t="s">
        <v>246</v>
      </c>
      <c r="K401">
        <v>4.3342873753231589E-3</v>
      </c>
      <c r="L401" t="s">
        <v>154</v>
      </c>
    </row>
    <row r="402" spans="9:12" x14ac:dyDescent="0.25">
      <c r="I402" t="s">
        <v>175</v>
      </c>
      <c r="J402" t="s">
        <v>247</v>
      </c>
      <c r="K402">
        <v>2.8103387320192089E-2</v>
      </c>
      <c r="L402" t="s">
        <v>154</v>
      </c>
    </row>
    <row r="403" spans="9:12" x14ac:dyDescent="0.25">
      <c r="I403" t="s">
        <v>175</v>
      </c>
      <c r="J403" t="s">
        <v>248</v>
      </c>
      <c r="K403">
        <v>2.3085763591461635E-2</v>
      </c>
      <c r="L403" t="s">
        <v>154</v>
      </c>
    </row>
    <row r="404" spans="9:12" x14ac:dyDescent="0.25">
      <c r="I404" t="s">
        <v>175</v>
      </c>
      <c r="J404" t="s">
        <v>249</v>
      </c>
      <c r="K404">
        <v>0.10705104349160027</v>
      </c>
      <c r="L404" t="s">
        <v>154</v>
      </c>
    </row>
    <row r="405" spans="9:12" x14ac:dyDescent="0.25">
      <c r="I405" t="s">
        <v>175</v>
      </c>
      <c r="J405" t="s">
        <v>250</v>
      </c>
      <c r="K405">
        <v>5.3613199725155915E-2</v>
      </c>
      <c r="L405" t="s">
        <v>154</v>
      </c>
    </row>
    <row r="406" spans="9:12" x14ac:dyDescent="0.25">
      <c r="I406" t="s">
        <v>175</v>
      </c>
      <c r="J406" t="s">
        <v>251</v>
      </c>
      <c r="K406">
        <v>0</v>
      </c>
      <c r="L406" t="s">
        <v>154</v>
      </c>
    </row>
    <row r="407" spans="9:12" x14ac:dyDescent="0.25">
      <c r="I407" t="s">
        <v>176</v>
      </c>
      <c r="J407" t="s">
        <v>153</v>
      </c>
      <c r="K407">
        <v>0</v>
      </c>
      <c r="L407" t="s">
        <v>154</v>
      </c>
    </row>
    <row r="408" spans="9:12" x14ac:dyDescent="0.25">
      <c r="I408" t="s">
        <v>176</v>
      </c>
      <c r="J408" t="s">
        <v>155</v>
      </c>
      <c r="K408">
        <v>5.8005702184495741E-3</v>
      </c>
      <c r="L408" t="s">
        <v>154</v>
      </c>
    </row>
    <row r="409" spans="9:12" x14ac:dyDescent="0.25">
      <c r="I409" t="s">
        <v>176</v>
      </c>
      <c r="J409" t="s">
        <v>156</v>
      </c>
      <c r="K409">
        <v>5.5029138794363735E-3</v>
      </c>
      <c r="L409" t="s">
        <v>154</v>
      </c>
    </row>
    <row r="410" spans="9:12" x14ac:dyDescent="0.25">
      <c r="I410" t="s">
        <v>176</v>
      </c>
      <c r="J410" t="s">
        <v>222</v>
      </c>
      <c r="K410">
        <v>2.5434959135998903E-2</v>
      </c>
      <c r="L410" t="s">
        <v>154</v>
      </c>
    </row>
    <row r="411" spans="9:12" x14ac:dyDescent="0.25">
      <c r="I411" t="s">
        <v>176</v>
      </c>
      <c r="J411" t="s">
        <v>223</v>
      </c>
      <c r="K411">
        <v>1.4871878673711902E-2</v>
      </c>
      <c r="L411" t="s">
        <v>154</v>
      </c>
    </row>
    <row r="412" spans="9:12" x14ac:dyDescent="0.25">
      <c r="I412" t="s">
        <v>176</v>
      </c>
      <c r="J412" t="s">
        <v>224</v>
      </c>
      <c r="K412">
        <v>0</v>
      </c>
      <c r="L412" t="s">
        <v>154</v>
      </c>
    </row>
    <row r="413" spans="9:12" x14ac:dyDescent="0.25">
      <c r="I413" t="s">
        <v>176</v>
      </c>
      <c r="J413" t="s">
        <v>157</v>
      </c>
      <c r="K413">
        <v>3.1953508561770329E-3</v>
      </c>
      <c r="L413" t="s">
        <v>154</v>
      </c>
    </row>
    <row r="414" spans="9:12" x14ac:dyDescent="0.25">
      <c r="I414" t="s">
        <v>176</v>
      </c>
      <c r="J414" t="s">
        <v>158</v>
      </c>
      <c r="K414">
        <v>4.204328916103181E-2</v>
      </c>
      <c r="L414" t="s">
        <v>154</v>
      </c>
    </row>
    <row r="415" spans="9:12" x14ac:dyDescent="0.25">
      <c r="I415" t="s">
        <v>176</v>
      </c>
      <c r="J415" t="s">
        <v>159</v>
      </c>
      <c r="K415">
        <v>3.3210865954467345E-2</v>
      </c>
      <c r="L415" t="s">
        <v>154</v>
      </c>
    </row>
    <row r="416" spans="9:12" x14ac:dyDescent="0.25">
      <c r="I416" t="s">
        <v>176</v>
      </c>
      <c r="J416" t="s">
        <v>225</v>
      </c>
      <c r="K416">
        <v>0.15742028323013563</v>
      </c>
      <c r="L416" t="s">
        <v>154</v>
      </c>
    </row>
    <row r="417" spans="9:12" x14ac:dyDescent="0.25">
      <c r="I417" t="s">
        <v>176</v>
      </c>
      <c r="J417" t="s">
        <v>226</v>
      </c>
      <c r="K417">
        <v>9.0259567937286955E-2</v>
      </c>
      <c r="L417" t="s">
        <v>154</v>
      </c>
    </row>
    <row r="418" spans="9:12" x14ac:dyDescent="0.25">
      <c r="I418" t="s">
        <v>176</v>
      </c>
      <c r="J418" t="s">
        <v>227</v>
      </c>
      <c r="K418">
        <v>2.1531611874263988E-3</v>
      </c>
      <c r="L418" t="s">
        <v>154</v>
      </c>
    </row>
    <row r="419" spans="9:12" x14ac:dyDescent="0.25">
      <c r="I419" t="s">
        <v>176</v>
      </c>
      <c r="J419" t="s">
        <v>160</v>
      </c>
      <c r="K419">
        <v>1.2069298605929374E-3</v>
      </c>
      <c r="L419" t="s">
        <v>154</v>
      </c>
    </row>
    <row r="420" spans="9:12" x14ac:dyDescent="0.25">
      <c r="I420" t="s">
        <v>176</v>
      </c>
      <c r="J420" t="s">
        <v>161</v>
      </c>
      <c r="K420">
        <v>5.449697609325896E-3</v>
      </c>
      <c r="L420" t="s">
        <v>154</v>
      </c>
    </row>
    <row r="421" spans="9:12" x14ac:dyDescent="0.25">
      <c r="I421" t="s">
        <v>176</v>
      </c>
      <c r="J421" t="s">
        <v>162</v>
      </c>
      <c r="K421">
        <v>4.1804748396340281E-3</v>
      </c>
      <c r="L421" t="s">
        <v>154</v>
      </c>
    </row>
    <row r="422" spans="9:12" x14ac:dyDescent="0.25">
      <c r="I422" t="s">
        <v>176</v>
      </c>
      <c r="J422" t="s">
        <v>228</v>
      </c>
      <c r="K422">
        <v>1.9459444830999015E-2</v>
      </c>
      <c r="L422" t="s">
        <v>154</v>
      </c>
    </row>
    <row r="423" spans="9:12" x14ac:dyDescent="0.25">
      <c r="I423" t="s">
        <v>176</v>
      </c>
      <c r="J423" t="s">
        <v>229</v>
      </c>
      <c r="K423">
        <v>1.1277452195285248E-2</v>
      </c>
      <c r="L423" t="s">
        <v>154</v>
      </c>
    </row>
    <row r="424" spans="9:12" x14ac:dyDescent="0.25">
      <c r="I424" t="s">
        <v>176</v>
      </c>
      <c r="J424" t="s">
        <v>230</v>
      </c>
      <c r="K424">
        <v>0</v>
      </c>
      <c r="L424" t="s">
        <v>154</v>
      </c>
    </row>
    <row r="425" spans="9:12" x14ac:dyDescent="0.25">
      <c r="I425" t="s">
        <v>176</v>
      </c>
      <c r="J425" t="s">
        <v>163</v>
      </c>
      <c r="K425">
        <v>3.2833547531127241E-3</v>
      </c>
      <c r="L425" t="s">
        <v>154</v>
      </c>
    </row>
    <row r="426" spans="9:12" x14ac:dyDescent="0.25">
      <c r="I426" t="s">
        <v>176</v>
      </c>
      <c r="J426" t="s">
        <v>164</v>
      </c>
      <c r="K426">
        <v>1.4138609282178315E-2</v>
      </c>
      <c r="L426" t="s">
        <v>154</v>
      </c>
    </row>
    <row r="427" spans="9:12" x14ac:dyDescent="0.25">
      <c r="I427" t="s">
        <v>176</v>
      </c>
      <c r="J427" t="s">
        <v>165</v>
      </c>
      <c r="K427">
        <v>1.1012499589412087E-2</v>
      </c>
      <c r="L427" t="s">
        <v>154</v>
      </c>
    </row>
    <row r="428" spans="9:12" x14ac:dyDescent="0.25">
      <c r="I428" t="s">
        <v>176</v>
      </c>
      <c r="J428" t="s">
        <v>231</v>
      </c>
      <c r="K428">
        <v>5.6351324488386832E-2</v>
      </c>
      <c r="L428" t="s">
        <v>154</v>
      </c>
    </row>
    <row r="429" spans="9:12" x14ac:dyDescent="0.25">
      <c r="I429" t="s">
        <v>176</v>
      </c>
      <c r="J429" t="s">
        <v>232</v>
      </c>
      <c r="K429">
        <v>3.2120745420164153E-2</v>
      </c>
      <c r="L429" t="s">
        <v>154</v>
      </c>
    </row>
    <row r="430" spans="9:12" x14ac:dyDescent="0.25">
      <c r="I430" t="s">
        <v>176</v>
      </c>
      <c r="J430" t="s">
        <v>233</v>
      </c>
      <c r="K430">
        <v>8.6620599626713898E-4</v>
      </c>
      <c r="L430" t="s">
        <v>154</v>
      </c>
    </row>
    <row r="431" spans="9:12" x14ac:dyDescent="0.25">
      <c r="I431" t="s">
        <v>176</v>
      </c>
      <c r="J431" t="s">
        <v>240</v>
      </c>
      <c r="K431">
        <v>5.5745463982180866E-3</v>
      </c>
      <c r="L431" t="s">
        <v>154</v>
      </c>
    </row>
    <row r="432" spans="9:12" x14ac:dyDescent="0.25">
      <c r="I432" t="s">
        <v>176</v>
      </c>
      <c r="J432" t="s">
        <v>241</v>
      </c>
      <c r="K432">
        <v>3.0268135743788158E-2</v>
      </c>
      <c r="L432" t="s">
        <v>154</v>
      </c>
    </row>
    <row r="433" spans="9:12" x14ac:dyDescent="0.25">
      <c r="I433" t="s">
        <v>176</v>
      </c>
      <c r="J433" t="s">
        <v>242</v>
      </c>
      <c r="K433">
        <v>2.4106935994785438E-2</v>
      </c>
      <c r="L433" t="s">
        <v>154</v>
      </c>
    </row>
    <row r="434" spans="9:12" x14ac:dyDescent="0.25">
      <c r="I434" t="s">
        <v>176</v>
      </c>
      <c r="J434" t="s">
        <v>243</v>
      </c>
      <c r="K434">
        <v>0.11963472503451449</v>
      </c>
      <c r="L434" t="s">
        <v>154</v>
      </c>
    </row>
    <row r="435" spans="9:12" x14ac:dyDescent="0.25">
      <c r="I435" t="s">
        <v>176</v>
      </c>
      <c r="J435" t="s">
        <v>244</v>
      </c>
      <c r="K435">
        <v>7.0336473793354365E-2</v>
      </c>
      <c r="L435" t="s">
        <v>154</v>
      </c>
    </row>
    <row r="436" spans="9:12" x14ac:dyDescent="0.25">
      <c r="I436" t="s">
        <v>176</v>
      </c>
      <c r="J436" t="s">
        <v>245</v>
      </c>
      <c r="K436">
        <v>2.4294567888637985E-3</v>
      </c>
      <c r="L436" t="s">
        <v>154</v>
      </c>
    </row>
    <row r="437" spans="9:12" x14ac:dyDescent="0.25">
      <c r="I437" t="s">
        <v>176</v>
      </c>
      <c r="J437" t="s">
        <v>246</v>
      </c>
      <c r="K437">
        <v>4.667183002691682E-3</v>
      </c>
      <c r="L437" t="s">
        <v>154</v>
      </c>
    </row>
    <row r="438" spans="9:12" x14ac:dyDescent="0.25">
      <c r="I438" t="s">
        <v>176</v>
      </c>
      <c r="J438" t="s">
        <v>247</v>
      </c>
      <c r="K438">
        <v>2.7633196695506873E-2</v>
      </c>
      <c r="L438" t="s">
        <v>154</v>
      </c>
    </row>
    <row r="439" spans="9:12" x14ac:dyDescent="0.25">
      <c r="I439" t="s">
        <v>176</v>
      </c>
      <c r="J439" t="s">
        <v>248</v>
      </c>
      <c r="K439">
        <v>2.1464291160470491E-2</v>
      </c>
      <c r="L439" t="s">
        <v>154</v>
      </c>
    </row>
    <row r="440" spans="9:12" x14ac:dyDescent="0.25">
      <c r="I440" t="s">
        <v>176</v>
      </c>
      <c r="J440" t="s">
        <v>249</v>
      </c>
      <c r="K440">
        <v>0.10132719617610048</v>
      </c>
      <c r="L440" t="s">
        <v>154</v>
      </c>
    </row>
    <row r="441" spans="9:12" x14ac:dyDescent="0.25">
      <c r="I441" t="s">
        <v>176</v>
      </c>
      <c r="J441" t="s">
        <v>250</v>
      </c>
      <c r="K441">
        <v>5.3318280112225086E-2</v>
      </c>
      <c r="L441" t="s">
        <v>154</v>
      </c>
    </row>
    <row r="442" spans="9:12" x14ac:dyDescent="0.25">
      <c r="I442" t="s">
        <v>176</v>
      </c>
      <c r="J442" t="s">
        <v>251</v>
      </c>
      <c r="K442">
        <v>0</v>
      </c>
      <c r="L442" t="s">
        <v>154</v>
      </c>
    </row>
    <row r="443" spans="9:12" x14ac:dyDescent="0.25">
      <c r="I443" t="s">
        <v>177</v>
      </c>
      <c r="J443" t="s">
        <v>153</v>
      </c>
      <c r="K443">
        <v>0</v>
      </c>
      <c r="L443" t="s">
        <v>154</v>
      </c>
    </row>
    <row r="444" spans="9:12" x14ac:dyDescent="0.25">
      <c r="I444" t="s">
        <v>177</v>
      </c>
      <c r="J444" t="s">
        <v>155</v>
      </c>
      <c r="K444">
        <v>5.4182035797972891E-3</v>
      </c>
      <c r="L444" t="s">
        <v>154</v>
      </c>
    </row>
    <row r="445" spans="9:12" x14ac:dyDescent="0.25">
      <c r="I445" t="s">
        <v>177</v>
      </c>
      <c r="J445" t="s">
        <v>156</v>
      </c>
      <c r="K445">
        <v>5.4207809718610795E-3</v>
      </c>
      <c r="L445" t="s">
        <v>154</v>
      </c>
    </row>
    <row r="446" spans="9:12" x14ac:dyDescent="0.25">
      <c r="I446" t="s">
        <v>177</v>
      </c>
      <c r="J446" t="s">
        <v>222</v>
      </c>
      <c r="K446">
        <v>2.7787320988273922E-2</v>
      </c>
      <c r="L446" t="s">
        <v>154</v>
      </c>
    </row>
    <row r="447" spans="9:12" x14ac:dyDescent="0.25">
      <c r="I447" t="s">
        <v>177</v>
      </c>
      <c r="J447" t="s">
        <v>223</v>
      </c>
      <c r="K447">
        <v>1.5780805987545627E-2</v>
      </c>
      <c r="L447" t="s">
        <v>154</v>
      </c>
    </row>
    <row r="448" spans="9:12" x14ac:dyDescent="0.25">
      <c r="I448" t="s">
        <v>177</v>
      </c>
      <c r="J448" t="s">
        <v>224</v>
      </c>
      <c r="K448">
        <v>1.1068975102103763E-4</v>
      </c>
      <c r="L448" t="s">
        <v>154</v>
      </c>
    </row>
    <row r="449" spans="9:12" x14ac:dyDescent="0.25">
      <c r="I449" t="s">
        <v>177</v>
      </c>
      <c r="J449" t="s">
        <v>157</v>
      </c>
      <c r="K449">
        <v>2.3049661063776535E-3</v>
      </c>
      <c r="L449" t="s">
        <v>154</v>
      </c>
    </row>
    <row r="450" spans="9:12" x14ac:dyDescent="0.25">
      <c r="I450" t="s">
        <v>177</v>
      </c>
      <c r="J450" t="s">
        <v>158</v>
      </c>
      <c r="K450">
        <v>3.4121454469403893E-2</v>
      </c>
      <c r="L450" t="s">
        <v>154</v>
      </c>
    </row>
    <row r="451" spans="9:12" x14ac:dyDescent="0.25">
      <c r="I451" t="s">
        <v>177</v>
      </c>
      <c r="J451" t="s">
        <v>159</v>
      </c>
      <c r="K451">
        <v>3.0444053880367687E-2</v>
      </c>
      <c r="L451" t="s">
        <v>154</v>
      </c>
    </row>
    <row r="452" spans="9:12" x14ac:dyDescent="0.25">
      <c r="I452" t="s">
        <v>177</v>
      </c>
      <c r="J452" t="s">
        <v>225</v>
      </c>
      <c r="K452">
        <v>0.15476046893180176</v>
      </c>
      <c r="L452" t="s">
        <v>154</v>
      </c>
    </row>
    <row r="453" spans="9:12" x14ac:dyDescent="0.25">
      <c r="I453" t="s">
        <v>177</v>
      </c>
      <c r="J453" t="s">
        <v>226</v>
      </c>
      <c r="K453">
        <v>9.2862038884385267E-2</v>
      </c>
      <c r="L453" t="s">
        <v>154</v>
      </c>
    </row>
    <row r="454" spans="9:12" x14ac:dyDescent="0.25">
      <c r="I454" t="s">
        <v>177</v>
      </c>
      <c r="J454" t="s">
        <v>227</v>
      </c>
      <c r="K454">
        <v>3.5321722053599366E-3</v>
      </c>
      <c r="L454" t="s">
        <v>154</v>
      </c>
    </row>
    <row r="455" spans="9:12" x14ac:dyDescent="0.25">
      <c r="I455" t="s">
        <v>177</v>
      </c>
      <c r="J455" t="s">
        <v>160</v>
      </c>
      <c r="K455">
        <v>9.0473824082077932E-4</v>
      </c>
      <c r="L455" t="s">
        <v>154</v>
      </c>
    </row>
    <row r="456" spans="9:12" x14ac:dyDescent="0.25">
      <c r="I456" t="s">
        <v>177</v>
      </c>
      <c r="J456" t="s">
        <v>161</v>
      </c>
      <c r="K456">
        <v>4.701688906323968E-3</v>
      </c>
      <c r="L456" t="s">
        <v>154</v>
      </c>
    </row>
    <row r="457" spans="9:12" x14ac:dyDescent="0.25">
      <c r="I457" t="s">
        <v>177</v>
      </c>
      <c r="J457" t="s">
        <v>162</v>
      </c>
      <c r="K457">
        <v>3.8538482165086738E-3</v>
      </c>
      <c r="L457" t="s">
        <v>154</v>
      </c>
    </row>
    <row r="458" spans="9:12" x14ac:dyDescent="0.25">
      <c r="I458" t="s">
        <v>177</v>
      </c>
      <c r="J458" t="s">
        <v>228</v>
      </c>
      <c r="K458">
        <v>2.0143104686240847E-2</v>
      </c>
      <c r="L458" t="s">
        <v>154</v>
      </c>
    </row>
    <row r="459" spans="9:12" x14ac:dyDescent="0.25">
      <c r="I459" t="s">
        <v>177</v>
      </c>
      <c r="J459" t="s">
        <v>229</v>
      </c>
      <c r="K459">
        <v>1.2310957147812319E-2</v>
      </c>
      <c r="L459" t="s">
        <v>154</v>
      </c>
    </row>
    <row r="460" spans="9:12" x14ac:dyDescent="0.25">
      <c r="I460" t="s">
        <v>177</v>
      </c>
      <c r="J460" t="s">
        <v>230</v>
      </c>
      <c r="K460">
        <v>0</v>
      </c>
      <c r="L460" t="s">
        <v>154</v>
      </c>
    </row>
    <row r="461" spans="9:12" x14ac:dyDescent="0.25">
      <c r="I461" t="s">
        <v>177</v>
      </c>
      <c r="J461" t="s">
        <v>163</v>
      </c>
      <c r="K461">
        <v>2.3967615417297842E-3</v>
      </c>
      <c r="L461" t="s">
        <v>154</v>
      </c>
    </row>
    <row r="462" spans="9:12" x14ac:dyDescent="0.25">
      <c r="I462" t="s">
        <v>177</v>
      </c>
      <c r="J462" t="s">
        <v>164</v>
      </c>
      <c r="K462">
        <v>1.3960134435284372E-2</v>
      </c>
      <c r="L462" t="s">
        <v>154</v>
      </c>
    </row>
    <row r="463" spans="9:12" x14ac:dyDescent="0.25">
      <c r="I463" t="s">
        <v>177</v>
      </c>
      <c r="J463" t="s">
        <v>165</v>
      </c>
      <c r="K463">
        <v>1.1866125875923537E-2</v>
      </c>
      <c r="L463" t="s">
        <v>154</v>
      </c>
    </row>
    <row r="464" spans="9:12" x14ac:dyDescent="0.25">
      <c r="I464" t="s">
        <v>177</v>
      </c>
      <c r="J464" t="s">
        <v>231</v>
      </c>
      <c r="K464">
        <v>5.834244524984171E-2</v>
      </c>
      <c r="L464" t="s">
        <v>154</v>
      </c>
    </row>
    <row r="465" spans="9:12" x14ac:dyDescent="0.25">
      <c r="I465" t="s">
        <v>177</v>
      </c>
      <c r="J465" t="s">
        <v>232</v>
      </c>
      <c r="K465">
        <v>3.2829179256575455E-2</v>
      </c>
      <c r="L465" t="s">
        <v>154</v>
      </c>
    </row>
    <row r="466" spans="9:12" x14ac:dyDescent="0.25">
      <c r="I466" t="s">
        <v>177</v>
      </c>
      <c r="J466" t="s">
        <v>233</v>
      </c>
      <c r="K466">
        <v>1.4701075475707622E-3</v>
      </c>
      <c r="L466" t="s">
        <v>154</v>
      </c>
    </row>
    <row r="467" spans="9:12" x14ac:dyDescent="0.25">
      <c r="I467" t="s">
        <v>177</v>
      </c>
      <c r="J467" t="s">
        <v>240</v>
      </c>
      <c r="K467">
        <v>2.4940673672235441E-3</v>
      </c>
      <c r="L467" t="s">
        <v>154</v>
      </c>
    </row>
    <row r="468" spans="9:12" x14ac:dyDescent="0.25">
      <c r="I468" t="s">
        <v>177</v>
      </c>
      <c r="J468" t="s">
        <v>241</v>
      </c>
      <c r="K468">
        <v>2.894309507252036E-2</v>
      </c>
      <c r="L468" t="s">
        <v>154</v>
      </c>
    </row>
    <row r="469" spans="9:12" x14ac:dyDescent="0.25">
      <c r="I469" t="s">
        <v>177</v>
      </c>
      <c r="J469" t="s">
        <v>242</v>
      </c>
      <c r="K469">
        <v>2.4767879004606589E-2</v>
      </c>
      <c r="L469" t="s">
        <v>154</v>
      </c>
    </row>
    <row r="470" spans="9:12" x14ac:dyDescent="0.25">
      <c r="I470" t="s">
        <v>177</v>
      </c>
      <c r="J470" t="s">
        <v>243</v>
      </c>
      <c r="K470">
        <v>0.1252513129903374</v>
      </c>
      <c r="L470" t="s">
        <v>154</v>
      </c>
    </row>
    <row r="471" spans="9:12" x14ac:dyDescent="0.25">
      <c r="I471" t="s">
        <v>177</v>
      </c>
      <c r="J471" t="s">
        <v>244</v>
      </c>
      <c r="K471">
        <v>7.3782585853081159E-2</v>
      </c>
      <c r="L471" t="s">
        <v>154</v>
      </c>
    </row>
    <row r="472" spans="9:12" x14ac:dyDescent="0.25">
      <c r="I472" t="s">
        <v>177</v>
      </c>
      <c r="J472" t="s">
        <v>245</v>
      </c>
      <c r="K472">
        <v>2.4716446401600103E-3</v>
      </c>
      <c r="L472" t="s">
        <v>154</v>
      </c>
    </row>
    <row r="473" spans="9:12" x14ac:dyDescent="0.25">
      <c r="I473" t="s">
        <v>177</v>
      </c>
      <c r="J473" t="s">
        <v>246</v>
      </c>
      <c r="K473">
        <v>4.0151360556488951E-3</v>
      </c>
      <c r="L473" t="s">
        <v>154</v>
      </c>
    </row>
    <row r="474" spans="9:12" x14ac:dyDescent="0.25">
      <c r="I474" t="s">
        <v>177</v>
      </c>
      <c r="J474" t="s">
        <v>247</v>
      </c>
      <c r="K474">
        <v>2.5831960578960922E-2</v>
      </c>
      <c r="L474" t="s">
        <v>154</v>
      </c>
    </row>
    <row r="475" spans="9:12" x14ac:dyDescent="0.25">
      <c r="I475" t="s">
        <v>177</v>
      </c>
      <c r="J475" t="s">
        <v>248</v>
      </c>
      <c r="K475">
        <v>2.1317699853331887E-2</v>
      </c>
      <c r="L475" t="s">
        <v>154</v>
      </c>
    </row>
    <row r="476" spans="9:12" x14ac:dyDescent="0.25">
      <c r="I476" t="s">
        <v>177</v>
      </c>
      <c r="J476" t="s">
        <v>249</v>
      </c>
      <c r="K476">
        <v>0.10117509302135627</v>
      </c>
      <c r="L476" t="s">
        <v>154</v>
      </c>
    </row>
    <row r="477" spans="9:12" x14ac:dyDescent="0.25">
      <c r="I477" t="s">
        <v>177</v>
      </c>
      <c r="J477" t="s">
        <v>250</v>
      </c>
      <c r="K477">
        <v>5.462747870194707E-2</v>
      </c>
      <c r="L477" t="s">
        <v>154</v>
      </c>
    </row>
    <row r="478" spans="9:12" x14ac:dyDescent="0.25">
      <c r="I478" t="s">
        <v>177</v>
      </c>
      <c r="J478" t="s">
        <v>251</v>
      </c>
      <c r="K478">
        <v>0</v>
      </c>
      <c r="L478" t="s">
        <v>154</v>
      </c>
    </row>
    <row r="479" spans="9:12" x14ac:dyDescent="0.25">
      <c r="I479" t="s">
        <v>178</v>
      </c>
      <c r="J479" t="s">
        <v>153</v>
      </c>
      <c r="K479">
        <v>0</v>
      </c>
      <c r="L479" t="s">
        <v>154</v>
      </c>
    </row>
    <row r="480" spans="9:12" x14ac:dyDescent="0.25">
      <c r="I480" t="s">
        <v>178</v>
      </c>
      <c r="J480" t="s">
        <v>155</v>
      </c>
      <c r="K480">
        <v>3.4172518128192148E-3</v>
      </c>
      <c r="L480" t="s">
        <v>154</v>
      </c>
    </row>
    <row r="481" spans="9:12" x14ac:dyDescent="0.25">
      <c r="I481" t="s">
        <v>178</v>
      </c>
      <c r="J481" t="s">
        <v>156</v>
      </c>
      <c r="K481">
        <v>3.7831481240254228E-3</v>
      </c>
      <c r="L481" t="s">
        <v>154</v>
      </c>
    </row>
    <row r="482" spans="9:12" x14ac:dyDescent="0.25">
      <c r="I482" t="s">
        <v>178</v>
      </c>
      <c r="J482" t="s">
        <v>222</v>
      </c>
      <c r="K482">
        <v>2.2591514637178664E-2</v>
      </c>
      <c r="L482" t="s">
        <v>154</v>
      </c>
    </row>
    <row r="483" spans="9:12" x14ac:dyDescent="0.25">
      <c r="I483" t="s">
        <v>178</v>
      </c>
      <c r="J483" t="s">
        <v>223</v>
      </c>
      <c r="K483">
        <v>1.7012318085632659E-2</v>
      </c>
      <c r="L483" t="s">
        <v>154</v>
      </c>
    </row>
    <row r="484" spans="9:12" x14ac:dyDescent="0.25">
      <c r="I484" t="s">
        <v>178</v>
      </c>
      <c r="J484" t="s">
        <v>224</v>
      </c>
      <c r="K484">
        <v>1.5110101755582913E-3</v>
      </c>
      <c r="L484" t="s">
        <v>154</v>
      </c>
    </row>
    <row r="485" spans="9:12" x14ac:dyDescent="0.25">
      <c r="I485" t="s">
        <v>178</v>
      </c>
      <c r="J485" t="s">
        <v>157</v>
      </c>
      <c r="K485">
        <v>0</v>
      </c>
      <c r="L485" t="s">
        <v>154</v>
      </c>
    </row>
    <row r="486" spans="9:12" x14ac:dyDescent="0.25">
      <c r="I486" t="s">
        <v>178</v>
      </c>
      <c r="J486" t="s">
        <v>158</v>
      </c>
      <c r="K486">
        <v>2.9581326370964771E-2</v>
      </c>
      <c r="L486" t="s">
        <v>154</v>
      </c>
    </row>
    <row r="487" spans="9:12" x14ac:dyDescent="0.25">
      <c r="I487" t="s">
        <v>178</v>
      </c>
      <c r="J487" t="s">
        <v>159</v>
      </c>
      <c r="K487">
        <v>2.8159142297080858E-2</v>
      </c>
      <c r="L487" t="s">
        <v>154</v>
      </c>
    </row>
    <row r="488" spans="9:12" x14ac:dyDescent="0.25">
      <c r="I488" t="s">
        <v>178</v>
      </c>
      <c r="J488" t="s">
        <v>225</v>
      </c>
      <c r="K488">
        <v>0.14743243116535118</v>
      </c>
      <c r="L488" t="s">
        <v>154</v>
      </c>
    </row>
    <row r="489" spans="9:12" x14ac:dyDescent="0.25">
      <c r="I489" t="s">
        <v>178</v>
      </c>
      <c r="J489" t="s">
        <v>226</v>
      </c>
      <c r="K489">
        <v>0.11745770514491374</v>
      </c>
      <c r="L489" t="s">
        <v>154</v>
      </c>
    </row>
    <row r="490" spans="9:12" x14ac:dyDescent="0.25">
      <c r="I490" t="s">
        <v>178</v>
      </c>
      <c r="J490" t="s">
        <v>227</v>
      </c>
      <c r="K490">
        <v>1.3226235599986863E-2</v>
      </c>
      <c r="L490" t="s">
        <v>154</v>
      </c>
    </row>
    <row r="491" spans="9:12" x14ac:dyDescent="0.25">
      <c r="I491" t="s">
        <v>178</v>
      </c>
      <c r="J491" t="s">
        <v>160</v>
      </c>
      <c r="K491">
        <v>0</v>
      </c>
      <c r="L491" t="s">
        <v>154</v>
      </c>
    </row>
    <row r="492" spans="9:12" x14ac:dyDescent="0.25">
      <c r="I492" t="s">
        <v>178</v>
      </c>
      <c r="J492" t="s">
        <v>161</v>
      </c>
      <c r="K492">
        <v>3.3457881691058016E-3</v>
      </c>
      <c r="L492" t="s">
        <v>154</v>
      </c>
    </row>
    <row r="493" spans="9:12" x14ac:dyDescent="0.25">
      <c r="I493" t="s">
        <v>178</v>
      </c>
      <c r="J493" t="s">
        <v>162</v>
      </c>
      <c r="K493">
        <v>3.2193799533719409E-3</v>
      </c>
      <c r="L493" t="s">
        <v>154</v>
      </c>
    </row>
    <row r="494" spans="9:12" x14ac:dyDescent="0.25">
      <c r="I494" t="s">
        <v>178</v>
      </c>
      <c r="J494" t="s">
        <v>228</v>
      </c>
      <c r="K494">
        <v>1.8324882410737167E-2</v>
      </c>
      <c r="L494" t="s">
        <v>154</v>
      </c>
    </row>
    <row r="495" spans="9:12" x14ac:dyDescent="0.25">
      <c r="I495" t="s">
        <v>178</v>
      </c>
      <c r="J495" t="s">
        <v>229</v>
      </c>
      <c r="K495">
        <v>1.3597131696971951E-2</v>
      </c>
      <c r="L495" t="s">
        <v>154</v>
      </c>
    </row>
    <row r="496" spans="9:12" x14ac:dyDescent="0.25">
      <c r="I496" t="s">
        <v>178</v>
      </c>
      <c r="J496" t="s">
        <v>230</v>
      </c>
      <c r="K496">
        <v>1.4016823624768688E-3</v>
      </c>
      <c r="L496" t="s">
        <v>154</v>
      </c>
    </row>
    <row r="497" spans="9:12" x14ac:dyDescent="0.25">
      <c r="I497" t="s">
        <v>178</v>
      </c>
      <c r="J497" t="s">
        <v>163</v>
      </c>
      <c r="K497">
        <v>0</v>
      </c>
      <c r="L497" t="s">
        <v>154</v>
      </c>
    </row>
    <row r="498" spans="9:12" x14ac:dyDescent="0.25">
      <c r="I498" t="s">
        <v>178</v>
      </c>
      <c r="J498" t="s">
        <v>164</v>
      </c>
      <c r="K498">
        <v>8.3897525133011536E-3</v>
      </c>
      <c r="L498" t="s">
        <v>154</v>
      </c>
    </row>
    <row r="499" spans="9:12" x14ac:dyDescent="0.25">
      <c r="I499" t="s">
        <v>178</v>
      </c>
      <c r="J499" t="s">
        <v>165</v>
      </c>
      <c r="K499">
        <v>8.5469986185139606E-3</v>
      </c>
      <c r="L499" t="s">
        <v>154</v>
      </c>
    </row>
    <row r="500" spans="9:12" x14ac:dyDescent="0.25">
      <c r="I500" t="s">
        <v>178</v>
      </c>
      <c r="J500" t="s">
        <v>231</v>
      </c>
      <c r="K500">
        <v>4.9818729960689326E-2</v>
      </c>
      <c r="L500" t="s">
        <v>154</v>
      </c>
    </row>
    <row r="501" spans="9:12" x14ac:dyDescent="0.25">
      <c r="I501" t="s">
        <v>178</v>
      </c>
      <c r="J501" t="s">
        <v>232</v>
      </c>
      <c r="K501">
        <v>3.6309269101844448E-2</v>
      </c>
      <c r="L501" t="s">
        <v>154</v>
      </c>
    </row>
    <row r="502" spans="9:12" x14ac:dyDescent="0.25">
      <c r="I502" t="s">
        <v>178</v>
      </c>
      <c r="J502" t="s">
        <v>233</v>
      </c>
      <c r="K502">
        <v>3.7411868389669251E-3</v>
      </c>
      <c r="L502" t="s">
        <v>154</v>
      </c>
    </row>
    <row r="503" spans="9:12" x14ac:dyDescent="0.25">
      <c r="I503" t="s">
        <v>178</v>
      </c>
      <c r="J503" t="s">
        <v>240</v>
      </c>
      <c r="K503">
        <v>0</v>
      </c>
      <c r="L503" t="s">
        <v>154</v>
      </c>
    </row>
    <row r="504" spans="9:12" x14ac:dyDescent="0.25">
      <c r="I504" t="s">
        <v>178</v>
      </c>
      <c r="J504" t="s">
        <v>241</v>
      </c>
      <c r="K504">
        <v>2.1154949511839327E-2</v>
      </c>
      <c r="L504" t="s">
        <v>154</v>
      </c>
    </row>
    <row r="505" spans="9:12" x14ac:dyDescent="0.25">
      <c r="I505" t="s">
        <v>178</v>
      </c>
      <c r="J505" t="s">
        <v>242</v>
      </c>
      <c r="K505">
        <v>2.0911747269974423E-2</v>
      </c>
      <c r="L505" t="s">
        <v>154</v>
      </c>
    </row>
    <row r="506" spans="9:12" x14ac:dyDescent="0.25">
      <c r="I506" t="s">
        <v>178</v>
      </c>
      <c r="J506" t="s">
        <v>243</v>
      </c>
      <c r="K506">
        <v>0.11505277935484207</v>
      </c>
      <c r="L506" t="s">
        <v>154</v>
      </c>
    </row>
    <row r="507" spans="9:12" x14ac:dyDescent="0.25">
      <c r="I507" t="s">
        <v>178</v>
      </c>
      <c r="J507" t="s">
        <v>244</v>
      </c>
      <c r="K507">
        <v>8.3644728288379405E-2</v>
      </c>
      <c r="L507" t="s">
        <v>154</v>
      </c>
    </row>
    <row r="508" spans="9:12" x14ac:dyDescent="0.25">
      <c r="I508" t="s">
        <v>178</v>
      </c>
      <c r="J508" t="s">
        <v>245</v>
      </c>
      <c r="K508">
        <v>8.3591119947344639E-3</v>
      </c>
      <c r="L508" t="s">
        <v>154</v>
      </c>
    </row>
    <row r="509" spans="9:12" x14ac:dyDescent="0.25">
      <c r="I509" t="s">
        <v>178</v>
      </c>
      <c r="J509" t="s">
        <v>246</v>
      </c>
      <c r="K509">
        <v>0</v>
      </c>
      <c r="L509" t="s">
        <v>154</v>
      </c>
    </row>
    <row r="510" spans="9:12" x14ac:dyDescent="0.25">
      <c r="I510" t="s">
        <v>178</v>
      </c>
      <c r="J510" t="s">
        <v>247</v>
      </c>
      <c r="K510">
        <v>2.1572387200886108E-2</v>
      </c>
      <c r="L510" t="s">
        <v>154</v>
      </c>
    </row>
    <row r="511" spans="9:12" x14ac:dyDescent="0.25">
      <c r="I511" t="s">
        <v>178</v>
      </c>
      <c r="J511" t="s">
        <v>248</v>
      </c>
      <c r="K511">
        <v>1.9981506164991093E-2</v>
      </c>
      <c r="L511" t="s">
        <v>154</v>
      </c>
    </row>
    <row r="512" spans="9:12" x14ac:dyDescent="0.25">
      <c r="I512" t="s">
        <v>178</v>
      </c>
      <c r="J512" t="s">
        <v>249</v>
      </c>
      <c r="K512">
        <v>9.9978389287330396E-2</v>
      </c>
      <c r="L512" t="s">
        <v>154</v>
      </c>
    </row>
    <row r="513" spans="9:12" x14ac:dyDescent="0.25">
      <c r="I513" t="s">
        <v>178</v>
      </c>
      <c r="J513" t="s">
        <v>250</v>
      </c>
      <c r="K513">
        <v>7.1466605348390763E-2</v>
      </c>
      <c r="L513" t="s">
        <v>154</v>
      </c>
    </row>
    <row r="514" spans="9:12" x14ac:dyDescent="0.25">
      <c r="I514" t="s">
        <v>178</v>
      </c>
      <c r="J514" t="s">
        <v>251</v>
      </c>
      <c r="K514">
        <v>7.010910539141932E-3</v>
      </c>
      <c r="L514" t="s">
        <v>154</v>
      </c>
    </row>
    <row r="515" spans="9:12" x14ac:dyDescent="0.25">
      <c r="I515" t="s">
        <v>179</v>
      </c>
      <c r="J515" t="s">
        <v>153</v>
      </c>
      <c r="K515">
        <v>0</v>
      </c>
      <c r="L515" t="s">
        <v>154</v>
      </c>
    </row>
    <row r="516" spans="9:12" x14ac:dyDescent="0.25">
      <c r="I516" t="s">
        <v>179</v>
      </c>
      <c r="J516" t="s">
        <v>155</v>
      </c>
      <c r="K516">
        <v>1.9518992477984907E-3</v>
      </c>
      <c r="L516" t="s">
        <v>154</v>
      </c>
    </row>
    <row r="517" spans="9:12" x14ac:dyDescent="0.25">
      <c r="I517" t="s">
        <v>179</v>
      </c>
      <c r="J517" t="s">
        <v>156</v>
      </c>
      <c r="K517">
        <v>3.4928786248897463E-3</v>
      </c>
      <c r="L517" t="s">
        <v>154</v>
      </c>
    </row>
    <row r="518" spans="9:12" x14ac:dyDescent="0.25">
      <c r="I518" t="s">
        <v>179</v>
      </c>
      <c r="J518" t="s">
        <v>222</v>
      </c>
      <c r="K518">
        <v>2.2381374121451303E-2</v>
      </c>
      <c r="L518" t="s">
        <v>154</v>
      </c>
    </row>
    <row r="519" spans="9:12" x14ac:dyDescent="0.25">
      <c r="I519" t="s">
        <v>179</v>
      </c>
      <c r="J519" t="s">
        <v>223</v>
      </c>
      <c r="K519">
        <v>1.7669552732920691E-2</v>
      </c>
      <c r="L519" t="s">
        <v>154</v>
      </c>
    </row>
    <row r="520" spans="9:12" x14ac:dyDescent="0.25">
      <c r="I520" t="s">
        <v>179</v>
      </c>
      <c r="J520" t="s">
        <v>224</v>
      </c>
      <c r="K520">
        <v>1.4418456198436449E-3</v>
      </c>
      <c r="L520" t="s">
        <v>154</v>
      </c>
    </row>
    <row r="521" spans="9:12" x14ac:dyDescent="0.25">
      <c r="I521" t="s">
        <v>179</v>
      </c>
      <c r="J521" t="s">
        <v>157</v>
      </c>
      <c r="K521">
        <v>0</v>
      </c>
      <c r="L521" t="s">
        <v>154</v>
      </c>
    </row>
    <row r="522" spans="9:12" x14ac:dyDescent="0.25">
      <c r="I522" t="s">
        <v>179</v>
      </c>
      <c r="J522" t="s">
        <v>158</v>
      </c>
      <c r="K522">
        <v>2.0679625458162623E-2</v>
      </c>
      <c r="L522" t="s">
        <v>154</v>
      </c>
    </row>
    <row r="523" spans="9:12" x14ac:dyDescent="0.25">
      <c r="I523" t="s">
        <v>179</v>
      </c>
      <c r="J523" t="s">
        <v>159</v>
      </c>
      <c r="K523">
        <v>2.6485519377263619E-2</v>
      </c>
      <c r="L523" t="s">
        <v>154</v>
      </c>
    </row>
    <row r="524" spans="9:12" x14ac:dyDescent="0.25">
      <c r="I524" t="s">
        <v>179</v>
      </c>
      <c r="J524" t="s">
        <v>225</v>
      </c>
      <c r="K524">
        <v>0.15165009670110166</v>
      </c>
      <c r="L524" t="s">
        <v>154</v>
      </c>
    </row>
    <row r="525" spans="9:12" x14ac:dyDescent="0.25">
      <c r="I525" t="s">
        <v>179</v>
      </c>
      <c r="J525" t="s">
        <v>226</v>
      </c>
      <c r="K525">
        <v>0.12104577120093081</v>
      </c>
      <c r="L525" t="s">
        <v>154</v>
      </c>
    </row>
    <row r="526" spans="9:12" x14ac:dyDescent="0.25">
      <c r="I526" t="s">
        <v>179</v>
      </c>
      <c r="J526" t="s">
        <v>227</v>
      </c>
      <c r="K526">
        <v>1.1238109069795841E-2</v>
      </c>
      <c r="L526" t="s">
        <v>154</v>
      </c>
    </row>
    <row r="527" spans="9:12" x14ac:dyDescent="0.25">
      <c r="I527" t="s">
        <v>179</v>
      </c>
      <c r="J527" t="s">
        <v>160</v>
      </c>
      <c r="K527">
        <v>0</v>
      </c>
      <c r="L527" t="s">
        <v>154</v>
      </c>
    </row>
    <row r="528" spans="9:12" x14ac:dyDescent="0.25">
      <c r="I528" t="s">
        <v>179</v>
      </c>
      <c r="J528" t="s">
        <v>161</v>
      </c>
      <c r="K528">
        <v>2.7745175909453012E-3</v>
      </c>
      <c r="L528" t="s">
        <v>154</v>
      </c>
    </row>
    <row r="529" spans="9:12" x14ac:dyDescent="0.25">
      <c r="I529" t="s">
        <v>179</v>
      </c>
      <c r="J529" t="s">
        <v>162</v>
      </c>
      <c r="K529">
        <v>3.2629643467139741E-3</v>
      </c>
      <c r="L529" t="s">
        <v>154</v>
      </c>
    </row>
    <row r="530" spans="9:12" x14ac:dyDescent="0.25">
      <c r="I530" t="s">
        <v>179</v>
      </c>
      <c r="J530" t="s">
        <v>228</v>
      </c>
      <c r="K530">
        <v>1.9356861324970727E-2</v>
      </c>
      <c r="L530" t="s">
        <v>154</v>
      </c>
    </row>
    <row r="531" spans="9:12" x14ac:dyDescent="0.25">
      <c r="I531" t="s">
        <v>179</v>
      </c>
      <c r="J531" t="s">
        <v>229</v>
      </c>
      <c r="K531">
        <v>1.4516071252323194E-2</v>
      </c>
      <c r="L531" t="s">
        <v>154</v>
      </c>
    </row>
    <row r="532" spans="9:12" x14ac:dyDescent="0.25">
      <c r="I532" t="s">
        <v>179</v>
      </c>
      <c r="J532" t="s">
        <v>230</v>
      </c>
      <c r="K532">
        <v>1.0225658786470512E-3</v>
      </c>
      <c r="L532" t="s">
        <v>154</v>
      </c>
    </row>
    <row r="533" spans="9:12" x14ac:dyDescent="0.25">
      <c r="I533" t="s">
        <v>179</v>
      </c>
      <c r="J533" t="s">
        <v>163</v>
      </c>
      <c r="K533">
        <v>0</v>
      </c>
      <c r="L533" t="s">
        <v>154</v>
      </c>
    </row>
    <row r="534" spans="9:12" x14ac:dyDescent="0.25">
      <c r="I534" t="s">
        <v>179</v>
      </c>
      <c r="J534" t="s">
        <v>164</v>
      </c>
      <c r="K534">
        <v>6.9405313086556347E-3</v>
      </c>
      <c r="L534" t="s">
        <v>154</v>
      </c>
    </row>
    <row r="535" spans="9:12" x14ac:dyDescent="0.25">
      <c r="I535" t="s">
        <v>179</v>
      </c>
      <c r="J535" t="s">
        <v>165</v>
      </c>
      <c r="K535">
        <v>8.7630395041394128E-3</v>
      </c>
      <c r="L535" t="s">
        <v>154</v>
      </c>
    </row>
    <row r="536" spans="9:12" x14ac:dyDescent="0.25">
      <c r="I536" t="s">
        <v>179</v>
      </c>
      <c r="J536" t="s">
        <v>231</v>
      </c>
      <c r="K536">
        <v>5.4253488558204471E-2</v>
      </c>
      <c r="L536" t="s">
        <v>154</v>
      </c>
    </row>
    <row r="537" spans="9:12" x14ac:dyDescent="0.25">
      <c r="I537" t="s">
        <v>179</v>
      </c>
      <c r="J537" t="s">
        <v>232</v>
      </c>
      <c r="K537">
        <v>3.7944740932482235E-2</v>
      </c>
      <c r="L537" t="s">
        <v>154</v>
      </c>
    </row>
    <row r="538" spans="9:12" x14ac:dyDescent="0.25">
      <c r="I538" t="s">
        <v>179</v>
      </c>
      <c r="J538" t="s">
        <v>233</v>
      </c>
      <c r="K538">
        <v>2.8774611144705706E-3</v>
      </c>
      <c r="L538" t="s">
        <v>154</v>
      </c>
    </row>
    <row r="539" spans="9:12" x14ac:dyDescent="0.25">
      <c r="I539" t="s">
        <v>179</v>
      </c>
      <c r="J539" t="s">
        <v>240</v>
      </c>
      <c r="K539">
        <v>0</v>
      </c>
      <c r="L539" t="s">
        <v>154</v>
      </c>
    </row>
    <row r="540" spans="9:12" x14ac:dyDescent="0.25">
      <c r="I540" t="s">
        <v>179</v>
      </c>
      <c r="J540" t="s">
        <v>241</v>
      </c>
      <c r="K540">
        <v>1.7774221492095867E-2</v>
      </c>
      <c r="L540" t="s">
        <v>154</v>
      </c>
    </row>
    <row r="541" spans="9:12" x14ac:dyDescent="0.25">
      <c r="I541" t="s">
        <v>179</v>
      </c>
      <c r="J541" t="s">
        <v>242</v>
      </c>
      <c r="K541">
        <v>2.0535076149412978E-2</v>
      </c>
      <c r="L541" t="s">
        <v>154</v>
      </c>
    </row>
    <row r="542" spans="9:12" x14ac:dyDescent="0.25">
      <c r="I542" t="s">
        <v>179</v>
      </c>
      <c r="J542" t="s">
        <v>243</v>
      </c>
      <c r="K542">
        <v>0.12136118415035933</v>
      </c>
      <c r="L542" t="s">
        <v>154</v>
      </c>
    </row>
    <row r="543" spans="9:12" x14ac:dyDescent="0.25">
      <c r="I543" t="s">
        <v>179</v>
      </c>
      <c r="J543" t="s">
        <v>244</v>
      </c>
      <c r="K543">
        <v>8.7669212167145016E-2</v>
      </c>
      <c r="L543" t="s">
        <v>154</v>
      </c>
    </row>
    <row r="544" spans="9:12" x14ac:dyDescent="0.25">
      <c r="I544" t="s">
        <v>179</v>
      </c>
      <c r="J544" t="s">
        <v>245</v>
      </c>
      <c r="K544">
        <v>6.6123842578706491E-3</v>
      </c>
      <c r="L544" t="s">
        <v>154</v>
      </c>
    </row>
    <row r="545" spans="9:12" x14ac:dyDescent="0.25">
      <c r="I545" t="s">
        <v>179</v>
      </c>
      <c r="J545" t="s">
        <v>246</v>
      </c>
      <c r="K545">
        <v>0</v>
      </c>
      <c r="L545" t="s">
        <v>154</v>
      </c>
    </row>
    <row r="546" spans="9:12" x14ac:dyDescent="0.25">
      <c r="I546" t="s">
        <v>179</v>
      </c>
      <c r="J546" t="s">
        <v>247</v>
      </c>
      <c r="K546">
        <v>1.7186805902577276E-2</v>
      </c>
      <c r="L546" t="s">
        <v>154</v>
      </c>
    </row>
    <row r="547" spans="9:12" x14ac:dyDescent="0.25">
      <c r="I547" t="s">
        <v>179</v>
      </c>
      <c r="J547" t="s">
        <v>248</v>
      </c>
      <c r="K547">
        <v>1.9884756755043569E-2</v>
      </c>
      <c r="L547" t="s">
        <v>154</v>
      </c>
    </row>
    <row r="548" spans="9:12" x14ac:dyDescent="0.25">
      <c r="I548" t="s">
        <v>179</v>
      </c>
      <c r="J548" t="s">
        <v>249</v>
      </c>
      <c r="K548">
        <v>0.10605900193262348</v>
      </c>
      <c r="L548" t="s">
        <v>154</v>
      </c>
    </row>
    <row r="549" spans="9:12" x14ac:dyDescent="0.25">
      <c r="I549" t="s">
        <v>179</v>
      </c>
      <c r="J549" t="s">
        <v>250</v>
      </c>
      <c r="K549">
        <v>6.8457623011077939E-2</v>
      </c>
      <c r="L549" t="s">
        <v>154</v>
      </c>
    </row>
    <row r="550" spans="9:12" x14ac:dyDescent="0.25">
      <c r="I550" t="s">
        <v>179</v>
      </c>
      <c r="J550" t="s">
        <v>251</v>
      </c>
      <c r="K550">
        <v>4.7108202160830387E-3</v>
      </c>
      <c r="L550" t="s">
        <v>154</v>
      </c>
    </row>
    <row r="551" spans="9:12" x14ac:dyDescent="0.25">
      <c r="I551" t="s">
        <v>180</v>
      </c>
      <c r="J551" t="s">
        <v>153</v>
      </c>
      <c r="K551">
        <v>0</v>
      </c>
      <c r="L551" t="s">
        <v>154</v>
      </c>
    </row>
    <row r="552" spans="9:12" x14ac:dyDescent="0.25">
      <c r="I552" t="s">
        <v>180</v>
      </c>
      <c r="J552" t="s">
        <v>155</v>
      </c>
      <c r="K552">
        <v>1.9036700275285605E-3</v>
      </c>
      <c r="L552" t="s">
        <v>154</v>
      </c>
    </row>
    <row r="553" spans="9:12" x14ac:dyDescent="0.25">
      <c r="I553" t="s">
        <v>180</v>
      </c>
      <c r="J553" t="s">
        <v>156</v>
      </c>
      <c r="K553">
        <v>3.1527210253542034E-3</v>
      </c>
      <c r="L553" t="s">
        <v>154</v>
      </c>
    </row>
    <row r="554" spans="9:12" x14ac:dyDescent="0.25">
      <c r="I554" t="s">
        <v>180</v>
      </c>
      <c r="J554" t="s">
        <v>222</v>
      </c>
      <c r="K554">
        <v>2.0082496445015592E-2</v>
      </c>
      <c r="L554" t="s">
        <v>154</v>
      </c>
    </row>
    <row r="555" spans="9:12" x14ac:dyDescent="0.25">
      <c r="I555" t="s">
        <v>180</v>
      </c>
      <c r="J555" t="s">
        <v>223</v>
      </c>
      <c r="K555">
        <v>1.5355232571279229E-2</v>
      </c>
      <c r="L555" t="s">
        <v>154</v>
      </c>
    </row>
    <row r="556" spans="9:12" x14ac:dyDescent="0.25">
      <c r="I556" t="s">
        <v>180</v>
      </c>
      <c r="J556" t="s">
        <v>224</v>
      </c>
      <c r="K556">
        <v>1.2967539018971176E-3</v>
      </c>
      <c r="L556" t="s">
        <v>154</v>
      </c>
    </row>
    <row r="557" spans="9:12" x14ac:dyDescent="0.25">
      <c r="I557" t="s">
        <v>180</v>
      </c>
      <c r="J557" t="s">
        <v>157</v>
      </c>
      <c r="K557">
        <v>0</v>
      </c>
      <c r="L557" t="s">
        <v>154</v>
      </c>
    </row>
    <row r="558" spans="9:12" x14ac:dyDescent="0.25">
      <c r="I558" t="s">
        <v>180</v>
      </c>
      <c r="J558" t="s">
        <v>158</v>
      </c>
      <c r="K558">
        <v>2.6287021509146205E-2</v>
      </c>
      <c r="L558" t="s">
        <v>154</v>
      </c>
    </row>
    <row r="559" spans="9:12" x14ac:dyDescent="0.25">
      <c r="I559" t="s">
        <v>180</v>
      </c>
      <c r="J559" t="s">
        <v>159</v>
      </c>
      <c r="K559">
        <v>2.7604079668859867E-2</v>
      </c>
      <c r="L559" t="s">
        <v>154</v>
      </c>
    </row>
    <row r="560" spans="9:12" x14ac:dyDescent="0.25">
      <c r="I560" t="s">
        <v>180</v>
      </c>
      <c r="J560" t="s">
        <v>225</v>
      </c>
      <c r="K560">
        <v>0.15094376856682898</v>
      </c>
      <c r="L560" t="s">
        <v>154</v>
      </c>
    </row>
    <row r="561" spans="9:12" x14ac:dyDescent="0.25">
      <c r="I561" t="s">
        <v>180</v>
      </c>
      <c r="J561" t="s">
        <v>226</v>
      </c>
      <c r="K561">
        <v>0.12077994724346823</v>
      </c>
      <c r="L561" t="s">
        <v>154</v>
      </c>
    </row>
    <row r="562" spans="9:12" x14ac:dyDescent="0.25">
      <c r="I562" t="s">
        <v>180</v>
      </c>
      <c r="J562" t="s">
        <v>227</v>
      </c>
      <c r="K562">
        <v>1.2772461439560149E-2</v>
      </c>
      <c r="L562" t="s">
        <v>154</v>
      </c>
    </row>
    <row r="563" spans="9:12" x14ac:dyDescent="0.25">
      <c r="I563" t="s">
        <v>180</v>
      </c>
      <c r="J563" t="s">
        <v>160</v>
      </c>
      <c r="K563">
        <v>0</v>
      </c>
      <c r="L563" t="s">
        <v>154</v>
      </c>
    </row>
    <row r="564" spans="9:12" x14ac:dyDescent="0.25">
      <c r="I564" t="s">
        <v>180</v>
      </c>
      <c r="J564" t="s">
        <v>161</v>
      </c>
      <c r="K564">
        <v>3.9732824317067249E-3</v>
      </c>
      <c r="L564" t="s">
        <v>154</v>
      </c>
    </row>
    <row r="565" spans="9:12" x14ac:dyDescent="0.25">
      <c r="I565" t="s">
        <v>180</v>
      </c>
      <c r="J565" t="s">
        <v>162</v>
      </c>
      <c r="K565">
        <v>3.5514519684388931E-3</v>
      </c>
      <c r="L565" t="s">
        <v>154</v>
      </c>
    </row>
    <row r="566" spans="9:12" x14ac:dyDescent="0.25">
      <c r="I566" t="s">
        <v>180</v>
      </c>
      <c r="J566" t="s">
        <v>228</v>
      </c>
      <c r="K566">
        <v>1.9944286440844981E-2</v>
      </c>
      <c r="L566" t="s">
        <v>154</v>
      </c>
    </row>
    <row r="567" spans="9:12" x14ac:dyDescent="0.25">
      <c r="I567" t="s">
        <v>180</v>
      </c>
      <c r="J567" t="s">
        <v>229</v>
      </c>
      <c r="K567">
        <v>1.3914428966928037E-2</v>
      </c>
      <c r="L567" t="s">
        <v>154</v>
      </c>
    </row>
    <row r="568" spans="9:12" x14ac:dyDescent="0.25">
      <c r="I568" t="s">
        <v>180</v>
      </c>
      <c r="J568" t="s">
        <v>230</v>
      </c>
      <c r="K568">
        <v>1.1234685156358473E-3</v>
      </c>
      <c r="L568" t="s">
        <v>154</v>
      </c>
    </row>
    <row r="569" spans="9:12" x14ac:dyDescent="0.25">
      <c r="I569" t="s">
        <v>180</v>
      </c>
      <c r="J569" t="s">
        <v>163</v>
      </c>
      <c r="K569">
        <v>0</v>
      </c>
      <c r="L569" t="s">
        <v>154</v>
      </c>
    </row>
    <row r="570" spans="9:12" x14ac:dyDescent="0.25">
      <c r="I570" t="s">
        <v>180</v>
      </c>
      <c r="J570" t="s">
        <v>164</v>
      </c>
      <c r="K570">
        <v>8.1624928623715617E-3</v>
      </c>
      <c r="L570" t="s">
        <v>154</v>
      </c>
    </row>
    <row r="571" spans="9:12" x14ac:dyDescent="0.25">
      <c r="I571" t="s">
        <v>180</v>
      </c>
      <c r="J571" t="s">
        <v>165</v>
      </c>
      <c r="K571">
        <v>8.8299112300905241E-3</v>
      </c>
      <c r="L571" t="s">
        <v>154</v>
      </c>
    </row>
    <row r="572" spans="9:12" x14ac:dyDescent="0.25">
      <c r="I572" t="s">
        <v>180</v>
      </c>
      <c r="J572" t="s">
        <v>231</v>
      </c>
      <c r="K572">
        <v>5.1566854560171516E-2</v>
      </c>
      <c r="L572" t="s">
        <v>154</v>
      </c>
    </row>
    <row r="573" spans="9:12" x14ac:dyDescent="0.25">
      <c r="I573" t="s">
        <v>180</v>
      </c>
      <c r="J573" t="s">
        <v>232</v>
      </c>
      <c r="K573">
        <v>3.6988105120186882E-2</v>
      </c>
      <c r="L573" t="s">
        <v>154</v>
      </c>
    </row>
    <row r="574" spans="9:12" x14ac:dyDescent="0.25">
      <c r="I574" t="s">
        <v>180</v>
      </c>
      <c r="J574" t="s">
        <v>233</v>
      </c>
      <c r="K574">
        <v>3.186905325842029E-3</v>
      </c>
      <c r="L574" t="s">
        <v>154</v>
      </c>
    </row>
    <row r="575" spans="9:12" x14ac:dyDescent="0.25">
      <c r="I575" t="s">
        <v>180</v>
      </c>
      <c r="J575" t="s">
        <v>240</v>
      </c>
      <c r="K575">
        <v>0</v>
      </c>
      <c r="L575" t="s">
        <v>154</v>
      </c>
    </row>
    <row r="576" spans="9:12" x14ac:dyDescent="0.25">
      <c r="I576" t="s">
        <v>180</v>
      </c>
      <c r="J576" t="s">
        <v>241</v>
      </c>
      <c r="K576">
        <v>2.0759512490476795E-2</v>
      </c>
      <c r="L576" t="s">
        <v>154</v>
      </c>
    </row>
    <row r="577" spans="9:12" x14ac:dyDescent="0.25">
      <c r="I577" t="s">
        <v>180</v>
      </c>
      <c r="J577" t="s">
        <v>242</v>
      </c>
      <c r="K577">
        <v>2.1058771852958319E-2</v>
      </c>
      <c r="L577" t="s">
        <v>154</v>
      </c>
    </row>
    <row r="578" spans="9:12" x14ac:dyDescent="0.25">
      <c r="I578" t="s">
        <v>180</v>
      </c>
      <c r="J578" t="s">
        <v>243</v>
      </c>
      <c r="K578">
        <v>0.11913839347448445</v>
      </c>
      <c r="L578" t="s">
        <v>154</v>
      </c>
    </row>
    <row r="579" spans="9:12" x14ac:dyDescent="0.25">
      <c r="I579" t="s">
        <v>180</v>
      </c>
      <c r="J579" t="s">
        <v>244</v>
      </c>
      <c r="K579">
        <v>8.6447244276511695E-2</v>
      </c>
      <c r="L579" t="s">
        <v>154</v>
      </c>
    </row>
    <row r="580" spans="9:12" x14ac:dyDescent="0.25">
      <c r="I580" t="s">
        <v>180</v>
      </c>
      <c r="J580" t="s">
        <v>245</v>
      </c>
      <c r="K580">
        <v>7.5739988115820214E-3</v>
      </c>
      <c r="L580" t="s">
        <v>154</v>
      </c>
    </row>
    <row r="581" spans="9:12" x14ac:dyDescent="0.25">
      <c r="I581" t="s">
        <v>180</v>
      </c>
      <c r="J581" t="s">
        <v>246</v>
      </c>
      <c r="K581">
        <v>0</v>
      </c>
      <c r="L581" t="s">
        <v>154</v>
      </c>
    </row>
    <row r="582" spans="9:12" x14ac:dyDescent="0.25">
      <c r="I582" t="s">
        <v>180</v>
      </c>
      <c r="J582" t="s">
        <v>247</v>
      </c>
      <c r="K582">
        <v>1.9213451133125281E-2</v>
      </c>
      <c r="L582" t="s">
        <v>154</v>
      </c>
    </row>
    <row r="583" spans="9:12" x14ac:dyDescent="0.25">
      <c r="I583" t="s">
        <v>180</v>
      </c>
      <c r="J583" t="s">
        <v>248</v>
      </c>
      <c r="K583">
        <v>1.9258384302209931E-2</v>
      </c>
      <c r="L583" t="s">
        <v>154</v>
      </c>
    </row>
    <row r="584" spans="9:12" x14ac:dyDescent="0.25">
      <c r="I584" t="s">
        <v>180</v>
      </c>
      <c r="J584" t="s">
        <v>249</v>
      </c>
      <c r="K584">
        <v>0.1014840841052848</v>
      </c>
      <c r="L584" t="s">
        <v>154</v>
      </c>
    </row>
    <row r="585" spans="9:12" x14ac:dyDescent="0.25">
      <c r="I585" t="s">
        <v>180</v>
      </c>
      <c r="J585" t="s">
        <v>250</v>
      </c>
      <c r="K585">
        <v>6.8487959093593509E-2</v>
      </c>
      <c r="L585" t="s">
        <v>154</v>
      </c>
    </row>
    <row r="586" spans="9:12" x14ac:dyDescent="0.25">
      <c r="I586" t="s">
        <v>180</v>
      </c>
      <c r="J586" t="s">
        <v>251</v>
      </c>
      <c r="K586">
        <v>5.1588606386175177E-3</v>
      </c>
      <c r="L586" t="s">
        <v>154</v>
      </c>
    </row>
    <row r="587" spans="9:12" x14ac:dyDescent="0.25">
      <c r="I587" t="s">
        <v>181</v>
      </c>
      <c r="J587" t="s">
        <v>153</v>
      </c>
      <c r="K587">
        <v>0</v>
      </c>
      <c r="L587" t="s">
        <v>154</v>
      </c>
    </row>
    <row r="588" spans="9:12" x14ac:dyDescent="0.25">
      <c r="I588" t="s">
        <v>181</v>
      </c>
      <c r="J588" t="s">
        <v>155</v>
      </c>
      <c r="K588">
        <v>3.7487359940317896E-3</v>
      </c>
      <c r="L588" t="s">
        <v>154</v>
      </c>
    </row>
    <row r="589" spans="9:12" x14ac:dyDescent="0.25">
      <c r="I589" t="s">
        <v>181</v>
      </c>
      <c r="J589" t="s">
        <v>156</v>
      </c>
      <c r="K589">
        <v>4.0449326451277943E-3</v>
      </c>
      <c r="L589" t="s">
        <v>154</v>
      </c>
    </row>
    <row r="590" spans="9:12" x14ac:dyDescent="0.25">
      <c r="I590" t="s">
        <v>181</v>
      </c>
      <c r="J590" t="s">
        <v>222</v>
      </c>
      <c r="K590">
        <v>2.3462090703619598E-2</v>
      </c>
      <c r="L590" t="s">
        <v>154</v>
      </c>
    </row>
    <row r="591" spans="9:12" x14ac:dyDescent="0.25">
      <c r="I591" t="s">
        <v>181</v>
      </c>
      <c r="J591" t="s">
        <v>223</v>
      </c>
      <c r="K591">
        <v>1.6916131919922466E-2</v>
      </c>
      <c r="L591" t="s">
        <v>154</v>
      </c>
    </row>
    <row r="592" spans="9:12" x14ac:dyDescent="0.25">
      <c r="I592" t="s">
        <v>181</v>
      </c>
      <c r="J592" t="s">
        <v>224</v>
      </c>
      <c r="K592">
        <v>1.5327743395225867E-3</v>
      </c>
      <c r="L592" t="s">
        <v>154</v>
      </c>
    </row>
    <row r="593" spans="9:12" x14ac:dyDescent="0.25">
      <c r="I593" t="s">
        <v>181</v>
      </c>
      <c r="J593" t="s">
        <v>157</v>
      </c>
      <c r="K593">
        <v>0</v>
      </c>
      <c r="L593" t="s">
        <v>154</v>
      </c>
    </row>
    <row r="594" spans="9:12" x14ac:dyDescent="0.25">
      <c r="I594" t="s">
        <v>181</v>
      </c>
      <c r="J594" t="s">
        <v>158</v>
      </c>
      <c r="K594">
        <v>2.770609752004027E-2</v>
      </c>
      <c r="L594" t="s">
        <v>154</v>
      </c>
    </row>
    <row r="595" spans="9:12" x14ac:dyDescent="0.25">
      <c r="I595" t="s">
        <v>181</v>
      </c>
      <c r="J595" t="s">
        <v>159</v>
      </c>
      <c r="K595">
        <v>2.6426010384889613E-2</v>
      </c>
      <c r="L595" t="s">
        <v>154</v>
      </c>
    </row>
    <row r="596" spans="9:12" x14ac:dyDescent="0.25">
      <c r="I596" t="s">
        <v>181</v>
      </c>
      <c r="J596" t="s">
        <v>225</v>
      </c>
      <c r="K596">
        <v>0.1453553436370226</v>
      </c>
      <c r="L596" t="s">
        <v>154</v>
      </c>
    </row>
    <row r="597" spans="9:12" x14ac:dyDescent="0.25">
      <c r="I597" t="s">
        <v>181</v>
      </c>
      <c r="J597" t="s">
        <v>226</v>
      </c>
      <c r="K597">
        <v>0.11925187013355003</v>
      </c>
      <c r="L597" t="s">
        <v>154</v>
      </c>
    </row>
    <row r="598" spans="9:12" x14ac:dyDescent="0.25">
      <c r="I598" t="s">
        <v>181</v>
      </c>
      <c r="J598" t="s">
        <v>227</v>
      </c>
      <c r="K598">
        <v>1.2949275447485541E-2</v>
      </c>
      <c r="L598" t="s">
        <v>154</v>
      </c>
    </row>
    <row r="599" spans="9:12" x14ac:dyDescent="0.25">
      <c r="I599" t="s">
        <v>181</v>
      </c>
      <c r="J599" t="s">
        <v>160</v>
      </c>
      <c r="K599">
        <v>0</v>
      </c>
      <c r="L599" t="s">
        <v>154</v>
      </c>
    </row>
    <row r="600" spans="9:12" x14ac:dyDescent="0.25">
      <c r="I600" t="s">
        <v>181</v>
      </c>
      <c r="J600" t="s">
        <v>161</v>
      </c>
      <c r="K600">
        <v>3.8092342852316524E-3</v>
      </c>
      <c r="L600" t="s">
        <v>154</v>
      </c>
    </row>
    <row r="601" spans="9:12" x14ac:dyDescent="0.25">
      <c r="I601" t="s">
        <v>181</v>
      </c>
      <c r="J601" t="s">
        <v>162</v>
      </c>
      <c r="K601">
        <v>3.4077828069869484E-3</v>
      </c>
      <c r="L601" t="s">
        <v>154</v>
      </c>
    </row>
    <row r="602" spans="9:12" x14ac:dyDescent="0.25">
      <c r="I602" t="s">
        <v>181</v>
      </c>
      <c r="J602" t="s">
        <v>228</v>
      </c>
      <c r="K602">
        <v>1.8838716236666705E-2</v>
      </c>
      <c r="L602" t="s">
        <v>154</v>
      </c>
    </row>
    <row r="603" spans="9:12" x14ac:dyDescent="0.25">
      <c r="I603" t="s">
        <v>181</v>
      </c>
      <c r="J603" t="s">
        <v>229</v>
      </c>
      <c r="K603">
        <v>1.3810700663093339E-2</v>
      </c>
      <c r="L603" t="s">
        <v>154</v>
      </c>
    </row>
    <row r="604" spans="9:12" x14ac:dyDescent="0.25">
      <c r="I604" t="s">
        <v>181</v>
      </c>
      <c r="J604" t="s">
        <v>230</v>
      </c>
      <c r="K604">
        <v>1.1837846950355779E-3</v>
      </c>
      <c r="L604" t="s">
        <v>154</v>
      </c>
    </row>
    <row r="605" spans="9:12" x14ac:dyDescent="0.25">
      <c r="I605" t="s">
        <v>181</v>
      </c>
      <c r="J605" t="s">
        <v>163</v>
      </c>
      <c r="K605">
        <v>0</v>
      </c>
      <c r="L605" t="s">
        <v>154</v>
      </c>
    </row>
    <row r="606" spans="9:12" x14ac:dyDescent="0.25">
      <c r="I606" t="s">
        <v>181</v>
      </c>
      <c r="J606" t="s">
        <v>164</v>
      </c>
      <c r="K606">
        <v>1.055915125232915E-2</v>
      </c>
      <c r="L606" t="s">
        <v>154</v>
      </c>
    </row>
    <row r="607" spans="9:12" x14ac:dyDescent="0.25">
      <c r="I607" t="s">
        <v>181</v>
      </c>
      <c r="J607" t="s">
        <v>165</v>
      </c>
      <c r="K607">
        <v>9.3877025962073243E-3</v>
      </c>
      <c r="L607" t="s">
        <v>154</v>
      </c>
    </row>
    <row r="608" spans="9:12" x14ac:dyDescent="0.25">
      <c r="I608" t="s">
        <v>181</v>
      </c>
      <c r="J608" t="s">
        <v>231</v>
      </c>
      <c r="K608">
        <v>5.4003609217704619E-2</v>
      </c>
      <c r="L608" t="s">
        <v>154</v>
      </c>
    </row>
    <row r="609" spans="9:12" x14ac:dyDescent="0.25">
      <c r="I609" t="s">
        <v>181</v>
      </c>
      <c r="J609" t="s">
        <v>232</v>
      </c>
      <c r="K609">
        <v>4.1295144668948951E-2</v>
      </c>
      <c r="L609" t="s">
        <v>154</v>
      </c>
    </row>
    <row r="610" spans="9:12" x14ac:dyDescent="0.25">
      <c r="I610" t="s">
        <v>181</v>
      </c>
      <c r="J610" t="s">
        <v>233</v>
      </c>
      <c r="K610">
        <v>4.2115062655898412E-3</v>
      </c>
      <c r="L610" t="s">
        <v>154</v>
      </c>
    </row>
    <row r="611" spans="9:12" x14ac:dyDescent="0.25">
      <c r="I611" t="s">
        <v>181</v>
      </c>
      <c r="J611" t="s">
        <v>240</v>
      </c>
      <c r="K611">
        <v>0</v>
      </c>
      <c r="L611" t="s">
        <v>154</v>
      </c>
    </row>
    <row r="612" spans="9:12" x14ac:dyDescent="0.25">
      <c r="I612" t="s">
        <v>181</v>
      </c>
      <c r="J612" t="s">
        <v>241</v>
      </c>
      <c r="K612">
        <v>2.0506667173749188E-2</v>
      </c>
      <c r="L612" t="s">
        <v>154</v>
      </c>
    </row>
    <row r="613" spans="9:12" x14ac:dyDescent="0.25">
      <c r="I613" t="s">
        <v>181</v>
      </c>
      <c r="J613" t="s">
        <v>242</v>
      </c>
      <c r="K613">
        <v>2.0859015705720695E-2</v>
      </c>
      <c r="L613" t="s">
        <v>154</v>
      </c>
    </row>
    <row r="614" spans="9:12" x14ac:dyDescent="0.25">
      <c r="I614" t="s">
        <v>181</v>
      </c>
      <c r="J614" t="s">
        <v>243</v>
      </c>
      <c r="K614">
        <v>0.11781185560804075</v>
      </c>
      <c r="L614" t="s">
        <v>154</v>
      </c>
    </row>
    <row r="615" spans="9:12" x14ac:dyDescent="0.25">
      <c r="I615" t="s">
        <v>181</v>
      </c>
      <c r="J615" t="s">
        <v>244</v>
      </c>
      <c r="K615">
        <v>9.3318258875530996E-2</v>
      </c>
      <c r="L615" t="s">
        <v>154</v>
      </c>
    </row>
    <row r="616" spans="9:12" x14ac:dyDescent="0.25">
      <c r="I616" t="s">
        <v>181</v>
      </c>
      <c r="J616" t="s">
        <v>245</v>
      </c>
      <c r="K616">
        <v>9.4253095699893437E-3</v>
      </c>
      <c r="L616" t="s">
        <v>154</v>
      </c>
    </row>
    <row r="617" spans="9:12" x14ac:dyDescent="0.25">
      <c r="I617" t="s">
        <v>181</v>
      </c>
      <c r="J617" t="s">
        <v>246</v>
      </c>
      <c r="K617">
        <v>0</v>
      </c>
      <c r="L617" t="s">
        <v>154</v>
      </c>
    </row>
    <row r="618" spans="9:12" x14ac:dyDescent="0.25">
      <c r="I618" t="s">
        <v>181</v>
      </c>
      <c r="J618" t="s">
        <v>247</v>
      </c>
      <c r="K618">
        <v>1.7130049540146342E-2</v>
      </c>
      <c r="L618" t="s">
        <v>154</v>
      </c>
    </row>
    <row r="619" spans="9:12" x14ac:dyDescent="0.25">
      <c r="I619" t="s">
        <v>181</v>
      </c>
      <c r="J619" t="s">
        <v>248</v>
      </c>
      <c r="K619">
        <v>1.6949693352671765E-2</v>
      </c>
      <c r="L619" t="s">
        <v>154</v>
      </c>
    </row>
    <row r="620" spans="9:12" x14ac:dyDescent="0.25">
      <c r="I620" t="s">
        <v>181</v>
      </c>
      <c r="J620" t="s">
        <v>249</v>
      </c>
      <c r="K620">
        <v>9.1324456921649672E-2</v>
      </c>
      <c r="L620" t="s">
        <v>154</v>
      </c>
    </row>
    <row r="621" spans="9:12" x14ac:dyDescent="0.25">
      <c r="I621" t="s">
        <v>181</v>
      </c>
      <c r="J621" t="s">
        <v>250</v>
      </c>
      <c r="K621">
        <v>6.5250158231960981E-2</v>
      </c>
      <c r="L621" t="s">
        <v>154</v>
      </c>
    </row>
    <row r="622" spans="9:12" x14ac:dyDescent="0.25">
      <c r="I622" t="s">
        <v>181</v>
      </c>
      <c r="J622" t="s">
        <v>251</v>
      </c>
      <c r="K622">
        <v>5.5239396075347407E-3</v>
      </c>
      <c r="L622" t="s">
        <v>154</v>
      </c>
    </row>
    <row r="623" spans="9:12" x14ac:dyDescent="0.25">
      <c r="I623" t="s">
        <v>182</v>
      </c>
      <c r="J623" t="s">
        <v>153</v>
      </c>
      <c r="K623">
        <v>0</v>
      </c>
      <c r="L623" t="s">
        <v>154</v>
      </c>
    </row>
    <row r="624" spans="9:12" x14ac:dyDescent="0.25">
      <c r="I624" t="s">
        <v>182</v>
      </c>
      <c r="J624" t="s">
        <v>155</v>
      </c>
      <c r="K624">
        <v>4.2178570678268728E-3</v>
      </c>
      <c r="L624" t="s">
        <v>154</v>
      </c>
    </row>
    <row r="625" spans="9:12" x14ac:dyDescent="0.25">
      <c r="I625" t="s">
        <v>182</v>
      </c>
      <c r="J625" t="s">
        <v>156</v>
      </c>
      <c r="K625">
        <v>4.7887226972354669E-3</v>
      </c>
      <c r="L625" t="s">
        <v>154</v>
      </c>
    </row>
    <row r="626" spans="9:12" x14ac:dyDescent="0.25">
      <c r="I626" t="s">
        <v>182</v>
      </c>
      <c r="J626" t="s">
        <v>222</v>
      </c>
      <c r="K626">
        <v>2.6559526339438491E-2</v>
      </c>
      <c r="L626" t="s">
        <v>154</v>
      </c>
    </row>
    <row r="627" spans="9:12" x14ac:dyDescent="0.25">
      <c r="I627" t="s">
        <v>182</v>
      </c>
      <c r="J627" t="s">
        <v>223</v>
      </c>
      <c r="K627">
        <v>2.1545383799534086E-2</v>
      </c>
      <c r="L627" t="s">
        <v>154</v>
      </c>
    </row>
    <row r="628" spans="9:12" x14ac:dyDescent="0.25">
      <c r="I628" t="s">
        <v>182</v>
      </c>
      <c r="J628" t="s">
        <v>224</v>
      </c>
      <c r="K628">
        <v>1.9628930865263679E-3</v>
      </c>
      <c r="L628" t="s">
        <v>154</v>
      </c>
    </row>
    <row r="629" spans="9:12" x14ac:dyDescent="0.25">
      <c r="I629" t="s">
        <v>182</v>
      </c>
      <c r="J629" t="s">
        <v>157</v>
      </c>
      <c r="K629">
        <v>0</v>
      </c>
      <c r="L629" t="s">
        <v>154</v>
      </c>
    </row>
    <row r="630" spans="9:12" x14ac:dyDescent="0.25">
      <c r="I630" t="s">
        <v>182</v>
      </c>
      <c r="J630" t="s">
        <v>158</v>
      </c>
      <c r="K630">
        <v>2.5113550068109173E-2</v>
      </c>
      <c r="L630" t="s">
        <v>154</v>
      </c>
    </row>
    <row r="631" spans="9:12" x14ac:dyDescent="0.25">
      <c r="I631" t="s">
        <v>182</v>
      </c>
      <c r="J631" t="s">
        <v>159</v>
      </c>
      <c r="K631">
        <v>2.541839256840504E-2</v>
      </c>
      <c r="L631" t="s">
        <v>154</v>
      </c>
    </row>
    <row r="632" spans="9:12" x14ac:dyDescent="0.25">
      <c r="I632" t="s">
        <v>182</v>
      </c>
      <c r="J632" t="s">
        <v>225</v>
      </c>
      <c r="K632">
        <v>0.1461063472899565</v>
      </c>
      <c r="L632" t="s">
        <v>154</v>
      </c>
    </row>
    <row r="633" spans="9:12" x14ac:dyDescent="0.25">
      <c r="I633" t="s">
        <v>182</v>
      </c>
      <c r="J633" t="s">
        <v>226</v>
      </c>
      <c r="K633">
        <v>0.11569678104827323</v>
      </c>
      <c r="L633" t="s">
        <v>154</v>
      </c>
    </row>
    <row r="634" spans="9:12" x14ac:dyDescent="0.25">
      <c r="I634" t="s">
        <v>182</v>
      </c>
      <c r="J634" t="s">
        <v>227</v>
      </c>
      <c r="K634">
        <v>1.2337748870002215E-2</v>
      </c>
      <c r="L634" t="s">
        <v>154</v>
      </c>
    </row>
    <row r="635" spans="9:12" x14ac:dyDescent="0.25">
      <c r="I635" t="s">
        <v>182</v>
      </c>
      <c r="J635" t="s">
        <v>160</v>
      </c>
      <c r="K635">
        <v>0</v>
      </c>
      <c r="L635" t="s">
        <v>154</v>
      </c>
    </row>
    <row r="636" spans="9:12" x14ac:dyDescent="0.25">
      <c r="I636" t="s">
        <v>182</v>
      </c>
      <c r="J636" t="s">
        <v>161</v>
      </c>
      <c r="K636">
        <v>3.0789907086934401E-3</v>
      </c>
      <c r="L636" t="s">
        <v>154</v>
      </c>
    </row>
    <row r="637" spans="9:12" x14ac:dyDescent="0.25">
      <c r="I637" t="s">
        <v>182</v>
      </c>
      <c r="J637" t="s">
        <v>162</v>
      </c>
      <c r="K637">
        <v>2.9365656423857751E-3</v>
      </c>
      <c r="L637" t="s">
        <v>154</v>
      </c>
    </row>
    <row r="638" spans="9:12" x14ac:dyDescent="0.25">
      <c r="I638" t="s">
        <v>182</v>
      </c>
      <c r="J638" t="s">
        <v>228</v>
      </c>
      <c r="K638">
        <v>1.8303838641761154E-2</v>
      </c>
      <c r="L638" t="s">
        <v>154</v>
      </c>
    </row>
    <row r="639" spans="9:12" x14ac:dyDescent="0.25">
      <c r="I639" t="s">
        <v>182</v>
      </c>
      <c r="J639" t="s">
        <v>229</v>
      </c>
      <c r="K639">
        <v>1.3263366332683803E-2</v>
      </c>
      <c r="L639" t="s">
        <v>154</v>
      </c>
    </row>
    <row r="640" spans="9:12" x14ac:dyDescent="0.25">
      <c r="I640" t="s">
        <v>182</v>
      </c>
      <c r="J640" t="s">
        <v>230</v>
      </c>
      <c r="K640">
        <v>1.1902635044609678E-3</v>
      </c>
      <c r="L640" t="s">
        <v>154</v>
      </c>
    </row>
    <row r="641" spans="9:12" x14ac:dyDescent="0.25">
      <c r="I641" t="s">
        <v>182</v>
      </c>
      <c r="J641" t="s">
        <v>163</v>
      </c>
      <c r="K641">
        <v>0</v>
      </c>
      <c r="L641" t="s">
        <v>154</v>
      </c>
    </row>
    <row r="642" spans="9:12" x14ac:dyDescent="0.25">
      <c r="I642" t="s">
        <v>182</v>
      </c>
      <c r="J642" t="s">
        <v>164</v>
      </c>
      <c r="K642">
        <v>1.0656219456184234E-2</v>
      </c>
      <c r="L642" t="s">
        <v>154</v>
      </c>
    </row>
    <row r="643" spans="9:12" x14ac:dyDescent="0.25">
      <c r="I643" t="s">
        <v>182</v>
      </c>
      <c r="J643" t="s">
        <v>165</v>
      </c>
      <c r="K643">
        <v>9.5191740109954771E-3</v>
      </c>
      <c r="L643" t="s">
        <v>154</v>
      </c>
    </row>
    <row r="644" spans="9:12" x14ac:dyDescent="0.25">
      <c r="I644" t="s">
        <v>182</v>
      </c>
      <c r="J644" t="s">
        <v>231</v>
      </c>
      <c r="K644">
        <v>5.3523009474370997E-2</v>
      </c>
      <c r="L644" t="s">
        <v>154</v>
      </c>
    </row>
    <row r="645" spans="9:12" x14ac:dyDescent="0.25">
      <c r="I645" t="s">
        <v>182</v>
      </c>
      <c r="J645" t="s">
        <v>232</v>
      </c>
      <c r="K645">
        <v>4.1997777213680886E-2</v>
      </c>
      <c r="L645" t="s">
        <v>154</v>
      </c>
    </row>
    <row r="646" spans="9:12" x14ac:dyDescent="0.25">
      <c r="I646" t="s">
        <v>182</v>
      </c>
      <c r="J646" t="s">
        <v>233</v>
      </c>
      <c r="K646">
        <v>4.5987256023611121E-3</v>
      </c>
      <c r="L646" t="s">
        <v>154</v>
      </c>
    </row>
    <row r="647" spans="9:12" x14ac:dyDescent="0.25">
      <c r="I647" t="s">
        <v>182</v>
      </c>
      <c r="J647" t="s">
        <v>240</v>
      </c>
      <c r="K647">
        <v>0</v>
      </c>
      <c r="L647" t="s">
        <v>154</v>
      </c>
    </row>
    <row r="648" spans="9:12" x14ac:dyDescent="0.25">
      <c r="I648" t="s">
        <v>182</v>
      </c>
      <c r="J648" t="s">
        <v>241</v>
      </c>
      <c r="K648">
        <v>1.9482057570069673E-2</v>
      </c>
      <c r="L648" t="s">
        <v>154</v>
      </c>
    </row>
    <row r="649" spans="9:12" x14ac:dyDescent="0.25">
      <c r="I649" t="s">
        <v>182</v>
      </c>
      <c r="J649" t="s">
        <v>242</v>
      </c>
      <c r="K649">
        <v>1.9080605873366286E-2</v>
      </c>
      <c r="L649" t="s">
        <v>154</v>
      </c>
    </row>
    <row r="650" spans="9:12" x14ac:dyDescent="0.25">
      <c r="I650" t="s">
        <v>182</v>
      </c>
      <c r="J650" t="s">
        <v>243</v>
      </c>
      <c r="K650">
        <v>0.11429875082327001</v>
      </c>
      <c r="L650" t="s">
        <v>154</v>
      </c>
    </row>
    <row r="651" spans="9:12" x14ac:dyDescent="0.25">
      <c r="I651" t="s">
        <v>182</v>
      </c>
      <c r="J651" t="s">
        <v>244</v>
      </c>
      <c r="K651">
        <v>9.0644848486212418E-2</v>
      </c>
      <c r="L651" t="s">
        <v>154</v>
      </c>
    </row>
    <row r="652" spans="9:12" x14ac:dyDescent="0.25">
      <c r="I652" t="s">
        <v>182</v>
      </c>
      <c r="J652" t="s">
        <v>245</v>
      </c>
      <c r="K652">
        <v>9.553854150816124E-3</v>
      </c>
      <c r="L652" t="s">
        <v>154</v>
      </c>
    </row>
    <row r="653" spans="9:12" x14ac:dyDescent="0.25">
      <c r="I653" t="s">
        <v>182</v>
      </c>
      <c r="J653" t="s">
        <v>246</v>
      </c>
      <c r="K653">
        <v>0</v>
      </c>
      <c r="L653" t="s">
        <v>154</v>
      </c>
    </row>
    <row r="654" spans="9:12" x14ac:dyDescent="0.25">
      <c r="I654" t="s">
        <v>182</v>
      </c>
      <c r="J654" t="s">
        <v>247</v>
      </c>
      <c r="K654">
        <v>1.6791224172094676E-2</v>
      </c>
      <c r="L654" t="s">
        <v>154</v>
      </c>
    </row>
    <row r="655" spans="9:12" x14ac:dyDescent="0.25">
      <c r="I655" t="s">
        <v>182</v>
      </c>
      <c r="J655" t="s">
        <v>248</v>
      </c>
      <c r="K655">
        <v>1.7316760190164055E-2</v>
      </c>
      <c r="L655" t="s">
        <v>154</v>
      </c>
    </row>
    <row r="656" spans="9:12" x14ac:dyDescent="0.25">
      <c r="I656" t="s">
        <v>182</v>
      </c>
      <c r="J656" t="s">
        <v>249</v>
      </c>
      <c r="K656">
        <v>9.5272516940300381E-2</v>
      </c>
      <c r="L656" t="s">
        <v>154</v>
      </c>
    </row>
    <row r="657" spans="9:12" x14ac:dyDescent="0.25">
      <c r="I657" t="s">
        <v>182</v>
      </c>
      <c r="J657" t="s">
        <v>250</v>
      </c>
      <c r="K657">
        <v>6.9338530714779453E-2</v>
      </c>
      <c r="L657" t="s">
        <v>154</v>
      </c>
    </row>
    <row r="658" spans="9:12" x14ac:dyDescent="0.25">
      <c r="I658" t="s">
        <v>182</v>
      </c>
      <c r="J658" t="s">
        <v>251</v>
      </c>
      <c r="K658">
        <v>5.4057176560397728E-3</v>
      </c>
      <c r="L658" t="s">
        <v>154</v>
      </c>
    </row>
    <row r="659" spans="9:12" x14ac:dyDescent="0.25">
      <c r="I659" t="s">
        <v>183</v>
      </c>
      <c r="J659" t="s">
        <v>153</v>
      </c>
      <c r="K659">
        <v>0</v>
      </c>
      <c r="L659" t="s">
        <v>154</v>
      </c>
    </row>
    <row r="660" spans="9:12" x14ac:dyDescent="0.25">
      <c r="I660" t="s">
        <v>183</v>
      </c>
      <c r="J660" t="s">
        <v>155</v>
      </c>
      <c r="K660">
        <v>4.1174730039954073E-3</v>
      </c>
      <c r="L660" t="s">
        <v>154</v>
      </c>
    </row>
    <row r="661" spans="9:12" x14ac:dyDescent="0.25">
      <c r="I661" t="s">
        <v>183</v>
      </c>
      <c r="J661" t="s">
        <v>156</v>
      </c>
      <c r="K661">
        <v>4.6338364707374808E-3</v>
      </c>
      <c r="L661" t="s">
        <v>154</v>
      </c>
    </row>
    <row r="662" spans="9:12" x14ac:dyDescent="0.25">
      <c r="I662" t="s">
        <v>183</v>
      </c>
      <c r="J662" t="s">
        <v>222</v>
      </c>
      <c r="K662">
        <v>2.6183963115300472E-2</v>
      </c>
      <c r="L662" t="s">
        <v>154</v>
      </c>
    </row>
    <row r="663" spans="9:12" x14ac:dyDescent="0.25">
      <c r="I663" t="s">
        <v>183</v>
      </c>
      <c r="J663" t="s">
        <v>223</v>
      </c>
      <c r="K663">
        <v>2.0535684412868446E-2</v>
      </c>
      <c r="L663" t="s">
        <v>154</v>
      </c>
    </row>
    <row r="664" spans="9:12" x14ac:dyDescent="0.25">
      <c r="I664" t="s">
        <v>183</v>
      </c>
      <c r="J664" t="s">
        <v>224</v>
      </c>
      <c r="K664">
        <v>1.6414536128881317E-3</v>
      </c>
      <c r="L664" t="s">
        <v>154</v>
      </c>
    </row>
    <row r="665" spans="9:12" x14ac:dyDescent="0.25">
      <c r="I665" t="s">
        <v>183</v>
      </c>
      <c r="J665" t="s">
        <v>157</v>
      </c>
      <c r="K665">
        <v>0</v>
      </c>
      <c r="L665" t="s">
        <v>154</v>
      </c>
    </row>
    <row r="666" spans="9:12" x14ac:dyDescent="0.25">
      <c r="I666" t="s">
        <v>183</v>
      </c>
      <c r="J666" t="s">
        <v>158</v>
      </c>
      <c r="K666">
        <v>2.5920836589059457E-2</v>
      </c>
      <c r="L666" t="s">
        <v>154</v>
      </c>
    </row>
    <row r="667" spans="9:12" x14ac:dyDescent="0.25">
      <c r="I667" t="s">
        <v>183</v>
      </c>
      <c r="J667" t="s">
        <v>159</v>
      </c>
      <c r="K667">
        <v>2.6715975537101144E-2</v>
      </c>
      <c r="L667" t="s">
        <v>154</v>
      </c>
    </row>
    <row r="668" spans="9:12" x14ac:dyDescent="0.25">
      <c r="I668" t="s">
        <v>183</v>
      </c>
      <c r="J668" t="s">
        <v>225</v>
      </c>
      <c r="K668">
        <v>0.14821494347956274</v>
      </c>
      <c r="L668" t="s">
        <v>154</v>
      </c>
    </row>
    <row r="669" spans="9:12" x14ac:dyDescent="0.25">
      <c r="I669" t="s">
        <v>183</v>
      </c>
      <c r="J669" t="s">
        <v>226</v>
      </c>
      <c r="K669">
        <v>0.11225799324632849</v>
      </c>
      <c r="L669" t="s">
        <v>154</v>
      </c>
    </row>
    <row r="670" spans="9:12" x14ac:dyDescent="0.25">
      <c r="I670" t="s">
        <v>183</v>
      </c>
      <c r="J670" t="s">
        <v>227</v>
      </c>
      <c r="K670">
        <v>1.1026661517053477E-2</v>
      </c>
      <c r="L670" t="s">
        <v>154</v>
      </c>
    </row>
    <row r="671" spans="9:12" x14ac:dyDescent="0.25">
      <c r="I671" t="s">
        <v>183</v>
      </c>
      <c r="J671" t="s">
        <v>160</v>
      </c>
      <c r="K671">
        <v>0</v>
      </c>
      <c r="L671" t="s">
        <v>154</v>
      </c>
    </row>
    <row r="672" spans="9:12" x14ac:dyDescent="0.25">
      <c r="I672" t="s">
        <v>183</v>
      </c>
      <c r="J672" t="s">
        <v>161</v>
      </c>
      <c r="K672">
        <v>3.291515987396547E-3</v>
      </c>
      <c r="L672" t="s">
        <v>154</v>
      </c>
    </row>
    <row r="673" spans="9:12" x14ac:dyDescent="0.25">
      <c r="I673" t="s">
        <v>183</v>
      </c>
      <c r="J673" t="s">
        <v>162</v>
      </c>
      <c r="K673">
        <v>3.2812649842474477E-3</v>
      </c>
      <c r="L673" t="s">
        <v>154</v>
      </c>
    </row>
    <row r="674" spans="9:12" x14ac:dyDescent="0.25">
      <c r="I674" t="s">
        <v>183</v>
      </c>
      <c r="J674" t="s">
        <v>228</v>
      </c>
      <c r="K674">
        <v>1.9320393105830079E-2</v>
      </c>
      <c r="L674" t="s">
        <v>154</v>
      </c>
    </row>
    <row r="675" spans="9:12" x14ac:dyDescent="0.25">
      <c r="I675" t="s">
        <v>183</v>
      </c>
      <c r="J675" t="s">
        <v>229</v>
      </c>
      <c r="K675">
        <v>1.3575703113441931E-2</v>
      </c>
      <c r="L675" t="s">
        <v>154</v>
      </c>
    </row>
    <row r="676" spans="9:12" x14ac:dyDescent="0.25">
      <c r="I676" t="s">
        <v>183</v>
      </c>
      <c r="J676" t="s">
        <v>230</v>
      </c>
      <c r="K676">
        <v>1.0290573301956472E-3</v>
      </c>
      <c r="L676" t="s">
        <v>154</v>
      </c>
    </row>
    <row r="677" spans="9:12" x14ac:dyDescent="0.25">
      <c r="I677" t="s">
        <v>183</v>
      </c>
      <c r="J677" t="s">
        <v>163</v>
      </c>
      <c r="K677">
        <v>0</v>
      </c>
      <c r="L677" t="s">
        <v>154</v>
      </c>
    </row>
    <row r="678" spans="9:12" x14ac:dyDescent="0.25">
      <c r="I678" t="s">
        <v>183</v>
      </c>
      <c r="J678" t="s">
        <v>164</v>
      </c>
      <c r="K678">
        <v>1.0823540306373901E-2</v>
      </c>
      <c r="L678" t="s">
        <v>154</v>
      </c>
    </row>
    <row r="679" spans="9:12" x14ac:dyDescent="0.25">
      <c r="I679" t="s">
        <v>183</v>
      </c>
      <c r="J679" t="s">
        <v>165</v>
      </c>
      <c r="K679">
        <v>9.8557674786874591E-3</v>
      </c>
      <c r="L679" t="s">
        <v>154</v>
      </c>
    </row>
    <row r="680" spans="9:12" x14ac:dyDescent="0.25">
      <c r="I680" t="s">
        <v>183</v>
      </c>
      <c r="J680" t="s">
        <v>231</v>
      </c>
      <c r="K680">
        <v>5.5750580563826237E-2</v>
      </c>
      <c r="L680" t="s">
        <v>154</v>
      </c>
    </row>
    <row r="681" spans="9:12" x14ac:dyDescent="0.25">
      <c r="I681" t="s">
        <v>183</v>
      </c>
      <c r="J681" t="s">
        <v>232</v>
      </c>
      <c r="K681">
        <v>4.2054890799421048E-2</v>
      </c>
      <c r="L681" t="s">
        <v>154</v>
      </c>
    </row>
    <row r="682" spans="9:12" x14ac:dyDescent="0.25">
      <c r="I682" t="s">
        <v>183</v>
      </c>
      <c r="J682" t="s">
        <v>233</v>
      </c>
      <c r="K682">
        <v>4.242866585691364E-3</v>
      </c>
      <c r="L682" t="s">
        <v>154</v>
      </c>
    </row>
    <row r="683" spans="9:12" x14ac:dyDescent="0.25">
      <c r="I683" t="s">
        <v>183</v>
      </c>
      <c r="J683" t="s">
        <v>240</v>
      </c>
      <c r="K683">
        <v>0</v>
      </c>
      <c r="L683" t="s">
        <v>154</v>
      </c>
    </row>
    <row r="684" spans="9:12" x14ac:dyDescent="0.25">
      <c r="I684" t="s">
        <v>183</v>
      </c>
      <c r="J684" t="s">
        <v>241</v>
      </c>
      <c r="K684">
        <v>1.9569159899052196E-2</v>
      </c>
      <c r="L684" t="s">
        <v>154</v>
      </c>
    </row>
    <row r="685" spans="9:12" x14ac:dyDescent="0.25">
      <c r="I685" t="s">
        <v>183</v>
      </c>
      <c r="J685" t="s">
        <v>242</v>
      </c>
      <c r="K685">
        <v>2.0130828492789719E-2</v>
      </c>
      <c r="L685" t="s">
        <v>154</v>
      </c>
    </row>
    <row r="686" spans="9:12" x14ac:dyDescent="0.25">
      <c r="I686" t="s">
        <v>183</v>
      </c>
      <c r="J686" t="s">
        <v>243</v>
      </c>
      <c r="K686">
        <v>0.11466858491548292</v>
      </c>
      <c r="L686" t="s">
        <v>154</v>
      </c>
    </row>
    <row r="687" spans="9:12" x14ac:dyDescent="0.25">
      <c r="I687" t="s">
        <v>183</v>
      </c>
      <c r="J687" t="s">
        <v>244</v>
      </c>
      <c r="K687">
        <v>9.1020323396861849E-2</v>
      </c>
      <c r="L687" t="s">
        <v>154</v>
      </c>
    </row>
    <row r="688" spans="9:12" x14ac:dyDescent="0.25">
      <c r="I688" t="s">
        <v>183</v>
      </c>
      <c r="J688" t="s">
        <v>245</v>
      </c>
      <c r="K688">
        <v>9.3626264328952203E-3</v>
      </c>
      <c r="L688" t="s">
        <v>154</v>
      </c>
    </row>
    <row r="689" spans="9:12" x14ac:dyDescent="0.25">
      <c r="I689" t="s">
        <v>183</v>
      </c>
      <c r="J689" t="s">
        <v>246</v>
      </c>
      <c r="K689">
        <v>0</v>
      </c>
      <c r="L689" t="s">
        <v>154</v>
      </c>
    </row>
    <row r="690" spans="9:12" x14ac:dyDescent="0.25">
      <c r="I690" t="s">
        <v>183</v>
      </c>
      <c r="J690" t="s">
        <v>247</v>
      </c>
      <c r="K690">
        <v>1.668343307121193E-2</v>
      </c>
      <c r="L690" t="s">
        <v>154</v>
      </c>
    </row>
    <row r="691" spans="9:12" x14ac:dyDescent="0.25">
      <c r="I691" t="s">
        <v>183</v>
      </c>
      <c r="J691" t="s">
        <v>248</v>
      </c>
      <c r="K691">
        <v>1.7572800147304415E-2</v>
      </c>
      <c r="L691" t="s">
        <v>154</v>
      </c>
    </row>
    <row r="692" spans="9:12" x14ac:dyDescent="0.25">
      <c r="I692" t="s">
        <v>183</v>
      </c>
      <c r="J692" t="s">
        <v>249</v>
      </c>
      <c r="K692">
        <v>9.5029905910011689E-2</v>
      </c>
      <c r="L692" t="s">
        <v>154</v>
      </c>
    </row>
    <row r="693" spans="9:12" x14ac:dyDescent="0.25">
      <c r="I693" t="s">
        <v>183</v>
      </c>
      <c r="J693" t="s">
        <v>250</v>
      </c>
      <c r="K693">
        <v>6.6802591262253033E-2</v>
      </c>
      <c r="L693" t="s">
        <v>154</v>
      </c>
    </row>
    <row r="694" spans="9:12" x14ac:dyDescent="0.25">
      <c r="I694" t="s">
        <v>183</v>
      </c>
      <c r="J694" t="s">
        <v>251</v>
      </c>
      <c r="K694">
        <v>4.6853452321283318E-3</v>
      </c>
      <c r="L694" t="s">
        <v>154</v>
      </c>
    </row>
    <row r="695" spans="9:12" x14ac:dyDescent="0.25">
      <c r="I695" t="s">
        <v>184</v>
      </c>
      <c r="J695" t="s">
        <v>153</v>
      </c>
      <c r="K695">
        <v>0</v>
      </c>
      <c r="L695" t="s">
        <v>154</v>
      </c>
    </row>
    <row r="696" spans="9:12" x14ac:dyDescent="0.25">
      <c r="I696" t="s">
        <v>184</v>
      </c>
      <c r="J696" t="s">
        <v>155</v>
      </c>
      <c r="K696">
        <v>4.2691248927008872E-3</v>
      </c>
      <c r="L696" t="s">
        <v>154</v>
      </c>
    </row>
    <row r="697" spans="9:12" x14ac:dyDescent="0.25">
      <c r="I697" t="s">
        <v>184</v>
      </c>
      <c r="J697" t="s">
        <v>156</v>
      </c>
      <c r="K697">
        <v>5.0869503683297311E-3</v>
      </c>
      <c r="L697" t="s">
        <v>154</v>
      </c>
    </row>
    <row r="698" spans="9:12" x14ac:dyDescent="0.25">
      <c r="I698" t="s">
        <v>184</v>
      </c>
      <c r="J698" t="s">
        <v>222</v>
      </c>
      <c r="K698">
        <v>2.7774442318747369E-2</v>
      </c>
      <c r="L698" t="s">
        <v>154</v>
      </c>
    </row>
    <row r="699" spans="9:12" x14ac:dyDescent="0.25">
      <c r="I699" t="s">
        <v>184</v>
      </c>
      <c r="J699" t="s">
        <v>223</v>
      </c>
      <c r="K699">
        <v>1.8828163615304767E-2</v>
      </c>
      <c r="L699" t="s">
        <v>154</v>
      </c>
    </row>
    <row r="700" spans="9:12" x14ac:dyDescent="0.25">
      <c r="I700" t="s">
        <v>184</v>
      </c>
      <c r="J700" t="s">
        <v>224</v>
      </c>
      <c r="K700">
        <v>1.577735953572736E-3</v>
      </c>
      <c r="L700" t="s">
        <v>154</v>
      </c>
    </row>
    <row r="701" spans="9:12" x14ac:dyDescent="0.25">
      <c r="I701" t="s">
        <v>184</v>
      </c>
      <c r="J701" t="s">
        <v>157</v>
      </c>
      <c r="K701">
        <v>0</v>
      </c>
      <c r="L701" t="s">
        <v>154</v>
      </c>
    </row>
    <row r="702" spans="9:12" x14ac:dyDescent="0.25">
      <c r="I702" t="s">
        <v>184</v>
      </c>
      <c r="J702" t="s">
        <v>158</v>
      </c>
      <c r="K702">
        <v>2.3812141894876127E-2</v>
      </c>
      <c r="L702" t="s">
        <v>154</v>
      </c>
    </row>
    <row r="703" spans="9:12" x14ac:dyDescent="0.25">
      <c r="I703" t="s">
        <v>184</v>
      </c>
      <c r="J703" t="s">
        <v>159</v>
      </c>
      <c r="K703">
        <v>2.6555169047058201E-2</v>
      </c>
      <c r="L703" t="s">
        <v>154</v>
      </c>
    </row>
    <row r="704" spans="9:12" x14ac:dyDescent="0.25">
      <c r="I704" t="s">
        <v>184</v>
      </c>
      <c r="J704" t="s">
        <v>225</v>
      </c>
      <c r="K704">
        <v>0.14917841791363892</v>
      </c>
      <c r="L704" t="s">
        <v>154</v>
      </c>
    </row>
    <row r="705" spans="9:12" x14ac:dyDescent="0.25">
      <c r="I705" t="s">
        <v>184</v>
      </c>
      <c r="J705" t="s">
        <v>226</v>
      </c>
      <c r="K705">
        <v>0.11674127510964462</v>
      </c>
      <c r="L705" t="s">
        <v>154</v>
      </c>
    </row>
    <row r="706" spans="9:12" x14ac:dyDescent="0.25">
      <c r="I706" t="s">
        <v>184</v>
      </c>
      <c r="J706" t="s">
        <v>227</v>
      </c>
      <c r="K706">
        <v>1.1414716875171226E-2</v>
      </c>
      <c r="L706" t="s">
        <v>154</v>
      </c>
    </row>
    <row r="707" spans="9:12" x14ac:dyDescent="0.25">
      <c r="I707" t="s">
        <v>184</v>
      </c>
      <c r="J707" t="s">
        <v>160</v>
      </c>
      <c r="K707">
        <v>0</v>
      </c>
      <c r="L707" t="s">
        <v>154</v>
      </c>
    </row>
    <row r="708" spans="9:12" x14ac:dyDescent="0.25">
      <c r="I708" t="s">
        <v>184</v>
      </c>
      <c r="J708" t="s">
        <v>161</v>
      </c>
      <c r="K708">
        <v>3.4835241153167236E-3</v>
      </c>
      <c r="L708" t="s">
        <v>154</v>
      </c>
    </row>
    <row r="709" spans="9:12" x14ac:dyDescent="0.25">
      <c r="I709" t="s">
        <v>184</v>
      </c>
      <c r="J709" t="s">
        <v>162</v>
      </c>
      <c r="K709">
        <v>3.3869377082887619E-3</v>
      </c>
      <c r="L709" t="s">
        <v>154</v>
      </c>
    </row>
    <row r="710" spans="9:12" x14ac:dyDescent="0.25">
      <c r="I710" t="s">
        <v>184</v>
      </c>
      <c r="J710" t="s">
        <v>228</v>
      </c>
      <c r="K710">
        <v>2.0112921824078193E-2</v>
      </c>
      <c r="L710" t="s">
        <v>154</v>
      </c>
    </row>
    <row r="711" spans="9:12" x14ac:dyDescent="0.25">
      <c r="I711" t="s">
        <v>184</v>
      </c>
      <c r="J711" t="s">
        <v>229</v>
      </c>
      <c r="K711">
        <v>1.4363938726775841E-2</v>
      </c>
      <c r="L711" t="s">
        <v>154</v>
      </c>
    </row>
    <row r="712" spans="9:12" x14ac:dyDescent="0.25">
      <c r="I712" t="s">
        <v>184</v>
      </c>
      <c r="J712" t="s">
        <v>230</v>
      </c>
      <c r="K712">
        <v>9.0323714024744049E-4</v>
      </c>
      <c r="L712" t="s">
        <v>154</v>
      </c>
    </row>
    <row r="713" spans="9:12" x14ac:dyDescent="0.25">
      <c r="I713" t="s">
        <v>184</v>
      </c>
      <c r="J713" t="s">
        <v>163</v>
      </c>
      <c r="K713">
        <v>0</v>
      </c>
      <c r="L713" t="s">
        <v>154</v>
      </c>
    </row>
    <row r="714" spans="9:12" x14ac:dyDescent="0.25">
      <c r="I714" t="s">
        <v>184</v>
      </c>
      <c r="J714" t="s">
        <v>164</v>
      </c>
      <c r="K714">
        <v>1.0256967224131278E-2</v>
      </c>
      <c r="L714" t="s">
        <v>154</v>
      </c>
    </row>
    <row r="715" spans="9:12" x14ac:dyDescent="0.25">
      <c r="I715" t="s">
        <v>184</v>
      </c>
      <c r="J715" t="s">
        <v>165</v>
      </c>
      <c r="K715">
        <v>9.6434375469641488E-3</v>
      </c>
      <c r="L715" t="s">
        <v>154</v>
      </c>
    </row>
    <row r="716" spans="9:12" x14ac:dyDescent="0.25">
      <c r="I716" t="s">
        <v>184</v>
      </c>
      <c r="J716" t="s">
        <v>231</v>
      </c>
      <c r="K716">
        <v>5.4398509510089961E-2</v>
      </c>
      <c r="L716" t="s">
        <v>154</v>
      </c>
    </row>
    <row r="717" spans="9:12" x14ac:dyDescent="0.25">
      <c r="I717" t="s">
        <v>184</v>
      </c>
      <c r="J717" t="s">
        <v>232</v>
      </c>
      <c r="K717">
        <v>4.1762922278173346E-2</v>
      </c>
      <c r="L717" t="s">
        <v>154</v>
      </c>
    </row>
    <row r="718" spans="9:12" x14ac:dyDescent="0.25">
      <c r="I718" t="s">
        <v>184</v>
      </c>
      <c r="J718" t="s">
        <v>233</v>
      </c>
      <c r="K718">
        <v>3.9068783908740804E-3</v>
      </c>
      <c r="L718" t="s">
        <v>154</v>
      </c>
    </row>
    <row r="719" spans="9:12" x14ac:dyDescent="0.25">
      <c r="I719" t="s">
        <v>184</v>
      </c>
      <c r="J719" t="s">
        <v>240</v>
      </c>
      <c r="K719">
        <v>0</v>
      </c>
      <c r="L719" t="s">
        <v>154</v>
      </c>
    </row>
    <row r="720" spans="9:12" x14ac:dyDescent="0.25">
      <c r="I720" t="s">
        <v>184</v>
      </c>
      <c r="J720" t="s">
        <v>241</v>
      </c>
      <c r="K720">
        <v>2.0678485826860948E-2</v>
      </c>
      <c r="L720" t="s">
        <v>154</v>
      </c>
    </row>
    <row r="721" spans="9:12" x14ac:dyDescent="0.25">
      <c r="I721" t="s">
        <v>184</v>
      </c>
      <c r="J721" t="s">
        <v>242</v>
      </c>
      <c r="K721">
        <v>2.0904088790503376E-2</v>
      </c>
      <c r="L721" t="s">
        <v>154</v>
      </c>
    </row>
    <row r="722" spans="9:12" x14ac:dyDescent="0.25">
      <c r="I722" t="s">
        <v>184</v>
      </c>
      <c r="J722" t="s">
        <v>243</v>
      </c>
      <c r="K722">
        <v>0.11595479732248135</v>
      </c>
      <c r="L722" t="s">
        <v>154</v>
      </c>
    </row>
    <row r="723" spans="9:12" x14ac:dyDescent="0.25">
      <c r="I723" t="s">
        <v>184</v>
      </c>
      <c r="J723" t="s">
        <v>244</v>
      </c>
      <c r="K723">
        <v>9.1251780313462788E-2</v>
      </c>
      <c r="L723" t="s">
        <v>154</v>
      </c>
    </row>
    <row r="724" spans="9:12" x14ac:dyDescent="0.25">
      <c r="I724" t="s">
        <v>184</v>
      </c>
      <c r="J724" t="s">
        <v>245</v>
      </c>
      <c r="K724">
        <v>8.5652001896267121E-3</v>
      </c>
      <c r="L724" t="s">
        <v>154</v>
      </c>
    </row>
    <row r="725" spans="9:12" x14ac:dyDescent="0.25">
      <c r="I725" t="s">
        <v>184</v>
      </c>
      <c r="J725" t="s">
        <v>246</v>
      </c>
      <c r="K725">
        <v>0</v>
      </c>
      <c r="L725" t="s">
        <v>154</v>
      </c>
    </row>
    <row r="726" spans="9:12" x14ac:dyDescent="0.25">
      <c r="I726" t="s">
        <v>184</v>
      </c>
      <c r="J726" t="s">
        <v>247</v>
      </c>
      <c r="K726">
        <v>1.6343421803042595E-2</v>
      </c>
      <c r="L726" t="s">
        <v>154</v>
      </c>
    </row>
    <row r="727" spans="9:12" x14ac:dyDescent="0.25">
      <c r="I727" t="s">
        <v>184</v>
      </c>
      <c r="J727" t="s">
        <v>248</v>
      </c>
      <c r="K727">
        <v>1.7465819188907709E-2</v>
      </c>
      <c r="L727" t="s">
        <v>154</v>
      </c>
    </row>
    <row r="728" spans="9:12" x14ac:dyDescent="0.25">
      <c r="I728" t="s">
        <v>184</v>
      </c>
      <c r="J728" t="s">
        <v>249</v>
      </c>
      <c r="K728">
        <v>9.3526576195102532E-2</v>
      </c>
      <c r="L728" t="s">
        <v>154</v>
      </c>
    </row>
    <row r="729" spans="9:12" x14ac:dyDescent="0.25">
      <c r="I729" t="s">
        <v>184</v>
      </c>
      <c r="J729" t="s">
        <v>250</v>
      </c>
      <c r="K729">
        <v>6.3700033404468656E-2</v>
      </c>
      <c r="L729" t="s">
        <v>154</v>
      </c>
    </row>
    <row r="730" spans="9:12" x14ac:dyDescent="0.25">
      <c r="I730" t="s">
        <v>184</v>
      </c>
      <c r="J730" t="s">
        <v>251</v>
      </c>
      <c r="K730">
        <v>4.1523845115619493E-3</v>
      </c>
      <c r="L730" t="s">
        <v>154</v>
      </c>
    </row>
    <row r="731" spans="9:12" x14ac:dyDescent="0.25">
      <c r="I731" t="s">
        <v>185</v>
      </c>
      <c r="J731" t="s">
        <v>153</v>
      </c>
      <c r="K731">
        <v>0</v>
      </c>
      <c r="L731" t="s">
        <v>154</v>
      </c>
    </row>
    <row r="732" spans="9:12" x14ac:dyDescent="0.25">
      <c r="I732" t="s">
        <v>185</v>
      </c>
      <c r="J732" t="s">
        <v>155</v>
      </c>
      <c r="K732">
        <v>3.0454845868886256E-3</v>
      </c>
      <c r="L732" t="s">
        <v>154</v>
      </c>
    </row>
    <row r="733" spans="9:12" x14ac:dyDescent="0.25">
      <c r="I733" t="s">
        <v>185</v>
      </c>
      <c r="J733" t="s">
        <v>156</v>
      </c>
      <c r="K733">
        <v>4.3852965431049303E-3</v>
      </c>
      <c r="L733" t="s">
        <v>154</v>
      </c>
    </row>
    <row r="734" spans="9:12" x14ac:dyDescent="0.25">
      <c r="I734" t="s">
        <v>185</v>
      </c>
      <c r="J734" t="s">
        <v>222</v>
      </c>
      <c r="K734">
        <v>2.5356860901289833E-2</v>
      </c>
      <c r="L734" t="s">
        <v>154</v>
      </c>
    </row>
    <row r="735" spans="9:12" x14ac:dyDescent="0.25">
      <c r="I735" t="s">
        <v>185</v>
      </c>
      <c r="J735" t="s">
        <v>223</v>
      </c>
      <c r="K735">
        <v>1.6397297656867236E-2</v>
      </c>
      <c r="L735" t="s">
        <v>154</v>
      </c>
    </row>
    <row r="736" spans="9:12" x14ac:dyDescent="0.25">
      <c r="I736" t="s">
        <v>185</v>
      </c>
      <c r="J736" t="s">
        <v>224</v>
      </c>
      <c r="K736">
        <v>1.5412401557800171E-3</v>
      </c>
      <c r="L736" t="s">
        <v>154</v>
      </c>
    </row>
    <row r="737" spans="9:12" x14ac:dyDescent="0.25">
      <c r="I737" t="s">
        <v>185</v>
      </c>
      <c r="J737" t="s">
        <v>157</v>
      </c>
      <c r="K737">
        <v>0</v>
      </c>
      <c r="L737" t="s">
        <v>154</v>
      </c>
    </row>
    <row r="738" spans="9:12" x14ac:dyDescent="0.25">
      <c r="I738" t="s">
        <v>185</v>
      </c>
      <c r="J738" t="s">
        <v>158</v>
      </c>
      <c r="K738">
        <v>2.37810564698996E-2</v>
      </c>
      <c r="L738" t="s">
        <v>154</v>
      </c>
    </row>
    <row r="739" spans="9:12" x14ac:dyDescent="0.25">
      <c r="I739" t="s">
        <v>185</v>
      </c>
      <c r="J739" t="s">
        <v>159</v>
      </c>
      <c r="K739">
        <v>2.8413375681064907E-2</v>
      </c>
      <c r="L739" t="s">
        <v>154</v>
      </c>
    </row>
    <row r="740" spans="9:12" x14ac:dyDescent="0.25">
      <c r="I740" t="s">
        <v>185</v>
      </c>
      <c r="J740" t="s">
        <v>225</v>
      </c>
      <c r="K740">
        <v>0.15646086662050621</v>
      </c>
      <c r="L740" t="s">
        <v>154</v>
      </c>
    </row>
    <row r="741" spans="9:12" x14ac:dyDescent="0.25">
      <c r="I741" t="s">
        <v>185</v>
      </c>
      <c r="J741" t="s">
        <v>226</v>
      </c>
      <c r="K741">
        <v>0.11621847218697387</v>
      </c>
      <c r="L741" t="s">
        <v>154</v>
      </c>
    </row>
    <row r="742" spans="9:12" x14ac:dyDescent="0.25">
      <c r="I742" t="s">
        <v>185</v>
      </c>
      <c r="J742" t="s">
        <v>227</v>
      </c>
      <c r="K742">
        <v>1.163805074576949E-2</v>
      </c>
      <c r="L742" t="s">
        <v>154</v>
      </c>
    </row>
    <row r="743" spans="9:12" x14ac:dyDescent="0.25">
      <c r="I743" t="s">
        <v>185</v>
      </c>
      <c r="J743" t="s">
        <v>160</v>
      </c>
      <c r="K743">
        <v>0</v>
      </c>
      <c r="L743" t="s">
        <v>154</v>
      </c>
    </row>
    <row r="744" spans="9:12" x14ac:dyDescent="0.25">
      <c r="I744" t="s">
        <v>185</v>
      </c>
      <c r="J744" t="s">
        <v>161</v>
      </c>
      <c r="K744">
        <v>3.383696803476997E-3</v>
      </c>
      <c r="L744" t="s">
        <v>154</v>
      </c>
    </row>
    <row r="745" spans="9:12" x14ac:dyDescent="0.25">
      <c r="I745" t="s">
        <v>185</v>
      </c>
      <c r="J745" t="s">
        <v>162</v>
      </c>
      <c r="K745">
        <v>3.6514832567741081E-3</v>
      </c>
      <c r="L745" t="s">
        <v>154</v>
      </c>
    </row>
    <row r="746" spans="9:12" x14ac:dyDescent="0.25">
      <c r="I746" t="s">
        <v>185</v>
      </c>
      <c r="J746" t="s">
        <v>228</v>
      </c>
      <c r="K746">
        <v>2.0539247074901148E-2</v>
      </c>
      <c r="L746" t="s">
        <v>154</v>
      </c>
    </row>
    <row r="747" spans="9:12" x14ac:dyDescent="0.25">
      <c r="I747" t="s">
        <v>185</v>
      </c>
      <c r="J747" t="s">
        <v>229</v>
      </c>
      <c r="K747">
        <v>1.194947574556994E-2</v>
      </c>
      <c r="L747" t="s">
        <v>154</v>
      </c>
    </row>
    <row r="748" spans="9:12" x14ac:dyDescent="0.25">
      <c r="I748" t="s">
        <v>185</v>
      </c>
      <c r="J748" t="s">
        <v>230</v>
      </c>
      <c r="K748">
        <v>7.1945818057857702E-4</v>
      </c>
      <c r="L748" t="s">
        <v>154</v>
      </c>
    </row>
    <row r="749" spans="9:12" x14ac:dyDescent="0.25">
      <c r="I749" t="s">
        <v>185</v>
      </c>
      <c r="J749" t="s">
        <v>163</v>
      </c>
      <c r="K749">
        <v>0</v>
      </c>
      <c r="L749" t="s">
        <v>154</v>
      </c>
    </row>
    <row r="750" spans="9:12" x14ac:dyDescent="0.25">
      <c r="I750" t="s">
        <v>185</v>
      </c>
      <c r="J750" t="s">
        <v>164</v>
      </c>
      <c r="K750">
        <v>1.0111293223182782E-2</v>
      </c>
      <c r="L750" t="s">
        <v>154</v>
      </c>
    </row>
    <row r="751" spans="9:12" x14ac:dyDescent="0.25">
      <c r="I751" t="s">
        <v>185</v>
      </c>
      <c r="J751" t="s">
        <v>165</v>
      </c>
      <c r="K751">
        <v>1.0082019019739178E-2</v>
      </c>
      <c r="L751" t="s">
        <v>154</v>
      </c>
    </row>
    <row r="752" spans="9:12" x14ac:dyDescent="0.25">
      <c r="I752" t="s">
        <v>185</v>
      </c>
      <c r="J752" t="s">
        <v>231</v>
      </c>
      <c r="K752">
        <v>5.7783066398640053E-2</v>
      </c>
      <c r="L752" t="s">
        <v>154</v>
      </c>
    </row>
    <row r="753" spans="9:12" x14ac:dyDescent="0.25">
      <c r="I753" t="s">
        <v>185</v>
      </c>
      <c r="J753" t="s">
        <v>232</v>
      </c>
      <c r="K753">
        <v>3.8193883376054463E-2</v>
      </c>
      <c r="L753" t="s">
        <v>154</v>
      </c>
    </row>
    <row r="754" spans="9:12" x14ac:dyDescent="0.25">
      <c r="I754" t="s">
        <v>185</v>
      </c>
      <c r="J754" t="s">
        <v>233</v>
      </c>
      <c r="K754">
        <v>3.210771422811033E-3</v>
      </c>
      <c r="L754" t="s">
        <v>154</v>
      </c>
    </row>
    <row r="755" spans="9:12" x14ac:dyDescent="0.25">
      <c r="I755" t="s">
        <v>185</v>
      </c>
      <c r="J755" t="s">
        <v>240</v>
      </c>
      <c r="K755">
        <v>0</v>
      </c>
      <c r="L755" t="s">
        <v>154</v>
      </c>
    </row>
    <row r="756" spans="9:12" x14ac:dyDescent="0.25">
      <c r="I756" t="s">
        <v>185</v>
      </c>
      <c r="J756" t="s">
        <v>241</v>
      </c>
      <c r="K756">
        <v>2.1962561071534301E-2</v>
      </c>
      <c r="L756" t="s">
        <v>154</v>
      </c>
    </row>
    <row r="757" spans="9:12" x14ac:dyDescent="0.25">
      <c r="I757" t="s">
        <v>185</v>
      </c>
      <c r="J757" t="s">
        <v>242</v>
      </c>
      <c r="K757">
        <v>2.2493720013768391E-2</v>
      </c>
      <c r="L757" t="s">
        <v>154</v>
      </c>
    </row>
    <row r="758" spans="9:12" x14ac:dyDescent="0.25">
      <c r="I758" t="s">
        <v>185</v>
      </c>
      <c r="J758" t="s">
        <v>243</v>
      </c>
      <c r="K758">
        <v>0.12491080185080289</v>
      </c>
      <c r="L758" t="s">
        <v>154</v>
      </c>
    </row>
    <row r="759" spans="9:12" x14ac:dyDescent="0.25">
      <c r="I759" t="s">
        <v>185</v>
      </c>
      <c r="J759" t="s">
        <v>244</v>
      </c>
      <c r="K759">
        <v>8.8564801405442831E-2</v>
      </c>
      <c r="L759" t="s">
        <v>154</v>
      </c>
    </row>
    <row r="760" spans="9:12" x14ac:dyDescent="0.25">
      <c r="I760" t="s">
        <v>185</v>
      </c>
      <c r="J760" t="s">
        <v>245</v>
      </c>
      <c r="K760">
        <v>7.72275722461586E-3</v>
      </c>
      <c r="L760" t="s">
        <v>154</v>
      </c>
    </row>
    <row r="761" spans="9:12" x14ac:dyDescent="0.25">
      <c r="I761" t="s">
        <v>185</v>
      </c>
      <c r="J761" t="s">
        <v>246</v>
      </c>
      <c r="K761">
        <v>0</v>
      </c>
      <c r="L761" t="s">
        <v>154</v>
      </c>
    </row>
    <row r="762" spans="9:12" x14ac:dyDescent="0.25">
      <c r="I762" t="s">
        <v>185</v>
      </c>
      <c r="J762" t="s">
        <v>247</v>
      </c>
      <c r="K762">
        <v>1.7203508965572784E-2</v>
      </c>
      <c r="L762" t="s">
        <v>154</v>
      </c>
    </row>
    <row r="763" spans="9:12" x14ac:dyDescent="0.25">
      <c r="I763" t="s">
        <v>185</v>
      </c>
      <c r="J763" t="s">
        <v>248</v>
      </c>
      <c r="K763">
        <v>1.7726754201510063E-2</v>
      </c>
      <c r="L763" t="s">
        <v>154</v>
      </c>
    </row>
    <row r="764" spans="9:12" x14ac:dyDescent="0.25">
      <c r="I764" t="s">
        <v>185</v>
      </c>
      <c r="J764" t="s">
        <v>249</v>
      </c>
      <c r="K764">
        <v>9.3788314357676636E-2</v>
      </c>
      <c r="L764" t="s">
        <v>154</v>
      </c>
    </row>
    <row r="765" spans="9:12" x14ac:dyDescent="0.25">
      <c r="I765" t="s">
        <v>185</v>
      </c>
      <c r="J765" t="s">
        <v>250</v>
      </c>
      <c r="K765">
        <v>5.4736607504439372E-2</v>
      </c>
      <c r="L765" t="s">
        <v>154</v>
      </c>
    </row>
    <row r="766" spans="9:12" x14ac:dyDescent="0.25">
      <c r="I766" t="s">
        <v>185</v>
      </c>
      <c r="J766" t="s">
        <v>251</v>
      </c>
      <c r="K766">
        <v>4.027777354764759E-3</v>
      </c>
      <c r="L766" t="s">
        <v>154</v>
      </c>
    </row>
    <row r="767" spans="9:12" x14ac:dyDescent="0.25">
      <c r="I767" t="s">
        <v>186</v>
      </c>
      <c r="J767" t="s">
        <v>153</v>
      </c>
      <c r="K767">
        <v>0</v>
      </c>
      <c r="L767" t="s">
        <v>154</v>
      </c>
    </row>
    <row r="768" spans="9:12" x14ac:dyDescent="0.25">
      <c r="I768" t="s">
        <v>186</v>
      </c>
      <c r="J768" t="s">
        <v>155</v>
      </c>
      <c r="K768">
        <v>3.4608500850924757E-3</v>
      </c>
      <c r="L768" t="s">
        <v>154</v>
      </c>
    </row>
    <row r="769" spans="9:12" x14ac:dyDescent="0.25">
      <c r="I769" t="s">
        <v>186</v>
      </c>
      <c r="J769" t="s">
        <v>156</v>
      </c>
      <c r="K769">
        <v>5.268732258643145E-3</v>
      </c>
      <c r="L769" t="s">
        <v>154</v>
      </c>
    </row>
    <row r="770" spans="9:12" x14ac:dyDescent="0.25">
      <c r="I770" t="s">
        <v>186</v>
      </c>
      <c r="J770" t="s">
        <v>222</v>
      </c>
      <c r="K770">
        <v>2.8733450366185281E-2</v>
      </c>
      <c r="L770" t="s">
        <v>154</v>
      </c>
    </row>
    <row r="771" spans="9:12" x14ac:dyDescent="0.25">
      <c r="I771" t="s">
        <v>186</v>
      </c>
      <c r="J771" t="s">
        <v>223</v>
      </c>
      <c r="K771">
        <v>1.8700824955201728E-2</v>
      </c>
      <c r="L771" t="s">
        <v>154</v>
      </c>
    </row>
    <row r="772" spans="9:12" x14ac:dyDescent="0.25">
      <c r="I772" t="s">
        <v>186</v>
      </c>
      <c r="J772" t="s">
        <v>224</v>
      </c>
      <c r="K772">
        <v>1.4243670496574235E-3</v>
      </c>
      <c r="L772" t="s">
        <v>154</v>
      </c>
    </row>
    <row r="773" spans="9:12" x14ac:dyDescent="0.25">
      <c r="I773" t="s">
        <v>186</v>
      </c>
      <c r="J773" t="s">
        <v>157</v>
      </c>
      <c r="K773">
        <v>0</v>
      </c>
      <c r="L773" t="s">
        <v>154</v>
      </c>
    </row>
    <row r="774" spans="9:12" x14ac:dyDescent="0.25">
      <c r="I774" t="s">
        <v>186</v>
      </c>
      <c r="J774" t="s">
        <v>158</v>
      </c>
      <c r="K774">
        <v>2.517938132673363E-2</v>
      </c>
      <c r="L774" t="s">
        <v>154</v>
      </c>
    </row>
    <row r="775" spans="9:12" x14ac:dyDescent="0.25">
      <c r="I775" t="s">
        <v>186</v>
      </c>
      <c r="J775" t="s">
        <v>159</v>
      </c>
      <c r="K775">
        <v>2.8773375141148312E-2</v>
      </c>
      <c r="L775" t="s">
        <v>154</v>
      </c>
    </row>
    <row r="776" spans="9:12" x14ac:dyDescent="0.25">
      <c r="I776" t="s">
        <v>186</v>
      </c>
      <c r="J776" t="s">
        <v>225</v>
      </c>
      <c r="K776">
        <v>0.15705530334486656</v>
      </c>
      <c r="L776" t="s">
        <v>154</v>
      </c>
    </row>
    <row r="777" spans="9:12" x14ac:dyDescent="0.25">
      <c r="I777" t="s">
        <v>186</v>
      </c>
      <c r="J777" t="s">
        <v>226</v>
      </c>
      <c r="K777">
        <v>0.11475228504565416</v>
      </c>
      <c r="L777" t="s">
        <v>154</v>
      </c>
    </row>
    <row r="778" spans="9:12" x14ac:dyDescent="0.25">
      <c r="I778" t="s">
        <v>186</v>
      </c>
      <c r="J778" t="s">
        <v>227</v>
      </c>
      <c r="K778">
        <v>1.074227045548222E-2</v>
      </c>
      <c r="L778" t="s">
        <v>154</v>
      </c>
    </row>
    <row r="779" spans="9:12" x14ac:dyDescent="0.25">
      <c r="I779" t="s">
        <v>186</v>
      </c>
      <c r="J779" t="s">
        <v>160</v>
      </c>
      <c r="K779">
        <v>0</v>
      </c>
      <c r="L779" t="s">
        <v>154</v>
      </c>
    </row>
    <row r="780" spans="9:12" x14ac:dyDescent="0.25">
      <c r="I780" t="s">
        <v>186</v>
      </c>
      <c r="J780" t="s">
        <v>161</v>
      </c>
      <c r="K780">
        <v>3.5504508834673784E-3</v>
      </c>
      <c r="L780" t="s">
        <v>154</v>
      </c>
    </row>
    <row r="781" spans="9:12" x14ac:dyDescent="0.25">
      <c r="I781" t="s">
        <v>186</v>
      </c>
      <c r="J781" t="s">
        <v>162</v>
      </c>
      <c r="K781">
        <v>3.4615343658676496E-3</v>
      </c>
      <c r="L781" t="s">
        <v>154</v>
      </c>
    </row>
    <row r="782" spans="9:12" x14ac:dyDescent="0.25">
      <c r="I782" t="s">
        <v>186</v>
      </c>
      <c r="J782" t="s">
        <v>228</v>
      </c>
      <c r="K782">
        <v>2.107265326205127E-2</v>
      </c>
      <c r="L782" t="s">
        <v>154</v>
      </c>
    </row>
    <row r="783" spans="9:12" x14ac:dyDescent="0.25">
      <c r="I783" t="s">
        <v>186</v>
      </c>
      <c r="J783" t="s">
        <v>229</v>
      </c>
      <c r="K783">
        <v>1.3530370987753445E-2</v>
      </c>
      <c r="L783" t="s">
        <v>154</v>
      </c>
    </row>
    <row r="784" spans="9:12" x14ac:dyDescent="0.25">
      <c r="I784" t="s">
        <v>186</v>
      </c>
      <c r="J784" t="s">
        <v>230</v>
      </c>
      <c r="K784">
        <v>7.2005221176635629E-4</v>
      </c>
      <c r="L784" t="s">
        <v>154</v>
      </c>
    </row>
    <row r="785" spans="9:12" x14ac:dyDescent="0.25">
      <c r="I785" t="s">
        <v>186</v>
      </c>
      <c r="J785" t="s">
        <v>163</v>
      </c>
      <c r="K785">
        <v>0</v>
      </c>
      <c r="L785" t="s">
        <v>154</v>
      </c>
    </row>
    <row r="786" spans="9:12" x14ac:dyDescent="0.25">
      <c r="I786" t="s">
        <v>186</v>
      </c>
      <c r="J786" t="s">
        <v>164</v>
      </c>
      <c r="K786">
        <v>1.0458093229112286E-2</v>
      </c>
      <c r="L786" t="s">
        <v>154</v>
      </c>
    </row>
    <row r="787" spans="9:12" x14ac:dyDescent="0.25">
      <c r="I787" t="s">
        <v>186</v>
      </c>
      <c r="J787" t="s">
        <v>165</v>
      </c>
      <c r="K787">
        <v>9.9671345201644158E-3</v>
      </c>
      <c r="L787" t="s">
        <v>154</v>
      </c>
    </row>
    <row r="788" spans="9:12" x14ac:dyDescent="0.25">
      <c r="I788" t="s">
        <v>186</v>
      </c>
      <c r="J788" t="s">
        <v>231</v>
      </c>
      <c r="K788">
        <v>5.6739926671017245E-2</v>
      </c>
      <c r="L788" t="s">
        <v>154</v>
      </c>
    </row>
    <row r="789" spans="9:12" x14ac:dyDescent="0.25">
      <c r="I789" t="s">
        <v>186</v>
      </c>
      <c r="J789" t="s">
        <v>232</v>
      </c>
      <c r="K789">
        <v>3.8399328839167426E-2</v>
      </c>
      <c r="L789" t="s">
        <v>154</v>
      </c>
    </row>
    <row r="790" spans="9:12" x14ac:dyDescent="0.25">
      <c r="I790" t="s">
        <v>186</v>
      </c>
      <c r="J790" t="s">
        <v>233</v>
      </c>
      <c r="K790">
        <v>2.9513897919177597E-3</v>
      </c>
      <c r="L790" t="s">
        <v>154</v>
      </c>
    </row>
    <row r="791" spans="9:12" x14ac:dyDescent="0.25">
      <c r="I791" t="s">
        <v>186</v>
      </c>
      <c r="J791" t="s">
        <v>240</v>
      </c>
      <c r="K791">
        <v>0</v>
      </c>
      <c r="L791" t="s">
        <v>154</v>
      </c>
    </row>
    <row r="792" spans="9:12" x14ac:dyDescent="0.25">
      <c r="I792" t="s">
        <v>186</v>
      </c>
      <c r="J792" t="s">
        <v>241</v>
      </c>
      <c r="K792">
        <v>2.1709628802499326E-2</v>
      </c>
      <c r="L792" t="s">
        <v>154</v>
      </c>
    </row>
    <row r="793" spans="9:12" x14ac:dyDescent="0.25">
      <c r="I793" t="s">
        <v>186</v>
      </c>
      <c r="J793" t="s">
        <v>242</v>
      </c>
      <c r="K793">
        <v>2.1507972285322838E-2</v>
      </c>
      <c r="L793" t="s">
        <v>154</v>
      </c>
    </row>
    <row r="794" spans="9:12" x14ac:dyDescent="0.25">
      <c r="I794" t="s">
        <v>186</v>
      </c>
      <c r="J794" t="s">
        <v>243</v>
      </c>
      <c r="K794">
        <v>0.1192486444244351</v>
      </c>
      <c r="L794" t="s">
        <v>154</v>
      </c>
    </row>
    <row r="795" spans="9:12" x14ac:dyDescent="0.25">
      <c r="I795" t="s">
        <v>186</v>
      </c>
      <c r="J795" t="s">
        <v>244</v>
      </c>
      <c r="K795">
        <v>8.4093450109606255E-2</v>
      </c>
      <c r="L795" t="s">
        <v>154</v>
      </c>
    </row>
    <row r="796" spans="9:12" x14ac:dyDescent="0.25">
      <c r="I796" t="s">
        <v>186</v>
      </c>
      <c r="J796" t="s">
        <v>245</v>
      </c>
      <c r="K796">
        <v>7.1465330801693209E-3</v>
      </c>
      <c r="L796" t="s">
        <v>154</v>
      </c>
    </row>
    <row r="797" spans="9:12" x14ac:dyDescent="0.25">
      <c r="I797" t="s">
        <v>186</v>
      </c>
      <c r="J797" t="s">
        <v>246</v>
      </c>
      <c r="K797">
        <v>0</v>
      </c>
      <c r="L797" t="s">
        <v>154</v>
      </c>
    </row>
    <row r="798" spans="9:12" x14ac:dyDescent="0.25">
      <c r="I798" t="s">
        <v>186</v>
      </c>
      <c r="J798" t="s">
        <v>247</v>
      </c>
      <c r="K798">
        <v>1.7717941662648558E-2</v>
      </c>
      <c r="L798" t="s">
        <v>154</v>
      </c>
    </row>
    <row r="799" spans="9:12" x14ac:dyDescent="0.25">
      <c r="I799" t="s">
        <v>186</v>
      </c>
      <c r="J799" t="s">
        <v>248</v>
      </c>
      <c r="K799">
        <v>1.8484119056705668E-2</v>
      </c>
      <c r="L799" t="s">
        <v>154</v>
      </c>
    </row>
    <row r="800" spans="9:12" x14ac:dyDescent="0.25">
      <c r="I800" t="s">
        <v>186</v>
      </c>
      <c r="J800" t="s">
        <v>249</v>
      </c>
      <c r="K800">
        <v>9.5739529460626388E-2</v>
      </c>
      <c r="L800" t="s">
        <v>154</v>
      </c>
    </row>
    <row r="801" spans="9:12" x14ac:dyDescent="0.25">
      <c r="I801" t="s">
        <v>186</v>
      </c>
      <c r="J801" t="s">
        <v>250</v>
      </c>
      <c r="K801">
        <v>5.634298716506389E-2</v>
      </c>
      <c r="L801" t="s">
        <v>154</v>
      </c>
    </row>
    <row r="802" spans="9:12" x14ac:dyDescent="0.25">
      <c r="I802" t="s">
        <v>186</v>
      </c>
      <c r="J802" t="s">
        <v>251</v>
      </c>
      <c r="K802">
        <v>3.0674191619706869E-3</v>
      </c>
      <c r="L802" t="s">
        <v>154</v>
      </c>
    </row>
    <row r="803" spans="9:12" x14ac:dyDescent="0.25">
      <c r="I803" t="s">
        <v>187</v>
      </c>
      <c r="J803" t="s">
        <v>153</v>
      </c>
      <c r="K803">
        <v>0</v>
      </c>
      <c r="L803" t="s">
        <v>154</v>
      </c>
    </row>
    <row r="804" spans="9:12" x14ac:dyDescent="0.25">
      <c r="I804" t="s">
        <v>187</v>
      </c>
      <c r="J804" t="s">
        <v>155</v>
      </c>
      <c r="K804">
        <v>2.4943567864563845E-3</v>
      </c>
      <c r="L804" t="s">
        <v>154</v>
      </c>
    </row>
    <row r="805" spans="9:12" x14ac:dyDescent="0.25">
      <c r="I805" t="s">
        <v>187</v>
      </c>
      <c r="J805" t="s">
        <v>156</v>
      </c>
      <c r="K805">
        <v>4.7589936479856595E-3</v>
      </c>
      <c r="L805" t="s">
        <v>154</v>
      </c>
    </row>
    <row r="806" spans="9:12" x14ac:dyDescent="0.25">
      <c r="I806" t="s">
        <v>187</v>
      </c>
      <c r="J806" t="s">
        <v>222</v>
      </c>
      <c r="K806">
        <v>2.6624231996891973E-2</v>
      </c>
      <c r="L806" t="s">
        <v>154</v>
      </c>
    </row>
    <row r="807" spans="9:12" x14ac:dyDescent="0.25">
      <c r="I807" t="s">
        <v>187</v>
      </c>
      <c r="J807" t="s">
        <v>223</v>
      </c>
      <c r="K807">
        <v>1.8777471316673854E-2</v>
      </c>
      <c r="L807" t="s">
        <v>154</v>
      </c>
    </row>
    <row r="808" spans="9:12" x14ac:dyDescent="0.25">
      <c r="I808" t="s">
        <v>187</v>
      </c>
      <c r="J808" t="s">
        <v>224</v>
      </c>
      <c r="K808">
        <v>1.8341158122728986E-3</v>
      </c>
      <c r="L808" t="s">
        <v>154</v>
      </c>
    </row>
    <row r="809" spans="9:12" x14ac:dyDescent="0.25">
      <c r="I809" t="s">
        <v>187</v>
      </c>
      <c r="J809" t="s">
        <v>157</v>
      </c>
      <c r="K809">
        <v>0</v>
      </c>
      <c r="L809" t="s">
        <v>154</v>
      </c>
    </row>
    <row r="810" spans="9:12" x14ac:dyDescent="0.25">
      <c r="I810" t="s">
        <v>187</v>
      </c>
      <c r="J810" t="s">
        <v>158</v>
      </c>
      <c r="K810">
        <v>2.5588691714373498E-2</v>
      </c>
      <c r="L810" t="s">
        <v>154</v>
      </c>
    </row>
    <row r="811" spans="9:12" x14ac:dyDescent="0.25">
      <c r="I811" t="s">
        <v>187</v>
      </c>
      <c r="J811" t="s">
        <v>159</v>
      </c>
      <c r="K811">
        <v>2.9821988665709936E-2</v>
      </c>
      <c r="L811" t="s">
        <v>154</v>
      </c>
    </row>
    <row r="812" spans="9:12" x14ac:dyDescent="0.25">
      <c r="I812" t="s">
        <v>187</v>
      </c>
      <c r="J812" t="s">
        <v>225</v>
      </c>
      <c r="K812">
        <v>0.16043327583039199</v>
      </c>
      <c r="L812" t="s">
        <v>154</v>
      </c>
    </row>
    <row r="813" spans="9:12" x14ac:dyDescent="0.25">
      <c r="I813" t="s">
        <v>187</v>
      </c>
      <c r="J813" t="s">
        <v>226</v>
      </c>
      <c r="K813">
        <v>0.11600454849655707</v>
      </c>
      <c r="L813" t="s">
        <v>154</v>
      </c>
    </row>
    <row r="814" spans="9:12" x14ac:dyDescent="0.25">
      <c r="I814" t="s">
        <v>187</v>
      </c>
      <c r="J814" t="s">
        <v>227</v>
      </c>
      <c r="K814">
        <v>1.1363838334776258E-2</v>
      </c>
      <c r="L814" t="s">
        <v>154</v>
      </c>
    </row>
    <row r="815" spans="9:12" x14ac:dyDescent="0.25">
      <c r="I815" t="s">
        <v>187</v>
      </c>
      <c r="J815" t="s">
        <v>160</v>
      </c>
      <c r="K815">
        <v>0</v>
      </c>
      <c r="L815" t="s">
        <v>154</v>
      </c>
    </row>
    <row r="816" spans="9:12" x14ac:dyDescent="0.25">
      <c r="I816" t="s">
        <v>187</v>
      </c>
      <c r="J816" t="s">
        <v>161</v>
      </c>
      <c r="K816">
        <v>3.4323184397569255E-3</v>
      </c>
      <c r="L816" t="s">
        <v>154</v>
      </c>
    </row>
    <row r="817" spans="9:12" x14ac:dyDescent="0.25">
      <c r="I817" t="s">
        <v>187</v>
      </c>
      <c r="J817" t="s">
        <v>162</v>
      </c>
      <c r="K817">
        <v>3.5013612111671577E-3</v>
      </c>
      <c r="L817" t="s">
        <v>154</v>
      </c>
    </row>
    <row r="818" spans="9:12" x14ac:dyDescent="0.25">
      <c r="I818" t="s">
        <v>187</v>
      </c>
      <c r="J818" t="s">
        <v>228</v>
      </c>
      <c r="K818">
        <v>2.0808178521464743E-2</v>
      </c>
      <c r="L818" t="s">
        <v>154</v>
      </c>
    </row>
    <row r="819" spans="9:12" x14ac:dyDescent="0.25">
      <c r="I819" t="s">
        <v>187</v>
      </c>
      <c r="J819" t="s">
        <v>229</v>
      </c>
      <c r="K819">
        <v>1.2811970120885752E-2</v>
      </c>
      <c r="L819" t="s">
        <v>154</v>
      </c>
    </row>
    <row r="820" spans="9:12" x14ac:dyDescent="0.25">
      <c r="I820" t="s">
        <v>187</v>
      </c>
      <c r="J820" t="s">
        <v>230</v>
      </c>
      <c r="K820">
        <v>9.3315171036018908E-4</v>
      </c>
      <c r="L820" t="s">
        <v>154</v>
      </c>
    </row>
    <row r="821" spans="9:12" x14ac:dyDescent="0.25">
      <c r="I821" t="s">
        <v>187</v>
      </c>
      <c r="J821" t="s">
        <v>163</v>
      </c>
      <c r="K821">
        <v>0</v>
      </c>
      <c r="L821" t="s">
        <v>154</v>
      </c>
    </row>
    <row r="822" spans="9:12" x14ac:dyDescent="0.25">
      <c r="I822" t="s">
        <v>187</v>
      </c>
      <c r="J822" t="s">
        <v>164</v>
      </c>
      <c r="K822">
        <v>9.5743980760410064E-3</v>
      </c>
      <c r="L822" t="s">
        <v>154</v>
      </c>
    </row>
    <row r="823" spans="9:12" x14ac:dyDescent="0.25">
      <c r="I823" t="s">
        <v>187</v>
      </c>
      <c r="J823" t="s">
        <v>165</v>
      </c>
      <c r="K823">
        <v>9.3232432503376206E-3</v>
      </c>
      <c r="L823" t="s">
        <v>154</v>
      </c>
    </row>
    <row r="824" spans="9:12" x14ac:dyDescent="0.25">
      <c r="I824" t="s">
        <v>187</v>
      </c>
      <c r="J824" t="s">
        <v>231</v>
      </c>
      <c r="K824">
        <v>5.4369850139313891E-2</v>
      </c>
      <c r="L824" t="s">
        <v>154</v>
      </c>
    </row>
    <row r="825" spans="9:12" x14ac:dyDescent="0.25">
      <c r="I825" t="s">
        <v>187</v>
      </c>
      <c r="J825" t="s">
        <v>232</v>
      </c>
      <c r="K825">
        <v>3.5664318757483993E-2</v>
      </c>
      <c r="L825" t="s">
        <v>154</v>
      </c>
    </row>
    <row r="826" spans="9:12" x14ac:dyDescent="0.25">
      <c r="I826" t="s">
        <v>187</v>
      </c>
      <c r="J826" t="s">
        <v>233</v>
      </c>
      <c r="K826">
        <v>2.8970202230691965E-3</v>
      </c>
      <c r="L826" t="s">
        <v>154</v>
      </c>
    </row>
    <row r="827" spans="9:12" x14ac:dyDescent="0.25">
      <c r="I827" t="s">
        <v>187</v>
      </c>
      <c r="J827" t="s">
        <v>240</v>
      </c>
      <c r="K827">
        <v>0</v>
      </c>
      <c r="L827" t="s">
        <v>154</v>
      </c>
    </row>
    <row r="828" spans="9:12" x14ac:dyDescent="0.25">
      <c r="I828" t="s">
        <v>187</v>
      </c>
      <c r="J828" t="s">
        <v>241</v>
      </c>
      <c r="K828">
        <v>2.4449474920523094E-2</v>
      </c>
      <c r="L828" t="s">
        <v>154</v>
      </c>
    </row>
    <row r="829" spans="9:12" x14ac:dyDescent="0.25">
      <c r="I829" t="s">
        <v>187</v>
      </c>
      <c r="J829" t="s">
        <v>242</v>
      </c>
      <c r="K829">
        <v>2.3570752881046052E-2</v>
      </c>
      <c r="L829" t="s">
        <v>154</v>
      </c>
    </row>
    <row r="830" spans="9:12" x14ac:dyDescent="0.25">
      <c r="I830" t="s">
        <v>187</v>
      </c>
      <c r="J830" t="s">
        <v>243</v>
      </c>
      <c r="K830">
        <v>0.12486825087122191</v>
      </c>
      <c r="L830" t="s">
        <v>154</v>
      </c>
    </row>
    <row r="831" spans="9:12" x14ac:dyDescent="0.25">
      <c r="I831" t="s">
        <v>187</v>
      </c>
      <c r="J831" t="s">
        <v>244</v>
      </c>
      <c r="K831">
        <v>8.5223500040187763E-2</v>
      </c>
      <c r="L831" t="s">
        <v>154</v>
      </c>
    </row>
    <row r="832" spans="9:12" x14ac:dyDescent="0.25">
      <c r="I832" t="s">
        <v>187</v>
      </c>
      <c r="J832" t="s">
        <v>245</v>
      </c>
      <c r="K832">
        <v>7.5473022650337758E-3</v>
      </c>
      <c r="L832" t="s">
        <v>154</v>
      </c>
    </row>
    <row r="833" spans="9:12" x14ac:dyDescent="0.25">
      <c r="I833" t="s">
        <v>187</v>
      </c>
      <c r="J833" t="s">
        <v>246</v>
      </c>
      <c r="K833">
        <v>0</v>
      </c>
      <c r="L833" t="s">
        <v>154</v>
      </c>
    </row>
    <row r="834" spans="9:12" x14ac:dyDescent="0.25">
      <c r="I834" t="s">
        <v>187</v>
      </c>
      <c r="J834" t="s">
        <v>247</v>
      </c>
      <c r="K834">
        <v>1.6089058452751451E-2</v>
      </c>
      <c r="L834" t="s">
        <v>154</v>
      </c>
    </row>
    <row r="835" spans="9:12" x14ac:dyDescent="0.25">
      <c r="I835" t="s">
        <v>187</v>
      </c>
      <c r="J835" t="s">
        <v>248</v>
      </c>
      <c r="K835">
        <v>1.7461649620451335E-2</v>
      </c>
      <c r="L835" t="s">
        <v>154</v>
      </c>
    </row>
    <row r="836" spans="9:12" x14ac:dyDescent="0.25">
      <c r="I836" t="s">
        <v>187</v>
      </c>
      <c r="J836" t="s">
        <v>249</v>
      </c>
      <c r="K836">
        <v>9.0858818586160198E-2</v>
      </c>
      <c r="L836" t="s">
        <v>154</v>
      </c>
    </row>
    <row r="837" spans="9:12" x14ac:dyDescent="0.25">
      <c r="I837" t="s">
        <v>187</v>
      </c>
      <c r="J837" t="s">
        <v>250</v>
      </c>
      <c r="K837">
        <v>5.4787867970353232E-2</v>
      </c>
      <c r="L837" t="s">
        <v>154</v>
      </c>
    </row>
    <row r="838" spans="9:12" x14ac:dyDescent="0.25">
      <c r="I838" t="s">
        <v>187</v>
      </c>
      <c r="J838" t="s">
        <v>251</v>
      </c>
      <c r="K838">
        <v>4.1260013403028014E-3</v>
      </c>
      <c r="L838" t="s">
        <v>154</v>
      </c>
    </row>
    <row r="839" spans="9:12" x14ac:dyDescent="0.25">
      <c r="I839" t="s">
        <v>188</v>
      </c>
      <c r="J839" t="s">
        <v>153</v>
      </c>
      <c r="K839">
        <v>0</v>
      </c>
      <c r="L839" t="s">
        <v>154</v>
      </c>
    </row>
    <row r="840" spans="9:12" x14ac:dyDescent="0.25">
      <c r="I840" t="s">
        <v>188</v>
      </c>
      <c r="J840" t="s">
        <v>155</v>
      </c>
      <c r="K840">
        <v>2.9466920934367018E-3</v>
      </c>
      <c r="L840" t="s">
        <v>154</v>
      </c>
    </row>
    <row r="841" spans="9:12" x14ac:dyDescent="0.25">
      <c r="I841" t="s">
        <v>188</v>
      </c>
      <c r="J841" t="s">
        <v>156</v>
      </c>
      <c r="K841">
        <v>4.1521696348490343E-3</v>
      </c>
      <c r="L841" t="s">
        <v>154</v>
      </c>
    </row>
    <row r="842" spans="9:12" x14ac:dyDescent="0.25">
      <c r="I842" t="s">
        <v>188</v>
      </c>
      <c r="J842" t="s">
        <v>222</v>
      </c>
      <c r="K842">
        <v>2.4049067123662764E-2</v>
      </c>
      <c r="L842" t="s">
        <v>154</v>
      </c>
    </row>
    <row r="843" spans="9:12" x14ac:dyDescent="0.25">
      <c r="I843" t="s">
        <v>188</v>
      </c>
      <c r="J843" t="s">
        <v>223</v>
      </c>
      <c r="K843">
        <v>1.7830520296695553E-2</v>
      </c>
      <c r="L843" t="s">
        <v>154</v>
      </c>
    </row>
    <row r="844" spans="9:12" x14ac:dyDescent="0.25">
      <c r="I844" t="s">
        <v>188</v>
      </c>
      <c r="J844" t="s">
        <v>224</v>
      </c>
      <c r="K844">
        <v>1.8855099461019609E-3</v>
      </c>
      <c r="L844" t="s">
        <v>154</v>
      </c>
    </row>
    <row r="845" spans="9:12" x14ac:dyDescent="0.25">
      <c r="I845" t="s">
        <v>188</v>
      </c>
      <c r="J845" t="s">
        <v>157</v>
      </c>
      <c r="K845">
        <v>0</v>
      </c>
      <c r="L845" t="s">
        <v>154</v>
      </c>
    </row>
    <row r="846" spans="9:12" x14ac:dyDescent="0.25">
      <c r="I846" t="s">
        <v>188</v>
      </c>
      <c r="J846" t="s">
        <v>158</v>
      </c>
      <c r="K846">
        <v>2.6114065808224302E-2</v>
      </c>
      <c r="L846" t="s">
        <v>154</v>
      </c>
    </row>
    <row r="847" spans="9:12" x14ac:dyDescent="0.25">
      <c r="I847" t="s">
        <v>188</v>
      </c>
      <c r="J847" t="s">
        <v>159</v>
      </c>
      <c r="K847">
        <v>2.7670963750380959E-2</v>
      </c>
      <c r="L847" t="s">
        <v>154</v>
      </c>
    </row>
    <row r="848" spans="9:12" x14ac:dyDescent="0.25">
      <c r="I848" t="s">
        <v>188</v>
      </c>
      <c r="J848" t="s">
        <v>225</v>
      </c>
      <c r="K848">
        <v>0.15381722037762444</v>
      </c>
      <c r="L848" t="s">
        <v>154</v>
      </c>
    </row>
    <row r="849" spans="9:12" x14ac:dyDescent="0.25">
      <c r="I849" t="s">
        <v>188</v>
      </c>
      <c r="J849" t="s">
        <v>226</v>
      </c>
      <c r="K849">
        <v>0.12461178328690384</v>
      </c>
      <c r="L849" t="s">
        <v>154</v>
      </c>
    </row>
    <row r="850" spans="9:12" x14ac:dyDescent="0.25">
      <c r="I850" t="s">
        <v>188</v>
      </c>
      <c r="J850" t="s">
        <v>227</v>
      </c>
      <c r="K850">
        <v>1.3949391364999562E-2</v>
      </c>
      <c r="L850" t="s">
        <v>154</v>
      </c>
    </row>
    <row r="851" spans="9:12" x14ac:dyDescent="0.25">
      <c r="I851" t="s">
        <v>188</v>
      </c>
      <c r="J851" t="s">
        <v>160</v>
      </c>
      <c r="K851">
        <v>0</v>
      </c>
      <c r="L851" t="s">
        <v>154</v>
      </c>
    </row>
    <row r="852" spans="9:12" x14ac:dyDescent="0.25">
      <c r="I852" t="s">
        <v>188</v>
      </c>
      <c r="J852" t="s">
        <v>161</v>
      </c>
      <c r="K852">
        <v>3.2475654691339183E-3</v>
      </c>
      <c r="L852" t="s">
        <v>154</v>
      </c>
    </row>
    <row r="853" spans="9:12" x14ac:dyDescent="0.25">
      <c r="I853" t="s">
        <v>188</v>
      </c>
      <c r="J853" t="s">
        <v>162</v>
      </c>
      <c r="K853">
        <v>3.3068488924786329E-3</v>
      </c>
      <c r="L853" t="s">
        <v>154</v>
      </c>
    </row>
    <row r="854" spans="9:12" x14ac:dyDescent="0.25">
      <c r="I854" t="s">
        <v>188</v>
      </c>
      <c r="J854" t="s">
        <v>228</v>
      </c>
      <c r="K854">
        <v>1.9243423583321602E-2</v>
      </c>
      <c r="L854" t="s">
        <v>154</v>
      </c>
    </row>
    <row r="855" spans="9:12" x14ac:dyDescent="0.25">
      <c r="I855" t="s">
        <v>188</v>
      </c>
      <c r="J855" t="s">
        <v>229</v>
      </c>
      <c r="K855">
        <v>1.2890118805992707E-2</v>
      </c>
      <c r="L855" t="s">
        <v>154</v>
      </c>
    </row>
    <row r="856" spans="9:12" x14ac:dyDescent="0.25">
      <c r="I856" t="s">
        <v>188</v>
      </c>
      <c r="J856" t="s">
        <v>230</v>
      </c>
      <c r="K856">
        <v>1.2053213972658587E-3</v>
      </c>
      <c r="L856" t="s">
        <v>154</v>
      </c>
    </row>
    <row r="857" spans="9:12" x14ac:dyDescent="0.25">
      <c r="I857" t="s">
        <v>188</v>
      </c>
      <c r="J857" t="s">
        <v>163</v>
      </c>
      <c r="K857">
        <v>0</v>
      </c>
      <c r="L857" t="s">
        <v>154</v>
      </c>
    </row>
    <row r="858" spans="9:12" x14ac:dyDescent="0.25">
      <c r="I858" t="s">
        <v>188</v>
      </c>
      <c r="J858" t="s">
        <v>164</v>
      </c>
      <c r="K858">
        <v>9.2090531375338385E-3</v>
      </c>
      <c r="L858" t="s">
        <v>154</v>
      </c>
    </row>
    <row r="859" spans="9:12" x14ac:dyDescent="0.25">
      <c r="I859" t="s">
        <v>188</v>
      </c>
      <c r="J859" t="s">
        <v>165</v>
      </c>
      <c r="K859">
        <v>9.0796363779644864E-3</v>
      </c>
      <c r="L859" t="s">
        <v>154</v>
      </c>
    </row>
    <row r="860" spans="9:12" x14ac:dyDescent="0.25">
      <c r="I860" t="s">
        <v>188</v>
      </c>
      <c r="J860" t="s">
        <v>231</v>
      </c>
      <c r="K860">
        <v>5.2896099190704732E-2</v>
      </c>
      <c r="L860" t="s">
        <v>154</v>
      </c>
    </row>
    <row r="861" spans="9:12" x14ac:dyDescent="0.25">
      <c r="I861" t="s">
        <v>188</v>
      </c>
      <c r="J861" t="s">
        <v>232</v>
      </c>
      <c r="K861">
        <v>3.7618690532011057E-2</v>
      </c>
      <c r="L861" t="s">
        <v>154</v>
      </c>
    </row>
    <row r="862" spans="9:12" x14ac:dyDescent="0.25">
      <c r="I862" t="s">
        <v>188</v>
      </c>
      <c r="J862" t="s">
        <v>233</v>
      </c>
      <c r="K862">
        <v>3.8638787539628256E-3</v>
      </c>
      <c r="L862" t="s">
        <v>154</v>
      </c>
    </row>
    <row r="863" spans="9:12" x14ac:dyDescent="0.25">
      <c r="I863" t="s">
        <v>188</v>
      </c>
      <c r="J863" t="s">
        <v>240</v>
      </c>
      <c r="K863">
        <v>0</v>
      </c>
      <c r="L863" t="s">
        <v>154</v>
      </c>
    </row>
    <row r="864" spans="9:12" x14ac:dyDescent="0.25">
      <c r="I864" t="s">
        <v>188</v>
      </c>
      <c r="J864" t="s">
        <v>241</v>
      </c>
      <c r="K864">
        <v>2.2905905721050696E-2</v>
      </c>
      <c r="L864" t="s">
        <v>154</v>
      </c>
    </row>
    <row r="865" spans="9:12" x14ac:dyDescent="0.25">
      <c r="I865" t="s">
        <v>188</v>
      </c>
      <c r="J865" t="s">
        <v>242</v>
      </c>
      <c r="K865">
        <v>2.2500826699500261E-2</v>
      </c>
      <c r="L865" t="s">
        <v>154</v>
      </c>
    </row>
    <row r="866" spans="9:12" x14ac:dyDescent="0.25">
      <c r="I866" t="s">
        <v>188</v>
      </c>
      <c r="J866" t="s">
        <v>243</v>
      </c>
      <c r="K866">
        <v>0.12286286281012579</v>
      </c>
      <c r="L866" t="s">
        <v>154</v>
      </c>
    </row>
    <row r="867" spans="9:12" x14ac:dyDescent="0.25">
      <c r="I867" t="s">
        <v>188</v>
      </c>
      <c r="J867" t="s">
        <v>244</v>
      </c>
      <c r="K867">
        <v>8.9900883860439748E-2</v>
      </c>
      <c r="L867" t="s">
        <v>154</v>
      </c>
    </row>
    <row r="868" spans="9:12" x14ac:dyDescent="0.25">
      <c r="I868" t="s">
        <v>188</v>
      </c>
      <c r="J868" t="s">
        <v>245</v>
      </c>
      <c r="K868">
        <v>8.7861049742666304E-3</v>
      </c>
      <c r="L868" t="s">
        <v>154</v>
      </c>
    </row>
    <row r="869" spans="9:12" x14ac:dyDescent="0.25">
      <c r="I869" t="s">
        <v>188</v>
      </c>
      <c r="J869" t="s">
        <v>246</v>
      </c>
      <c r="K869">
        <v>0</v>
      </c>
      <c r="L869" t="s">
        <v>154</v>
      </c>
    </row>
    <row r="870" spans="9:12" x14ac:dyDescent="0.25">
      <c r="I870" t="s">
        <v>188</v>
      </c>
      <c r="J870" t="s">
        <v>247</v>
      </c>
      <c r="K870">
        <v>1.6094559497504421E-2</v>
      </c>
      <c r="L870" t="s">
        <v>154</v>
      </c>
    </row>
    <row r="871" spans="9:12" x14ac:dyDescent="0.25">
      <c r="I871" t="s">
        <v>188</v>
      </c>
      <c r="J871" t="s">
        <v>248</v>
      </c>
      <c r="K871">
        <v>1.6154154248405269E-2</v>
      </c>
      <c r="L871" t="s">
        <v>154</v>
      </c>
    </row>
    <row r="872" spans="9:12" x14ac:dyDescent="0.25">
      <c r="I872" t="s">
        <v>188</v>
      </c>
      <c r="J872" t="s">
        <v>249</v>
      </c>
      <c r="K872">
        <v>8.7995847386566878E-2</v>
      </c>
      <c r="L872" t="s">
        <v>154</v>
      </c>
    </row>
    <row r="873" spans="9:12" x14ac:dyDescent="0.25">
      <c r="I873" t="s">
        <v>188</v>
      </c>
      <c r="J873" t="s">
        <v>250</v>
      </c>
      <c r="K873">
        <v>5.8219333972816985E-2</v>
      </c>
      <c r="L873" t="s">
        <v>154</v>
      </c>
    </row>
    <row r="874" spans="9:12" x14ac:dyDescent="0.25">
      <c r="I874" t="s">
        <v>188</v>
      </c>
      <c r="J874" t="s">
        <v>251</v>
      </c>
      <c r="K874">
        <v>4.9915010060711494E-3</v>
      </c>
      <c r="L874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763E-3B95-45B9-B86E-5A51AD98233C}">
  <dimension ref="A9:AN1162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119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209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236</v>
      </c>
      <c r="G11" t="s">
        <v>143</v>
      </c>
      <c r="I11" t="s">
        <v>152</v>
      </c>
      <c r="J11" t="s">
        <v>153</v>
      </c>
      <c r="K11">
        <v>1.3380513163901774E-6</v>
      </c>
      <c r="L11" t="s">
        <v>154</v>
      </c>
      <c r="N11" t="s">
        <v>189</v>
      </c>
      <c r="O11" t="s">
        <v>153</v>
      </c>
      <c r="P11">
        <v>2.7953093066657678E-2</v>
      </c>
      <c r="Q11" t="s">
        <v>154</v>
      </c>
      <c r="S11" t="s">
        <v>199</v>
      </c>
      <c r="T11" t="s">
        <v>153</v>
      </c>
      <c r="U11">
        <v>4.879781891605417E-2</v>
      </c>
      <c r="V11" t="s">
        <v>154</v>
      </c>
      <c r="X11">
        <v>1.8378995433789954E-2</v>
      </c>
      <c r="Y11">
        <v>7.2582021894604257E-3</v>
      </c>
      <c r="Z11" t="s">
        <v>153</v>
      </c>
      <c r="AA11" t="s">
        <v>25</v>
      </c>
      <c r="AC11" t="s">
        <v>22</v>
      </c>
      <c r="AD11" t="s">
        <v>153</v>
      </c>
      <c r="AE11">
        <v>1.1456210884632176E-2</v>
      </c>
      <c r="AG11" t="s">
        <v>96</v>
      </c>
      <c r="AH11" t="s">
        <v>153</v>
      </c>
      <c r="AI11">
        <v>7.2000355730215126E-2</v>
      </c>
    </row>
    <row r="12" spans="1:40" x14ac:dyDescent="0.2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9.0541613390701676E-3</v>
      </c>
      <c r="L12" t="s">
        <v>154</v>
      </c>
      <c r="N12" t="s">
        <v>189</v>
      </c>
      <c r="O12" t="s">
        <v>155</v>
      </c>
      <c r="P12">
        <v>5.347522989577142E-3</v>
      </c>
      <c r="Q12" t="s">
        <v>154</v>
      </c>
      <c r="S12" t="s">
        <v>199</v>
      </c>
      <c r="T12" t="s">
        <v>155</v>
      </c>
      <c r="U12">
        <v>1.3964360593501183E-2</v>
      </c>
      <c r="V12" t="s">
        <v>154</v>
      </c>
      <c r="X12">
        <v>5.2511415525114159E-3</v>
      </c>
      <c r="Y12">
        <v>7.7385243931747186E-3</v>
      </c>
      <c r="Z12" t="s">
        <v>155</v>
      </c>
      <c r="AA12" t="s">
        <v>25</v>
      </c>
      <c r="AC12" t="s">
        <v>22</v>
      </c>
      <c r="AD12" t="s">
        <v>155</v>
      </c>
      <c r="AE12">
        <v>4.6630100008376403E-3</v>
      </c>
      <c r="AG12" t="s">
        <v>96</v>
      </c>
      <c r="AH12" t="s">
        <v>155</v>
      </c>
      <c r="AI12">
        <v>0.10608061070168273</v>
      </c>
    </row>
    <row r="13" spans="1:40" x14ac:dyDescent="0.2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6.8108364955417697E-3</v>
      </c>
      <c r="L13" t="s">
        <v>154</v>
      </c>
      <c r="N13" t="s">
        <v>189</v>
      </c>
      <c r="O13" t="s">
        <v>156</v>
      </c>
      <c r="P13">
        <v>2.9335242147380601E-3</v>
      </c>
      <c r="Q13" t="s">
        <v>154</v>
      </c>
      <c r="S13" t="s">
        <v>199</v>
      </c>
      <c r="T13" t="s">
        <v>156</v>
      </c>
      <c r="U13">
        <v>7.3017094750932668E-3</v>
      </c>
      <c r="V13" t="s">
        <v>154</v>
      </c>
      <c r="X13">
        <v>2.625570776255708E-3</v>
      </c>
      <c r="Y13">
        <v>3.3241346161814555E-3</v>
      </c>
      <c r="Z13" t="s">
        <v>156</v>
      </c>
      <c r="AA13" t="s">
        <v>25</v>
      </c>
      <c r="AC13" t="s">
        <v>22</v>
      </c>
      <c r="AD13" t="s">
        <v>156</v>
      </c>
      <c r="AE13">
        <v>2.5343907901411666E-3</v>
      </c>
      <c r="AG13" t="s">
        <v>96</v>
      </c>
      <c r="AH13" t="s">
        <v>156</v>
      </c>
      <c r="AI13">
        <v>6.9244113109922623E-2</v>
      </c>
    </row>
    <row r="14" spans="1:40" x14ac:dyDescent="0.25">
      <c r="C14" t="s">
        <v>150</v>
      </c>
      <c r="E14" t="s">
        <v>218</v>
      </c>
      <c r="G14" t="s">
        <v>143</v>
      </c>
      <c r="I14" t="s">
        <v>152</v>
      </c>
      <c r="J14" t="s">
        <v>222</v>
      </c>
      <c r="K14">
        <v>7.5503720898557006E-3</v>
      </c>
      <c r="L14" t="s">
        <v>154</v>
      </c>
      <c r="N14" t="s">
        <v>189</v>
      </c>
      <c r="O14" t="s">
        <v>222</v>
      </c>
      <c r="P14">
        <v>3.3314151552061547E-3</v>
      </c>
      <c r="Q14" t="s">
        <v>154</v>
      </c>
      <c r="S14" t="s">
        <v>199</v>
      </c>
      <c r="T14" t="s">
        <v>222</v>
      </c>
      <c r="U14">
        <v>7.2621838211525784E-3</v>
      </c>
      <c r="V14" t="s">
        <v>154</v>
      </c>
      <c r="X14">
        <v>2.625570776255708E-3</v>
      </c>
      <c r="Y14">
        <v>3.2402688345805476E-3</v>
      </c>
      <c r="Z14" t="s">
        <v>222</v>
      </c>
      <c r="AA14" t="s">
        <v>25</v>
      </c>
      <c r="AC14" t="s">
        <v>22</v>
      </c>
      <c r="AD14" t="s">
        <v>222</v>
      </c>
      <c r="AE14">
        <v>2.7048651311136641E-3</v>
      </c>
      <c r="AG14" t="s">
        <v>96</v>
      </c>
      <c r="AH14" t="s">
        <v>222</v>
      </c>
      <c r="AI14">
        <v>5.287060756923978E-2</v>
      </c>
    </row>
    <row r="15" spans="1:40" x14ac:dyDescent="0.25">
      <c r="C15" t="s">
        <v>237</v>
      </c>
      <c r="E15" t="s">
        <v>219</v>
      </c>
      <c r="G15" t="s">
        <v>143</v>
      </c>
      <c r="I15" t="s">
        <v>152</v>
      </c>
      <c r="J15" t="s">
        <v>223</v>
      </c>
      <c r="K15">
        <v>2.2664368450906101E-2</v>
      </c>
      <c r="L15" t="s">
        <v>154</v>
      </c>
      <c r="N15" t="s">
        <v>189</v>
      </c>
      <c r="O15" t="s">
        <v>223</v>
      </c>
      <c r="P15">
        <v>1.1386566921962346E-2</v>
      </c>
      <c r="Q15" t="s">
        <v>154</v>
      </c>
      <c r="S15" t="s">
        <v>199</v>
      </c>
      <c r="T15" t="s">
        <v>223</v>
      </c>
      <c r="U15">
        <v>2.0288735390897025E-2</v>
      </c>
      <c r="V15" t="s">
        <v>154</v>
      </c>
      <c r="X15">
        <v>7.8767123287671239E-3</v>
      </c>
      <c r="Y15">
        <v>9.9342830387257695E-3</v>
      </c>
      <c r="Z15" t="s">
        <v>223</v>
      </c>
      <c r="AA15" t="s">
        <v>25</v>
      </c>
      <c r="AC15" t="s">
        <v>22</v>
      </c>
      <c r="AD15" t="s">
        <v>223</v>
      </c>
      <c r="AE15">
        <v>8.2801886982711865E-3</v>
      </c>
      <c r="AG15" t="s">
        <v>96</v>
      </c>
      <c r="AH15" t="s">
        <v>223</v>
      </c>
      <c r="AI15">
        <v>4.8985594834642709E-2</v>
      </c>
    </row>
    <row r="16" spans="1:40" x14ac:dyDescent="0.25">
      <c r="C16" t="s">
        <v>238</v>
      </c>
      <c r="E16" t="s">
        <v>220</v>
      </c>
      <c r="G16" t="s">
        <v>143</v>
      </c>
      <c r="I16" t="s">
        <v>152</v>
      </c>
      <c r="J16" t="s">
        <v>224</v>
      </c>
      <c r="K16">
        <v>1.1691454720950026E-2</v>
      </c>
      <c r="L16" t="s">
        <v>154</v>
      </c>
      <c r="N16" t="s">
        <v>189</v>
      </c>
      <c r="O16" t="s">
        <v>224</v>
      </c>
      <c r="P16">
        <v>7.7425212727181576E-3</v>
      </c>
      <c r="Q16" t="s">
        <v>154</v>
      </c>
      <c r="S16" t="s">
        <v>199</v>
      </c>
      <c r="T16" t="s">
        <v>224</v>
      </c>
      <c r="U16">
        <v>1.2906908199077511E-2</v>
      </c>
      <c r="V16" t="s">
        <v>154</v>
      </c>
      <c r="X16">
        <v>5.2511415525114159E-3</v>
      </c>
      <c r="Y16">
        <v>7.4259337526622442E-3</v>
      </c>
      <c r="Z16" t="s">
        <v>224</v>
      </c>
      <c r="AA16" t="s">
        <v>25</v>
      </c>
      <c r="AC16" t="s">
        <v>22</v>
      </c>
      <c r="AD16" t="s">
        <v>224</v>
      </c>
      <c r="AE16">
        <v>5.5012081160702711E-3</v>
      </c>
      <c r="AG16" t="s">
        <v>96</v>
      </c>
      <c r="AH16" t="s">
        <v>224</v>
      </c>
      <c r="AI16">
        <v>5.0180014983684629E-2</v>
      </c>
    </row>
    <row r="17" spans="5:35" x14ac:dyDescent="0.25">
      <c r="E17" t="s">
        <v>254</v>
      </c>
      <c r="G17" t="s">
        <v>143</v>
      </c>
      <c r="I17" t="s">
        <v>152</v>
      </c>
      <c r="J17" t="s">
        <v>256</v>
      </c>
      <c r="K17">
        <v>5.1935084843901993E-3</v>
      </c>
      <c r="L17" t="s">
        <v>154</v>
      </c>
      <c r="N17" t="s">
        <v>189</v>
      </c>
      <c r="O17" t="s">
        <v>256</v>
      </c>
      <c r="P17">
        <v>7.8627709019164875E-3</v>
      </c>
      <c r="Q17" t="s">
        <v>154</v>
      </c>
      <c r="S17" t="s">
        <v>199</v>
      </c>
      <c r="T17" t="s">
        <v>256</v>
      </c>
      <c r="U17">
        <v>1.3168422806724528E-2</v>
      </c>
      <c r="V17" t="s">
        <v>154</v>
      </c>
      <c r="X17">
        <v>5.2511415525114159E-3</v>
      </c>
      <c r="Y17">
        <v>1.0216377031383372E-2</v>
      </c>
      <c r="Z17" t="s">
        <v>256</v>
      </c>
      <c r="AA17" t="s">
        <v>25</v>
      </c>
      <c r="AC17" t="s">
        <v>22</v>
      </c>
      <c r="AD17" t="s">
        <v>256</v>
      </c>
      <c r="AE17">
        <v>5.5914437022230885E-3</v>
      </c>
      <c r="AG17" t="s">
        <v>96</v>
      </c>
      <c r="AH17" t="s">
        <v>256</v>
      </c>
      <c r="AI17">
        <v>5.1988220624922254E-2</v>
      </c>
    </row>
    <row r="18" spans="5:35" x14ac:dyDescent="0.25">
      <c r="E18" t="s">
        <v>255</v>
      </c>
      <c r="G18" t="s">
        <v>143</v>
      </c>
      <c r="I18" t="s">
        <v>152</v>
      </c>
      <c r="J18" t="s">
        <v>257</v>
      </c>
      <c r="K18">
        <v>0</v>
      </c>
      <c r="L18" t="s">
        <v>154</v>
      </c>
      <c r="N18" t="s">
        <v>189</v>
      </c>
      <c r="O18" t="s">
        <v>257</v>
      </c>
      <c r="P18">
        <v>2.5217680375008295E-2</v>
      </c>
      <c r="Q18" t="s">
        <v>154</v>
      </c>
      <c r="S18" t="s">
        <v>199</v>
      </c>
      <c r="T18" t="s">
        <v>257</v>
      </c>
      <c r="U18">
        <v>4.4148382786562017E-2</v>
      </c>
      <c r="V18" t="s">
        <v>154</v>
      </c>
      <c r="X18">
        <v>1.5753424657534248E-2</v>
      </c>
      <c r="Y18">
        <v>1.387597477396846E-2</v>
      </c>
      <c r="Z18" t="s">
        <v>257</v>
      </c>
      <c r="AA18" t="s">
        <v>25</v>
      </c>
      <c r="AC18" t="s">
        <v>22</v>
      </c>
      <c r="AD18" t="s">
        <v>257</v>
      </c>
      <c r="AE18">
        <v>1.7140056670969284E-2</v>
      </c>
      <c r="AG18" t="s">
        <v>96</v>
      </c>
      <c r="AH18" t="s">
        <v>257</v>
      </c>
      <c r="AI18">
        <v>0.10897521328215198</v>
      </c>
    </row>
    <row r="19" spans="5:35" x14ac:dyDescent="0.25">
      <c r="I19" t="s">
        <v>152</v>
      </c>
      <c r="J19" t="s">
        <v>157</v>
      </c>
      <c r="K19">
        <v>5.0823782201101205E-3</v>
      </c>
      <c r="L19" t="s">
        <v>154</v>
      </c>
      <c r="N19" t="s">
        <v>189</v>
      </c>
      <c r="O19" t="s">
        <v>157</v>
      </c>
      <c r="P19">
        <v>7.7550264249113307E-2</v>
      </c>
      <c r="Q19" t="s">
        <v>154</v>
      </c>
      <c r="S19" t="s">
        <v>199</v>
      </c>
      <c r="T19" t="s">
        <v>157</v>
      </c>
      <c r="U19">
        <v>8.3987981986522325E-2</v>
      </c>
      <c r="V19" t="s">
        <v>154</v>
      </c>
      <c r="X19">
        <v>9.1095890410958905E-2</v>
      </c>
      <c r="Y19">
        <v>3.5975436939064721E-2</v>
      </c>
      <c r="Z19" t="s">
        <v>157</v>
      </c>
      <c r="AA19" t="s">
        <v>25</v>
      </c>
      <c r="AC19" t="s">
        <v>22</v>
      </c>
      <c r="AD19" t="s">
        <v>157</v>
      </c>
      <c r="AE19">
        <v>6.6397395104880241E-2</v>
      </c>
      <c r="AG19" t="s">
        <v>96</v>
      </c>
      <c r="AH19" t="s">
        <v>157</v>
      </c>
      <c r="AI19">
        <v>0.20362510007412804</v>
      </c>
    </row>
    <row r="20" spans="5:35" x14ac:dyDescent="0.25">
      <c r="I20" t="s">
        <v>152</v>
      </c>
      <c r="J20" t="s">
        <v>158</v>
      </c>
      <c r="K20">
        <v>4.4770664603793787E-2</v>
      </c>
      <c r="L20" t="s">
        <v>154</v>
      </c>
      <c r="N20" t="s">
        <v>189</v>
      </c>
      <c r="O20" t="s">
        <v>158</v>
      </c>
      <c r="P20">
        <v>1.8042835425882208E-2</v>
      </c>
      <c r="Q20" t="s">
        <v>154</v>
      </c>
      <c r="S20" t="s">
        <v>199</v>
      </c>
      <c r="T20" t="s">
        <v>158</v>
      </c>
      <c r="U20">
        <v>2.4671905827918318E-2</v>
      </c>
      <c r="V20" t="s">
        <v>154</v>
      </c>
      <c r="X20">
        <v>2.6027397260273973E-2</v>
      </c>
      <c r="Y20">
        <v>3.8356164383561646E-2</v>
      </c>
      <c r="Z20" t="s">
        <v>158</v>
      </c>
      <c r="AA20" t="s">
        <v>25</v>
      </c>
      <c r="AC20" t="s">
        <v>22</v>
      </c>
      <c r="AD20" t="s">
        <v>158</v>
      </c>
      <c r="AE20">
        <v>2.4819813001229547E-2</v>
      </c>
      <c r="AG20" t="s">
        <v>96</v>
      </c>
      <c r="AH20" t="s">
        <v>158</v>
      </c>
      <c r="AI20">
        <v>0.16296052072201794</v>
      </c>
    </row>
    <row r="21" spans="5:35" x14ac:dyDescent="0.25">
      <c r="I21" t="s">
        <v>152</v>
      </c>
      <c r="J21" t="s">
        <v>159</v>
      </c>
      <c r="K21">
        <v>3.4201691004959324E-2</v>
      </c>
      <c r="L21" t="s">
        <v>154</v>
      </c>
      <c r="N21" t="s">
        <v>189</v>
      </c>
      <c r="O21" t="s">
        <v>159</v>
      </c>
      <c r="P21">
        <v>1.0321158735948787E-2</v>
      </c>
      <c r="Q21" t="s">
        <v>154</v>
      </c>
      <c r="S21" t="s">
        <v>199</v>
      </c>
      <c r="T21" t="s">
        <v>159</v>
      </c>
      <c r="U21">
        <v>1.2442204084177972E-2</v>
      </c>
      <c r="V21" t="s">
        <v>154</v>
      </c>
      <c r="X21">
        <v>1.3013698630136987E-2</v>
      </c>
      <c r="Y21">
        <v>1.6476145488899394E-2</v>
      </c>
      <c r="Z21" t="s">
        <v>159</v>
      </c>
      <c r="AA21" t="s">
        <v>25</v>
      </c>
      <c r="AC21" t="s">
        <v>22</v>
      </c>
      <c r="AD21" t="s">
        <v>159</v>
      </c>
      <c r="AE21">
        <v>1.4421426449170936E-2</v>
      </c>
      <c r="AG21" t="s">
        <v>96</v>
      </c>
      <c r="AH21" t="s">
        <v>159</v>
      </c>
      <c r="AI21">
        <v>0.10836603830234393</v>
      </c>
    </row>
    <row r="22" spans="5:35" x14ac:dyDescent="0.25">
      <c r="I22" t="s">
        <v>152</v>
      </c>
      <c r="J22" t="s">
        <v>225</v>
      </c>
      <c r="K22">
        <v>3.8395553773684581E-2</v>
      </c>
      <c r="L22" t="s">
        <v>154</v>
      </c>
      <c r="N22" t="s">
        <v>189</v>
      </c>
      <c r="O22" t="s">
        <v>225</v>
      </c>
      <c r="P22">
        <v>1.1180685818141996E-2</v>
      </c>
      <c r="Q22" t="s">
        <v>154</v>
      </c>
      <c r="S22" t="s">
        <v>199</v>
      </c>
      <c r="T22" t="s">
        <v>225</v>
      </c>
      <c r="U22">
        <v>1.2331824947788117E-2</v>
      </c>
      <c r="V22" t="s">
        <v>154</v>
      </c>
      <c r="X22">
        <v>1.3013698630136987E-2</v>
      </c>
      <c r="Y22">
        <v>1.6060462919225322E-2</v>
      </c>
      <c r="Z22" t="s">
        <v>225</v>
      </c>
      <c r="AA22" t="s">
        <v>25</v>
      </c>
      <c r="AC22" t="s">
        <v>22</v>
      </c>
      <c r="AD22" t="s">
        <v>225</v>
      </c>
      <c r="AE22">
        <v>1.6115380715098996E-2</v>
      </c>
      <c r="AG22" t="s">
        <v>96</v>
      </c>
      <c r="AH22" t="s">
        <v>225</v>
      </c>
      <c r="AI22">
        <v>0.13600138465505496</v>
      </c>
    </row>
    <row r="23" spans="5:35" x14ac:dyDescent="0.25">
      <c r="I23" t="s">
        <v>152</v>
      </c>
      <c r="J23" t="s">
        <v>226</v>
      </c>
      <c r="K23">
        <v>0.12069374099341361</v>
      </c>
      <c r="L23" t="s">
        <v>154</v>
      </c>
      <c r="N23" t="s">
        <v>189</v>
      </c>
      <c r="O23" t="s">
        <v>226</v>
      </c>
      <c r="P23">
        <v>3.7514295700113061E-2</v>
      </c>
      <c r="Q23" t="s">
        <v>154</v>
      </c>
      <c r="S23" t="s">
        <v>199</v>
      </c>
      <c r="T23" t="s">
        <v>226</v>
      </c>
      <c r="U23">
        <v>3.3985096837604298E-2</v>
      </c>
      <c r="V23" t="s">
        <v>154</v>
      </c>
      <c r="X23">
        <v>3.9041095890410958E-2</v>
      </c>
      <c r="Y23">
        <v>4.923948984411905E-2</v>
      </c>
      <c r="Z23" t="s">
        <v>226</v>
      </c>
      <c r="AA23" t="s">
        <v>25</v>
      </c>
      <c r="AC23" t="s">
        <v>22</v>
      </c>
      <c r="AD23" t="s">
        <v>226</v>
      </c>
      <c r="AE23">
        <v>5.0307575230016242E-2</v>
      </c>
      <c r="AG23" t="s">
        <v>96</v>
      </c>
      <c r="AH23" t="s">
        <v>226</v>
      </c>
      <c r="AI23">
        <v>0.17069613872806833</v>
      </c>
    </row>
    <row r="24" spans="5:35" x14ac:dyDescent="0.25">
      <c r="I24" t="s">
        <v>152</v>
      </c>
      <c r="J24" t="s">
        <v>227</v>
      </c>
      <c r="K24">
        <v>6.170852203387401E-2</v>
      </c>
      <c r="L24" t="s">
        <v>154</v>
      </c>
      <c r="N24" t="s">
        <v>189</v>
      </c>
      <c r="O24" t="s">
        <v>227</v>
      </c>
      <c r="P24">
        <v>3.0569366262709976E-2</v>
      </c>
      <c r="Q24" t="s">
        <v>154</v>
      </c>
      <c r="S24" t="s">
        <v>199</v>
      </c>
      <c r="T24" t="s">
        <v>227</v>
      </c>
      <c r="U24">
        <v>2.0328369012348312E-2</v>
      </c>
      <c r="V24" t="s">
        <v>154</v>
      </c>
      <c r="X24">
        <v>2.6027397260273973E-2</v>
      </c>
      <c r="Y24">
        <v>3.6806802078412838E-2</v>
      </c>
      <c r="Z24" t="s">
        <v>227</v>
      </c>
      <c r="AA24" t="s">
        <v>25</v>
      </c>
      <c r="AC24" t="s">
        <v>22</v>
      </c>
      <c r="AD24" t="s">
        <v>227</v>
      </c>
      <c r="AE24">
        <v>3.4188291642410475E-2</v>
      </c>
      <c r="AG24" t="s">
        <v>96</v>
      </c>
      <c r="AH24" t="s">
        <v>227</v>
      </c>
      <c r="AI24">
        <v>0.15742753168913359</v>
      </c>
    </row>
    <row r="25" spans="5:35" x14ac:dyDescent="0.25">
      <c r="I25" t="s">
        <v>152</v>
      </c>
      <c r="J25" t="s">
        <v>258</v>
      </c>
      <c r="K25">
        <v>3.2861660971907944E-2</v>
      </c>
      <c r="L25" t="s">
        <v>154</v>
      </c>
      <c r="N25" t="s">
        <v>189</v>
      </c>
      <c r="O25" t="s">
        <v>258</v>
      </c>
      <c r="P25">
        <v>3.325778785765373E-2</v>
      </c>
      <c r="Q25" t="s">
        <v>154</v>
      </c>
      <c r="S25" t="s">
        <v>199</v>
      </c>
      <c r="T25" t="s">
        <v>258</v>
      </c>
      <c r="U25">
        <v>1.9947737169591626E-2</v>
      </c>
      <c r="V25" t="s">
        <v>154</v>
      </c>
      <c r="X25">
        <v>2.6027397260273973E-2</v>
      </c>
      <c r="Y25">
        <v>5.0637694851204541E-2</v>
      </c>
      <c r="Z25" t="s">
        <v>258</v>
      </c>
      <c r="AA25" t="s">
        <v>25</v>
      </c>
      <c r="AC25" t="s">
        <v>22</v>
      </c>
      <c r="AD25" t="s">
        <v>258</v>
      </c>
      <c r="AE25">
        <v>3.3889658315012595E-2</v>
      </c>
      <c r="AG25" t="s">
        <v>96</v>
      </c>
      <c r="AH25" t="s">
        <v>258</v>
      </c>
      <c r="AI25">
        <v>0.16735752281557215</v>
      </c>
    </row>
    <row r="26" spans="5:35" x14ac:dyDescent="0.25">
      <c r="I26" t="s">
        <v>152</v>
      </c>
      <c r="J26" t="s">
        <v>259</v>
      </c>
      <c r="K26">
        <v>0</v>
      </c>
      <c r="L26" t="s">
        <v>154</v>
      </c>
      <c r="N26" t="s">
        <v>189</v>
      </c>
      <c r="O26" t="s">
        <v>259</v>
      </c>
      <c r="P26">
        <v>8.3200114188507382E-2</v>
      </c>
      <c r="Q26" t="s">
        <v>154</v>
      </c>
      <c r="S26" t="s">
        <v>199</v>
      </c>
      <c r="T26" t="s">
        <v>259</v>
      </c>
      <c r="U26">
        <v>7.2423130983029993E-2</v>
      </c>
      <c r="V26" t="s">
        <v>154</v>
      </c>
      <c r="X26">
        <v>7.8082191780821916E-2</v>
      </c>
      <c r="Y26">
        <v>6.8776570618800201E-2</v>
      </c>
      <c r="Z26" t="s">
        <v>259</v>
      </c>
      <c r="AA26" t="s">
        <v>25</v>
      </c>
      <c r="AC26" t="s">
        <v>22</v>
      </c>
      <c r="AD26" t="s">
        <v>259</v>
      </c>
      <c r="AE26">
        <v>9.6848937180809405E-2</v>
      </c>
      <c r="AG26" t="s">
        <v>96</v>
      </c>
      <c r="AH26" t="s">
        <v>259</v>
      </c>
      <c r="AI26">
        <v>0.16804071474300808</v>
      </c>
    </row>
    <row r="27" spans="5:35" x14ac:dyDescent="0.25">
      <c r="I27" t="s">
        <v>152</v>
      </c>
      <c r="J27" t="s">
        <v>160</v>
      </c>
      <c r="K27">
        <v>1.3058764909233678E-3</v>
      </c>
      <c r="L27" t="s">
        <v>154</v>
      </c>
      <c r="N27" t="s">
        <v>189</v>
      </c>
      <c r="O27" t="s">
        <v>160</v>
      </c>
      <c r="P27">
        <v>4.5672191654187646E-3</v>
      </c>
      <c r="Q27" t="s">
        <v>154</v>
      </c>
      <c r="S27" t="s">
        <v>199</v>
      </c>
      <c r="T27" t="s">
        <v>160</v>
      </c>
      <c r="U27">
        <v>4.506204403202895E-4</v>
      </c>
      <c r="V27" t="s">
        <v>154</v>
      </c>
      <c r="X27">
        <v>1.1986301369863013E-2</v>
      </c>
      <c r="Y27">
        <v>4.7336101235611484E-3</v>
      </c>
      <c r="Z27" t="s">
        <v>160</v>
      </c>
      <c r="AA27" t="s">
        <v>25</v>
      </c>
      <c r="AC27" t="s">
        <v>22</v>
      </c>
      <c r="AD27" t="s">
        <v>160</v>
      </c>
      <c r="AE27">
        <v>9.5536027438117652E-3</v>
      </c>
      <c r="AG27" t="s">
        <v>96</v>
      </c>
      <c r="AH27" t="s">
        <v>160</v>
      </c>
      <c r="AI27">
        <v>0.11292411556543636</v>
      </c>
    </row>
    <row r="28" spans="5:35" x14ac:dyDescent="0.25">
      <c r="I28" t="s">
        <v>152</v>
      </c>
      <c r="J28" t="s">
        <v>161</v>
      </c>
      <c r="K28">
        <v>5.5510551632263492E-3</v>
      </c>
      <c r="L28" t="s">
        <v>154</v>
      </c>
      <c r="N28" t="s">
        <v>189</v>
      </c>
      <c r="O28" t="s">
        <v>161</v>
      </c>
      <c r="P28">
        <v>9.6698784518132628E-4</v>
      </c>
      <c r="Q28" t="s">
        <v>154</v>
      </c>
      <c r="S28" t="s">
        <v>199</v>
      </c>
      <c r="T28" t="s">
        <v>161</v>
      </c>
      <c r="U28">
        <v>1.5909512510200465E-4</v>
      </c>
      <c r="V28" t="s">
        <v>154</v>
      </c>
      <c r="X28">
        <v>3.4246575342465752E-3</v>
      </c>
      <c r="Y28">
        <v>5.0468637346791642E-3</v>
      </c>
      <c r="Z28" t="s">
        <v>161</v>
      </c>
      <c r="AA28" t="s">
        <v>25</v>
      </c>
      <c r="AC28" t="s">
        <v>22</v>
      </c>
      <c r="AD28" t="s">
        <v>161</v>
      </c>
      <c r="AE28">
        <v>3.3870929676246882E-3</v>
      </c>
      <c r="AG28" t="s">
        <v>96</v>
      </c>
      <c r="AH28" t="s">
        <v>161</v>
      </c>
      <c r="AI28">
        <v>9.9580663220244059E-2</v>
      </c>
    </row>
    <row r="29" spans="5:35" x14ac:dyDescent="0.25">
      <c r="I29" t="s">
        <v>152</v>
      </c>
      <c r="J29" t="s">
        <v>162</v>
      </c>
      <c r="K29">
        <v>4.1621005856711966E-3</v>
      </c>
      <c r="L29" t="s">
        <v>154</v>
      </c>
      <c r="N29" t="s">
        <v>189</v>
      </c>
      <c r="O29" t="s">
        <v>162</v>
      </c>
      <c r="P29">
        <v>5.2664435602635558E-4</v>
      </c>
      <c r="Q29" t="s">
        <v>154</v>
      </c>
      <c r="S29" t="s">
        <v>199</v>
      </c>
      <c r="T29" t="s">
        <v>162</v>
      </c>
      <c r="U29">
        <v>6.1089396148426072E-5</v>
      </c>
      <c r="V29" t="s">
        <v>154</v>
      </c>
      <c r="X29">
        <v>1.7123287671232876E-3</v>
      </c>
      <c r="Y29">
        <v>2.1679138801183415E-3</v>
      </c>
      <c r="Z29" t="s">
        <v>162</v>
      </c>
      <c r="AA29" t="s">
        <v>25</v>
      </c>
      <c r="AC29" t="s">
        <v>22</v>
      </c>
      <c r="AD29" t="s">
        <v>162</v>
      </c>
      <c r="AE29">
        <v>2.0555892624010848E-3</v>
      </c>
      <c r="AG29" t="s">
        <v>96</v>
      </c>
      <c r="AH29" t="s">
        <v>162</v>
      </c>
      <c r="AI29">
        <v>6.0796289392311298E-2</v>
      </c>
    </row>
    <row r="30" spans="5:35" x14ac:dyDescent="0.25">
      <c r="I30" t="s">
        <v>152</v>
      </c>
      <c r="J30" t="s">
        <v>228</v>
      </c>
      <c r="K30">
        <v>5.1018009934718795E-3</v>
      </c>
      <c r="L30" t="s">
        <v>154</v>
      </c>
      <c r="N30" t="s">
        <v>189</v>
      </c>
      <c r="O30" t="s">
        <v>228</v>
      </c>
      <c r="P30">
        <v>5.3918649121941289E-4</v>
      </c>
      <c r="Q30" t="s">
        <v>154</v>
      </c>
      <c r="S30" t="s">
        <v>199</v>
      </c>
      <c r="T30" t="s">
        <v>228</v>
      </c>
      <c r="U30">
        <v>5.2376918886162907E-5</v>
      </c>
      <c r="V30" t="s">
        <v>154</v>
      </c>
      <c r="X30">
        <v>1.7123287671232876E-3</v>
      </c>
      <c r="Y30">
        <v>2.1132188051612259E-3</v>
      </c>
      <c r="Z30" t="s">
        <v>228</v>
      </c>
      <c r="AA30" t="s">
        <v>25</v>
      </c>
      <c r="AC30" t="s">
        <v>22</v>
      </c>
      <c r="AD30" t="s">
        <v>228</v>
      </c>
      <c r="AE30">
        <v>2.3699710227210341E-3</v>
      </c>
      <c r="AG30" t="s">
        <v>96</v>
      </c>
      <c r="AH30" t="s">
        <v>228</v>
      </c>
      <c r="AI30">
        <v>5.9325022925841076E-2</v>
      </c>
    </row>
    <row r="31" spans="5:35" x14ac:dyDescent="0.25">
      <c r="I31" t="s">
        <v>152</v>
      </c>
      <c r="J31" t="s">
        <v>229</v>
      </c>
      <c r="K31">
        <v>1.6445828199733944E-2</v>
      </c>
      <c r="L31" t="s">
        <v>154</v>
      </c>
      <c r="N31" t="s">
        <v>189</v>
      </c>
      <c r="O31" t="s">
        <v>229</v>
      </c>
      <c r="P31">
        <v>1.8919331874842566E-3</v>
      </c>
      <c r="Q31" t="s">
        <v>154</v>
      </c>
      <c r="S31" t="s">
        <v>199</v>
      </c>
      <c r="T31" t="s">
        <v>229</v>
      </c>
      <c r="U31">
        <v>2.4697131021559086E-4</v>
      </c>
      <c r="V31" t="s">
        <v>154</v>
      </c>
      <c r="X31">
        <v>5.1369863013698627E-3</v>
      </c>
      <c r="Y31">
        <v>6.4788802426472402E-3</v>
      </c>
      <c r="Z31" t="s">
        <v>229</v>
      </c>
      <c r="AA31" t="s">
        <v>25</v>
      </c>
      <c r="AC31" t="s">
        <v>22</v>
      </c>
      <c r="AD31" t="s">
        <v>229</v>
      </c>
      <c r="AE31">
        <v>7.4966300219356345E-3</v>
      </c>
      <c r="AG31" t="s">
        <v>96</v>
      </c>
      <c r="AH31" t="s">
        <v>229</v>
      </c>
      <c r="AI31">
        <v>7.0163232495970451E-2</v>
      </c>
    </row>
    <row r="32" spans="5:35" x14ac:dyDescent="0.25">
      <c r="I32" t="s">
        <v>152</v>
      </c>
      <c r="J32" t="s">
        <v>230</v>
      </c>
      <c r="K32">
        <v>7.7188876122186011E-3</v>
      </c>
      <c r="L32" t="s">
        <v>154</v>
      </c>
      <c r="N32" t="s">
        <v>189</v>
      </c>
      <c r="O32" t="s">
        <v>230</v>
      </c>
      <c r="P32">
        <v>1.5020311046269141E-3</v>
      </c>
      <c r="Q32" t="s">
        <v>154</v>
      </c>
      <c r="S32" t="s">
        <v>199</v>
      </c>
      <c r="T32" t="s">
        <v>230</v>
      </c>
      <c r="U32">
        <v>2.1868331395202489E-4</v>
      </c>
      <c r="V32" t="s">
        <v>154</v>
      </c>
      <c r="X32">
        <v>3.4246575342465752E-3</v>
      </c>
      <c r="Y32">
        <v>4.8430002734753761E-3</v>
      </c>
      <c r="Z32" t="s">
        <v>230</v>
      </c>
      <c r="AA32" t="s">
        <v>25</v>
      </c>
      <c r="AC32" t="s">
        <v>22</v>
      </c>
      <c r="AD32" t="s">
        <v>230</v>
      </c>
      <c r="AE32">
        <v>5.161266425101718E-3</v>
      </c>
      <c r="AG32" t="s">
        <v>96</v>
      </c>
      <c r="AH32" t="s">
        <v>230</v>
      </c>
      <c r="AI32">
        <v>6.6711114456643683E-2</v>
      </c>
    </row>
    <row r="33" spans="9:35" x14ac:dyDescent="0.25">
      <c r="I33" t="s">
        <v>152</v>
      </c>
      <c r="J33" t="s">
        <v>260</v>
      </c>
      <c r="K33">
        <v>3.0513646528933548E-3</v>
      </c>
      <c r="L33" t="s">
        <v>154</v>
      </c>
      <c r="N33" t="s">
        <v>189</v>
      </c>
      <c r="O33" t="s">
        <v>260</v>
      </c>
      <c r="P33">
        <v>1.2459795254322007E-3</v>
      </c>
      <c r="Q33" t="s">
        <v>154</v>
      </c>
      <c r="S33" t="s">
        <v>199</v>
      </c>
      <c r="T33" t="s">
        <v>260</v>
      </c>
      <c r="U33">
        <v>1.3645082142403245E-4</v>
      </c>
      <c r="V33" t="s">
        <v>154</v>
      </c>
      <c r="X33">
        <v>3.4246575342465752E-3</v>
      </c>
      <c r="Y33">
        <v>6.662854585684809E-3</v>
      </c>
      <c r="Z33" t="s">
        <v>260</v>
      </c>
      <c r="AA33" t="s">
        <v>25</v>
      </c>
      <c r="AC33" t="s">
        <v>22</v>
      </c>
      <c r="AD33" t="s">
        <v>260</v>
      </c>
      <c r="AE33">
        <v>5.0398861119775665E-3</v>
      </c>
      <c r="AG33" t="s">
        <v>96</v>
      </c>
      <c r="AH33" t="s">
        <v>260</v>
      </c>
      <c r="AI33">
        <v>6.0352104476742996E-2</v>
      </c>
    </row>
    <row r="34" spans="9:35" x14ac:dyDescent="0.25">
      <c r="I34" t="s">
        <v>152</v>
      </c>
      <c r="J34" t="s">
        <v>261</v>
      </c>
      <c r="K34">
        <v>0</v>
      </c>
      <c r="L34" t="s">
        <v>154</v>
      </c>
      <c r="N34" t="s">
        <v>189</v>
      </c>
      <c r="O34" t="s">
        <v>261</v>
      </c>
      <c r="P34">
        <v>3.0807012595333969E-3</v>
      </c>
      <c r="Q34" t="s">
        <v>154</v>
      </c>
      <c r="S34" t="s">
        <v>199</v>
      </c>
      <c r="T34" t="s">
        <v>261</v>
      </c>
      <c r="U34">
        <v>2.4167075641783292E-4</v>
      </c>
      <c r="V34" t="s">
        <v>154</v>
      </c>
      <c r="X34">
        <v>1.0273972602739725E-2</v>
      </c>
      <c r="Y34">
        <v>9.0495487656316043E-3</v>
      </c>
      <c r="Z34" t="s">
        <v>261</v>
      </c>
      <c r="AA34" t="s">
        <v>25</v>
      </c>
      <c r="AC34" t="s">
        <v>22</v>
      </c>
      <c r="AD34" t="s">
        <v>261</v>
      </c>
      <c r="AE34">
        <v>1.4069355239655332E-2</v>
      </c>
      <c r="AG34" t="s">
        <v>96</v>
      </c>
      <c r="AH34" t="s">
        <v>261</v>
      </c>
      <c r="AI34">
        <v>9.1201157632313956E-2</v>
      </c>
    </row>
    <row r="35" spans="9:35" x14ac:dyDescent="0.25">
      <c r="I35" t="s">
        <v>152</v>
      </c>
      <c r="J35" t="s">
        <v>163</v>
      </c>
      <c r="K35">
        <v>3.5484569435157319E-3</v>
      </c>
      <c r="L35" t="s">
        <v>154</v>
      </c>
      <c r="N35" t="s">
        <v>189</v>
      </c>
      <c r="O35" t="s">
        <v>163</v>
      </c>
      <c r="P35">
        <v>1.5064882383619372E-2</v>
      </c>
      <c r="Q35" t="s">
        <v>154</v>
      </c>
      <c r="S35" t="s">
        <v>199</v>
      </c>
      <c r="T35" t="s">
        <v>163</v>
      </c>
      <c r="U35">
        <v>1.4762329398174578E-2</v>
      </c>
      <c r="V35" t="s">
        <v>154</v>
      </c>
      <c r="X35">
        <v>3.3561643835616439E-2</v>
      </c>
      <c r="Y35">
        <v>1.3254108345971212E-2</v>
      </c>
      <c r="Z35" t="s">
        <v>163</v>
      </c>
      <c r="AA35" t="s">
        <v>25</v>
      </c>
      <c r="AC35" t="s">
        <v>22</v>
      </c>
      <c r="AD35" t="s">
        <v>163</v>
      </c>
      <c r="AE35">
        <v>2.8517764263876699E-2</v>
      </c>
      <c r="AG35" t="s">
        <v>96</v>
      </c>
      <c r="AH35" t="s">
        <v>163</v>
      </c>
      <c r="AI35">
        <v>0.17572767726567906</v>
      </c>
    </row>
    <row r="36" spans="9:35" x14ac:dyDescent="0.25">
      <c r="I36" t="s">
        <v>152</v>
      </c>
      <c r="J36" t="s">
        <v>164</v>
      </c>
      <c r="K36">
        <v>1.5700093644480766E-2</v>
      </c>
      <c r="L36" t="s">
        <v>154</v>
      </c>
      <c r="N36" t="s">
        <v>189</v>
      </c>
      <c r="O36" t="s">
        <v>164</v>
      </c>
      <c r="P36">
        <v>3.0521093835506378E-3</v>
      </c>
      <c r="Q36" t="s">
        <v>154</v>
      </c>
      <c r="S36" t="s">
        <v>199</v>
      </c>
      <c r="T36" t="s">
        <v>164</v>
      </c>
      <c r="U36">
        <v>3.9560927953087204E-3</v>
      </c>
      <c r="V36" t="s">
        <v>154</v>
      </c>
      <c r="X36">
        <v>9.5890410958904115E-3</v>
      </c>
      <c r="Y36">
        <v>1.4131218457101661E-2</v>
      </c>
      <c r="Z36" t="s">
        <v>164</v>
      </c>
      <c r="AA36" t="s">
        <v>25</v>
      </c>
      <c r="AC36" t="s">
        <v>22</v>
      </c>
      <c r="AD36" t="s">
        <v>164</v>
      </c>
      <c r="AE36">
        <v>1.0088850847448106E-2</v>
      </c>
      <c r="AG36" t="s">
        <v>96</v>
      </c>
      <c r="AH36" t="s">
        <v>164</v>
      </c>
      <c r="AI36">
        <v>0.14656505860482283</v>
      </c>
    </row>
    <row r="37" spans="9:35" x14ac:dyDescent="0.25">
      <c r="I37" t="s">
        <v>152</v>
      </c>
      <c r="J37" t="s">
        <v>165</v>
      </c>
      <c r="K37">
        <v>1.1421992480620077E-2</v>
      </c>
      <c r="L37" t="s">
        <v>154</v>
      </c>
      <c r="N37" t="s">
        <v>189</v>
      </c>
      <c r="O37" t="s">
        <v>165</v>
      </c>
      <c r="P37">
        <v>1.4419980914660087E-3</v>
      </c>
      <c r="Q37" t="s">
        <v>154</v>
      </c>
      <c r="S37" t="s">
        <v>199</v>
      </c>
      <c r="T37" t="s">
        <v>165</v>
      </c>
      <c r="U37">
        <v>1.9055581873693962E-3</v>
      </c>
      <c r="V37" t="s">
        <v>154</v>
      </c>
      <c r="X37">
        <v>4.7945205479452057E-3</v>
      </c>
      <c r="Y37">
        <v>6.0701588643313539E-3</v>
      </c>
      <c r="Z37" t="s">
        <v>165</v>
      </c>
      <c r="AA37" t="s">
        <v>25</v>
      </c>
      <c r="AC37" t="s">
        <v>22</v>
      </c>
      <c r="AD37" t="s">
        <v>165</v>
      </c>
      <c r="AE37">
        <v>6.0943128004988184E-3</v>
      </c>
      <c r="AG37" t="s">
        <v>96</v>
      </c>
      <c r="AH37" t="s">
        <v>165</v>
      </c>
      <c r="AI37">
        <v>8.0144397491046293E-2</v>
      </c>
    </row>
    <row r="38" spans="9:35" x14ac:dyDescent="0.25">
      <c r="I38" t="s">
        <v>152</v>
      </c>
      <c r="J38" t="s">
        <v>231</v>
      </c>
      <c r="K38">
        <v>1.3576918109519569E-2</v>
      </c>
      <c r="L38" t="s">
        <v>154</v>
      </c>
      <c r="N38" t="s">
        <v>189</v>
      </c>
      <c r="O38" t="s">
        <v>231</v>
      </c>
      <c r="P38">
        <v>1.3927427087050857E-3</v>
      </c>
      <c r="Q38" t="s">
        <v>154</v>
      </c>
      <c r="S38" t="s">
        <v>199</v>
      </c>
      <c r="T38" t="s">
        <v>231</v>
      </c>
      <c r="U38">
        <v>1.9661048277879885E-3</v>
      </c>
      <c r="V38" t="s">
        <v>154</v>
      </c>
      <c r="X38">
        <v>4.7945205479452057E-3</v>
      </c>
      <c r="Y38">
        <v>5.9170126544514342E-3</v>
      </c>
      <c r="Z38" t="s">
        <v>231</v>
      </c>
      <c r="AA38" t="s">
        <v>25</v>
      </c>
      <c r="AC38" t="s">
        <v>22</v>
      </c>
      <c r="AD38" t="s">
        <v>231</v>
      </c>
      <c r="AE38">
        <v>6.8751024978310829E-3</v>
      </c>
      <c r="AG38" t="s">
        <v>96</v>
      </c>
      <c r="AH38" t="s">
        <v>231</v>
      </c>
      <c r="AI38">
        <v>7.9114409086344706E-2</v>
      </c>
    </row>
    <row r="39" spans="9:35" x14ac:dyDescent="0.25">
      <c r="I39" t="s">
        <v>152</v>
      </c>
      <c r="J39" t="s">
        <v>232</v>
      </c>
      <c r="K39">
        <v>4.3266342977905825E-2</v>
      </c>
      <c r="L39" t="s">
        <v>154</v>
      </c>
      <c r="N39" t="s">
        <v>189</v>
      </c>
      <c r="O39" t="s">
        <v>232</v>
      </c>
      <c r="P39">
        <v>4.428673063115604E-3</v>
      </c>
      <c r="Q39" t="s">
        <v>154</v>
      </c>
      <c r="S39" t="s">
        <v>199</v>
      </c>
      <c r="T39" t="s">
        <v>232</v>
      </c>
      <c r="U39">
        <v>6.2860556291973388E-3</v>
      </c>
      <c r="V39" t="s">
        <v>154</v>
      </c>
      <c r="X39">
        <v>1.4383561643835616E-2</v>
      </c>
      <c r="Y39">
        <v>1.8140864679412283E-2</v>
      </c>
      <c r="Z39" t="s">
        <v>232</v>
      </c>
      <c r="AA39" t="s">
        <v>25</v>
      </c>
      <c r="AC39" t="s">
        <v>22</v>
      </c>
      <c r="AD39" t="s">
        <v>232</v>
      </c>
      <c r="AE39">
        <v>2.1554425909353567E-2</v>
      </c>
      <c r="AG39" t="s">
        <v>96</v>
      </c>
      <c r="AH39" t="s">
        <v>232</v>
      </c>
      <c r="AI39">
        <v>0.10943830854980363</v>
      </c>
    </row>
    <row r="40" spans="9:35" x14ac:dyDescent="0.25">
      <c r="I40" t="s">
        <v>152</v>
      </c>
      <c r="J40" t="s">
        <v>233</v>
      </c>
      <c r="K40">
        <v>2.0190149658298885E-2</v>
      </c>
      <c r="L40" t="s">
        <v>154</v>
      </c>
      <c r="N40" t="s">
        <v>189</v>
      </c>
      <c r="O40" t="s">
        <v>233</v>
      </c>
      <c r="P40">
        <v>6.2554475916123441E-3</v>
      </c>
      <c r="Q40" t="s">
        <v>154</v>
      </c>
      <c r="S40" t="s">
        <v>199</v>
      </c>
      <c r="T40" t="s">
        <v>233</v>
      </c>
      <c r="U40">
        <v>4.2745023177329158E-3</v>
      </c>
      <c r="V40" t="s">
        <v>154</v>
      </c>
      <c r="X40">
        <v>9.5890410958904115E-3</v>
      </c>
      <c r="Y40">
        <v>1.3560400765731047E-2</v>
      </c>
      <c r="Z40" t="s">
        <v>233</v>
      </c>
      <c r="AA40" t="s">
        <v>25</v>
      </c>
      <c r="AC40" t="s">
        <v>22</v>
      </c>
      <c r="AD40" t="s">
        <v>233</v>
      </c>
      <c r="AE40">
        <v>1.4738619685046429E-2</v>
      </c>
      <c r="AG40" t="s">
        <v>96</v>
      </c>
      <c r="AH40" t="s">
        <v>233</v>
      </c>
      <c r="AI40">
        <v>9.2923898981755348E-2</v>
      </c>
    </row>
    <row r="41" spans="9:35" x14ac:dyDescent="0.25">
      <c r="I41" t="s">
        <v>152</v>
      </c>
      <c r="J41" t="s">
        <v>262</v>
      </c>
      <c r="K41">
        <v>9.5261917084921224E-3</v>
      </c>
      <c r="L41" t="s">
        <v>154</v>
      </c>
      <c r="N41" t="s">
        <v>189</v>
      </c>
      <c r="O41" t="s">
        <v>262</v>
      </c>
      <c r="P41">
        <v>7.3681733072182131E-3</v>
      </c>
      <c r="Q41" t="s">
        <v>154</v>
      </c>
      <c r="S41" t="s">
        <v>199</v>
      </c>
      <c r="T41" t="s">
        <v>262</v>
      </c>
      <c r="U41">
        <v>4.0687077115037096E-3</v>
      </c>
      <c r="V41" t="s">
        <v>154</v>
      </c>
      <c r="X41">
        <v>9.5890410958904115E-3</v>
      </c>
      <c r="Y41">
        <v>1.8655992839917462E-2</v>
      </c>
      <c r="Z41" t="s">
        <v>262</v>
      </c>
      <c r="AA41" t="s">
        <v>25</v>
      </c>
      <c r="AC41" t="s">
        <v>22</v>
      </c>
      <c r="AD41" t="s">
        <v>262</v>
      </c>
      <c r="AE41">
        <v>1.4621063991346207E-2</v>
      </c>
      <c r="AG41" t="s">
        <v>96</v>
      </c>
      <c r="AH41" t="s">
        <v>262</v>
      </c>
      <c r="AI41">
        <v>0.10297629088024052</v>
      </c>
    </row>
    <row r="42" spans="9:35" x14ac:dyDescent="0.25">
      <c r="I42" t="s">
        <v>152</v>
      </c>
      <c r="J42" t="s">
        <v>263</v>
      </c>
      <c r="K42">
        <v>0</v>
      </c>
      <c r="L42" t="s">
        <v>154</v>
      </c>
      <c r="N42" t="s">
        <v>189</v>
      </c>
      <c r="O42" t="s">
        <v>263</v>
      </c>
      <c r="P42">
        <v>2.1090359804766319E-2</v>
      </c>
      <c r="Q42" t="s">
        <v>154</v>
      </c>
      <c r="S42" t="s">
        <v>199</v>
      </c>
      <c r="T42" t="s">
        <v>263</v>
      </c>
      <c r="U42">
        <v>9.4983555222959634E-3</v>
      </c>
      <c r="V42" t="s">
        <v>154</v>
      </c>
      <c r="X42">
        <v>2.8767123287671233E-2</v>
      </c>
      <c r="Y42">
        <v>2.5338736543768493E-2</v>
      </c>
      <c r="Z42" t="s">
        <v>263</v>
      </c>
      <c r="AA42" t="s">
        <v>25</v>
      </c>
      <c r="AC42" t="s">
        <v>22</v>
      </c>
      <c r="AD42" t="s">
        <v>263</v>
      </c>
      <c r="AE42">
        <v>4.0895991578814767E-2</v>
      </c>
      <c r="AG42" t="s">
        <v>96</v>
      </c>
      <c r="AH42" t="s">
        <v>263</v>
      </c>
      <c r="AI42">
        <v>0.12286430595829079</v>
      </c>
    </row>
    <row r="43" spans="9:35" x14ac:dyDescent="0.25">
      <c r="I43" t="s">
        <v>152</v>
      </c>
      <c r="J43" t="s">
        <v>240</v>
      </c>
      <c r="K43">
        <v>6.9525798815303847E-3</v>
      </c>
      <c r="L43" t="s">
        <v>154</v>
      </c>
      <c r="N43" t="s">
        <v>189</v>
      </c>
      <c r="O43" t="s">
        <v>240</v>
      </c>
      <c r="P43">
        <v>0.10121408376293153</v>
      </c>
      <c r="Q43" t="s">
        <v>154</v>
      </c>
      <c r="S43" t="s">
        <v>199</v>
      </c>
      <c r="T43" t="s">
        <v>240</v>
      </c>
      <c r="U43">
        <v>6.3171177539672413E-2</v>
      </c>
      <c r="V43" t="s">
        <v>154</v>
      </c>
      <c r="X43">
        <v>7.2716894977168947E-2</v>
      </c>
      <c r="Y43">
        <v>2.8717234749604293E-2</v>
      </c>
      <c r="Z43" t="s">
        <v>240</v>
      </c>
      <c r="AA43" t="s">
        <v>25</v>
      </c>
      <c r="AC43" t="s">
        <v>22</v>
      </c>
      <c r="AD43" t="s">
        <v>240</v>
      </c>
      <c r="AE43">
        <v>4.558533441023771E-2</v>
      </c>
      <c r="AG43" t="s">
        <v>96</v>
      </c>
      <c r="AH43" t="s">
        <v>240</v>
      </c>
      <c r="AI43">
        <v>0.14870507170930924</v>
      </c>
    </row>
    <row r="44" spans="9:35" x14ac:dyDescent="0.25">
      <c r="I44" t="s">
        <v>152</v>
      </c>
      <c r="J44" t="s">
        <v>241</v>
      </c>
      <c r="K44">
        <v>3.3566218631170507E-2</v>
      </c>
      <c r="L44" t="s">
        <v>154</v>
      </c>
      <c r="N44" t="s">
        <v>189</v>
      </c>
      <c r="O44" t="s">
        <v>241</v>
      </c>
      <c r="P44">
        <v>2.1539302284152986E-2</v>
      </c>
      <c r="Q44" t="s">
        <v>154</v>
      </c>
      <c r="S44" t="s">
        <v>199</v>
      </c>
      <c r="T44" t="s">
        <v>241</v>
      </c>
      <c r="U44">
        <v>1.8234255724841088E-2</v>
      </c>
      <c r="V44" t="s">
        <v>154</v>
      </c>
      <c r="X44">
        <v>2.0776255707762557E-2</v>
      </c>
      <c r="Y44">
        <v>3.0617639990386931E-2</v>
      </c>
      <c r="Z44" t="s">
        <v>241</v>
      </c>
      <c r="AA44" t="s">
        <v>25</v>
      </c>
      <c r="AC44" t="s">
        <v>22</v>
      </c>
      <c r="AD44" t="s">
        <v>241</v>
      </c>
      <c r="AE44">
        <v>1.8556488541127989E-2</v>
      </c>
      <c r="AG44" t="s">
        <v>96</v>
      </c>
      <c r="AH44" t="s">
        <v>241</v>
      </c>
      <c r="AI44">
        <v>0.1457548925711476</v>
      </c>
    </row>
    <row r="45" spans="9:35" x14ac:dyDescent="0.25">
      <c r="I45" t="s">
        <v>152</v>
      </c>
      <c r="J45" t="s">
        <v>242</v>
      </c>
      <c r="K45">
        <v>2.4768559879178177E-2</v>
      </c>
      <c r="L45" t="s">
        <v>154</v>
      </c>
      <c r="N45" t="s">
        <v>189</v>
      </c>
      <c r="O45" t="s">
        <v>242</v>
      </c>
      <c r="P45">
        <v>1.0019746563444662E-2</v>
      </c>
      <c r="Q45" t="s">
        <v>154</v>
      </c>
      <c r="S45" t="s">
        <v>199</v>
      </c>
      <c r="T45" t="s">
        <v>242</v>
      </c>
      <c r="U45">
        <v>9.0518445927461281E-3</v>
      </c>
      <c r="V45" t="s">
        <v>154</v>
      </c>
      <c r="X45">
        <v>1.0388127853881279E-2</v>
      </c>
      <c r="Y45">
        <v>1.3152010872717935E-2</v>
      </c>
      <c r="Z45" t="s">
        <v>242</v>
      </c>
      <c r="AA45" t="s">
        <v>25</v>
      </c>
      <c r="AC45" t="s">
        <v>22</v>
      </c>
      <c r="AD45" t="s">
        <v>242</v>
      </c>
      <c r="AE45">
        <v>1.0408795903296394E-2</v>
      </c>
      <c r="AG45" t="s">
        <v>96</v>
      </c>
      <c r="AH45" t="s">
        <v>242</v>
      </c>
      <c r="AI45">
        <v>0.15229378470505783</v>
      </c>
    </row>
    <row r="46" spans="9:35" x14ac:dyDescent="0.25">
      <c r="I46" t="s">
        <v>152</v>
      </c>
      <c r="J46" t="s">
        <v>243</v>
      </c>
      <c r="K46">
        <v>2.8226070029910743E-2</v>
      </c>
      <c r="L46" t="s">
        <v>154</v>
      </c>
      <c r="N46" t="s">
        <v>189</v>
      </c>
      <c r="O46" t="s">
        <v>243</v>
      </c>
      <c r="P46">
        <v>1.0370636078446587E-2</v>
      </c>
      <c r="Q46" t="s">
        <v>154</v>
      </c>
      <c r="S46" t="s">
        <v>199</v>
      </c>
      <c r="T46" t="s">
        <v>243</v>
      </c>
      <c r="U46">
        <v>9.2736141153713838E-3</v>
      </c>
      <c r="V46" t="s">
        <v>154</v>
      </c>
      <c r="X46">
        <v>1.0388127853881279E-2</v>
      </c>
      <c r="Y46">
        <v>1.2820194084644776E-2</v>
      </c>
      <c r="Z46" t="s">
        <v>243</v>
      </c>
      <c r="AA46" t="s">
        <v>25</v>
      </c>
      <c r="AC46" t="s">
        <v>22</v>
      </c>
      <c r="AD46" t="s">
        <v>243</v>
      </c>
      <c r="AE46">
        <v>1.1261764287915558E-2</v>
      </c>
      <c r="AG46" t="s">
        <v>96</v>
      </c>
      <c r="AH46" t="s">
        <v>243</v>
      </c>
      <c r="AI46">
        <v>0.1865290668051991</v>
      </c>
    </row>
    <row r="47" spans="9:35" x14ac:dyDescent="0.25">
      <c r="I47" t="s">
        <v>152</v>
      </c>
      <c r="J47" t="s">
        <v>244</v>
      </c>
      <c r="K47">
        <v>8.8703196784969893E-2</v>
      </c>
      <c r="L47" t="s">
        <v>154</v>
      </c>
      <c r="N47" t="s">
        <v>189</v>
      </c>
      <c r="O47" t="s">
        <v>244</v>
      </c>
      <c r="P47">
        <v>3.7745828727435551E-2</v>
      </c>
      <c r="Q47" t="s">
        <v>154</v>
      </c>
      <c r="S47" t="s">
        <v>199</v>
      </c>
      <c r="T47" t="s">
        <v>244</v>
      </c>
      <c r="U47">
        <v>3.1555820945878797E-2</v>
      </c>
      <c r="V47" t="s">
        <v>154</v>
      </c>
      <c r="X47">
        <v>3.1164383561643836E-2</v>
      </c>
      <c r="Y47">
        <v>3.9305206805393275E-2</v>
      </c>
      <c r="Z47" t="s">
        <v>244</v>
      </c>
      <c r="AA47" t="s">
        <v>25</v>
      </c>
      <c r="AC47" t="s">
        <v>22</v>
      </c>
      <c r="AD47" t="s">
        <v>244</v>
      </c>
      <c r="AE47">
        <v>3.4754897468342656E-2</v>
      </c>
      <c r="AG47" t="s">
        <v>96</v>
      </c>
      <c r="AH47" t="s">
        <v>244</v>
      </c>
      <c r="AI47">
        <v>0.19177903827431186</v>
      </c>
    </row>
    <row r="48" spans="9:35" x14ac:dyDescent="0.25">
      <c r="I48" t="s">
        <v>152</v>
      </c>
      <c r="J48" t="s">
        <v>245</v>
      </c>
      <c r="K48">
        <v>4.3847952918429439E-2</v>
      </c>
      <c r="L48" t="s">
        <v>154</v>
      </c>
      <c r="N48" t="s">
        <v>189</v>
      </c>
      <c r="O48" t="s">
        <v>245</v>
      </c>
      <c r="P48">
        <v>3.4327209705868549E-2</v>
      </c>
      <c r="Q48" t="s">
        <v>154</v>
      </c>
      <c r="S48" t="s">
        <v>199</v>
      </c>
      <c r="T48" t="s">
        <v>245</v>
      </c>
      <c r="U48">
        <v>2.2845175395566721E-2</v>
      </c>
      <c r="V48" t="s">
        <v>154</v>
      </c>
      <c r="X48">
        <v>2.0776255707762557E-2</v>
      </c>
      <c r="Y48">
        <v>2.9380868325750601E-2</v>
      </c>
      <c r="Z48" t="s">
        <v>245</v>
      </c>
      <c r="AA48" t="s">
        <v>25</v>
      </c>
      <c r="AC48" t="s">
        <v>22</v>
      </c>
      <c r="AD48" t="s">
        <v>245</v>
      </c>
      <c r="AE48">
        <v>2.3375068841688405E-2</v>
      </c>
      <c r="AG48" t="s">
        <v>96</v>
      </c>
      <c r="AH48" t="s">
        <v>245</v>
      </c>
      <c r="AI48">
        <v>0.20016294080182617</v>
      </c>
    </row>
    <row r="49" spans="9:35" x14ac:dyDescent="0.25">
      <c r="I49" t="s">
        <v>152</v>
      </c>
      <c r="J49" t="s">
        <v>264</v>
      </c>
      <c r="K49">
        <v>2.1443238763086597E-2</v>
      </c>
      <c r="L49" t="s">
        <v>154</v>
      </c>
      <c r="N49" t="s">
        <v>189</v>
      </c>
      <c r="O49" t="s">
        <v>264</v>
      </c>
      <c r="P49">
        <v>3.8435570568881271E-2</v>
      </c>
      <c r="Q49" t="s">
        <v>154</v>
      </c>
      <c r="S49" t="s">
        <v>199</v>
      </c>
      <c r="T49" t="s">
        <v>264</v>
      </c>
      <c r="U49">
        <v>2.1621075813604E-2</v>
      </c>
      <c r="V49" t="s">
        <v>154</v>
      </c>
      <c r="X49">
        <v>2.0776255707762557E-2</v>
      </c>
      <c r="Y49">
        <v>4.0421317819821168E-2</v>
      </c>
      <c r="Z49" t="s">
        <v>264</v>
      </c>
      <c r="AA49" t="s">
        <v>25</v>
      </c>
      <c r="AC49" t="s">
        <v>22</v>
      </c>
      <c r="AD49" t="s">
        <v>264</v>
      </c>
      <c r="AE49">
        <v>2.3597689080740104E-2</v>
      </c>
      <c r="AG49" t="s">
        <v>96</v>
      </c>
      <c r="AH49" t="s">
        <v>264</v>
      </c>
      <c r="AI49">
        <v>0.20020176694434344</v>
      </c>
    </row>
    <row r="50" spans="9:35" x14ac:dyDescent="0.25">
      <c r="I50" t="s">
        <v>152</v>
      </c>
      <c r="J50" t="s">
        <v>265</v>
      </c>
      <c r="K50">
        <v>0</v>
      </c>
      <c r="L50" t="s">
        <v>154</v>
      </c>
      <c r="N50" t="s">
        <v>189</v>
      </c>
      <c r="O50" t="s">
        <v>265</v>
      </c>
      <c r="P50">
        <v>0.11175575694798678</v>
      </c>
      <c r="Q50" t="s">
        <v>154</v>
      </c>
      <c r="S50" t="s">
        <v>199</v>
      </c>
      <c r="T50" t="s">
        <v>265</v>
      </c>
      <c r="U50">
        <v>4.8814673086207794E-2</v>
      </c>
      <c r="V50" t="s">
        <v>154</v>
      </c>
      <c r="X50">
        <v>6.2328767123287672E-2</v>
      </c>
      <c r="Y50">
        <v>5.4900595844831736E-2</v>
      </c>
      <c r="Z50" t="s">
        <v>265</v>
      </c>
      <c r="AA50" t="s">
        <v>25</v>
      </c>
      <c r="AC50" t="s">
        <v>22</v>
      </c>
      <c r="AD50" t="s">
        <v>265</v>
      </c>
      <c r="AE50">
        <v>7.0197101544926796E-2</v>
      </c>
      <c r="AG50" t="s">
        <v>96</v>
      </c>
      <c r="AH50" t="s">
        <v>265</v>
      </c>
      <c r="AI50">
        <v>0.1884993847789922</v>
      </c>
    </row>
    <row r="51" spans="9:35" x14ac:dyDescent="0.25">
      <c r="I51" t="s">
        <v>152</v>
      </c>
      <c r="J51" t="s">
        <v>246</v>
      </c>
      <c r="K51">
        <v>5.0769317637917952E-3</v>
      </c>
      <c r="L51" t="s">
        <v>154</v>
      </c>
      <c r="N51" t="s">
        <v>189</v>
      </c>
      <c r="O51" t="s">
        <v>246</v>
      </c>
      <c r="P51">
        <v>4.4948884998072085E-2</v>
      </c>
      <c r="Q51" t="s">
        <v>154</v>
      </c>
      <c r="S51" t="s">
        <v>199</v>
      </c>
      <c r="T51" t="s">
        <v>246</v>
      </c>
      <c r="U51">
        <v>7.9026292170430792E-2</v>
      </c>
      <c r="V51" t="s">
        <v>154</v>
      </c>
      <c r="X51">
        <v>6.3926940639269403E-2</v>
      </c>
      <c r="Y51">
        <v>2.5245920658992786E-2</v>
      </c>
      <c r="Z51" t="s">
        <v>246</v>
      </c>
      <c r="AA51" t="s">
        <v>25</v>
      </c>
      <c r="AC51" t="s">
        <v>22</v>
      </c>
      <c r="AD51" t="s">
        <v>246</v>
      </c>
      <c r="AE51">
        <v>3.569556881518407E-2</v>
      </c>
      <c r="AG51" t="s">
        <v>96</v>
      </c>
      <c r="AH51" t="s">
        <v>246</v>
      </c>
      <c r="AI51">
        <v>9.7103508447340836E-2</v>
      </c>
    </row>
    <row r="52" spans="9:35" x14ac:dyDescent="0.25">
      <c r="I52" t="s">
        <v>152</v>
      </c>
      <c r="J52" t="s">
        <v>247</v>
      </c>
      <c r="K52">
        <v>2.8183635268778973E-2</v>
      </c>
      <c r="L52" t="s">
        <v>154</v>
      </c>
      <c r="N52" t="s">
        <v>189</v>
      </c>
      <c r="O52" t="s">
        <v>247</v>
      </c>
      <c r="P52">
        <v>1.0999263877681983E-2</v>
      </c>
      <c r="Q52" t="s">
        <v>154</v>
      </c>
      <c r="S52" t="s">
        <v>199</v>
      </c>
      <c r="T52" t="s">
        <v>247</v>
      </c>
      <c r="U52">
        <v>2.2351173177059102E-2</v>
      </c>
      <c r="V52" t="s">
        <v>154</v>
      </c>
      <c r="X52">
        <v>1.8264840182648401E-2</v>
      </c>
      <c r="Y52">
        <v>2.6916606584955545E-2</v>
      </c>
      <c r="Z52" t="s">
        <v>247</v>
      </c>
      <c r="AA52" t="s">
        <v>25</v>
      </c>
      <c r="AC52" t="s">
        <v>22</v>
      </c>
      <c r="AD52" t="s">
        <v>247</v>
      </c>
      <c r="AE52">
        <v>1.5163020090632213E-2</v>
      </c>
      <c r="AG52" t="s">
        <v>96</v>
      </c>
      <c r="AH52" t="s">
        <v>247</v>
      </c>
      <c r="AI52">
        <v>0.1129343999366863</v>
      </c>
    </row>
    <row r="53" spans="9:35" x14ac:dyDescent="0.25">
      <c r="I53" t="s">
        <v>152</v>
      </c>
      <c r="J53" t="s">
        <v>248</v>
      </c>
      <c r="K53">
        <v>2.1616836785745795E-2</v>
      </c>
      <c r="L53" t="s">
        <v>154</v>
      </c>
      <c r="N53" t="s">
        <v>189</v>
      </c>
      <c r="O53" t="s">
        <v>248</v>
      </c>
      <c r="P53">
        <v>5.8454998451359114E-3</v>
      </c>
      <c r="Q53" t="s">
        <v>154</v>
      </c>
      <c r="S53" t="s">
        <v>199</v>
      </c>
      <c r="T53" t="s">
        <v>248</v>
      </c>
      <c r="U53">
        <v>1.1305231806811044E-2</v>
      </c>
      <c r="V53" t="s">
        <v>154</v>
      </c>
      <c r="X53">
        <v>9.1324200913242004E-3</v>
      </c>
      <c r="Y53">
        <v>1.1562207360631151E-2</v>
      </c>
      <c r="Z53" t="s">
        <v>248</v>
      </c>
      <c r="AA53" t="s">
        <v>25</v>
      </c>
      <c r="AC53" t="s">
        <v>22</v>
      </c>
      <c r="AD53" t="s">
        <v>248</v>
      </c>
      <c r="AE53">
        <v>7.7468294644563512E-3</v>
      </c>
      <c r="AG53" t="s">
        <v>96</v>
      </c>
      <c r="AH53" t="s">
        <v>248</v>
      </c>
      <c r="AI53">
        <v>0.10020088762592172</v>
      </c>
    </row>
    <row r="54" spans="9:35" x14ac:dyDescent="0.25">
      <c r="I54" t="s">
        <v>152</v>
      </c>
      <c r="J54" t="s">
        <v>249</v>
      </c>
      <c r="K54">
        <v>2.4026291696278169E-2</v>
      </c>
      <c r="L54" t="s">
        <v>154</v>
      </c>
      <c r="N54" t="s">
        <v>189</v>
      </c>
      <c r="O54" t="s">
        <v>249</v>
      </c>
      <c r="P54">
        <v>5.8160128003866005E-3</v>
      </c>
      <c r="Q54" t="s">
        <v>154</v>
      </c>
      <c r="S54" t="s">
        <v>199</v>
      </c>
      <c r="T54" t="s">
        <v>249</v>
      </c>
      <c r="U54">
        <v>1.1330845822389687E-2</v>
      </c>
      <c r="V54" t="s">
        <v>154</v>
      </c>
      <c r="X54">
        <v>9.1324200913242004E-3</v>
      </c>
      <c r="Y54">
        <v>1.1270500294193211E-2</v>
      </c>
      <c r="Z54" t="s">
        <v>249</v>
      </c>
      <c r="AA54" t="s">
        <v>25</v>
      </c>
      <c r="AC54" t="s">
        <v>22</v>
      </c>
      <c r="AD54" t="s">
        <v>249</v>
      </c>
      <c r="AE54">
        <v>7.9051061061407666E-3</v>
      </c>
      <c r="AG54" t="s">
        <v>96</v>
      </c>
      <c r="AH54" t="s">
        <v>249</v>
      </c>
      <c r="AI54">
        <v>8.9656743584088483E-2</v>
      </c>
    </row>
    <row r="55" spans="9:35" x14ac:dyDescent="0.25">
      <c r="I55" t="s">
        <v>152</v>
      </c>
      <c r="J55" t="s">
        <v>250</v>
      </c>
      <c r="K55">
        <v>7.0575333353935982E-2</v>
      </c>
      <c r="L55" t="s">
        <v>154</v>
      </c>
      <c r="N55" t="s">
        <v>189</v>
      </c>
      <c r="O55" t="s">
        <v>250</v>
      </c>
      <c r="P55">
        <v>1.8614120435444557E-2</v>
      </c>
      <c r="Q55" t="s">
        <v>154</v>
      </c>
      <c r="S55" t="s">
        <v>199</v>
      </c>
      <c r="T55" t="s">
        <v>250</v>
      </c>
      <c r="U55">
        <v>3.4153296236996131E-2</v>
      </c>
      <c r="V55" t="s">
        <v>154</v>
      </c>
      <c r="X55">
        <v>2.7397260273972601E-2</v>
      </c>
      <c r="Y55">
        <v>3.4554027960785293E-2</v>
      </c>
      <c r="Z55" t="s">
        <v>250</v>
      </c>
      <c r="AA55" t="s">
        <v>25</v>
      </c>
      <c r="AC55" t="s">
        <v>22</v>
      </c>
      <c r="AD55" t="s">
        <v>250</v>
      </c>
      <c r="AE55">
        <v>2.423078115674154E-2</v>
      </c>
      <c r="AG55" t="s">
        <v>96</v>
      </c>
      <c r="AH55" t="s">
        <v>250</v>
      </c>
      <c r="AI55">
        <v>8.4800282015459194E-2</v>
      </c>
    </row>
    <row r="56" spans="9:35" x14ac:dyDescent="0.25">
      <c r="I56" t="s">
        <v>152</v>
      </c>
      <c r="J56" t="s">
        <v>251</v>
      </c>
      <c r="K56">
        <v>3.0950965480324746E-2</v>
      </c>
      <c r="L56" t="s">
        <v>154</v>
      </c>
      <c r="N56" t="s">
        <v>189</v>
      </c>
      <c r="O56" t="s">
        <v>251</v>
      </c>
      <c r="P56">
        <v>1.7655918908179642E-2</v>
      </c>
      <c r="Q56" t="s">
        <v>154</v>
      </c>
      <c r="S56" t="s">
        <v>199</v>
      </c>
      <c r="T56" t="s">
        <v>251</v>
      </c>
      <c r="U56">
        <v>2.3435575917461111E-2</v>
      </c>
      <c r="V56" t="s">
        <v>154</v>
      </c>
      <c r="X56">
        <v>1.8264840182648401E-2</v>
      </c>
      <c r="Y56">
        <v>2.5829334791868667E-2</v>
      </c>
      <c r="Z56" t="s">
        <v>251</v>
      </c>
      <c r="AA56" t="s">
        <v>25</v>
      </c>
      <c r="AC56" t="s">
        <v>22</v>
      </c>
      <c r="AD56" t="s">
        <v>251</v>
      </c>
      <c r="AE56">
        <v>1.6206251064547685E-2</v>
      </c>
      <c r="AG56" t="s">
        <v>96</v>
      </c>
      <c r="AH56" t="s">
        <v>251</v>
      </c>
      <c r="AI56">
        <v>8.5646973194020148E-2</v>
      </c>
    </row>
    <row r="57" spans="9:35" x14ac:dyDescent="0.25">
      <c r="I57" t="s">
        <v>152</v>
      </c>
      <c r="J57" t="s">
        <v>266</v>
      </c>
      <c r="K57">
        <v>1.0814878308122429E-2</v>
      </c>
      <c r="L57" t="s">
        <v>154</v>
      </c>
      <c r="N57" t="s">
        <v>189</v>
      </c>
      <c r="O57" t="s">
        <v>266</v>
      </c>
      <c r="P57">
        <v>1.7457085926840733E-2</v>
      </c>
      <c r="Q57" t="s">
        <v>154</v>
      </c>
      <c r="S57" t="s">
        <v>199</v>
      </c>
      <c r="T57" t="s">
        <v>266</v>
      </c>
      <c r="U57">
        <v>2.2977086450690479E-2</v>
      </c>
      <c r="V57" t="s">
        <v>154</v>
      </c>
      <c r="X57">
        <v>1.8264840182648401E-2</v>
      </c>
      <c r="Y57">
        <v>3.5535224456985648E-2</v>
      </c>
      <c r="Z57" t="s">
        <v>266</v>
      </c>
      <c r="AA57" t="s">
        <v>25</v>
      </c>
      <c r="AC57" t="s">
        <v>22</v>
      </c>
      <c r="AD57" t="s">
        <v>266</v>
      </c>
      <c r="AE57">
        <v>1.6760957823912462E-2</v>
      </c>
      <c r="AG57" t="s">
        <v>96</v>
      </c>
      <c r="AH57" t="s">
        <v>266</v>
      </c>
      <c r="AI57">
        <v>8.951802694072164E-2</v>
      </c>
    </row>
    <row r="58" spans="9:35" x14ac:dyDescent="0.25">
      <c r="I58" t="s">
        <v>152</v>
      </c>
      <c r="J58" t="s">
        <v>267</v>
      </c>
      <c r="K58">
        <v>0</v>
      </c>
      <c r="L58" t="s">
        <v>154</v>
      </c>
      <c r="N58" t="s">
        <v>189</v>
      </c>
      <c r="O58" t="s">
        <v>267</v>
      </c>
      <c r="P58">
        <v>4.5428406164282835E-2</v>
      </c>
      <c r="Q58" t="s">
        <v>154</v>
      </c>
      <c r="S58" t="s">
        <v>199</v>
      </c>
      <c r="T58" t="s">
        <v>267</v>
      </c>
      <c r="U58">
        <v>7.4611423894393181E-2</v>
      </c>
      <c r="V58" t="s">
        <v>154</v>
      </c>
      <c r="X58">
        <v>5.4794520547945202E-2</v>
      </c>
      <c r="Y58">
        <v>4.8264260083368565E-2</v>
      </c>
      <c r="Z58" t="s">
        <v>267</v>
      </c>
      <c r="AA58" t="s">
        <v>25</v>
      </c>
      <c r="AC58" t="s">
        <v>22</v>
      </c>
      <c r="AD58" t="s">
        <v>267</v>
      </c>
      <c r="AE58">
        <v>5.1174968397777833E-2</v>
      </c>
      <c r="AG58" t="s">
        <v>96</v>
      </c>
      <c r="AH58" t="s">
        <v>267</v>
      </c>
      <c r="AI58">
        <v>0.14374606236437049</v>
      </c>
    </row>
    <row r="59" spans="9:35" x14ac:dyDescent="0.25">
      <c r="I59" t="s">
        <v>166</v>
      </c>
      <c r="J59" t="s">
        <v>153</v>
      </c>
      <c r="K59">
        <v>0</v>
      </c>
      <c r="L59" t="s">
        <v>154</v>
      </c>
      <c r="N59" t="s">
        <v>190</v>
      </c>
      <c r="O59" t="s">
        <v>153</v>
      </c>
      <c r="P59">
        <v>2.2505328361763461E-2</v>
      </c>
      <c r="Q59" t="s">
        <v>154</v>
      </c>
      <c r="S59" t="s">
        <v>200</v>
      </c>
      <c r="T59" t="s">
        <v>153</v>
      </c>
      <c r="U59">
        <v>4.4684545409898073E-2</v>
      </c>
      <c r="V59" t="s">
        <v>154</v>
      </c>
      <c r="AC59" t="s">
        <v>19</v>
      </c>
      <c r="AD59" t="s">
        <v>153</v>
      </c>
      <c r="AE59">
        <v>1.8084567107502583E-2</v>
      </c>
    </row>
    <row r="60" spans="9:35" x14ac:dyDescent="0.25">
      <c r="I60" t="s">
        <v>166</v>
      </c>
      <c r="J60" t="s">
        <v>155</v>
      </c>
      <c r="K60">
        <v>9.1971185435824315E-3</v>
      </c>
      <c r="L60" t="s">
        <v>154</v>
      </c>
      <c r="N60" t="s">
        <v>190</v>
      </c>
      <c r="O60" t="s">
        <v>155</v>
      </c>
      <c r="P60">
        <v>5.8819652335436691E-3</v>
      </c>
      <c r="Q60" t="s">
        <v>154</v>
      </c>
      <c r="S60" t="s">
        <v>200</v>
      </c>
      <c r="T60" t="s">
        <v>155</v>
      </c>
      <c r="U60">
        <v>1.3238971593833864E-2</v>
      </c>
      <c r="V60" t="s">
        <v>154</v>
      </c>
      <c r="AC60" t="s">
        <v>19</v>
      </c>
      <c r="AD60" t="s">
        <v>155</v>
      </c>
      <c r="AE60">
        <v>5.2404343230736316E-3</v>
      </c>
    </row>
    <row r="61" spans="9:35" x14ac:dyDescent="0.25">
      <c r="I61" t="s">
        <v>166</v>
      </c>
      <c r="J61" t="s">
        <v>156</v>
      </c>
      <c r="K61">
        <v>7.3187608990377719E-3</v>
      </c>
      <c r="L61" t="s">
        <v>154</v>
      </c>
      <c r="N61" t="s">
        <v>190</v>
      </c>
      <c r="O61" t="s">
        <v>156</v>
      </c>
      <c r="P61">
        <v>3.004634800265903E-3</v>
      </c>
      <c r="Q61" t="s">
        <v>154</v>
      </c>
      <c r="S61" t="s">
        <v>200</v>
      </c>
      <c r="T61" t="s">
        <v>156</v>
      </c>
      <c r="U61">
        <v>6.7877472203611141E-3</v>
      </c>
      <c r="V61" t="s">
        <v>154</v>
      </c>
      <c r="AC61" t="s">
        <v>19</v>
      </c>
      <c r="AD61" t="s">
        <v>156</v>
      </c>
      <c r="AE61">
        <v>2.6309343990762592E-3</v>
      </c>
    </row>
    <row r="62" spans="9:35" x14ac:dyDescent="0.25">
      <c r="I62" t="s">
        <v>166</v>
      </c>
      <c r="J62" t="s">
        <v>222</v>
      </c>
      <c r="K62">
        <v>7.5759538269653441E-3</v>
      </c>
      <c r="L62" t="s">
        <v>154</v>
      </c>
      <c r="N62" t="s">
        <v>190</v>
      </c>
      <c r="O62" t="s">
        <v>222</v>
      </c>
      <c r="P62">
        <v>3.2315945973726691E-3</v>
      </c>
      <c r="Q62" t="s">
        <v>154</v>
      </c>
      <c r="S62" t="s">
        <v>200</v>
      </c>
      <c r="T62" t="s">
        <v>222</v>
      </c>
      <c r="U62">
        <v>7.0023951601684755E-3</v>
      </c>
      <c r="V62" t="s">
        <v>154</v>
      </c>
      <c r="AC62" t="s">
        <v>19</v>
      </c>
      <c r="AD62" t="s">
        <v>222</v>
      </c>
      <c r="AE62">
        <v>2.6399395344732855E-3</v>
      </c>
    </row>
    <row r="63" spans="9:35" x14ac:dyDescent="0.25">
      <c r="I63" t="s">
        <v>166</v>
      </c>
      <c r="J63" t="s">
        <v>223</v>
      </c>
      <c r="K63">
        <v>2.2046631683028745E-2</v>
      </c>
      <c r="L63" t="s">
        <v>154</v>
      </c>
      <c r="N63" t="s">
        <v>190</v>
      </c>
      <c r="O63" t="s">
        <v>223</v>
      </c>
      <c r="P63">
        <v>1.0671406042766372E-2</v>
      </c>
      <c r="Q63" t="s">
        <v>154</v>
      </c>
      <c r="S63" t="s">
        <v>200</v>
      </c>
      <c r="T63" t="s">
        <v>223</v>
      </c>
      <c r="U63">
        <v>2.0542962423947923E-2</v>
      </c>
      <c r="V63" t="s">
        <v>154</v>
      </c>
      <c r="AC63" t="s">
        <v>19</v>
      </c>
      <c r="AD63" t="s">
        <v>223</v>
      </c>
      <c r="AE63">
        <v>7.9285659030030702E-3</v>
      </c>
    </row>
    <row r="64" spans="9:35" x14ac:dyDescent="0.25">
      <c r="I64" t="s">
        <v>166</v>
      </c>
      <c r="J64" t="s">
        <v>224</v>
      </c>
      <c r="K64">
        <v>1.166643514399315E-2</v>
      </c>
      <c r="L64" t="s">
        <v>154</v>
      </c>
      <c r="N64" t="s">
        <v>190</v>
      </c>
      <c r="O64" t="s">
        <v>224</v>
      </c>
      <c r="P64">
        <v>7.894183023553639E-3</v>
      </c>
      <c r="Q64" t="s">
        <v>154</v>
      </c>
      <c r="S64" t="s">
        <v>200</v>
      </c>
      <c r="T64" t="s">
        <v>224</v>
      </c>
      <c r="U64">
        <v>1.342358973886572E-2</v>
      </c>
      <c r="V64" t="s">
        <v>154</v>
      </c>
      <c r="AC64" t="s">
        <v>19</v>
      </c>
      <c r="AD64" t="s">
        <v>224</v>
      </c>
      <c r="AE64">
        <v>5.2847112944591369E-3</v>
      </c>
    </row>
    <row r="65" spans="9:31" x14ac:dyDescent="0.25">
      <c r="I65" t="s">
        <v>166</v>
      </c>
      <c r="J65" t="s">
        <v>256</v>
      </c>
      <c r="K65">
        <v>5.9963848134039861E-3</v>
      </c>
      <c r="L65" t="s">
        <v>154</v>
      </c>
      <c r="N65" t="s">
        <v>190</v>
      </c>
      <c r="O65" t="s">
        <v>256</v>
      </c>
      <c r="P65">
        <v>8.4744973773570615E-3</v>
      </c>
      <c r="Q65" t="s">
        <v>154</v>
      </c>
      <c r="S65" t="s">
        <v>200</v>
      </c>
      <c r="T65" t="s">
        <v>256</v>
      </c>
      <c r="U65">
        <v>1.291272658176785E-2</v>
      </c>
      <c r="V65" t="s">
        <v>154</v>
      </c>
      <c r="AC65" t="s">
        <v>19</v>
      </c>
      <c r="AD65" t="s">
        <v>256</v>
      </c>
      <c r="AE65">
        <v>5.2894778984319147E-3</v>
      </c>
    </row>
    <row r="66" spans="9:31" x14ac:dyDescent="0.25">
      <c r="I66" t="s">
        <v>166</v>
      </c>
      <c r="J66" t="s">
        <v>257</v>
      </c>
      <c r="K66">
        <v>0</v>
      </c>
      <c r="L66" t="s">
        <v>154</v>
      </c>
      <c r="N66" t="s">
        <v>190</v>
      </c>
      <c r="O66" t="s">
        <v>257</v>
      </c>
      <c r="P66">
        <v>2.4111683739352928E-2</v>
      </c>
      <c r="Q66" t="s">
        <v>154</v>
      </c>
      <c r="S66" t="s">
        <v>200</v>
      </c>
      <c r="T66" t="s">
        <v>257</v>
      </c>
      <c r="U66">
        <v>4.1444584122579821E-2</v>
      </c>
      <c r="V66" t="s">
        <v>154</v>
      </c>
      <c r="AC66" t="s">
        <v>19</v>
      </c>
      <c r="AD66" t="s">
        <v>257</v>
      </c>
      <c r="AE66">
        <v>1.5887752779950286E-2</v>
      </c>
    </row>
    <row r="67" spans="9:31" x14ac:dyDescent="0.25">
      <c r="I67" t="s">
        <v>166</v>
      </c>
      <c r="J67" t="s">
        <v>157</v>
      </c>
      <c r="K67">
        <v>5.8700231242472013E-3</v>
      </c>
      <c r="L67" t="s">
        <v>154</v>
      </c>
      <c r="N67" t="s">
        <v>190</v>
      </c>
      <c r="O67" t="s">
        <v>157</v>
      </c>
      <c r="P67">
        <v>7.4318433974133014E-2</v>
      </c>
      <c r="Q67" t="s">
        <v>154</v>
      </c>
      <c r="S67" t="s">
        <v>200</v>
      </c>
      <c r="T67" t="s">
        <v>157</v>
      </c>
      <c r="U67">
        <v>8.0897273023181365E-2</v>
      </c>
      <c r="V67" t="s">
        <v>154</v>
      </c>
      <c r="AC67" t="s">
        <v>19</v>
      </c>
      <c r="AD67" t="s">
        <v>157</v>
      </c>
      <c r="AE67">
        <v>8.9453123698736342E-2</v>
      </c>
    </row>
    <row r="68" spans="9:31" x14ac:dyDescent="0.25">
      <c r="I68" t="s">
        <v>166</v>
      </c>
      <c r="J68" t="s">
        <v>158</v>
      </c>
      <c r="K68">
        <v>4.9463178024465176E-2</v>
      </c>
      <c r="L68" t="s">
        <v>154</v>
      </c>
      <c r="N68" t="s">
        <v>190</v>
      </c>
      <c r="O68" t="s">
        <v>158</v>
      </c>
      <c r="P68">
        <v>1.8432405408013341E-2</v>
      </c>
      <c r="Q68" t="s">
        <v>154</v>
      </c>
      <c r="S68" t="s">
        <v>200</v>
      </c>
      <c r="T68" t="s">
        <v>158</v>
      </c>
      <c r="U68">
        <v>2.5385157483856224E-2</v>
      </c>
      <c r="V68" t="s">
        <v>154</v>
      </c>
      <c r="AC68" t="s">
        <v>19</v>
      </c>
      <c r="AD68" t="s">
        <v>158</v>
      </c>
      <c r="AE68">
        <v>2.5867009675334268E-2</v>
      </c>
    </row>
    <row r="69" spans="9:31" x14ac:dyDescent="0.25">
      <c r="I69" t="s">
        <v>166</v>
      </c>
      <c r="J69" t="s">
        <v>159</v>
      </c>
      <c r="K69">
        <v>3.5624267869025381E-2</v>
      </c>
      <c r="L69" t="s">
        <v>154</v>
      </c>
      <c r="N69" t="s">
        <v>190</v>
      </c>
      <c r="O69" t="s">
        <v>159</v>
      </c>
      <c r="P69">
        <v>9.7413423539522963E-3</v>
      </c>
      <c r="Q69" t="s">
        <v>154</v>
      </c>
      <c r="S69" t="s">
        <v>200</v>
      </c>
      <c r="T69" t="s">
        <v>159</v>
      </c>
      <c r="U69">
        <v>1.3257040508522633E-2</v>
      </c>
      <c r="V69" t="s">
        <v>154</v>
      </c>
      <c r="AC69" t="s">
        <v>19</v>
      </c>
      <c r="AD69" t="s">
        <v>159</v>
      </c>
      <c r="AE69">
        <v>1.3039761353382249E-2</v>
      </c>
    </row>
    <row r="70" spans="9:31" x14ac:dyDescent="0.25">
      <c r="I70" t="s">
        <v>166</v>
      </c>
      <c r="J70" t="s">
        <v>225</v>
      </c>
      <c r="K70">
        <v>3.981083501315006E-2</v>
      </c>
      <c r="L70" t="s">
        <v>154</v>
      </c>
      <c r="N70" t="s">
        <v>190</v>
      </c>
      <c r="O70" t="s">
        <v>225</v>
      </c>
      <c r="P70">
        <v>1.0230045942386719E-2</v>
      </c>
      <c r="Q70" t="s">
        <v>154</v>
      </c>
      <c r="S70" t="s">
        <v>200</v>
      </c>
      <c r="T70" t="s">
        <v>225</v>
      </c>
      <c r="U70">
        <v>1.3235884455087487E-2</v>
      </c>
      <c r="V70" t="s">
        <v>154</v>
      </c>
      <c r="AC70" t="s">
        <v>19</v>
      </c>
      <c r="AD70" t="s">
        <v>225</v>
      </c>
      <c r="AE70">
        <v>1.3129242781695928E-2</v>
      </c>
    </row>
    <row r="71" spans="9:31" x14ac:dyDescent="0.25">
      <c r="I71" t="s">
        <v>166</v>
      </c>
      <c r="J71" t="s">
        <v>226</v>
      </c>
      <c r="K71">
        <v>0.11970576495402675</v>
      </c>
      <c r="L71" t="s">
        <v>154</v>
      </c>
      <c r="N71" t="s">
        <v>190</v>
      </c>
      <c r="O71" t="s">
        <v>226</v>
      </c>
      <c r="P71">
        <v>3.7003510539995642E-2</v>
      </c>
      <c r="Q71" t="s">
        <v>154</v>
      </c>
      <c r="S71" t="s">
        <v>200</v>
      </c>
      <c r="T71" t="s">
        <v>226</v>
      </c>
      <c r="U71">
        <v>3.8426038524031703E-2</v>
      </c>
      <c r="V71" t="s">
        <v>154</v>
      </c>
      <c r="AC71" t="s">
        <v>19</v>
      </c>
      <c r="AD71" t="s">
        <v>226</v>
      </c>
      <c r="AE71">
        <v>3.949133907265736E-2</v>
      </c>
    </row>
    <row r="72" spans="9:31" x14ac:dyDescent="0.25">
      <c r="I72" t="s">
        <v>166</v>
      </c>
      <c r="J72" t="s">
        <v>227</v>
      </c>
      <c r="K72">
        <v>6.0772754433407163E-2</v>
      </c>
      <c r="L72" t="s">
        <v>154</v>
      </c>
      <c r="N72" t="s">
        <v>190</v>
      </c>
      <c r="O72" t="s">
        <v>227</v>
      </c>
      <c r="P72">
        <v>3.1696833328699957E-2</v>
      </c>
      <c r="Q72" t="s">
        <v>154</v>
      </c>
      <c r="S72" t="s">
        <v>200</v>
      </c>
      <c r="T72" t="s">
        <v>227</v>
      </c>
      <c r="U72">
        <v>2.4476546425460585E-2</v>
      </c>
      <c r="V72" t="s">
        <v>154</v>
      </c>
      <c r="AC72" t="s">
        <v>19</v>
      </c>
      <c r="AD72" t="s">
        <v>227</v>
      </c>
      <c r="AE72">
        <v>2.6361890125651391E-2</v>
      </c>
    </row>
    <row r="73" spans="9:31" x14ac:dyDescent="0.25">
      <c r="I73" t="s">
        <v>166</v>
      </c>
      <c r="J73" t="s">
        <v>258</v>
      </c>
      <c r="K73">
        <v>3.2906126635718951E-2</v>
      </c>
      <c r="L73" t="s">
        <v>154</v>
      </c>
      <c r="N73" t="s">
        <v>190</v>
      </c>
      <c r="O73" t="s">
        <v>258</v>
      </c>
      <c r="P73">
        <v>3.426307237143511E-2</v>
      </c>
      <c r="Q73" t="s">
        <v>154</v>
      </c>
      <c r="S73" t="s">
        <v>200</v>
      </c>
      <c r="T73" t="s">
        <v>258</v>
      </c>
      <c r="U73">
        <v>2.2696294688802254E-2</v>
      </c>
      <c r="V73" t="s">
        <v>154</v>
      </c>
      <c r="AC73" t="s">
        <v>19</v>
      </c>
      <c r="AD73" t="s">
        <v>258</v>
      </c>
      <c r="AE73">
        <v>2.6346115120850423E-2</v>
      </c>
    </row>
    <row r="74" spans="9:31" x14ac:dyDescent="0.25">
      <c r="I74" t="s">
        <v>166</v>
      </c>
      <c r="J74" t="s">
        <v>259</v>
      </c>
      <c r="K74">
        <v>0</v>
      </c>
      <c r="L74" t="s">
        <v>154</v>
      </c>
      <c r="N74" t="s">
        <v>190</v>
      </c>
      <c r="O74" t="s">
        <v>259</v>
      </c>
      <c r="P74">
        <v>0.10372237148132256</v>
      </c>
      <c r="Q74" t="s">
        <v>154</v>
      </c>
      <c r="S74" t="s">
        <v>200</v>
      </c>
      <c r="T74" t="s">
        <v>259</v>
      </c>
      <c r="U74">
        <v>7.4232107255781318E-2</v>
      </c>
      <c r="V74" t="s">
        <v>154</v>
      </c>
      <c r="AC74" t="s">
        <v>19</v>
      </c>
      <c r="AD74" t="s">
        <v>259</v>
      </c>
      <c r="AE74">
        <v>7.8783731721354333E-2</v>
      </c>
    </row>
    <row r="75" spans="9:31" x14ac:dyDescent="0.25">
      <c r="I75" t="s">
        <v>166</v>
      </c>
      <c r="J75" t="s">
        <v>160</v>
      </c>
      <c r="K75">
        <v>1.1774318466828244E-3</v>
      </c>
      <c r="L75" t="s">
        <v>154</v>
      </c>
      <c r="N75" t="s">
        <v>190</v>
      </c>
      <c r="O75" t="s">
        <v>160</v>
      </c>
      <c r="P75">
        <v>1.4362805676141621E-3</v>
      </c>
      <c r="Q75" t="s">
        <v>154</v>
      </c>
      <c r="S75" t="s">
        <v>200</v>
      </c>
      <c r="T75" t="s">
        <v>160</v>
      </c>
      <c r="U75">
        <v>2.3568255276543862E-3</v>
      </c>
      <c r="V75" t="s">
        <v>154</v>
      </c>
      <c r="AC75" t="s">
        <v>19</v>
      </c>
      <c r="AD75" t="s">
        <v>160</v>
      </c>
      <c r="AE75">
        <v>1.1734765279469202E-2</v>
      </c>
    </row>
    <row r="76" spans="9:31" x14ac:dyDescent="0.25">
      <c r="I76" t="s">
        <v>166</v>
      </c>
      <c r="J76" t="s">
        <v>161</v>
      </c>
      <c r="K76">
        <v>5.7599555909979916E-3</v>
      </c>
      <c r="L76" t="s">
        <v>154</v>
      </c>
      <c r="N76" t="s">
        <v>190</v>
      </c>
      <c r="O76" t="s">
        <v>161</v>
      </c>
      <c r="P76">
        <v>5.3968161060461719E-4</v>
      </c>
      <c r="Q76" t="s">
        <v>154</v>
      </c>
      <c r="S76" t="s">
        <v>200</v>
      </c>
      <c r="T76" t="s">
        <v>161</v>
      </c>
      <c r="U76">
        <v>4.8784463286026222E-4</v>
      </c>
      <c r="V76" t="s">
        <v>154</v>
      </c>
      <c r="AC76" t="s">
        <v>19</v>
      </c>
      <c r="AD76" t="s">
        <v>161</v>
      </c>
      <c r="AE76">
        <v>3.3875214423673889E-3</v>
      </c>
    </row>
    <row r="77" spans="9:31" x14ac:dyDescent="0.25">
      <c r="I77" t="s">
        <v>166</v>
      </c>
      <c r="J77" t="s">
        <v>162</v>
      </c>
      <c r="K77">
        <v>4.2171191819987495E-3</v>
      </c>
      <c r="L77" t="s">
        <v>154</v>
      </c>
      <c r="N77" t="s">
        <v>190</v>
      </c>
      <c r="O77" t="s">
        <v>162</v>
      </c>
      <c r="P77">
        <v>2.4032080723380414E-4</v>
      </c>
      <c r="Q77" t="s">
        <v>154</v>
      </c>
      <c r="S77" t="s">
        <v>200</v>
      </c>
      <c r="T77" t="s">
        <v>162</v>
      </c>
      <c r="U77">
        <v>2.3848148210338919E-4</v>
      </c>
      <c r="V77" t="s">
        <v>154</v>
      </c>
      <c r="AC77" t="s">
        <v>19</v>
      </c>
      <c r="AD77" t="s">
        <v>162</v>
      </c>
      <c r="AE77">
        <v>1.7128852663915461E-3</v>
      </c>
    </row>
    <row r="78" spans="9:31" x14ac:dyDescent="0.25">
      <c r="I78" t="s">
        <v>166</v>
      </c>
      <c r="J78" t="s">
        <v>228</v>
      </c>
      <c r="K78">
        <v>4.7803629639550909E-3</v>
      </c>
      <c r="L78" t="s">
        <v>154</v>
      </c>
      <c r="N78" t="s">
        <v>190</v>
      </c>
      <c r="O78" t="s">
        <v>228</v>
      </c>
      <c r="P78">
        <v>2.5932595941573081E-4</v>
      </c>
      <c r="Q78" t="s">
        <v>154</v>
      </c>
      <c r="S78" t="s">
        <v>200</v>
      </c>
      <c r="T78" t="s">
        <v>228</v>
      </c>
      <c r="U78">
        <v>2.1901866315880526E-4</v>
      </c>
      <c r="V78" t="s">
        <v>154</v>
      </c>
      <c r="AC78" t="s">
        <v>19</v>
      </c>
      <c r="AD78" t="s">
        <v>228</v>
      </c>
      <c r="AE78">
        <v>1.7294921663032071E-3</v>
      </c>
    </row>
    <row r="79" spans="9:31" x14ac:dyDescent="0.25">
      <c r="I79" t="s">
        <v>166</v>
      </c>
      <c r="J79" t="s">
        <v>229</v>
      </c>
      <c r="K79">
        <v>1.477675403877458E-2</v>
      </c>
      <c r="L79" t="s">
        <v>154</v>
      </c>
      <c r="N79" t="s">
        <v>190</v>
      </c>
      <c r="O79" t="s">
        <v>229</v>
      </c>
      <c r="P79">
        <v>8.6393263841063673E-4</v>
      </c>
      <c r="Q79" t="s">
        <v>154</v>
      </c>
      <c r="S79" t="s">
        <v>200</v>
      </c>
      <c r="T79" t="s">
        <v>229</v>
      </c>
      <c r="U79">
        <v>8.3994264609687347E-4</v>
      </c>
      <c r="V79" t="s">
        <v>154</v>
      </c>
      <c r="AC79" t="s">
        <v>19</v>
      </c>
      <c r="AD79" t="s">
        <v>229</v>
      </c>
      <c r="AE79">
        <v>5.2089044325750698E-3</v>
      </c>
    </row>
    <row r="80" spans="9:31" x14ac:dyDescent="0.25">
      <c r="I80" t="s">
        <v>166</v>
      </c>
      <c r="J80" t="s">
        <v>230</v>
      </c>
      <c r="K80">
        <v>7.1721532290835869E-3</v>
      </c>
      <c r="L80" t="s">
        <v>154</v>
      </c>
      <c r="N80" t="s">
        <v>190</v>
      </c>
      <c r="O80" t="s">
        <v>230</v>
      </c>
      <c r="P80">
        <v>2.3406012499676171E-4</v>
      </c>
      <c r="Q80" t="s">
        <v>154</v>
      </c>
      <c r="S80" t="s">
        <v>200</v>
      </c>
      <c r="T80" t="s">
        <v>230</v>
      </c>
      <c r="U80">
        <v>4.9486859779791304E-4</v>
      </c>
      <c r="V80" t="s">
        <v>154</v>
      </c>
      <c r="AC80" t="s">
        <v>19</v>
      </c>
      <c r="AD80" t="s">
        <v>230</v>
      </c>
      <c r="AE80">
        <v>3.4812403686952436E-3</v>
      </c>
    </row>
    <row r="81" spans="9:31" x14ac:dyDescent="0.25">
      <c r="I81" t="s">
        <v>166</v>
      </c>
      <c r="J81" t="s">
        <v>260</v>
      </c>
      <c r="K81">
        <v>3.5683574451024864E-3</v>
      </c>
      <c r="L81" t="s">
        <v>154</v>
      </c>
      <c r="N81" t="s">
        <v>190</v>
      </c>
      <c r="O81" t="s">
        <v>260</v>
      </c>
      <c r="P81">
        <v>1.5712445867968285E-4</v>
      </c>
      <c r="Q81" t="s">
        <v>154</v>
      </c>
      <c r="S81" t="s">
        <v>200</v>
      </c>
      <c r="T81" t="s">
        <v>260</v>
      </c>
      <c r="U81">
        <v>5.3443888227783416E-4</v>
      </c>
      <c r="V81" t="s">
        <v>154</v>
      </c>
      <c r="AC81" t="s">
        <v>19</v>
      </c>
      <c r="AD81" t="s">
        <v>260</v>
      </c>
      <c r="AE81">
        <v>3.4748285758824308E-3</v>
      </c>
    </row>
    <row r="82" spans="9:31" x14ac:dyDescent="0.25">
      <c r="I82" t="s">
        <v>166</v>
      </c>
      <c r="J82" t="s">
        <v>261</v>
      </c>
      <c r="K82">
        <v>0</v>
      </c>
      <c r="L82" t="s">
        <v>154</v>
      </c>
      <c r="N82" t="s">
        <v>190</v>
      </c>
      <c r="O82" t="s">
        <v>261</v>
      </c>
      <c r="P82">
        <v>7.8801214118134129E-4</v>
      </c>
      <c r="Q82" t="s">
        <v>154</v>
      </c>
      <c r="S82" t="s">
        <v>200</v>
      </c>
      <c r="T82" t="s">
        <v>261</v>
      </c>
      <c r="U82">
        <v>1.331026993307493E-3</v>
      </c>
      <c r="V82" t="s">
        <v>154</v>
      </c>
      <c r="AC82" t="s">
        <v>19</v>
      </c>
      <c r="AD82" t="s">
        <v>261</v>
      </c>
      <c r="AE82">
        <v>1.0369004524224311E-2</v>
      </c>
    </row>
    <row r="83" spans="9:31" x14ac:dyDescent="0.25">
      <c r="I83" t="s">
        <v>166</v>
      </c>
      <c r="J83" t="s">
        <v>163</v>
      </c>
      <c r="K83">
        <v>3.2335945573008732E-3</v>
      </c>
      <c r="L83" t="s">
        <v>154</v>
      </c>
      <c r="N83" t="s">
        <v>190</v>
      </c>
      <c r="O83" t="s">
        <v>163</v>
      </c>
      <c r="P83">
        <v>1.718297786476676E-2</v>
      </c>
      <c r="Q83" t="s">
        <v>154</v>
      </c>
      <c r="S83" t="s">
        <v>200</v>
      </c>
      <c r="T83" t="s">
        <v>163</v>
      </c>
      <c r="U83">
        <v>7.6548176944495035E-3</v>
      </c>
      <c r="V83" t="s">
        <v>154</v>
      </c>
      <c r="AC83" t="s">
        <v>19</v>
      </c>
      <c r="AD83" t="s">
        <v>163</v>
      </c>
      <c r="AE83">
        <v>3.2905700873221443E-2</v>
      </c>
    </row>
    <row r="84" spans="9:31" x14ac:dyDescent="0.25">
      <c r="I84" t="s">
        <v>166</v>
      </c>
      <c r="J84" t="s">
        <v>164</v>
      </c>
      <c r="K84">
        <v>1.4021374830959931E-2</v>
      </c>
      <c r="L84" t="s">
        <v>154</v>
      </c>
      <c r="N84" t="s">
        <v>190</v>
      </c>
      <c r="O84" t="s">
        <v>164</v>
      </c>
      <c r="P84">
        <v>5.7715859364114728E-3</v>
      </c>
      <c r="Q84" t="s">
        <v>154</v>
      </c>
      <c r="S84" t="s">
        <v>200</v>
      </c>
      <c r="T84" t="s">
        <v>164</v>
      </c>
      <c r="U84">
        <v>2.3379913306090165E-3</v>
      </c>
      <c r="V84" t="s">
        <v>154</v>
      </c>
      <c r="AC84" t="s">
        <v>19</v>
      </c>
      <c r="AD84" t="s">
        <v>164</v>
      </c>
      <c r="AE84">
        <v>9.5041558703959188E-3</v>
      </c>
    </row>
    <row r="85" spans="9:31" x14ac:dyDescent="0.25">
      <c r="I85" t="s">
        <v>166</v>
      </c>
      <c r="J85" t="s">
        <v>165</v>
      </c>
      <c r="K85">
        <v>1.0560514540843507E-2</v>
      </c>
      <c r="L85" t="s">
        <v>154</v>
      </c>
      <c r="N85" t="s">
        <v>190</v>
      </c>
      <c r="O85" t="s">
        <v>165</v>
      </c>
      <c r="P85">
        <v>2.9657550829160291E-3</v>
      </c>
      <c r="Q85" t="s">
        <v>154</v>
      </c>
      <c r="S85" t="s">
        <v>200</v>
      </c>
      <c r="T85" t="s">
        <v>165</v>
      </c>
      <c r="U85">
        <v>1.3134633539112826E-3</v>
      </c>
      <c r="V85" t="s">
        <v>154</v>
      </c>
      <c r="AC85" t="s">
        <v>19</v>
      </c>
      <c r="AD85" t="s">
        <v>165</v>
      </c>
      <c r="AE85">
        <v>4.8075371786568373E-3</v>
      </c>
    </row>
    <row r="86" spans="9:31" x14ac:dyDescent="0.25">
      <c r="I86" t="s">
        <v>166</v>
      </c>
      <c r="J86" t="s">
        <v>231</v>
      </c>
      <c r="K86">
        <v>1.2362411248254417E-2</v>
      </c>
      <c r="L86" t="s">
        <v>154</v>
      </c>
      <c r="N86" t="s">
        <v>190</v>
      </c>
      <c r="O86" t="s">
        <v>231</v>
      </c>
      <c r="P86">
        <v>3.2495147307969596E-3</v>
      </c>
      <c r="Q86" t="s">
        <v>154</v>
      </c>
      <c r="S86" t="s">
        <v>200</v>
      </c>
      <c r="T86" t="s">
        <v>231</v>
      </c>
      <c r="U86">
        <v>1.3653924074972215E-3</v>
      </c>
      <c r="V86" t="s">
        <v>154</v>
      </c>
      <c r="AC86" t="s">
        <v>19</v>
      </c>
      <c r="AD86" t="s">
        <v>231</v>
      </c>
      <c r="AE86">
        <v>4.8487816081760849E-3</v>
      </c>
    </row>
    <row r="87" spans="9:31" x14ac:dyDescent="0.25">
      <c r="I87" t="s">
        <v>166</v>
      </c>
      <c r="J87" t="s">
        <v>232</v>
      </c>
      <c r="K87">
        <v>3.9694197684777346E-2</v>
      </c>
      <c r="L87" t="s">
        <v>154</v>
      </c>
      <c r="N87" t="s">
        <v>190</v>
      </c>
      <c r="O87" t="s">
        <v>232</v>
      </c>
      <c r="P87">
        <v>1.1635962887179281E-2</v>
      </c>
      <c r="Q87" t="s">
        <v>154</v>
      </c>
      <c r="S87" t="s">
        <v>200</v>
      </c>
      <c r="T87" t="s">
        <v>232</v>
      </c>
      <c r="U87">
        <v>3.9640593734208548E-3</v>
      </c>
      <c r="V87" t="s">
        <v>154</v>
      </c>
      <c r="AC87" t="s">
        <v>19</v>
      </c>
      <c r="AD87" t="s">
        <v>232</v>
      </c>
      <c r="AE87">
        <v>1.4595424569239178E-2</v>
      </c>
    </row>
    <row r="88" spans="9:31" x14ac:dyDescent="0.25">
      <c r="I88" t="s">
        <v>166</v>
      </c>
      <c r="J88" t="s">
        <v>233</v>
      </c>
      <c r="K88">
        <v>1.9337656016760216E-2</v>
      </c>
      <c r="L88" t="s">
        <v>154</v>
      </c>
      <c r="N88" t="s">
        <v>190</v>
      </c>
      <c r="O88" t="s">
        <v>233</v>
      </c>
      <c r="P88">
        <v>6.909268269951232E-3</v>
      </c>
      <c r="Q88" t="s">
        <v>154</v>
      </c>
      <c r="S88" t="s">
        <v>200</v>
      </c>
      <c r="T88" t="s">
        <v>233</v>
      </c>
      <c r="U88">
        <v>2.4627696626433834E-3</v>
      </c>
      <c r="V88" t="s">
        <v>154</v>
      </c>
      <c r="AC88" t="s">
        <v>19</v>
      </c>
      <c r="AD88" t="s">
        <v>233</v>
      </c>
      <c r="AE88">
        <v>9.7497752270016263E-3</v>
      </c>
    </row>
    <row r="89" spans="9:31" x14ac:dyDescent="0.25">
      <c r="I89" t="s">
        <v>166</v>
      </c>
      <c r="J89" t="s">
        <v>262</v>
      </c>
      <c r="K89">
        <v>9.3308423807380945E-3</v>
      </c>
      <c r="L89" t="s">
        <v>154</v>
      </c>
      <c r="N89" t="s">
        <v>190</v>
      </c>
      <c r="O89" t="s">
        <v>262</v>
      </c>
      <c r="P89">
        <v>6.0140491914876726E-3</v>
      </c>
      <c r="Q89" t="s">
        <v>154</v>
      </c>
      <c r="S89" t="s">
        <v>200</v>
      </c>
      <c r="T89" t="s">
        <v>262</v>
      </c>
      <c r="U89">
        <v>1.8653745862515234E-3</v>
      </c>
      <c r="V89" t="s">
        <v>154</v>
      </c>
      <c r="AC89" t="s">
        <v>19</v>
      </c>
      <c r="AD89" t="s">
        <v>262</v>
      </c>
      <c r="AE89">
        <v>9.743565465858554E-3</v>
      </c>
    </row>
    <row r="90" spans="9:31" x14ac:dyDescent="0.25">
      <c r="I90" t="s">
        <v>166</v>
      </c>
      <c r="J90" t="s">
        <v>263</v>
      </c>
      <c r="K90">
        <v>2.1608930234792863E-4</v>
      </c>
      <c r="L90" t="s">
        <v>154</v>
      </c>
      <c r="N90" t="s">
        <v>190</v>
      </c>
      <c r="O90" t="s">
        <v>263</v>
      </c>
      <c r="P90">
        <v>1.3874715411975283E-2</v>
      </c>
      <c r="Q90" t="s">
        <v>154</v>
      </c>
      <c r="S90" t="s">
        <v>200</v>
      </c>
      <c r="T90" t="s">
        <v>263</v>
      </c>
      <c r="U90">
        <v>4.1744326139699093E-3</v>
      </c>
      <c r="V90" t="s">
        <v>154</v>
      </c>
      <c r="AC90" t="s">
        <v>19</v>
      </c>
      <c r="AD90" t="s">
        <v>263</v>
      </c>
      <c r="AE90">
        <v>2.9073957024619752E-2</v>
      </c>
    </row>
    <row r="91" spans="9:31" x14ac:dyDescent="0.25">
      <c r="I91" t="s">
        <v>166</v>
      </c>
      <c r="J91" t="s">
        <v>240</v>
      </c>
      <c r="K91">
        <v>7.0091864335315229E-3</v>
      </c>
      <c r="L91" t="s">
        <v>154</v>
      </c>
      <c r="N91" t="s">
        <v>190</v>
      </c>
      <c r="O91" t="s">
        <v>240</v>
      </c>
      <c r="P91">
        <v>0.10130962049177765</v>
      </c>
      <c r="Q91" t="s">
        <v>154</v>
      </c>
      <c r="S91" t="s">
        <v>200</v>
      </c>
      <c r="T91" t="s">
        <v>240</v>
      </c>
      <c r="U91">
        <v>5.0122619506413994E-2</v>
      </c>
      <c r="V91" t="s">
        <v>154</v>
      </c>
      <c r="AC91" t="s">
        <v>19</v>
      </c>
      <c r="AD91" t="s">
        <v>240</v>
      </c>
      <c r="AE91">
        <v>7.1448323012267959E-2</v>
      </c>
    </row>
    <row r="92" spans="9:31" x14ac:dyDescent="0.25">
      <c r="I92" t="s">
        <v>166</v>
      </c>
      <c r="J92" t="s">
        <v>241</v>
      </c>
      <c r="K92">
        <v>3.4002241564124749E-2</v>
      </c>
      <c r="L92" t="s">
        <v>154</v>
      </c>
      <c r="N92" t="s">
        <v>190</v>
      </c>
      <c r="O92" t="s">
        <v>241</v>
      </c>
      <c r="P92">
        <v>3.0959452010657119E-2</v>
      </c>
      <c r="Q92" t="s">
        <v>154</v>
      </c>
      <c r="S92" t="s">
        <v>200</v>
      </c>
      <c r="T92" t="s">
        <v>241</v>
      </c>
      <c r="U92">
        <v>1.7181191487392243E-2</v>
      </c>
      <c r="V92" t="s">
        <v>154</v>
      </c>
      <c r="AC92" t="s">
        <v>19</v>
      </c>
      <c r="AD92" t="s">
        <v>241</v>
      </c>
      <c r="AE92">
        <v>2.0706034571315035E-2</v>
      </c>
    </row>
    <row r="93" spans="9:31" x14ac:dyDescent="0.25">
      <c r="I93" t="s">
        <v>166</v>
      </c>
      <c r="J93" t="s">
        <v>242</v>
      </c>
      <c r="K93">
        <v>2.4949284792539553E-2</v>
      </c>
      <c r="L93" t="s">
        <v>154</v>
      </c>
      <c r="N93" t="s">
        <v>190</v>
      </c>
      <c r="O93" t="s">
        <v>242</v>
      </c>
      <c r="P93">
        <v>1.6300249471099291E-2</v>
      </c>
      <c r="Q93" t="s">
        <v>154</v>
      </c>
      <c r="S93" t="s">
        <v>200</v>
      </c>
      <c r="T93" t="s">
        <v>242</v>
      </c>
      <c r="U93">
        <v>9.538495544453891E-3</v>
      </c>
      <c r="V93" t="s">
        <v>154</v>
      </c>
      <c r="AC93" t="s">
        <v>19</v>
      </c>
      <c r="AD93" t="s">
        <v>242</v>
      </c>
      <c r="AE93">
        <v>1.0412737537209785E-2</v>
      </c>
    </row>
    <row r="94" spans="9:31" x14ac:dyDescent="0.25">
      <c r="I94" t="s">
        <v>166</v>
      </c>
      <c r="J94" t="s">
        <v>243</v>
      </c>
      <c r="K94">
        <v>2.8283743182672877E-2</v>
      </c>
      <c r="L94" t="s">
        <v>154</v>
      </c>
      <c r="N94" t="s">
        <v>190</v>
      </c>
      <c r="O94" t="s">
        <v>243</v>
      </c>
      <c r="P94">
        <v>1.7118441916236949E-2</v>
      </c>
      <c r="Q94" t="s">
        <v>154</v>
      </c>
      <c r="S94" t="s">
        <v>200</v>
      </c>
      <c r="T94" t="s">
        <v>243</v>
      </c>
      <c r="U94">
        <v>9.8346335640905353E-3</v>
      </c>
      <c r="V94" t="s">
        <v>154</v>
      </c>
      <c r="AC94" t="s">
        <v>19</v>
      </c>
      <c r="AD94" t="s">
        <v>243</v>
      </c>
      <c r="AE94">
        <v>1.0457794733202217E-2</v>
      </c>
    </row>
    <row r="95" spans="9:31" x14ac:dyDescent="0.25">
      <c r="I95" t="s">
        <v>166</v>
      </c>
      <c r="J95" t="s">
        <v>244</v>
      </c>
      <c r="K95">
        <v>8.8093574254650406E-2</v>
      </c>
      <c r="L95" t="s">
        <v>154</v>
      </c>
      <c r="N95" t="s">
        <v>190</v>
      </c>
      <c r="O95" t="s">
        <v>244</v>
      </c>
      <c r="P95">
        <v>5.4634502221634872E-2</v>
      </c>
      <c r="Q95" t="s">
        <v>154</v>
      </c>
      <c r="S95" t="s">
        <v>200</v>
      </c>
      <c r="T95" t="s">
        <v>244</v>
      </c>
      <c r="U95">
        <v>2.8606991410170066E-2</v>
      </c>
      <c r="V95" t="s">
        <v>154</v>
      </c>
      <c r="AC95" t="s">
        <v>19</v>
      </c>
      <c r="AD95" t="s">
        <v>244</v>
      </c>
      <c r="AE95">
        <v>3.1424602586468613E-2</v>
      </c>
    </row>
    <row r="96" spans="9:31" x14ac:dyDescent="0.25">
      <c r="I96" t="s">
        <v>166</v>
      </c>
      <c r="J96" t="s">
        <v>245</v>
      </c>
      <c r="K96">
        <v>4.3638201053959443E-2</v>
      </c>
      <c r="L96" t="s">
        <v>154</v>
      </c>
      <c r="N96" t="s">
        <v>190</v>
      </c>
      <c r="O96" t="s">
        <v>245</v>
      </c>
      <c r="P96">
        <v>3.4951165307655213E-2</v>
      </c>
      <c r="Q96" t="s">
        <v>154</v>
      </c>
      <c r="S96" t="s">
        <v>200</v>
      </c>
      <c r="T96" t="s">
        <v>245</v>
      </c>
      <c r="U96">
        <v>1.7118683889068356E-2</v>
      </c>
      <c r="V96" t="s">
        <v>154</v>
      </c>
      <c r="AC96" t="s">
        <v>19</v>
      </c>
      <c r="AD96" t="s">
        <v>245</v>
      </c>
      <c r="AE96">
        <v>2.0960571223461361E-2</v>
      </c>
    </row>
    <row r="97" spans="9:31" x14ac:dyDescent="0.25">
      <c r="I97" t="s">
        <v>166</v>
      </c>
      <c r="J97" t="s">
        <v>264</v>
      </c>
      <c r="K97">
        <v>2.3309799191791065E-2</v>
      </c>
      <c r="L97" t="s">
        <v>154</v>
      </c>
      <c r="N97" t="s">
        <v>190</v>
      </c>
      <c r="O97" t="s">
        <v>264</v>
      </c>
      <c r="P97">
        <v>3.0481927297648412E-2</v>
      </c>
      <c r="Q97" t="s">
        <v>154</v>
      </c>
      <c r="S97" t="s">
        <v>200</v>
      </c>
      <c r="T97" t="s">
        <v>264</v>
      </c>
      <c r="U97">
        <v>1.3450936950694626E-2</v>
      </c>
      <c r="V97" t="s">
        <v>154</v>
      </c>
      <c r="AC97" t="s">
        <v>19</v>
      </c>
      <c r="AD97" t="s">
        <v>264</v>
      </c>
      <c r="AE97">
        <v>2.0972330913414362E-2</v>
      </c>
    </row>
    <row r="98" spans="9:31" x14ac:dyDescent="0.25">
      <c r="I98" t="s">
        <v>166</v>
      </c>
      <c r="J98" t="s">
        <v>265</v>
      </c>
      <c r="K98">
        <v>2.8425241647465096E-4</v>
      </c>
      <c r="L98" t="s">
        <v>154</v>
      </c>
      <c r="N98" t="s">
        <v>190</v>
      </c>
      <c r="O98" t="s">
        <v>265</v>
      </c>
      <c r="P98">
        <v>7.4134999238538002E-2</v>
      </c>
      <c r="Q98" t="s">
        <v>154</v>
      </c>
      <c r="S98" t="s">
        <v>200</v>
      </c>
      <c r="T98" t="s">
        <v>265</v>
      </c>
      <c r="U98">
        <v>2.9862729719108593E-2</v>
      </c>
      <c r="V98" t="s">
        <v>154</v>
      </c>
      <c r="AC98" t="s">
        <v>19</v>
      </c>
      <c r="AD98" t="s">
        <v>265</v>
      </c>
      <c r="AE98">
        <v>6.2885511452411169E-2</v>
      </c>
    </row>
    <row r="99" spans="9:31" x14ac:dyDescent="0.25">
      <c r="I99" t="s">
        <v>166</v>
      </c>
      <c r="J99" t="s">
        <v>246</v>
      </c>
      <c r="K99">
        <v>4.267898455796065E-3</v>
      </c>
      <c r="L99" t="s">
        <v>154</v>
      </c>
      <c r="N99" t="s">
        <v>190</v>
      </c>
      <c r="O99" t="s">
        <v>246</v>
      </c>
      <c r="P99">
        <v>4.3629814772105265E-2</v>
      </c>
      <c r="Q99" t="s">
        <v>154</v>
      </c>
      <c r="S99" t="s">
        <v>200</v>
      </c>
      <c r="T99" t="s">
        <v>246</v>
      </c>
      <c r="U99">
        <v>9.5020052461856644E-2</v>
      </c>
      <c r="V99" t="s">
        <v>154</v>
      </c>
      <c r="AC99" t="s">
        <v>19</v>
      </c>
      <c r="AD99" t="s">
        <v>246</v>
      </c>
      <c r="AE99">
        <v>6.3050390560718386E-2</v>
      </c>
    </row>
    <row r="100" spans="9:31" x14ac:dyDescent="0.25">
      <c r="I100" t="s">
        <v>166</v>
      </c>
      <c r="J100" t="s">
        <v>247</v>
      </c>
      <c r="K100">
        <v>2.8973331990246778E-2</v>
      </c>
      <c r="L100" t="s">
        <v>154</v>
      </c>
      <c r="N100" t="s">
        <v>190</v>
      </c>
      <c r="O100" t="s">
        <v>247</v>
      </c>
      <c r="P100">
        <v>1.0727787649622232E-2</v>
      </c>
      <c r="Q100" t="s">
        <v>154</v>
      </c>
      <c r="S100" t="s">
        <v>200</v>
      </c>
      <c r="T100" t="s">
        <v>247</v>
      </c>
      <c r="U100">
        <v>2.7677482508914046E-2</v>
      </c>
      <c r="V100" t="s">
        <v>154</v>
      </c>
      <c r="AC100" t="s">
        <v>19</v>
      </c>
      <c r="AD100" t="s">
        <v>247</v>
      </c>
      <c r="AE100">
        <v>1.8276630719635287E-2</v>
      </c>
    </row>
    <row r="101" spans="9:31" x14ac:dyDescent="0.25">
      <c r="I101" t="s">
        <v>166</v>
      </c>
      <c r="J101" t="s">
        <v>248</v>
      </c>
      <c r="K101">
        <v>2.1795916226706815E-2</v>
      </c>
      <c r="L101" t="s">
        <v>154</v>
      </c>
      <c r="N101" t="s">
        <v>190</v>
      </c>
      <c r="O101" t="s">
        <v>248</v>
      </c>
      <c r="P101">
        <v>5.2274849726395064E-3</v>
      </c>
      <c r="Q101" t="s">
        <v>154</v>
      </c>
      <c r="S101" t="s">
        <v>200</v>
      </c>
      <c r="T101" t="s">
        <v>248</v>
      </c>
      <c r="U101">
        <v>1.38587537069947E-2</v>
      </c>
      <c r="V101" t="s">
        <v>154</v>
      </c>
      <c r="AC101" t="s">
        <v>19</v>
      </c>
      <c r="AD101" t="s">
        <v>248</v>
      </c>
      <c r="AE101">
        <v>9.1470481916598022E-3</v>
      </c>
    </row>
    <row r="102" spans="9:31" x14ac:dyDescent="0.25">
      <c r="I102" t="s">
        <v>166</v>
      </c>
      <c r="J102" t="s">
        <v>249</v>
      </c>
      <c r="K102">
        <v>2.4123933629127698E-2</v>
      </c>
      <c r="L102" t="s">
        <v>154</v>
      </c>
      <c r="N102" t="s">
        <v>190</v>
      </c>
      <c r="O102" t="s">
        <v>249</v>
      </c>
      <c r="P102">
        <v>5.3165372290495169E-3</v>
      </c>
      <c r="Q102" t="s">
        <v>154</v>
      </c>
      <c r="S102" t="s">
        <v>200</v>
      </c>
      <c r="T102" t="s">
        <v>249</v>
      </c>
      <c r="U102">
        <v>1.3562711383000766E-2</v>
      </c>
      <c r="V102" t="s">
        <v>154</v>
      </c>
      <c r="AC102" t="s">
        <v>19</v>
      </c>
      <c r="AD102" t="s">
        <v>249</v>
      </c>
      <c r="AE102">
        <v>9.1554089958748187E-3</v>
      </c>
    </row>
    <row r="103" spans="9:31" x14ac:dyDescent="0.25">
      <c r="I103" t="s">
        <v>166</v>
      </c>
      <c r="J103" t="s">
        <v>250</v>
      </c>
      <c r="K103">
        <v>6.8837044250173215E-2</v>
      </c>
      <c r="L103" t="s">
        <v>154</v>
      </c>
      <c r="N103" t="s">
        <v>190</v>
      </c>
      <c r="O103" t="s">
        <v>250</v>
      </c>
      <c r="P103">
        <v>1.9080949982505976E-2</v>
      </c>
      <c r="Q103" t="s">
        <v>154</v>
      </c>
      <c r="S103" t="s">
        <v>200</v>
      </c>
      <c r="T103" t="s">
        <v>250</v>
      </c>
      <c r="U103">
        <v>4.1043847022950573E-2</v>
      </c>
      <c r="V103" t="s">
        <v>154</v>
      </c>
      <c r="AC103" t="s">
        <v>19</v>
      </c>
      <c r="AD103" t="s">
        <v>250</v>
      </c>
      <c r="AE103">
        <v>2.7493455792996099E-2</v>
      </c>
    </row>
    <row r="104" spans="9:31" x14ac:dyDescent="0.25">
      <c r="I104" t="s">
        <v>166</v>
      </c>
      <c r="J104" t="s">
        <v>251</v>
      </c>
      <c r="K104">
        <v>3.1489502879766838E-2</v>
      </c>
      <c r="L104" t="s">
        <v>154</v>
      </c>
      <c r="N104" t="s">
        <v>190</v>
      </c>
      <c r="O104" t="s">
        <v>251</v>
      </c>
      <c r="P104">
        <v>1.5093976873303008E-2</v>
      </c>
      <c r="Q104" t="s">
        <v>154</v>
      </c>
      <c r="S104" t="s">
        <v>200</v>
      </c>
      <c r="T104" t="s">
        <v>251</v>
      </c>
      <c r="U104">
        <v>2.6853181874570413E-2</v>
      </c>
      <c r="V104" t="s">
        <v>154</v>
      </c>
      <c r="AC104" t="s">
        <v>19</v>
      </c>
      <c r="AD104" t="s">
        <v>251</v>
      </c>
      <c r="AE104">
        <v>1.8331738345316012E-2</v>
      </c>
    </row>
    <row r="105" spans="9:31" x14ac:dyDescent="0.25">
      <c r="I105" t="s">
        <v>166</v>
      </c>
      <c r="J105" t="s">
        <v>266</v>
      </c>
      <c r="K105">
        <v>1.2779039855807585E-2</v>
      </c>
      <c r="L105" t="s">
        <v>154</v>
      </c>
      <c r="N105" t="s">
        <v>190</v>
      </c>
      <c r="O105" t="s">
        <v>266</v>
      </c>
      <c r="P105">
        <v>1.4774721525558723E-2</v>
      </c>
      <c r="Q105" t="s">
        <v>154</v>
      </c>
      <c r="S105" t="s">
        <v>200</v>
      </c>
      <c r="T105" t="s">
        <v>266</v>
      </c>
      <c r="U105">
        <v>2.7104478102173941E-2</v>
      </c>
      <c r="V105" t="s">
        <v>154</v>
      </c>
      <c r="AC105" t="s">
        <v>19</v>
      </c>
      <c r="AD105" t="s">
        <v>266</v>
      </c>
      <c r="AE105">
        <v>1.8361040171298911E-2</v>
      </c>
    </row>
    <row r="106" spans="9:31" x14ac:dyDescent="0.25">
      <c r="I106" t="s">
        <v>166</v>
      </c>
      <c r="J106" t="s">
        <v>267</v>
      </c>
      <c r="K106">
        <v>0</v>
      </c>
      <c r="L106" t="s">
        <v>154</v>
      </c>
      <c r="N106" t="s">
        <v>190</v>
      </c>
      <c r="O106" t="s">
        <v>267</v>
      </c>
      <c r="P106">
        <v>4.8952492780429804E-2</v>
      </c>
      <c r="Q106" t="s">
        <v>154</v>
      </c>
      <c r="S106" t="s">
        <v>200</v>
      </c>
      <c r="T106" t="s">
        <v>267</v>
      </c>
      <c r="U106">
        <v>9.4878597803990092E-2</v>
      </c>
      <c r="V106" t="s">
        <v>154</v>
      </c>
      <c r="AC106" t="s">
        <v>19</v>
      </c>
      <c r="AD106" t="s">
        <v>267</v>
      </c>
      <c r="AE106">
        <v>5.5130244530039958E-2</v>
      </c>
    </row>
    <row r="107" spans="9:31" x14ac:dyDescent="0.25">
      <c r="I107" t="s">
        <v>167</v>
      </c>
      <c r="J107" t="s">
        <v>153</v>
      </c>
      <c r="K107">
        <v>0</v>
      </c>
      <c r="L107" t="s">
        <v>154</v>
      </c>
      <c r="N107" t="s">
        <v>191</v>
      </c>
      <c r="O107" t="s">
        <v>153</v>
      </c>
      <c r="P107">
        <v>1.9539375489862724E-2</v>
      </c>
      <c r="Q107" t="s">
        <v>154</v>
      </c>
      <c r="S107" t="s">
        <v>201</v>
      </c>
      <c r="T107" t="s">
        <v>153</v>
      </c>
      <c r="U107">
        <v>3.9117540813746292E-2</v>
      </c>
      <c r="V107" t="s">
        <v>154</v>
      </c>
    </row>
    <row r="108" spans="9:31" x14ac:dyDescent="0.25">
      <c r="I108" t="s">
        <v>167</v>
      </c>
      <c r="J108" t="s">
        <v>155</v>
      </c>
      <c r="K108">
        <v>9.0906332539620136E-3</v>
      </c>
      <c r="L108" t="s">
        <v>154</v>
      </c>
      <c r="N108" t="s">
        <v>191</v>
      </c>
      <c r="O108" t="s">
        <v>155</v>
      </c>
      <c r="P108">
        <v>4.1542094854324042E-3</v>
      </c>
      <c r="Q108" t="s">
        <v>154</v>
      </c>
      <c r="S108" t="s">
        <v>201</v>
      </c>
      <c r="T108" t="s">
        <v>155</v>
      </c>
      <c r="U108">
        <v>1.1981953636167936E-2</v>
      </c>
      <c r="V108" t="s">
        <v>154</v>
      </c>
    </row>
    <row r="109" spans="9:31" x14ac:dyDescent="0.25">
      <c r="I109" t="s">
        <v>167</v>
      </c>
      <c r="J109" t="s">
        <v>156</v>
      </c>
      <c r="K109">
        <v>7.1870293429905112E-3</v>
      </c>
      <c r="L109" t="s">
        <v>154</v>
      </c>
      <c r="N109" t="s">
        <v>191</v>
      </c>
      <c r="O109" t="s">
        <v>156</v>
      </c>
      <c r="P109">
        <v>2.1893970611682732E-3</v>
      </c>
      <c r="Q109" t="s">
        <v>154</v>
      </c>
      <c r="S109" t="s">
        <v>201</v>
      </c>
      <c r="T109" t="s">
        <v>156</v>
      </c>
      <c r="U109">
        <v>6.2552091391046014E-3</v>
      </c>
      <c r="V109" t="s">
        <v>154</v>
      </c>
    </row>
    <row r="110" spans="9:31" x14ac:dyDescent="0.25">
      <c r="I110" t="s">
        <v>167</v>
      </c>
      <c r="J110" t="s">
        <v>222</v>
      </c>
      <c r="K110">
        <v>7.7698001271620356E-3</v>
      </c>
      <c r="L110" t="s">
        <v>154</v>
      </c>
      <c r="N110" t="s">
        <v>191</v>
      </c>
      <c r="O110" t="s">
        <v>222</v>
      </c>
      <c r="P110">
        <v>2.6239353797180543E-3</v>
      </c>
      <c r="Q110" t="s">
        <v>154</v>
      </c>
      <c r="S110" t="s">
        <v>201</v>
      </c>
      <c r="T110" t="s">
        <v>222</v>
      </c>
      <c r="U110">
        <v>6.5151449705040743E-3</v>
      </c>
      <c r="V110" t="s">
        <v>154</v>
      </c>
    </row>
    <row r="111" spans="9:31" x14ac:dyDescent="0.25">
      <c r="I111" t="s">
        <v>167</v>
      </c>
      <c r="J111" t="s">
        <v>223</v>
      </c>
      <c r="K111">
        <v>2.2211856778268306E-2</v>
      </c>
      <c r="L111" t="s">
        <v>154</v>
      </c>
      <c r="N111" t="s">
        <v>191</v>
      </c>
      <c r="O111" t="s">
        <v>223</v>
      </c>
      <c r="P111">
        <v>9.8820932267337635E-3</v>
      </c>
      <c r="Q111" t="s">
        <v>154</v>
      </c>
      <c r="S111" t="s">
        <v>201</v>
      </c>
      <c r="T111" t="s">
        <v>223</v>
      </c>
      <c r="U111">
        <v>1.9684718614423575E-2</v>
      </c>
      <c r="V111" t="s">
        <v>154</v>
      </c>
    </row>
    <row r="112" spans="9:31" x14ac:dyDescent="0.25">
      <c r="I112" t="s">
        <v>167</v>
      </c>
      <c r="J112" t="s">
        <v>224</v>
      </c>
      <c r="K112">
        <v>1.0955756586243152E-2</v>
      </c>
      <c r="L112" t="s">
        <v>154</v>
      </c>
      <c r="N112" t="s">
        <v>191</v>
      </c>
      <c r="O112" t="s">
        <v>224</v>
      </c>
      <c r="P112">
        <v>6.7410685855763749E-3</v>
      </c>
      <c r="Q112" t="s">
        <v>154</v>
      </c>
      <c r="S112" t="s">
        <v>201</v>
      </c>
      <c r="T112" t="s">
        <v>224</v>
      </c>
      <c r="U112">
        <v>1.2664252133093176E-2</v>
      </c>
      <c r="V112" t="s">
        <v>154</v>
      </c>
    </row>
    <row r="113" spans="9:22" x14ac:dyDescent="0.25">
      <c r="I113" t="s">
        <v>167</v>
      </c>
      <c r="J113" t="s">
        <v>256</v>
      </c>
      <c r="K113">
        <v>5.2047259879253469E-3</v>
      </c>
      <c r="L113" t="s">
        <v>154</v>
      </c>
      <c r="N113" t="s">
        <v>191</v>
      </c>
      <c r="O113" t="s">
        <v>256</v>
      </c>
      <c r="P113">
        <v>6.7448569160568463E-3</v>
      </c>
      <c r="Q113" t="s">
        <v>154</v>
      </c>
      <c r="S113" t="s">
        <v>201</v>
      </c>
      <c r="T113" t="s">
        <v>256</v>
      </c>
      <c r="U113">
        <v>1.1946696519564537E-2</v>
      </c>
      <c r="V113" t="s">
        <v>154</v>
      </c>
    </row>
    <row r="114" spans="9:22" x14ac:dyDescent="0.25">
      <c r="I114" t="s">
        <v>167</v>
      </c>
      <c r="J114" t="s">
        <v>257</v>
      </c>
      <c r="K114">
        <v>0</v>
      </c>
      <c r="L114" t="s">
        <v>154</v>
      </c>
      <c r="N114" t="s">
        <v>191</v>
      </c>
      <c r="O114" t="s">
        <v>257</v>
      </c>
      <c r="P114">
        <v>1.9099948039150973E-2</v>
      </c>
      <c r="Q114" t="s">
        <v>154</v>
      </c>
      <c r="S114" t="s">
        <v>201</v>
      </c>
      <c r="T114" t="s">
        <v>257</v>
      </c>
      <c r="U114">
        <v>3.6094460041536713E-2</v>
      </c>
      <c r="V114" t="s">
        <v>154</v>
      </c>
    </row>
    <row r="115" spans="9:22" x14ac:dyDescent="0.25">
      <c r="I115" t="s">
        <v>167</v>
      </c>
      <c r="J115" t="s">
        <v>157</v>
      </c>
      <c r="K115">
        <v>5.8500800180156408E-3</v>
      </c>
      <c r="L115" t="s">
        <v>154</v>
      </c>
      <c r="N115" t="s">
        <v>191</v>
      </c>
      <c r="O115" t="s">
        <v>157</v>
      </c>
      <c r="P115">
        <v>6.5878035537488597E-2</v>
      </c>
      <c r="Q115" t="s">
        <v>154</v>
      </c>
      <c r="S115" t="s">
        <v>201</v>
      </c>
      <c r="T115" t="s">
        <v>157</v>
      </c>
      <c r="U115">
        <v>8.0592039457763165E-2</v>
      </c>
      <c r="V115" t="s">
        <v>154</v>
      </c>
    </row>
    <row r="116" spans="9:22" x14ac:dyDescent="0.25">
      <c r="I116" t="s">
        <v>167</v>
      </c>
      <c r="J116" t="s">
        <v>158</v>
      </c>
      <c r="K116">
        <v>4.960891632290361E-2</v>
      </c>
      <c r="L116" t="s">
        <v>154</v>
      </c>
      <c r="N116" t="s">
        <v>191</v>
      </c>
      <c r="O116" t="s">
        <v>158</v>
      </c>
      <c r="P116">
        <v>1.5406927542947018E-2</v>
      </c>
      <c r="Q116" t="s">
        <v>154</v>
      </c>
      <c r="S116" t="s">
        <v>201</v>
      </c>
      <c r="T116" t="s">
        <v>158</v>
      </c>
      <c r="U116">
        <v>2.651601448462157E-2</v>
      </c>
      <c r="V116" t="s">
        <v>154</v>
      </c>
    </row>
    <row r="117" spans="9:22" x14ac:dyDescent="0.25">
      <c r="I117" t="s">
        <v>167</v>
      </c>
      <c r="J117" t="s">
        <v>159</v>
      </c>
      <c r="K117">
        <v>3.6543585756372773E-2</v>
      </c>
      <c r="L117" t="s">
        <v>154</v>
      </c>
      <c r="N117" t="s">
        <v>191</v>
      </c>
      <c r="O117" t="s">
        <v>159</v>
      </c>
      <c r="P117">
        <v>8.5236508239256506E-3</v>
      </c>
      <c r="Q117" t="s">
        <v>154</v>
      </c>
      <c r="S117" t="s">
        <v>201</v>
      </c>
      <c r="T117" t="s">
        <v>159</v>
      </c>
      <c r="U117">
        <v>1.4163260748431321E-2</v>
      </c>
      <c r="V117" t="s">
        <v>154</v>
      </c>
    </row>
    <row r="118" spans="9:22" x14ac:dyDescent="0.25">
      <c r="I118" t="s">
        <v>167</v>
      </c>
      <c r="J118" t="s">
        <v>225</v>
      </c>
      <c r="K118">
        <v>4.0095768145519302E-2</v>
      </c>
      <c r="L118" t="s">
        <v>154</v>
      </c>
      <c r="N118" t="s">
        <v>191</v>
      </c>
      <c r="O118" t="s">
        <v>225</v>
      </c>
      <c r="P118">
        <v>9.3506413378325968E-3</v>
      </c>
      <c r="Q118" t="s">
        <v>154</v>
      </c>
      <c r="S118" t="s">
        <v>201</v>
      </c>
      <c r="T118" t="s">
        <v>225</v>
      </c>
      <c r="U118">
        <v>1.4197676701559562E-2</v>
      </c>
      <c r="V118" t="s">
        <v>154</v>
      </c>
    </row>
    <row r="119" spans="9:22" x14ac:dyDescent="0.25">
      <c r="I119" t="s">
        <v>167</v>
      </c>
      <c r="J119" t="s">
        <v>226</v>
      </c>
      <c r="K119">
        <v>0.11922662821561815</v>
      </c>
      <c r="L119" t="s">
        <v>154</v>
      </c>
      <c r="N119" t="s">
        <v>191</v>
      </c>
      <c r="O119" t="s">
        <v>226</v>
      </c>
      <c r="P119">
        <v>3.3673347159932886E-2</v>
      </c>
      <c r="Q119" t="s">
        <v>154</v>
      </c>
      <c r="S119" t="s">
        <v>201</v>
      </c>
      <c r="T119" t="s">
        <v>226</v>
      </c>
      <c r="U119">
        <v>3.9972992884936949E-2</v>
      </c>
      <c r="V119" t="s">
        <v>154</v>
      </c>
    </row>
    <row r="120" spans="9:22" x14ac:dyDescent="0.25">
      <c r="I120" t="s">
        <v>167</v>
      </c>
      <c r="J120" t="s">
        <v>227</v>
      </c>
      <c r="K120">
        <v>5.6064069930290665E-2</v>
      </c>
      <c r="L120" t="s">
        <v>154</v>
      </c>
      <c r="N120" t="s">
        <v>191</v>
      </c>
      <c r="O120" t="s">
        <v>227</v>
      </c>
      <c r="P120">
        <v>2.8514113089520111E-2</v>
      </c>
      <c r="Q120" t="s">
        <v>154</v>
      </c>
      <c r="S120" t="s">
        <v>201</v>
      </c>
      <c r="T120" t="s">
        <v>227</v>
      </c>
      <c r="U120">
        <v>2.5386043323840587E-2</v>
      </c>
      <c r="V120" t="s">
        <v>154</v>
      </c>
    </row>
    <row r="121" spans="9:22" x14ac:dyDescent="0.25">
      <c r="I121" t="s">
        <v>167</v>
      </c>
      <c r="J121" t="s">
        <v>258</v>
      </c>
      <c r="K121">
        <v>2.7344631526513549E-2</v>
      </c>
      <c r="L121" t="s">
        <v>154</v>
      </c>
      <c r="N121" t="s">
        <v>191</v>
      </c>
      <c r="O121" t="s">
        <v>258</v>
      </c>
      <c r="P121">
        <v>3.1834105168649901E-2</v>
      </c>
      <c r="Q121" t="s">
        <v>154</v>
      </c>
      <c r="S121" t="s">
        <v>201</v>
      </c>
      <c r="T121" t="s">
        <v>258</v>
      </c>
      <c r="U121">
        <v>2.3435400017756479E-2</v>
      </c>
      <c r="V121" t="s">
        <v>154</v>
      </c>
    </row>
    <row r="122" spans="9:22" x14ac:dyDescent="0.25">
      <c r="I122" t="s">
        <v>167</v>
      </c>
      <c r="J122" t="s">
        <v>259</v>
      </c>
      <c r="K122">
        <v>0</v>
      </c>
      <c r="L122" t="s">
        <v>154</v>
      </c>
      <c r="N122" t="s">
        <v>191</v>
      </c>
      <c r="O122" t="s">
        <v>259</v>
      </c>
      <c r="P122">
        <v>7.9928521362827451E-2</v>
      </c>
      <c r="Q122" t="s">
        <v>154</v>
      </c>
      <c r="S122" t="s">
        <v>201</v>
      </c>
      <c r="T122" t="s">
        <v>259</v>
      </c>
      <c r="U122">
        <v>7.2989863914998759E-2</v>
      </c>
      <c r="V122" t="s">
        <v>154</v>
      </c>
    </row>
    <row r="123" spans="9:22" x14ac:dyDescent="0.25">
      <c r="I123" t="s">
        <v>167</v>
      </c>
      <c r="J123" t="s">
        <v>160</v>
      </c>
      <c r="K123">
        <v>1.2936117038048001E-3</v>
      </c>
      <c r="L123" t="s">
        <v>154</v>
      </c>
      <c r="N123" t="s">
        <v>191</v>
      </c>
      <c r="O123" t="s">
        <v>160</v>
      </c>
      <c r="P123">
        <v>2.156354684211533E-3</v>
      </c>
      <c r="Q123" t="s">
        <v>154</v>
      </c>
      <c r="S123" t="s">
        <v>201</v>
      </c>
      <c r="T123" t="s">
        <v>160</v>
      </c>
      <c r="U123">
        <v>2.1911041818308821E-3</v>
      </c>
      <c r="V123" t="s">
        <v>154</v>
      </c>
    </row>
    <row r="124" spans="9:22" x14ac:dyDescent="0.25">
      <c r="I124" t="s">
        <v>167</v>
      </c>
      <c r="J124" t="s">
        <v>161</v>
      </c>
      <c r="K124">
        <v>5.8788204882655962E-3</v>
      </c>
      <c r="L124" t="s">
        <v>154</v>
      </c>
      <c r="N124" t="s">
        <v>191</v>
      </c>
      <c r="O124" t="s">
        <v>161</v>
      </c>
      <c r="P124">
        <v>4.8360697379951079E-4</v>
      </c>
      <c r="Q124" t="s">
        <v>154</v>
      </c>
      <c r="S124" t="s">
        <v>201</v>
      </c>
      <c r="T124" t="s">
        <v>161</v>
      </c>
      <c r="U124">
        <v>5.3560912009109737E-4</v>
      </c>
      <c r="V124" t="s">
        <v>154</v>
      </c>
    </row>
    <row r="125" spans="9:22" x14ac:dyDescent="0.25">
      <c r="I125" t="s">
        <v>167</v>
      </c>
      <c r="J125" t="s">
        <v>162</v>
      </c>
      <c r="K125">
        <v>4.4029933998915834E-3</v>
      </c>
      <c r="L125" t="s">
        <v>154</v>
      </c>
      <c r="N125" t="s">
        <v>191</v>
      </c>
      <c r="O125" t="s">
        <v>162</v>
      </c>
      <c r="P125">
        <v>2.1823208647693608E-4</v>
      </c>
      <c r="Q125" t="s">
        <v>154</v>
      </c>
      <c r="S125" t="s">
        <v>201</v>
      </c>
      <c r="T125" t="s">
        <v>162</v>
      </c>
      <c r="U125">
        <v>2.6350834825228332E-4</v>
      </c>
      <c r="V125" t="s">
        <v>154</v>
      </c>
    </row>
    <row r="126" spans="9:22" x14ac:dyDescent="0.25">
      <c r="I126" t="s">
        <v>167</v>
      </c>
      <c r="J126" t="s">
        <v>228</v>
      </c>
      <c r="K126">
        <v>5.1190409049994773E-3</v>
      </c>
      <c r="L126" t="s">
        <v>154</v>
      </c>
      <c r="N126" t="s">
        <v>191</v>
      </c>
      <c r="O126" t="s">
        <v>228</v>
      </c>
      <c r="P126">
        <v>2.4091671421932418E-4</v>
      </c>
      <c r="Q126" t="s">
        <v>154</v>
      </c>
      <c r="S126" t="s">
        <v>201</v>
      </c>
      <c r="T126" t="s">
        <v>228</v>
      </c>
      <c r="U126">
        <v>2.82474723838137E-4</v>
      </c>
      <c r="V126" t="s">
        <v>154</v>
      </c>
    </row>
    <row r="127" spans="9:22" x14ac:dyDescent="0.25">
      <c r="I127" t="s">
        <v>167</v>
      </c>
      <c r="J127" t="s">
        <v>229</v>
      </c>
      <c r="K127">
        <v>1.5996510803876925E-2</v>
      </c>
      <c r="L127" t="s">
        <v>154</v>
      </c>
      <c r="N127" t="s">
        <v>191</v>
      </c>
      <c r="O127" t="s">
        <v>229</v>
      </c>
      <c r="P127">
        <v>9.7885045253916225E-4</v>
      </c>
      <c r="Q127" t="s">
        <v>154</v>
      </c>
      <c r="S127" t="s">
        <v>201</v>
      </c>
      <c r="T127" t="s">
        <v>229</v>
      </c>
      <c r="U127">
        <v>1.0494924652551373E-3</v>
      </c>
      <c r="V127" t="s">
        <v>154</v>
      </c>
    </row>
    <row r="128" spans="9:22" x14ac:dyDescent="0.25">
      <c r="I128" t="s">
        <v>167</v>
      </c>
      <c r="J128" t="s">
        <v>230</v>
      </c>
      <c r="K128">
        <v>6.9550568179073029E-3</v>
      </c>
      <c r="L128" t="s">
        <v>154</v>
      </c>
      <c r="N128" t="s">
        <v>191</v>
      </c>
      <c r="O128" t="s">
        <v>230</v>
      </c>
      <c r="P128">
        <v>6.4534188077073067E-4</v>
      </c>
      <c r="Q128" t="s">
        <v>154</v>
      </c>
      <c r="S128" t="s">
        <v>201</v>
      </c>
      <c r="T128" t="s">
        <v>230</v>
      </c>
      <c r="U128">
        <v>6.9998934230486309E-4</v>
      </c>
      <c r="V128" t="s">
        <v>154</v>
      </c>
    </row>
    <row r="129" spans="9:22" x14ac:dyDescent="0.25">
      <c r="I129" t="s">
        <v>167</v>
      </c>
      <c r="J129" t="s">
        <v>260</v>
      </c>
      <c r="K129">
        <v>2.6884197890360605E-3</v>
      </c>
      <c r="L129" t="s">
        <v>154</v>
      </c>
      <c r="N129" t="s">
        <v>191</v>
      </c>
      <c r="O129" t="s">
        <v>260</v>
      </c>
      <c r="P129">
        <v>3.8264379317321011E-4</v>
      </c>
      <c r="Q129" t="s">
        <v>154</v>
      </c>
      <c r="S129" t="s">
        <v>201</v>
      </c>
      <c r="T129" t="s">
        <v>260</v>
      </c>
      <c r="U129">
        <v>4.8586421068869194E-4</v>
      </c>
      <c r="V129" t="s">
        <v>154</v>
      </c>
    </row>
    <row r="130" spans="9:22" x14ac:dyDescent="0.25">
      <c r="I130" t="s">
        <v>167</v>
      </c>
      <c r="J130" t="s">
        <v>261</v>
      </c>
      <c r="K130">
        <v>0</v>
      </c>
      <c r="L130" t="s">
        <v>154</v>
      </c>
      <c r="N130" t="s">
        <v>191</v>
      </c>
      <c r="O130" t="s">
        <v>261</v>
      </c>
      <c r="P130">
        <v>1.347071717989251E-3</v>
      </c>
      <c r="Q130" t="s">
        <v>154</v>
      </c>
      <c r="S130" t="s">
        <v>201</v>
      </c>
      <c r="T130" t="s">
        <v>261</v>
      </c>
      <c r="U130">
        <v>1.09102134189118E-3</v>
      </c>
      <c r="V130" t="s">
        <v>154</v>
      </c>
    </row>
    <row r="131" spans="9:22" x14ac:dyDescent="0.25">
      <c r="I131" t="s">
        <v>167</v>
      </c>
      <c r="J131" t="s">
        <v>163</v>
      </c>
      <c r="K131">
        <v>3.4305476106417676E-3</v>
      </c>
      <c r="L131" t="s">
        <v>154</v>
      </c>
      <c r="N131" t="s">
        <v>191</v>
      </c>
      <c r="O131" t="s">
        <v>163</v>
      </c>
      <c r="P131">
        <v>1.5766307621321609E-2</v>
      </c>
      <c r="Q131" t="s">
        <v>154</v>
      </c>
      <c r="S131" t="s">
        <v>201</v>
      </c>
      <c r="T131" t="s">
        <v>163</v>
      </c>
      <c r="U131">
        <v>1.1992045122355339E-2</v>
      </c>
      <c r="V131" t="s">
        <v>154</v>
      </c>
    </row>
    <row r="132" spans="9:22" x14ac:dyDescent="0.25">
      <c r="I132" t="s">
        <v>167</v>
      </c>
      <c r="J132" t="s">
        <v>164</v>
      </c>
      <c r="K132">
        <v>1.554592254179436E-2</v>
      </c>
      <c r="L132" t="s">
        <v>154</v>
      </c>
      <c r="N132" t="s">
        <v>191</v>
      </c>
      <c r="O132" t="s">
        <v>164</v>
      </c>
      <c r="P132">
        <v>4.578510519919453E-3</v>
      </c>
      <c r="Q132" t="s">
        <v>154</v>
      </c>
      <c r="S132" t="s">
        <v>201</v>
      </c>
      <c r="T132" t="s">
        <v>164</v>
      </c>
      <c r="U132">
        <v>3.3536524083889623E-3</v>
      </c>
      <c r="V132" t="s">
        <v>154</v>
      </c>
    </row>
    <row r="133" spans="9:22" x14ac:dyDescent="0.25">
      <c r="I133" t="s">
        <v>167</v>
      </c>
      <c r="J133" t="s">
        <v>165</v>
      </c>
      <c r="K133">
        <v>1.1628362554909139E-2</v>
      </c>
      <c r="L133" t="s">
        <v>154</v>
      </c>
      <c r="N133" t="s">
        <v>191</v>
      </c>
      <c r="O133" t="s">
        <v>165</v>
      </c>
      <c r="P133">
        <v>2.2151216374360354E-3</v>
      </c>
      <c r="Q133" t="s">
        <v>154</v>
      </c>
      <c r="S133" t="s">
        <v>201</v>
      </c>
      <c r="T133" t="s">
        <v>165</v>
      </c>
      <c r="U133">
        <v>1.7976164753760562E-3</v>
      </c>
      <c r="V133" t="s">
        <v>154</v>
      </c>
    </row>
    <row r="134" spans="9:22" x14ac:dyDescent="0.25">
      <c r="I134" t="s">
        <v>167</v>
      </c>
      <c r="J134" t="s">
        <v>231</v>
      </c>
      <c r="K134">
        <v>1.3333299579881943E-2</v>
      </c>
      <c r="L134" t="s">
        <v>154</v>
      </c>
      <c r="N134" t="s">
        <v>191</v>
      </c>
      <c r="O134" t="s">
        <v>231</v>
      </c>
      <c r="P134">
        <v>2.4619830224172265E-3</v>
      </c>
      <c r="Q134" t="s">
        <v>154</v>
      </c>
      <c r="S134" t="s">
        <v>201</v>
      </c>
      <c r="T134" t="s">
        <v>231</v>
      </c>
      <c r="U134">
        <v>1.8553571044190541E-3</v>
      </c>
      <c r="V134" t="s">
        <v>154</v>
      </c>
    </row>
    <row r="135" spans="9:22" x14ac:dyDescent="0.25">
      <c r="I135" t="s">
        <v>167</v>
      </c>
      <c r="J135" t="s">
        <v>232</v>
      </c>
      <c r="K135">
        <v>4.2185969592729342E-2</v>
      </c>
      <c r="L135" t="s">
        <v>154</v>
      </c>
      <c r="N135" t="s">
        <v>191</v>
      </c>
      <c r="O135" t="s">
        <v>232</v>
      </c>
      <c r="P135">
        <v>1.0142610178016117E-2</v>
      </c>
      <c r="Q135" t="s">
        <v>154</v>
      </c>
      <c r="S135" t="s">
        <v>201</v>
      </c>
      <c r="T135" t="s">
        <v>232</v>
      </c>
      <c r="U135">
        <v>5.6347162423289934E-3</v>
      </c>
      <c r="V135" t="s">
        <v>154</v>
      </c>
    </row>
    <row r="136" spans="9:22" x14ac:dyDescent="0.25">
      <c r="I136" t="s">
        <v>167</v>
      </c>
      <c r="J136" t="s">
        <v>233</v>
      </c>
      <c r="K136">
        <v>1.9403422893977968E-2</v>
      </c>
      <c r="L136" t="s">
        <v>154</v>
      </c>
      <c r="N136" t="s">
        <v>191</v>
      </c>
      <c r="O136" t="s">
        <v>233</v>
      </c>
      <c r="P136">
        <v>8.5913528823651827E-3</v>
      </c>
      <c r="Q136" t="s">
        <v>154</v>
      </c>
      <c r="S136" t="s">
        <v>201</v>
      </c>
      <c r="T136" t="s">
        <v>233</v>
      </c>
      <c r="U136">
        <v>3.745306026077767E-3</v>
      </c>
      <c r="V136" t="s">
        <v>154</v>
      </c>
    </row>
    <row r="137" spans="9:22" x14ac:dyDescent="0.25">
      <c r="I137" t="s">
        <v>167</v>
      </c>
      <c r="J137" t="s">
        <v>262</v>
      </c>
      <c r="K137">
        <v>8.7378622229404151E-3</v>
      </c>
      <c r="L137" t="s">
        <v>154</v>
      </c>
      <c r="N137" t="s">
        <v>191</v>
      </c>
      <c r="O137" t="s">
        <v>262</v>
      </c>
      <c r="P137">
        <v>7.9264224691682466E-3</v>
      </c>
      <c r="Q137" t="s">
        <v>154</v>
      </c>
      <c r="S137" t="s">
        <v>201</v>
      </c>
      <c r="T137" t="s">
        <v>262</v>
      </c>
      <c r="U137">
        <v>3.0048534040361301E-3</v>
      </c>
      <c r="V137" t="s">
        <v>154</v>
      </c>
    </row>
    <row r="138" spans="9:22" x14ac:dyDescent="0.25">
      <c r="I138" t="s">
        <v>167</v>
      </c>
      <c r="J138" t="s">
        <v>263</v>
      </c>
      <c r="K138">
        <v>1.3611269466966356E-6</v>
      </c>
      <c r="L138" t="s">
        <v>154</v>
      </c>
      <c r="N138" t="s">
        <v>191</v>
      </c>
      <c r="O138" t="s">
        <v>263</v>
      </c>
      <c r="P138">
        <v>1.9525350067345716E-2</v>
      </c>
      <c r="Q138" t="s">
        <v>154</v>
      </c>
      <c r="S138" t="s">
        <v>201</v>
      </c>
      <c r="T138" t="s">
        <v>263</v>
      </c>
      <c r="U138">
        <v>6.8314909453674978E-3</v>
      </c>
      <c r="V138" t="s">
        <v>154</v>
      </c>
    </row>
    <row r="139" spans="9:22" x14ac:dyDescent="0.25">
      <c r="I139" t="s">
        <v>167</v>
      </c>
      <c r="J139" t="s">
        <v>240</v>
      </c>
      <c r="K139">
        <v>8.0691462354244015E-3</v>
      </c>
      <c r="L139" t="s">
        <v>154</v>
      </c>
      <c r="N139" t="s">
        <v>191</v>
      </c>
      <c r="O139" t="s">
        <v>240</v>
      </c>
      <c r="P139">
        <v>0.11215147330986845</v>
      </c>
      <c r="Q139" t="s">
        <v>154</v>
      </c>
      <c r="S139" t="s">
        <v>201</v>
      </c>
      <c r="T139" t="s">
        <v>240</v>
      </c>
      <c r="U139">
        <v>5.4670433467216749E-2</v>
      </c>
      <c r="V139" t="s">
        <v>154</v>
      </c>
    </row>
    <row r="140" spans="9:22" x14ac:dyDescent="0.25">
      <c r="I140" t="s">
        <v>167</v>
      </c>
      <c r="J140" t="s">
        <v>241</v>
      </c>
      <c r="K140">
        <v>3.6407195835427481E-2</v>
      </c>
      <c r="L140" t="s">
        <v>154</v>
      </c>
      <c r="N140" t="s">
        <v>191</v>
      </c>
      <c r="O140" t="s">
        <v>241</v>
      </c>
      <c r="P140">
        <v>3.0540962403541046E-2</v>
      </c>
      <c r="Q140" t="s">
        <v>154</v>
      </c>
      <c r="S140" t="s">
        <v>201</v>
      </c>
      <c r="T140" t="s">
        <v>241</v>
      </c>
      <c r="U140">
        <v>1.71108752633032E-2</v>
      </c>
      <c r="V140" t="s">
        <v>154</v>
      </c>
    </row>
    <row r="141" spans="9:22" x14ac:dyDescent="0.25">
      <c r="I141" t="s">
        <v>167</v>
      </c>
      <c r="J141" t="s">
        <v>242</v>
      </c>
      <c r="K141">
        <v>2.6162931648145246E-2</v>
      </c>
      <c r="L141" t="s">
        <v>154</v>
      </c>
      <c r="N141" t="s">
        <v>191</v>
      </c>
      <c r="O141" t="s">
        <v>242</v>
      </c>
      <c r="P141">
        <v>1.4724326873673539E-2</v>
      </c>
      <c r="Q141" t="s">
        <v>154</v>
      </c>
      <c r="S141" t="s">
        <v>201</v>
      </c>
      <c r="T141" t="s">
        <v>242</v>
      </c>
      <c r="U141">
        <v>9.0342099198879953E-3</v>
      </c>
      <c r="V141" t="s">
        <v>154</v>
      </c>
    </row>
    <row r="142" spans="9:22" x14ac:dyDescent="0.25">
      <c r="I142" t="s">
        <v>167</v>
      </c>
      <c r="J142" t="s">
        <v>243</v>
      </c>
      <c r="K142">
        <v>2.9503004959547625E-2</v>
      </c>
      <c r="L142" t="s">
        <v>154</v>
      </c>
      <c r="N142" t="s">
        <v>191</v>
      </c>
      <c r="O142" t="s">
        <v>243</v>
      </c>
      <c r="P142">
        <v>1.5889845460078204E-2</v>
      </c>
      <c r="Q142" t="s">
        <v>154</v>
      </c>
      <c r="S142" t="s">
        <v>201</v>
      </c>
      <c r="T142" t="s">
        <v>243</v>
      </c>
      <c r="U142">
        <v>9.289969526558077E-3</v>
      </c>
      <c r="V142" t="s">
        <v>154</v>
      </c>
    </row>
    <row r="143" spans="9:22" x14ac:dyDescent="0.25">
      <c r="I143" t="s">
        <v>167</v>
      </c>
      <c r="J143" t="s">
        <v>244</v>
      </c>
      <c r="K143">
        <v>8.9810800294568616E-2</v>
      </c>
      <c r="L143" t="s">
        <v>154</v>
      </c>
      <c r="N143" t="s">
        <v>191</v>
      </c>
      <c r="O143" t="s">
        <v>244</v>
      </c>
      <c r="P143">
        <v>5.7207286332710716E-2</v>
      </c>
      <c r="Q143" t="s">
        <v>154</v>
      </c>
      <c r="S143" t="s">
        <v>201</v>
      </c>
      <c r="T143" t="s">
        <v>244</v>
      </c>
      <c r="U143">
        <v>2.7874414342219773E-2</v>
      </c>
      <c r="V143" t="s">
        <v>154</v>
      </c>
    </row>
    <row r="144" spans="9:22" x14ac:dyDescent="0.25">
      <c r="I144" t="s">
        <v>167</v>
      </c>
      <c r="J144" t="s">
        <v>245</v>
      </c>
      <c r="K144">
        <v>4.2680238484780801E-2</v>
      </c>
      <c r="L144" t="s">
        <v>154</v>
      </c>
      <c r="N144" t="s">
        <v>191</v>
      </c>
      <c r="O144" t="s">
        <v>245</v>
      </c>
      <c r="P144">
        <v>4.3261064282920529E-2</v>
      </c>
      <c r="Q144" t="s">
        <v>154</v>
      </c>
      <c r="S144" t="s">
        <v>201</v>
      </c>
      <c r="T144" t="s">
        <v>245</v>
      </c>
      <c r="U144">
        <v>1.733329341059137E-2</v>
      </c>
      <c r="V144" t="s">
        <v>154</v>
      </c>
    </row>
    <row r="145" spans="9:22" x14ac:dyDescent="0.25">
      <c r="I145" t="s">
        <v>167</v>
      </c>
      <c r="J145" t="s">
        <v>264</v>
      </c>
      <c r="K145">
        <v>2.0613754484761819E-2</v>
      </c>
      <c r="L145" t="s">
        <v>154</v>
      </c>
      <c r="N145" t="s">
        <v>191</v>
      </c>
      <c r="O145" t="s">
        <v>264</v>
      </c>
      <c r="P145">
        <v>3.983282802039418E-2</v>
      </c>
      <c r="Q145" t="s">
        <v>154</v>
      </c>
      <c r="S145" t="s">
        <v>201</v>
      </c>
      <c r="T145" t="s">
        <v>264</v>
      </c>
      <c r="U145">
        <v>1.3893308684779648E-2</v>
      </c>
      <c r="V145" t="s">
        <v>154</v>
      </c>
    </row>
    <row r="146" spans="9:22" x14ac:dyDescent="0.25">
      <c r="I146" t="s">
        <v>167</v>
      </c>
      <c r="J146" t="s">
        <v>265</v>
      </c>
      <c r="K146">
        <v>1.0825394755572237E-5</v>
      </c>
      <c r="L146" t="s">
        <v>154</v>
      </c>
      <c r="N146" t="s">
        <v>191</v>
      </c>
      <c r="O146" t="s">
        <v>265</v>
      </c>
      <c r="P146">
        <v>0.10168180211083185</v>
      </c>
      <c r="Q146" t="s">
        <v>154</v>
      </c>
      <c r="S146" t="s">
        <v>201</v>
      </c>
      <c r="T146" t="s">
        <v>265</v>
      </c>
      <c r="U146">
        <v>3.0183200424650062E-2</v>
      </c>
      <c r="V146" t="s">
        <v>154</v>
      </c>
    </row>
    <row r="147" spans="9:22" x14ac:dyDescent="0.25">
      <c r="I147" t="s">
        <v>167</v>
      </c>
      <c r="J147" t="s">
        <v>246</v>
      </c>
      <c r="K147">
        <v>5.5734323545130185E-3</v>
      </c>
      <c r="L147" t="s">
        <v>154</v>
      </c>
      <c r="N147" t="s">
        <v>191</v>
      </c>
      <c r="O147" t="s">
        <v>246</v>
      </c>
      <c r="P147">
        <v>4.5052594359359363E-2</v>
      </c>
      <c r="Q147" t="s">
        <v>154</v>
      </c>
      <c r="S147" t="s">
        <v>201</v>
      </c>
      <c r="T147" t="s">
        <v>246</v>
      </c>
      <c r="U147">
        <v>9.2475692464977527E-2</v>
      </c>
      <c r="V147" t="s">
        <v>154</v>
      </c>
    </row>
    <row r="148" spans="9:22" x14ac:dyDescent="0.25">
      <c r="I148" t="s">
        <v>167</v>
      </c>
      <c r="J148" t="s">
        <v>247</v>
      </c>
      <c r="K148">
        <v>3.1061799115532331E-2</v>
      </c>
      <c r="L148" t="s">
        <v>154</v>
      </c>
      <c r="N148" t="s">
        <v>191</v>
      </c>
      <c r="O148" t="s">
        <v>247</v>
      </c>
      <c r="P148">
        <v>1.10577837864155E-2</v>
      </c>
      <c r="Q148" t="s">
        <v>154</v>
      </c>
      <c r="S148" t="s">
        <v>201</v>
      </c>
      <c r="T148" t="s">
        <v>247</v>
      </c>
      <c r="U148">
        <v>2.7124837719203633E-2</v>
      </c>
      <c r="V148" t="s">
        <v>154</v>
      </c>
    </row>
    <row r="149" spans="9:22" x14ac:dyDescent="0.25">
      <c r="I149" t="s">
        <v>167</v>
      </c>
      <c r="J149" t="s">
        <v>248</v>
      </c>
      <c r="K149">
        <v>2.3276825647909099E-2</v>
      </c>
      <c r="L149" t="s">
        <v>154</v>
      </c>
      <c r="N149" t="s">
        <v>191</v>
      </c>
      <c r="O149" t="s">
        <v>248</v>
      </c>
      <c r="P149">
        <v>5.5268998783026754E-3</v>
      </c>
      <c r="Q149" t="s">
        <v>154</v>
      </c>
      <c r="S149" t="s">
        <v>201</v>
      </c>
      <c r="T149" t="s">
        <v>248</v>
      </c>
      <c r="U149">
        <v>1.3818281551692917E-2</v>
      </c>
      <c r="V149" t="s">
        <v>154</v>
      </c>
    </row>
    <row r="150" spans="9:22" x14ac:dyDescent="0.25">
      <c r="I150" t="s">
        <v>167</v>
      </c>
      <c r="J150" t="s">
        <v>249</v>
      </c>
      <c r="K150">
        <v>2.5332492982406203E-2</v>
      </c>
      <c r="L150" t="s">
        <v>154</v>
      </c>
      <c r="N150" t="s">
        <v>191</v>
      </c>
      <c r="O150" t="s">
        <v>249</v>
      </c>
      <c r="P150">
        <v>5.5545700675942514E-3</v>
      </c>
      <c r="Q150" t="s">
        <v>154</v>
      </c>
      <c r="S150" t="s">
        <v>201</v>
      </c>
      <c r="T150" t="s">
        <v>249</v>
      </c>
      <c r="U150">
        <v>1.3764014387443844E-2</v>
      </c>
      <c r="V150" t="s">
        <v>154</v>
      </c>
    </row>
    <row r="151" spans="9:22" x14ac:dyDescent="0.25">
      <c r="I151" t="s">
        <v>167</v>
      </c>
      <c r="J151" t="s">
        <v>250</v>
      </c>
      <c r="K151">
        <v>6.9349640810688742E-2</v>
      </c>
      <c r="L151" t="s">
        <v>154</v>
      </c>
      <c r="N151" t="s">
        <v>191</v>
      </c>
      <c r="O151" t="s">
        <v>250</v>
      </c>
      <c r="P151">
        <v>1.9805365186109543E-2</v>
      </c>
      <c r="Q151" t="s">
        <v>154</v>
      </c>
      <c r="S151" t="s">
        <v>201</v>
      </c>
      <c r="T151" t="s">
        <v>250</v>
      </c>
      <c r="U151">
        <v>4.0650853893869569E-2</v>
      </c>
      <c r="V151" t="s">
        <v>154</v>
      </c>
    </row>
    <row r="152" spans="9:22" x14ac:dyDescent="0.25">
      <c r="I152" t="s">
        <v>167</v>
      </c>
      <c r="J152" t="s">
        <v>251</v>
      </c>
      <c r="K152">
        <v>2.8612683459277026E-2</v>
      </c>
      <c r="L152" t="s">
        <v>154</v>
      </c>
      <c r="N152" t="s">
        <v>191</v>
      </c>
      <c r="O152" t="s">
        <v>251</v>
      </c>
      <c r="P152">
        <v>1.6686188421222162E-2</v>
      </c>
      <c r="Q152" t="s">
        <v>154</v>
      </c>
      <c r="S152" t="s">
        <v>201</v>
      </c>
      <c r="T152" t="s">
        <v>251</v>
      </c>
      <c r="U152">
        <v>2.6087625661656878E-2</v>
      </c>
      <c r="V152" t="s">
        <v>154</v>
      </c>
    </row>
    <row r="153" spans="9:22" x14ac:dyDescent="0.25">
      <c r="I153" t="s">
        <v>167</v>
      </c>
      <c r="J153" t="s">
        <v>266</v>
      </c>
      <c r="K153">
        <v>9.7805442688747891E-3</v>
      </c>
      <c r="L153" t="s">
        <v>154</v>
      </c>
      <c r="N153" t="s">
        <v>191</v>
      </c>
      <c r="O153" t="s">
        <v>266</v>
      </c>
      <c r="P153">
        <v>1.6243872925139423E-2</v>
      </c>
      <c r="Q153" t="s">
        <v>154</v>
      </c>
      <c r="S153" t="s">
        <v>201</v>
      </c>
      <c r="T153" t="s">
        <v>266</v>
      </c>
      <c r="U153">
        <v>2.6691442731028366E-2</v>
      </c>
      <c r="V153" t="s">
        <v>154</v>
      </c>
    </row>
    <row r="154" spans="9:22" x14ac:dyDescent="0.25">
      <c r="I154" t="s">
        <v>167</v>
      </c>
      <c r="J154" t="s">
        <v>267</v>
      </c>
      <c r="K154">
        <v>0</v>
      </c>
      <c r="L154" t="s">
        <v>154</v>
      </c>
      <c r="N154" t="s">
        <v>191</v>
      </c>
      <c r="O154" t="s">
        <v>267</v>
      </c>
      <c r="P154">
        <v>4.303823367384714E-2</v>
      </c>
      <c r="Q154" t="s">
        <v>154</v>
      </c>
      <c r="S154" t="s">
        <v>201</v>
      </c>
      <c r="T154" t="s">
        <v>267</v>
      </c>
      <c r="U154">
        <v>9.3670177686366596E-2</v>
      </c>
      <c r="V154" t="s">
        <v>154</v>
      </c>
    </row>
    <row r="155" spans="9:22" x14ac:dyDescent="0.25">
      <c r="I155" t="s">
        <v>168</v>
      </c>
      <c r="J155" t="s">
        <v>153</v>
      </c>
      <c r="K155">
        <v>0</v>
      </c>
      <c r="L155" t="s">
        <v>154</v>
      </c>
      <c r="N155" t="s">
        <v>192</v>
      </c>
      <c r="O155" t="s">
        <v>153</v>
      </c>
      <c r="P155">
        <v>5.8446439072002948E-2</v>
      </c>
      <c r="Q155" t="s">
        <v>154</v>
      </c>
      <c r="S155" t="s">
        <v>202</v>
      </c>
      <c r="T155" t="s">
        <v>153</v>
      </c>
      <c r="U155">
        <v>2.4385745510243573E-2</v>
      </c>
      <c r="V155" t="s">
        <v>154</v>
      </c>
    </row>
    <row r="156" spans="9:22" x14ac:dyDescent="0.25">
      <c r="I156" t="s">
        <v>168</v>
      </c>
      <c r="J156" t="s">
        <v>155</v>
      </c>
      <c r="K156">
        <v>5.4801970305514928E-3</v>
      </c>
      <c r="L156" t="s">
        <v>154</v>
      </c>
      <c r="N156" t="s">
        <v>192</v>
      </c>
      <c r="O156" t="s">
        <v>155</v>
      </c>
      <c r="P156">
        <v>1.2665641574689874E-2</v>
      </c>
      <c r="Q156" t="s">
        <v>154</v>
      </c>
      <c r="S156" t="s">
        <v>202</v>
      </c>
      <c r="T156" t="s">
        <v>155</v>
      </c>
      <c r="U156">
        <v>6.360168948381005E-3</v>
      </c>
      <c r="V156" t="s">
        <v>154</v>
      </c>
    </row>
    <row r="157" spans="9:22" x14ac:dyDescent="0.25">
      <c r="I157" t="s">
        <v>168</v>
      </c>
      <c r="J157" t="s">
        <v>156</v>
      </c>
      <c r="K157">
        <v>5.3178293247569302E-3</v>
      </c>
      <c r="L157" t="s">
        <v>154</v>
      </c>
      <c r="N157" t="s">
        <v>192</v>
      </c>
      <c r="O157" t="s">
        <v>156</v>
      </c>
      <c r="P157">
        <v>6.7777368095101901E-3</v>
      </c>
      <c r="Q157" t="s">
        <v>154</v>
      </c>
      <c r="S157" t="s">
        <v>202</v>
      </c>
      <c r="T157" t="s">
        <v>156</v>
      </c>
      <c r="U157">
        <v>3.1541278612516703E-3</v>
      </c>
      <c r="V157" t="s">
        <v>154</v>
      </c>
    </row>
    <row r="158" spans="9:22" x14ac:dyDescent="0.25">
      <c r="I158" t="s">
        <v>168</v>
      </c>
      <c r="J158" t="s">
        <v>222</v>
      </c>
      <c r="K158">
        <v>6.4595830992572765E-3</v>
      </c>
      <c r="L158" t="s">
        <v>154</v>
      </c>
      <c r="N158" t="s">
        <v>192</v>
      </c>
      <c r="O158" t="s">
        <v>222</v>
      </c>
      <c r="P158">
        <v>7.0635642302399847E-3</v>
      </c>
      <c r="Q158" t="s">
        <v>154</v>
      </c>
      <c r="S158" t="s">
        <v>202</v>
      </c>
      <c r="T158" t="s">
        <v>222</v>
      </c>
      <c r="U158">
        <v>3.1396207941584578E-3</v>
      </c>
      <c r="V158" t="s">
        <v>154</v>
      </c>
    </row>
    <row r="159" spans="9:22" x14ac:dyDescent="0.25">
      <c r="I159" t="s">
        <v>168</v>
      </c>
      <c r="J159" t="s">
        <v>223</v>
      </c>
      <c r="K159">
        <v>2.1439416052848916E-2</v>
      </c>
      <c r="L159" t="s">
        <v>154</v>
      </c>
      <c r="N159" t="s">
        <v>192</v>
      </c>
      <c r="O159" t="s">
        <v>223</v>
      </c>
      <c r="P159">
        <v>2.3594422887539299E-2</v>
      </c>
      <c r="Q159" t="s">
        <v>154</v>
      </c>
      <c r="S159" t="s">
        <v>202</v>
      </c>
      <c r="T159" t="s">
        <v>223</v>
      </c>
      <c r="U159">
        <v>9.328149006348832E-3</v>
      </c>
      <c r="V159" t="s">
        <v>154</v>
      </c>
    </row>
    <row r="160" spans="9:22" x14ac:dyDescent="0.25">
      <c r="I160" t="s">
        <v>168</v>
      </c>
      <c r="J160" t="s">
        <v>224</v>
      </c>
      <c r="K160">
        <v>1.1857437953999145E-2</v>
      </c>
      <c r="L160" t="s">
        <v>154</v>
      </c>
      <c r="N160" t="s">
        <v>192</v>
      </c>
      <c r="O160" t="s">
        <v>224</v>
      </c>
      <c r="P160">
        <v>1.6439664776225785E-2</v>
      </c>
      <c r="Q160" t="s">
        <v>154</v>
      </c>
      <c r="S160" t="s">
        <v>202</v>
      </c>
      <c r="T160" t="s">
        <v>224</v>
      </c>
      <c r="U160">
        <v>6.4702595548768414E-3</v>
      </c>
      <c r="V160" t="s">
        <v>154</v>
      </c>
    </row>
    <row r="161" spans="9:22" x14ac:dyDescent="0.25">
      <c r="I161" t="s">
        <v>168</v>
      </c>
      <c r="J161" t="s">
        <v>256</v>
      </c>
      <c r="K161">
        <v>6.6394970465293831E-3</v>
      </c>
      <c r="L161" t="s">
        <v>154</v>
      </c>
      <c r="N161" t="s">
        <v>192</v>
      </c>
      <c r="O161" t="s">
        <v>256</v>
      </c>
      <c r="P161">
        <v>1.4417216620796482E-2</v>
      </c>
      <c r="Q161" t="s">
        <v>154</v>
      </c>
      <c r="S161" t="s">
        <v>202</v>
      </c>
      <c r="T161" t="s">
        <v>256</v>
      </c>
      <c r="U161">
        <v>7.0084726465172061E-3</v>
      </c>
      <c r="V161" t="s">
        <v>154</v>
      </c>
    </row>
    <row r="162" spans="9:22" x14ac:dyDescent="0.25">
      <c r="I162" t="s">
        <v>168</v>
      </c>
      <c r="J162" t="s">
        <v>257</v>
      </c>
      <c r="K162">
        <v>1.1289306412835503E-3</v>
      </c>
      <c r="L162" t="s">
        <v>154</v>
      </c>
      <c r="N162" t="s">
        <v>192</v>
      </c>
      <c r="O162" t="s">
        <v>257</v>
      </c>
      <c r="P162">
        <v>4.0641188236732566E-2</v>
      </c>
      <c r="Q162" t="s">
        <v>154</v>
      </c>
      <c r="S162" t="s">
        <v>202</v>
      </c>
      <c r="T162" t="s">
        <v>257</v>
      </c>
      <c r="U162">
        <v>2.2683888620278248E-2</v>
      </c>
      <c r="V162" t="s">
        <v>154</v>
      </c>
    </row>
    <row r="163" spans="9:22" x14ac:dyDescent="0.25">
      <c r="I163" t="s">
        <v>168</v>
      </c>
      <c r="J163" t="s">
        <v>157</v>
      </c>
      <c r="K163">
        <v>0</v>
      </c>
      <c r="L163" t="s">
        <v>154</v>
      </c>
      <c r="N163" t="s">
        <v>192</v>
      </c>
      <c r="O163" t="s">
        <v>157</v>
      </c>
      <c r="P163">
        <v>9.822440273563561E-2</v>
      </c>
      <c r="Q163" t="s">
        <v>154</v>
      </c>
      <c r="S163" t="s">
        <v>202</v>
      </c>
      <c r="T163" t="s">
        <v>157</v>
      </c>
      <c r="U163">
        <v>9.0645180123060498E-2</v>
      </c>
      <c r="V163" t="s">
        <v>154</v>
      </c>
    </row>
    <row r="164" spans="9:22" x14ac:dyDescent="0.25">
      <c r="I164" t="s">
        <v>168</v>
      </c>
      <c r="J164" t="s">
        <v>158</v>
      </c>
      <c r="K164">
        <v>3.0340095516733258E-2</v>
      </c>
      <c r="L164" t="s">
        <v>154</v>
      </c>
      <c r="N164" t="s">
        <v>192</v>
      </c>
      <c r="O164" t="s">
        <v>158</v>
      </c>
      <c r="P164">
        <v>2.3667300660611134E-2</v>
      </c>
      <c r="Q164" t="s">
        <v>154</v>
      </c>
      <c r="S164" t="s">
        <v>202</v>
      </c>
      <c r="T164" t="s">
        <v>158</v>
      </c>
      <c r="U164">
        <v>2.4998375043935452E-2</v>
      </c>
      <c r="V164" t="s">
        <v>154</v>
      </c>
    </row>
    <row r="165" spans="9:22" x14ac:dyDescent="0.25">
      <c r="I165" t="s">
        <v>168</v>
      </c>
      <c r="J165" t="s">
        <v>159</v>
      </c>
      <c r="K165">
        <v>2.8448677768733496E-2</v>
      </c>
      <c r="L165" t="s">
        <v>154</v>
      </c>
      <c r="N165" t="s">
        <v>192</v>
      </c>
      <c r="O165" t="s">
        <v>159</v>
      </c>
      <c r="P165">
        <v>1.3010663080835283E-2</v>
      </c>
      <c r="Q165" t="s">
        <v>154</v>
      </c>
      <c r="S165" t="s">
        <v>202</v>
      </c>
      <c r="T165" t="s">
        <v>159</v>
      </c>
      <c r="U165">
        <v>1.2634498172429478E-2</v>
      </c>
      <c r="V165" t="s">
        <v>154</v>
      </c>
    </row>
    <row r="166" spans="9:22" x14ac:dyDescent="0.25">
      <c r="I166" t="s">
        <v>168</v>
      </c>
      <c r="J166" t="s">
        <v>225</v>
      </c>
      <c r="K166">
        <v>3.4542959011271863E-2</v>
      </c>
      <c r="L166" t="s">
        <v>154</v>
      </c>
      <c r="N166" t="s">
        <v>192</v>
      </c>
      <c r="O166" t="s">
        <v>225</v>
      </c>
      <c r="P166">
        <v>1.322234123702473E-2</v>
      </c>
      <c r="Q166" t="s">
        <v>154</v>
      </c>
      <c r="S166" t="s">
        <v>202</v>
      </c>
      <c r="T166" t="s">
        <v>225</v>
      </c>
      <c r="U166">
        <v>1.2241267512777442E-2</v>
      </c>
      <c r="V166" t="s">
        <v>154</v>
      </c>
    </row>
    <row r="167" spans="9:22" x14ac:dyDescent="0.25">
      <c r="I167" t="s">
        <v>168</v>
      </c>
      <c r="J167" t="s">
        <v>226</v>
      </c>
      <c r="K167">
        <v>0.11619072023714173</v>
      </c>
      <c r="L167" t="s">
        <v>154</v>
      </c>
      <c r="N167" t="s">
        <v>192</v>
      </c>
      <c r="O167" t="s">
        <v>226</v>
      </c>
      <c r="P167">
        <v>4.4192752175910198E-2</v>
      </c>
      <c r="Q167" t="s">
        <v>154</v>
      </c>
      <c r="S167" t="s">
        <v>202</v>
      </c>
      <c r="T167" t="s">
        <v>226</v>
      </c>
      <c r="U167">
        <v>3.6066047610728742E-2</v>
      </c>
      <c r="V167" t="s">
        <v>154</v>
      </c>
    </row>
    <row r="168" spans="9:22" x14ac:dyDescent="0.25">
      <c r="I168" t="s">
        <v>168</v>
      </c>
      <c r="J168" t="s">
        <v>227</v>
      </c>
      <c r="K168">
        <v>6.495138789962808E-2</v>
      </c>
      <c r="L168" t="s">
        <v>154</v>
      </c>
      <c r="N168" t="s">
        <v>192</v>
      </c>
      <c r="O168" t="s">
        <v>227</v>
      </c>
      <c r="P168">
        <v>3.2895351017549826E-2</v>
      </c>
      <c r="Q168" t="s">
        <v>154</v>
      </c>
      <c r="S168" t="s">
        <v>202</v>
      </c>
      <c r="T168" t="s">
        <v>227</v>
      </c>
      <c r="U168">
        <v>2.7541827670085135E-2</v>
      </c>
      <c r="V168" t="s">
        <v>154</v>
      </c>
    </row>
    <row r="169" spans="9:22" x14ac:dyDescent="0.25">
      <c r="I169" t="s">
        <v>168</v>
      </c>
      <c r="J169" t="s">
        <v>258</v>
      </c>
      <c r="K169">
        <v>3.6691644761244487E-2</v>
      </c>
      <c r="L169" t="s">
        <v>154</v>
      </c>
      <c r="N169" t="s">
        <v>192</v>
      </c>
      <c r="O169" t="s">
        <v>258</v>
      </c>
      <c r="P169">
        <v>3.1498607561457469E-2</v>
      </c>
      <c r="Q169" t="s">
        <v>154</v>
      </c>
      <c r="S169" t="s">
        <v>202</v>
      </c>
      <c r="T169" t="s">
        <v>258</v>
      </c>
      <c r="U169">
        <v>2.9448466051356769E-2</v>
      </c>
      <c r="V169" t="s">
        <v>154</v>
      </c>
    </row>
    <row r="170" spans="9:22" x14ac:dyDescent="0.25">
      <c r="I170" t="s">
        <v>168</v>
      </c>
      <c r="J170" t="s">
        <v>259</v>
      </c>
      <c r="K170">
        <v>7.9724864647146652E-3</v>
      </c>
      <c r="L170" t="s">
        <v>154</v>
      </c>
      <c r="N170" t="s">
        <v>192</v>
      </c>
      <c r="O170" t="s">
        <v>259</v>
      </c>
      <c r="P170">
        <v>8.2111787240067721E-2</v>
      </c>
      <c r="Q170" t="s">
        <v>154</v>
      </c>
      <c r="S170" t="s">
        <v>202</v>
      </c>
      <c r="T170" t="s">
        <v>259</v>
      </c>
      <c r="U170">
        <v>9.8025997178382993E-2</v>
      </c>
      <c r="V170" t="s">
        <v>154</v>
      </c>
    </row>
    <row r="171" spans="9:22" x14ac:dyDescent="0.25">
      <c r="I171" t="s">
        <v>168</v>
      </c>
      <c r="J171" t="s">
        <v>160</v>
      </c>
      <c r="K171">
        <v>0</v>
      </c>
      <c r="L171" t="s">
        <v>154</v>
      </c>
      <c r="N171" t="s">
        <v>192</v>
      </c>
      <c r="O171" t="s">
        <v>160</v>
      </c>
      <c r="P171">
        <v>1.9697471349801664E-3</v>
      </c>
      <c r="Q171" t="s">
        <v>154</v>
      </c>
      <c r="S171" t="s">
        <v>202</v>
      </c>
      <c r="T171" t="s">
        <v>160</v>
      </c>
      <c r="U171">
        <v>8.4853521641299091E-4</v>
      </c>
      <c r="V171" t="s">
        <v>154</v>
      </c>
    </row>
    <row r="172" spans="9:22" x14ac:dyDescent="0.25">
      <c r="I172" t="s">
        <v>168</v>
      </c>
      <c r="J172" t="s">
        <v>161</v>
      </c>
      <c r="K172">
        <v>3.9953495322141569E-3</v>
      </c>
      <c r="L172" t="s">
        <v>154</v>
      </c>
      <c r="N172" t="s">
        <v>192</v>
      </c>
      <c r="O172" t="s">
        <v>161</v>
      </c>
      <c r="P172">
        <v>4.0749443722112074E-4</v>
      </c>
      <c r="Q172" t="s">
        <v>154</v>
      </c>
      <c r="S172" t="s">
        <v>202</v>
      </c>
      <c r="T172" t="s">
        <v>161</v>
      </c>
      <c r="U172">
        <v>3.9202786229039233E-4</v>
      </c>
      <c r="V172" t="s">
        <v>154</v>
      </c>
    </row>
    <row r="173" spans="9:22" x14ac:dyDescent="0.25">
      <c r="I173" t="s">
        <v>168</v>
      </c>
      <c r="J173" t="s">
        <v>162</v>
      </c>
      <c r="K173">
        <v>3.6686880296796912E-3</v>
      </c>
      <c r="L173" t="s">
        <v>154</v>
      </c>
      <c r="N173" t="s">
        <v>192</v>
      </c>
      <c r="O173" t="s">
        <v>162</v>
      </c>
      <c r="P173">
        <v>1.4108185941667711E-4</v>
      </c>
      <c r="Q173" t="s">
        <v>154</v>
      </c>
      <c r="S173" t="s">
        <v>202</v>
      </c>
      <c r="T173" t="s">
        <v>162</v>
      </c>
      <c r="U173">
        <v>1.7331861208197733E-4</v>
      </c>
      <c r="V173" t="s">
        <v>154</v>
      </c>
    </row>
    <row r="174" spans="9:22" x14ac:dyDescent="0.25">
      <c r="I174" t="s">
        <v>168</v>
      </c>
      <c r="J174" t="s">
        <v>228</v>
      </c>
      <c r="K174">
        <v>4.4668035499179342E-3</v>
      </c>
      <c r="L174" t="s">
        <v>154</v>
      </c>
      <c r="N174" t="s">
        <v>192</v>
      </c>
      <c r="O174" t="s">
        <v>228</v>
      </c>
      <c r="P174">
        <v>1.078832324186986E-4</v>
      </c>
      <c r="Q174" t="s">
        <v>154</v>
      </c>
      <c r="S174" t="s">
        <v>202</v>
      </c>
      <c r="T174" t="s">
        <v>228</v>
      </c>
      <c r="U174">
        <v>1.5529929794520173E-4</v>
      </c>
      <c r="V174" t="s">
        <v>154</v>
      </c>
    </row>
    <row r="175" spans="9:22" x14ac:dyDescent="0.25">
      <c r="I175" t="s">
        <v>168</v>
      </c>
      <c r="J175" t="s">
        <v>229</v>
      </c>
      <c r="K175">
        <v>1.523633413877087E-2</v>
      </c>
      <c r="L175" t="s">
        <v>154</v>
      </c>
      <c r="N175" t="s">
        <v>192</v>
      </c>
      <c r="O175" t="s">
        <v>229</v>
      </c>
      <c r="P175">
        <v>2.9621668772225357E-4</v>
      </c>
      <c r="Q175" t="s">
        <v>154</v>
      </c>
      <c r="S175" t="s">
        <v>202</v>
      </c>
      <c r="T175" t="s">
        <v>229</v>
      </c>
      <c r="U175">
        <v>3.4212288557707379E-4</v>
      </c>
      <c r="V175" t="s">
        <v>154</v>
      </c>
    </row>
    <row r="176" spans="9:22" x14ac:dyDescent="0.25">
      <c r="I176" t="s">
        <v>168</v>
      </c>
      <c r="J176" t="s">
        <v>230</v>
      </c>
      <c r="K176">
        <v>7.2824318391130375E-3</v>
      </c>
      <c r="L176" t="s">
        <v>154</v>
      </c>
      <c r="N176" t="s">
        <v>192</v>
      </c>
      <c r="O176" t="s">
        <v>230</v>
      </c>
      <c r="P176">
        <v>2.4440959243917054E-4</v>
      </c>
      <c r="Q176" t="s">
        <v>154</v>
      </c>
      <c r="S176" t="s">
        <v>202</v>
      </c>
      <c r="T176" t="s">
        <v>230</v>
      </c>
      <c r="U176">
        <v>1.1961024667893479E-4</v>
      </c>
      <c r="V176" t="s">
        <v>154</v>
      </c>
    </row>
    <row r="177" spans="9:22" x14ac:dyDescent="0.25">
      <c r="I177" t="s">
        <v>168</v>
      </c>
      <c r="J177" t="s">
        <v>260</v>
      </c>
      <c r="K177">
        <v>3.8807761757083414E-3</v>
      </c>
      <c r="L177" t="s">
        <v>154</v>
      </c>
      <c r="N177" t="s">
        <v>192</v>
      </c>
      <c r="O177" t="s">
        <v>260</v>
      </c>
      <c r="P177">
        <v>1.9343757561341904E-4</v>
      </c>
      <c r="Q177" t="s">
        <v>154</v>
      </c>
      <c r="S177" t="s">
        <v>202</v>
      </c>
      <c r="T177" t="s">
        <v>260</v>
      </c>
      <c r="U177">
        <v>1.3172167688224883E-4</v>
      </c>
      <c r="V177" t="s">
        <v>154</v>
      </c>
    </row>
    <row r="178" spans="9:22" x14ac:dyDescent="0.25">
      <c r="I178" t="s">
        <v>168</v>
      </c>
      <c r="J178" t="s">
        <v>261</v>
      </c>
      <c r="K178">
        <v>1.0539099039286841E-3</v>
      </c>
      <c r="L178" t="s">
        <v>154</v>
      </c>
      <c r="N178" t="s">
        <v>192</v>
      </c>
      <c r="O178" t="s">
        <v>261</v>
      </c>
      <c r="P178">
        <v>1.5949698486057422E-3</v>
      </c>
      <c r="Q178" t="s">
        <v>154</v>
      </c>
      <c r="S178" t="s">
        <v>202</v>
      </c>
      <c r="T178" t="s">
        <v>261</v>
      </c>
      <c r="U178">
        <v>5.6633453816447657E-4</v>
      </c>
      <c r="V178" t="s">
        <v>154</v>
      </c>
    </row>
    <row r="179" spans="9:22" x14ac:dyDescent="0.25">
      <c r="I179" t="s">
        <v>168</v>
      </c>
      <c r="J179" t="s">
        <v>163</v>
      </c>
      <c r="K179">
        <v>0</v>
      </c>
      <c r="L179" t="s">
        <v>154</v>
      </c>
      <c r="N179" t="s">
        <v>192</v>
      </c>
      <c r="O179" t="s">
        <v>163</v>
      </c>
      <c r="P179">
        <v>1.6597692359819557E-2</v>
      </c>
      <c r="Q179" t="s">
        <v>154</v>
      </c>
      <c r="S179" t="s">
        <v>202</v>
      </c>
      <c r="T179" t="s">
        <v>163</v>
      </c>
      <c r="U179">
        <v>1.7128116459425091E-2</v>
      </c>
      <c r="V179" t="s">
        <v>154</v>
      </c>
    </row>
    <row r="180" spans="9:22" x14ac:dyDescent="0.25">
      <c r="I180" t="s">
        <v>168</v>
      </c>
      <c r="J180" t="s">
        <v>164</v>
      </c>
      <c r="K180">
        <v>1.4034361201460083E-2</v>
      </c>
      <c r="L180" t="s">
        <v>154</v>
      </c>
      <c r="N180" t="s">
        <v>192</v>
      </c>
      <c r="O180" t="s">
        <v>164</v>
      </c>
      <c r="P180">
        <v>3.7147727362556418E-3</v>
      </c>
      <c r="Q180" t="s">
        <v>154</v>
      </c>
      <c r="S180" t="s">
        <v>202</v>
      </c>
      <c r="T180" t="s">
        <v>164</v>
      </c>
      <c r="U180">
        <v>5.7636118652688089E-3</v>
      </c>
      <c r="V180" t="s">
        <v>154</v>
      </c>
    </row>
    <row r="181" spans="9:22" x14ac:dyDescent="0.25">
      <c r="I181" t="s">
        <v>168</v>
      </c>
      <c r="J181" t="s">
        <v>165</v>
      </c>
      <c r="K181">
        <v>1.1298645493712334E-2</v>
      </c>
      <c r="L181" t="s">
        <v>154</v>
      </c>
      <c r="N181" t="s">
        <v>192</v>
      </c>
      <c r="O181" t="s">
        <v>165</v>
      </c>
      <c r="P181">
        <v>1.9392402070441191E-3</v>
      </c>
      <c r="Q181" t="s">
        <v>154</v>
      </c>
      <c r="S181" t="s">
        <v>202</v>
      </c>
      <c r="T181" t="s">
        <v>165</v>
      </c>
      <c r="U181">
        <v>3.0738734871625208E-3</v>
      </c>
      <c r="V181" t="s">
        <v>154</v>
      </c>
    </row>
    <row r="182" spans="9:22" x14ac:dyDescent="0.25">
      <c r="I182" t="s">
        <v>168</v>
      </c>
      <c r="J182" t="s">
        <v>231</v>
      </c>
      <c r="K182">
        <v>1.3273130976707069E-2</v>
      </c>
      <c r="L182" t="s">
        <v>154</v>
      </c>
      <c r="N182" t="s">
        <v>192</v>
      </c>
      <c r="O182" t="s">
        <v>231</v>
      </c>
      <c r="P182">
        <v>2.2929852933636632E-3</v>
      </c>
      <c r="Q182" t="s">
        <v>154</v>
      </c>
      <c r="S182" t="s">
        <v>202</v>
      </c>
      <c r="T182" t="s">
        <v>231</v>
      </c>
      <c r="U182">
        <v>3.2207706160856573E-3</v>
      </c>
      <c r="V182" t="s">
        <v>154</v>
      </c>
    </row>
    <row r="183" spans="9:22" x14ac:dyDescent="0.25">
      <c r="I183" t="s">
        <v>168</v>
      </c>
      <c r="J183" t="s">
        <v>232</v>
      </c>
      <c r="K183">
        <v>4.5683856226168933E-2</v>
      </c>
      <c r="L183" t="s">
        <v>154</v>
      </c>
      <c r="N183" t="s">
        <v>192</v>
      </c>
      <c r="O183" t="s">
        <v>232</v>
      </c>
      <c r="P183">
        <v>7.0679302960793321E-3</v>
      </c>
      <c r="Q183" t="s">
        <v>154</v>
      </c>
      <c r="S183" t="s">
        <v>202</v>
      </c>
      <c r="T183" t="s">
        <v>232</v>
      </c>
      <c r="U183">
        <v>9.6688046837868739E-3</v>
      </c>
      <c r="V183" t="s">
        <v>154</v>
      </c>
    </row>
    <row r="184" spans="9:22" x14ac:dyDescent="0.25">
      <c r="I184" t="s">
        <v>168</v>
      </c>
      <c r="J184" t="s">
        <v>233</v>
      </c>
      <c r="K184">
        <v>2.395268637089824E-2</v>
      </c>
      <c r="L184" t="s">
        <v>154</v>
      </c>
      <c r="N184" t="s">
        <v>192</v>
      </c>
      <c r="O184" t="s">
        <v>233</v>
      </c>
      <c r="P184">
        <v>4.9572150393194288E-3</v>
      </c>
      <c r="Q184" t="s">
        <v>154</v>
      </c>
      <c r="S184" t="s">
        <v>202</v>
      </c>
      <c r="T184" t="s">
        <v>233</v>
      </c>
      <c r="U184">
        <v>5.7742379503132072E-3</v>
      </c>
      <c r="V184" t="s">
        <v>154</v>
      </c>
    </row>
    <row r="185" spans="9:22" x14ac:dyDescent="0.25">
      <c r="I185" t="s">
        <v>168</v>
      </c>
      <c r="J185" t="s">
        <v>262</v>
      </c>
      <c r="K185">
        <v>1.4334418263494316E-2</v>
      </c>
      <c r="L185" t="s">
        <v>154</v>
      </c>
      <c r="N185" t="s">
        <v>192</v>
      </c>
      <c r="O185" t="s">
        <v>262</v>
      </c>
      <c r="P185">
        <v>3.7626621052933937E-3</v>
      </c>
      <c r="Q185" t="s">
        <v>154</v>
      </c>
      <c r="S185" t="s">
        <v>202</v>
      </c>
      <c r="T185" t="s">
        <v>262</v>
      </c>
      <c r="U185">
        <v>5.511494424650625E-3</v>
      </c>
      <c r="V185" t="s">
        <v>154</v>
      </c>
    </row>
    <row r="186" spans="9:22" x14ac:dyDescent="0.25">
      <c r="I186" t="s">
        <v>168</v>
      </c>
      <c r="J186" t="s">
        <v>263</v>
      </c>
      <c r="K186">
        <v>3.6287537736500106E-3</v>
      </c>
      <c r="L186" t="s">
        <v>154</v>
      </c>
      <c r="N186" t="s">
        <v>192</v>
      </c>
      <c r="O186" t="s">
        <v>263</v>
      </c>
      <c r="P186">
        <v>1.0688053437162347E-2</v>
      </c>
      <c r="Q186" t="s">
        <v>154</v>
      </c>
      <c r="S186" t="s">
        <v>202</v>
      </c>
      <c r="T186" t="s">
        <v>263</v>
      </c>
      <c r="U186">
        <v>1.3192679922494073E-2</v>
      </c>
      <c r="V186" t="s">
        <v>154</v>
      </c>
    </row>
    <row r="187" spans="9:22" x14ac:dyDescent="0.25">
      <c r="I187" t="s">
        <v>168</v>
      </c>
      <c r="J187" t="s">
        <v>240</v>
      </c>
      <c r="K187">
        <v>3.3710367444523447E-4</v>
      </c>
      <c r="L187" t="s">
        <v>154</v>
      </c>
      <c r="N187" t="s">
        <v>192</v>
      </c>
      <c r="O187" t="s">
        <v>240</v>
      </c>
      <c r="P187">
        <v>6.2567736096545354E-2</v>
      </c>
      <c r="Q187" t="s">
        <v>154</v>
      </c>
      <c r="S187" t="s">
        <v>202</v>
      </c>
      <c r="T187" t="s">
        <v>240</v>
      </c>
      <c r="U187">
        <v>9.8350304877854386E-2</v>
      </c>
      <c r="V187" t="s">
        <v>154</v>
      </c>
    </row>
    <row r="188" spans="9:22" x14ac:dyDescent="0.25">
      <c r="I188" t="s">
        <v>168</v>
      </c>
      <c r="J188" t="s">
        <v>241</v>
      </c>
      <c r="K188">
        <v>2.5303270689023376E-2</v>
      </c>
      <c r="L188" t="s">
        <v>154</v>
      </c>
      <c r="N188" t="s">
        <v>192</v>
      </c>
      <c r="O188" t="s">
        <v>241</v>
      </c>
      <c r="P188">
        <v>1.5755406073757937E-2</v>
      </c>
      <c r="Q188" t="s">
        <v>154</v>
      </c>
      <c r="S188" t="s">
        <v>202</v>
      </c>
      <c r="T188" t="s">
        <v>241</v>
      </c>
      <c r="U188">
        <v>3.0778892342623841E-2</v>
      </c>
      <c r="V188" t="s">
        <v>154</v>
      </c>
    </row>
    <row r="189" spans="9:22" x14ac:dyDescent="0.25">
      <c r="I189" t="s">
        <v>168</v>
      </c>
      <c r="J189" t="s">
        <v>242</v>
      </c>
      <c r="K189">
        <v>2.318078103498861E-2</v>
      </c>
      <c r="L189" t="s">
        <v>154</v>
      </c>
      <c r="N189" t="s">
        <v>192</v>
      </c>
      <c r="O189" t="s">
        <v>242</v>
      </c>
      <c r="P189">
        <v>7.4167320567789562E-3</v>
      </c>
      <c r="Q189" t="s">
        <v>154</v>
      </c>
      <c r="S189" t="s">
        <v>202</v>
      </c>
      <c r="T189" t="s">
        <v>242</v>
      </c>
      <c r="U189">
        <v>1.5580620412100985E-2</v>
      </c>
      <c r="V189" t="s">
        <v>154</v>
      </c>
    </row>
    <row r="190" spans="9:22" x14ac:dyDescent="0.25">
      <c r="I190" t="s">
        <v>168</v>
      </c>
      <c r="J190" t="s">
        <v>243</v>
      </c>
      <c r="K190">
        <v>2.8535835022765976E-2</v>
      </c>
      <c r="L190" t="s">
        <v>154</v>
      </c>
      <c r="N190" t="s">
        <v>192</v>
      </c>
      <c r="O190" t="s">
        <v>243</v>
      </c>
      <c r="P190">
        <v>7.2898258673483648E-3</v>
      </c>
      <c r="Q190" t="s">
        <v>154</v>
      </c>
      <c r="S190" t="s">
        <v>202</v>
      </c>
      <c r="T190" t="s">
        <v>243</v>
      </c>
      <c r="U190">
        <v>1.5602066309592905E-2</v>
      </c>
      <c r="V190" t="s">
        <v>154</v>
      </c>
    </row>
    <row r="191" spans="9:22" x14ac:dyDescent="0.25">
      <c r="I191" t="s">
        <v>168</v>
      </c>
      <c r="J191" t="s">
        <v>244</v>
      </c>
      <c r="K191">
        <v>9.7205849903130165E-2</v>
      </c>
      <c r="L191" t="s">
        <v>154</v>
      </c>
      <c r="N191" t="s">
        <v>192</v>
      </c>
      <c r="O191" t="s">
        <v>244</v>
      </c>
      <c r="P191">
        <v>2.2537788863011873E-2</v>
      </c>
      <c r="Q191" t="s">
        <v>154</v>
      </c>
      <c r="S191" t="s">
        <v>202</v>
      </c>
      <c r="T191" t="s">
        <v>244</v>
      </c>
      <c r="U191">
        <v>4.8756524466141385E-2</v>
      </c>
      <c r="V191" t="s">
        <v>154</v>
      </c>
    </row>
    <row r="192" spans="9:22" x14ac:dyDescent="0.25">
      <c r="I192" t="s">
        <v>168</v>
      </c>
      <c r="J192" t="s">
        <v>245</v>
      </c>
      <c r="K192">
        <v>5.4606243283919914E-2</v>
      </c>
      <c r="L192" t="s">
        <v>154</v>
      </c>
      <c r="N192" t="s">
        <v>192</v>
      </c>
      <c r="O192" t="s">
        <v>245</v>
      </c>
      <c r="P192">
        <v>1.5722401436158811E-2</v>
      </c>
      <c r="Q192" t="s">
        <v>154</v>
      </c>
      <c r="S192" t="s">
        <v>202</v>
      </c>
      <c r="T192" t="s">
        <v>245</v>
      </c>
      <c r="U192">
        <v>3.1820890201885284E-2</v>
      </c>
      <c r="V192" t="s">
        <v>154</v>
      </c>
    </row>
    <row r="193" spans="9:22" x14ac:dyDescent="0.25">
      <c r="I193" t="s">
        <v>168</v>
      </c>
      <c r="J193" t="s">
        <v>264</v>
      </c>
      <c r="K193">
        <v>2.930794896622816E-2</v>
      </c>
      <c r="L193" t="s">
        <v>154</v>
      </c>
      <c r="N193" t="s">
        <v>192</v>
      </c>
      <c r="O193" t="s">
        <v>264</v>
      </c>
      <c r="P193">
        <v>1.2103510413427264E-2</v>
      </c>
      <c r="Q193" t="s">
        <v>154</v>
      </c>
      <c r="S193" t="s">
        <v>202</v>
      </c>
      <c r="T193" t="s">
        <v>264</v>
      </c>
      <c r="U193">
        <v>2.9160628463390743E-2</v>
      </c>
      <c r="V193" t="s">
        <v>154</v>
      </c>
    </row>
    <row r="194" spans="9:22" x14ac:dyDescent="0.25">
      <c r="I194" t="s">
        <v>168</v>
      </c>
      <c r="J194" t="s">
        <v>265</v>
      </c>
      <c r="K194">
        <v>4.8550588706102208E-3</v>
      </c>
      <c r="L194" t="s">
        <v>154</v>
      </c>
      <c r="N194" t="s">
        <v>192</v>
      </c>
      <c r="O194" t="s">
        <v>265</v>
      </c>
      <c r="P194">
        <v>3.6694697779811263E-2</v>
      </c>
      <c r="Q194" t="s">
        <v>154</v>
      </c>
      <c r="S194" t="s">
        <v>202</v>
      </c>
      <c r="T194" t="s">
        <v>265</v>
      </c>
      <c r="U194">
        <v>7.1770020243579216E-2</v>
      </c>
      <c r="V194" t="s">
        <v>154</v>
      </c>
    </row>
    <row r="195" spans="9:22" x14ac:dyDescent="0.25">
      <c r="I195" t="s">
        <v>168</v>
      </c>
      <c r="J195" t="s">
        <v>246</v>
      </c>
      <c r="K195">
        <v>1.8088410594772242E-3</v>
      </c>
      <c r="L195" t="s">
        <v>154</v>
      </c>
      <c r="N195" t="s">
        <v>192</v>
      </c>
      <c r="O195" t="s">
        <v>246</v>
      </c>
      <c r="P195">
        <v>7.7073975097651876E-2</v>
      </c>
      <c r="Q195" t="s">
        <v>154</v>
      </c>
      <c r="S195" t="s">
        <v>202</v>
      </c>
      <c r="T195" t="s">
        <v>246</v>
      </c>
      <c r="U195">
        <v>5.2415915689206775E-2</v>
      </c>
      <c r="V195" t="s">
        <v>154</v>
      </c>
    </row>
    <row r="196" spans="9:22" x14ac:dyDescent="0.25">
      <c r="I196" t="s">
        <v>168</v>
      </c>
      <c r="J196" t="s">
        <v>247</v>
      </c>
      <c r="K196">
        <v>2.1859438020302373E-2</v>
      </c>
      <c r="L196" t="s">
        <v>154</v>
      </c>
      <c r="N196" t="s">
        <v>192</v>
      </c>
      <c r="O196" t="s">
        <v>247</v>
      </c>
      <c r="P196">
        <v>2.0223960921380253E-2</v>
      </c>
      <c r="Q196" t="s">
        <v>154</v>
      </c>
      <c r="S196" t="s">
        <v>202</v>
      </c>
      <c r="T196" t="s">
        <v>247</v>
      </c>
      <c r="U196">
        <v>1.4386811803314928E-2</v>
      </c>
      <c r="V196" t="s">
        <v>154</v>
      </c>
    </row>
    <row r="197" spans="9:22" x14ac:dyDescent="0.25">
      <c r="I197" t="s">
        <v>168</v>
      </c>
      <c r="J197" t="s">
        <v>248</v>
      </c>
      <c r="K197">
        <v>1.9682657565359789E-2</v>
      </c>
      <c r="L197" t="s">
        <v>154</v>
      </c>
      <c r="N197" t="s">
        <v>192</v>
      </c>
      <c r="O197" t="s">
        <v>248</v>
      </c>
      <c r="P197">
        <v>9.7145147266545998E-3</v>
      </c>
      <c r="Q197" t="s">
        <v>154</v>
      </c>
      <c r="S197" t="s">
        <v>202</v>
      </c>
      <c r="T197" t="s">
        <v>248</v>
      </c>
      <c r="U197">
        <v>6.8591396302217092E-3</v>
      </c>
      <c r="V197" t="s">
        <v>154</v>
      </c>
    </row>
    <row r="198" spans="9:22" x14ac:dyDescent="0.25">
      <c r="I198" t="s">
        <v>168</v>
      </c>
      <c r="J198" t="s">
        <v>249</v>
      </c>
      <c r="K198">
        <v>2.2846024635876212E-2</v>
      </c>
      <c r="L198" t="s">
        <v>154</v>
      </c>
      <c r="N198" t="s">
        <v>192</v>
      </c>
      <c r="O198" t="s">
        <v>249</v>
      </c>
      <c r="P198">
        <v>9.3110007613860426E-3</v>
      </c>
      <c r="Q198" t="s">
        <v>154</v>
      </c>
      <c r="S198" t="s">
        <v>202</v>
      </c>
      <c r="T198" t="s">
        <v>249</v>
      </c>
      <c r="U198">
        <v>6.2929526760897346E-3</v>
      </c>
      <c r="V198" t="s">
        <v>154</v>
      </c>
    </row>
    <row r="199" spans="9:22" x14ac:dyDescent="0.25">
      <c r="I199" t="s">
        <v>168</v>
      </c>
      <c r="J199" t="s">
        <v>250</v>
      </c>
      <c r="K199">
        <v>7.3830509235089783E-2</v>
      </c>
      <c r="L199" t="s">
        <v>154</v>
      </c>
      <c r="N199" t="s">
        <v>192</v>
      </c>
      <c r="O199" t="s">
        <v>250</v>
      </c>
      <c r="P199">
        <v>2.8909947161902615E-2</v>
      </c>
      <c r="Q199" t="s">
        <v>154</v>
      </c>
      <c r="S199" t="s">
        <v>202</v>
      </c>
      <c r="T199" t="s">
        <v>250</v>
      </c>
      <c r="U199">
        <v>1.8122755728929813E-2</v>
      </c>
      <c r="V199" t="s">
        <v>154</v>
      </c>
    </row>
    <row r="200" spans="9:22" x14ac:dyDescent="0.25">
      <c r="I200" t="s">
        <v>168</v>
      </c>
      <c r="J200" t="s">
        <v>251</v>
      </c>
      <c r="K200">
        <v>3.7961429063744244E-2</v>
      </c>
      <c r="L200" t="s">
        <v>154</v>
      </c>
      <c r="N200" t="s">
        <v>192</v>
      </c>
      <c r="O200" t="s">
        <v>251</v>
      </c>
      <c r="P200">
        <v>2.1274357792422868E-2</v>
      </c>
      <c r="Q200" t="s">
        <v>154</v>
      </c>
      <c r="S200" t="s">
        <v>202</v>
      </c>
      <c r="T200" t="s">
        <v>251</v>
      </c>
      <c r="U200">
        <v>1.5088599384921656E-2</v>
      </c>
      <c r="V200" t="s">
        <v>154</v>
      </c>
    </row>
    <row r="201" spans="9:22" x14ac:dyDescent="0.25">
      <c r="I201" t="s">
        <v>168</v>
      </c>
      <c r="J201" t="s">
        <v>266</v>
      </c>
      <c r="K201">
        <v>1.5340684923306806E-2</v>
      </c>
      <c r="L201" t="s">
        <v>154</v>
      </c>
      <c r="N201" t="s">
        <v>192</v>
      </c>
      <c r="O201" t="s">
        <v>266</v>
      </c>
      <c r="P201">
        <v>1.9689798922877224E-2</v>
      </c>
      <c r="Q201" t="s">
        <v>154</v>
      </c>
      <c r="S201" t="s">
        <v>202</v>
      </c>
      <c r="T201" t="s">
        <v>266</v>
      </c>
      <c r="U201">
        <v>1.5193505476938379E-2</v>
      </c>
      <c r="V201" t="s">
        <v>154</v>
      </c>
    </row>
    <row r="202" spans="9:22" x14ac:dyDescent="0.25">
      <c r="I202" t="s">
        <v>168</v>
      </c>
      <c r="J202" t="s">
        <v>267</v>
      </c>
      <c r="K202">
        <v>8.7315767617342899E-5</v>
      </c>
      <c r="L202" t="s">
        <v>154</v>
      </c>
      <c r="N202" t="s">
        <v>192</v>
      </c>
      <c r="O202" t="s">
        <v>267</v>
      </c>
      <c r="P202">
        <v>5.8869474269302044E-2</v>
      </c>
      <c r="Q202" t="s">
        <v>154</v>
      </c>
      <c r="S202" t="s">
        <v>202</v>
      </c>
      <c r="T202" t="s">
        <v>267</v>
      </c>
      <c r="U202">
        <v>4.9625720243171835E-2</v>
      </c>
      <c r="V202" t="s">
        <v>154</v>
      </c>
    </row>
    <row r="203" spans="9:22" x14ac:dyDescent="0.25">
      <c r="I203" t="s">
        <v>169</v>
      </c>
      <c r="J203" t="s">
        <v>153</v>
      </c>
      <c r="K203">
        <v>0</v>
      </c>
      <c r="L203" t="s">
        <v>154</v>
      </c>
      <c r="N203" t="s">
        <v>193</v>
      </c>
      <c r="O203" t="s">
        <v>153</v>
      </c>
      <c r="P203">
        <v>5.8804402678851418E-2</v>
      </c>
      <c r="Q203" t="s">
        <v>154</v>
      </c>
      <c r="S203" t="s">
        <v>203</v>
      </c>
      <c r="T203" t="s">
        <v>153</v>
      </c>
      <c r="U203">
        <v>2.2840336172315449E-2</v>
      </c>
      <c r="V203" t="s">
        <v>154</v>
      </c>
    </row>
    <row r="204" spans="9:22" x14ac:dyDescent="0.25">
      <c r="I204" t="s">
        <v>169</v>
      </c>
      <c r="J204" t="s">
        <v>155</v>
      </c>
      <c r="K204">
        <v>5.9900772868252215E-3</v>
      </c>
      <c r="L204" t="s">
        <v>154</v>
      </c>
      <c r="N204" t="s">
        <v>193</v>
      </c>
      <c r="O204" t="s">
        <v>155</v>
      </c>
      <c r="P204">
        <v>1.3343045897562024E-2</v>
      </c>
      <c r="Q204" t="s">
        <v>154</v>
      </c>
      <c r="S204" t="s">
        <v>203</v>
      </c>
      <c r="T204" t="s">
        <v>155</v>
      </c>
      <c r="U204">
        <v>5.5201478645645063E-3</v>
      </c>
      <c r="V204" t="s">
        <v>154</v>
      </c>
    </row>
    <row r="205" spans="9:22" x14ac:dyDescent="0.25">
      <c r="I205" t="s">
        <v>169</v>
      </c>
      <c r="J205" t="s">
        <v>156</v>
      </c>
      <c r="K205">
        <v>5.5533148944004766E-3</v>
      </c>
      <c r="L205" t="s">
        <v>154</v>
      </c>
      <c r="N205" t="s">
        <v>193</v>
      </c>
      <c r="O205" t="s">
        <v>156</v>
      </c>
      <c r="P205">
        <v>6.3982104125513929E-3</v>
      </c>
      <c r="Q205" t="s">
        <v>154</v>
      </c>
      <c r="S205" t="s">
        <v>203</v>
      </c>
      <c r="T205" t="s">
        <v>156</v>
      </c>
      <c r="U205">
        <v>2.6271437929961364E-3</v>
      </c>
      <c r="V205" t="s">
        <v>154</v>
      </c>
    </row>
    <row r="206" spans="9:22" x14ac:dyDescent="0.25">
      <c r="I206" t="s">
        <v>169</v>
      </c>
      <c r="J206" t="s">
        <v>222</v>
      </c>
      <c r="K206">
        <v>6.9434009902481185E-3</v>
      </c>
      <c r="L206" t="s">
        <v>154</v>
      </c>
      <c r="N206" t="s">
        <v>193</v>
      </c>
      <c r="O206" t="s">
        <v>222</v>
      </c>
      <c r="P206">
        <v>6.2629019551551863E-3</v>
      </c>
      <c r="Q206" t="s">
        <v>154</v>
      </c>
      <c r="S206" t="s">
        <v>203</v>
      </c>
      <c r="T206" t="s">
        <v>222</v>
      </c>
      <c r="U206">
        <v>2.7465895397317534E-3</v>
      </c>
      <c r="V206" t="s">
        <v>154</v>
      </c>
    </row>
    <row r="207" spans="9:22" x14ac:dyDescent="0.25">
      <c r="I207" t="s">
        <v>169</v>
      </c>
      <c r="J207" t="s">
        <v>223</v>
      </c>
      <c r="K207">
        <v>2.2321216288975886E-2</v>
      </c>
      <c r="L207" t="s">
        <v>154</v>
      </c>
      <c r="N207" t="s">
        <v>193</v>
      </c>
      <c r="O207" t="s">
        <v>223</v>
      </c>
      <c r="P207">
        <v>1.9347046849090017E-2</v>
      </c>
      <c r="Q207" t="s">
        <v>154</v>
      </c>
      <c r="S207" t="s">
        <v>203</v>
      </c>
      <c r="T207" t="s">
        <v>223</v>
      </c>
      <c r="U207">
        <v>8.5346498336659263E-3</v>
      </c>
      <c r="V207" t="s">
        <v>154</v>
      </c>
    </row>
    <row r="208" spans="9:22" x14ac:dyDescent="0.25">
      <c r="I208" t="s">
        <v>169</v>
      </c>
      <c r="J208" t="s">
        <v>224</v>
      </c>
      <c r="K208">
        <v>1.1485494782181502E-2</v>
      </c>
      <c r="L208" t="s">
        <v>154</v>
      </c>
      <c r="N208" t="s">
        <v>193</v>
      </c>
      <c r="O208" t="s">
        <v>224</v>
      </c>
      <c r="P208">
        <v>1.3787165809203829E-2</v>
      </c>
      <c r="Q208" t="s">
        <v>154</v>
      </c>
      <c r="S208" t="s">
        <v>203</v>
      </c>
      <c r="T208" t="s">
        <v>224</v>
      </c>
      <c r="U208">
        <v>5.4424291118371302E-3</v>
      </c>
      <c r="V208" t="s">
        <v>154</v>
      </c>
    </row>
    <row r="209" spans="9:22" x14ac:dyDescent="0.25">
      <c r="I209" t="s">
        <v>169</v>
      </c>
      <c r="J209" t="s">
        <v>256</v>
      </c>
      <c r="K209">
        <v>5.4797469567303102E-3</v>
      </c>
      <c r="L209" t="s">
        <v>154</v>
      </c>
      <c r="N209" t="s">
        <v>193</v>
      </c>
      <c r="O209" t="s">
        <v>256</v>
      </c>
      <c r="P209">
        <v>1.3853512224536662E-2</v>
      </c>
      <c r="Q209" t="s">
        <v>154</v>
      </c>
      <c r="S209" t="s">
        <v>203</v>
      </c>
      <c r="T209" t="s">
        <v>256</v>
      </c>
      <c r="U209">
        <v>5.8890361169617357E-3</v>
      </c>
      <c r="V209" t="s">
        <v>154</v>
      </c>
    </row>
    <row r="210" spans="9:22" x14ac:dyDescent="0.25">
      <c r="I210" t="s">
        <v>169</v>
      </c>
      <c r="J210" t="s">
        <v>257</v>
      </c>
      <c r="K210">
        <v>8.6831349015103196E-4</v>
      </c>
      <c r="L210" t="s">
        <v>154</v>
      </c>
      <c r="N210" t="s">
        <v>193</v>
      </c>
      <c r="O210" t="s">
        <v>257</v>
      </c>
      <c r="P210">
        <v>4.2186839691652663E-2</v>
      </c>
      <c r="Q210" t="s">
        <v>154</v>
      </c>
      <c r="S210" t="s">
        <v>203</v>
      </c>
      <c r="T210" t="s">
        <v>257</v>
      </c>
      <c r="U210">
        <v>1.9671410569378649E-2</v>
      </c>
      <c r="V210" t="s">
        <v>154</v>
      </c>
    </row>
    <row r="211" spans="9:22" x14ac:dyDescent="0.25">
      <c r="I211" t="s">
        <v>169</v>
      </c>
      <c r="J211" t="s">
        <v>157</v>
      </c>
      <c r="K211">
        <v>6.1267133009531584E-4</v>
      </c>
      <c r="L211" t="s">
        <v>154</v>
      </c>
      <c r="N211" t="s">
        <v>193</v>
      </c>
      <c r="O211" t="s">
        <v>157</v>
      </c>
      <c r="P211">
        <v>0.11019482611908926</v>
      </c>
      <c r="Q211" t="s">
        <v>154</v>
      </c>
      <c r="S211" t="s">
        <v>203</v>
      </c>
      <c r="T211" t="s">
        <v>157</v>
      </c>
      <c r="U211">
        <v>7.4813187919216512E-2</v>
      </c>
      <c r="V211" t="s">
        <v>154</v>
      </c>
    </row>
    <row r="212" spans="9:22" x14ac:dyDescent="0.25">
      <c r="I212" t="s">
        <v>169</v>
      </c>
      <c r="J212" t="s">
        <v>158</v>
      </c>
      <c r="K212">
        <v>3.0912311961422894E-2</v>
      </c>
      <c r="L212" t="s">
        <v>154</v>
      </c>
      <c r="N212" t="s">
        <v>193</v>
      </c>
      <c r="O212" t="s">
        <v>158</v>
      </c>
      <c r="P212">
        <v>2.5113163969463285E-2</v>
      </c>
      <c r="Q212" t="s">
        <v>154</v>
      </c>
      <c r="S212" t="s">
        <v>203</v>
      </c>
      <c r="T212" t="s">
        <v>158</v>
      </c>
      <c r="U212">
        <v>1.9395630561188797E-2</v>
      </c>
      <c r="V212" t="s">
        <v>154</v>
      </c>
    </row>
    <row r="213" spans="9:22" x14ac:dyDescent="0.25">
      <c r="I213" t="s">
        <v>169</v>
      </c>
      <c r="J213" t="s">
        <v>159</v>
      </c>
      <c r="K213">
        <v>2.8718540265746335E-2</v>
      </c>
      <c r="L213" t="s">
        <v>154</v>
      </c>
      <c r="N213" t="s">
        <v>193</v>
      </c>
      <c r="O213" t="s">
        <v>159</v>
      </c>
      <c r="P213">
        <v>1.2582468960292715E-2</v>
      </c>
      <c r="Q213" t="s">
        <v>154</v>
      </c>
      <c r="S213" t="s">
        <v>203</v>
      </c>
      <c r="T213" t="s">
        <v>159</v>
      </c>
      <c r="U213">
        <v>1.094931048090835E-2</v>
      </c>
      <c r="V213" t="s">
        <v>154</v>
      </c>
    </row>
    <row r="214" spans="9:22" x14ac:dyDescent="0.25">
      <c r="I214" t="s">
        <v>169</v>
      </c>
      <c r="J214" t="s">
        <v>225</v>
      </c>
      <c r="K214">
        <v>3.4138286277289535E-2</v>
      </c>
      <c r="L214" t="s">
        <v>154</v>
      </c>
      <c r="N214" t="s">
        <v>193</v>
      </c>
      <c r="O214" t="s">
        <v>225</v>
      </c>
      <c r="P214">
        <v>1.2233596751544061E-2</v>
      </c>
      <c r="Q214" t="s">
        <v>154</v>
      </c>
      <c r="S214" t="s">
        <v>203</v>
      </c>
      <c r="T214" t="s">
        <v>225</v>
      </c>
      <c r="U214">
        <v>1.0999840571585132E-2</v>
      </c>
      <c r="V214" t="s">
        <v>154</v>
      </c>
    </row>
    <row r="215" spans="9:22" x14ac:dyDescent="0.25">
      <c r="I215" t="s">
        <v>169</v>
      </c>
      <c r="J215" t="s">
        <v>226</v>
      </c>
      <c r="K215">
        <v>0.11445560801976483</v>
      </c>
      <c r="L215" t="s">
        <v>154</v>
      </c>
      <c r="N215" t="s">
        <v>193</v>
      </c>
      <c r="O215" t="s">
        <v>226</v>
      </c>
      <c r="P215">
        <v>3.512045059480369E-2</v>
      </c>
      <c r="Q215" t="s">
        <v>154</v>
      </c>
      <c r="S215" t="s">
        <v>203</v>
      </c>
      <c r="T215" t="s">
        <v>226</v>
      </c>
      <c r="U215">
        <v>3.2234035389893473E-2</v>
      </c>
      <c r="V215" t="s">
        <v>154</v>
      </c>
    </row>
    <row r="216" spans="9:22" x14ac:dyDescent="0.25">
      <c r="I216" t="s">
        <v>169</v>
      </c>
      <c r="J216" t="s">
        <v>227</v>
      </c>
      <c r="K216">
        <v>6.4390937581677438E-2</v>
      </c>
      <c r="L216" t="s">
        <v>154</v>
      </c>
      <c r="N216" t="s">
        <v>193</v>
      </c>
      <c r="O216" t="s">
        <v>227</v>
      </c>
      <c r="P216">
        <v>2.530535559154537E-2</v>
      </c>
      <c r="Q216" t="s">
        <v>154</v>
      </c>
      <c r="S216" t="s">
        <v>203</v>
      </c>
      <c r="T216" t="s">
        <v>227</v>
      </c>
      <c r="U216">
        <v>2.1497084028672286E-2</v>
      </c>
      <c r="V216" t="s">
        <v>154</v>
      </c>
    </row>
    <row r="217" spans="9:22" x14ac:dyDescent="0.25">
      <c r="I217" t="s">
        <v>169</v>
      </c>
      <c r="J217" t="s">
        <v>258</v>
      </c>
      <c r="K217">
        <v>3.4321312468274988E-2</v>
      </c>
      <c r="L217" t="s">
        <v>154</v>
      </c>
      <c r="N217" t="s">
        <v>193</v>
      </c>
      <c r="O217" t="s">
        <v>258</v>
      </c>
      <c r="P217">
        <v>2.7621277596591297E-2</v>
      </c>
      <c r="Q217" t="s">
        <v>154</v>
      </c>
      <c r="S217" t="s">
        <v>203</v>
      </c>
      <c r="T217" t="s">
        <v>258</v>
      </c>
      <c r="U217">
        <v>2.408864931573446E-2</v>
      </c>
      <c r="V217" t="s">
        <v>154</v>
      </c>
    </row>
    <row r="218" spans="9:22" x14ac:dyDescent="0.25">
      <c r="I218" t="s">
        <v>169</v>
      </c>
      <c r="J218" t="s">
        <v>259</v>
      </c>
      <c r="K218">
        <v>4.4796289746869252E-3</v>
      </c>
      <c r="L218" t="s">
        <v>154</v>
      </c>
      <c r="N218" t="s">
        <v>193</v>
      </c>
      <c r="O218" t="s">
        <v>259</v>
      </c>
      <c r="P218">
        <v>9.0542226864611872E-2</v>
      </c>
      <c r="Q218" t="s">
        <v>154</v>
      </c>
      <c r="S218" t="s">
        <v>203</v>
      </c>
      <c r="T218" t="s">
        <v>259</v>
      </c>
      <c r="U218">
        <v>7.1920585188304714E-2</v>
      </c>
      <c r="V218" t="s">
        <v>154</v>
      </c>
    </row>
    <row r="219" spans="9:22" x14ac:dyDescent="0.25">
      <c r="I219" t="s">
        <v>169</v>
      </c>
      <c r="J219" t="s">
        <v>160</v>
      </c>
      <c r="K219">
        <v>3.4826567319134111E-4</v>
      </c>
      <c r="L219" t="s">
        <v>154</v>
      </c>
      <c r="N219" t="s">
        <v>193</v>
      </c>
      <c r="O219" t="s">
        <v>160</v>
      </c>
      <c r="P219">
        <v>2.2116533871517265E-3</v>
      </c>
      <c r="Q219" t="s">
        <v>154</v>
      </c>
      <c r="S219" t="s">
        <v>203</v>
      </c>
      <c r="T219" t="s">
        <v>160</v>
      </c>
      <c r="U219">
        <v>2.9089996091762305E-3</v>
      </c>
      <c r="V219" t="s">
        <v>154</v>
      </c>
    </row>
    <row r="220" spans="9:22" x14ac:dyDescent="0.25">
      <c r="I220" t="s">
        <v>169</v>
      </c>
      <c r="J220" t="s">
        <v>161</v>
      </c>
      <c r="K220">
        <v>4.278121273140389E-3</v>
      </c>
      <c r="L220" t="s">
        <v>154</v>
      </c>
      <c r="N220" t="s">
        <v>193</v>
      </c>
      <c r="O220" t="s">
        <v>161</v>
      </c>
      <c r="P220">
        <v>5.2809087719425446E-4</v>
      </c>
      <c r="Q220" t="s">
        <v>154</v>
      </c>
      <c r="S220" t="s">
        <v>203</v>
      </c>
      <c r="T220" t="s">
        <v>161</v>
      </c>
      <c r="U220">
        <v>7.5863123696742589E-4</v>
      </c>
      <c r="V220" t="s">
        <v>154</v>
      </c>
    </row>
    <row r="221" spans="9:22" x14ac:dyDescent="0.25">
      <c r="I221" t="s">
        <v>169</v>
      </c>
      <c r="J221" t="s">
        <v>162</v>
      </c>
      <c r="K221">
        <v>3.7778469529320233E-3</v>
      </c>
      <c r="L221" t="s">
        <v>154</v>
      </c>
      <c r="N221" t="s">
        <v>193</v>
      </c>
      <c r="O221" t="s">
        <v>162</v>
      </c>
      <c r="P221">
        <v>1.302340680737774E-4</v>
      </c>
      <c r="Q221" t="s">
        <v>154</v>
      </c>
      <c r="S221" t="s">
        <v>203</v>
      </c>
      <c r="T221" t="s">
        <v>162</v>
      </c>
      <c r="U221">
        <v>4.2925256573229226E-4</v>
      </c>
      <c r="V221" t="s">
        <v>154</v>
      </c>
    </row>
    <row r="222" spans="9:22" x14ac:dyDescent="0.25">
      <c r="I222" t="s">
        <v>169</v>
      </c>
      <c r="J222" t="s">
        <v>228</v>
      </c>
      <c r="K222">
        <v>4.5956233518901256E-3</v>
      </c>
      <c r="L222" t="s">
        <v>154</v>
      </c>
      <c r="N222" t="s">
        <v>193</v>
      </c>
      <c r="O222" t="s">
        <v>228</v>
      </c>
      <c r="P222">
        <v>5.8916657030054701E-5</v>
      </c>
      <c r="Q222" t="s">
        <v>154</v>
      </c>
      <c r="S222" t="s">
        <v>203</v>
      </c>
      <c r="T222" t="s">
        <v>228</v>
      </c>
      <c r="U222">
        <v>4.3939501887353954E-4</v>
      </c>
      <c r="V222" t="s">
        <v>154</v>
      </c>
    </row>
    <row r="223" spans="9:22" x14ac:dyDescent="0.25">
      <c r="I223" t="s">
        <v>169</v>
      </c>
      <c r="J223" t="s">
        <v>229</v>
      </c>
      <c r="K223">
        <v>1.5346046870603678E-2</v>
      </c>
      <c r="L223" t="s">
        <v>154</v>
      </c>
      <c r="N223" t="s">
        <v>193</v>
      </c>
      <c r="O223" t="s">
        <v>229</v>
      </c>
      <c r="P223">
        <v>2.4401567572821258E-4</v>
      </c>
      <c r="Q223" t="s">
        <v>154</v>
      </c>
      <c r="S223" t="s">
        <v>203</v>
      </c>
      <c r="T223" t="s">
        <v>229</v>
      </c>
      <c r="U223">
        <v>1.0703532164102318E-3</v>
      </c>
      <c r="V223" t="s">
        <v>154</v>
      </c>
    </row>
    <row r="224" spans="9:22" x14ac:dyDescent="0.25">
      <c r="I224" t="s">
        <v>169</v>
      </c>
      <c r="J224" t="s">
        <v>230</v>
      </c>
      <c r="K224">
        <v>7.8497180396823515E-3</v>
      </c>
      <c r="L224" t="s">
        <v>154</v>
      </c>
      <c r="N224" t="s">
        <v>193</v>
      </c>
      <c r="O224" t="s">
        <v>230</v>
      </c>
      <c r="P224">
        <v>1.167497584557287E-4</v>
      </c>
      <c r="Q224" t="s">
        <v>154</v>
      </c>
      <c r="S224" t="s">
        <v>203</v>
      </c>
      <c r="T224" t="s">
        <v>230</v>
      </c>
      <c r="U224">
        <v>4.8782532191933613E-4</v>
      </c>
      <c r="V224" t="s">
        <v>154</v>
      </c>
    </row>
    <row r="225" spans="9:22" x14ac:dyDescent="0.25">
      <c r="I225" t="s">
        <v>169</v>
      </c>
      <c r="J225" t="s">
        <v>260</v>
      </c>
      <c r="K225">
        <v>4.2684743146200058E-3</v>
      </c>
      <c r="L225" t="s">
        <v>154</v>
      </c>
      <c r="N225" t="s">
        <v>193</v>
      </c>
      <c r="O225" t="s">
        <v>260</v>
      </c>
      <c r="P225">
        <v>1.4189259297023012E-4</v>
      </c>
      <c r="Q225" t="s">
        <v>154</v>
      </c>
      <c r="S225" t="s">
        <v>203</v>
      </c>
      <c r="T225" t="s">
        <v>260</v>
      </c>
      <c r="U225">
        <v>4.7334575295996132E-4</v>
      </c>
      <c r="V225" t="s">
        <v>154</v>
      </c>
    </row>
    <row r="226" spans="9:22" x14ac:dyDescent="0.25">
      <c r="I226" t="s">
        <v>169</v>
      </c>
      <c r="J226" t="s">
        <v>261</v>
      </c>
      <c r="K226">
        <v>9.3573617823807542E-5</v>
      </c>
      <c r="L226" t="s">
        <v>154</v>
      </c>
      <c r="N226" t="s">
        <v>193</v>
      </c>
      <c r="O226" t="s">
        <v>261</v>
      </c>
      <c r="P226">
        <v>2.244532374447758E-3</v>
      </c>
      <c r="Q226" t="s">
        <v>154</v>
      </c>
      <c r="S226" t="s">
        <v>203</v>
      </c>
      <c r="T226" t="s">
        <v>261</v>
      </c>
      <c r="U226">
        <v>1.9256682650389072E-3</v>
      </c>
      <c r="V226" t="s">
        <v>154</v>
      </c>
    </row>
    <row r="227" spans="9:22" x14ac:dyDescent="0.25">
      <c r="I227" t="s">
        <v>169</v>
      </c>
      <c r="J227" t="s">
        <v>163</v>
      </c>
      <c r="K227">
        <v>1.4283329751846828E-4</v>
      </c>
      <c r="L227" t="s">
        <v>154</v>
      </c>
      <c r="N227" t="s">
        <v>193</v>
      </c>
      <c r="O227" t="s">
        <v>163</v>
      </c>
      <c r="P227">
        <v>1.9570305647237069E-2</v>
      </c>
      <c r="Q227" t="s">
        <v>154</v>
      </c>
      <c r="S227" t="s">
        <v>203</v>
      </c>
      <c r="T227" t="s">
        <v>163</v>
      </c>
      <c r="U227">
        <v>2.1178354361007044E-2</v>
      </c>
      <c r="V227" t="s">
        <v>154</v>
      </c>
    </row>
    <row r="228" spans="9:22" x14ac:dyDescent="0.25">
      <c r="I228" t="s">
        <v>169</v>
      </c>
      <c r="J228" t="s">
        <v>164</v>
      </c>
      <c r="K228">
        <v>1.5045301388182086E-2</v>
      </c>
      <c r="L228" t="s">
        <v>154</v>
      </c>
      <c r="N228" t="s">
        <v>193</v>
      </c>
      <c r="O228" t="s">
        <v>164</v>
      </c>
      <c r="P228">
        <v>3.9745696703854892E-3</v>
      </c>
      <c r="Q228" t="s">
        <v>154</v>
      </c>
      <c r="S228" t="s">
        <v>203</v>
      </c>
      <c r="T228" t="s">
        <v>164</v>
      </c>
      <c r="U228">
        <v>6.1852310006443563E-3</v>
      </c>
      <c r="V228" t="s">
        <v>154</v>
      </c>
    </row>
    <row r="229" spans="9:22" x14ac:dyDescent="0.25">
      <c r="I229" t="s">
        <v>169</v>
      </c>
      <c r="J229" t="s">
        <v>165</v>
      </c>
      <c r="K229">
        <v>1.1809948154731523E-2</v>
      </c>
      <c r="L229" t="s">
        <v>154</v>
      </c>
      <c r="N229" t="s">
        <v>193</v>
      </c>
      <c r="O229" t="s">
        <v>165</v>
      </c>
      <c r="P229">
        <v>2.351709293921323E-3</v>
      </c>
      <c r="Q229" t="s">
        <v>154</v>
      </c>
      <c r="S229" t="s">
        <v>203</v>
      </c>
      <c r="T229" t="s">
        <v>165</v>
      </c>
      <c r="U229">
        <v>3.0197930709385803E-3</v>
      </c>
      <c r="V229" t="s">
        <v>154</v>
      </c>
    </row>
    <row r="230" spans="9:22" x14ac:dyDescent="0.25">
      <c r="I230" t="s">
        <v>169</v>
      </c>
      <c r="J230" t="s">
        <v>231</v>
      </c>
      <c r="K230">
        <v>1.3549088337072159E-2</v>
      </c>
      <c r="L230" t="s">
        <v>154</v>
      </c>
      <c r="N230" t="s">
        <v>193</v>
      </c>
      <c r="O230" t="s">
        <v>231</v>
      </c>
      <c r="P230">
        <v>2.4648555135158533E-3</v>
      </c>
      <c r="Q230" t="s">
        <v>154</v>
      </c>
      <c r="S230" t="s">
        <v>203</v>
      </c>
      <c r="T230" t="s">
        <v>231</v>
      </c>
      <c r="U230">
        <v>3.1965238287176264E-3</v>
      </c>
      <c r="V230" t="s">
        <v>154</v>
      </c>
    </row>
    <row r="231" spans="9:22" x14ac:dyDescent="0.25">
      <c r="I231" t="s">
        <v>169</v>
      </c>
      <c r="J231" t="s">
        <v>232</v>
      </c>
      <c r="K231">
        <v>4.5201723312417022E-2</v>
      </c>
      <c r="L231" t="s">
        <v>154</v>
      </c>
      <c r="N231" t="s">
        <v>193</v>
      </c>
      <c r="O231" t="s">
        <v>232</v>
      </c>
      <c r="P231">
        <v>7.3276569239525743E-3</v>
      </c>
      <c r="Q231" t="s">
        <v>154</v>
      </c>
      <c r="S231" t="s">
        <v>203</v>
      </c>
      <c r="T231" t="s">
        <v>232</v>
      </c>
      <c r="U231">
        <v>1.0879114064769236E-2</v>
      </c>
      <c r="V231" t="s">
        <v>154</v>
      </c>
    </row>
    <row r="232" spans="9:22" x14ac:dyDescent="0.25">
      <c r="I232" t="s">
        <v>169</v>
      </c>
      <c r="J232" t="s">
        <v>233</v>
      </c>
      <c r="K232">
        <v>2.3640376316543449E-2</v>
      </c>
      <c r="L232" t="s">
        <v>154</v>
      </c>
      <c r="N232" t="s">
        <v>193</v>
      </c>
      <c r="O232" t="s">
        <v>233</v>
      </c>
      <c r="P232">
        <v>4.2915804365454757E-3</v>
      </c>
      <c r="Q232" t="s">
        <v>154</v>
      </c>
      <c r="S232" t="s">
        <v>203</v>
      </c>
      <c r="T232" t="s">
        <v>233</v>
      </c>
      <c r="U232">
        <v>7.6467509031654859E-3</v>
      </c>
      <c r="V232" t="s">
        <v>154</v>
      </c>
    </row>
    <row r="233" spans="9:22" x14ac:dyDescent="0.25">
      <c r="I233" t="s">
        <v>169</v>
      </c>
      <c r="J233" t="s">
        <v>262</v>
      </c>
      <c r="K233">
        <v>1.3195954123700639E-2</v>
      </c>
      <c r="L233" t="s">
        <v>154</v>
      </c>
      <c r="N233" t="s">
        <v>193</v>
      </c>
      <c r="O233" t="s">
        <v>262</v>
      </c>
      <c r="P233">
        <v>3.2362456234099764E-3</v>
      </c>
      <c r="Q233" t="s">
        <v>154</v>
      </c>
      <c r="S233" t="s">
        <v>203</v>
      </c>
      <c r="T233" t="s">
        <v>262</v>
      </c>
      <c r="U233">
        <v>6.9482096606160344E-3</v>
      </c>
      <c r="V233" t="s">
        <v>154</v>
      </c>
    </row>
    <row r="234" spans="9:22" x14ac:dyDescent="0.25">
      <c r="I234" t="s">
        <v>169</v>
      </c>
      <c r="J234" t="s">
        <v>263</v>
      </c>
      <c r="K234">
        <v>3.1570895505814464E-3</v>
      </c>
      <c r="L234" t="s">
        <v>154</v>
      </c>
      <c r="N234" t="s">
        <v>193</v>
      </c>
      <c r="O234" t="s">
        <v>263</v>
      </c>
      <c r="P234">
        <v>9.9048036448080717E-3</v>
      </c>
      <c r="Q234" t="s">
        <v>154</v>
      </c>
      <c r="S234" t="s">
        <v>203</v>
      </c>
      <c r="T234" t="s">
        <v>263</v>
      </c>
      <c r="U234">
        <v>1.7714539405119682E-2</v>
      </c>
      <c r="V234" t="s">
        <v>154</v>
      </c>
    </row>
    <row r="235" spans="9:22" x14ac:dyDescent="0.25">
      <c r="I235" t="s">
        <v>169</v>
      </c>
      <c r="J235" t="s">
        <v>240</v>
      </c>
      <c r="K235">
        <v>1.6358551259239005E-3</v>
      </c>
      <c r="L235" t="s">
        <v>154</v>
      </c>
      <c r="N235" t="s">
        <v>193</v>
      </c>
      <c r="O235" t="s">
        <v>240</v>
      </c>
      <c r="P235">
        <v>7.2372521348894908E-2</v>
      </c>
      <c r="Q235" t="s">
        <v>154</v>
      </c>
      <c r="S235" t="s">
        <v>203</v>
      </c>
      <c r="T235" t="s">
        <v>240</v>
      </c>
      <c r="U235">
        <v>0.12040314471644453</v>
      </c>
      <c r="V235" t="s">
        <v>154</v>
      </c>
    </row>
    <row r="236" spans="9:22" x14ac:dyDescent="0.25">
      <c r="I236" t="s">
        <v>169</v>
      </c>
      <c r="J236" t="s">
        <v>241</v>
      </c>
      <c r="K236">
        <v>2.6739476261010829E-2</v>
      </c>
      <c r="L236" t="s">
        <v>154</v>
      </c>
      <c r="N236" t="s">
        <v>193</v>
      </c>
      <c r="O236" t="s">
        <v>241</v>
      </c>
      <c r="P236">
        <v>1.6275642889556574E-2</v>
      </c>
      <c r="Q236" t="s">
        <v>154</v>
      </c>
      <c r="S236" t="s">
        <v>203</v>
      </c>
      <c r="T236" t="s">
        <v>241</v>
      </c>
      <c r="U236">
        <v>3.4572733599573427E-2</v>
      </c>
      <c r="V236" t="s">
        <v>154</v>
      </c>
    </row>
    <row r="237" spans="9:22" x14ac:dyDescent="0.25">
      <c r="I237" t="s">
        <v>169</v>
      </c>
      <c r="J237" t="s">
        <v>242</v>
      </c>
      <c r="K237">
        <v>2.374587124040935E-2</v>
      </c>
      <c r="L237" t="s">
        <v>154</v>
      </c>
      <c r="N237" t="s">
        <v>193</v>
      </c>
      <c r="O237" t="s">
        <v>242</v>
      </c>
      <c r="P237">
        <v>7.6506592486592379E-3</v>
      </c>
      <c r="Q237" t="s">
        <v>154</v>
      </c>
      <c r="S237" t="s">
        <v>203</v>
      </c>
      <c r="T237" t="s">
        <v>242</v>
      </c>
      <c r="U237">
        <v>1.7205878402674658E-2</v>
      </c>
      <c r="V237" t="s">
        <v>154</v>
      </c>
    </row>
    <row r="238" spans="9:22" x14ac:dyDescent="0.25">
      <c r="I238" t="s">
        <v>169</v>
      </c>
      <c r="J238" t="s">
        <v>243</v>
      </c>
      <c r="K238">
        <v>2.797716701854527E-2</v>
      </c>
      <c r="L238" t="s">
        <v>154</v>
      </c>
      <c r="N238" t="s">
        <v>193</v>
      </c>
      <c r="O238" t="s">
        <v>243</v>
      </c>
      <c r="P238">
        <v>7.6438833648203204E-3</v>
      </c>
      <c r="Q238" t="s">
        <v>154</v>
      </c>
      <c r="S238" t="s">
        <v>203</v>
      </c>
      <c r="T238" t="s">
        <v>243</v>
      </c>
      <c r="U238">
        <v>1.7440108197264222E-2</v>
      </c>
      <c r="V238" t="s">
        <v>154</v>
      </c>
    </row>
    <row r="239" spans="9:22" x14ac:dyDescent="0.25">
      <c r="I239" t="s">
        <v>169</v>
      </c>
      <c r="J239" t="s">
        <v>244</v>
      </c>
      <c r="K239">
        <v>9.5421781751359389E-2</v>
      </c>
      <c r="L239" t="s">
        <v>154</v>
      </c>
      <c r="N239" t="s">
        <v>193</v>
      </c>
      <c r="O239" t="s">
        <v>244</v>
      </c>
      <c r="P239">
        <v>2.5002006804015313E-2</v>
      </c>
      <c r="Q239" t="s">
        <v>154</v>
      </c>
      <c r="S239" t="s">
        <v>203</v>
      </c>
      <c r="T239" t="s">
        <v>244</v>
      </c>
      <c r="U239">
        <v>5.5738279581275307E-2</v>
      </c>
      <c r="V239" t="s">
        <v>154</v>
      </c>
    </row>
    <row r="240" spans="9:22" x14ac:dyDescent="0.25">
      <c r="I240" t="s">
        <v>169</v>
      </c>
      <c r="J240" t="s">
        <v>245</v>
      </c>
      <c r="K240">
        <v>5.3827414940089337E-2</v>
      </c>
      <c r="L240" t="s">
        <v>154</v>
      </c>
      <c r="N240" t="s">
        <v>193</v>
      </c>
      <c r="O240" t="s">
        <v>245</v>
      </c>
      <c r="P240">
        <v>1.6289908871550712E-2</v>
      </c>
      <c r="Q240" t="s">
        <v>154</v>
      </c>
      <c r="S240" t="s">
        <v>203</v>
      </c>
      <c r="T240" t="s">
        <v>245</v>
      </c>
      <c r="U240">
        <v>3.8333454758463732E-2</v>
      </c>
      <c r="V240" t="s">
        <v>154</v>
      </c>
    </row>
    <row r="241" spans="9:22" x14ac:dyDescent="0.25">
      <c r="I241" t="s">
        <v>169</v>
      </c>
      <c r="J241" t="s">
        <v>264</v>
      </c>
      <c r="K241">
        <v>2.7165472226815722E-2</v>
      </c>
      <c r="L241" t="s">
        <v>154</v>
      </c>
      <c r="N241" t="s">
        <v>193</v>
      </c>
      <c r="O241" t="s">
        <v>264</v>
      </c>
      <c r="P241">
        <v>1.4232389906034051E-2</v>
      </c>
      <c r="Q241" t="s">
        <v>154</v>
      </c>
      <c r="S241" t="s">
        <v>203</v>
      </c>
      <c r="T241" t="s">
        <v>264</v>
      </c>
      <c r="U241">
        <v>3.6911577892242267E-2</v>
      </c>
      <c r="V241" t="s">
        <v>154</v>
      </c>
    </row>
    <row r="242" spans="9:22" x14ac:dyDescent="0.25">
      <c r="I242" t="s">
        <v>169</v>
      </c>
      <c r="J242" t="s">
        <v>265</v>
      </c>
      <c r="K242">
        <v>3.6670529746322092E-3</v>
      </c>
      <c r="L242" t="s">
        <v>154</v>
      </c>
      <c r="N242" t="s">
        <v>193</v>
      </c>
      <c r="O242" t="s">
        <v>265</v>
      </c>
      <c r="P242">
        <v>4.3811195785904027E-2</v>
      </c>
      <c r="Q242" t="s">
        <v>154</v>
      </c>
      <c r="S242" t="s">
        <v>203</v>
      </c>
      <c r="T242" t="s">
        <v>265</v>
      </c>
      <c r="U242">
        <v>0.10018096230422031</v>
      </c>
      <c r="V242" t="s">
        <v>154</v>
      </c>
    </row>
    <row r="243" spans="9:22" x14ac:dyDescent="0.25">
      <c r="I243" t="s">
        <v>169</v>
      </c>
      <c r="J243" t="s">
        <v>246</v>
      </c>
      <c r="K243">
        <v>3.4664400268613646E-3</v>
      </c>
      <c r="L243" t="s">
        <v>154</v>
      </c>
      <c r="N243" t="s">
        <v>193</v>
      </c>
      <c r="O243" t="s">
        <v>246</v>
      </c>
      <c r="P243">
        <v>7.8956070375426721E-2</v>
      </c>
      <c r="Q243" t="s">
        <v>154</v>
      </c>
      <c r="S243" t="s">
        <v>203</v>
      </c>
      <c r="T243" t="s">
        <v>246</v>
      </c>
      <c r="U243">
        <v>4.5652553346330914E-2</v>
      </c>
      <c r="V243" t="s">
        <v>154</v>
      </c>
    </row>
    <row r="244" spans="9:22" x14ac:dyDescent="0.25">
      <c r="I244" t="s">
        <v>169</v>
      </c>
      <c r="J244" t="s">
        <v>247</v>
      </c>
      <c r="K244">
        <v>2.4425639819568572E-2</v>
      </c>
      <c r="L244" t="s">
        <v>154</v>
      </c>
      <c r="N244" t="s">
        <v>193</v>
      </c>
      <c r="O244" t="s">
        <v>247</v>
      </c>
      <c r="P244">
        <v>1.987961510297688E-2</v>
      </c>
      <c r="Q244" t="s">
        <v>154</v>
      </c>
      <c r="S244" t="s">
        <v>203</v>
      </c>
      <c r="T244" t="s">
        <v>247</v>
      </c>
      <c r="U244">
        <v>1.3049670967366813E-2</v>
      </c>
      <c r="V244" t="s">
        <v>154</v>
      </c>
    </row>
    <row r="245" spans="9:22" x14ac:dyDescent="0.25">
      <c r="I245" t="s">
        <v>169</v>
      </c>
      <c r="J245" t="s">
        <v>248</v>
      </c>
      <c r="K245">
        <v>2.0072443025778673E-2</v>
      </c>
      <c r="L245" t="s">
        <v>154</v>
      </c>
      <c r="N245" t="s">
        <v>193</v>
      </c>
      <c r="O245" t="s">
        <v>248</v>
      </c>
      <c r="P245">
        <v>9.0350895165845994E-3</v>
      </c>
      <c r="Q245" t="s">
        <v>154</v>
      </c>
      <c r="S245" t="s">
        <v>203</v>
      </c>
      <c r="T245" t="s">
        <v>248</v>
      </c>
      <c r="U245">
        <v>6.7790609523475697E-3</v>
      </c>
      <c r="V245" t="s">
        <v>154</v>
      </c>
    </row>
    <row r="246" spans="9:22" x14ac:dyDescent="0.25">
      <c r="I246" t="s">
        <v>169</v>
      </c>
      <c r="J246" t="s">
        <v>249</v>
      </c>
      <c r="K246">
        <v>2.3502401577786249E-2</v>
      </c>
      <c r="L246" t="s">
        <v>154</v>
      </c>
      <c r="N246" t="s">
        <v>193</v>
      </c>
      <c r="O246" t="s">
        <v>249</v>
      </c>
      <c r="P246">
        <v>8.1750186944642839E-3</v>
      </c>
      <c r="Q246" t="s">
        <v>154</v>
      </c>
      <c r="S246" t="s">
        <v>203</v>
      </c>
      <c r="T246" t="s">
        <v>249</v>
      </c>
      <c r="U246">
        <v>6.4725893940927922E-3</v>
      </c>
      <c r="V246" t="s">
        <v>154</v>
      </c>
    </row>
    <row r="247" spans="9:22" x14ac:dyDescent="0.25">
      <c r="I247" t="s">
        <v>169</v>
      </c>
      <c r="J247" t="s">
        <v>250</v>
      </c>
      <c r="K247">
        <v>7.5409408002779565E-2</v>
      </c>
      <c r="L247" t="s">
        <v>154</v>
      </c>
      <c r="N247" t="s">
        <v>193</v>
      </c>
      <c r="O247" t="s">
        <v>250</v>
      </c>
      <c r="P247">
        <v>2.2083452997105492E-2</v>
      </c>
      <c r="Q247" t="s">
        <v>154</v>
      </c>
      <c r="S247" t="s">
        <v>203</v>
      </c>
      <c r="T247" t="s">
        <v>250</v>
      </c>
      <c r="U247">
        <v>1.816487828534653E-2</v>
      </c>
      <c r="V247" t="s">
        <v>154</v>
      </c>
    </row>
    <row r="248" spans="9:22" x14ac:dyDescent="0.25">
      <c r="I248" t="s">
        <v>169</v>
      </c>
      <c r="J248" t="s">
        <v>251</v>
      </c>
      <c r="K248">
        <v>3.9761302012506161E-2</v>
      </c>
      <c r="L248" t="s">
        <v>154</v>
      </c>
      <c r="N248" t="s">
        <v>193</v>
      </c>
      <c r="O248" t="s">
        <v>251</v>
      </c>
      <c r="P248">
        <v>1.5725949651596439E-2</v>
      </c>
      <c r="Q248" t="s">
        <v>154</v>
      </c>
      <c r="S248" t="s">
        <v>203</v>
      </c>
      <c r="T248" t="s">
        <v>251</v>
      </c>
      <c r="U248">
        <v>1.2268487823529774E-2</v>
      </c>
      <c r="V248" t="s">
        <v>154</v>
      </c>
    </row>
    <row r="249" spans="9:22" x14ac:dyDescent="0.25">
      <c r="I249" t="s">
        <v>169</v>
      </c>
      <c r="J249" t="s">
        <v>266</v>
      </c>
      <c r="K249">
        <v>1.6204803338614404E-2</v>
      </c>
      <c r="L249" t="s">
        <v>154</v>
      </c>
      <c r="N249" t="s">
        <v>193</v>
      </c>
      <c r="O249" t="s">
        <v>266</v>
      </c>
      <c r="P249">
        <v>1.4757910216725715E-2</v>
      </c>
      <c r="Q249" t="s">
        <v>154</v>
      </c>
      <c r="S249" t="s">
        <v>203</v>
      </c>
      <c r="T249" t="s">
        <v>266</v>
      </c>
      <c r="U249">
        <v>1.3364765504870349E-2</v>
      </c>
      <c r="V249" t="s">
        <v>154</v>
      </c>
    </row>
    <row r="250" spans="9:22" x14ac:dyDescent="0.25">
      <c r="I250" t="s">
        <v>169</v>
      </c>
      <c r="J250" t="s">
        <v>267</v>
      </c>
      <c r="K250">
        <v>6.6245142182587732E-6</v>
      </c>
      <c r="L250" t="s">
        <v>154</v>
      </c>
      <c r="N250" t="s">
        <v>193</v>
      </c>
      <c r="O250" t="s">
        <v>267</v>
      </c>
      <c r="P250">
        <v>5.6614381114316048E-2</v>
      </c>
      <c r="Q250" t="s">
        <v>154</v>
      </c>
      <c r="S250" t="s">
        <v>203</v>
      </c>
      <c r="T250" t="s">
        <v>267</v>
      </c>
      <c r="U250">
        <v>3.9029800534946382E-2</v>
      </c>
      <c r="V250" t="s">
        <v>154</v>
      </c>
    </row>
    <row r="251" spans="9:22" x14ac:dyDescent="0.25">
      <c r="I251" t="s">
        <v>170</v>
      </c>
      <c r="J251" t="s">
        <v>153</v>
      </c>
      <c r="K251">
        <v>0</v>
      </c>
      <c r="L251" t="s">
        <v>154</v>
      </c>
      <c r="N251" t="s">
        <v>194</v>
      </c>
      <c r="O251" t="s">
        <v>153</v>
      </c>
      <c r="P251">
        <v>3.5182260162683214E-2</v>
      </c>
      <c r="Q251" t="s">
        <v>154</v>
      </c>
      <c r="S251" t="s">
        <v>204</v>
      </c>
      <c r="T251" t="s">
        <v>153</v>
      </c>
      <c r="U251">
        <v>2.2672625008884936E-2</v>
      </c>
      <c r="V251" t="s">
        <v>154</v>
      </c>
    </row>
    <row r="252" spans="9:22" x14ac:dyDescent="0.25">
      <c r="I252" t="s">
        <v>170</v>
      </c>
      <c r="J252" t="s">
        <v>155</v>
      </c>
      <c r="K252">
        <v>5.5299976865061436E-3</v>
      </c>
      <c r="L252" t="s">
        <v>154</v>
      </c>
      <c r="N252" t="s">
        <v>194</v>
      </c>
      <c r="O252" t="s">
        <v>155</v>
      </c>
      <c r="P252">
        <v>7.9610116469557742E-3</v>
      </c>
      <c r="Q252" t="s">
        <v>154</v>
      </c>
      <c r="S252" t="s">
        <v>204</v>
      </c>
      <c r="T252" t="s">
        <v>155</v>
      </c>
      <c r="U252">
        <v>6.0597686591011756E-3</v>
      </c>
      <c r="V252" t="s">
        <v>154</v>
      </c>
    </row>
    <row r="253" spans="9:22" x14ac:dyDescent="0.25">
      <c r="I253" t="s">
        <v>170</v>
      </c>
      <c r="J253" t="s">
        <v>156</v>
      </c>
      <c r="K253">
        <v>5.3889798449266229E-3</v>
      </c>
      <c r="L253" t="s">
        <v>154</v>
      </c>
      <c r="N253" t="s">
        <v>194</v>
      </c>
      <c r="O253" t="s">
        <v>156</v>
      </c>
      <c r="P253">
        <v>3.6082199171601783E-3</v>
      </c>
      <c r="Q253" t="s">
        <v>154</v>
      </c>
      <c r="S253" t="s">
        <v>204</v>
      </c>
      <c r="T253" t="s">
        <v>156</v>
      </c>
      <c r="U253">
        <v>2.9706630580558623E-3</v>
      </c>
      <c r="V253" t="s">
        <v>154</v>
      </c>
    </row>
    <row r="254" spans="9:22" x14ac:dyDescent="0.25">
      <c r="I254" t="s">
        <v>170</v>
      </c>
      <c r="J254" t="s">
        <v>222</v>
      </c>
      <c r="K254">
        <v>6.6304174718804804E-3</v>
      </c>
      <c r="L254" t="s">
        <v>154</v>
      </c>
      <c r="N254" t="s">
        <v>194</v>
      </c>
      <c r="O254" t="s">
        <v>222</v>
      </c>
      <c r="P254">
        <v>3.3151202439926442E-3</v>
      </c>
      <c r="Q254" t="s">
        <v>154</v>
      </c>
      <c r="S254" t="s">
        <v>204</v>
      </c>
      <c r="T254" t="s">
        <v>222</v>
      </c>
      <c r="U254">
        <v>2.9766370496207115E-3</v>
      </c>
      <c r="V254" t="s">
        <v>154</v>
      </c>
    </row>
    <row r="255" spans="9:22" x14ac:dyDescent="0.25">
      <c r="I255" t="s">
        <v>170</v>
      </c>
      <c r="J255" t="s">
        <v>223</v>
      </c>
      <c r="K255">
        <v>2.1575385225815449E-2</v>
      </c>
      <c r="L255" t="s">
        <v>154</v>
      </c>
      <c r="N255" t="s">
        <v>194</v>
      </c>
      <c r="O255" t="s">
        <v>223</v>
      </c>
      <c r="P255">
        <v>8.1613112710773525E-3</v>
      </c>
      <c r="Q255" t="s">
        <v>154</v>
      </c>
      <c r="S255" t="s">
        <v>204</v>
      </c>
      <c r="T255" t="s">
        <v>223</v>
      </c>
      <c r="U255">
        <v>8.723567153408697E-3</v>
      </c>
      <c r="V255" t="s">
        <v>154</v>
      </c>
    </row>
    <row r="256" spans="9:22" x14ac:dyDescent="0.25">
      <c r="I256" t="s">
        <v>170</v>
      </c>
      <c r="J256" t="s">
        <v>224</v>
      </c>
      <c r="K256">
        <v>1.0850929791754466E-2</v>
      </c>
      <c r="L256" t="s">
        <v>154</v>
      </c>
      <c r="N256" t="s">
        <v>194</v>
      </c>
      <c r="O256" t="s">
        <v>224</v>
      </c>
      <c r="P256">
        <v>6.4496502866090251E-3</v>
      </c>
      <c r="Q256" t="s">
        <v>154</v>
      </c>
      <c r="S256" t="s">
        <v>204</v>
      </c>
      <c r="T256" t="s">
        <v>224</v>
      </c>
      <c r="U256">
        <v>5.8198916198541409E-3</v>
      </c>
      <c r="V256" t="s">
        <v>154</v>
      </c>
    </row>
    <row r="257" spans="9:22" x14ac:dyDescent="0.25">
      <c r="I257" t="s">
        <v>170</v>
      </c>
      <c r="J257" t="s">
        <v>256</v>
      </c>
      <c r="K257">
        <v>5.4056236645525033E-3</v>
      </c>
      <c r="L257" t="s">
        <v>154</v>
      </c>
      <c r="N257" t="s">
        <v>194</v>
      </c>
      <c r="O257" t="s">
        <v>256</v>
      </c>
      <c r="P257">
        <v>8.5193203975474328E-3</v>
      </c>
      <c r="Q257" t="s">
        <v>154</v>
      </c>
      <c r="S257" t="s">
        <v>204</v>
      </c>
      <c r="T257" t="s">
        <v>256</v>
      </c>
      <c r="U257">
        <v>6.3694007098162109E-3</v>
      </c>
      <c r="V257" t="s">
        <v>154</v>
      </c>
    </row>
    <row r="258" spans="9:22" x14ac:dyDescent="0.25">
      <c r="I258" t="s">
        <v>170</v>
      </c>
      <c r="J258" t="s">
        <v>257</v>
      </c>
      <c r="K258">
        <v>8.1214191041994446E-4</v>
      </c>
      <c r="L258" t="s">
        <v>154</v>
      </c>
      <c r="N258" t="s">
        <v>194</v>
      </c>
      <c r="O258" t="s">
        <v>257</v>
      </c>
      <c r="P258">
        <v>3.7532250507741685E-2</v>
      </c>
      <c r="Q258" t="s">
        <v>154</v>
      </c>
      <c r="S258" t="s">
        <v>204</v>
      </c>
      <c r="T258" t="s">
        <v>257</v>
      </c>
      <c r="U258">
        <v>2.110365989037918E-2</v>
      </c>
      <c r="V258" t="s">
        <v>154</v>
      </c>
    </row>
    <row r="259" spans="9:22" x14ac:dyDescent="0.25">
      <c r="I259" t="s">
        <v>170</v>
      </c>
      <c r="J259" t="s">
        <v>157</v>
      </c>
      <c r="K259">
        <v>9.439123192261558E-4</v>
      </c>
      <c r="L259" t="s">
        <v>154</v>
      </c>
      <c r="N259" t="s">
        <v>194</v>
      </c>
      <c r="O259" t="s">
        <v>157</v>
      </c>
      <c r="P259">
        <v>8.5940746213841471E-2</v>
      </c>
      <c r="Q259" t="s">
        <v>154</v>
      </c>
      <c r="S259" t="s">
        <v>204</v>
      </c>
      <c r="T259" t="s">
        <v>157</v>
      </c>
      <c r="U259">
        <v>8.0104746654990414E-2</v>
      </c>
      <c r="V259" t="s">
        <v>154</v>
      </c>
    </row>
    <row r="260" spans="9:22" x14ac:dyDescent="0.25">
      <c r="I260" t="s">
        <v>170</v>
      </c>
      <c r="J260" t="s">
        <v>158</v>
      </c>
      <c r="K260">
        <v>3.1492658376850072E-2</v>
      </c>
      <c r="L260" t="s">
        <v>154</v>
      </c>
      <c r="N260" t="s">
        <v>194</v>
      </c>
      <c r="O260" t="s">
        <v>158</v>
      </c>
      <c r="P260">
        <v>2.1176097735283363E-2</v>
      </c>
      <c r="Q260" t="s">
        <v>154</v>
      </c>
      <c r="S260" t="s">
        <v>204</v>
      </c>
      <c r="T260" t="s">
        <v>158</v>
      </c>
      <c r="U260">
        <v>2.3294836798825141E-2</v>
      </c>
      <c r="V260" t="s">
        <v>154</v>
      </c>
    </row>
    <row r="261" spans="9:22" x14ac:dyDescent="0.25">
      <c r="I261" t="s">
        <v>170</v>
      </c>
      <c r="J261" t="s">
        <v>159</v>
      </c>
      <c r="K261">
        <v>2.8580481343906429E-2</v>
      </c>
      <c r="L261" t="s">
        <v>154</v>
      </c>
      <c r="N261" t="s">
        <v>194</v>
      </c>
      <c r="O261" t="s">
        <v>159</v>
      </c>
      <c r="P261">
        <v>8.8451743099286929E-3</v>
      </c>
      <c r="Q261" t="s">
        <v>154</v>
      </c>
      <c r="S261" t="s">
        <v>204</v>
      </c>
      <c r="T261" t="s">
        <v>159</v>
      </c>
      <c r="U261">
        <v>1.2089836891332216E-2</v>
      </c>
      <c r="V261" t="s">
        <v>154</v>
      </c>
    </row>
    <row r="262" spans="9:22" x14ac:dyDescent="0.25">
      <c r="I262" t="s">
        <v>170</v>
      </c>
      <c r="J262" t="s">
        <v>225</v>
      </c>
      <c r="K262">
        <v>3.4367984374080132E-2</v>
      </c>
      <c r="L262" t="s">
        <v>154</v>
      </c>
      <c r="N262" t="s">
        <v>194</v>
      </c>
      <c r="O262" t="s">
        <v>225</v>
      </c>
      <c r="P262">
        <v>7.4193388660790715E-3</v>
      </c>
      <c r="Q262" t="s">
        <v>154</v>
      </c>
      <c r="S262" t="s">
        <v>204</v>
      </c>
      <c r="T262" t="s">
        <v>225</v>
      </c>
      <c r="U262">
        <v>1.1907943973928669E-2</v>
      </c>
      <c r="V262" t="s">
        <v>154</v>
      </c>
    </row>
    <row r="263" spans="9:22" x14ac:dyDescent="0.25">
      <c r="I263" t="s">
        <v>170</v>
      </c>
      <c r="J263" t="s">
        <v>226</v>
      </c>
      <c r="K263">
        <v>0.11655479990071743</v>
      </c>
      <c r="L263" t="s">
        <v>154</v>
      </c>
      <c r="N263" t="s">
        <v>194</v>
      </c>
      <c r="O263" t="s">
        <v>226</v>
      </c>
      <c r="P263">
        <v>2.1798476185541801E-2</v>
      </c>
      <c r="Q263" t="s">
        <v>154</v>
      </c>
      <c r="S263" t="s">
        <v>204</v>
      </c>
      <c r="T263" t="s">
        <v>226</v>
      </c>
      <c r="U263">
        <v>3.4512425129204237E-2</v>
      </c>
      <c r="V263" t="s">
        <v>154</v>
      </c>
    </row>
    <row r="264" spans="9:22" x14ac:dyDescent="0.25">
      <c r="I264" t="s">
        <v>170</v>
      </c>
      <c r="J264" t="s">
        <v>227</v>
      </c>
      <c r="K264">
        <v>6.5580877281049624E-2</v>
      </c>
      <c r="L264" t="s">
        <v>154</v>
      </c>
      <c r="N264" t="s">
        <v>194</v>
      </c>
      <c r="O264" t="s">
        <v>227</v>
      </c>
      <c r="P264">
        <v>2.2222857657181464E-2</v>
      </c>
      <c r="Q264" t="s">
        <v>154</v>
      </c>
      <c r="S264" t="s">
        <v>204</v>
      </c>
      <c r="T264" t="s">
        <v>227</v>
      </c>
      <c r="U264">
        <v>2.3810854023361791E-2</v>
      </c>
      <c r="V264" t="s">
        <v>154</v>
      </c>
    </row>
    <row r="265" spans="9:22" x14ac:dyDescent="0.25">
      <c r="I265" t="s">
        <v>170</v>
      </c>
      <c r="J265" t="s">
        <v>258</v>
      </c>
      <c r="K265">
        <v>3.5824106340938293E-2</v>
      </c>
      <c r="L265" t="s">
        <v>154</v>
      </c>
      <c r="N265" t="s">
        <v>194</v>
      </c>
      <c r="O265" t="s">
        <v>258</v>
      </c>
      <c r="P265">
        <v>2.3841992344177644E-2</v>
      </c>
      <c r="Q265" t="s">
        <v>154</v>
      </c>
      <c r="S265" t="s">
        <v>204</v>
      </c>
      <c r="T265" t="s">
        <v>258</v>
      </c>
      <c r="U265">
        <v>2.3858429708335991E-2</v>
      </c>
      <c r="V265" t="s">
        <v>154</v>
      </c>
    </row>
    <row r="266" spans="9:22" x14ac:dyDescent="0.25">
      <c r="I266" t="s">
        <v>170</v>
      </c>
      <c r="J266" t="s">
        <v>259</v>
      </c>
      <c r="K266">
        <v>5.7789444580029579E-3</v>
      </c>
      <c r="L266" t="s">
        <v>154</v>
      </c>
      <c r="N266" t="s">
        <v>194</v>
      </c>
      <c r="O266" t="s">
        <v>259</v>
      </c>
      <c r="P266">
        <v>7.6823634475413641E-2</v>
      </c>
      <c r="Q266" t="s">
        <v>154</v>
      </c>
      <c r="S266" t="s">
        <v>204</v>
      </c>
      <c r="T266" t="s">
        <v>259</v>
      </c>
      <c r="U266">
        <v>8.1807795917722845E-2</v>
      </c>
      <c r="V266" t="s">
        <v>154</v>
      </c>
    </row>
    <row r="267" spans="9:22" x14ac:dyDescent="0.25">
      <c r="I267" t="s">
        <v>170</v>
      </c>
      <c r="J267" t="s">
        <v>160</v>
      </c>
      <c r="K267">
        <v>6.3436739983382625E-4</v>
      </c>
      <c r="L267" t="s">
        <v>154</v>
      </c>
      <c r="N267" t="s">
        <v>194</v>
      </c>
      <c r="O267" t="s">
        <v>160</v>
      </c>
      <c r="P267">
        <v>1.764900893220907E-3</v>
      </c>
      <c r="Q267" t="s">
        <v>154</v>
      </c>
      <c r="S267" t="s">
        <v>204</v>
      </c>
      <c r="T267" t="s">
        <v>160</v>
      </c>
      <c r="U267">
        <v>1.5525087851070225E-3</v>
      </c>
      <c r="V267" t="s">
        <v>154</v>
      </c>
    </row>
    <row r="268" spans="9:22" x14ac:dyDescent="0.25">
      <c r="I268" t="s">
        <v>170</v>
      </c>
      <c r="J268" t="s">
        <v>161</v>
      </c>
      <c r="K268">
        <v>4.1164319928930207E-3</v>
      </c>
      <c r="L268" t="s">
        <v>154</v>
      </c>
      <c r="N268" t="s">
        <v>194</v>
      </c>
      <c r="O268" t="s">
        <v>161</v>
      </c>
      <c r="P268">
        <v>2.201232168673014E-4</v>
      </c>
      <c r="Q268" t="s">
        <v>154</v>
      </c>
      <c r="S268" t="s">
        <v>204</v>
      </c>
      <c r="T268" t="s">
        <v>161</v>
      </c>
      <c r="U268">
        <v>5.4622322792214034E-4</v>
      </c>
      <c r="V268" t="s">
        <v>154</v>
      </c>
    </row>
    <row r="269" spans="9:22" x14ac:dyDescent="0.25">
      <c r="I269" t="s">
        <v>170</v>
      </c>
      <c r="J269" t="s">
        <v>162</v>
      </c>
      <c r="K269">
        <v>3.759273965756153E-3</v>
      </c>
      <c r="L269" t="s">
        <v>154</v>
      </c>
      <c r="N269" t="s">
        <v>194</v>
      </c>
      <c r="O269" t="s">
        <v>162</v>
      </c>
      <c r="P269">
        <v>1.6704242596731215E-4</v>
      </c>
      <c r="Q269" t="s">
        <v>154</v>
      </c>
      <c r="S269" t="s">
        <v>204</v>
      </c>
      <c r="T269" t="s">
        <v>162</v>
      </c>
      <c r="U269">
        <v>2.9119781360210982E-4</v>
      </c>
      <c r="V269" t="s">
        <v>154</v>
      </c>
    </row>
    <row r="270" spans="9:22" x14ac:dyDescent="0.25">
      <c r="I270" t="s">
        <v>170</v>
      </c>
      <c r="J270" t="s">
        <v>228</v>
      </c>
      <c r="K270">
        <v>4.5704911380964053E-3</v>
      </c>
      <c r="L270" t="s">
        <v>154</v>
      </c>
      <c r="N270" t="s">
        <v>194</v>
      </c>
      <c r="O270" t="s">
        <v>228</v>
      </c>
      <c r="P270">
        <v>2.2507887485238265E-4</v>
      </c>
      <c r="Q270" t="s">
        <v>154</v>
      </c>
      <c r="S270" t="s">
        <v>204</v>
      </c>
      <c r="T270" t="s">
        <v>228</v>
      </c>
      <c r="U270">
        <v>2.6343050307840716E-4</v>
      </c>
      <c r="V270" t="s">
        <v>154</v>
      </c>
    </row>
    <row r="271" spans="9:22" x14ac:dyDescent="0.25">
      <c r="I271" t="s">
        <v>170</v>
      </c>
      <c r="J271" t="s">
        <v>229</v>
      </c>
      <c r="K271">
        <v>1.5462822508005751E-2</v>
      </c>
      <c r="L271" t="s">
        <v>154</v>
      </c>
      <c r="N271" t="s">
        <v>194</v>
      </c>
      <c r="O271" t="s">
        <v>229</v>
      </c>
      <c r="P271">
        <v>2.1002496900517096E-3</v>
      </c>
      <c r="Q271" t="s">
        <v>154</v>
      </c>
      <c r="S271" t="s">
        <v>204</v>
      </c>
      <c r="T271" t="s">
        <v>229</v>
      </c>
      <c r="U271">
        <v>4.7427491391329829E-4</v>
      </c>
      <c r="V271" t="s">
        <v>154</v>
      </c>
    </row>
    <row r="272" spans="9:22" x14ac:dyDescent="0.25">
      <c r="I272" t="s">
        <v>170</v>
      </c>
      <c r="J272" t="s">
        <v>230</v>
      </c>
      <c r="K272">
        <v>8.5758993084737011E-3</v>
      </c>
      <c r="L272" t="s">
        <v>154</v>
      </c>
      <c r="N272" t="s">
        <v>194</v>
      </c>
      <c r="O272" t="s">
        <v>230</v>
      </c>
      <c r="P272">
        <v>2.1460837182063789E-3</v>
      </c>
      <c r="Q272" t="s">
        <v>154</v>
      </c>
      <c r="S272" t="s">
        <v>204</v>
      </c>
      <c r="T272" t="s">
        <v>230</v>
      </c>
      <c r="U272">
        <v>1.5999789561910359E-4</v>
      </c>
      <c r="V272" t="s">
        <v>154</v>
      </c>
    </row>
    <row r="273" spans="9:22" x14ac:dyDescent="0.25">
      <c r="I273" t="s">
        <v>170</v>
      </c>
      <c r="J273" t="s">
        <v>260</v>
      </c>
      <c r="K273">
        <v>4.8499733442354184E-3</v>
      </c>
      <c r="L273" t="s">
        <v>154</v>
      </c>
      <c r="N273" t="s">
        <v>194</v>
      </c>
      <c r="O273" t="s">
        <v>260</v>
      </c>
      <c r="P273">
        <v>2.2001743460145083E-3</v>
      </c>
      <c r="Q273" t="s">
        <v>154</v>
      </c>
      <c r="S273" t="s">
        <v>204</v>
      </c>
      <c r="T273" t="s">
        <v>260</v>
      </c>
      <c r="U273">
        <v>1.9877780784959136E-4</v>
      </c>
      <c r="V273" t="s">
        <v>154</v>
      </c>
    </row>
    <row r="274" spans="9:22" x14ac:dyDescent="0.25">
      <c r="I274" t="s">
        <v>170</v>
      </c>
      <c r="J274" t="s">
        <v>261</v>
      </c>
      <c r="K274">
        <v>5.1251184394392581E-4</v>
      </c>
      <c r="L274" t="s">
        <v>154</v>
      </c>
      <c r="N274" t="s">
        <v>194</v>
      </c>
      <c r="O274" t="s">
        <v>261</v>
      </c>
      <c r="P274">
        <v>5.0376172538717104E-3</v>
      </c>
      <c r="Q274" t="s">
        <v>154</v>
      </c>
      <c r="S274" t="s">
        <v>204</v>
      </c>
      <c r="T274" t="s">
        <v>261</v>
      </c>
      <c r="U274">
        <v>1.3011320212960279E-3</v>
      </c>
      <c r="V274" t="s">
        <v>154</v>
      </c>
    </row>
    <row r="275" spans="9:22" x14ac:dyDescent="0.25">
      <c r="I275" t="s">
        <v>170</v>
      </c>
      <c r="J275" t="s">
        <v>163</v>
      </c>
      <c r="K275">
        <v>3.3823529124221691E-4</v>
      </c>
      <c r="L275" t="s">
        <v>154</v>
      </c>
      <c r="N275" t="s">
        <v>194</v>
      </c>
      <c r="O275" t="s">
        <v>163</v>
      </c>
      <c r="P275">
        <v>2.8430832822544164E-2</v>
      </c>
      <c r="Q275" t="s">
        <v>154</v>
      </c>
      <c r="S275" t="s">
        <v>204</v>
      </c>
      <c r="T275" t="s">
        <v>163</v>
      </c>
      <c r="U275">
        <v>2.0344539786036002E-2</v>
      </c>
      <c r="V275" t="s">
        <v>154</v>
      </c>
    </row>
    <row r="276" spans="9:22" x14ac:dyDescent="0.25">
      <c r="I276" t="s">
        <v>170</v>
      </c>
      <c r="J276" t="s">
        <v>164</v>
      </c>
      <c r="K276">
        <v>1.4088335050958177E-2</v>
      </c>
      <c r="L276" t="s">
        <v>154</v>
      </c>
      <c r="N276" t="s">
        <v>194</v>
      </c>
      <c r="O276" t="s">
        <v>164</v>
      </c>
      <c r="P276">
        <v>6.9072582571195499E-3</v>
      </c>
      <c r="Q276" t="s">
        <v>154</v>
      </c>
      <c r="S276" t="s">
        <v>204</v>
      </c>
      <c r="T276" t="s">
        <v>164</v>
      </c>
      <c r="U276">
        <v>6.054677370556487E-3</v>
      </c>
      <c r="V276" t="s">
        <v>154</v>
      </c>
    </row>
    <row r="277" spans="9:22" x14ac:dyDescent="0.25">
      <c r="I277" t="s">
        <v>170</v>
      </c>
      <c r="J277" t="s">
        <v>165</v>
      </c>
      <c r="K277">
        <v>1.1263013871784232E-2</v>
      </c>
      <c r="L277" t="s">
        <v>154</v>
      </c>
      <c r="N277" t="s">
        <v>194</v>
      </c>
      <c r="O277" t="s">
        <v>165</v>
      </c>
      <c r="P277">
        <v>3.3518484845860464E-3</v>
      </c>
      <c r="Q277" t="s">
        <v>154</v>
      </c>
      <c r="S277" t="s">
        <v>204</v>
      </c>
      <c r="T277" t="s">
        <v>165</v>
      </c>
      <c r="U277">
        <v>3.331280162465834E-3</v>
      </c>
      <c r="V277" t="s">
        <v>154</v>
      </c>
    </row>
    <row r="278" spans="9:22" x14ac:dyDescent="0.25">
      <c r="I278" t="s">
        <v>170</v>
      </c>
      <c r="J278" t="s">
        <v>231</v>
      </c>
      <c r="K278">
        <v>1.3233026957148465E-2</v>
      </c>
      <c r="L278" t="s">
        <v>154</v>
      </c>
      <c r="N278" t="s">
        <v>194</v>
      </c>
      <c r="O278" t="s">
        <v>231</v>
      </c>
      <c r="P278">
        <v>3.4446295828169547E-3</v>
      </c>
      <c r="Q278" t="s">
        <v>154</v>
      </c>
      <c r="S278" t="s">
        <v>204</v>
      </c>
      <c r="T278" t="s">
        <v>231</v>
      </c>
      <c r="U278">
        <v>3.5244092511074244E-3</v>
      </c>
      <c r="V278" t="s">
        <v>154</v>
      </c>
    </row>
    <row r="279" spans="9:22" x14ac:dyDescent="0.25">
      <c r="I279" t="s">
        <v>170</v>
      </c>
      <c r="J279" t="s">
        <v>232</v>
      </c>
      <c r="K279">
        <v>4.5345682210638637E-2</v>
      </c>
      <c r="L279" t="s">
        <v>154</v>
      </c>
      <c r="N279" t="s">
        <v>194</v>
      </c>
      <c r="O279" t="s">
        <v>232</v>
      </c>
      <c r="P279">
        <v>1.1833358514344399E-2</v>
      </c>
      <c r="Q279" t="s">
        <v>154</v>
      </c>
      <c r="S279" t="s">
        <v>204</v>
      </c>
      <c r="T279" t="s">
        <v>232</v>
      </c>
      <c r="U279">
        <v>1.093856529342515E-2</v>
      </c>
      <c r="V279" t="s">
        <v>154</v>
      </c>
    </row>
    <row r="280" spans="9:22" x14ac:dyDescent="0.25">
      <c r="I280" t="s">
        <v>170</v>
      </c>
      <c r="J280" t="s">
        <v>233</v>
      </c>
      <c r="K280">
        <v>2.3578589384181798E-2</v>
      </c>
      <c r="L280" t="s">
        <v>154</v>
      </c>
      <c r="N280" t="s">
        <v>194</v>
      </c>
      <c r="O280" t="s">
        <v>233</v>
      </c>
      <c r="P280">
        <v>9.0303661542363908E-3</v>
      </c>
      <c r="Q280" t="s">
        <v>154</v>
      </c>
      <c r="S280" t="s">
        <v>204</v>
      </c>
      <c r="T280" t="s">
        <v>233</v>
      </c>
      <c r="U280">
        <v>6.5147281317300158E-3</v>
      </c>
      <c r="V280" t="s">
        <v>154</v>
      </c>
    </row>
    <row r="281" spans="9:22" x14ac:dyDescent="0.25">
      <c r="I281" t="s">
        <v>170</v>
      </c>
      <c r="J281" t="s">
        <v>262</v>
      </c>
      <c r="K281">
        <v>1.3661131469635648E-2</v>
      </c>
      <c r="L281" t="s">
        <v>154</v>
      </c>
      <c r="N281" t="s">
        <v>194</v>
      </c>
      <c r="O281" t="s">
        <v>262</v>
      </c>
      <c r="P281">
        <v>7.6230743074139342E-3</v>
      </c>
      <c r="Q281" t="s">
        <v>154</v>
      </c>
      <c r="S281" t="s">
        <v>204</v>
      </c>
      <c r="T281" t="s">
        <v>262</v>
      </c>
      <c r="U281">
        <v>6.2060175358724864E-3</v>
      </c>
      <c r="V281" t="s">
        <v>154</v>
      </c>
    </row>
    <row r="282" spans="9:22" x14ac:dyDescent="0.25">
      <c r="I282" t="s">
        <v>170</v>
      </c>
      <c r="J282" t="s">
        <v>263</v>
      </c>
      <c r="K282">
        <v>3.4737388453051823E-3</v>
      </c>
      <c r="L282" t="s">
        <v>154</v>
      </c>
      <c r="N282" t="s">
        <v>194</v>
      </c>
      <c r="O282" t="s">
        <v>263</v>
      </c>
      <c r="P282">
        <v>1.9100141196786893E-2</v>
      </c>
      <c r="Q282" t="s">
        <v>154</v>
      </c>
      <c r="S282" t="s">
        <v>204</v>
      </c>
      <c r="T282" t="s">
        <v>263</v>
      </c>
      <c r="U282">
        <v>1.5391499859192042E-2</v>
      </c>
      <c r="V282" t="s">
        <v>154</v>
      </c>
    </row>
    <row r="283" spans="9:22" x14ac:dyDescent="0.25">
      <c r="I283" t="s">
        <v>170</v>
      </c>
      <c r="J283" t="s">
        <v>240</v>
      </c>
      <c r="K283">
        <v>1.4709877171953736E-3</v>
      </c>
      <c r="L283" t="s">
        <v>154</v>
      </c>
      <c r="N283" t="s">
        <v>194</v>
      </c>
      <c r="O283" t="s">
        <v>240</v>
      </c>
      <c r="P283">
        <v>2.9345913400214429E-2</v>
      </c>
      <c r="Q283" t="s">
        <v>154</v>
      </c>
      <c r="S283" t="s">
        <v>204</v>
      </c>
      <c r="T283" t="s">
        <v>240</v>
      </c>
      <c r="U283">
        <v>0.10989795994870966</v>
      </c>
      <c r="V283" t="s">
        <v>154</v>
      </c>
    </row>
    <row r="284" spans="9:22" x14ac:dyDescent="0.25">
      <c r="I284" t="s">
        <v>170</v>
      </c>
      <c r="J284" t="s">
        <v>241</v>
      </c>
      <c r="K284">
        <v>2.5748769118673895E-2</v>
      </c>
      <c r="L284" t="s">
        <v>154</v>
      </c>
      <c r="N284" t="s">
        <v>194</v>
      </c>
      <c r="O284" t="s">
        <v>241</v>
      </c>
      <c r="P284">
        <v>6.1726574282247601E-3</v>
      </c>
      <c r="Q284" t="s">
        <v>154</v>
      </c>
      <c r="S284" t="s">
        <v>204</v>
      </c>
      <c r="T284" t="s">
        <v>241</v>
      </c>
      <c r="U284">
        <v>3.2641747035471687E-2</v>
      </c>
      <c r="V284" t="s">
        <v>154</v>
      </c>
    </row>
    <row r="285" spans="9:22" x14ac:dyDescent="0.25">
      <c r="I285" t="s">
        <v>170</v>
      </c>
      <c r="J285" t="s">
        <v>242</v>
      </c>
      <c r="K285">
        <v>2.3685972481490382E-2</v>
      </c>
      <c r="L285" t="s">
        <v>154</v>
      </c>
      <c r="N285" t="s">
        <v>194</v>
      </c>
      <c r="O285" t="s">
        <v>242</v>
      </c>
      <c r="P285">
        <v>3.6623368484434856E-3</v>
      </c>
      <c r="Q285" t="s">
        <v>154</v>
      </c>
      <c r="S285" t="s">
        <v>204</v>
      </c>
      <c r="T285" t="s">
        <v>242</v>
      </c>
      <c r="U285">
        <v>1.6461247329406771E-2</v>
      </c>
      <c r="V285" t="s">
        <v>154</v>
      </c>
    </row>
    <row r="286" spans="9:22" x14ac:dyDescent="0.25">
      <c r="I286" t="s">
        <v>170</v>
      </c>
      <c r="J286" t="s">
        <v>243</v>
      </c>
      <c r="K286">
        <v>2.8747141800914193E-2</v>
      </c>
      <c r="L286" t="s">
        <v>154</v>
      </c>
      <c r="N286" t="s">
        <v>194</v>
      </c>
      <c r="O286" t="s">
        <v>243</v>
      </c>
      <c r="P286">
        <v>4.6277202776038922E-3</v>
      </c>
      <c r="Q286" t="s">
        <v>154</v>
      </c>
      <c r="S286" t="s">
        <v>204</v>
      </c>
      <c r="T286" t="s">
        <v>243</v>
      </c>
      <c r="U286">
        <v>1.7143338497532374E-2</v>
      </c>
      <c r="V286" t="s">
        <v>154</v>
      </c>
    </row>
    <row r="287" spans="9:22" x14ac:dyDescent="0.25">
      <c r="I287" t="s">
        <v>170</v>
      </c>
      <c r="J287" t="s">
        <v>244</v>
      </c>
      <c r="K287">
        <v>9.6641985108909159E-2</v>
      </c>
      <c r="L287" t="s">
        <v>154</v>
      </c>
      <c r="N287" t="s">
        <v>194</v>
      </c>
      <c r="O287" t="s">
        <v>244</v>
      </c>
      <c r="P287">
        <v>2.1029915764582078E-2</v>
      </c>
      <c r="Q287" t="s">
        <v>154</v>
      </c>
      <c r="S287" t="s">
        <v>204</v>
      </c>
      <c r="T287" t="s">
        <v>244</v>
      </c>
      <c r="U287">
        <v>5.3714785240851014E-2</v>
      </c>
      <c r="V287" t="s">
        <v>154</v>
      </c>
    </row>
    <row r="288" spans="9:22" x14ac:dyDescent="0.25">
      <c r="I288" t="s">
        <v>170</v>
      </c>
      <c r="J288" t="s">
        <v>245</v>
      </c>
      <c r="K288">
        <v>5.2941491555308827E-2</v>
      </c>
      <c r="L288" t="s">
        <v>154</v>
      </c>
      <c r="N288" t="s">
        <v>194</v>
      </c>
      <c r="O288" t="s">
        <v>245</v>
      </c>
      <c r="P288">
        <v>1.8835844041490503E-2</v>
      </c>
      <c r="Q288" t="s">
        <v>154</v>
      </c>
      <c r="S288" t="s">
        <v>204</v>
      </c>
      <c r="T288" t="s">
        <v>245</v>
      </c>
      <c r="U288">
        <v>3.5490368013459984E-2</v>
      </c>
      <c r="V288" t="s">
        <v>154</v>
      </c>
    </row>
    <row r="289" spans="9:22" x14ac:dyDescent="0.25">
      <c r="I289" t="s">
        <v>170</v>
      </c>
      <c r="J289" t="s">
        <v>264</v>
      </c>
      <c r="K289">
        <v>2.7591991459388777E-2</v>
      </c>
      <c r="L289" t="s">
        <v>154</v>
      </c>
      <c r="N289" t="s">
        <v>194</v>
      </c>
      <c r="O289" t="s">
        <v>264</v>
      </c>
      <c r="P289">
        <v>1.6579099823984655E-2</v>
      </c>
      <c r="Q289" t="s">
        <v>154</v>
      </c>
      <c r="S289" t="s">
        <v>204</v>
      </c>
      <c r="T289" t="s">
        <v>264</v>
      </c>
      <c r="U289">
        <v>3.384192205878498E-2</v>
      </c>
      <c r="V289" t="s">
        <v>154</v>
      </c>
    </row>
    <row r="290" spans="9:22" x14ac:dyDescent="0.25">
      <c r="I290" t="s">
        <v>170</v>
      </c>
      <c r="J290" t="s">
        <v>265</v>
      </c>
      <c r="K290">
        <v>3.8589438158866912E-3</v>
      </c>
      <c r="L290" t="s">
        <v>154</v>
      </c>
      <c r="N290" t="s">
        <v>194</v>
      </c>
      <c r="O290" t="s">
        <v>265</v>
      </c>
      <c r="P290">
        <v>2.9008320986889793E-2</v>
      </c>
      <c r="Q290" t="s">
        <v>154</v>
      </c>
      <c r="S290" t="s">
        <v>204</v>
      </c>
      <c r="T290" t="s">
        <v>265</v>
      </c>
      <c r="U290">
        <v>8.8091413815630626E-2</v>
      </c>
      <c r="V290" t="s">
        <v>154</v>
      </c>
    </row>
    <row r="291" spans="9:22" x14ac:dyDescent="0.25">
      <c r="I291" t="s">
        <v>170</v>
      </c>
      <c r="J291" t="s">
        <v>246</v>
      </c>
      <c r="K291">
        <v>3.1088345474727676E-3</v>
      </c>
      <c r="L291" t="s">
        <v>154</v>
      </c>
      <c r="N291" t="s">
        <v>194</v>
      </c>
      <c r="O291" t="s">
        <v>246</v>
      </c>
      <c r="P291">
        <v>0.11749731863735031</v>
      </c>
      <c r="Q291" t="s">
        <v>154</v>
      </c>
      <c r="S291" t="s">
        <v>204</v>
      </c>
      <c r="T291" t="s">
        <v>246</v>
      </c>
      <c r="U291">
        <v>4.8669267048230845E-2</v>
      </c>
      <c r="V291" t="s">
        <v>154</v>
      </c>
    </row>
    <row r="292" spans="9:22" x14ac:dyDescent="0.25">
      <c r="I292" t="s">
        <v>170</v>
      </c>
      <c r="J292" t="s">
        <v>247</v>
      </c>
      <c r="K292">
        <v>2.2812979010769053E-2</v>
      </c>
      <c r="L292" t="s">
        <v>154</v>
      </c>
      <c r="N292" t="s">
        <v>194</v>
      </c>
      <c r="O292" t="s">
        <v>247</v>
      </c>
      <c r="P292">
        <v>3.167693577767957E-2</v>
      </c>
      <c r="Q292" t="s">
        <v>154</v>
      </c>
      <c r="S292" t="s">
        <v>204</v>
      </c>
      <c r="T292" t="s">
        <v>247</v>
      </c>
      <c r="U292">
        <v>1.423507365936489E-2</v>
      </c>
      <c r="V292" t="s">
        <v>154</v>
      </c>
    </row>
    <row r="293" spans="9:22" x14ac:dyDescent="0.25">
      <c r="I293" t="s">
        <v>170</v>
      </c>
      <c r="J293" t="s">
        <v>248</v>
      </c>
      <c r="K293">
        <v>1.9240986508019475E-2</v>
      </c>
      <c r="L293" t="s">
        <v>154</v>
      </c>
      <c r="N293" t="s">
        <v>194</v>
      </c>
      <c r="O293" t="s">
        <v>248</v>
      </c>
      <c r="P293">
        <v>1.4728523158417717E-2</v>
      </c>
      <c r="Q293" t="s">
        <v>154</v>
      </c>
      <c r="S293" t="s">
        <v>204</v>
      </c>
      <c r="T293" t="s">
        <v>248</v>
      </c>
      <c r="U293">
        <v>6.9621570239020722E-3</v>
      </c>
      <c r="V293" t="s">
        <v>154</v>
      </c>
    </row>
    <row r="294" spans="9:22" x14ac:dyDescent="0.25">
      <c r="I294" t="s">
        <v>170</v>
      </c>
      <c r="J294" t="s">
        <v>249</v>
      </c>
      <c r="K294">
        <v>2.27508870348389E-2</v>
      </c>
      <c r="L294" t="s">
        <v>154</v>
      </c>
      <c r="N294" t="s">
        <v>194</v>
      </c>
      <c r="O294" t="s">
        <v>249</v>
      </c>
      <c r="P294">
        <v>1.3643986291470031E-2</v>
      </c>
      <c r="Q294" t="s">
        <v>154</v>
      </c>
      <c r="S294" t="s">
        <v>204</v>
      </c>
      <c r="T294" t="s">
        <v>249</v>
      </c>
      <c r="U294">
        <v>6.6004352279643505E-3</v>
      </c>
      <c r="V294" t="s">
        <v>154</v>
      </c>
    </row>
    <row r="295" spans="9:22" x14ac:dyDescent="0.25">
      <c r="I295" t="s">
        <v>170</v>
      </c>
      <c r="J295" t="s">
        <v>250</v>
      </c>
      <c r="K295">
        <v>7.4514460168944793E-2</v>
      </c>
      <c r="L295" t="s">
        <v>154</v>
      </c>
      <c r="N295" t="s">
        <v>194</v>
      </c>
      <c r="O295" t="s">
        <v>250</v>
      </c>
      <c r="P295">
        <v>3.6084801090789334E-2</v>
      </c>
      <c r="Q295" t="s">
        <v>154</v>
      </c>
      <c r="S295" t="s">
        <v>204</v>
      </c>
      <c r="T295" t="s">
        <v>250</v>
      </c>
      <c r="U295">
        <v>1.8565242481569991E-2</v>
      </c>
      <c r="V295" t="s">
        <v>154</v>
      </c>
    </row>
    <row r="296" spans="9:22" x14ac:dyDescent="0.25">
      <c r="I296" t="s">
        <v>170</v>
      </c>
      <c r="J296" t="s">
        <v>251</v>
      </c>
      <c r="K296">
        <v>3.8225471263949012E-2</v>
      </c>
      <c r="L296" t="s">
        <v>154</v>
      </c>
      <c r="N296" t="s">
        <v>194</v>
      </c>
      <c r="O296" t="s">
        <v>251</v>
      </c>
      <c r="P296">
        <v>2.6741166143514773E-2</v>
      </c>
      <c r="Q296" t="s">
        <v>154</v>
      </c>
      <c r="S296" t="s">
        <v>204</v>
      </c>
      <c r="T296" t="s">
        <v>251</v>
      </c>
      <c r="U296">
        <v>1.3894538735943603E-2</v>
      </c>
      <c r="V296" t="s">
        <v>154</v>
      </c>
    </row>
    <row r="297" spans="9:22" x14ac:dyDescent="0.25">
      <c r="I297" t="s">
        <v>170</v>
      </c>
      <c r="J297" t="s">
        <v>266</v>
      </c>
      <c r="K297">
        <v>1.5876659637493077E-2</v>
      </c>
      <c r="L297" t="s">
        <v>154</v>
      </c>
      <c r="N297" t="s">
        <v>194</v>
      </c>
      <c r="O297" t="s">
        <v>266</v>
      </c>
      <c r="P297">
        <v>2.8125298773427013E-2</v>
      </c>
      <c r="Q297" t="s">
        <v>154</v>
      </c>
      <c r="S297" t="s">
        <v>204</v>
      </c>
      <c r="T297" t="s">
        <v>266</v>
      </c>
      <c r="U297">
        <v>1.3909115834311382E-2</v>
      </c>
      <c r="V297" t="s">
        <v>154</v>
      </c>
    </row>
    <row r="298" spans="9:22" x14ac:dyDescent="0.25">
      <c r="I298" t="s">
        <v>170</v>
      </c>
      <c r="J298" t="s">
        <v>267</v>
      </c>
      <c r="K298">
        <v>1.6741979858244961E-6</v>
      </c>
      <c r="L298" t="s">
        <v>154</v>
      </c>
      <c r="N298" t="s">
        <v>194</v>
      </c>
      <c r="O298" t="s">
        <v>267</v>
      </c>
      <c r="P298">
        <v>0.11985991959580228</v>
      </c>
      <c r="Q298" t="s">
        <v>154</v>
      </c>
      <c r="S298" t="s">
        <v>204</v>
      </c>
      <c r="T298" t="s">
        <v>267</v>
      </c>
      <c r="U298">
        <v>4.4705045443272654E-2</v>
      </c>
      <c r="V298" t="s">
        <v>154</v>
      </c>
    </row>
    <row r="299" spans="9:22" x14ac:dyDescent="0.25">
      <c r="I299" t="s">
        <v>171</v>
      </c>
      <c r="J299" t="s">
        <v>153</v>
      </c>
      <c r="K299">
        <v>0</v>
      </c>
      <c r="L299" t="s">
        <v>154</v>
      </c>
      <c r="N299" t="s">
        <v>195</v>
      </c>
      <c r="O299" t="s">
        <v>153</v>
      </c>
      <c r="P299">
        <v>2.7731487000404811E-2</v>
      </c>
      <c r="Q299" t="s">
        <v>154</v>
      </c>
      <c r="S299" t="s">
        <v>205</v>
      </c>
      <c r="T299" t="s">
        <v>153</v>
      </c>
      <c r="U299">
        <v>3.536623513347343E-2</v>
      </c>
      <c r="V299" t="s">
        <v>154</v>
      </c>
    </row>
    <row r="300" spans="9:22" x14ac:dyDescent="0.25">
      <c r="I300" t="s">
        <v>171</v>
      </c>
      <c r="J300" t="s">
        <v>155</v>
      </c>
      <c r="K300">
        <v>6.3324805659307325E-3</v>
      </c>
      <c r="L300" t="s">
        <v>154</v>
      </c>
      <c r="N300" t="s">
        <v>195</v>
      </c>
      <c r="O300" t="s">
        <v>155</v>
      </c>
      <c r="P300">
        <v>7.1567851208791814E-3</v>
      </c>
      <c r="Q300" t="s">
        <v>154</v>
      </c>
      <c r="S300" t="s">
        <v>205</v>
      </c>
      <c r="T300" t="s">
        <v>155</v>
      </c>
      <c r="U300">
        <v>1.0229392514808432E-2</v>
      </c>
      <c r="V300" t="s">
        <v>154</v>
      </c>
    </row>
    <row r="301" spans="9:22" x14ac:dyDescent="0.25">
      <c r="I301" t="s">
        <v>171</v>
      </c>
      <c r="J301" t="s">
        <v>156</v>
      </c>
      <c r="K301">
        <v>5.3743136550639349E-3</v>
      </c>
      <c r="L301" t="s">
        <v>154</v>
      </c>
      <c r="N301" t="s">
        <v>195</v>
      </c>
      <c r="O301" t="s">
        <v>156</v>
      </c>
      <c r="P301">
        <v>4.6374458606887351E-3</v>
      </c>
      <c r="Q301" t="s">
        <v>154</v>
      </c>
      <c r="S301" t="s">
        <v>205</v>
      </c>
      <c r="T301" t="s">
        <v>156</v>
      </c>
      <c r="U301">
        <v>5.1721200480686017E-3</v>
      </c>
      <c r="V301" t="s">
        <v>154</v>
      </c>
    </row>
    <row r="302" spans="9:22" x14ac:dyDescent="0.25">
      <c r="I302" t="s">
        <v>171</v>
      </c>
      <c r="J302" t="s">
        <v>222</v>
      </c>
      <c r="K302">
        <v>6.2237283005338855E-3</v>
      </c>
      <c r="L302" t="s">
        <v>154</v>
      </c>
      <c r="N302" t="s">
        <v>195</v>
      </c>
      <c r="O302" t="s">
        <v>222</v>
      </c>
      <c r="P302">
        <v>5.0858128608186181E-3</v>
      </c>
      <c r="Q302" t="s">
        <v>154</v>
      </c>
      <c r="S302" t="s">
        <v>205</v>
      </c>
      <c r="T302" t="s">
        <v>222</v>
      </c>
      <c r="U302">
        <v>5.0664353088942463E-3</v>
      </c>
      <c r="V302" t="s">
        <v>154</v>
      </c>
    </row>
    <row r="303" spans="9:22" x14ac:dyDescent="0.25">
      <c r="I303" t="s">
        <v>171</v>
      </c>
      <c r="J303" t="s">
        <v>223</v>
      </c>
      <c r="K303">
        <v>1.8989991530296256E-2</v>
      </c>
      <c r="L303" t="s">
        <v>154</v>
      </c>
      <c r="N303" t="s">
        <v>195</v>
      </c>
      <c r="O303" t="s">
        <v>223</v>
      </c>
      <c r="P303">
        <v>1.3792659553977384E-2</v>
      </c>
      <c r="Q303" t="s">
        <v>154</v>
      </c>
      <c r="S303" t="s">
        <v>205</v>
      </c>
      <c r="T303" t="s">
        <v>223</v>
      </c>
      <c r="U303">
        <v>1.4884694596603467E-2</v>
      </c>
      <c r="V303" t="s">
        <v>154</v>
      </c>
    </row>
    <row r="304" spans="9:22" x14ac:dyDescent="0.25">
      <c r="I304" t="s">
        <v>171</v>
      </c>
      <c r="J304" t="s">
        <v>224</v>
      </c>
      <c r="K304">
        <v>9.1698396395651985E-3</v>
      </c>
      <c r="L304" t="s">
        <v>154</v>
      </c>
      <c r="N304" t="s">
        <v>195</v>
      </c>
      <c r="O304" t="s">
        <v>224</v>
      </c>
      <c r="P304">
        <v>1.0391185208783755E-2</v>
      </c>
      <c r="Q304" t="s">
        <v>154</v>
      </c>
      <c r="S304" t="s">
        <v>205</v>
      </c>
      <c r="T304" t="s">
        <v>224</v>
      </c>
      <c r="U304">
        <v>1.0116524592450859E-2</v>
      </c>
      <c r="V304" t="s">
        <v>154</v>
      </c>
    </row>
    <row r="305" spans="9:22" x14ac:dyDescent="0.25">
      <c r="I305" t="s">
        <v>171</v>
      </c>
      <c r="J305" t="s">
        <v>256</v>
      </c>
      <c r="K305">
        <v>4.1574316786245919E-3</v>
      </c>
      <c r="L305" t="s">
        <v>154</v>
      </c>
      <c r="N305" t="s">
        <v>195</v>
      </c>
      <c r="O305" t="s">
        <v>256</v>
      </c>
      <c r="P305">
        <v>8.9211947957219939E-3</v>
      </c>
      <c r="Q305" t="s">
        <v>154</v>
      </c>
      <c r="S305" t="s">
        <v>205</v>
      </c>
      <c r="T305" t="s">
        <v>256</v>
      </c>
      <c r="U305">
        <v>1.0687121113726425E-2</v>
      </c>
      <c r="V305" t="s">
        <v>154</v>
      </c>
    </row>
    <row r="306" spans="9:22" x14ac:dyDescent="0.25">
      <c r="I306" t="s">
        <v>171</v>
      </c>
      <c r="J306" t="s">
        <v>257</v>
      </c>
      <c r="K306">
        <v>0</v>
      </c>
      <c r="L306" t="s">
        <v>154</v>
      </c>
      <c r="N306" t="s">
        <v>195</v>
      </c>
      <c r="O306" t="s">
        <v>257</v>
      </c>
      <c r="P306">
        <v>3.0664421515022883E-2</v>
      </c>
      <c r="Q306" t="s">
        <v>154</v>
      </c>
      <c r="S306" t="s">
        <v>205</v>
      </c>
      <c r="T306" t="s">
        <v>257</v>
      </c>
      <c r="U306">
        <v>3.1268809053013068E-2</v>
      </c>
      <c r="V306" t="s">
        <v>154</v>
      </c>
    </row>
    <row r="307" spans="9:22" x14ac:dyDescent="0.25">
      <c r="I307" t="s">
        <v>171</v>
      </c>
      <c r="J307" t="s">
        <v>157</v>
      </c>
      <c r="K307">
        <v>6.1322398347372761E-3</v>
      </c>
      <c r="L307" t="s">
        <v>154</v>
      </c>
      <c r="N307" t="s">
        <v>195</v>
      </c>
      <c r="O307" t="s">
        <v>157</v>
      </c>
      <c r="P307">
        <v>7.5143995321278717E-2</v>
      </c>
      <c r="Q307" t="s">
        <v>154</v>
      </c>
      <c r="S307" t="s">
        <v>205</v>
      </c>
      <c r="T307" t="s">
        <v>157</v>
      </c>
      <c r="U307">
        <v>9.3998109846095954E-2</v>
      </c>
      <c r="V307" t="s">
        <v>154</v>
      </c>
    </row>
    <row r="308" spans="9:22" x14ac:dyDescent="0.25">
      <c r="I308" t="s">
        <v>171</v>
      </c>
      <c r="J308" t="s">
        <v>158</v>
      </c>
      <c r="K308">
        <v>4.656057521924567E-2</v>
      </c>
      <c r="L308" t="s">
        <v>154</v>
      </c>
      <c r="N308" t="s">
        <v>195</v>
      </c>
      <c r="O308" t="s">
        <v>158</v>
      </c>
      <c r="P308">
        <v>1.8091126562873237E-2</v>
      </c>
      <c r="Q308" t="s">
        <v>154</v>
      </c>
      <c r="S308" t="s">
        <v>205</v>
      </c>
      <c r="T308" t="s">
        <v>158</v>
      </c>
      <c r="U308">
        <v>2.7388657418059424E-2</v>
      </c>
      <c r="V308" t="s">
        <v>154</v>
      </c>
    </row>
    <row r="309" spans="9:22" x14ac:dyDescent="0.25">
      <c r="I309" t="s">
        <v>171</v>
      </c>
      <c r="J309" t="s">
        <v>159</v>
      </c>
      <c r="K309">
        <v>3.4631754960821243E-2</v>
      </c>
      <c r="L309" t="s">
        <v>154</v>
      </c>
      <c r="N309" t="s">
        <v>195</v>
      </c>
      <c r="O309" t="s">
        <v>159</v>
      </c>
      <c r="P309">
        <v>1.0948478772666042E-2</v>
      </c>
      <c r="Q309" t="s">
        <v>154</v>
      </c>
      <c r="S309" t="s">
        <v>205</v>
      </c>
      <c r="T309" t="s">
        <v>159</v>
      </c>
      <c r="U309">
        <v>1.362072668979405E-2</v>
      </c>
      <c r="V309" t="s">
        <v>154</v>
      </c>
    </row>
    <row r="310" spans="9:22" x14ac:dyDescent="0.25">
      <c r="I310" t="s">
        <v>171</v>
      </c>
      <c r="J310" t="s">
        <v>225</v>
      </c>
      <c r="K310">
        <v>3.8471926808649665E-2</v>
      </c>
      <c r="L310" t="s">
        <v>154</v>
      </c>
      <c r="N310" t="s">
        <v>195</v>
      </c>
      <c r="O310" t="s">
        <v>225</v>
      </c>
      <c r="P310">
        <v>1.1196669788975341E-2</v>
      </c>
      <c r="Q310" t="s">
        <v>154</v>
      </c>
      <c r="S310" t="s">
        <v>205</v>
      </c>
      <c r="T310" t="s">
        <v>225</v>
      </c>
      <c r="U310">
        <v>1.3136583032708208E-2</v>
      </c>
      <c r="V310" t="s">
        <v>154</v>
      </c>
    </row>
    <row r="311" spans="9:22" x14ac:dyDescent="0.25">
      <c r="I311" t="s">
        <v>171</v>
      </c>
      <c r="J311" t="s">
        <v>226</v>
      </c>
      <c r="K311">
        <v>0.11929945073699891</v>
      </c>
      <c r="L311" t="s">
        <v>154</v>
      </c>
      <c r="N311" t="s">
        <v>195</v>
      </c>
      <c r="O311" t="s">
        <v>226</v>
      </c>
      <c r="P311">
        <v>3.499878176025608E-2</v>
      </c>
      <c r="Q311" t="s">
        <v>154</v>
      </c>
      <c r="S311" t="s">
        <v>205</v>
      </c>
      <c r="T311" t="s">
        <v>226</v>
      </c>
      <c r="U311">
        <v>3.4935101883013006E-2</v>
      </c>
      <c r="V311" t="s">
        <v>154</v>
      </c>
    </row>
    <row r="312" spans="9:22" x14ac:dyDescent="0.25">
      <c r="I312" t="s">
        <v>171</v>
      </c>
      <c r="J312" t="s">
        <v>227</v>
      </c>
      <c r="K312">
        <v>6.1390432596495348E-2</v>
      </c>
      <c r="L312" t="s">
        <v>154</v>
      </c>
      <c r="N312" t="s">
        <v>195</v>
      </c>
      <c r="O312" t="s">
        <v>227</v>
      </c>
      <c r="P312">
        <v>2.9952432978847168E-2</v>
      </c>
      <c r="Q312" t="s">
        <v>154</v>
      </c>
      <c r="S312" t="s">
        <v>205</v>
      </c>
      <c r="T312" t="s">
        <v>227</v>
      </c>
      <c r="U312">
        <v>2.1409532350647641E-2</v>
      </c>
      <c r="V312" t="s">
        <v>154</v>
      </c>
    </row>
    <row r="313" spans="9:22" x14ac:dyDescent="0.25">
      <c r="I313" t="s">
        <v>171</v>
      </c>
      <c r="J313" t="s">
        <v>258</v>
      </c>
      <c r="K313">
        <v>3.108864552299407E-2</v>
      </c>
      <c r="L313" t="s">
        <v>154</v>
      </c>
      <c r="N313" t="s">
        <v>195</v>
      </c>
      <c r="O313" t="s">
        <v>258</v>
      </c>
      <c r="P313">
        <v>2.6816745707311452E-2</v>
      </c>
      <c r="Q313" t="s">
        <v>154</v>
      </c>
      <c r="S313" t="s">
        <v>205</v>
      </c>
      <c r="T313" t="s">
        <v>258</v>
      </c>
      <c r="U313">
        <v>2.2209658145941023E-2</v>
      </c>
      <c r="V313" t="s">
        <v>154</v>
      </c>
    </row>
    <row r="314" spans="9:22" x14ac:dyDescent="0.25">
      <c r="I314" t="s">
        <v>171</v>
      </c>
      <c r="J314" t="s">
        <v>259</v>
      </c>
      <c r="K314">
        <v>0</v>
      </c>
      <c r="L314" t="s">
        <v>154</v>
      </c>
      <c r="N314" t="s">
        <v>195</v>
      </c>
      <c r="O314" t="s">
        <v>259</v>
      </c>
      <c r="P314">
        <v>8.9087972971414103E-2</v>
      </c>
      <c r="Q314" t="s">
        <v>154</v>
      </c>
      <c r="S314" t="s">
        <v>205</v>
      </c>
      <c r="T314" t="s">
        <v>259</v>
      </c>
      <c r="U314">
        <v>8.0722025307999087E-2</v>
      </c>
      <c r="V314" t="s">
        <v>154</v>
      </c>
    </row>
    <row r="315" spans="9:22" x14ac:dyDescent="0.25">
      <c r="I315" t="s">
        <v>171</v>
      </c>
      <c r="J315" t="s">
        <v>160</v>
      </c>
      <c r="K315">
        <v>1.2112643807550029E-3</v>
      </c>
      <c r="L315" t="s">
        <v>154</v>
      </c>
      <c r="N315" t="s">
        <v>195</v>
      </c>
      <c r="O315" t="s">
        <v>160</v>
      </c>
      <c r="P315">
        <v>1.9635407244908681E-3</v>
      </c>
      <c r="Q315" t="s">
        <v>154</v>
      </c>
      <c r="S315" t="s">
        <v>205</v>
      </c>
      <c r="T315" t="s">
        <v>160</v>
      </c>
      <c r="U315">
        <v>4.9187217143201764E-4</v>
      </c>
      <c r="V315" t="s">
        <v>154</v>
      </c>
    </row>
    <row r="316" spans="9:22" x14ac:dyDescent="0.25">
      <c r="I316" t="s">
        <v>171</v>
      </c>
      <c r="J316" t="s">
        <v>161</v>
      </c>
      <c r="K316">
        <v>5.6606715312226049E-3</v>
      </c>
      <c r="L316" t="s">
        <v>154</v>
      </c>
      <c r="N316" t="s">
        <v>195</v>
      </c>
      <c r="O316" t="s">
        <v>161</v>
      </c>
      <c r="P316">
        <v>1.7802751855400294E-4</v>
      </c>
      <c r="Q316" t="s">
        <v>154</v>
      </c>
      <c r="S316" t="s">
        <v>205</v>
      </c>
      <c r="T316" t="s">
        <v>161</v>
      </c>
      <c r="U316">
        <v>2.7124852095000576E-4</v>
      </c>
      <c r="V316" t="s">
        <v>154</v>
      </c>
    </row>
    <row r="317" spans="9:22" x14ac:dyDescent="0.25">
      <c r="I317" t="s">
        <v>171</v>
      </c>
      <c r="J317" t="s">
        <v>162</v>
      </c>
      <c r="K317">
        <v>4.2393899590613552E-3</v>
      </c>
      <c r="L317" t="s">
        <v>154</v>
      </c>
      <c r="N317" t="s">
        <v>195</v>
      </c>
      <c r="O317" t="s">
        <v>162</v>
      </c>
      <c r="P317">
        <v>2.9121756785780524E-4</v>
      </c>
      <c r="Q317" t="s">
        <v>154</v>
      </c>
      <c r="S317" t="s">
        <v>205</v>
      </c>
      <c r="T317" t="s">
        <v>162</v>
      </c>
      <c r="U317">
        <v>1.4221405577862596E-4</v>
      </c>
      <c r="V317" t="s">
        <v>154</v>
      </c>
    </row>
    <row r="318" spans="9:22" x14ac:dyDescent="0.25">
      <c r="I318" t="s">
        <v>171</v>
      </c>
      <c r="J318" t="s">
        <v>228</v>
      </c>
      <c r="K318">
        <v>4.9069659227788135E-3</v>
      </c>
      <c r="L318" t="s">
        <v>154</v>
      </c>
      <c r="N318" t="s">
        <v>195</v>
      </c>
      <c r="O318" t="s">
        <v>228</v>
      </c>
      <c r="P318">
        <v>4.8753472050183753E-4</v>
      </c>
      <c r="Q318" t="s">
        <v>154</v>
      </c>
      <c r="S318" t="s">
        <v>205</v>
      </c>
      <c r="T318" t="s">
        <v>228</v>
      </c>
      <c r="U318">
        <v>1.3251785190919569E-4</v>
      </c>
      <c r="V318" t="s">
        <v>154</v>
      </c>
    </row>
    <row r="319" spans="9:22" x14ac:dyDescent="0.25">
      <c r="I319" t="s">
        <v>171</v>
      </c>
      <c r="J319" t="s">
        <v>229</v>
      </c>
      <c r="K319">
        <v>1.507332245870454E-2</v>
      </c>
      <c r="L319" t="s">
        <v>154</v>
      </c>
      <c r="N319" t="s">
        <v>195</v>
      </c>
      <c r="O319" t="s">
        <v>229</v>
      </c>
      <c r="P319">
        <v>3.114725206177471E-3</v>
      </c>
      <c r="Q319" t="s">
        <v>154</v>
      </c>
      <c r="S319" t="s">
        <v>205</v>
      </c>
      <c r="T319" t="s">
        <v>229</v>
      </c>
      <c r="U319">
        <v>3.2637319051866278E-4</v>
      </c>
      <c r="V319" t="s">
        <v>154</v>
      </c>
    </row>
    <row r="320" spans="9:22" x14ac:dyDescent="0.25">
      <c r="I320" t="s">
        <v>171</v>
      </c>
      <c r="J320" t="s">
        <v>230</v>
      </c>
      <c r="K320">
        <v>6.5894406474692677E-3</v>
      </c>
      <c r="L320" t="s">
        <v>154</v>
      </c>
      <c r="N320" t="s">
        <v>195</v>
      </c>
      <c r="O320" t="s">
        <v>230</v>
      </c>
      <c r="P320">
        <v>2.4667117710062696E-3</v>
      </c>
      <c r="Q320" t="s">
        <v>154</v>
      </c>
      <c r="S320" t="s">
        <v>205</v>
      </c>
      <c r="T320" t="s">
        <v>230</v>
      </c>
      <c r="U320">
        <v>1.7798359737728411E-4</v>
      </c>
      <c r="V320" t="s">
        <v>154</v>
      </c>
    </row>
    <row r="321" spans="9:22" x14ac:dyDescent="0.25">
      <c r="I321" t="s">
        <v>171</v>
      </c>
      <c r="J321" t="s">
        <v>260</v>
      </c>
      <c r="K321">
        <v>2.7607226668297205E-3</v>
      </c>
      <c r="L321" t="s">
        <v>154</v>
      </c>
      <c r="N321" t="s">
        <v>195</v>
      </c>
      <c r="O321" t="s">
        <v>260</v>
      </c>
      <c r="P321">
        <v>2.8570726746176768E-3</v>
      </c>
      <c r="Q321" t="s">
        <v>154</v>
      </c>
      <c r="S321" t="s">
        <v>205</v>
      </c>
      <c r="T321" t="s">
        <v>260</v>
      </c>
      <c r="U321">
        <v>1.5142128494837845E-4</v>
      </c>
      <c r="V321" t="s">
        <v>154</v>
      </c>
    </row>
    <row r="322" spans="9:22" x14ac:dyDescent="0.25">
      <c r="I322" t="s">
        <v>171</v>
      </c>
      <c r="J322" t="s">
        <v>261</v>
      </c>
      <c r="K322">
        <v>0</v>
      </c>
      <c r="L322" t="s">
        <v>154</v>
      </c>
      <c r="N322" t="s">
        <v>195</v>
      </c>
      <c r="O322" t="s">
        <v>261</v>
      </c>
      <c r="P322">
        <v>4.2260503945182526E-3</v>
      </c>
      <c r="Q322" t="s">
        <v>154</v>
      </c>
      <c r="S322" t="s">
        <v>205</v>
      </c>
      <c r="T322" t="s">
        <v>261</v>
      </c>
      <c r="U322">
        <v>1.1745378502397641E-4</v>
      </c>
      <c r="V322" t="s">
        <v>154</v>
      </c>
    </row>
    <row r="323" spans="9:22" x14ac:dyDescent="0.25">
      <c r="I323" t="s">
        <v>171</v>
      </c>
      <c r="J323" t="s">
        <v>163</v>
      </c>
      <c r="K323">
        <v>2.8965865180397899E-3</v>
      </c>
      <c r="L323" t="s">
        <v>154</v>
      </c>
      <c r="N323" t="s">
        <v>195</v>
      </c>
      <c r="O323" t="s">
        <v>163</v>
      </c>
      <c r="P323">
        <v>3.1690946623175335E-2</v>
      </c>
      <c r="Q323" t="s">
        <v>154</v>
      </c>
      <c r="S323" t="s">
        <v>205</v>
      </c>
      <c r="T323" t="s">
        <v>163</v>
      </c>
      <c r="U323">
        <v>1.7421555947572984E-2</v>
      </c>
      <c r="V323" t="s">
        <v>154</v>
      </c>
    </row>
    <row r="324" spans="9:22" x14ac:dyDescent="0.25">
      <c r="I324" t="s">
        <v>171</v>
      </c>
      <c r="J324" t="s">
        <v>164</v>
      </c>
      <c r="K324">
        <v>1.4102047329191281E-2</v>
      </c>
      <c r="L324" t="s">
        <v>154</v>
      </c>
      <c r="N324" t="s">
        <v>195</v>
      </c>
      <c r="O324" t="s">
        <v>164</v>
      </c>
      <c r="P324">
        <v>7.2544449673119984E-3</v>
      </c>
      <c r="Q324" t="s">
        <v>154</v>
      </c>
      <c r="S324" t="s">
        <v>205</v>
      </c>
      <c r="T324" t="s">
        <v>164</v>
      </c>
      <c r="U324">
        <v>6.4877691654401199E-3</v>
      </c>
      <c r="V324" t="s">
        <v>154</v>
      </c>
    </row>
    <row r="325" spans="9:22" x14ac:dyDescent="0.25">
      <c r="I325" t="s">
        <v>171</v>
      </c>
      <c r="J325" t="s">
        <v>165</v>
      </c>
      <c r="K325">
        <v>1.1141547549551604E-2</v>
      </c>
      <c r="L325" t="s">
        <v>154</v>
      </c>
      <c r="N325" t="s">
        <v>195</v>
      </c>
      <c r="O325" t="s">
        <v>165</v>
      </c>
      <c r="P325">
        <v>3.9986258133203854E-3</v>
      </c>
      <c r="Q325" t="s">
        <v>154</v>
      </c>
      <c r="S325" t="s">
        <v>205</v>
      </c>
      <c r="T325" t="s">
        <v>165</v>
      </c>
      <c r="U325">
        <v>3.2925729255870893E-3</v>
      </c>
      <c r="V325" t="s">
        <v>154</v>
      </c>
    </row>
    <row r="326" spans="9:22" x14ac:dyDescent="0.25">
      <c r="I326" t="s">
        <v>171</v>
      </c>
      <c r="J326" t="s">
        <v>231</v>
      </c>
      <c r="K326">
        <v>1.3129976206173984E-2</v>
      </c>
      <c r="L326" t="s">
        <v>154</v>
      </c>
      <c r="N326" t="s">
        <v>195</v>
      </c>
      <c r="O326" t="s">
        <v>231</v>
      </c>
      <c r="P326">
        <v>4.3870974328736592E-3</v>
      </c>
      <c r="Q326" t="s">
        <v>154</v>
      </c>
      <c r="S326" t="s">
        <v>205</v>
      </c>
      <c r="T326" t="s">
        <v>231</v>
      </c>
      <c r="U326">
        <v>3.2481126426149626E-3</v>
      </c>
      <c r="V326" t="s">
        <v>154</v>
      </c>
    </row>
    <row r="327" spans="9:22" x14ac:dyDescent="0.25">
      <c r="I327" t="s">
        <v>171</v>
      </c>
      <c r="J327" t="s">
        <v>232</v>
      </c>
      <c r="K327">
        <v>4.1619217959284534E-2</v>
      </c>
      <c r="L327" t="s">
        <v>154</v>
      </c>
      <c r="N327" t="s">
        <v>195</v>
      </c>
      <c r="O327" t="s">
        <v>232</v>
      </c>
      <c r="P327">
        <v>1.8467389686460695E-2</v>
      </c>
      <c r="Q327" t="s">
        <v>154</v>
      </c>
      <c r="S327" t="s">
        <v>205</v>
      </c>
      <c r="T327" t="s">
        <v>232</v>
      </c>
      <c r="U327">
        <v>9.3274219315788946E-3</v>
      </c>
      <c r="V327" t="s">
        <v>154</v>
      </c>
    </row>
    <row r="328" spans="9:22" x14ac:dyDescent="0.25">
      <c r="I328" t="s">
        <v>171</v>
      </c>
      <c r="J328" t="s">
        <v>233</v>
      </c>
      <c r="K328">
        <v>1.8836660346680946E-2</v>
      </c>
      <c r="L328" t="s">
        <v>154</v>
      </c>
      <c r="N328" t="s">
        <v>195</v>
      </c>
      <c r="O328" t="s">
        <v>233</v>
      </c>
      <c r="P328">
        <v>1.5049710895230602E-2</v>
      </c>
      <c r="Q328" t="s">
        <v>154</v>
      </c>
      <c r="S328" t="s">
        <v>205</v>
      </c>
      <c r="T328" t="s">
        <v>233</v>
      </c>
      <c r="U328">
        <v>5.8203377198475887E-3</v>
      </c>
      <c r="V328" t="s">
        <v>154</v>
      </c>
    </row>
    <row r="329" spans="9:22" x14ac:dyDescent="0.25">
      <c r="I329" t="s">
        <v>171</v>
      </c>
      <c r="J329" t="s">
        <v>262</v>
      </c>
      <c r="K329">
        <v>8.4977940720740754E-3</v>
      </c>
      <c r="L329" t="s">
        <v>154</v>
      </c>
      <c r="N329" t="s">
        <v>195</v>
      </c>
      <c r="O329" t="s">
        <v>262</v>
      </c>
      <c r="P329">
        <v>1.1457753560936246E-2</v>
      </c>
      <c r="Q329" t="s">
        <v>154</v>
      </c>
      <c r="S329" t="s">
        <v>205</v>
      </c>
      <c r="T329" t="s">
        <v>262</v>
      </c>
      <c r="U329">
        <v>5.2483615138015204E-3</v>
      </c>
      <c r="V329" t="s">
        <v>154</v>
      </c>
    </row>
    <row r="330" spans="9:22" x14ac:dyDescent="0.25">
      <c r="I330" t="s">
        <v>171</v>
      </c>
      <c r="J330" t="s">
        <v>263</v>
      </c>
      <c r="K330">
        <v>7.6434370690839986E-6</v>
      </c>
      <c r="L330" t="s">
        <v>154</v>
      </c>
      <c r="N330" t="s">
        <v>195</v>
      </c>
      <c r="O330" t="s">
        <v>263</v>
      </c>
      <c r="P330">
        <v>2.5703734759162211E-2</v>
      </c>
      <c r="Q330" t="s">
        <v>154</v>
      </c>
      <c r="S330" t="s">
        <v>205</v>
      </c>
      <c r="T330" t="s">
        <v>263</v>
      </c>
      <c r="U330">
        <v>1.2717365010270739E-2</v>
      </c>
      <c r="V330" t="s">
        <v>154</v>
      </c>
    </row>
    <row r="331" spans="9:22" x14ac:dyDescent="0.25">
      <c r="I331" t="s">
        <v>171</v>
      </c>
      <c r="J331" t="s">
        <v>240</v>
      </c>
      <c r="K331">
        <v>6.573037214620216E-3</v>
      </c>
      <c r="L331" t="s">
        <v>154</v>
      </c>
      <c r="N331" t="s">
        <v>195</v>
      </c>
      <c r="O331" t="s">
        <v>240</v>
      </c>
      <c r="P331">
        <v>3.5080983724582203E-2</v>
      </c>
      <c r="Q331" t="s">
        <v>154</v>
      </c>
      <c r="S331" t="s">
        <v>205</v>
      </c>
      <c r="T331" t="s">
        <v>240</v>
      </c>
      <c r="U331">
        <v>8.2828306362406748E-2</v>
      </c>
      <c r="V331" t="s">
        <v>154</v>
      </c>
    </row>
    <row r="332" spans="9:22" x14ac:dyDescent="0.25">
      <c r="I332" t="s">
        <v>171</v>
      </c>
      <c r="J332" t="s">
        <v>241</v>
      </c>
      <c r="K332">
        <v>3.3668693924931832E-2</v>
      </c>
      <c r="L332" t="s">
        <v>154</v>
      </c>
      <c r="N332" t="s">
        <v>195</v>
      </c>
      <c r="O332" t="s">
        <v>241</v>
      </c>
      <c r="P332">
        <v>7.590430783183116E-3</v>
      </c>
      <c r="Q332" t="s">
        <v>154</v>
      </c>
      <c r="S332" t="s">
        <v>205</v>
      </c>
      <c r="T332" t="s">
        <v>241</v>
      </c>
      <c r="U332">
        <v>2.5703326808168368E-2</v>
      </c>
      <c r="V332" t="s">
        <v>154</v>
      </c>
    </row>
    <row r="333" spans="9:22" x14ac:dyDescent="0.25">
      <c r="I333" t="s">
        <v>171</v>
      </c>
      <c r="J333" t="s">
        <v>242</v>
      </c>
      <c r="K333">
        <v>2.5580033576990981E-2</v>
      </c>
      <c r="L333" t="s">
        <v>154</v>
      </c>
      <c r="N333" t="s">
        <v>195</v>
      </c>
      <c r="O333" t="s">
        <v>242</v>
      </c>
      <c r="P333">
        <v>5.164828522103729E-3</v>
      </c>
      <c r="Q333" t="s">
        <v>154</v>
      </c>
      <c r="S333" t="s">
        <v>205</v>
      </c>
      <c r="T333" t="s">
        <v>242</v>
      </c>
      <c r="U333">
        <v>1.3275639626485081E-2</v>
      </c>
      <c r="V333" t="s">
        <v>154</v>
      </c>
    </row>
    <row r="334" spans="9:22" x14ac:dyDescent="0.25">
      <c r="I334" t="s">
        <v>171</v>
      </c>
      <c r="J334" t="s">
        <v>243</v>
      </c>
      <c r="K334">
        <v>2.8821272558297067E-2</v>
      </c>
      <c r="L334" t="s">
        <v>154</v>
      </c>
      <c r="N334" t="s">
        <v>195</v>
      </c>
      <c r="O334" t="s">
        <v>243</v>
      </c>
      <c r="P334">
        <v>6.6168106970766081E-3</v>
      </c>
      <c r="Q334" t="s">
        <v>154</v>
      </c>
      <c r="S334" t="s">
        <v>205</v>
      </c>
      <c r="T334" t="s">
        <v>243</v>
      </c>
      <c r="U334">
        <v>1.3773600744446363E-2</v>
      </c>
      <c r="V334" t="s">
        <v>154</v>
      </c>
    </row>
    <row r="335" spans="9:22" x14ac:dyDescent="0.25">
      <c r="I335" t="s">
        <v>171</v>
      </c>
      <c r="J335" t="s">
        <v>244</v>
      </c>
      <c r="K335">
        <v>8.9493726887312164E-2</v>
      </c>
      <c r="L335" t="s">
        <v>154</v>
      </c>
      <c r="N335" t="s">
        <v>195</v>
      </c>
      <c r="O335" t="s">
        <v>244</v>
      </c>
      <c r="P335">
        <v>2.9303130062476385E-2</v>
      </c>
      <c r="Q335" t="s">
        <v>154</v>
      </c>
      <c r="S335" t="s">
        <v>205</v>
      </c>
      <c r="T335" t="s">
        <v>244</v>
      </c>
      <c r="U335">
        <v>4.2449436313249607E-2</v>
      </c>
      <c r="V335" t="s">
        <v>154</v>
      </c>
    </row>
    <row r="336" spans="9:22" x14ac:dyDescent="0.25">
      <c r="I336" t="s">
        <v>171</v>
      </c>
      <c r="J336" t="s">
        <v>245</v>
      </c>
      <c r="K336">
        <v>4.3574031611766886E-2</v>
      </c>
      <c r="L336" t="s">
        <v>154</v>
      </c>
      <c r="N336" t="s">
        <v>195</v>
      </c>
      <c r="O336" t="s">
        <v>245</v>
      </c>
      <c r="P336">
        <v>2.3883034009749362E-2</v>
      </c>
      <c r="Q336" t="s">
        <v>154</v>
      </c>
      <c r="S336" t="s">
        <v>205</v>
      </c>
      <c r="T336" t="s">
        <v>245</v>
      </c>
      <c r="U336">
        <v>2.7451348929657508E-2</v>
      </c>
      <c r="V336" t="s">
        <v>154</v>
      </c>
    </row>
    <row r="337" spans="9:22" x14ac:dyDescent="0.25">
      <c r="I337" t="s">
        <v>171</v>
      </c>
      <c r="J337" t="s">
        <v>264</v>
      </c>
      <c r="K337">
        <v>1.9856861462331225E-2</v>
      </c>
      <c r="L337" t="s">
        <v>154</v>
      </c>
      <c r="N337" t="s">
        <v>195</v>
      </c>
      <c r="O337" t="s">
        <v>264</v>
      </c>
      <c r="P337">
        <v>1.9356113860496339E-2</v>
      </c>
      <c r="Q337" t="s">
        <v>154</v>
      </c>
      <c r="S337" t="s">
        <v>205</v>
      </c>
      <c r="T337" t="s">
        <v>264</v>
      </c>
      <c r="U337">
        <v>2.5983478362028536E-2</v>
      </c>
      <c r="V337" t="s">
        <v>154</v>
      </c>
    </row>
    <row r="338" spans="9:22" x14ac:dyDescent="0.25">
      <c r="I338" t="s">
        <v>171</v>
      </c>
      <c r="J338" t="s">
        <v>265</v>
      </c>
      <c r="K338">
        <v>3.4705452535472922E-5</v>
      </c>
      <c r="L338" t="s">
        <v>154</v>
      </c>
      <c r="N338" t="s">
        <v>195</v>
      </c>
      <c r="O338" t="s">
        <v>265</v>
      </c>
      <c r="P338">
        <v>3.196354320861524E-2</v>
      </c>
      <c r="Q338" t="s">
        <v>154</v>
      </c>
      <c r="S338" t="s">
        <v>205</v>
      </c>
      <c r="T338" t="s">
        <v>265</v>
      </c>
      <c r="U338">
        <v>6.4679963457069348E-2</v>
      </c>
      <c r="V338" t="s">
        <v>154</v>
      </c>
    </row>
    <row r="339" spans="9:22" x14ac:dyDescent="0.25">
      <c r="I339" t="s">
        <v>171</v>
      </c>
      <c r="J339" t="s">
        <v>246</v>
      </c>
      <c r="K339">
        <v>6.3709796004243644E-3</v>
      </c>
      <c r="L339" t="s">
        <v>154</v>
      </c>
      <c r="N339" t="s">
        <v>195</v>
      </c>
      <c r="O339" t="s">
        <v>246</v>
      </c>
      <c r="P339">
        <v>7.3391714478256598E-2</v>
      </c>
      <c r="Q339" t="s">
        <v>154</v>
      </c>
      <c r="S339" t="s">
        <v>205</v>
      </c>
      <c r="T339" t="s">
        <v>246</v>
      </c>
      <c r="U339">
        <v>6.2345187728744755E-2</v>
      </c>
      <c r="V339" t="s">
        <v>154</v>
      </c>
    </row>
    <row r="340" spans="9:22" x14ac:dyDescent="0.25">
      <c r="I340" t="s">
        <v>171</v>
      </c>
      <c r="J340" t="s">
        <v>247</v>
      </c>
      <c r="K340">
        <v>3.3598167509551281E-2</v>
      </c>
      <c r="L340" t="s">
        <v>154</v>
      </c>
      <c r="N340" t="s">
        <v>195</v>
      </c>
      <c r="O340" t="s">
        <v>247</v>
      </c>
      <c r="P340">
        <v>2.146589454658817E-2</v>
      </c>
      <c r="Q340" t="s">
        <v>154</v>
      </c>
      <c r="S340" t="s">
        <v>205</v>
      </c>
      <c r="T340" t="s">
        <v>247</v>
      </c>
      <c r="U340">
        <v>1.7555615691069535E-2</v>
      </c>
      <c r="V340" t="s">
        <v>154</v>
      </c>
    </row>
    <row r="341" spans="9:22" x14ac:dyDescent="0.25">
      <c r="I341" t="s">
        <v>171</v>
      </c>
      <c r="J341" t="s">
        <v>248</v>
      </c>
      <c r="K341">
        <v>2.4606526258448988E-2</v>
      </c>
      <c r="L341" t="s">
        <v>154</v>
      </c>
      <c r="N341" t="s">
        <v>195</v>
      </c>
      <c r="O341" t="s">
        <v>248</v>
      </c>
      <c r="P341">
        <v>1.3574339167092137E-2</v>
      </c>
      <c r="Q341" t="s">
        <v>154</v>
      </c>
      <c r="S341" t="s">
        <v>205</v>
      </c>
      <c r="T341" t="s">
        <v>248</v>
      </c>
      <c r="U341">
        <v>8.6565410874082545E-3</v>
      </c>
      <c r="V341" t="s">
        <v>154</v>
      </c>
    </row>
    <row r="342" spans="9:22" x14ac:dyDescent="0.25">
      <c r="I342" t="s">
        <v>171</v>
      </c>
      <c r="J342" t="s">
        <v>249</v>
      </c>
      <c r="K342">
        <v>2.7081710795675337E-2</v>
      </c>
      <c r="L342" t="s">
        <v>154</v>
      </c>
      <c r="N342" t="s">
        <v>195</v>
      </c>
      <c r="O342" t="s">
        <v>249</v>
      </c>
      <c r="P342">
        <v>1.3572060986365849E-2</v>
      </c>
      <c r="Q342" t="s">
        <v>154</v>
      </c>
      <c r="S342" t="s">
        <v>205</v>
      </c>
      <c r="T342" t="s">
        <v>249</v>
      </c>
      <c r="U342">
        <v>8.2627906456409425E-3</v>
      </c>
      <c r="V342" t="s">
        <v>154</v>
      </c>
    </row>
    <row r="343" spans="9:22" x14ac:dyDescent="0.25">
      <c r="I343" t="s">
        <v>171</v>
      </c>
      <c r="J343" t="s">
        <v>250</v>
      </c>
      <c r="K343">
        <v>7.7906102073707406E-2</v>
      </c>
      <c r="L343" t="s">
        <v>154</v>
      </c>
      <c r="N343" t="s">
        <v>195</v>
      </c>
      <c r="O343" t="s">
        <v>250</v>
      </c>
      <c r="P343">
        <v>4.0327306547212276E-2</v>
      </c>
      <c r="Q343" t="s">
        <v>154</v>
      </c>
      <c r="S343" t="s">
        <v>205</v>
      </c>
      <c r="T343" t="s">
        <v>250</v>
      </c>
      <c r="U343">
        <v>2.2966913309592135E-2</v>
      </c>
      <c r="V343" t="s">
        <v>154</v>
      </c>
    </row>
    <row r="344" spans="9:22" x14ac:dyDescent="0.25">
      <c r="I344" t="s">
        <v>171</v>
      </c>
      <c r="J344" t="s">
        <v>251</v>
      </c>
      <c r="K344">
        <v>3.2625038844676102E-2</v>
      </c>
      <c r="L344" t="s">
        <v>154</v>
      </c>
      <c r="N344" t="s">
        <v>195</v>
      </c>
      <c r="O344" t="s">
        <v>251</v>
      </c>
      <c r="P344">
        <v>2.8974386745400253E-2</v>
      </c>
      <c r="Q344" t="s">
        <v>154</v>
      </c>
      <c r="S344" t="s">
        <v>205</v>
      </c>
      <c r="T344" t="s">
        <v>251</v>
      </c>
      <c r="U344">
        <v>1.5329744766547203E-2</v>
      </c>
      <c r="V344" t="s">
        <v>154</v>
      </c>
    </row>
    <row r="345" spans="9:22" x14ac:dyDescent="0.25">
      <c r="I345" t="s">
        <v>171</v>
      </c>
      <c r="J345" t="s">
        <v>266</v>
      </c>
      <c r="K345">
        <v>1.1713050193883611E-2</v>
      </c>
      <c r="L345" t="s">
        <v>154</v>
      </c>
      <c r="N345" t="s">
        <v>195</v>
      </c>
      <c r="O345" t="s">
        <v>266</v>
      </c>
      <c r="P345">
        <v>2.39415948855385E-2</v>
      </c>
      <c r="Q345" t="s">
        <v>154</v>
      </c>
      <c r="S345" t="s">
        <v>205</v>
      </c>
      <c r="T345" t="s">
        <v>266</v>
      </c>
      <c r="U345">
        <v>1.6263602212072372E-2</v>
      </c>
      <c r="V345" t="s">
        <v>154</v>
      </c>
    </row>
    <row r="346" spans="9:22" x14ac:dyDescent="0.25">
      <c r="I346" t="s">
        <v>171</v>
      </c>
      <c r="J346" t="s">
        <v>267</v>
      </c>
      <c r="K346">
        <v>0</v>
      </c>
      <c r="L346" t="s">
        <v>154</v>
      </c>
      <c r="N346" t="s">
        <v>195</v>
      </c>
      <c r="O346" t="s">
        <v>267</v>
      </c>
      <c r="P346">
        <v>8.758204767914908E-2</v>
      </c>
      <c r="Q346" t="s">
        <v>154</v>
      </c>
      <c r="S346" t="s">
        <v>205</v>
      </c>
      <c r="T346" t="s">
        <v>267</v>
      </c>
      <c r="U346">
        <v>5.6888195605464348E-2</v>
      </c>
      <c r="V346" t="s">
        <v>154</v>
      </c>
    </row>
    <row r="347" spans="9:22" x14ac:dyDescent="0.25">
      <c r="I347" t="s">
        <v>172</v>
      </c>
      <c r="J347" t="s">
        <v>153</v>
      </c>
      <c r="K347">
        <v>1.1785839713817432E-6</v>
      </c>
      <c r="L347" t="s">
        <v>154</v>
      </c>
      <c r="N347" t="s">
        <v>196</v>
      </c>
      <c r="O347" t="s">
        <v>153</v>
      </c>
      <c r="P347">
        <v>4.1034194902841457E-2</v>
      </c>
      <c r="Q347" t="s">
        <v>154</v>
      </c>
      <c r="S347" t="s">
        <v>206</v>
      </c>
      <c r="T347" t="s">
        <v>153</v>
      </c>
      <c r="U347">
        <v>3.2770656575384235E-2</v>
      </c>
      <c r="V347" t="s">
        <v>154</v>
      </c>
    </row>
    <row r="348" spans="9:22" x14ac:dyDescent="0.25">
      <c r="I348" t="s">
        <v>172</v>
      </c>
      <c r="J348" t="s">
        <v>155</v>
      </c>
      <c r="K348">
        <v>6.6308981814651568E-3</v>
      </c>
      <c r="L348" t="s">
        <v>154</v>
      </c>
      <c r="N348" t="s">
        <v>196</v>
      </c>
      <c r="O348" t="s">
        <v>155</v>
      </c>
      <c r="P348">
        <v>1.109157013977087E-2</v>
      </c>
      <c r="Q348" t="s">
        <v>154</v>
      </c>
      <c r="S348" t="s">
        <v>206</v>
      </c>
      <c r="T348" t="s">
        <v>155</v>
      </c>
      <c r="U348">
        <v>9.2335928630796083E-3</v>
      </c>
      <c r="V348" t="s">
        <v>154</v>
      </c>
    </row>
    <row r="349" spans="9:22" x14ac:dyDescent="0.25">
      <c r="I349" t="s">
        <v>172</v>
      </c>
      <c r="J349" t="s">
        <v>156</v>
      </c>
      <c r="K349">
        <v>5.7752354690385503E-3</v>
      </c>
      <c r="L349" t="s">
        <v>154</v>
      </c>
      <c r="N349" t="s">
        <v>196</v>
      </c>
      <c r="O349" t="s">
        <v>156</v>
      </c>
      <c r="P349">
        <v>6.2395017206045246E-3</v>
      </c>
      <c r="Q349" t="s">
        <v>154</v>
      </c>
      <c r="S349" t="s">
        <v>206</v>
      </c>
      <c r="T349" t="s">
        <v>156</v>
      </c>
      <c r="U349">
        <v>4.7483873211367289E-3</v>
      </c>
      <c r="V349" t="s">
        <v>154</v>
      </c>
    </row>
    <row r="350" spans="9:22" x14ac:dyDescent="0.25">
      <c r="I350" t="s">
        <v>172</v>
      </c>
      <c r="J350" t="s">
        <v>222</v>
      </c>
      <c r="K350">
        <v>6.4028003571784901E-3</v>
      </c>
      <c r="L350" t="s">
        <v>154</v>
      </c>
      <c r="N350" t="s">
        <v>196</v>
      </c>
      <c r="O350" t="s">
        <v>222</v>
      </c>
      <c r="P350">
        <v>6.4852933029604645E-3</v>
      </c>
      <c r="Q350" t="s">
        <v>154</v>
      </c>
      <c r="S350" t="s">
        <v>206</v>
      </c>
      <c r="T350" t="s">
        <v>222</v>
      </c>
      <c r="U350">
        <v>4.7502180915919507E-3</v>
      </c>
      <c r="V350" t="s">
        <v>154</v>
      </c>
    </row>
    <row r="351" spans="9:22" x14ac:dyDescent="0.25">
      <c r="I351" t="s">
        <v>172</v>
      </c>
      <c r="J351" t="s">
        <v>223</v>
      </c>
      <c r="K351">
        <v>1.9434756647254053E-2</v>
      </c>
      <c r="L351" t="s">
        <v>154</v>
      </c>
      <c r="N351" t="s">
        <v>196</v>
      </c>
      <c r="O351" t="s">
        <v>223</v>
      </c>
      <c r="P351">
        <v>2.1116650527548211E-2</v>
      </c>
      <c r="Q351" t="s">
        <v>154</v>
      </c>
      <c r="S351" t="s">
        <v>206</v>
      </c>
      <c r="T351" t="s">
        <v>223</v>
      </c>
      <c r="U351">
        <v>1.3665544668446463E-2</v>
      </c>
      <c r="V351" t="s">
        <v>154</v>
      </c>
    </row>
    <row r="352" spans="9:22" x14ac:dyDescent="0.25">
      <c r="I352" t="s">
        <v>172</v>
      </c>
      <c r="J352" t="s">
        <v>224</v>
      </c>
      <c r="K352">
        <v>9.1143845053270091E-3</v>
      </c>
      <c r="L352" t="s">
        <v>154</v>
      </c>
      <c r="N352" t="s">
        <v>196</v>
      </c>
      <c r="O352" t="s">
        <v>224</v>
      </c>
      <c r="P352">
        <v>1.6074207610632513E-2</v>
      </c>
      <c r="Q352" t="s">
        <v>154</v>
      </c>
      <c r="S352" t="s">
        <v>206</v>
      </c>
      <c r="T352" t="s">
        <v>224</v>
      </c>
      <c r="U352">
        <v>8.7460368265580533E-3</v>
      </c>
      <c r="V352" t="s">
        <v>154</v>
      </c>
    </row>
    <row r="353" spans="9:22" x14ac:dyDescent="0.25">
      <c r="I353" t="s">
        <v>172</v>
      </c>
      <c r="J353" t="s">
        <v>256</v>
      </c>
      <c r="K353">
        <v>4.0396153164663062E-3</v>
      </c>
      <c r="L353" t="s">
        <v>154</v>
      </c>
      <c r="N353" t="s">
        <v>196</v>
      </c>
      <c r="O353" t="s">
        <v>256</v>
      </c>
      <c r="P353">
        <v>1.6336800915602256E-2</v>
      </c>
      <c r="Q353" t="s">
        <v>154</v>
      </c>
      <c r="S353" t="s">
        <v>206</v>
      </c>
      <c r="T353" t="s">
        <v>256</v>
      </c>
      <c r="U353">
        <v>8.8863530366944839E-3</v>
      </c>
      <c r="V353" t="s">
        <v>154</v>
      </c>
    </row>
    <row r="354" spans="9:22" x14ac:dyDescent="0.25">
      <c r="I354" t="s">
        <v>172</v>
      </c>
      <c r="J354" t="s">
        <v>257</v>
      </c>
      <c r="K354">
        <v>0</v>
      </c>
      <c r="L354" t="s">
        <v>154</v>
      </c>
      <c r="N354" t="s">
        <v>196</v>
      </c>
      <c r="O354" t="s">
        <v>257</v>
      </c>
      <c r="P354">
        <v>4.5603403033884493E-2</v>
      </c>
      <c r="Q354" t="s">
        <v>154</v>
      </c>
      <c r="S354" t="s">
        <v>206</v>
      </c>
      <c r="T354" t="s">
        <v>257</v>
      </c>
      <c r="U354">
        <v>2.779540910798272E-2</v>
      </c>
      <c r="V354" t="s">
        <v>154</v>
      </c>
    </row>
    <row r="355" spans="9:22" x14ac:dyDescent="0.25">
      <c r="I355" t="s">
        <v>172</v>
      </c>
      <c r="J355" t="s">
        <v>157</v>
      </c>
      <c r="K355">
        <v>4.4930412607385147E-3</v>
      </c>
      <c r="L355" t="s">
        <v>154</v>
      </c>
      <c r="N355" t="s">
        <v>196</v>
      </c>
      <c r="O355" t="s">
        <v>157</v>
      </c>
      <c r="P355">
        <v>6.2774443529047458E-2</v>
      </c>
      <c r="Q355" t="s">
        <v>154</v>
      </c>
      <c r="S355" t="s">
        <v>206</v>
      </c>
      <c r="T355" t="s">
        <v>157</v>
      </c>
      <c r="U355">
        <v>7.8409865052539482E-2</v>
      </c>
      <c r="V355" t="s">
        <v>154</v>
      </c>
    </row>
    <row r="356" spans="9:22" x14ac:dyDescent="0.25">
      <c r="I356" t="s">
        <v>172</v>
      </c>
      <c r="J356" t="s">
        <v>158</v>
      </c>
      <c r="K356">
        <v>4.4992438943663088E-2</v>
      </c>
      <c r="L356" t="s">
        <v>154</v>
      </c>
      <c r="N356" t="s">
        <v>196</v>
      </c>
      <c r="O356" t="s">
        <v>158</v>
      </c>
      <c r="P356">
        <v>1.6988313090824391E-2</v>
      </c>
      <c r="Q356" t="s">
        <v>154</v>
      </c>
      <c r="S356" t="s">
        <v>206</v>
      </c>
      <c r="T356" t="s">
        <v>158</v>
      </c>
      <c r="U356">
        <v>2.2819842809805549E-2</v>
      </c>
      <c r="V356" t="s">
        <v>154</v>
      </c>
    </row>
    <row r="357" spans="9:22" x14ac:dyDescent="0.25">
      <c r="I357" t="s">
        <v>172</v>
      </c>
      <c r="J357" t="s">
        <v>159</v>
      </c>
      <c r="K357">
        <v>3.4222165200785214E-2</v>
      </c>
      <c r="L357" t="s">
        <v>154</v>
      </c>
      <c r="N357" t="s">
        <v>196</v>
      </c>
      <c r="O357" t="s">
        <v>159</v>
      </c>
      <c r="P357">
        <v>9.1951579682949224E-3</v>
      </c>
      <c r="Q357" t="s">
        <v>154</v>
      </c>
      <c r="S357" t="s">
        <v>206</v>
      </c>
      <c r="T357" t="s">
        <v>159</v>
      </c>
      <c r="U357">
        <v>1.1600551035174912E-2</v>
      </c>
      <c r="V357" t="s">
        <v>154</v>
      </c>
    </row>
    <row r="358" spans="9:22" x14ac:dyDescent="0.25">
      <c r="I358" t="s">
        <v>172</v>
      </c>
      <c r="J358" t="s">
        <v>225</v>
      </c>
      <c r="K358">
        <v>3.8628222664231722E-2</v>
      </c>
      <c r="L358" t="s">
        <v>154</v>
      </c>
      <c r="N358" t="s">
        <v>196</v>
      </c>
      <c r="O358" t="s">
        <v>225</v>
      </c>
      <c r="P358">
        <v>9.9856297946497221E-3</v>
      </c>
      <c r="Q358" t="s">
        <v>154</v>
      </c>
      <c r="S358" t="s">
        <v>206</v>
      </c>
      <c r="T358" t="s">
        <v>225</v>
      </c>
      <c r="U358">
        <v>1.1331774430040421E-2</v>
      </c>
      <c r="V358" t="s">
        <v>154</v>
      </c>
    </row>
    <row r="359" spans="9:22" x14ac:dyDescent="0.25">
      <c r="I359" t="s">
        <v>172</v>
      </c>
      <c r="J359" t="s">
        <v>226</v>
      </c>
      <c r="K359">
        <v>0.11982283055672084</v>
      </c>
      <c r="L359" t="s">
        <v>154</v>
      </c>
      <c r="N359" t="s">
        <v>196</v>
      </c>
      <c r="O359" t="s">
        <v>226</v>
      </c>
      <c r="P359">
        <v>3.4909621226884298E-2</v>
      </c>
      <c r="Q359" t="s">
        <v>154</v>
      </c>
      <c r="S359" t="s">
        <v>206</v>
      </c>
      <c r="T359" t="s">
        <v>226</v>
      </c>
      <c r="U359">
        <v>3.1307043334256643E-2</v>
      </c>
      <c r="V359" t="s">
        <v>154</v>
      </c>
    </row>
    <row r="360" spans="9:22" x14ac:dyDescent="0.25">
      <c r="I360" t="s">
        <v>172</v>
      </c>
      <c r="J360" t="s">
        <v>227</v>
      </c>
      <c r="K360">
        <v>5.8122519132812918E-2</v>
      </c>
      <c r="L360" t="s">
        <v>154</v>
      </c>
      <c r="N360" t="s">
        <v>196</v>
      </c>
      <c r="O360" t="s">
        <v>227</v>
      </c>
      <c r="P360">
        <v>2.9006800326011838E-2</v>
      </c>
      <c r="Q360" t="s">
        <v>154</v>
      </c>
      <c r="S360" t="s">
        <v>206</v>
      </c>
      <c r="T360" t="s">
        <v>227</v>
      </c>
      <c r="U360">
        <v>1.9521871823938119E-2</v>
      </c>
      <c r="V360" t="s">
        <v>154</v>
      </c>
    </row>
    <row r="361" spans="9:22" x14ac:dyDescent="0.25">
      <c r="I361" t="s">
        <v>172</v>
      </c>
      <c r="J361" t="s">
        <v>258</v>
      </c>
      <c r="K361">
        <v>2.6443370359604479E-2</v>
      </c>
      <c r="L361" t="s">
        <v>154</v>
      </c>
      <c r="N361" t="s">
        <v>196</v>
      </c>
      <c r="O361" t="s">
        <v>258</v>
      </c>
      <c r="P361">
        <v>3.1537657858232558E-2</v>
      </c>
      <c r="Q361" t="s">
        <v>154</v>
      </c>
      <c r="S361" t="s">
        <v>206</v>
      </c>
      <c r="T361" t="s">
        <v>258</v>
      </c>
      <c r="U361">
        <v>1.8815443417309303E-2</v>
      </c>
      <c r="V361" t="s">
        <v>154</v>
      </c>
    </row>
    <row r="362" spans="9:22" x14ac:dyDescent="0.25">
      <c r="I362" t="s">
        <v>172</v>
      </c>
      <c r="J362" t="s">
        <v>259</v>
      </c>
      <c r="K362">
        <v>7.9478559272890302E-5</v>
      </c>
      <c r="L362" t="s">
        <v>154</v>
      </c>
      <c r="N362" t="s">
        <v>196</v>
      </c>
      <c r="O362" t="s">
        <v>259</v>
      </c>
      <c r="P362">
        <v>8.2054448243939052E-2</v>
      </c>
      <c r="Q362" t="s">
        <v>154</v>
      </c>
      <c r="S362" t="s">
        <v>206</v>
      </c>
      <c r="T362" t="s">
        <v>259</v>
      </c>
      <c r="U362">
        <v>6.720186548743895E-2</v>
      </c>
      <c r="V362" t="s">
        <v>154</v>
      </c>
    </row>
    <row r="363" spans="9:22" x14ac:dyDescent="0.25">
      <c r="I363" t="s">
        <v>172</v>
      </c>
      <c r="J363" t="s">
        <v>160</v>
      </c>
      <c r="K363">
        <v>1.3545888892691664E-3</v>
      </c>
      <c r="L363" t="s">
        <v>154</v>
      </c>
      <c r="N363" t="s">
        <v>196</v>
      </c>
      <c r="O363" t="s">
        <v>160</v>
      </c>
      <c r="P363">
        <v>1.997675783230572E-3</v>
      </c>
      <c r="Q363" t="s">
        <v>154</v>
      </c>
      <c r="S363" t="s">
        <v>206</v>
      </c>
      <c r="T363" t="s">
        <v>160</v>
      </c>
      <c r="U363">
        <v>3.9746169343700687E-4</v>
      </c>
      <c r="V363" t="s">
        <v>154</v>
      </c>
    </row>
    <row r="364" spans="9:22" x14ac:dyDescent="0.25">
      <c r="I364" t="s">
        <v>172</v>
      </c>
      <c r="J364" t="s">
        <v>161</v>
      </c>
      <c r="K364">
        <v>5.9890884121851957E-3</v>
      </c>
      <c r="L364" t="s">
        <v>154</v>
      </c>
      <c r="N364" t="s">
        <v>196</v>
      </c>
      <c r="O364" t="s">
        <v>161</v>
      </c>
      <c r="P364">
        <v>5.6481820170598929E-4</v>
      </c>
      <c r="Q364" t="s">
        <v>154</v>
      </c>
      <c r="S364" t="s">
        <v>206</v>
      </c>
      <c r="T364" t="s">
        <v>161</v>
      </c>
      <c r="U364">
        <v>9.1030077806882222E-5</v>
      </c>
      <c r="V364" t="s">
        <v>154</v>
      </c>
    </row>
    <row r="365" spans="9:22" x14ac:dyDescent="0.25">
      <c r="I365" t="s">
        <v>172</v>
      </c>
      <c r="J365" t="s">
        <v>162</v>
      </c>
      <c r="K365">
        <v>4.302039564643657E-3</v>
      </c>
      <c r="L365" t="s">
        <v>154</v>
      </c>
      <c r="N365" t="s">
        <v>196</v>
      </c>
      <c r="O365" t="s">
        <v>162</v>
      </c>
      <c r="P365">
        <v>2.747162000316432E-4</v>
      </c>
      <c r="Q365" t="s">
        <v>154</v>
      </c>
      <c r="S365" t="s">
        <v>206</v>
      </c>
      <c r="T365" t="s">
        <v>162</v>
      </c>
      <c r="U365">
        <v>4.4307129197437106E-5</v>
      </c>
      <c r="V365" t="s">
        <v>154</v>
      </c>
    </row>
    <row r="366" spans="9:22" x14ac:dyDescent="0.25">
      <c r="I366" t="s">
        <v>172</v>
      </c>
      <c r="J366" t="s">
        <v>228</v>
      </c>
      <c r="K366">
        <v>4.8355231725822683E-3</v>
      </c>
      <c r="L366" t="s">
        <v>154</v>
      </c>
      <c r="N366" t="s">
        <v>196</v>
      </c>
      <c r="O366" t="s">
        <v>228</v>
      </c>
      <c r="P366">
        <v>2.7931675327098215E-4</v>
      </c>
      <c r="Q366" t="s">
        <v>154</v>
      </c>
      <c r="S366" t="s">
        <v>206</v>
      </c>
      <c r="T366" t="s">
        <v>228</v>
      </c>
      <c r="U366">
        <v>5.82417024983398E-5</v>
      </c>
      <c r="V366" t="s">
        <v>154</v>
      </c>
    </row>
    <row r="367" spans="9:22" x14ac:dyDescent="0.25">
      <c r="I367" t="s">
        <v>172</v>
      </c>
      <c r="J367" t="s">
        <v>229</v>
      </c>
      <c r="K367">
        <v>1.494393164220411E-2</v>
      </c>
      <c r="L367" t="s">
        <v>154</v>
      </c>
      <c r="N367" t="s">
        <v>196</v>
      </c>
      <c r="O367" t="s">
        <v>229</v>
      </c>
      <c r="P367">
        <v>1.2387636533308052E-3</v>
      </c>
      <c r="Q367" t="s">
        <v>154</v>
      </c>
      <c r="S367" t="s">
        <v>206</v>
      </c>
      <c r="T367" t="s">
        <v>229</v>
      </c>
      <c r="U367">
        <v>1.6409994461280132E-4</v>
      </c>
      <c r="V367" t="s">
        <v>154</v>
      </c>
    </row>
    <row r="368" spans="9:22" x14ac:dyDescent="0.25">
      <c r="I368" t="s">
        <v>172</v>
      </c>
      <c r="J368" t="s">
        <v>230</v>
      </c>
      <c r="K368">
        <v>6.8116910766229605E-3</v>
      </c>
      <c r="L368" t="s">
        <v>154</v>
      </c>
      <c r="N368" t="s">
        <v>196</v>
      </c>
      <c r="O368" t="s">
        <v>230</v>
      </c>
      <c r="P368">
        <v>1.1078264109192111E-3</v>
      </c>
      <c r="Q368" t="s">
        <v>154</v>
      </c>
      <c r="S368" t="s">
        <v>206</v>
      </c>
      <c r="T368" t="s">
        <v>230</v>
      </c>
      <c r="U368">
        <v>7.0678930867007652E-5</v>
      </c>
      <c r="V368" t="s">
        <v>154</v>
      </c>
    </row>
    <row r="369" spans="9:22" x14ac:dyDescent="0.25">
      <c r="I369" t="s">
        <v>172</v>
      </c>
      <c r="J369" t="s">
        <v>260</v>
      </c>
      <c r="K369">
        <v>2.5083836038351593E-3</v>
      </c>
      <c r="L369" t="s">
        <v>154</v>
      </c>
      <c r="N369" t="s">
        <v>196</v>
      </c>
      <c r="O369" t="s">
        <v>260</v>
      </c>
      <c r="P369">
        <v>1.0915323451319153E-3</v>
      </c>
      <c r="Q369" t="s">
        <v>154</v>
      </c>
      <c r="S369" t="s">
        <v>206</v>
      </c>
      <c r="T369" t="s">
        <v>260</v>
      </c>
      <c r="U369">
        <v>5.2324695336927409E-5</v>
      </c>
      <c r="V369" t="s">
        <v>154</v>
      </c>
    </row>
    <row r="370" spans="9:22" x14ac:dyDescent="0.25">
      <c r="I370" t="s">
        <v>172</v>
      </c>
      <c r="J370" t="s">
        <v>261</v>
      </c>
      <c r="K370">
        <v>0</v>
      </c>
      <c r="L370" t="s">
        <v>154</v>
      </c>
      <c r="N370" t="s">
        <v>196</v>
      </c>
      <c r="O370" t="s">
        <v>261</v>
      </c>
      <c r="P370">
        <v>2.4699147367522973E-3</v>
      </c>
      <c r="Q370" t="s">
        <v>154</v>
      </c>
      <c r="S370" t="s">
        <v>206</v>
      </c>
      <c r="T370" t="s">
        <v>261</v>
      </c>
      <c r="U370">
        <v>1.3461920370862201E-4</v>
      </c>
      <c r="V370" t="s">
        <v>154</v>
      </c>
    </row>
    <row r="371" spans="9:22" x14ac:dyDescent="0.25">
      <c r="I371" t="s">
        <v>172</v>
      </c>
      <c r="J371" t="s">
        <v>163</v>
      </c>
      <c r="K371">
        <v>3.1284781384761265E-3</v>
      </c>
      <c r="L371" t="s">
        <v>154</v>
      </c>
      <c r="N371" t="s">
        <v>196</v>
      </c>
      <c r="O371" t="s">
        <v>163</v>
      </c>
      <c r="P371">
        <v>6.3093583967765059E-3</v>
      </c>
      <c r="Q371" t="s">
        <v>154</v>
      </c>
      <c r="S371" t="s">
        <v>206</v>
      </c>
      <c r="T371" t="s">
        <v>163</v>
      </c>
      <c r="U371">
        <v>2.1321547659344568E-2</v>
      </c>
      <c r="V371" t="s">
        <v>154</v>
      </c>
    </row>
    <row r="372" spans="9:22" x14ac:dyDescent="0.25">
      <c r="I372" t="s">
        <v>172</v>
      </c>
      <c r="J372" t="s">
        <v>164</v>
      </c>
      <c r="K372">
        <v>1.465453452434225E-2</v>
      </c>
      <c r="L372" t="s">
        <v>154</v>
      </c>
      <c r="N372" t="s">
        <v>196</v>
      </c>
      <c r="O372" t="s">
        <v>164</v>
      </c>
      <c r="P372">
        <v>2.6549938189455312E-3</v>
      </c>
      <c r="Q372" t="s">
        <v>154</v>
      </c>
      <c r="S372" t="s">
        <v>206</v>
      </c>
      <c r="T372" t="s">
        <v>164</v>
      </c>
      <c r="U372">
        <v>7.092554676466383E-3</v>
      </c>
      <c r="V372" t="s">
        <v>154</v>
      </c>
    </row>
    <row r="373" spans="9:22" x14ac:dyDescent="0.25">
      <c r="I373" t="s">
        <v>172</v>
      </c>
      <c r="J373" t="s">
        <v>165</v>
      </c>
      <c r="K373">
        <v>1.139896252934583E-2</v>
      </c>
      <c r="L373" t="s">
        <v>154</v>
      </c>
      <c r="N373" t="s">
        <v>196</v>
      </c>
      <c r="O373" t="s">
        <v>165</v>
      </c>
      <c r="P373">
        <v>1.1905111685092116E-3</v>
      </c>
      <c r="Q373" t="s">
        <v>154</v>
      </c>
      <c r="S373" t="s">
        <v>206</v>
      </c>
      <c r="T373" t="s">
        <v>165</v>
      </c>
      <c r="U373">
        <v>3.5207957894466671E-3</v>
      </c>
      <c r="V373" t="s">
        <v>154</v>
      </c>
    </row>
    <row r="374" spans="9:22" x14ac:dyDescent="0.25">
      <c r="I374" t="s">
        <v>172</v>
      </c>
      <c r="J374" t="s">
        <v>231</v>
      </c>
      <c r="K374">
        <v>1.3486588592617215E-2</v>
      </c>
      <c r="L374" t="s">
        <v>154</v>
      </c>
      <c r="N374" t="s">
        <v>196</v>
      </c>
      <c r="O374" t="s">
        <v>231</v>
      </c>
      <c r="P374">
        <v>1.3413058633615258E-3</v>
      </c>
      <c r="Q374" t="s">
        <v>154</v>
      </c>
      <c r="S374" t="s">
        <v>206</v>
      </c>
      <c r="T374" t="s">
        <v>231</v>
      </c>
      <c r="U374">
        <v>3.4607106554713127E-3</v>
      </c>
      <c r="V374" t="s">
        <v>154</v>
      </c>
    </row>
    <row r="375" spans="9:22" x14ac:dyDescent="0.25">
      <c r="I375" t="s">
        <v>172</v>
      </c>
      <c r="J375" t="s">
        <v>232</v>
      </c>
      <c r="K375">
        <v>4.2728383724182223E-2</v>
      </c>
      <c r="L375" t="s">
        <v>154</v>
      </c>
      <c r="N375" t="s">
        <v>196</v>
      </c>
      <c r="O375" t="s">
        <v>232</v>
      </c>
      <c r="P375">
        <v>5.0403124889848491E-3</v>
      </c>
      <c r="Q375" t="s">
        <v>154</v>
      </c>
      <c r="S375" t="s">
        <v>206</v>
      </c>
      <c r="T375" t="s">
        <v>232</v>
      </c>
      <c r="U375">
        <v>9.9113299176477616E-3</v>
      </c>
      <c r="V375" t="s">
        <v>154</v>
      </c>
    </row>
    <row r="376" spans="9:22" x14ac:dyDescent="0.25">
      <c r="I376" t="s">
        <v>172</v>
      </c>
      <c r="J376" t="s">
        <v>233</v>
      </c>
      <c r="K376">
        <v>2.0472905230377599E-2</v>
      </c>
      <c r="L376" t="s">
        <v>154</v>
      </c>
      <c r="N376" t="s">
        <v>196</v>
      </c>
      <c r="O376" t="s">
        <v>233</v>
      </c>
      <c r="P376">
        <v>3.3587706395542616E-3</v>
      </c>
      <c r="Q376" t="s">
        <v>154</v>
      </c>
      <c r="S376" t="s">
        <v>206</v>
      </c>
      <c r="T376" t="s">
        <v>233</v>
      </c>
      <c r="U376">
        <v>6.5496347412054689E-3</v>
      </c>
      <c r="V376" t="s">
        <v>154</v>
      </c>
    </row>
    <row r="377" spans="9:22" x14ac:dyDescent="0.25">
      <c r="I377" t="s">
        <v>172</v>
      </c>
      <c r="J377" t="s">
        <v>262</v>
      </c>
      <c r="K377">
        <v>9.1994053719649509E-3</v>
      </c>
      <c r="L377" t="s">
        <v>154</v>
      </c>
      <c r="N377" t="s">
        <v>196</v>
      </c>
      <c r="O377" t="s">
        <v>262</v>
      </c>
      <c r="P377">
        <v>2.2084451444488291E-3</v>
      </c>
      <c r="Q377" t="s">
        <v>154</v>
      </c>
      <c r="S377" t="s">
        <v>206</v>
      </c>
      <c r="T377" t="s">
        <v>262</v>
      </c>
      <c r="U377">
        <v>5.8880510836078802E-3</v>
      </c>
      <c r="V377" t="s">
        <v>154</v>
      </c>
    </row>
    <row r="378" spans="9:22" x14ac:dyDescent="0.25">
      <c r="I378" t="s">
        <v>172</v>
      </c>
      <c r="J378" t="s">
        <v>263</v>
      </c>
      <c r="K378">
        <v>9.8012934295578291E-5</v>
      </c>
      <c r="L378" t="s">
        <v>154</v>
      </c>
      <c r="N378" t="s">
        <v>196</v>
      </c>
      <c r="O378" t="s">
        <v>263</v>
      </c>
      <c r="P378">
        <v>5.1674028071948645E-3</v>
      </c>
      <c r="Q378" t="s">
        <v>154</v>
      </c>
      <c r="S378" t="s">
        <v>206</v>
      </c>
      <c r="T378" t="s">
        <v>263</v>
      </c>
      <c r="U378">
        <v>1.4119023082042582E-2</v>
      </c>
      <c r="V378" t="s">
        <v>154</v>
      </c>
    </row>
    <row r="379" spans="9:22" x14ac:dyDescent="0.25">
      <c r="I379" t="s">
        <v>172</v>
      </c>
      <c r="J379" t="s">
        <v>240</v>
      </c>
      <c r="K379">
        <v>6.868800576368162E-3</v>
      </c>
      <c r="L379" t="s">
        <v>154</v>
      </c>
      <c r="N379" t="s">
        <v>196</v>
      </c>
      <c r="O379" t="s">
        <v>240</v>
      </c>
      <c r="P379">
        <v>3.6376673152664893E-2</v>
      </c>
      <c r="Q379" t="s">
        <v>154</v>
      </c>
      <c r="S379" t="s">
        <v>206</v>
      </c>
      <c r="T379" t="s">
        <v>240</v>
      </c>
      <c r="U379">
        <v>9.8611954060750018E-2</v>
      </c>
      <c r="V379" t="s">
        <v>154</v>
      </c>
    </row>
    <row r="380" spans="9:22" x14ac:dyDescent="0.25">
      <c r="I380" t="s">
        <v>172</v>
      </c>
      <c r="J380" t="s">
        <v>241</v>
      </c>
      <c r="K380">
        <v>3.2743697652040375E-2</v>
      </c>
      <c r="L380" t="s">
        <v>154</v>
      </c>
      <c r="N380" t="s">
        <v>196</v>
      </c>
      <c r="O380" t="s">
        <v>241</v>
      </c>
      <c r="P380">
        <v>1.5324384469014667E-2</v>
      </c>
      <c r="Q380" t="s">
        <v>154</v>
      </c>
      <c r="S380" t="s">
        <v>206</v>
      </c>
      <c r="T380" t="s">
        <v>241</v>
      </c>
      <c r="U380">
        <v>2.8156768216972786E-2</v>
      </c>
      <c r="V380" t="s">
        <v>154</v>
      </c>
    </row>
    <row r="381" spans="9:22" x14ac:dyDescent="0.25">
      <c r="I381" t="s">
        <v>172</v>
      </c>
      <c r="J381" t="s">
        <v>242</v>
      </c>
      <c r="K381">
        <v>2.5411363370201296E-2</v>
      </c>
      <c r="L381" t="s">
        <v>154</v>
      </c>
      <c r="N381" t="s">
        <v>196</v>
      </c>
      <c r="O381" t="s">
        <v>242</v>
      </c>
      <c r="P381">
        <v>9.0830843431726534E-3</v>
      </c>
      <c r="Q381" t="s">
        <v>154</v>
      </c>
      <c r="S381" t="s">
        <v>206</v>
      </c>
      <c r="T381" t="s">
        <v>242</v>
      </c>
      <c r="U381">
        <v>1.4213936242912872E-2</v>
      </c>
      <c r="V381" t="s">
        <v>154</v>
      </c>
    </row>
    <row r="382" spans="9:22" x14ac:dyDescent="0.25">
      <c r="I382" t="s">
        <v>172</v>
      </c>
      <c r="J382" t="s">
        <v>243</v>
      </c>
      <c r="K382">
        <v>2.9039896428280428E-2</v>
      </c>
      <c r="L382" t="s">
        <v>154</v>
      </c>
      <c r="N382" t="s">
        <v>196</v>
      </c>
      <c r="O382" t="s">
        <v>243</v>
      </c>
      <c r="P382">
        <v>1.008022486457822E-2</v>
      </c>
      <c r="Q382" t="s">
        <v>154</v>
      </c>
      <c r="S382" t="s">
        <v>206</v>
      </c>
      <c r="T382" t="s">
        <v>243</v>
      </c>
      <c r="U382">
        <v>1.4579574505681274E-2</v>
      </c>
      <c r="V382" t="s">
        <v>154</v>
      </c>
    </row>
    <row r="383" spans="9:22" x14ac:dyDescent="0.25">
      <c r="I383" t="s">
        <v>172</v>
      </c>
      <c r="J383" t="s">
        <v>244</v>
      </c>
      <c r="K383">
        <v>9.1571982900034779E-2</v>
      </c>
      <c r="L383" t="s">
        <v>154</v>
      </c>
      <c r="N383" t="s">
        <v>196</v>
      </c>
      <c r="O383" t="s">
        <v>244</v>
      </c>
      <c r="P383">
        <v>3.0392262263017729E-2</v>
      </c>
      <c r="Q383" t="s">
        <v>154</v>
      </c>
      <c r="S383" t="s">
        <v>206</v>
      </c>
      <c r="T383" t="s">
        <v>244</v>
      </c>
      <c r="U383">
        <v>4.4292799933511519E-2</v>
      </c>
      <c r="V383" t="s">
        <v>154</v>
      </c>
    </row>
    <row r="384" spans="9:22" x14ac:dyDescent="0.25">
      <c r="I384" t="s">
        <v>172</v>
      </c>
      <c r="J384" t="s">
        <v>245</v>
      </c>
      <c r="K384">
        <v>4.4898755527580603E-2</v>
      </c>
      <c r="L384" t="s">
        <v>154</v>
      </c>
      <c r="N384" t="s">
        <v>196</v>
      </c>
      <c r="O384" t="s">
        <v>245</v>
      </c>
      <c r="P384">
        <v>1.9116676885029788E-2</v>
      </c>
      <c r="Q384" t="s">
        <v>154</v>
      </c>
      <c r="S384" t="s">
        <v>206</v>
      </c>
      <c r="T384" t="s">
        <v>245</v>
      </c>
      <c r="U384">
        <v>2.9270419820193894E-2</v>
      </c>
      <c r="V384" t="s">
        <v>154</v>
      </c>
    </row>
    <row r="385" spans="9:22" x14ac:dyDescent="0.25">
      <c r="I385" t="s">
        <v>172</v>
      </c>
      <c r="J385" t="s">
        <v>264</v>
      </c>
      <c r="K385">
        <v>2.1887226180018989E-2</v>
      </c>
      <c r="L385" t="s">
        <v>154</v>
      </c>
      <c r="N385" t="s">
        <v>196</v>
      </c>
      <c r="O385" t="s">
        <v>264</v>
      </c>
      <c r="P385">
        <v>1.6782948856183928E-2</v>
      </c>
      <c r="Q385" t="s">
        <v>154</v>
      </c>
      <c r="S385" t="s">
        <v>206</v>
      </c>
      <c r="T385" t="s">
        <v>264</v>
      </c>
      <c r="U385">
        <v>2.8619422368797272E-2</v>
      </c>
      <c r="V385" t="s">
        <v>154</v>
      </c>
    </row>
    <row r="386" spans="9:22" x14ac:dyDescent="0.25">
      <c r="I386" t="s">
        <v>172</v>
      </c>
      <c r="J386" t="s">
        <v>265</v>
      </c>
      <c r="K386">
        <v>8.3940218830018366E-4</v>
      </c>
      <c r="L386" t="s">
        <v>154</v>
      </c>
      <c r="N386" t="s">
        <v>196</v>
      </c>
      <c r="O386" t="s">
        <v>265</v>
      </c>
      <c r="P386">
        <v>4.2575561348369428E-2</v>
      </c>
      <c r="Q386" t="s">
        <v>154</v>
      </c>
      <c r="S386" t="s">
        <v>206</v>
      </c>
      <c r="T386" t="s">
        <v>265</v>
      </c>
      <c r="U386">
        <v>7.8415895187140483E-2</v>
      </c>
      <c r="V386" t="s">
        <v>154</v>
      </c>
    </row>
    <row r="387" spans="9:22" x14ac:dyDescent="0.25">
      <c r="I387" t="s">
        <v>172</v>
      </c>
      <c r="J387" t="s">
        <v>246</v>
      </c>
      <c r="K387">
        <v>5.6979745085378028E-3</v>
      </c>
      <c r="L387" t="s">
        <v>154</v>
      </c>
      <c r="N387" t="s">
        <v>196</v>
      </c>
      <c r="O387" t="s">
        <v>246</v>
      </c>
      <c r="P387">
        <v>8.2550096367508222E-2</v>
      </c>
      <c r="Q387" t="s">
        <v>154</v>
      </c>
      <c r="S387" t="s">
        <v>206</v>
      </c>
      <c r="T387" t="s">
        <v>246</v>
      </c>
      <c r="U387">
        <v>6.2119154619197328E-2</v>
      </c>
      <c r="V387" t="s">
        <v>154</v>
      </c>
    </row>
    <row r="388" spans="9:22" x14ac:dyDescent="0.25">
      <c r="I388" t="s">
        <v>172</v>
      </c>
      <c r="J388" t="s">
        <v>247</v>
      </c>
      <c r="K388">
        <v>3.1830343437743248E-2</v>
      </c>
      <c r="L388" t="s">
        <v>154</v>
      </c>
      <c r="N388" t="s">
        <v>196</v>
      </c>
      <c r="O388" t="s">
        <v>247</v>
      </c>
      <c r="P388">
        <v>2.3234408538555525E-2</v>
      </c>
      <c r="Q388" t="s">
        <v>154</v>
      </c>
      <c r="S388" t="s">
        <v>206</v>
      </c>
      <c r="T388" t="s">
        <v>247</v>
      </c>
      <c r="U388">
        <v>1.8859696239482145E-2</v>
      </c>
      <c r="V388" t="s">
        <v>154</v>
      </c>
    </row>
    <row r="389" spans="9:22" x14ac:dyDescent="0.25">
      <c r="I389" t="s">
        <v>172</v>
      </c>
      <c r="J389" t="s">
        <v>248</v>
      </c>
      <c r="K389">
        <v>2.3748095048158755E-2</v>
      </c>
      <c r="L389" t="s">
        <v>154</v>
      </c>
      <c r="N389" t="s">
        <v>196</v>
      </c>
      <c r="O389" t="s">
        <v>248</v>
      </c>
      <c r="P389">
        <v>1.1659533737634301E-2</v>
      </c>
      <c r="Q389" t="s">
        <v>154</v>
      </c>
      <c r="S389" t="s">
        <v>206</v>
      </c>
      <c r="T389" t="s">
        <v>248</v>
      </c>
      <c r="U389">
        <v>9.5339274878778434E-3</v>
      </c>
      <c r="V389" t="s">
        <v>154</v>
      </c>
    </row>
    <row r="390" spans="9:22" x14ac:dyDescent="0.25">
      <c r="I390" t="s">
        <v>172</v>
      </c>
      <c r="J390" t="s">
        <v>249</v>
      </c>
      <c r="K390">
        <v>2.6473170574723506E-2</v>
      </c>
      <c r="L390" t="s">
        <v>154</v>
      </c>
      <c r="N390" t="s">
        <v>196</v>
      </c>
      <c r="O390" t="s">
        <v>249</v>
      </c>
      <c r="P390">
        <v>1.1976438057085807E-2</v>
      </c>
      <c r="Q390" t="s">
        <v>154</v>
      </c>
      <c r="S390" t="s">
        <v>206</v>
      </c>
      <c r="T390" t="s">
        <v>249</v>
      </c>
      <c r="U390">
        <v>9.5228085767105394E-3</v>
      </c>
      <c r="V390" t="s">
        <v>154</v>
      </c>
    </row>
    <row r="391" spans="9:22" x14ac:dyDescent="0.25">
      <c r="I391" t="s">
        <v>172</v>
      </c>
      <c r="J391" t="s">
        <v>250</v>
      </c>
      <c r="K391">
        <v>7.8178481080480755E-2</v>
      </c>
      <c r="L391" t="s">
        <v>154</v>
      </c>
      <c r="N391" t="s">
        <v>196</v>
      </c>
      <c r="O391" t="s">
        <v>250</v>
      </c>
      <c r="P391">
        <v>4.0784637992302517E-2</v>
      </c>
      <c r="Q391" t="s">
        <v>154</v>
      </c>
      <c r="S391" t="s">
        <v>206</v>
      </c>
      <c r="T391" t="s">
        <v>250</v>
      </c>
      <c r="U391">
        <v>2.6885149327862772E-2</v>
      </c>
      <c r="V391" t="s">
        <v>154</v>
      </c>
    </row>
    <row r="392" spans="9:22" x14ac:dyDescent="0.25">
      <c r="I392" t="s">
        <v>172</v>
      </c>
      <c r="J392" t="s">
        <v>251</v>
      </c>
      <c r="K392">
        <v>3.5272011183327963E-2</v>
      </c>
      <c r="L392" t="s">
        <v>154</v>
      </c>
      <c r="N392" t="s">
        <v>196</v>
      </c>
      <c r="O392" t="s">
        <v>251</v>
      </c>
      <c r="P392">
        <v>3.4057449371855723E-2</v>
      </c>
      <c r="Q392" t="s">
        <v>154</v>
      </c>
      <c r="S392" t="s">
        <v>206</v>
      </c>
      <c r="T392" t="s">
        <v>251</v>
      </c>
      <c r="U392">
        <v>1.7510088818847313E-2</v>
      </c>
      <c r="V392" t="s">
        <v>154</v>
      </c>
    </row>
    <row r="393" spans="9:22" x14ac:dyDescent="0.25">
      <c r="I393" t="s">
        <v>172</v>
      </c>
      <c r="J393" t="s">
        <v>266</v>
      </c>
      <c r="K393">
        <v>1.1423346198727563E-2</v>
      </c>
      <c r="L393" t="s">
        <v>154</v>
      </c>
      <c r="N393" t="s">
        <v>196</v>
      </c>
      <c r="O393" t="s">
        <v>266</v>
      </c>
      <c r="P393">
        <v>3.7050501119692186E-2</v>
      </c>
      <c r="Q393" t="s">
        <v>154</v>
      </c>
      <c r="S393" t="s">
        <v>206</v>
      </c>
      <c r="T393" t="s">
        <v>266</v>
      </c>
      <c r="U393">
        <v>1.7536125427118771E-2</v>
      </c>
      <c r="V393" t="s">
        <v>154</v>
      </c>
    </row>
    <row r="394" spans="9:22" x14ac:dyDescent="0.25">
      <c r="I394" t="s">
        <v>172</v>
      </c>
      <c r="J394" t="s">
        <v>267</v>
      </c>
      <c r="K394">
        <v>0</v>
      </c>
      <c r="L394" t="s">
        <v>154</v>
      </c>
      <c r="N394" t="s">
        <v>196</v>
      </c>
      <c r="O394" t="s">
        <v>267</v>
      </c>
      <c r="P394">
        <v>0.1022257600294557</v>
      </c>
      <c r="Q394" t="s">
        <v>154</v>
      </c>
      <c r="S394" t="s">
        <v>206</v>
      </c>
      <c r="T394" t="s">
        <v>267</v>
      </c>
      <c r="U394">
        <v>5.7391412302866651E-2</v>
      </c>
      <c r="V394" t="s">
        <v>154</v>
      </c>
    </row>
    <row r="395" spans="9:22" x14ac:dyDescent="0.25">
      <c r="I395" t="s">
        <v>173</v>
      </c>
      <c r="J395" t="s">
        <v>153</v>
      </c>
      <c r="K395">
        <v>0</v>
      </c>
      <c r="L395" t="s">
        <v>154</v>
      </c>
      <c r="N395" t="s">
        <v>197</v>
      </c>
      <c r="O395" t="s">
        <v>153</v>
      </c>
      <c r="P395">
        <v>5.7175243396404396E-2</v>
      </c>
      <c r="Q395" t="s">
        <v>154</v>
      </c>
      <c r="S395" t="s">
        <v>207</v>
      </c>
      <c r="T395" t="s">
        <v>153</v>
      </c>
      <c r="U395">
        <v>3.1885212060827513E-2</v>
      </c>
      <c r="V395" t="s">
        <v>154</v>
      </c>
    </row>
    <row r="396" spans="9:22" x14ac:dyDescent="0.25">
      <c r="I396" t="s">
        <v>173</v>
      </c>
      <c r="J396" t="s">
        <v>155</v>
      </c>
      <c r="K396">
        <v>5.3695416889517882E-3</v>
      </c>
      <c r="L396" t="s">
        <v>154</v>
      </c>
      <c r="N396" t="s">
        <v>197</v>
      </c>
      <c r="O396" t="s">
        <v>155</v>
      </c>
      <c r="P396">
        <v>1.2453177806118437E-2</v>
      </c>
      <c r="Q396" t="s">
        <v>154</v>
      </c>
      <c r="S396" t="s">
        <v>207</v>
      </c>
      <c r="T396" t="s">
        <v>155</v>
      </c>
      <c r="U396">
        <v>8.368199458813768E-3</v>
      </c>
      <c r="V396" t="s">
        <v>154</v>
      </c>
    </row>
    <row r="397" spans="9:22" x14ac:dyDescent="0.25">
      <c r="I397" t="s">
        <v>173</v>
      </c>
      <c r="J397" t="s">
        <v>156</v>
      </c>
      <c r="K397">
        <v>5.49073118936031E-3</v>
      </c>
      <c r="L397" t="s">
        <v>154</v>
      </c>
      <c r="N397" t="s">
        <v>197</v>
      </c>
      <c r="O397" t="s">
        <v>156</v>
      </c>
      <c r="P397">
        <v>6.3761379183929195E-3</v>
      </c>
      <c r="Q397" t="s">
        <v>154</v>
      </c>
      <c r="S397" t="s">
        <v>207</v>
      </c>
      <c r="T397" t="s">
        <v>156</v>
      </c>
      <c r="U397">
        <v>4.3643180104528364E-3</v>
      </c>
      <c r="V397" t="s">
        <v>154</v>
      </c>
    </row>
    <row r="398" spans="9:22" x14ac:dyDescent="0.25">
      <c r="I398" t="s">
        <v>173</v>
      </c>
      <c r="J398" t="s">
        <v>222</v>
      </c>
      <c r="K398">
        <v>6.7314602063067103E-3</v>
      </c>
      <c r="L398" t="s">
        <v>154</v>
      </c>
      <c r="N398" t="s">
        <v>197</v>
      </c>
      <c r="O398" t="s">
        <v>222</v>
      </c>
      <c r="P398">
        <v>6.5557014829972617E-3</v>
      </c>
      <c r="Q398" t="s">
        <v>154</v>
      </c>
      <c r="S398" t="s">
        <v>207</v>
      </c>
      <c r="T398" t="s">
        <v>222</v>
      </c>
      <c r="U398">
        <v>4.4410575242342081E-3</v>
      </c>
      <c r="V398" t="s">
        <v>154</v>
      </c>
    </row>
    <row r="399" spans="9:22" x14ac:dyDescent="0.25">
      <c r="I399" t="s">
        <v>173</v>
      </c>
      <c r="J399" t="s">
        <v>223</v>
      </c>
      <c r="K399">
        <v>2.2116196427116434E-2</v>
      </c>
      <c r="L399" t="s">
        <v>154</v>
      </c>
      <c r="N399" t="s">
        <v>197</v>
      </c>
      <c r="O399" t="s">
        <v>223</v>
      </c>
      <c r="P399">
        <v>2.2375444386203383E-2</v>
      </c>
      <c r="Q399" t="s">
        <v>154</v>
      </c>
      <c r="S399" t="s">
        <v>207</v>
      </c>
      <c r="T399" t="s">
        <v>223</v>
      </c>
      <c r="U399">
        <v>1.2900476037351364E-2</v>
      </c>
      <c r="V399" t="s">
        <v>154</v>
      </c>
    </row>
    <row r="400" spans="9:22" x14ac:dyDescent="0.25">
      <c r="I400" t="s">
        <v>173</v>
      </c>
      <c r="J400" t="s">
        <v>224</v>
      </c>
      <c r="K400">
        <v>1.2149157468457041E-2</v>
      </c>
      <c r="L400" t="s">
        <v>154</v>
      </c>
      <c r="N400" t="s">
        <v>197</v>
      </c>
      <c r="O400" t="s">
        <v>224</v>
      </c>
      <c r="P400">
        <v>1.5264682525254595E-2</v>
      </c>
      <c r="Q400" t="s">
        <v>154</v>
      </c>
      <c r="S400" t="s">
        <v>207</v>
      </c>
      <c r="T400" t="s">
        <v>224</v>
      </c>
      <c r="U400">
        <v>8.1465997242263777E-3</v>
      </c>
      <c r="V400" t="s">
        <v>154</v>
      </c>
    </row>
    <row r="401" spans="9:22" x14ac:dyDescent="0.25">
      <c r="I401" t="s">
        <v>173</v>
      </c>
      <c r="J401" t="s">
        <v>256</v>
      </c>
      <c r="K401">
        <v>5.5780283165426771E-3</v>
      </c>
      <c r="L401" t="s">
        <v>154</v>
      </c>
      <c r="N401" t="s">
        <v>197</v>
      </c>
      <c r="O401" t="s">
        <v>256</v>
      </c>
      <c r="P401">
        <v>1.4358633068626839E-2</v>
      </c>
      <c r="Q401" t="s">
        <v>154</v>
      </c>
      <c r="S401" t="s">
        <v>207</v>
      </c>
      <c r="T401" t="s">
        <v>256</v>
      </c>
      <c r="U401">
        <v>8.6418095985197636E-3</v>
      </c>
      <c r="V401" t="s">
        <v>154</v>
      </c>
    </row>
    <row r="402" spans="9:22" x14ac:dyDescent="0.25">
      <c r="I402" t="s">
        <v>173</v>
      </c>
      <c r="J402" t="s">
        <v>257</v>
      </c>
      <c r="K402">
        <v>1.922227496397295E-4</v>
      </c>
      <c r="L402" t="s">
        <v>154</v>
      </c>
      <c r="N402" t="s">
        <v>197</v>
      </c>
      <c r="O402" t="s">
        <v>257</v>
      </c>
      <c r="P402">
        <v>4.2234418425011612E-2</v>
      </c>
      <c r="Q402" t="s">
        <v>154</v>
      </c>
      <c r="S402" t="s">
        <v>207</v>
      </c>
      <c r="T402" t="s">
        <v>257</v>
      </c>
      <c r="U402">
        <v>2.7313359078618139E-2</v>
      </c>
      <c r="V402" t="s">
        <v>154</v>
      </c>
    </row>
    <row r="403" spans="9:22" x14ac:dyDescent="0.25">
      <c r="I403" t="s">
        <v>173</v>
      </c>
      <c r="J403" t="s">
        <v>157</v>
      </c>
      <c r="K403">
        <v>1.8169214322023731E-3</v>
      </c>
      <c r="L403" t="s">
        <v>154</v>
      </c>
      <c r="N403" t="s">
        <v>197</v>
      </c>
      <c r="O403" t="s">
        <v>157</v>
      </c>
      <c r="P403">
        <v>8.2492863192920859E-2</v>
      </c>
      <c r="Q403" t="s">
        <v>154</v>
      </c>
      <c r="S403" t="s">
        <v>207</v>
      </c>
      <c r="T403" t="s">
        <v>157</v>
      </c>
      <c r="U403">
        <v>7.752319845523023E-2</v>
      </c>
      <c r="V403" t="s">
        <v>154</v>
      </c>
    </row>
    <row r="404" spans="9:22" x14ac:dyDescent="0.25">
      <c r="I404" t="s">
        <v>173</v>
      </c>
      <c r="J404" t="s">
        <v>158</v>
      </c>
      <c r="K404">
        <v>2.9567906627641114E-2</v>
      </c>
      <c r="L404" t="s">
        <v>154</v>
      </c>
      <c r="N404" t="s">
        <v>197</v>
      </c>
      <c r="O404" t="s">
        <v>158</v>
      </c>
      <c r="P404">
        <v>2.4874956609416618E-2</v>
      </c>
      <c r="Q404" t="s">
        <v>154</v>
      </c>
      <c r="S404" t="s">
        <v>207</v>
      </c>
      <c r="T404" t="s">
        <v>158</v>
      </c>
      <c r="U404">
        <v>2.2716083478468371E-2</v>
      </c>
      <c r="V404" t="s">
        <v>154</v>
      </c>
    </row>
    <row r="405" spans="9:22" x14ac:dyDescent="0.25">
      <c r="I405" t="s">
        <v>173</v>
      </c>
      <c r="J405" t="s">
        <v>159</v>
      </c>
      <c r="K405">
        <v>2.8210769468047237E-2</v>
      </c>
      <c r="L405" t="s">
        <v>154</v>
      </c>
      <c r="N405" t="s">
        <v>197</v>
      </c>
      <c r="O405" t="s">
        <v>159</v>
      </c>
      <c r="P405">
        <v>1.1950699406818869E-2</v>
      </c>
      <c r="Q405" t="s">
        <v>154</v>
      </c>
      <c r="S405" t="s">
        <v>207</v>
      </c>
      <c r="T405" t="s">
        <v>159</v>
      </c>
      <c r="U405">
        <v>1.1437098349917504E-2</v>
      </c>
      <c r="V405" t="s">
        <v>154</v>
      </c>
    </row>
    <row r="406" spans="9:22" x14ac:dyDescent="0.25">
      <c r="I406" t="s">
        <v>173</v>
      </c>
      <c r="J406" t="s">
        <v>225</v>
      </c>
      <c r="K406">
        <v>3.4768380767232293E-2</v>
      </c>
      <c r="L406" t="s">
        <v>154</v>
      </c>
      <c r="N406" t="s">
        <v>197</v>
      </c>
      <c r="O406" t="s">
        <v>225</v>
      </c>
      <c r="P406">
        <v>1.1974897341983853E-2</v>
      </c>
      <c r="Q406" t="s">
        <v>154</v>
      </c>
      <c r="S406" t="s">
        <v>207</v>
      </c>
      <c r="T406" t="s">
        <v>225</v>
      </c>
      <c r="U406">
        <v>1.1154482225329969E-2</v>
      </c>
      <c r="V406" t="s">
        <v>154</v>
      </c>
    </row>
    <row r="407" spans="9:22" x14ac:dyDescent="0.25">
      <c r="I407" t="s">
        <v>173</v>
      </c>
      <c r="J407" t="s">
        <v>226</v>
      </c>
      <c r="K407">
        <v>0.11749605376629106</v>
      </c>
      <c r="L407" t="s">
        <v>154</v>
      </c>
      <c r="N407" t="s">
        <v>197</v>
      </c>
      <c r="O407" t="s">
        <v>226</v>
      </c>
      <c r="P407">
        <v>3.7992204668262447E-2</v>
      </c>
      <c r="Q407" t="s">
        <v>154</v>
      </c>
      <c r="S407" t="s">
        <v>207</v>
      </c>
      <c r="T407" t="s">
        <v>226</v>
      </c>
      <c r="U407">
        <v>3.1255030750505584E-2</v>
      </c>
      <c r="V407" t="s">
        <v>154</v>
      </c>
    </row>
    <row r="408" spans="9:22" x14ac:dyDescent="0.25">
      <c r="I408" t="s">
        <v>173</v>
      </c>
      <c r="J408" t="s">
        <v>227</v>
      </c>
      <c r="K408">
        <v>6.6133542938516199E-2</v>
      </c>
      <c r="L408" t="s">
        <v>154</v>
      </c>
      <c r="N408" t="s">
        <v>197</v>
      </c>
      <c r="O408" t="s">
        <v>227</v>
      </c>
      <c r="P408">
        <v>2.7989598801931283E-2</v>
      </c>
      <c r="Q408" t="s">
        <v>154</v>
      </c>
      <c r="S408" t="s">
        <v>207</v>
      </c>
      <c r="T408" t="s">
        <v>227</v>
      </c>
      <c r="U408">
        <v>1.950602310003513E-2</v>
      </c>
      <c r="V408" t="s">
        <v>154</v>
      </c>
    </row>
    <row r="409" spans="9:22" x14ac:dyDescent="0.25">
      <c r="I409" t="s">
        <v>173</v>
      </c>
      <c r="J409" t="s">
        <v>258</v>
      </c>
      <c r="K409">
        <v>3.1748663070470355E-2</v>
      </c>
      <c r="L409" t="s">
        <v>154</v>
      </c>
      <c r="N409" t="s">
        <v>197</v>
      </c>
      <c r="O409" t="s">
        <v>258</v>
      </c>
      <c r="P409">
        <v>2.8520636472156448E-2</v>
      </c>
      <c r="Q409" t="s">
        <v>154</v>
      </c>
      <c r="S409" t="s">
        <v>207</v>
      </c>
      <c r="T409" t="s">
        <v>258</v>
      </c>
      <c r="U409">
        <v>1.8155366936931996E-2</v>
      </c>
      <c r="V409" t="s">
        <v>154</v>
      </c>
    </row>
    <row r="410" spans="9:22" x14ac:dyDescent="0.25">
      <c r="I410" t="s">
        <v>173</v>
      </c>
      <c r="J410" t="s">
        <v>259</v>
      </c>
      <c r="K410">
        <v>2.9587546519999632E-3</v>
      </c>
      <c r="L410" t="s">
        <v>154</v>
      </c>
      <c r="N410" t="s">
        <v>197</v>
      </c>
      <c r="O410" t="s">
        <v>259</v>
      </c>
      <c r="P410">
        <v>8.1430905503923484E-2</v>
      </c>
      <c r="Q410" t="s">
        <v>154</v>
      </c>
      <c r="S410" t="s">
        <v>207</v>
      </c>
      <c r="T410" t="s">
        <v>259</v>
      </c>
      <c r="U410">
        <v>6.596092327367821E-2</v>
      </c>
      <c r="V410" t="s">
        <v>154</v>
      </c>
    </row>
    <row r="411" spans="9:22" x14ac:dyDescent="0.25">
      <c r="I411" t="s">
        <v>173</v>
      </c>
      <c r="J411" t="s">
        <v>160</v>
      </c>
      <c r="K411">
        <v>7.9658978989343766E-4</v>
      </c>
      <c r="L411" t="s">
        <v>154</v>
      </c>
      <c r="N411" t="s">
        <v>197</v>
      </c>
      <c r="O411" t="s">
        <v>160</v>
      </c>
      <c r="P411">
        <v>1.96867288790835E-3</v>
      </c>
      <c r="Q411" t="s">
        <v>154</v>
      </c>
      <c r="S411" t="s">
        <v>207</v>
      </c>
      <c r="T411" t="s">
        <v>160</v>
      </c>
      <c r="U411">
        <v>5.9071487659746497E-4</v>
      </c>
      <c r="V411" t="s">
        <v>154</v>
      </c>
    </row>
    <row r="412" spans="9:22" x14ac:dyDescent="0.25">
      <c r="I412" t="s">
        <v>173</v>
      </c>
      <c r="J412" t="s">
        <v>161</v>
      </c>
      <c r="K412">
        <v>3.9530352158677704E-3</v>
      </c>
      <c r="L412" t="s">
        <v>154</v>
      </c>
      <c r="N412" t="s">
        <v>197</v>
      </c>
      <c r="O412" t="s">
        <v>161</v>
      </c>
      <c r="P412">
        <v>6.4256882832289123E-4</v>
      </c>
      <c r="Q412" t="s">
        <v>154</v>
      </c>
      <c r="S412" t="s">
        <v>207</v>
      </c>
      <c r="T412" t="s">
        <v>161</v>
      </c>
      <c r="U412">
        <v>1.6917889658680653E-4</v>
      </c>
      <c r="V412" t="s">
        <v>154</v>
      </c>
    </row>
    <row r="413" spans="9:22" x14ac:dyDescent="0.25">
      <c r="I413" t="s">
        <v>173</v>
      </c>
      <c r="J413" t="s">
        <v>162</v>
      </c>
      <c r="K413">
        <v>3.6128949862980352E-3</v>
      </c>
      <c r="L413" t="s">
        <v>154</v>
      </c>
      <c r="N413" t="s">
        <v>197</v>
      </c>
      <c r="O413" t="s">
        <v>162</v>
      </c>
      <c r="P413">
        <v>3.6991170015174165E-4</v>
      </c>
      <c r="Q413" t="s">
        <v>154</v>
      </c>
      <c r="S413" t="s">
        <v>207</v>
      </c>
      <c r="T413" t="s">
        <v>162</v>
      </c>
      <c r="U413">
        <v>9.5040775014238168E-5</v>
      </c>
      <c r="V413" t="s">
        <v>154</v>
      </c>
    </row>
    <row r="414" spans="9:22" x14ac:dyDescent="0.25">
      <c r="I414" t="s">
        <v>173</v>
      </c>
      <c r="J414" t="s">
        <v>228</v>
      </c>
      <c r="K414">
        <v>4.5136954118857276E-3</v>
      </c>
      <c r="L414" t="s">
        <v>154</v>
      </c>
      <c r="N414" t="s">
        <v>197</v>
      </c>
      <c r="O414" t="s">
        <v>228</v>
      </c>
      <c r="P414">
        <v>3.3557102218411241E-4</v>
      </c>
      <c r="Q414" t="s">
        <v>154</v>
      </c>
      <c r="S414" t="s">
        <v>207</v>
      </c>
      <c r="T414" t="s">
        <v>228</v>
      </c>
      <c r="U414">
        <v>1.0531390172760305E-4</v>
      </c>
      <c r="V414" t="s">
        <v>154</v>
      </c>
    </row>
    <row r="415" spans="9:22" x14ac:dyDescent="0.25">
      <c r="I415" t="s">
        <v>173</v>
      </c>
      <c r="J415" t="s">
        <v>229</v>
      </c>
      <c r="K415">
        <v>1.5433020682001034E-2</v>
      </c>
      <c r="L415" t="s">
        <v>154</v>
      </c>
      <c r="N415" t="s">
        <v>197</v>
      </c>
      <c r="O415" t="s">
        <v>229</v>
      </c>
      <c r="P415">
        <v>7.1551298979975254E-4</v>
      </c>
      <c r="Q415" t="s">
        <v>154</v>
      </c>
      <c r="S415" t="s">
        <v>207</v>
      </c>
      <c r="T415" t="s">
        <v>229</v>
      </c>
      <c r="U415">
        <v>2.0473345487306458E-4</v>
      </c>
      <c r="V415" t="s">
        <v>154</v>
      </c>
    </row>
    <row r="416" spans="9:22" x14ac:dyDescent="0.25">
      <c r="I416" t="s">
        <v>173</v>
      </c>
      <c r="J416" t="s">
        <v>230</v>
      </c>
      <c r="K416">
        <v>8.7384428887947105E-3</v>
      </c>
      <c r="L416" t="s">
        <v>154</v>
      </c>
      <c r="N416" t="s">
        <v>197</v>
      </c>
      <c r="O416" t="s">
        <v>230</v>
      </c>
      <c r="P416">
        <v>7.0894901800174469E-4</v>
      </c>
      <c r="Q416" t="s">
        <v>154</v>
      </c>
      <c r="S416" t="s">
        <v>207</v>
      </c>
      <c r="T416" t="s">
        <v>230</v>
      </c>
      <c r="U416">
        <v>7.0298402364470162E-5</v>
      </c>
      <c r="V416" t="s">
        <v>154</v>
      </c>
    </row>
    <row r="417" spans="9:22" x14ac:dyDescent="0.25">
      <c r="I417" t="s">
        <v>173</v>
      </c>
      <c r="J417" t="s">
        <v>260</v>
      </c>
      <c r="K417">
        <v>4.3462502628413523E-3</v>
      </c>
      <c r="L417" t="s">
        <v>154</v>
      </c>
      <c r="N417" t="s">
        <v>197</v>
      </c>
      <c r="O417" t="s">
        <v>260</v>
      </c>
      <c r="P417">
        <v>7.4207744936409612E-4</v>
      </c>
      <c r="Q417" t="s">
        <v>154</v>
      </c>
      <c r="S417" t="s">
        <v>207</v>
      </c>
      <c r="T417" t="s">
        <v>260</v>
      </c>
      <c r="U417">
        <v>3.7617017665903892E-5</v>
      </c>
      <c r="V417" t="s">
        <v>154</v>
      </c>
    </row>
    <row r="418" spans="9:22" x14ac:dyDescent="0.25">
      <c r="I418" t="s">
        <v>173</v>
      </c>
      <c r="J418" t="s">
        <v>261</v>
      </c>
      <c r="K418">
        <v>0</v>
      </c>
      <c r="L418" t="s">
        <v>154</v>
      </c>
      <c r="N418" t="s">
        <v>197</v>
      </c>
      <c r="O418" t="s">
        <v>261</v>
      </c>
      <c r="P418">
        <v>2.1166367867745707E-3</v>
      </c>
      <c r="Q418" t="s">
        <v>154</v>
      </c>
      <c r="S418" t="s">
        <v>207</v>
      </c>
      <c r="T418" t="s">
        <v>261</v>
      </c>
      <c r="U418">
        <v>2.356521198026543E-4</v>
      </c>
      <c r="V418" t="s">
        <v>154</v>
      </c>
    </row>
    <row r="419" spans="9:22" x14ac:dyDescent="0.25">
      <c r="I419" t="s">
        <v>173</v>
      </c>
      <c r="J419" t="s">
        <v>163</v>
      </c>
      <c r="K419">
        <v>1.7595343780980608E-3</v>
      </c>
      <c r="L419" t="s">
        <v>154</v>
      </c>
      <c r="N419" t="s">
        <v>197</v>
      </c>
      <c r="O419" t="s">
        <v>163</v>
      </c>
      <c r="P419">
        <v>1.5930326299676025E-2</v>
      </c>
      <c r="Q419" t="s">
        <v>154</v>
      </c>
      <c r="S419" t="s">
        <v>207</v>
      </c>
      <c r="T419" t="s">
        <v>163</v>
      </c>
      <c r="U419">
        <v>2.2118746152928883E-2</v>
      </c>
      <c r="V419" t="s">
        <v>154</v>
      </c>
    </row>
    <row r="420" spans="9:22" x14ac:dyDescent="0.25">
      <c r="I420" t="s">
        <v>173</v>
      </c>
      <c r="J420" t="s">
        <v>164</v>
      </c>
      <c r="K420">
        <v>1.3859383894397215E-2</v>
      </c>
      <c r="L420" t="s">
        <v>154</v>
      </c>
      <c r="N420" t="s">
        <v>197</v>
      </c>
      <c r="O420" t="s">
        <v>164</v>
      </c>
      <c r="P420">
        <v>4.651165221216909E-3</v>
      </c>
      <c r="Q420" t="s">
        <v>154</v>
      </c>
      <c r="S420" t="s">
        <v>207</v>
      </c>
      <c r="T420" t="s">
        <v>164</v>
      </c>
      <c r="U420">
        <v>6.571381071818554E-3</v>
      </c>
      <c r="V420" t="s">
        <v>154</v>
      </c>
    </row>
    <row r="421" spans="9:22" x14ac:dyDescent="0.25">
      <c r="I421" t="s">
        <v>173</v>
      </c>
      <c r="J421" t="s">
        <v>165</v>
      </c>
      <c r="K421">
        <v>1.1510659185903927E-2</v>
      </c>
      <c r="L421" t="s">
        <v>154</v>
      </c>
      <c r="N421" t="s">
        <v>197</v>
      </c>
      <c r="O421" t="s">
        <v>165</v>
      </c>
      <c r="P421">
        <v>2.2247750781946899E-3</v>
      </c>
      <c r="Q421" t="s">
        <v>154</v>
      </c>
      <c r="S421" t="s">
        <v>207</v>
      </c>
      <c r="T421" t="s">
        <v>165</v>
      </c>
      <c r="U421">
        <v>3.5842325404905379E-3</v>
      </c>
      <c r="V421" t="s">
        <v>154</v>
      </c>
    </row>
    <row r="422" spans="9:22" x14ac:dyDescent="0.25">
      <c r="I422" t="s">
        <v>173</v>
      </c>
      <c r="J422" t="s">
        <v>231</v>
      </c>
      <c r="K422">
        <v>1.3575202140463869E-2</v>
      </c>
      <c r="L422" t="s">
        <v>154</v>
      </c>
      <c r="N422" t="s">
        <v>197</v>
      </c>
      <c r="O422" t="s">
        <v>231</v>
      </c>
      <c r="P422">
        <v>2.2014646588493902E-3</v>
      </c>
      <c r="Q422" t="s">
        <v>154</v>
      </c>
      <c r="S422" t="s">
        <v>207</v>
      </c>
      <c r="T422" t="s">
        <v>231</v>
      </c>
      <c r="U422">
        <v>3.7441968957275095E-3</v>
      </c>
      <c r="V422" t="s">
        <v>154</v>
      </c>
    </row>
    <row r="423" spans="9:22" x14ac:dyDescent="0.25">
      <c r="I423" t="s">
        <v>173</v>
      </c>
      <c r="J423" t="s">
        <v>232</v>
      </c>
      <c r="K423">
        <v>4.510660521937513E-2</v>
      </c>
      <c r="L423" t="s">
        <v>154</v>
      </c>
      <c r="N423" t="s">
        <v>197</v>
      </c>
      <c r="O423" t="s">
        <v>232</v>
      </c>
      <c r="P423">
        <v>5.5307511233627484E-3</v>
      </c>
      <c r="Q423" t="s">
        <v>154</v>
      </c>
      <c r="S423" t="s">
        <v>207</v>
      </c>
      <c r="T423" t="s">
        <v>232</v>
      </c>
      <c r="U423">
        <v>1.0825327194011799E-2</v>
      </c>
      <c r="V423" t="s">
        <v>154</v>
      </c>
    </row>
    <row r="424" spans="9:22" x14ac:dyDescent="0.25">
      <c r="I424" t="s">
        <v>173</v>
      </c>
      <c r="J424" t="s">
        <v>233</v>
      </c>
      <c r="K424">
        <v>2.24867378881459E-2</v>
      </c>
      <c r="L424" t="s">
        <v>154</v>
      </c>
      <c r="N424" t="s">
        <v>197</v>
      </c>
      <c r="O424" t="s">
        <v>233</v>
      </c>
      <c r="P424">
        <v>3.5014323237562315E-3</v>
      </c>
      <c r="Q424" t="s">
        <v>154</v>
      </c>
      <c r="S424" t="s">
        <v>207</v>
      </c>
      <c r="T424" t="s">
        <v>233</v>
      </c>
      <c r="U424">
        <v>6.9835794131905635E-3</v>
      </c>
      <c r="V424" t="s">
        <v>154</v>
      </c>
    </row>
    <row r="425" spans="9:22" x14ac:dyDescent="0.25">
      <c r="I425" t="s">
        <v>173</v>
      </c>
      <c r="J425" t="s">
        <v>262</v>
      </c>
      <c r="K425">
        <v>1.2207061222740852E-2</v>
      </c>
      <c r="L425" t="s">
        <v>154</v>
      </c>
      <c r="N425" t="s">
        <v>197</v>
      </c>
      <c r="O425" t="s">
        <v>262</v>
      </c>
      <c r="P425">
        <v>3.3065423063552181E-3</v>
      </c>
      <c r="Q425" t="s">
        <v>154</v>
      </c>
      <c r="S425" t="s">
        <v>207</v>
      </c>
      <c r="T425" t="s">
        <v>262</v>
      </c>
      <c r="U425">
        <v>6.3841474636930984E-3</v>
      </c>
      <c r="V425" t="s">
        <v>154</v>
      </c>
    </row>
    <row r="426" spans="9:22" x14ac:dyDescent="0.25">
      <c r="I426" t="s">
        <v>173</v>
      </c>
      <c r="J426" t="s">
        <v>263</v>
      </c>
      <c r="K426">
        <v>9.8238737277617076E-4</v>
      </c>
      <c r="L426" t="s">
        <v>154</v>
      </c>
      <c r="N426" t="s">
        <v>197</v>
      </c>
      <c r="O426" t="s">
        <v>263</v>
      </c>
      <c r="P426">
        <v>1.1780654877333045E-2</v>
      </c>
      <c r="Q426" t="s">
        <v>154</v>
      </c>
      <c r="S426" t="s">
        <v>207</v>
      </c>
      <c r="T426" t="s">
        <v>263</v>
      </c>
      <c r="U426">
        <v>1.4761148309975065E-2</v>
      </c>
      <c r="V426" t="s">
        <v>154</v>
      </c>
    </row>
    <row r="427" spans="9:22" x14ac:dyDescent="0.25">
      <c r="I427" t="s">
        <v>173</v>
      </c>
      <c r="J427" t="s">
        <v>240</v>
      </c>
      <c r="K427">
        <v>1.8982728118198062E-3</v>
      </c>
      <c r="L427" t="s">
        <v>154</v>
      </c>
      <c r="N427" t="s">
        <v>197</v>
      </c>
      <c r="O427" t="s">
        <v>240</v>
      </c>
      <c r="P427">
        <v>5.9078323438443894E-2</v>
      </c>
      <c r="Q427" t="s">
        <v>154</v>
      </c>
      <c r="S427" t="s">
        <v>207</v>
      </c>
      <c r="T427" t="s">
        <v>240</v>
      </c>
      <c r="U427">
        <v>0.10669223067539459</v>
      </c>
      <c r="V427" t="s">
        <v>154</v>
      </c>
    </row>
    <row r="428" spans="9:22" x14ac:dyDescent="0.25">
      <c r="I428" t="s">
        <v>173</v>
      </c>
      <c r="J428" t="s">
        <v>241</v>
      </c>
      <c r="K428">
        <v>2.6829665676615932E-2</v>
      </c>
      <c r="L428" t="s">
        <v>154</v>
      </c>
      <c r="N428" t="s">
        <v>197</v>
      </c>
      <c r="O428" t="s">
        <v>241</v>
      </c>
      <c r="P428">
        <v>1.8031747744250502E-2</v>
      </c>
      <c r="Q428" t="s">
        <v>154</v>
      </c>
      <c r="S428" t="s">
        <v>207</v>
      </c>
      <c r="T428" t="s">
        <v>241</v>
      </c>
      <c r="U428">
        <v>3.0739845169901147E-2</v>
      </c>
      <c r="V428" t="s">
        <v>154</v>
      </c>
    </row>
    <row r="429" spans="9:22" x14ac:dyDescent="0.25">
      <c r="I429" t="s">
        <v>173</v>
      </c>
      <c r="J429" t="s">
        <v>242</v>
      </c>
      <c r="K429">
        <v>2.3949733940502482E-2</v>
      </c>
      <c r="L429" t="s">
        <v>154</v>
      </c>
      <c r="N429" t="s">
        <v>197</v>
      </c>
      <c r="O429" t="s">
        <v>242</v>
      </c>
      <c r="P429">
        <v>8.9881659392043976E-3</v>
      </c>
      <c r="Q429" t="s">
        <v>154</v>
      </c>
      <c r="S429" t="s">
        <v>207</v>
      </c>
      <c r="T429" t="s">
        <v>242</v>
      </c>
      <c r="U429">
        <v>1.5813528459164963E-2</v>
      </c>
      <c r="V429" t="s">
        <v>154</v>
      </c>
    </row>
    <row r="430" spans="9:22" x14ac:dyDescent="0.25">
      <c r="I430" t="s">
        <v>173</v>
      </c>
      <c r="J430" t="s">
        <v>243</v>
      </c>
      <c r="K430">
        <v>2.8811581925012531E-2</v>
      </c>
      <c r="L430" t="s">
        <v>154</v>
      </c>
      <c r="N430" t="s">
        <v>197</v>
      </c>
      <c r="O430" t="s">
        <v>243</v>
      </c>
      <c r="P430">
        <v>8.6324760504400307E-3</v>
      </c>
      <c r="Q430" t="s">
        <v>154</v>
      </c>
      <c r="S430" t="s">
        <v>207</v>
      </c>
      <c r="T430" t="s">
        <v>243</v>
      </c>
      <c r="U430">
        <v>1.6013324157232323E-2</v>
      </c>
      <c r="V430" t="s">
        <v>154</v>
      </c>
    </row>
    <row r="431" spans="9:22" x14ac:dyDescent="0.25">
      <c r="I431" t="s">
        <v>173</v>
      </c>
      <c r="J431" t="s">
        <v>244</v>
      </c>
      <c r="K431">
        <v>9.6893469467612028E-2</v>
      </c>
      <c r="L431" t="s">
        <v>154</v>
      </c>
      <c r="N431" t="s">
        <v>197</v>
      </c>
      <c r="O431" t="s">
        <v>244</v>
      </c>
      <c r="P431">
        <v>2.1017387565398636E-2</v>
      </c>
      <c r="Q431" t="s">
        <v>154</v>
      </c>
      <c r="S431" t="s">
        <v>207</v>
      </c>
      <c r="T431" t="s">
        <v>244</v>
      </c>
      <c r="U431">
        <v>4.7876869090346483E-2</v>
      </c>
      <c r="V431" t="s">
        <v>154</v>
      </c>
    </row>
    <row r="432" spans="9:22" x14ac:dyDescent="0.25">
      <c r="I432" t="s">
        <v>173</v>
      </c>
      <c r="J432" t="s">
        <v>245</v>
      </c>
      <c r="K432">
        <v>5.3273460738208725E-2</v>
      </c>
      <c r="L432" t="s">
        <v>154</v>
      </c>
      <c r="N432" t="s">
        <v>197</v>
      </c>
      <c r="O432" t="s">
        <v>245</v>
      </c>
      <c r="P432">
        <v>1.3450374954928436E-2</v>
      </c>
      <c r="Q432" t="s">
        <v>154</v>
      </c>
      <c r="S432" t="s">
        <v>207</v>
      </c>
      <c r="T432" t="s">
        <v>245</v>
      </c>
      <c r="U432">
        <v>3.1459302967506965E-2</v>
      </c>
      <c r="V432" t="s">
        <v>154</v>
      </c>
    </row>
    <row r="433" spans="9:22" x14ac:dyDescent="0.25">
      <c r="I433" t="s">
        <v>173</v>
      </c>
      <c r="J433" t="s">
        <v>264</v>
      </c>
      <c r="K433">
        <v>2.5184063516477596E-2</v>
      </c>
      <c r="L433" t="s">
        <v>154</v>
      </c>
      <c r="N433" t="s">
        <v>197</v>
      </c>
      <c r="O433" t="s">
        <v>264</v>
      </c>
      <c r="P433">
        <v>1.4980021631298225E-2</v>
      </c>
      <c r="Q433" t="s">
        <v>154</v>
      </c>
      <c r="S433" t="s">
        <v>207</v>
      </c>
      <c r="T433" t="s">
        <v>264</v>
      </c>
      <c r="U433">
        <v>3.0704432609395052E-2</v>
      </c>
      <c r="V433" t="s">
        <v>154</v>
      </c>
    </row>
    <row r="434" spans="9:22" x14ac:dyDescent="0.25">
      <c r="I434" t="s">
        <v>173</v>
      </c>
      <c r="J434" t="s">
        <v>265</v>
      </c>
      <c r="K434">
        <v>2.8219642267435633E-3</v>
      </c>
      <c r="L434" t="s">
        <v>154</v>
      </c>
      <c r="N434" t="s">
        <v>197</v>
      </c>
      <c r="O434" t="s">
        <v>265</v>
      </c>
      <c r="P434">
        <v>4.3987374403219898E-2</v>
      </c>
      <c r="Q434" t="s">
        <v>154</v>
      </c>
      <c r="S434" t="s">
        <v>207</v>
      </c>
      <c r="T434" t="s">
        <v>265</v>
      </c>
      <c r="U434">
        <v>8.4381593927265477E-2</v>
      </c>
      <c r="V434" t="s">
        <v>154</v>
      </c>
    </row>
    <row r="435" spans="9:22" x14ac:dyDescent="0.25">
      <c r="I435" t="s">
        <v>173</v>
      </c>
      <c r="J435" t="s">
        <v>246</v>
      </c>
      <c r="K435">
        <v>3.3251729053045166E-3</v>
      </c>
      <c r="L435" t="s">
        <v>154</v>
      </c>
      <c r="N435" t="s">
        <v>197</v>
      </c>
      <c r="O435" t="s">
        <v>246</v>
      </c>
      <c r="P435">
        <v>7.2603194509146568E-2</v>
      </c>
      <c r="Q435" t="s">
        <v>154</v>
      </c>
      <c r="S435" t="s">
        <v>207</v>
      </c>
      <c r="T435" t="s">
        <v>246</v>
      </c>
      <c r="U435">
        <v>5.5303223707479324E-2</v>
      </c>
      <c r="V435" t="s">
        <v>154</v>
      </c>
    </row>
    <row r="436" spans="9:22" x14ac:dyDescent="0.25">
      <c r="I436" t="s">
        <v>173</v>
      </c>
      <c r="J436" t="s">
        <v>247</v>
      </c>
      <c r="K436">
        <v>2.3222564486103249E-2</v>
      </c>
      <c r="L436" t="s">
        <v>154</v>
      </c>
      <c r="N436" t="s">
        <v>197</v>
      </c>
      <c r="O436" t="s">
        <v>247</v>
      </c>
      <c r="P436">
        <v>2.0454550508988523E-2</v>
      </c>
      <c r="Q436" t="s">
        <v>154</v>
      </c>
      <c r="S436" t="s">
        <v>207</v>
      </c>
      <c r="T436" t="s">
        <v>247</v>
      </c>
      <c r="U436">
        <v>1.6948646179311491E-2</v>
      </c>
      <c r="V436" t="s">
        <v>154</v>
      </c>
    </row>
    <row r="437" spans="9:22" x14ac:dyDescent="0.25">
      <c r="I437" t="s">
        <v>173</v>
      </c>
      <c r="J437" t="s">
        <v>248</v>
      </c>
      <c r="K437">
        <v>2.0075056092908463E-2</v>
      </c>
      <c r="L437" t="s">
        <v>154</v>
      </c>
      <c r="N437" t="s">
        <v>197</v>
      </c>
      <c r="O437" t="s">
        <v>248</v>
      </c>
      <c r="P437">
        <v>1.0363714086312384E-2</v>
      </c>
      <c r="Q437" t="s">
        <v>154</v>
      </c>
      <c r="S437" t="s">
        <v>207</v>
      </c>
      <c r="T437" t="s">
        <v>248</v>
      </c>
      <c r="U437">
        <v>8.7385516156699185E-3</v>
      </c>
      <c r="V437" t="s">
        <v>154</v>
      </c>
    </row>
    <row r="438" spans="9:22" x14ac:dyDescent="0.25">
      <c r="I438" t="s">
        <v>173</v>
      </c>
      <c r="J438" t="s">
        <v>249</v>
      </c>
      <c r="K438">
        <v>2.3759506068365036E-2</v>
      </c>
      <c r="L438" t="s">
        <v>154</v>
      </c>
      <c r="N438" t="s">
        <v>197</v>
      </c>
      <c r="O438" t="s">
        <v>249</v>
      </c>
      <c r="P438">
        <v>1.0456963589155256E-2</v>
      </c>
      <c r="Q438" t="s">
        <v>154</v>
      </c>
      <c r="S438" t="s">
        <v>207</v>
      </c>
      <c r="T438" t="s">
        <v>249</v>
      </c>
      <c r="U438">
        <v>8.5780402875319343E-3</v>
      </c>
      <c r="V438" t="s">
        <v>154</v>
      </c>
    </row>
    <row r="439" spans="9:22" x14ac:dyDescent="0.25">
      <c r="I439" t="s">
        <v>173</v>
      </c>
      <c r="J439" t="s">
        <v>250</v>
      </c>
      <c r="K439">
        <v>7.7607688739226202E-2</v>
      </c>
      <c r="L439" t="s">
        <v>154</v>
      </c>
      <c r="N439" t="s">
        <v>197</v>
      </c>
      <c r="O439" t="s">
        <v>250</v>
      </c>
      <c r="P439">
        <v>3.2819273150607828E-2</v>
      </c>
      <c r="Q439" t="s">
        <v>154</v>
      </c>
      <c r="S439" t="s">
        <v>207</v>
      </c>
      <c r="T439" t="s">
        <v>250</v>
      </c>
      <c r="U439">
        <v>2.342111181433696E-2</v>
      </c>
      <c r="V439" t="s">
        <v>154</v>
      </c>
    </row>
    <row r="440" spans="9:22" x14ac:dyDescent="0.25">
      <c r="I440" t="s">
        <v>173</v>
      </c>
      <c r="J440" t="s">
        <v>251</v>
      </c>
      <c r="K440">
        <v>4.2800345677617271E-2</v>
      </c>
      <c r="L440" t="s">
        <v>154</v>
      </c>
      <c r="N440" t="s">
        <v>197</v>
      </c>
      <c r="O440" t="s">
        <v>251</v>
      </c>
      <c r="P440">
        <v>2.3479922550140187E-2</v>
      </c>
      <c r="Q440" t="s">
        <v>154</v>
      </c>
      <c r="S440" t="s">
        <v>207</v>
      </c>
      <c r="T440" t="s">
        <v>251</v>
      </c>
      <c r="U440">
        <v>1.6474540323093166E-2</v>
      </c>
      <c r="V440" t="s">
        <v>154</v>
      </c>
    </row>
    <row r="441" spans="9:22" x14ac:dyDescent="0.25">
      <c r="I441" t="s">
        <v>173</v>
      </c>
      <c r="J441" t="s">
        <v>266</v>
      </c>
      <c r="K441">
        <v>1.633762241922302E-2</v>
      </c>
      <c r="L441" t="s">
        <v>154</v>
      </c>
      <c r="N441" t="s">
        <v>197</v>
      </c>
      <c r="O441" t="s">
        <v>266</v>
      </c>
      <c r="P441">
        <v>2.5528817842673551E-2</v>
      </c>
      <c r="Q441" t="s">
        <v>154</v>
      </c>
      <c r="S441" t="s">
        <v>207</v>
      </c>
      <c r="T441" t="s">
        <v>266</v>
      </c>
      <c r="U441">
        <v>1.5763791543355263E-2</v>
      </c>
      <c r="V441" t="s">
        <v>154</v>
      </c>
    </row>
    <row r="442" spans="9:22" x14ac:dyDescent="0.25">
      <c r="I442" t="s">
        <v>173</v>
      </c>
      <c r="J442" t="s">
        <v>267</v>
      </c>
      <c r="K442">
        <v>0</v>
      </c>
      <c r="L442" t="s">
        <v>154</v>
      </c>
      <c r="N442" t="s">
        <v>197</v>
      </c>
      <c r="O442" t="s">
        <v>267</v>
      </c>
      <c r="P442">
        <v>7.5380478458115741E-2</v>
      </c>
      <c r="Q442" t="s">
        <v>154</v>
      </c>
      <c r="S442" t="s">
        <v>207</v>
      </c>
      <c r="T442" t="s">
        <v>267</v>
      </c>
      <c r="U442">
        <v>5.084042092340401E-2</v>
      </c>
      <c r="V442" t="s">
        <v>154</v>
      </c>
    </row>
    <row r="443" spans="9:22" x14ac:dyDescent="0.25">
      <c r="I443" t="s">
        <v>174</v>
      </c>
      <c r="J443" t="s">
        <v>153</v>
      </c>
      <c r="K443">
        <v>0</v>
      </c>
      <c r="L443" t="s">
        <v>154</v>
      </c>
      <c r="N443" t="s">
        <v>198</v>
      </c>
      <c r="O443" t="s">
        <v>153</v>
      </c>
      <c r="P443">
        <v>5.2015305712072933E-2</v>
      </c>
      <c r="Q443" t="s">
        <v>154</v>
      </c>
      <c r="S443" t="s">
        <v>208</v>
      </c>
      <c r="T443" t="s">
        <v>153</v>
      </c>
      <c r="U443">
        <v>3.2364456024254813E-2</v>
      </c>
      <c r="V443" t="s">
        <v>154</v>
      </c>
    </row>
    <row r="444" spans="9:22" x14ac:dyDescent="0.25">
      <c r="I444" t="s">
        <v>174</v>
      </c>
      <c r="J444" t="s">
        <v>155</v>
      </c>
      <c r="K444">
        <v>5.0893009474745222E-3</v>
      </c>
      <c r="L444" t="s">
        <v>154</v>
      </c>
      <c r="N444" t="s">
        <v>198</v>
      </c>
      <c r="O444" t="s">
        <v>155</v>
      </c>
      <c r="P444">
        <v>1.0632390340091512E-2</v>
      </c>
      <c r="Q444" t="s">
        <v>154</v>
      </c>
      <c r="S444" t="s">
        <v>208</v>
      </c>
      <c r="T444" t="s">
        <v>155</v>
      </c>
      <c r="U444">
        <v>9.138311553580367E-3</v>
      </c>
      <c r="V444" t="s">
        <v>154</v>
      </c>
    </row>
    <row r="445" spans="9:22" x14ac:dyDescent="0.25">
      <c r="I445" t="s">
        <v>174</v>
      </c>
      <c r="J445" t="s">
        <v>156</v>
      </c>
      <c r="K445">
        <v>5.581551844546233E-3</v>
      </c>
      <c r="L445" t="s">
        <v>154</v>
      </c>
      <c r="N445" t="s">
        <v>198</v>
      </c>
      <c r="O445" t="s">
        <v>156</v>
      </c>
      <c r="P445">
        <v>5.5450683365552075E-3</v>
      </c>
      <c r="Q445" t="s">
        <v>154</v>
      </c>
      <c r="S445" t="s">
        <v>208</v>
      </c>
      <c r="T445" t="s">
        <v>156</v>
      </c>
      <c r="U445">
        <v>4.6147746591039488E-3</v>
      </c>
      <c r="V445" t="s">
        <v>154</v>
      </c>
    </row>
    <row r="446" spans="9:22" x14ac:dyDescent="0.25">
      <c r="I446" t="s">
        <v>174</v>
      </c>
      <c r="J446" t="s">
        <v>222</v>
      </c>
      <c r="K446">
        <v>6.6226468580198802E-3</v>
      </c>
      <c r="L446" t="s">
        <v>154</v>
      </c>
      <c r="N446" t="s">
        <v>198</v>
      </c>
      <c r="O446" t="s">
        <v>222</v>
      </c>
      <c r="P446">
        <v>5.860898976943512E-3</v>
      </c>
      <c r="Q446" t="s">
        <v>154</v>
      </c>
      <c r="S446" t="s">
        <v>208</v>
      </c>
      <c r="T446" t="s">
        <v>222</v>
      </c>
      <c r="U446">
        <v>4.5665618441917306E-3</v>
      </c>
      <c r="V446" t="s">
        <v>154</v>
      </c>
    </row>
    <row r="447" spans="9:22" x14ac:dyDescent="0.25">
      <c r="I447" t="s">
        <v>174</v>
      </c>
      <c r="J447" t="s">
        <v>223</v>
      </c>
      <c r="K447">
        <v>2.2468692725890544E-2</v>
      </c>
      <c r="L447" t="s">
        <v>154</v>
      </c>
      <c r="N447" t="s">
        <v>198</v>
      </c>
      <c r="O447" t="s">
        <v>223</v>
      </c>
      <c r="P447">
        <v>2.0166770728335226E-2</v>
      </c>
      <c r="Q447" t="s">
        <v>154</v>
      </c>
      <c r="S447" t="s">
        <v>208</v>
      </c>
      <c r="T447" t="s">
        <v>223</v>
      </c>
      <c r="U447">
        <v>1.3031742573866434E-2</v>
      </c>
      <c r="V447" t="s">
        <v>154</v>
      </c>
    </row>
    <row r="448" spans="9:22" x14ac:dyDescent="0.25">
      <c r="I448" t="s">
        <v>174</v>
      </c>
      <c r="J448" t="s">
        <v>224</v>
      </c>
      <c r="K448">
        <v>1.1739602973588396E-2</v>
      </c>
      <c r="L448" t="s">
        <v>154</v>
      </c>
      <c r="N448" t="s">
        <v>198</v>
      </c>
      <c r="O448" t="s">
        <v>224</v>
      </c>
      <c r="P448">
        <v>1.4884901645469966E-2</v>
      </c>
      <c r="Q448" t="s">
        <v>154</v>
      </c>
      <c r="S448" t="s">
        <v>208</v>
      </c>
      <c r="T448" t="s">
        <v>224</v>
      </c>
      <c r="U448">
        <v>8.6556591448049888E-3</v>
      </c>
      <c r="V448" t="s">
        <v>154</v>
      </c>
    </row>
    <row r="449" spans="9:22" x14ac:dyDescent="0.25">
      <c r="I449" t="s">
        <v>174</v>
      </c>
      <c r="J449" t="s">
        <v>256</v>
      </c>
      <c r="K449">
        <v>5.3055070933239077E-3</v>
      </c>
      <c r="L449" t="s">
        <v>154</v>
      </c>
      <c r="N449" t="s">
        <v>198</v>
      </c>
      <c r="O449" t="s">
        <v>256</v>
      </c>
      <c r="P449">
        <v>1.532175122217754E-2</v>
      </c>
      <c r="Q449" t="s">
        <v>154</v>
      </c>
      <c r="S449" t="s">
        <v>208</v>
      </c>
      <c r="T449" t="s">
        <v>256</v>
      </c>
      <c r="U449">
        <v>8.9844010996487766E-3</v>
      </c>
      <c r="V449" t="s">
        <v>154</v>
      </c>
    </row>
    <row r="450" spans="9:22" x14ac:dyDescent="0.25">
      <c r="I450" t="s">
        <v>174</v>
      </c>
      <c r="J450" t="s">
        <v>257</v>
      </c>
      <c r="K450">
        <v>9.9144863652288125E-7</v>
      </c>
      <c r="L450" t="s">
        <v>154</v>
      </c>
      <c r="N450" t="s">
        <v>198</v>
      </c>
      <c r="O450" t="s">
        <v>257</v>
      </c>
      <c r="P450">
        <v>4.5748482142237187E-2</v>
      </c>
      <c r="Q450" t="s">
        <v>154</v>
      </c>
      <c r="S450" t="s">
        <v>208</v>
      </c>
      <c r="T450" t="s">
        <v>257</v>
      </c>
      <c r="U450">
        <v>2.7990137053012877E-2</v>
      </c>
      <c r="V450" t="s">
        <v>154</v>
      </c>
    </row>
    <row r="451" spans="9:22" x14ac:dyDescent="0.25">
      <c r="I451" t="s">
        <v>174</v>
      </c>
      <c r="J451" t="s">
        <v>157</v>
      </c>
      <c r="K451">
        <v>2.3431058829190329E-3</v>
      </c>
      <c r="L451" t="s">
        <v>154</v>
      </c>
      <c r="N451" t="s">
        <v>198</v>
      </c>
      <c r="O451" t="s">
        <v>157</v>
      </c>
      <c r="P451">
        <v>8.1944964737472939E-2</v>
      </c>
      <c r="Q451" t="s">
        <v>154</v>
      </c>
      <c r="S451" t="s">
        <v>208</v>
      </c>
      <c r="T451" t="s">
        <v>157</v>
      </c>
      <c r="U451">
        <v>8.2324481629904744E-2</v>
      </c>
      <c r="V451" t="s">
        <v>154</v>
      </c>
    </row>
    <row r="452" spans="9:22" x14ac:dyDescent="0.25">
      <c r="I452" t="s">
        <v>174</v>
      </c>
      <c r="J452" t="s">
        <v>158</v>
      </c>
      <c r="K452">
        <v>3.2140529690808731E-2</v>
      </c>
      <c r="L452" t="s">
        <v>154</v>
      </c>
      <c r="N452" t="s">
        <v>198</v>
      </c>
      <c r="O452" t="s">
        <v>158</v>
      </c>
      <c r="P452">
        <v>2.2333799950160872E-2</v>
      </c>
      <c r="Q452" t="s">
        <v>154</v>
      </c>
      <c r="S452" t="s">
        <v>208</v>
      </c>
      <c r="T452" t="s">
        <v>158</v>
      </c>
      <c r="U452">
        <v>2.4048929460994437E-2</v>
      </c>
      <c r="V452" t="s">
        <v>154</v>
      </c>
    </row>
    <row r="453" spans="9:22" x14ac:dyDescent="0.25">
      <c r="I453" t="s">
        <v>174</v>
      </c>
      <c r="J453" t="s">
        <v>159</v>
      </c>
      <c r="K453">
        <v>3.0238795941525613E-2</v>
      </c>
      <c r="L453" t="s">
        <v>154</v>
      </c>
      <c r="N453" t="s">
        <v>198</v>
      </c>
      <c r="O453" t="s">
        <v>159</v>
      </c>
      <c r="P453">
        <v>1.0876469267526697E-2</v>
      </c>
      <c r="Q453" t="s">
        <v>154</v>
      </c>
      <c r="S453" t="s">
        <v>208</v>
      </c>
      <c r="T453" t="s">
        <v>159</v>
      </c>
      <c r="U453">
        <v>1.2516621633802027E-2</v>
      </c>
      <c r="V453" t="s">
        <v>154</v>
      </c>
    </row>
    <row r="454" spans="9:22" x14ac:dyDescent="0.25">
      <c r="I454" t="s">
        <v>174</v>
      </c>
      <c r="J454" t="s">
        <v>225</v>
      </c>
      <c r="K454">
        <v>3.6569747403690421E-2</v>
      </c>
      <c r="L454" t="s">
        <v>154</v>
      </c>
      <c r="N454" t="s">
        <v>198</v>
      </c>
      <c r="O454" t="s">
        <v>225</v>
      </c>
      <c r="P454">
        <v>1.1144697092088433E-2</v>
      </c>
      <c r="Q454" t="s">
        <v>154</v>
      </c>
      <c r="S454" t="s">
        <v>208</v>
      </c>
      <c r="T454" t="s">
        <v>225</v>
      </c>
      <c r="U454">
        <v>1.236275941834707E-2</v>
      </c>
      <c r="V454" t="s">
        <v>154</v>
      </c>
    </row>
    <row r="455" spans="9:22" x14ac:dyDescent="0.25">
      <c r="I455" t="s">
        <v>174</v>
      </c>
      <c r="J455" t="s">
        <v>226</v>
      </c>
      <c r="K455">
        <v>0.11988743282573543</v>
      </c>
      <c r="L455" t="s">
        <v>154</v>
      </c>
      <c r="N455" t="s">
        <v>198</v>
      </c>
      <c r="O455" t="s">
        <v>226</v>
      </c>
      <c r="P455">
        <v>3.8777806806028242E-2</v>
      </c>
      <c r="Q455" t="s">
        <v>154</v>
      </c>
      <c r="S455" t="s">
        <v>208</v>
      </c>
      <c r="T455" t="s">
        <v>226</v>
      </c>
      <c r="U455">
        <v>3.3504901978443642E-2</v>
      </c>
      <c r="V455" t="s">
        <v>154</v>
      </c>
    </row>
    <row r="456" spans="9:22" x14ac:dyDescent="0.25">
      <c r="I456" t="s">
        <v>174</v>
      </c>
      <c r="J456" t="s">
        <v>227</v>
      </c>
      <c r="K456">
        <v>6.0586727188633532E-2</v>
      </c>
      <c r="L456" t="s">
        <v>154</v>
      </c>
      <c r="N456" t="s">
        <v>198</v>
      </c>
      <c r="O456" t="s">
        <v>227</v>
      </c>
      <c r="P456">
        <v>3.3042795474023945E-2</v>
      </c>
      <c r="Q456" t="s">
        <v>154</v>
      </c>
      <c r="S456" t="s">
        <v>208</v>
      </c>
      <c r="T456" t="s">
        <v>227</v>
      </c>
      <c r="U456">
        <v>2.039187192251803E-2</v>
      </c>
      <c r="V456" t="s">
        <v>154</v>
      </c>
    </row>
    <row r="457" spans="9:22" x14ac:dyDescent="0.25">
      <c r="I457" t="s">
        <v>174</v>
      </c>
      <c r="J457" t="s">
        <v>258</v>
      </c>
      <c r="K457">
        <v>2.7365718929278898E-2</v>
      </c>
      <c r="L457" t="s">
        <v>154</v>
      </c>
      <c r="N457" t="s">
        <v>198</v>
      </c>
      <c r="O457" t="s">
        <v>258</v>
      </c>
      <c r="P457">
        <v>3.4937578369122417E-2</v>
      </c>
      <c r="Q457" t="s">
        <v>154</v>
      </c>
      <c r="S457" t="s">
        <v>208</v>
      </c>
      <c r="T457" t="s">
        <v>258</v>
      </c>
      <c r="U457">
        <v>1.9916556498955788E-2</v>
      </c>
      <c r="V457" t="s">
        <v>154</v>
      </c>
    </row>
    <row r="458" spans="9:22" x14ac:dyDescent="0.25">
      <c r="I458" t="s">
        <v>174</v>
      </c>
      <c r="J458" t="s">
        <v>259</v>
      </c>
      <c r="K458">
        <v>8.3334137553293702E-4</v>
      </c>
      <c r="L458" t="s">
        <v>154</v>
      </c>
      <c r="N458" t="s">
        <v>198</v>
      </c>
      <c r="O458" t="s">
        <v>259</v>
      </c>
      <c r="P458">
        <v>9.4905087395921892E-2</v>
      </c>
      <c r="Q458" t="s">
        <v>154</v>
      </c>
      <c r="S458" t="s">
        <v>208</v>
      </c>
      <c r="T458" t="s">
        <v>259</v>
      </c>
      <c r="U458">
        <v>7.1823631336171187E-2</v>
      </c>
      <c r="V458" t="s">
        <v>154</v>
      </c>
    </row>
    <row r="459" spans="9:22" x14ac:dyDescent="0.25">
      <c r="I459" t="s">
        <v>174</v>
      </c>
      <c r="J459" t="s">
        <v>160</v>
      </c>
      <c r="K459">
        <v>6.7186680271267131E-4</v>
      </c>
      <c r="L459" t="s">
        <v>154</v>
      </c>
      <c r="N459" t="s">
        <v>198</v>
      </c>
      <c r="O459" t="s">
        <v>160</v>
      </c>
      <c r="P459">
        <v>1.5538618501949617E-3</v>
      </c>
      <c r="Q459" t="s">
        <v>154</v>
      </c>
      <c r="S459" t="s">
        <v>208</v>
      </c>
      <c r="T459" t="s">
        <v>160</v>
      </c>
      <c r="U459">
        <v>3.2105383084737963E-4</v>
      </c>
      <c r="V459" t="s">
        <v>154</v>
      </c>
    </row>
    <row r="460" spans="9:22" x14ac:dyDescent="0.25">
      <c r="I460" t="s">
        <v>174</v>
      </c>
      <c r="J460" t="s">
        <v>161</v>
      </c>
      <c r="K460">
        <v>4.5490780054627663E-3</v>
      </c>
      <c r="L460" t="s">
        <v>154</v>
      </c>
      <c r="N460" t="s">
        <v>198</v>
      </c>
      <c r="O460" t="s">
        <v>161</v>
      </c>
      <c r="P460">
        <v>5.9192831521336163E-4</v>
      </c>
      <c r="Q460" t="s">
        <v>154</v>
      </c>
      <c r="S460" t="s">
        <v>208</v>
      </c>
      <c r="T460" t="s">
        <v>161</v>
      </c>
      <c r="U460">
        <v>1.4418471670826091E-4</v>
      </c>
      <c r="V460" t="s">
        <v>154</v>
      </c>
    </row>
    <row r="461" spans="9:22" x14ac:dyDescent="0.25">
      <c r="I461" t="s">
        <v>174</v>
      </c>
      <c r="J461" t="s">
        <v>162</v>
      </c>
      <c r="K461">
        <v>3.9877780388259633E-3</v>
      </c>
      <c r="L461" t="s">
        <v>154</v>
      </c>
      <c r="N461" t="s">
        <v>198</v>
      </c>
      <c r="O461" t="s">
        <v>162</v>
      </c>
      <c r="P461">
        <v>2.8889320607423941E-4</v>
      </c>
      <c r="Q461" t="s">
        <v>154</v>
      </c>
      <c r="S461" t="s">
        <v>208</v>
      </c>
      <c r="T461" t="s">
        <v>162</v>
      </c>
      <c r="U461">
        <v>6.1181895807244866E-5</v>
      </c>
      <c r="V461" t="s">
        <v>154</v>
      </c>
    </row>
    <row r="462" spans="9:22" x14ac:dyDescent="0.25">
      <c r="I462" t="s">
        <v>174</v>
      </c>
      <c r="J462" t="s">
        <v>228</v>
      </c>
      <c r="K462">
        <v>4.9828912127557433E-3</v>
      </c>
      <c r="L462" t="s">
        <v>154</v>
      </c>
      <c r="N462" t="s">
        <v>198</v>
      </c>
      <c r="O462" t="s">
        <v>228</v>
      </c>
      <c r="P462">
        <v>2.715469760506432E-4</v>
      </c>
      <c r="Q462" t="s">
        <v>154</v>
      </c>
      <c r="S462" t="s">
        <v>208</v>
      </c>
      <c r="T462" t="s">
        <v>228</v>
      </c>
      <c r="U462">
        <v>6.9045247246509914E-5</v>
      </c>
      <c r="V462" t="s">
        <v>154</v>
      </c>
    </row>
    <row r="463" spans="9:22" x14ac:dyDescent="0.25">
      <c r="I463" t="s">
        <v>174</v>
      </c>
      <c r="J463" t="s">
        <v>229</v>
      </c>
      <c r="K463">
        <v>1.5991644620575288E-2</v>
      </c>
      <c r="L463" t="s">
        <v>154</v>
      </c>
      <c r="N463" t="s">
        <v>198</v>
      </c>
      <c r="O463" t="s">
        <v>229</v>
      </c>
      <c r="P463">
        <v>5.7433200958765683E-4</v>
      </c>
      <c r="Q463" t="s">
        <v>154</v>
      </c>
      <c r="S463" t="s">
        <v>208</v>
      </c>
      <c r="T463" t="s">
        <v>229</v>
      </c>
      <c r="U463">
        <v>1.6826745237319269E-4</v>
      </c>
      <c r="V463" t="s">
        <v>154</v>
      </c>
    </row>
    <row r="464" spans="9:22" x14ac:dyDescent="0.25">
      <c r="I464" t="s">
        <v>174</v>
      </c>
      <c r="J464" t="s">
        <v>230</v>
      </c>
      <c r="K464">
        <v>7.530982424941564E-3</v>
      </c>
      <c r="L464" t="s">
        <v>154</v>
      </c>
      <c r="N464" t="s">
        <v>198</v>
      </c>
      <c r="O464" t="s">
        <v>230</v>
      </c>
      <c r="P464">
        <v>7.1167384071608259E-4</v>
      </c>
      <c r="Q464" t="s">
        <v>154</v>
      </c>
      <c r="S464" t="s">
        <v>208</v>
      </c>
      <c r="T464" t="s">
        <v>230</v>
      </c>
      <c r="U464">
        <v>4.9826745808242868E-5</v>
      </c>
      <c r="V464" t="s">
        <v>154</v>
      </c>
    </row>
    <row r="465" spans="9:22" x14ac:dyDescent="0.25">
      <c r="I465" t="s">
        <v>174</v>
      </c>
      <c r="J465" t="s">
        <v>260</v>
      </c>
      <c r="K465">
        <v>3.5074855218887886E-3</v>
      </c>
      <c r="L465" t="s">
        <v>154</v>
      </c>
      <c r="N465" t="s">
        <v>198</v>
      </c>
      <c r="O465" t="s">
        <v>260</v>
      </c>
      <c r="P465">
        <v>7.1420627905186213E-4</v>
      </c>
      <c r="Q465" t="s">
        <v>154</v>
      </c>
      <c r="S465" t="s">
        <v>208</v>
      </c>
      <c r="T465" t="s">
        <v>260</v>
      </c>
      <c r="U465">
        <v>4.4945870329253535E-5</v>
      </c>
      <c r="V465" t="s">
        <v>154</v>
      </c>
    </row>
    <row r="466" spans="9:22" x14ac:dyDescent="0.25">
      <c r="I466" t="s">
        <v>174</v>
      </c>
      <c r="J466" t="s">
        <v>261</v>
      </c>
      <c r="K466">
        <v>0</v>
      </c>
      <c r="L466" t="s">
        <v>154</v>
      </c>
      <c r="N466" t="s">
        <v>198</v>
      </c>
      <c r="O466" t="s">
        <v>261</v>
      </c>
      <c r="P466">
        <v>1.3715616433886124E-3</v>
      </c>
      <c r="Q466" t="s">
        <v>154</v>
      </c>
      <c r="S466" t="s">
        <v>208</v>
      </c>
      <c r="T466" t="s">
        <v>261</v>
      </c>
      <c r="U466">
        <v>7.6993304743141515E-5</v>
      </c>
      <c r="V466" t="s">
        <v>154</v>
      </c>
    </row>
    <row r="467" spans="9:22" x14ac:dyDescent="0.25">
      <c r="I467" t="s">
        <v>174</v>
      </c>
      <c r="J467" t="s">
        <v>163</v>
      </c>
      <c r="K467">
        <v>2.5852840212304802E-3</v>
      </c>
      <c r="L467" t="s">
        <v>154</v>
      </c>
      <c r="N467" t="s">
        <v>198</v>
      </c>
      <c r="O467" t="s">
        <v>163</v>
      </c>
      <c r="P467">
        <v>1.1855411207596887E-2</v>
      </c>
      <c r="Q467" t="s">
        <v>154</v>
      </c>
      <c r="S467" t="s">
        <v>208</v>
      </c>
      <c r="T467" t="s">
        <v>163</v>
      </c>
      <c r="U467">
        <v>2.0443138453967846E-2</v>
      </c>
      <c r="V467" t="s">
        <v>154</v>
      </c>
    </row>
    <row r="468" spans="9:22" x14ac:dyDescent="0.25">
      <c r="I468" t="s">
        <v>174</v>
      </c>
      <c r="J468" t="s">
        <v>164</v>
      </c>
      <c r="K468">
        <v>1.3499621434426642E-2</v>
      </c>
      <c r="L468" t="s">
        <v>154</v>
      </c>
      <c r="N468" t="s">
        <v>198</v>
      </c>
      <c r="O468" t="s">
        <v>164</v>
      </c>
      <c r="P468">
        <v>3.814114195607204E-3</v>
      </c>
      <c r="Q468" t="s">
        <v>154</v>
      </c>
      <c r="S468" t="s">
        <v>208</v>
      </c>
      <c r="T468" t="s">
        <v>164</v>
      </c>
      <c r="U468">
        <v>6.8569053175739237E-3</v>
      </c>
      <c r="V468" t="s">
        <v>154</v>
      </c>
    </row>
    <row r="469" spans="9:22" x14ac:dyDescent="0.25">
      <c r="I469" t="s">
        <v>174</v>
      </c>
      <c r="J469" t="s">
        <v>165</v>
      </c>
      <c r="K469">
        <v>1.1420604491701425E-2</v>
      </c>
      <c r="L469" t="s">
        <v>154</v>
      </c>
      <c r="N469" t="s">
        <v>198</v>
      </c>
      <c r="O469" t="s">
        <v>165</v>
      </c>
      <c r="P469">
        <v>1.9463685763077914E-3</v>
      </c>
      <c r="Q469" t="s">
        <v>154</v>
      </c>
      <c r="S469" t="s">
        <v>208</v>
      </c>
      <c r="T469" t="s">
        <v>165</v>
      </c>
      <c r="U469">
        <v>3.4995539158773096E-3</v>
      </c>
      <c r="V469" t="s">
        <v>154</v>
      </c>
    </row>
    <row r="470" spans="9:22" x14ac:dyDescent="0.25">
      <c r="I470" t="s">
        <v>174</v>
      </c>
      <c r="J470" t="s">
        <v>231</v>
      </c>
      <c r="K470">
        <v>1.3728334178586075E-2</v>
      </c>
      <c r="L470" t="s">
        <v>154</v>
      </c>
      <c r="N470" t="s">
        <v>198</v>
      </c>
      <c r="O470" t="s">
        <v>231</v>
      </c>
      <c r="P470">
        <v>1.8826761668178579E-3</v>
      </c>
      <c r="Q470" t="s">
        <v>154</v>
      </c>
      <c r="S470" t="s">
        <v>208</v>
      </c>
      <c r="T470" t="s">
        <v>231</v>
      </c>
      <c r="U470">
        <v>3.5344629760254509E-3</v>
      </c>
      <c r="V470" t="s">
        <v>154</v>
      </c>
    </row>
    <row r="471" spans="9:22" x14ac:dyDescent="0.25">
      <c r="I471" t="s">
        <v>174</v>
      </c>
      <c r="J471" t="s">
        <v>232</v>
      </c>
      <c r="K471">
        <v>4.4937296850326873E-2</v>
      </c>
      <c r="L471" t="s">
        <v>154</v>
      </c>
      <c r="N471" t="s">
        <v>198</v>
      </c>
      <c r="O471" t="s">
        <v>232</v>
      </c>
      <c r="P471">
        <v>4.7587028380298435E-3</v>
      </c>
      <c r="Q471" t="s">
        <v>154</v>
      </c>
      <c r="S471" t="s">
        <v>208</v>
      </c>
      <c r="T471" t="s">
        <v>232</v>
      </c>
      <c r="U471">
        <v>1.0146482416056644E-2</v>
      </c>
      <c r="V471" t="s">
        <v>154</v>
      </c>
    </row>
    <row r="472" spans="9:22" x14ac:dyDescent="0.25">
      <c r="I472" t="s">
        <v>174</v>
      </c>
      <c r="J472" t="s">
        <v>233</v>
      </c>
      <c r="K472">
        <v>2.1312072340515072E-2</v>
      </c>
      <c r="L472" t="s">
        <v>154</v>
      </c>
      <c r="N472" t="s">
        <v>198</v>
      </c>
      <c r="O472" t="s">
        <v>233</v>
      </c>
      <c r="P472">
        <v>3.3685059805797549E-3</v>
      </c>
      <c r="Q472" t="s">
        <v>154</v>
      </c>
      <c r="S472" t="s">
        <v>208</v>
      </c>
      <c r="T472" t="s">
        <v>233</v>
      </c>
      <c r="U472">
        <v>6.5690159238058201E-3</v>
      </c>
      <c r="V472" t="s">
        <v>154</v>
      </c>
    </row>
    <row r="473" spans="9:22" x14ac:dyDescent="0.25">
      <c r="I473" t="s">
        <v>174</v>
      </c>
      <c r="J473" t="s">
        <v>262</v>
      </c>
      <c r="K473">
        <v>1.0910874238504771E-2</v>
      </c>
      <c r="L473" t="s">
        <v>154</v>
      </c>
      <c r="N473" t="s">
        <v>198</v>
      </c>
      <c r="O473" t="s">
        <v>262</v>
      </c>
      <c r="P473">
        <v>2.8403515492314781E-3</v>
      </c>
      <c r="Q473" t="s">
        <v>154</v>
      </c>
      <c r="S473" t="s">
        <v>208</v>
      </c>
      <c r="T473" t="s">
        <v>262</v>
      </c>
      <c r="U473">
        <v>6.06332554427743E-3</v>
      </c>
      <c r="V473" t="s">
        <v>154</v>
      </c>
    </row>
    <row r="474" spans="9:22" x14ac:dyDescent="0.25">
      <c r="I474" t="s">
        <v>174</v>
      </c>
      <c r="J474" t="s">
        <v>263</v>
      </c>
      <c r="K474">
        <v>5.52811385229959E-6</v>
      </c>
      <c r="L474" t="s">
        <v>154</v>
      </c>
      <c r="N474" t="s">
        <v>198</v>
      </c>
      <c r="O474" t="s">
        <v>263</v>
      </c>
      <c r="P474">
        <v>1.0458848394891107E-2</v>
      </c>
      <c r="Q474" t="s">
        <v>154</v>
      </c>
      <c r="S474" t="s">
        <v>208</v>
      </c>
      <c r="T474" t="s">
        <v>263</v>
      </c>
      <c r="U474">
        <v>1.4129461905736601E-2</v>
      </c>
      <c r="V474" t="s">
        <v>154</v>
      </c>
    </row>
    <row r="475" spans="9:22" x14ac:dyDescent="0.25">
      <c r="I475" t="s">
        <v>174</v>
      </c>
      <c r="J475" t="s">
        <v>240</v>
      </c>
      <c r="K475">
        <v>4.8032101190772216E-3</v>
      </c>
      <c r="L475" t="s">
        <v>154</v>
      </c>
      <c r="N475" t="s">
        <v>198</v>
      </c>
      <c r="O475" t="s">
        <v>240</v>
      </c>
      <c r="P475">
        <v>3.57901088601301E-2</v>
      </c>
      <c r="Q475" t="s">
        <v>154</v>
      </c>
      <c r="S475" t="s">
        <v>208</v>
      </c>
      <c r="T475" t="s">
        <v>240</v>
      </c>
      <c r="U475">
        <v>9.9472510768386202E-2</v>
      </c>
      <c r="V475" t="s">
        <v>154</v>
      </c>
    </row>
    <row r="476" spans="9:22" x14ac:dyDescent="0.25">
      <c r="I476" t="s">
        <v>174</v>
      </c>
      <c r="J476" t="s">
        <v>241</v>
      </c>
      <c r="K476">
        <v>2.8704834648626717E-2</v>
      </c>
      <c r="L476" t="s">
        <v>154</v>
      </c>
      <c r="N476" t="s">
        <v>198</v>
      </c>
      <c r="O476" t="s">
        <v>241</v>
      </c>
      <c r="P476">
        <v>1.3606937388663884E-2</v>
      </c>
      <c r="Q476" t="s">
        <v>154</v>
      </c>
      <c r="S476" t="s">
        <v>208</v>
      </c>
      <c r="T476" t="s">
        <v>241</v>
      </c>
      <c r="U476">
        <v>2.9756786631159424E-2</v>
      </c>
      <c r="V476" t="s">
        <v>154</v>
      </c>
    </row>
    <row r="477" spans="9:22" x14ac:dyDescent="0.25">
      <c r="I477" t="s">
        <v>174</v>
      </c>
      <c r="J477" t="s">
        <v>242</v>
      </c>
      <c r="K477">
        <v>2.4596470937900943E-2</v>
      </c>
      <c r="L477" t="s">
        <v>154</v>
      </c>
      <c r="N477" t="s">
        <v>198</v>
      </c>
      <c r="O477" t="s">
        <v>242</v>
      </c>
      <c r="P477">
        <v>6.939258250594835E-3</v>
      </c>
      <c r="Q477" t="s">
        <v>154</v>
      </c>
      <c r="S477" t="s">
        <v>208</v>
      </c>
      <c r="T477" t="s">
        <v>242</v>
      </c>
      <c r="U477">
        <v>1.4988145321718951E-2</v>
      </c>
      <c r="V477" t="s">
        <v>154</v>
      </c>
    </row>
    <row r="478" spans="9:22" x14ac:dyDescent="0.25">
      <c r="I478" t="s">
        <v>174</v>
      </c>
      <c r="J478" t="s">
        <v>243</v>
      </c>
      <c r="K478">
        <v>2.8999798512028767E-2</v>
      </c>
      <c r="L478" t="s">
        <v>154</v>
      </c>
      <c r="N478" t="s">
        <v>198</v>
      </c>
      <c r="O478" t="s">
        <v>243</v>
      </c>
      <c r="P478">
        <v>6.8456320820079533E-3</v>
      </c>
      <c r="Q478" t="s">
        <v>154</v>
      </c>
      <c r="S478" t="s">
        <v>208</v>
      </c>
      <c r="T478" t="s">
        <v>243</v>
      </c>
      <c r="U478">
        <v>1.5263359239945777E-2</v>
      </c>
      <c r="V478" t="s">
        <v>154</v>
      </c>
    </row>
    <row r="479" spans="9:22" x14ac:dyDescent="0.25">
      <c r="I479" t="s">
        <v>174</v>
      </c>
      <c r="J479" t="s">
        <v>244</v>
      </c>
      <c r="K479">
        <v>9.7350820538820701E-2</v>
      </c>
      <c r="L479" t="s">
        <v>154</v>
      </c>
      <c r="N479" t="s">
        <v>198</v>
      </c>
      <c r="O479" t="s">
        <v>244</v>
      </c>
      <c r="P479">
        <v>1.6086511486851533E-2</v>
      </c>
      <c r="Q479" t="s">
        <v>154</v>
      </c>
      <c r="S479" t="s">
        <v>208</v>
      </c>
      <c r="T479" t="s">
        <v>244</v>
      </c>
      <c r="U479">
        <v>4.6887834704273601E-2</v>
      </c>
      <c r="V479" t="s">
        <v>154</v>
      </c>
    </row>
    <row r="480" spans="9:22" x14ac:dyDescent="0.25">
      <c r="I480" t="s">
        <v>174</v>
      </c>
      <c r="J480" t="s">
        <v>245</v>
      </c>
      <c r="K480">
        <v>4.9189281200438556E-2</v>
      </c>
      <c r="L480" t="s">
        <v>154</v>
      </c>
      <c r="N480" t="s">
        <v>198</v>
      </c>
      <c r="O480" t="s">
        <v>245</v>
      </c>
      <c r="P480">
        <v>9.6045483204539473E-3</v>
      </c>
      <c r="Q480" t="s">
        <v>154</v>
      </c>
      <c r="S480" t="s">
        <v>208</v>
      </c>
      <c r="T480" t="s">
        <v>245</v>
      </c>
      <c r="U480">
        <v>3.1331627381975383E-2</v>
      </c>
      <c r="V480" t="s">
        <v>154</v>
      </c>
    </row>
    <row r="481" spans="9:22" x14ac:dyDescent="0.25">
      <c r="I481" t="s">
        <v>174</v>
      </c>
      <c r="J481" t="s">
        <v>264</v>
      </c>
      <c r="K481">
        <v>2.271176681374543E-2</v>
      </c>
      <c r="L481" t="s">
        <v>154</v>
      </c>
      <c r="N481" t="s">
        <v>198</v>
      </c>
      <c r="O481" t="s">
        <v>264</v>
      </c>
      <c r="P481">
        <v>1.1532020753084292E-2</v>
      </c>
      <c r="Q481" t="s">
        <v>154</v>
      </c>
      <c r="S481" t="s">
        <v>208</v>
      </c>
      <c r="T481" t="s">
        <v>264</v>
      </c>
      <c r="U481">
        <v>2.9843624395798921E-2</v>
      </c>
      <c r="V481" t="s">
        <v>154</v>
      </c>
    </row>
    <row r="482" spans="9:22" x14ac:dyDescent="0.25">
      <c r="I482" t="s">
        <v>174</v>
      </c>
      <c r="J482" t="s">
        <v>265</v>
      </c>
      <c r="K482">
        <v>2.8910446034370442E-5</v>
      </c>
      <c r="L482" t="s">
        <v>154</v>
      </c>
      <c r="N482" t="s">
        <v>198</v>
      </c>
      <c r="O482" t="s">
        <v>265</v>
      </c>
      <c r="P482">
        <v>3.4134365760333137E-2</v>
      </c>
      <c r="Q482" t="s">
        <v>154</v>
      </c>
      <c r="S482" t="s">
        <v>208</v>
      </c>
      <c r="T482" t="s">
        <v>265</v>
      </c>
      <c r="U482">
        <v>7.7370988250810901E-2</v>
      </c>
      <c r="V482" t="s">
        <v>154</v>
      </c>
    </row>
    <row r="483" spans="9:22" x14ac:dyDescent="0.25">
      <c r="I483" t="s">
        <v>174</v>
      </c>
      <c r="J483" t="s">
        <v>246</v>
      </c>
      <c r="K483">
        <v>4.2208997937533211E-3</v>
      </c>
      <c r="L483" t="s">
        <v>154</v>
      </c>
      <c r="N483" t="s">
        <v>198</v>
      </c>
      <c r="O483" t="s">
        <v>246</v>
      </c>
      <c r="P483">
        <v>8.0853993945146627E-2</v>
      </c>
      <c r="Q483" t="s">
        <v>154</v>
      </c>
      <c r="S483" t="s">
        <v>208</v>
      </c>
      <c r="T483" t="s">
        <v>246</v>
      </c>
      <c r="U483">
        <v>5.6628557244248277E-2</v>
      </c>
      <c r="V483" t="s">
        <v>154</v>
      </c>
    </row>
    <row r="484" spans="9:22" x14ac:dyDescent="0.25">
      <c r="I484" t="s">
        <v>174</v>
      </c>
      <c r="J484" t="s">
        <v>247</v>
      </c>
      <c r="K484">
        <v>2.6155869133131324E-2</v>
      </c>
      <c r="L484" t="s">
        <v>154</v>
      </c>
      <c r="N484" t="s">
        <v>198</v>
      </c>
      <c r="O484" t="s">
        <v>247</v>
      </c>
      <c r="P484">
        <v>2.0689846728310625E-2</v>
      </c>
      <c r="Q484" t="s">
        <v>154</v>
      </c>
      <c r="S484" t="s">
        <v>208</v>
      </c>
      <c r="T484" t="s">
        <v>247</v>
      </c>
      <c r="U484">
        <v>1.6122076754752666E-2</v>
      </c>
      <c r="V484" t="s">
        <v>154</v>
      </c>
    </row>
    <row r="485" spans="9:22" x14ac:dyDescent="0.25">
      <c r="I485" t="s">
        <v>174</v>
      </c>
      <c r="J485" t="s">
        <v>248</v>
      </c>
      <c r="K485">
        <v>2.2235965335317603E-2</v>
      </c>
      <c r="L485" t="s">
        <v>154</v>
      </c>
      <c r="N485" t="s">
        <v>198</v>
      </c>
      <c r="O485" t="s">
        <v>248</v>
      </c>
      <c r="P485">
        <v>1.0585060347841133E-2</v>
      </c>
      <c r="Q485" t="s">
        <v>154</v>
      </c>
      <c r="S485" t="s">
        <v>208</v>
      </c>
      <c r="T485" t="s">
        <v>248</v>
      </c>
      <c r="U485">
        <v>8.2760642018063144E-3</v>
      </c>
      <c r="V485" t="s">
        <v>154</v>
      </c>
    </row>
    <row r="486" spans="9:22" x14ac:dyDescent="0.25">
      <c r="I486" t="s">
        <v>174</v>
      </c>
      <c r="J486" t="s">
        <v>249</v>
      </c>
      <c r="K486">
        <v>2.5763661831361667E-2</v>
      </c>
      <c r="L486" t="s">
        <v>154</v>
      </c>
      <c r="N486" t="s">
        <v>198</v>
      </c>
      <c r="O486" t="s">
        <v>249</v>
      </c>
      <c r="P486">
        <v>1.0708538521609842E-2</v>
      </c>
      <c r="Q486" t="s">
        <v>154</v>
      </c>
      <c r="S486" t="s">
        <v>208</v>
      </c>
      <c r="T486" t="s">
        <v>249</v>
      </c>
      <c r="U486">
        <v>8.1702335342478897E-3</v>
      </c>
      <c r="V486" t="s">
        <v>154</v>
      </c>
    </row>
    <row r="487" spans="9:22" x14ac:dyDescent="0.25">
      <c r="I487" t="s">
        <v>174</v>
      </c>
      <c r="J487" t="s">
        <v>250</v>
      </c>
      <c r="K487">
        <v>8.15092804052749E-2</v>
      </c>
      <c r="L487" t="s">
        <v>154</v>
      </c>
      <c r="N487" t="s">
        <v>198</v>
      </c>
      <c r="O487" t="s">
        <v>250</v>
      </c>
      <c r="P487">
        <v>3.6682082200174E-2</v>
      </c>
      <c r="Q487" t="s">
        <v>154</v>
      </c>
      <c r="S487" t="s">
        <v>208</v>
      </c>
      <c r="T487" t="s">
        <v>250</v>
      </c>
      <c r="U487">
        <v>2.3388782422733519E-2</v>
      </c>
      <c r="V487" t="s">
        <v>154</v>
      </c>
    </row>
    <row r="488" spans="9:22" x14ac:dyDescent="0.25">
      <c r="I488" t="s">
        <v>174</v>
      </c>
      <c r="J488" t="s">
        <v>251</v>
      </c>
      <c r="K488">
        <v>4.1009630383887719E-2</v>
      </c>
      <c r="L488" t="s">
        <v>154</v>
      </c>
      <c r="N488" t="s">
        <v>198</v>
      </c>
      <c r="O488" t="s">
        <v>251</v>
      </c>
      <c r="P488">
        <v>3.1703376487251814E-2</v>
      </c>
      <c r="Q488" t="s">
        <v>154</v>
      </c>
      <c r="S488" t="s">
        <v>208</v>
      </c>
      <c r="T488" t="s">
        <v>251</v>
      </c>
      <c r="U488">
        <v>1.6072688646894255E-2</v>
      </c>
      <c r="V488" t="s">
        <v>154</v>
      </c>
    </row>
    <row r="489" spans="9:22" x14ac:dyDescent="0.25">
      <c r="I489" t="s">
        <v>174</v>
      </c>
      <c r="J489" t="s">
        <v>266</v>
      </c>
      <c r="K489">
        <v>1.6324564474692892E-2</v>
      </c>
      <c r="L489" t="s">
        <v>154</v>
      </c>
      <c r="N489" t="s">
        <v>198</v>
      </c>
      <c r="O489" t="s">
        <v>266</v>
      </c>
      <c r="P489">
        <v>3.3349050917621199E-2</v>
      </c>
      <c r="Q489" t="s">
        <v>154</v>
      </c>
      <c r="S489" t="s">
        <v>208</v>
      </c>
      <c r="T489" t="s">
        <v>266</v>
      </c>
      <c r="U489">
        <v>1.5648747382387907E-2</v>
      </c>
      <c r="V489" t="s">
        <v>154</v>
      </c>
    </row>
    <row r="490" spans="9:22" x14ac:dyDescent="0.25">
      <c r="I490" t="s">
        <v>174</v>
      </c>
      <c r="J490" t="s">
        <v>267</v>
      </c>
      <c r="K490">
        <v>0</v>
      </c>
      <c r="L490" t="s">
        <v>154</v>
      </c>
      <c r="N490" t="s">
        <v>198</v>
      </c>
      <c r="O490" t="s">
        <v>267</v>
      </c>
      <c r="P490">
        <v>9.5746916724359296E-2</v>
      </c>
      <c r="Q490" t="s">
        <v>154</v>
      </c>
      <c r="S490" t="s">
        <v>208</v>
      </c>
      <c r="T490" t="s">
        <v>267</v>
      </c>
      <c r="U490">
        <v>5.2364329770074679E-2</v>
      </c>
      <c r="V490" t="s">
        <v>154</v>
      </c>
    </row>
    <row r="491" spans="9:22" x14ac:dyDescent="0.25">
      <c r="I491" t="s">
        <v>175</v>
      </c>
      <c r="J491" t="s">
        <v>153</v>
      </c>
      <c r="K491">
        <v>8.0632058097863934E-7</v>
      </c>
      <c r="L491" t="s">
        <v>154</v>
      </c>
    </row>
    <row r="492" spans="9:22" x14ac:dyDescent="0.25">
      <c r="I492" t="s">
        <v>175</v>
      </c>
      <c r="J492" t="s">
        <v>155</v>
      </c>
      <c r="K492">
        <v>5.4996294741316348E-3</v>
      </c>
      <c r="L492" t="s">
        <v>154</v>
      </c>
    </row>
    <row r="493" spans="9:22" x14ac:dyDescent="0.25">
      <c r="I493" t="s">
        <v>175</v>
      </c>
      <c r="J493" t="s">
        <v>156</v>
      </c>
      <c r="K493">
        <v>5.6011667743730269E-3</v>
      </c>
      <c r="L493" t="s">
        <v>154</v>
      </c>
    </row>
    <row r="494" spans="9:22" x14ac:dyDescent="0.25">
      <c r="I494" t="s">
        <v>175</v>
      </c>
      <c r="J494" t="s">
        <v>222</v>
      </c>
      <c r="K494">
        <v>6.3794822474031081E-3</v>
      </c>
      <c r="L494" t="s">
        <v>154</v>
      </c>
    </row>
    <row r="495" spans="9:22" x14ac:dyDescent="0.25">
      <c r="I495" t="s">
        <v>175</v>
      </c>
      <c r="J495" t="s">
        <v>223</v>
      </c>
      <c r="K495">
        <v>2.1235865965961224E-2</v>
      </c>
      <c r="L495" t="s">
        <v>154</v>
      </c>
    </row>
    <row r="496" spans="9:22" x14ac:dyDescent="0.25">
      <c r="I496" t="s">
        <v>175</v>
      </c>
      <c r="J496" t="s">
        <v>224</v>
      </c>
      <c r="K496">
        <v>1.0630572565276211E-2</v>
      </c>
      <c r="L496" t="s">
        <v>154</v>
      </c>
    </row>
    <row r="497" spans="9:12" x14ac:dyDescent="0.25">
      <c r="I497" t="s">
        <v>175</v>
      </c>
      <c r="J497" t="s">
        <v>256</v>
      </c>
      <c r="K497">
        <v>4.9108967626711559E-3</v>
      </c>
      <c r="L497" t="s">
        <v>154</v>
      </c>
    </row>
    <row r="498" spans="9:12" x14ac:dyDescent="0.25">
      <c r="I498" t="s">
        <v>175</v>
      </c>
      <c r="J498" t="s">
        <v>257</v>
      </c>
      <c r="K498">
        <v>0</v>
      </c>
      <c r="L498" t="s">
        <v>154</v>
      </c>
    </row>
    <row r="499" spans="9:12" x14ac:dyDescent="0.25">
      <c r="I499" t="s">
        <v>175</v>
      </c>
      <c r="J499" t="s">
        <v>157</v>
      </c>
      <c r="K499">
        <v>2.9388246839786329E-3</v>
      </c>
      <c r="L499" t="s">
        <v>154</v>
      </c>
    </row>
    <row r="500" spans="9:12" x14ac:dyDescent="0.25">
      <c r="I500" t="s">
        <v>175</v>
      </c>
      <c r="J500" t="s">
        <v>158</v>
      </c>
      <c r="K500">
        <v>3.7229479355304185E-2</v>
      </c>
      <c r="L500" t="s">
        <v>154</v>
      </c>
    </row>
    <row r="501" spans="9:12" x14ac:dyDescent="0.25">
      <c r="I501" t="s">
        <v>175</v>
      </c>
      <c r="J501" t="s">
        <v>159</v>
      </c>
      <c r="K501">
        <v>3.2421901286047862E-2</v>
      </c>
      <c r="L501" t="s">
        <v>154</v>
      </c>
    </row>
    <row r="502" spans="9:12" x14ac:dyDescent="0.25">
      <c r="I502" t="s">
        <v>175</v>
      </c>
      <c r="J502" t="s">
        <v>225</v>
      </c>
      <c r="K502">
        <v>3.8152015833840702E-2</v>
      </c>
      <c r="L502" t="s">
        <v>154</v>
      </c>
    </row>
    <row r="503" spans="9:12" x14ac:dyDescent="0.25">
      <c r="I503" t="s">
        <v>175</v>
      </c>
      <c r="J503" t="s">
        <v>226</v>
      </c>
      <c r="K503">
        <v>0.12120242330957832</v>
      </c>
      <c r="L503" t="s">
        <v>154</v>
      </c>
    </row>
    <row r="504" spans="9:12" x14ac:dyDescent="0.25">
      <c r="I504" t="s">
        <v>175</v>
      </c>
      <c r="J504" t="s">
        <v>227</v>
      </c>
      <c r="K504">
        <v>5.9564940184885964E-2</v>
      </c>
      <c r="L504" t="s">
        <v>154</v>
      </c>
    </row>
    <row r="505" spans="9:12" x14ac:dyDescent="0.25">
      <c r="I505" t="s">
        <v>175</v>
      </c>
      <c r="J505" t="s">
        <v>258</v>
      </c>
      <c r="K505">
        <v>2.5276050490296451E-2</v>
      </c>
      <c r="L505" t="s">
        <v>154</v>
      </c>
    </row>
    <row r="506" spans="9:12" x14ac:dyDescent="0.25">
      <c r="I506" t="s">
        <v>175</v>
      </c>
      <c r="J506" t="s">
        <v>259</v>
      </c>
      <c r="K506">
        <v>9.9804334672887909E-5</v>
      </c>
      <c r="L506" t="s">
        <v>154</v>
      </c>
    </row>
    <row r="507" spans="9:12" x14ac:dyDescent="0.25">
      <c r="I507" t="s">
        <v>175</v>
      </c>
      <c r="J507" t="s">
        <v>160</v>
      </c>
      <c r="K507">
        <v>9.6872440564966253E-4</v>
      </c>
      <c r="L507" t="s">
        <v>154</v>
      </c>
    </row>
    <row r="508" spans="9:12" x14ac:dyDescent="0.25">
      <c r="I508" t="s">
        <v>175</v>
      </c>
      <c r="J508" t="s">
        <v>161</v>
      </c>
      <c r="K508">
        <v>5.1640177971431821E-3</v>
      </c>
      <c r="L508" t="s">
        <v>154</v>
      </c>
    </row>
    <row r="509" spans="9:12" x14ac:dyDescent="0.25">
      <c r="I509" t="s">
        <v>175</v>
      </c>
      <c r="J509" t="s">
        <v>162</v>
      </c>
      <c r="K509">
        <v>4.1812209617168063E-3</v>
      </c>
      <c r="L509" t="s">
        <v>154</v>
      </c>
    </row>
    <row r="510" spans="9:12" x14ac:dyDescent="0.25">
      <c r="I510" t="s">
        <v>175</v>
      </c>
      <c r="J510" t="s">
        <v>228</v>
      </c>
      <c r="K510">
        <v>4.8942049443046051E-3</v>
      </c>
      <c r="L510" t="s">
        <v>154</v>
      </c>
    </row>
    <row r="511" spans="9:12" x14ac:dyDescent="0.25">
      <c r="I511" t="s">
        <v>175</v>
      </c>
      <c r="J511" t="s">
        <v>229</v>
      </c>
      <c r="K511">
        <v>1.6084360182792398E-2</v>
      </c>
      <c r="L511" t="s">
        <v>154</v>
      </c>
    </row>
    <row r="512" spans="9:12" x14ac:dyDescent="0.25">
      <c r="I512" t="s">
        <v>175</v>
      </c>
      <c r="J512" t="s">
        <v>230</v>
      </c>
      <c r="K512">
        <v>7.6625825158621449E-3</v>
      </c>
      <c r="L512" t="s">
        <v>154</v>
      </c>
    </row>
    <row r="513" spans="9:12" x14ac:dyDescent="0.25">
      <c r="I513" t="s">
        <v>175</v>
      </c>
      <c r="J513" t="s">
        <v>260</v>
      </c>
      <c r="K513">
        <v>2.9908157786363611E-3</v>
      </c>
      <c r="L513" t="s">
        <v>154</v>
      </c>
    </row>
    <row r="514" spans="9:12" x14ac:dyDescent="0.25">
      <c r="I514" t="s">
        <v>175</v>
      </c>
      <c r="J514" t="s">
        <v>261</v>
      </c>
      <c r="K514">
        <v>0</v>
      </c>
      <c r="L514" t="s">
        <v>154</v>
      </c>
    </row>
    <row r="515" spans="9:12" x14ac:dyDescent="0.25">
      <c r="I515" t="s">
        <v>175</v>
      </c>
      <c r="J515" t="s">
        <v>163</v>
      </c>
      <c r="K515">
        <v>2.318602949297506E-3</v>
      </c>
      <c r="L515" t="s">
        <v>154</v>
      </c>
    </row>
    <row r="516" spans="9:12" x14ac:dyDescent="0.25">
      <c r="I516" t="s">
        <v>175</v>
      </c>
      <c r="J516" t="s">
        <v>164</v>
      </c>
      <c r="K516">
        <v>1.3904925714836418E-2</v>
      </c>
      <c r="L516" t="s">
        <v>154</v>
      </c>
    </row>
    <row r="517" spans="9:12" x14ac:dyDescent="0.25">
      <c r="I517" t="s">
        <v>175</v>
      </c>
      <c r="J517" t="s">
        <v>165</v>
      </c>
      <c r="K517">
        <v>1.144931266497044E-2</v>
      </c>
      <c r="L517" t="s">
        <v>154</v>
      </c>
    </row>
    <row r="518" spans="9:12" x14ac:dyDescent="0.25">
      <c r="I518" t="s">
        <v>175</v>
      </c>
      <c r="J518" t="s">
        <v>231</v>
      </c>
      <c r="K518">
        <v>1.3846237869822579E-2</v>
      </c>
      <c r="L518" t="s">
        <v>154</v>
      </c>
    </row>
    <row r="519" spans="9:12" x14ac:dyDescent="0.25">
      <c r="I519" t="s">
        <v>175</v>
      </c>
      <c r="J519" t="s">
        <v>232</v>
      </c>
      <c r="K519">
        <v>4.4229465213641225E-2</v>
      </c>
      <c r="L519" t="s">
        <v>154</v>
      </c>
    </row>
    <row r="520" spans="9:12" x14ac:dyDescent="0.25">
      <c r="I520" t="s">
        <v>175</v>
      </c>
      <c r="J520" t="s">
        <v>233</v>
      </c>
      <c r="K520">
        <v>2.1835924220866769E-2</v>
      </c>
      <c r="L520" t="s">
        <v>154</v>
      </c>
    </row>
    <row r="521" spans="9:12" x14ac:dyDescent="0.25">
      <c r="I521" t="s">
        <v>175</v>
      </c>
      <c r="J521" t="s">
        <v>262</v>
      </c>
      <c r="K521">
        <v>9.6771424977497474E-3</v>
      </c>
      <c r="L521" t="s">
        <v>154</v>
      </c>
    </row>
    <row r="522" spans="9:12" x14ac:dyDescent="0.25">
      <c r="I522" t="s">
        <v>175</v>
      </c>
      <c r="J522" t="s">
        <v>263</v>
      </c>
      <c r="K522">
        <v>1.7977717137770653E-5</v>
      </c>
      <c r="L522" t="s">
        <v>154</v>
      </c>
    </row>
    <row r="523" spans="9:12" x14ac:dyDescent="0.25">
      <c r="I523" t="s">
        <v>175</v>
      </c>
      <c r="J523" t="s">
        <v>240</v>
      </c>
      <c r="K523">
        <v>5.0597598052559397E-3</v>
      </c>
      <c r="L523" t="s">
        <v>154</v>
      </c>
    </row>
    <row r="524" spans="9:12" x14ac:dyDescent="0.25">
      <c r="I524" t="s">
        <v>175</v>
      </c>
      <c r="J524" t="s">
        <v>241</v>
      </c>
      <c r="K524">
        <v>2.9257243595310036E-2</v>
      </c>
      <c r="L524" t="s">
        <v>154</v>
      </c>
    </row>
    <row r="525" spans="9:12" x14ac:dyDescent="0.25">
      <c r="I525" t="s">
        <v>175</v>
      </c>
      <c r="J525" t="s">
        <v>242</v>
      </c>
      <c r="K525">
        <v>2.4994324743036755E-2</v>
      </c>
      <c r="L525" t="s">
        <v>154</v>
      </c>
    </row>
    <row r="526" spans="9:12" x14ac:dyDescent="0.25">
      <c r="I526" t="s">
        <v>175</v>
      </c>
      <c r="J526" t="s">
        <v>243</v>
      </c>
      <c r="K526">
        <v>2.9099133308881957E-2</v>
      </c>
      <c r="L526" t="s">
        <v>154</v>
      </c>
    </row>
    <row r="527" spans="9:12" x14ac:dyDescent="0.25">
      <c r="I527" t="s">
        <v>175</v>
      </c>
      <c r="J527" t="s">
        <v>244</v>
      </c>
      <c r="K527">
        <v>9.5857883772651531E-2</v>
      </c>
      <c r="L527" t="s">
        <v>154</v>
      </c>
    </row>
    <row r="528" spans="9:12" x14ac:dyDescent="0.25">
      <c r="I528" t="s">
        <v>175</v>
      </c>
      <c r="J528" t="s">
        <v>245</v>
      </c>
      <c r="K528">
        <v>4.7518680398525054E-2</v>
      </c>
      <c r="L528" t="s">
        <v>154</v>
      </c>
    </row>
    <row r="529" spans="9:12" x14ac:dyDescent="0.25">
      <c r="I529" t="s">
        <v>175</v>
      </c>
      <c r="J529" t="s">
        <v>264</v>
      </c>
      <c r="K529">
        <v>2.1502777827209735E-2</v>
      </c>
      <c r="L529" t="s">
        <v>154</v>
      </c>
    </row>
    <row r="530" spans="9:12" x14ac:dyDescent="0.25">
      <c r="I530" t="s">
        <v>175</v>
      </c>
      <c r="J530" t="s">
        <v>265</v>
      </c>
      <c r="K530">
        <v>1.5314002196538509E-4</v>
      </c>
      <c r="L530" t="s">
        <v>154</v>
      </c>
    </row>
    <row r="531" spans="9:12" x14ac:dyDescent="0.25">
      <c r="I531" t="s">
        <v>175</v>
      </c>
      <c r="J531" t="s">
        <v>246</v>
      </c>
      <c r="K531">
        <v>4.3342873753231589E-3</v>
      </c>
      <c r="L531" t="s">
        <v>154</v>
      </c>
    </row>
    <row r="532" spans="9:12" x14ac:dyDescent="0.25">
      <c r="I532" t="s">
        <v>175</v>
      </c>
      <c r="J532" t="s">
        <v>247</v>
      </c>
      <c r="K532">
        <v>2.8103387320192089E-2</v>
      </c>
      <c r="L532" t="s">
        <v>154</v>
      </c>
    </row>
    <row r="533" spans="9:12" x14ac:dyDescent="0.25">
      <c r="I533" t="s">
        <v>175</v>
      </c>
      <c r="J533" t="s">
        <v>248</v>
      </c>
      <c r="K533">
        <v>2.3085763591461635E-2</v>
      </c>
      <c r="L533" t="s">
        <v>154</v>
      </c>
    </row>
    <row r="534" spans="9:12" x14ac:dyDescent="0.25">
      <c r="I534" t="s">
        <v>175</v>
      </c>
      <c r="J534" t="s">
        <v>249</v>
      </c>
      <c r="K534">
        <v>2.6810799081806475E-2</v>
      </c>
      <c r="L534" t="s">
        <v>154</v>
      </c>
    </row>
    <row r="535" spans="9:12" x14ac:dyDescent="0.25">
      <c r="I535" t="s">
        <v>175</v>
      </c>
      <c r="J535" t="s">
        <v>250</v>
      </c>
      <c r="K535">
        <v>8.0240244409793798E-2</v>
      </c>
      <c r="L535" t="s">
        <v>154</v>
      </c>
    </row>
    <row r="536" spans="9:12" x14ac:dyDescent="0.25">
      <c r="I536" t="s">
        <v>175</v>
      </c>
      <c r="J536" t="s">
        <v>251</v>
      </c>
      <c r="K536">
        <v>3.9877432201385017E-2</v>
      </c>
      <c r="L536" t="s">
        <v>154</v>
      </c>
    </row>
    <row r="537" spans="9:12" x14ac:dyDescent="0.25">
      <c r="I537" t="s">
        <v>175</v>
      </c>
      <c r="J537" t="s">
        <v>266</v>
      </c>
      <c r="K537">
        <v>1.3735767523770896E-2</v>
      </c>
      <c r="L537" t="s">
        <v>154</v>
      </c>
    </row>
    <row r="538" spans="9:12" x14ac:dyDescent="0.25">
      <c r="I538" t="s">
        <v>175</v>
      </c>
      <c r="J538" t="s">
        <v>267</v>
      </c>
      <c r="K538">
        <v>0</v>
      </c>
      <c r="L538" t="s">
        <v>154</v>
      </c>
    </row>
    <row r="539" spans="9:12" x14ac:dyDescent="0.25">
      <c r="I539" t="s">
        <v>176</v>
      </c>
      <c r="J539" t="s">
        <v>153</v>
      </c>
      <c r="K539">
        <v>0</v>
      </c>
      <c r="L539" t="s">
        <v>154</v>
      </c>
    </row>
    <row r="540" spans="9:12" x14ac:dyDescent="0.25">
      <c r="I540" t="s">
        <v>176</v>
      </c>
      <c r="J540" t="s">
        <v>155</v>
      </c>
      <c r="K540">
        <v>5.8005702184495741E-3</v>
      </c>
      <c r="L540" t="s">
        <v>154</v>
      </c>
    </row>
    <row r="541" spans="9:12" x14ac:dyDescent="0.25">
      <c r="I541" t="s">
        <v>176</v>
      </c>
      <c r="J541" t="s">
        <v>156</v>
      </c>
      <c r="K541">
        <v>5.5029138794363735E-3</v>
      </c>
      <c r="L541" t="s">
        <v>154</v>
      </c>
    </row>
    <row r="542" spans="9:12" x14ac:dyDescent="0.25">
      <c r="I542" t="s">
        <v>176</v>
      </c>
      <c r="J542" t="s">
        <v>222</v>
      </c>
      <c r="K542">
        <v>6.0957242159691092E-3</v>
      </c>
      <c r="L542" t="s">
        <v>154</v>
      </c>
    </row>
    <row r="543" spans="9:12" x14ac:dyDescent="0.25">
      <c r="I543" t="s">
        <v>176</v>
      </c>
      <c r="J543" t="s">
        <v>223</v>
      </c>
      <c r="K543">
        <v>1.9339234920029796E-2</v>
      </c>
      <c r="L543" t="s">
        <v>154</v>
      </c>
    </row>
    <row r="544" spans="9:12" x14ac:dyDescent="0.25">
      <c r="I544" t="s">
        <v>176</v>
      </c>
      <c r="J544" t="s">
        <v>224</v>
      </c>
      <c r="K544">
        <v>1.0130097677782057E-2</v>
      </c>
      <c r="L544" t="s">
        <v>154</v>
      </c>
    </row>
    <row r="545" spans="9:12" x14ac:dyDescent="0.25">
      <c r="I545" t="s">
        <v>176</v>
      </c>
      <c r="J545" t="s">
        <v>256</v>
      </c>
      <c r="K545">
        <v>4.7417809959298439E-3</v>
      </c>
      <c r="L545" t="s">
        <v>154</v>
      </c>
    </row>
    <row r="546" spans="9:12" x14ac:dyDescent="0.25">
      <c r="I546" t="s">
        <v>176</v>
      </c>
      <c r="J546" t="s">
        <v>257</v>
      </c>
      <c r="K546">
        <v>0</v>
      </c>
      <c r="L546" t="s">
        <v>154</v>
      </c>
    </row>
    <row r="547" spans="9:12" x14ac:dyDescent="0.25">
      <c r="I547" t="s">
        <v>176</v>
      </c>
      <c r="J547" t="s">
        <v>157</v>
      </c>
      <c r="K547">
        <v>3.1953508561770329E-3</v>
      </c>
      <c r="L547" t="s">
        <v>154</v>
      </c>
    </row>
    <row r="548" spans="9:12" x14ac:dyDescent="0.25">
      <c r="I548" t="s">
        <v>176</v>
      </c>
      <c r="J548" t="s">
        <v>158</v>
      </c>
      <c r="K548">
        <v>4.204328916103181E-2</v>
      </c>
      <c r="L548" t="s">
        <v>154</v>
      </c>
    </row>
    <row r="549" spans="9:12" x14ac:dyDescent="0.25">
      <c r="I549" t="s">
        <v>176</v>
      </c>
      <c r="J549" t="s">
        <v>159</v>
      </c>
      <c r="K549">
        <v>3.3210865954467345E-2</v>
      </c>
      <c r="L549" t="s">
        <v>154</v>
      </c>
    </row>
    <row r="550" spans="9:12" x14ac:dyDescent="0.25">
      <c r="I550" t="s">
        <v>176</v>
      </c>
      <c r="J550" t="s">
        <v>225</v>
      </c>
      <c r="K550">
        <v>3.7456002335382356E-2</v>
      </c>
      <c r="L550" t="s">
        <v>154</v>
      </c>
    </row>
    <row r="551" spans="9:12" x14ac:dyDescent="0.25">
      <c r="I551" t="s">
        <v>176</v>
      </c>
      <c r="J551" t="s">
        <v>226</v>
      </c>
      <c r="K551">
        <v>0.11996428089475326</v>
      </c>
      <c r="L551" t="s">
        <v>154</v>
      </c>
    </row>
    <row r="552" spans="9:12" x14ac:dyDescent="0.25">
      <c r="I552" t="s">
        <v>176</v>
      </c>
      <c r="J552" t="s">
        <v>227</v>
      </c>
      <c r="K552">
        <v>6.1057274292660189E-2</v>
      </c>
      <c r="L552" t="s">
        <v>154</v>
      </c>
    </row>
    <row r="553" spans="9:12" x14ac:dyDescent="0.25">
      <c r="I553" t="s">
        <v>176</v>
      </c>
      <c r="J553" t="s">
        <v>258</v>
      </c>
      <c r="K553">
        <v>2.9202293644626769E-2</v>
      </c>
      <c r="L553" t="s">
        <v>154</v>
      </c>
    </row>
    <row r="554" spans="9:12" x14ac:dyDescent="0.25">
      <c r="I554" t="s">
        <v>176</v>
      </c>
      <c r="J554" t="s">
        <v>259</v>
      </c>
      <c r="K554">
        <v>2.1531611874263988E-3</v>
      </c>
      <c r="L554" t="s">
        <v>154</v>
      </c>
    </row>
    <row r="555" spans="9:12" x14ac:dyDescent="0.25">
      <c r="I555" t="s">
        <v>176</v>
      </c>
      <c r="J555" t="s">
        <v>160</v>
      </c>
      <c r="K555">
        <v>1.2069298605929374E-3</v>
      </c>
      <c r="L555" t="s">
        <v>154</v>
      </c>
    </row>
    <row r="556" spans="9:12" x14ac:dyDescent="0.25">
      <c r="I556" t="s">
        <v>176</v>
      </c>
      <c r="J556" t="s">
        <v>161</v>
      </c>
      <c r="K556">
        <v>5.449697609325896E-3</v>
      </c>
      <c r="L556" t="s">
        <v>154</v>
      </c>
    </row>
    <row r="557" spans="9:12" x14ac:dyDescent="0.25">
      <c r="I557" t="s">
        <v>176</v>
      </c>
      <c r="J557" t="s">
        <v>162</v>
      </c>
      <c r="K557">
        <v>4.1804748396340281E-3</v>
      </c>
      <c r="L557" t="s">
        <v>154</v>
      </c>
    </row>
    <row r="558" spans="9:12" x14ac:dyDescent="0.25">
      <c r="I558" t="s">
        <v>176</v>
      </c>
      <c r="J558" t="s">
        <v>228</v>
      </c>
      <c r="K558">
        <v>4.5520593251709967E-3</v>
      </c>
      <c r="L558" t="s">
        <v>154</v>
      </c>
    </row>
    <row r="559" spans="9:12" x14ac:dyDescent="0.25">
      <c r="I559" t="s">
        <v>176</v>
      </c>
      <c r="J559" t="s">
        <v>229</v>
      </c>
      <c r="K559">
        <v>1.4907385505828019E-2</v>
      </c>
      <c r="L559" t="s">
        <v>154</v>
      </c>
    </row>
    <row r="560" spans="9:12" x14ac:dyDescent="0.25">
      <c r="I560" t="s">
        <v>176</v>
      </c>
      <c r="J560" t="s">
        <v>230</v>
      </c>
      <c r="K560">
        <v>7.8392455960026256E-3</v>
      </c>
      <c r="L560" t="s">
        <v>154</v>
      </c>
    </row>
    <row r="561" spans="9:12" x14ac:dyDescent="0.25">
      <c r="I561" t="s">
        <v>176</v>
      </c>
      <c r="J561" t="s">
        <v>260</v>
      </c>
      <c r="K561">
        <v>3.4382065992826236E-3</v>
      </c>
      <c r="L561" t="s">
        <v>154</v>
      </c>
    </row>
    <row r="562" spans="9:12" x14ac:dyDescent="0.25">
      <c r="I562" t="s">
        <v>176</v>
      </c>
      <c r="J562" t="s">
        <v>261</v>
      </c>
      <c r="K562">
        <v>0</v>
      </c>
      <c r="L562" t="s">
        <v>154</v>
      </c>
    </row>
    <row r="563" spans="9:12" x14ac:dyDescent="0.25">
      <c r="I563" t="s">
        <v>176</v>
      </c>
      <c r="J563" t="s">
        <v>163</v>
      </c>
      <c r="K563">
        <v>3.2833547531127241E-3</v>
      </c>
      <c r="L563" t="s">
        <v>154</v>
      </c>
    </row>
    <row r="564" spans="9:12" x14ac:dyDescent="0.25">
      <c r="I564" t="s">
        <v>176</v>
      </c>
      <c r="J564" t="s">
        <v>164</v>
      </c>
      <c r="K564">
        <v>1.4138609282178315E-2</v>
      </c>
      <c r="L564" t="s">
        <v>154</v>
      </c>
    </row>
    <row r="565" spans="9:12" x14ac:dyDescent="0.25">
      <c r="I565" t="s">
        <v>176</v>
      </c>
      <c r="J565" t="s">
        <v>165</v>
      </c>
      <c r="K565">
        <v>1.1012499589412087E-2</v>
      </c>
      <c r="L565" t="s">
        <v>154</v>
      </c>
    </row>
    <row r="566" spans="9:12" x14ac:dyDescent="0.25">
      <c r="I566" t="s">
        <v>176</v>
      </c>
      <c r="J566" t="s">
        <v>231</v>
      </c>
      <c r="K566">
        <v>1.3148068675130971E-2</v>
      </c>
      <c r="L566" t="s">
        <v>154</v>
      </c>
    </row>
    <row r="567" spans="9:12" x14ac:dyDescent="0.25">
      <c r="I567" t="s">
        <v>176</v>
      </c>
      <c r="J567" t="s">
        <v>232</v>
      </c>
      <c r="K567">
        <v>4.3203255813255861E-2</v>
      </c>
      <c r="L567" t="s">
        <v>154</v>
      </c>
    </row>
    <row r="568" spans="9:12" x14ac:dyDescent="0.25">
      <c r="I568" t="s">
        <v>176</v>
      </c>
      <c r="J568" t="s">
        <v>233</v>
      </c>
      <c r="K568">
        <v>2.1399475940311712E-2</v>
      </c>
      <c r="L568" t="s">
        <v>154</v>
      </c>
    </row>
    <row r="569" spans="9:12" x14ac:dyDescent="0.25">
      <c r="I569" t="s">
        <v>176</v>
      </c>
      <c r="J569" t="s">
        <v>262</v>
      </c>
      <c r="K569">
        <v>1.0721269479852439E-2</v>
      </c>
      <c r="L569" t="s">
        <v>154</v>
      </c>
    </row>
    <row r="570" spans="9:12" x14ac:dyDescent="0.25">
      <c r="I570" t="s">
        <v>176</v>
      </c>
      <c r="J570" t="s">
        <v>263</v>
      </c>
      <c r="K570">
        <v>8.6620599626713898E-4</v>
      </c>
      <c r="L570" t="s">
        <v>154</v>
      </c>
    </row>
    <row r="571" spans="9:12" x14ac:dyDescent="0.25">
      <c r="I571" t="s">
        <v>176</v>
      </c>
      <c r="J571" t="s">
        <v>240</v>
      </c>
      <c r="K571">
        <v>5.5745463982180866E-3</v>
      </c>
      <c r="L571" t="s">
        <v>154</v>
      </c>
    </row>
    <row r="572" spans="9:12" x14ac:dyDescent="0.25">
      <c r="I572" t="s">
        <v>176</v>
      </c>
      <c r="J572" t="s">
        <v>241</v>
      </c>
      <c r="K572">
        <v>3.0268135743788158E-2</v>
      </c>
      <c r="L572" t="s">
        <v>154</v>
      </c>
    </row>
    <row r="573" spans="9:12" x14ac:dyDescent="0.25">
      <c r="I573" t="s">
        <v>176</v>
      </c>
      <c r="J573" t="s">
        <v>242</v>
      </c>
      <c r="K573">
        <v>2.4106935994785438E-2</v>
      </c>
      <c r="L573" t="s">
        <v>154</v>
      </c>
    </row>
    <row r="574" spans="9:12" x14ac:dyDescent="0.25">
      <c r="I574" t="s">
        <v>176</v>
      </c>
      <c r="J574" t="s">
        <v>243</v>
      </c>
      <c r="K574">
        <v>2.8083126718760908E-2</v>
      </c>
      <c r="L574" t="s">
        <v>154</v>
      </c>
    </row>
    <row r="575" spans="9:12" x14ac:dyDescent="0.25">
      <c r="I575" t="s">
        <v>176</v>
      </c>
      <c r="J575" t="s">
        <v>244</v>
      </c>
      <c r="K575">
        <v>9.1551598315753574E-2</v>
      </c>
      <c r="L575" t="s">
        <v>154</v>
      </c>
    </row>
    <row r="576" spans="9:12" x14ac:dyDescent="0.25">
      <c r="I576" t="s">
        <v>176</v>
      </c>
      <c r="J576" t="s">
        <v>245</v>
      </c>
      <c r="K576">
        <v>4.6349948290491709E-2</v>
      </c>
      <c r="L576" t="s">
        <v>154</v>
      </c>
    </row>
    <row r="577" spans="9:12" x14ac:dyDescent="0.25">
      <c r="I577" t="s">
        <v>176</v>
      </c>
      <c r="J577" t="s">
        <v>264</v>
      </c>
      <c r="K577">
        <v>2.3986525502862649E-2</v>
      </c>
      <c r="L577" t="s">
        <v>154</v>
      </c>
    </row>
    <row r="578" spans="9:12" x14ac:dyDescent="0.25">
      <c r="I578" t="s">
        <v>176</v>
      </c>
      <c r="J578" t="s">
        <v>265</v>
      </c>
      <c r="K578">
        <v>2.4294567888637985E-3</v>
      </c>
      <c r="L578" t="s">
        <v>154</v>
      </c>
    </row>
    <row r="579" spans="9:12" x14ac:dyDescent="0.25">
      <c r="I579" t="s">
        <v>176</v>
      </c>
      <c r="J579" t="s">
        <v>246</v>
      </c>
      <c r="K579">
        <v>4.667183002691682E-3</v>
      </c>
      <c r="L579" t="s">
        <v>154</v>
      </c>
    </row>
    <row r="580" spans="9:12" x14ac:dyDescent="0.25">
      <c r="I580" t="s">
        <v>176</v>
      </c>
      <c r="J580" t="s">
        <v>247</v>
      </c>
      <c r="K580">
        <v>2.7633196695506873E-2</v>
      </c>
      <c r="L580" t="s">
        <v>154</v>
      </c>
    </row>
    <row r="581" spans="9:12" x14ac:dyDescent="0.25">
      <c r="I581" t="s">
        <v>176</v>
      </c>
      <c r="J581" t="s">
        <v>248</v>
      </c>
      <c r="K581">
        <v>2.1464291160470491E-2</v>
      </c>
      <c r="L581" t="s">
        <v>154</v>
      </c>
    </row>
    <row r="582" spans="9:12" x14ac:dyDescent="0.25">
      <c r="I582" t="s">
        <v>176</v>
      </c>
      <c r="J582" t="s">
        <v>249</v>
      </c>
      <c r="K582">
        <v>2.4906422863863423E-2</v>
      </c>
      <c r="L582" t="s">
        <v>154</v>
      </c>
    </row>
    <row r="583" spans="9:12" x14ac:dyDescent="0.25">
      <c r="I583" t="s">
        <v>176</v>
      </c>
      <c r="J583" t="s">
        <v>250</v>
      </c>
      <c r="K583">
        <v>7.6420773312237053E-2</v>
      </c>
      <c r="L583" t="s">
        <v>154</v>
      </c>
    </row>
    <row r="584" spans="9:12" x14ac:dyDescent="0.25">
      <c r="I584" t="s">
        <v>176</v>
      </c>
      <c r="J584" t="s">
        <v>251</v>
      </c>
      <c r="K584">
        <v>3.8458986479435832E-2</v>
      </c>
      <c r="L584" t="s">
        <v>154</v>
      </c>
    </row>
    <row r="585" spans="9:12" x14ac:dyDescent="0.25">
      <c r="I585" t="s">
        <v>176</v>
      </c>
      <c r="J585" t="s">
        <v>266</v>
      </c>
      <c r="K585">
        <v>1.4859293632789251E-2</v>
      </c>
      <c r="L585" t="s">
        <v>154</v>
      </c>
    </row>
    <row r="586" spans="9:12" x14ac:dyDescent="0.25">
      <c r="I586" t="s">
        <v>176</v>
      </c>
      <c r="J586" t="s">
        <v>267</v>
      </c>
      <c r="K586">
        <v>0</v>
      </c>
      <c r="L586" t="s">
        <v>154</v>
      </c>
    </row>
    <row r="587" spans="9:12" x14ac:dyDescent="0.25">
      <c r="I587" t="s">
        <v>177</v>
      </c>
      <c r="J587" t="s">
        <v>153</v>
      </c>
      <c r="K587">
        <v>0</v>
      </c>
      <c r="L587" t="s">
        <v>154</v>
      </c>
    </row>
    <row r="588" spans="9:12" x14ac:dyDescent="0.25">
      <c r="I588" t="s">
        <v>177</v>
      </c>
      <c r="J588" t="s">
        <v>155</v>
      </c>
      <c r="K588">
        <v>5.4182035797972891E-3</v>
      </c>
      <c r="L588" t="s">
        <v>154</v>
      </c>
    </row>
    <row r="589" spans="9:12" x14ac:dyDescent="0.25">
      <c r="I589" t="s">
        <v>177</v>
      </c>
      <c r="J589" t="s">
        <v>156</v>
      </c>
      <c r="K589">
        <v>5.4207809718610795E-3</v>
      </c>
      <c r="L589" t="s">
        <v>154</v>
      </c>
    </row>
    <row r="590" spans="9:12" x14ac:dyDescent="0.25">
      <c r="I590" t="s">
        <v>177</v>
      </c>
      <c r="J590" t="s">
        <v>222</v>
      </c>
      <c r="K590">
        <v>6.6127348863244005E-3</v>
      </c>
      <c r="L590" t="s">
        <v>154</v>
      </c>
    </row>
    <row r="591" spans="9:12" x14ac:dyDescent="0.25">
      <c r="I591" t="s">
        <v>177</v>
      </c>
      <c r="J591" t="s">
        <v>223</v>
      </c>
      <c r="K591">
        <v>2.117458610194952E-2</v>
      </c>
      <c r="L591" t="s">
        <v>154</v>
      </c>
    </row>
    <row r="592" spans="9:12" x14ac:dyDescent="0.25">
      <c r="I592" t="s">
        <v>177</v>
      </c>
      <c r="J592" t="s">
        <v>224</v>
      </c>
      <c r="K592">
        <v>1.0761168287045375E-2</v>
      </c>
      <c r="L592" t="s">
        <v>154</v>
      </c>
    </row>
    <row r="593" spans="9:12" x14ac:dyDescent="0.25">
      <c r="I593" t="s">
        <v>177</v>
      </c>
      <c r="J593" t="s">
        <v>256</v>
      </c>
      <c r="K593">
        <v>5.0196377005002511E-3</v>
      </c>
      <c r="L593" t="s">
        <v>154</v>
      </c>
    </row>
    <row r="594" spans="9:12" x14ac:dyDescent="0.25">
      <c r="I594" t="s">
        <v>177</v>
      </c>
      <c r="J594" t="s">
        <v>257</v>
      </c>
      <c r="K594">
        <v>1.1068975102103763E-4</v>
      </c>
      <c r="L594" t="s">
        <v>154</v>
      </c>
    </row>
    <row r="595" spans="9:12" x14ac:dyDescent="0.25">
      <c r="I595" t="s">
        <v>177</v>
      </c>
      <c r="J595" t="s">
        <v>157</v>
      </c>
      <c r="K595">
        <v>2.3049661063776535E-3</v>
      </c>
      <c r="L595" t="s">
        <v>154</v>
      </c>
    </row>
    <row r="596" spans="9:12" x14ac:dyDescent="0.25">
      <c r="I596" t="s">
        <v>177</v>
      </c>
      <c r="J596" t="s">
        <v>158</v>
      </c>
      <c r="K596">
        <v>3.4121454469403893E-2</v>
      </c>
      <c r="L596" t="s">
        <v>154</v>
      </c>
    </row>
    <row r="597" spans="9:12" x14ac:dyDescent="0.25">
      <c r="I597" t="s">
        <v>177</v>
      </c>
      <c r="J597" t="s">
        <v>159</v>
      </c>
      <c r="K597">
        <v>3.0444053880367687E-2</v>
      </c>
      <c r="L597" t="s">
        <v>154</v>
      </c>
    </row>
    <row r="598" spans="9:12" x14ac:dyDescent="0.25">
      <c r="I598" t="s">
        <v>177</v>
      </c>
      <c r="J598" t="s">
        <v>225</v>
      </c>
      <c r="K598">
        <v>3.6323896783610234E-2</v>
      </c>
      <c r="L598" t="s">
        <v>154</v>
      </c>
    </row>
    <row r="599" spans="9:12" x14ac:dyDescent="0.25">
      <c r="I599" t="s">
        <v>177</v>
      </c>
      <c r="J599" t="s">
        <v>226</v>
      </c>
      <c r="K599">
        <v>0.11843657214819153</v>
      </c>
      <c r="L599" t="s">
        <v>154</v>
      </c>
    </row>
    <row r="600" spans="9:12" x14ac:dyDescent="0.25">
      <c r="I600" t="s">
        <v>177</v>
      </c>
      <c r="J600" t="s">
        <v>227</v>
      </c>
      <c r="K600">
        <v>6.2348117025191004E-2</v>
      </c>
      <c r="L600" t="s">
        <v>154</v>
      </c>
    </row>
    <row r="601" spans="9:12" x14ac:dyDescent="0.25">
      <c r="I601" t="s">
        <v>177</v>
      </c>
      <c r="J601" t="s">
        <v>258</v>
      </c>
      <c r="K601">
        <v>3.0513921859194271E-2</v>
      </c>
      <c r="L601" t="s">
        <v>154</v>
      </c>
    </row>
    <row r="602" spans="9:12" x14ac:dyDescent="0.25">
      <c r="I602" t="s">
        <v>177</v>
      </c>
      <c r="J602" t="s">
        <v>259</v>
      </c>
      <c r="K602">
        <v>3.5321722053599366E-3</v>
      </c>
      <c r="L602" t="s">
        <v>154</v>
      </c>
    </row>
    <row r="603" spans="9:12" x14ac:dyDescent="0.25">
      <c r="I603" t="s">
        <v>177</v>
      </c>
      <c r="J603" t="s">
        <v>160</v>
      </c>
      <c r="K603">
        <v>9.0473824082077932E-4</v>
      </c>
      <c r="L603" t="s">
        <v>154</v>
      </c>
    </row>
    <row r="604" spans="9:12" x14ac:dyDescent="0.25">
      <c r="I604" t="s">
        <v>177</v>
      </c>
      <c r="J604" t="s">
        <v>161</v>
      </c>
      <c r="K604">
        <v>4.701688906323968E-3</v>
      </c>
      <c r="L604" t="s">
        <v>154</v>
      </c>
    </row>
    <row r="605" spans="9:12" x14ac:dyDescent="0.25">
      <c r="I605" t="s">
        <v>177</v>
      </c>
      <c r="J605" t="s">
        <v>162</v>
      </c>
      <c r="K605">
        <v>3.8538482165086738E-3</v>
      </c>
      <c r="L605" t="s">
        <v>154</v>
      </c>
    </row>
    <row r="606" spans="9:12" x14ac:dyDescent="0.25">
      <c r="I606" t="s">
        <v>177</v>
      </c>
      <c r="J606" t="s">
        <v>228</v>
      </c>
      <c r="K606">
        <v>4.7179562241991008E-3</v>
      </c>
      <c r="L606" t="s">
        <v>154</v>
      </c>
    </row>
    <row r="607" spans="9:12" x14ac:dyDescent="0.25">
      <c r="I607" t="s">
        <v>177</v>
      </c>
      <c r="J607" t="s">
        <v>229</v>
      </c>
      <c r="K607">
        <v>1.5425148462041748E-2</v>
      </c>
      <c r="L607" t="s">
        <v>154</v>
      </c>
    </row>
    <row r="608" spans="9:12" x14ac:dyDescent="0.25">
      <c r="I608" t="s">
        <v>177</v>
      </c>
      <c r="J608" t="s">
        <v>230</v>
      </c>
      <c r="K608">
        <v>8.2026715584902557E-3</v>
      </c>
      <c r="L608" t="s">
        <v>154</v>
      </c>
    </row>
    <row r="609" spans="9:12" x14ac:dyDescent="0.25">
      <c r="I609" t="s">
        <v>177</v>
      </c>
      <c r="J609" t="s">
        <v>260</v>
      </c>
      <c r="K609">
        <v>4.1082855893220622E-3</v>
      </c>
      <c r="L609" t="s">
        <v>154</v>
      </c>
    </row>
    <row r="610" spans="9:12" x14ac:dyDescent="0.25">
      <c r="I610" t="s">
        <v>177</v>
      </c>
      <c r="J610" t="s">
        <v>261</v>
      </c>
      <c r="K610">
        <v>0</v>
      </c>
      <c r="L610" t="s">
        <v>154</v>
      </c>
    </row>
    <row r="611" spans="9:12" x14ac:dyDescent="0.25">
      <c r="I611" t="s">
        <v>177</v>
      </c>
      <c r="J611" t="s">
        <v>163</v>
      </c>
      <c r="K611">
        <v>2.3967615417297842E-3</v>
      </c>
      <c r="L611" t="s">
        <v>154</v>
      </c>
    </row>
    <row r="612" spans="9:12" x14ac:dyDescent="0.25">
      <c r="I612" t="s">
        <v>177</v>
      </c>
      <c r="J612" t="s">
        <v>164</v>
      </c>
      <c r="K612">
        <v>1.3960134435284372E-2</v>
      </c>
      <c r="L612" t="s">
        <v>154</v>
      </c>
    </row>
    <row r="613" spans="9:12" x14ac:dyDescent="0.25">
      <c r="I613" t="s">
        <v>177</v>
      </c>
      <c r="J613" t="s">
        <v>165</v>
      </c>
      <c r="K613">
        <v>1.1866125875923537E-2</v>
      </c>
      <c r="L613" t="s">
        <v>154</v>
      </c>
    </row>
    <row r="614" spans="9:12" x14ac:dyDescent="0.25">
      <c r="I614" t="s">
        <v>177</v>
      </c>
      <c r="J614" t="s">
        <v>231</v>
      </c>
      <c r="K614">
        <v>1.3673208665895194E-2</v>
      </c>
      <c r="L614" t="s">
        <v>154</v>
      </c>
    </row>
    <row r="615" spans="9:12" x14ac:dyDescent="0.25">
      <c r="I615" t="s">
        <v>177</v>
      </c>
      <c r="J615" t="s">
        <v>232</v>
      </c>
      <c r="K615">
        <v>4.4669236583946517E-2</v>
      </c>
      <c r="L615" t="s">
        <v>154</v>
      </c>
    </row>
    <row r="616" spans="9:12" x14ac:dyDescent="0.25">
      <c r="I616" t="s">
        <v>177</v>
      </c>
      <c r="J616" t="s">
        <v>233</v>
      </c>
      <c r="K616">
        <v>2.1248185794050696E-2</v>
      </c>
      <c r="L616" t="s">
        <v>154</v>
      </c>
    </row>
    <row r="617" spans="9:12" x14ac:dyDescent="0.25">
      <c r="I617" t="s">
        <v>177</v>
      </c>
      <c r="J617" t="s">
        <v>262</v>
      </c>
      <c r="K617">
        <v>1.1580993462524761E-2</v>
      </c>
      <c r="L617" t="s">
        <v>154</v>
      </c>
    </row>
    <row r="618" spans="9:12" x14ac:dyDescent="0.25">
      <c r="I618" t="s">
        <v>177</v>
      </c>
      <c r="J618" t="s">
        <v>263</v>
      </c>
      <c r="K618">
        <v>1.4701075475707622E-3</v>
      </c>
      <c r="L618" t="s">
        <v>154</v>
      </c>
    </row>
    <row r="619" spans="9:12" x14ac:dyDescent="0.25">
      <c r="I619" t="s">
        <v>177</v>
      </c>
      <c r="J619" t="s">
        <v>240</v>
      </c>
      <c r="K619">
        <v>2.4940673672235441E-3</v>
      </c>
      <c r="L619" t="s">
        <v>154</v>
      </c>
    </row>
    <row r="620" spans="9:12" x14ac:dyDescent="0.25">
      <c r="I620" t="s">
        <v>177</v>
      </c>
      <c r="J620" t="s">
        <v>241</v>
      </c>
      <c r="K620">
        <v>2.894309507252036E-2</v>
      </c>
      <c r="L620" t="s">
        <v>154</v>
      </c>
    </row>
    <row r="621" spans="9:12" x14ac:dyDescent="0.25">
      <c r="I621" t="s">
        <v>177</v>
      </c>
      <c r="J621" t="s">
        <v>242</v>
      </c>
      <c r="K621">
        <v>2.4767879004606589E-2</v>
      </c>
      <c r="L621" t="s">
        <v>154</v>
      </c>
    </row>
    <row r="622" spans="9:12" x14ac:dyDescent="0.25">
      <c r="I622" t="s">
        <v>177</v>
      </c>
      <c r="J622" t="s">
        <v>243</v>
      </c>
      <c r="K622">
        <v>2.9342483836194179E-2</v>
      </c>
      <c r="L622" t="s">
        <v>154</v>
      </c>
    </row>
    <row r="623" spans="9:12" x14ac:dyDescent="0.25">
      <c r="I623" t="s">
        <v>177</v>
      </c>
      <c r="J623" t="s">
        <v>244</v>
      </c>
      <c r="K623">
        <v>9.5908829154143227E-2</v>
      </c>
      <c r="L623" t="s">
        <v>154</v>
      </c>
    </row>
    <row r="624" spans="9:12" x14ac:dyDescent="0.25">
      <c r="I624" t="s">
        <v>177</v>
      </c>
      <c r="J624" t="s">
        <v>245</v>
      </c>
      <c r="K624">
        <v>4.937938151353187E-2</v>
      </c>
      <c r="L624" t="s">
        <v>154</v>
      </c>
    </row>
    <row r="625" spans="9:12" x14ac:dyDescent="0.25">
      <c r="I625" t="s">
        <v>177</v>
      </c>
      <c r="J625" t="s">
        <v>264</v>
      </c>
      <c r="K625">
        <v>2.4403204339549282E-2</v>
      </c>
      <c r="L625" t="s">
        <v>154</v>
      </c>
    </row>
    <row r="626" spans="9:12" x14ac:dyDescent="0.25">
      <c r="I626" t="s">
        <v>177</v>
      </c>
      <c r="J626" t="s">
        <v>265</v>
      </c>
      <c r="K626">
        <v>2.4716446401600103E-3</v>
      </c>
      <c r="L626" t="s">
        <v>154</v>
      </c>
    </row>
    <row r="627" spans="9:12" x14ac:dyDescent="0.25">
      <c r="I627" t="s">
        <v>177</v>
      </c>
      <c r="J627" t="s">
        <v>246</v>
      </c>
      <c r="K627">
        <v>4.0151360556488951E-3</v>
      </c>
      <c r="L627" t="s">
        <v>154</v>
      </c>
    </row>
    <row r="628" spans="9:12" x14ac:dyDescent="0.25">
      <c r="I628" t="s">
        <v>177</v>
      </c>
      <c r="J628" t="s">
        <v>247</v>
      </c>
      <c r="K628">
        <v>2.5831960578960922E-2</v>
      </c>
      <c r="L628" t="s">
        <v>154</v>
      </c>
    </row>
    <row r="629" spans="9:12" x14ac:dyDescent="0.25">
      <c r="I629" t="s">
        <v>177</v>
      </c>
      <c r="J629" t="s">
        <v>248</v>
      </c>
      <c r="K629">
        <v>2.1317699853331887E-2</v>
      </c>
      <c r="L629" t="s">
        <v>154</v>
      </c>
    </row>
    <row r="630" spans="9:12" x14ac:dyDescent="0.25">
      <c r="I630" t="s">
        <v>177</v>
      </c>
      <c r="J630" t="s">
        <v>249</v>
      </c>
      <c r="K630">
        <v>2.4245223451899337E-2</v>
      </c>
      <c r="L630" t="s">
        <v>154</v>
      </c>
    </row>
    <row r="631" spans="9:12" x14ac:dyDescent="0.25">
      <c r="I631" t="s">
        <v>177</v>
      </c>
      <c r="J631" t="s">
        <v>250</v>
      </c>
      <c r="K631">
        <v>7.6929869569456938E-2</v>
      </c>
      <c r="L631" t="s">
        <v>154</v>
      </c>
    </row>
    <row r="632" spans="9:12" x14ac:dyDescent="0.25">
      <c r="I632" t="s">
        <v>177</v>
      </c>
      <c r="J632" t="s">
        <v>251</v>
      </c>
      <c r="K632">
        <v>3.8568021364000997E-2</v>
      </c>
      <c r="L632" t="s">
        <v>154</v>
      </c>
    </row>
    <row r="633" spans="9:12" x14ac:dyDescent="0.25">
      <c r="I633" t="s">
        <v>177</v>
      </c>
      <c r="J633" t="s">
        <v>266</v>
      </c>
      <c r="K633">
        <v>1.6059457337946073E-2</v>
      </c>
      <c r="L633" t="s">
        <v>154</v>
      </c>
    </row>
    <row r="634" spans="9:12" x14ac:dyDescent="0.25">
      <c r="I634" t="s">
        <v>177</v>
      </c>
      <c r="J634" t="s">
        <v>267</v>
      </c>
      <c r="K634">
        <v>0</v>
      </c>
      <c r="L634" t="s">
        <v>154</v>
      </c>
    </row>
    <row r="635" spans="9:12" x14ac:dyDescent="0.25">
      <c r="I635" t="s">
        <v>178</v>
      </c>
      <c r="J635" t="s">
        <v>153</v>
      </c>
      <c r="K635">
        <v>0</v>
      </c>
      <c r="L635" t="s">
        <v>154</v>
      </c>
    </row>
    <row r="636" spans="9:12" x14ac:dyDescent="0.25">
      <c r="I636" t="s">
        <v>178</v>
      </c>
      <c r="J636" t="s">
        <v>155</v>
      </c>
      <c r="K636">
        <v>3.4172518128192148E-3</v>
      </c>
      <c r="L636" t="s">
        <v>154</v>
      </c>
    </row>
    <row r="637" spans="9:12" x14ac:dyDescent="0.25">
      <c r="I637" t="s">
        <v>178</v>
      </c>
      <c r="J637" t="s">
        <v>156</v>
      </c>
      <c r="K637">
        <v>3.7831481240254228E-3</v>
      </c>
      <c r="L637" t="s">
        <v>154</v>
      </c>
    </row>
    <row r="638" spans="9:12" x14ac:dyDescent="0.25">
      <c r="I638" t="s">
        <v>178</v>
      </c>
      <c r="J638" t="s">
        <v>222</v>
      </c>
      <c r="K638">
        <v>5.0341771365768027E-3</v>
      </c>
      <c r="L638" t="s">
        <v>154</v>
      </c>
    </row>
    <row r="639" spans="9:12" x14ac:dyDescent="0.25">
      <c r="I639" t="s">
        <v>178</v>
      </c>
      <c r="J639" t="s">
        <v>223</v>
      </c>
      <c r="K639">
        <v>1.7557337500601861E-2</v>
      </c>
      <c r="L639" t="s">
        <v>154</v>
      </c>
    </row>
    <row r="640" spans="9:12" x14ac:dyDescent="0.25">
      <c r="I640" t="s">
        <v>178</v>
      </c>
      <c r="J640" t="s">
        <v>224</v>
      </c>
      <c r="K640">
        <v>1.0482465318126442E-2</v>
      </c>
      <c r="L640" t="s">
        <v>154</v>
      </c>
    </row>
    <row r="641" spans="9:12" x14ac:dyDescent="0.25">
      <c r="I641" t="s">
        <v>178</v>
      </c>
      <c r="J641" t="s">
        <v>256</v>
      </c>
      <c r="K641">
        <v>6.5298527675062175E-3</v>
      </c>
      <c r="L641" t="s">
        <v>154</v>
      </c>
    </row>
    <row r="642" spans="9:12" x14ac:dyDescent="0.25">
      <c r="I642" t="s">
        <v>178</v>
      </c>
      <c r="J642" t="s">
        <v>257</v>
      </c>
      <c r="K642">
        <v>1.5110101755582913E-3</v>
      </c>
      <c r="L642" t="s">
        <v>154</v>
      </c>
    </row>
    <row r="643" spans="9:12" x14ac:dyDescent="0.25">
      <c r="I643" t="s">
        <v>178</v>
      </c>
      <c r="J643" t="s">
        <v>157</v>
      </c>
      <c r="K643">
        <v>0</v>
      </c>
      <c r="L643" t="s">
        <v>154</v>
      </c>
    </row>
    <row r="644" spans="9:12" x14ac:dyDescent="0.25">
      <c r="I644" t="s">
        <v>178</v>
      </c>
      <c r="J644" t="s">
        <v>158</v>
      </c>
      <c r="K644">
        <v>2.9581326370964771E-2</v>
      </c>
      <c r="L644" t="s">
        <v>154</v>
      </c>
    </row>
    <row r="645" spans="9:12" x14ac:dyDescent="0.25">
      <c r="I645" t="s">
        <v>178</v>
      </c>
      <c r="J645" t="s">
        <v>159</v>
      </c>
      <c r="K645">
        <v>2.8159142297080858E-2</v>
      </c>
      <c r="L645" t="s">
        <v>154</v>
      </c>
    </row>
    <row r="646" spans="9:12" x14ac:dyDescent="0.25">
      <c r="I646" t="s">
        <v>178</v>
      </c>
      <c r="J646" t="s">
        <v>225</v>
      </c>
      <c r="K646">
        <v>3.3698967654686843E-2</v>
      </c>
      <c r="L646" t="s">
        <v>154</v>
      </c>
    </row>
    <row r="647" spans="9:12" x14ac:dyDescent="0.25">
      <c r="I647" t="s">
        <v>178</v>
      </c>
      <c r="J647" t="s">
        <v>226</v>
      </c>
      <c r="K647">
        <v>0.11373346351066434</v>
      </c>
      <c r="L647" t="s">
        <v>154</v>
      </c>
    </row>
    <row r="648" spans="9:12" x14ac:dyDescent="0.25">
      <c r="I648" t="s">
        <v>178</v>
      </c>
      <c r="J648" t="s">
        <v>227</v>
      </c>
      <c r="K648">
        <v>6.820510198084756E-2</v>
      </c>
      <c r="L648" t="s">
        <v>154</v>
      </c>
    </row>
    <row r="649" spans="9:12" x14ac:dyDescent="0.25">
      <c r="I649" t="s">
        <v>178</v>
      </c>
      <c r="J649" t="s">
        <v>258</v>
      </c>
      <c r="K649">
        <v>4.9252603164066183E-2</v>
      </c>
      <c r="L649" t="s">
        <v>154</v>
      </c>
    </row>
    <row r="650" spans="9:12" x14ac:dyDescent="0.25">
      <c r="I650" t="s">
        <v>178</v>
      </c>
      <c r="J650" t="s">
        <v>259</v>
      </c>
      <c r="K650">
        <v>1.3226235599986863E-2</v>
      </c>
      <c r="L650" t="s">
        <v>154</v>
      </c>
    </row>
    <row r="651" spans="9:12" x14ac:dyDescent="0.25">
      <c r="I651" t="s">
        <v>178</v>
      </c>
      <c r="J651" t="s">
        <v>160</v>
      </c>
      <c r="K651">
        <v>0</v>
      </c>
      <c r="L651" t="s">
        <v>154</v>
      </c>
    </row>
    <row r="652" spans="9:12" x14ac:dyDescent="0.25">
      <c r="I652" t="s">
        <v>178</v>
      </c>
      <c r="J652" t="s">
        <v>161</v>
      </c>
      <c r="K652">
        <v>3.3457881691058016E-3</v>
      </c>
      <c r="L652" t="s">
        <v>154</v>
      </c>
    </row>
    <row r="653" spans="9:12" x14ac:dyDescent="0.25">
      <c r="I653" t="s">
        <v>178</v>
      </c>
      <c r="J653" t="s">
        <v>162</v>
      </c>
      <c r="K653">
        <v>3.2193799533719409E-3</v>
      </c>
      <c r="L653" t="s">
        <v>154</v>
      </c>
    </row>
    <row r="654" spans="9:12" x14ac:dyDescent="0.25">
      <c r="I654" t="s">
        <v>178</v>
      </c>
      <c r="J654" t="s">
        <v>228</v>
      </c>
      <c r="K654">
        <v>4.0328961375994746E-3</v>
      </c>
      <c r="L654" t="s">
        <v>154</v>
      </c>
    </row>
    <row r="655" spans="9:12" x14ac:dyDescent="0.25">
      <c r="I655" t="s">
        <v>178</v>
      </c>
      <c r="J655" t="s">
        <v>229</v>
      </c>
      <c r="K655">
        <v>1.4291986273137693E-2</v>
      </c>
      <c r="L655" t="s">
        <v>154</v>
      </c>
    </row>
    <row r="656" spans="9:12" x14ac:dyDescent="0.25">
      <c r="I656" t="s">
        <v>178</v>
      </c>
      <c r="J656" t="s">
        <v>230</v>
      </c>
      <c r="K656">
        <v>8.3326416403375556E-3</v>
      </c>
      <c r="L656" t="s">
        <v>154</v>
      </c>
    </row>
    <row r="657" spans="9:12" x14ac:dyDescent="0.25">
      <c r="I657" t="s">
        <v>178</v>
      </c>
      <c r="J657" t="s">
        <v>260</v>
      </c>
      <c r="K657">
        <v>5.2644900566343961E-3</v>
      </c>
      <c r="L657" t="s">
        <v>154</v>
      </c>
    </row>
    <row r="658" spans="9:12" x14ac:dyDescent="0.25">
      <c r="I658" t="s">
        <v>178</v>
      </c>
      <c r="J658" t="s">
        <v>261</v>
      </c>
      <c r="K658">
        <v>1.4016823624768688E-3</v>
      </c>
      <c r="L658" t="s">
        <v>154</v>
      </c>
    </row>
    <row r="659" spans="9:12" x14ac:dyDescent="0.25">
      <c r="I659" t="s">
        <v>178</v>
      </c>
      <c r="J659" t="s">
        <v>163</v>
      </c>
      <c r="K659">
        <v>0</v>
      </c>
      <c r="L659" t="s">
        <v>154</v>
      </c>
    </row>
    <row r="660" spans="9:12" x14ac:dyDescent="0.25">
      <c r="I660" t="s">
        <v>178</v>
      </c>
      <c r="J660" t="s">
        <v>164</v>
      </c>
      <c r="K660">
        <v>8.3897525133011536E-3</v>
      </c>
      <c r="L660" t="s">
        <v>154</v>
      </c>
    </row>
    <row r="661" spans="9:12" x14ac:dyDescent="0.25">
      <c r="I661" t="s">
        <v>178</v>
      </c>
      <c r="J661" t="s">
        <v>165</v>
      </c>
      <c r="K661">
        <v>8.5469986185139606E-3</v>
      </c>
      <c r="L661" t="s">
        <v>154</v>
      </c>
    </row>
    <row r="662" spans="9:12" x14ac:dyDescent="0.25">
      <c r="I662" t="s">
        <v>178</v>
      </c>
      <c r="J662" t="s">
        <v>231</v>
      </c>
      <c r="K662">
        <v>1.053934974580528E-2</v>
      </c>
      <c r="L662" t="s">
        <v>154</v>
      </c>
    </row>
    <row r="663" spans="9:12" x14ac:dyDescent="0.25">
      <c r="I663" t="s">
        <v>178</v>
      </c>
      <c r="J663" t="s">
        <v>232</v>
      </c>
      <c r="K663">
        <v>3.9279380214884044E-2</v>
      </c>
      <c r="L663" t="s">
        <v>154</v>
      </c>
    </row>
    <row r="664" spans="9:12" x14ac:dyDescent="0.25">
      <c r="I664" t="s">
        <v>178</v>
      </c>
      <c r="J664" t="s">
        <v>233</v>
      </c>
      <c r="K664">
        <v>2.2305789462804936E-2</v>
      </c>
      <c r="L664" t="s">
        <v>154</v>
      </c>
    </row>
    <row r="665" spans="9:12" x14ac:dyDescent="0.25">
      <c r="I665" t="s">
        <v>178</v>
      </c>
      <c r="J665" t="s">
        <v>262</v>
      </c>
      <c r="K665">
        <v>1.4003479639039508E-2</v>
      </c>
      <c r="L665" t="s">
        <v>154</v>
      </c>
    </row>
    <row r="666" spans="9:12" x14ac:dyDescent="0.25">
      <c r="I666" t="s">
        <v>178</v>
      </c>
      <c r="J666" t="s">
        <v>263</v>
      </c>
      <c r="K666">
        <v>3.7411868389669251E-3</v>
      </c>
      <c r="L666" t="s">
        <v>154</v>
      </c>
    </row>
    <row r="667" spans="9:12" x14ac:dyDescent="0.25">
      <c r="I667" t="s">
        <v>178</v>
      </c>
      <c r="J667" t="s">
        <v>240</v>
      </c>
      <c r="K667">
        <v>0</v>
      </c>
      <c r="L667" t="s">
        <v>154</v>
      </c>
    </row>
    <row r="668" spans="9:12" x14ac:dyDescent="0.25">
      <c r="I668" t="s">
        <v>178</v>
      </c>
      <c r="J668" t="s">
        <v>241</v>
      </c>
      <c r="K668">
        <v>2.1154949511839327E-2</v>
      </c>
      <c r="L668" t="s">
        <v>154</v>
      </c>
    </row>
    <row r="669" spans="9:12" x14ac:dyDescent="0.25">
      <c r="I669" t="s">
        <v>178</v>
      </c>
      <c r="J669" t="s">
        <v>242</v>
      </c>
      <c r="K669">
        <v>2.0911747269974423E-2</v>
      </c>
      <c r="L669" t="s">
        <v>154</v>
      </c>
    </row>
    <row r="670" spans="9:12" x14ac:dyDescent="0.25">
      <c r="I670" t="s">
        <v>178</v>
      </c>
      <c r="J670" t="s">
        <v>243</v>
      </c>
      <c r="K670">
        <v>2.5664944009525931E-2</v>
      </c>
      <c r="L670" t="s">
        <v>154</v>
      </c>
    </row>
    <row r="671" spans="9:12" x14ac:dyDescent="0.25">
      <c r="I671" t="s">
        <v>178</v>
      </c>
      <c r="J671" t="s">
        <v>244</v>
      </c>
      <c r="K671">
        <v>8.9387835345316136E-2</v>
      </c>
      <c r="L671" t="s">
        <v>154</v>
      </c>
    </row>
    <row r="672" spans="9:12" x14ac:dyDescent="0.25">
      <c r="I672" t="s">
        <v>178</v>
      </c>
      <c r="J672" t="s">
        <v>245</v>
      </c>
      <c r="K672">
        <v>5.2036069072706408E-2</v>
      </c>
      <c r="L672" t="s">
        <v>154</v>
      </c>
    </row>
    <row r="673" spans="9:12" x14ac:dyDescent="0.25">
      <c r="I673" t="s">
        <v>178</v>
      </c>
      <c r="J673" t="s">
        <v>264</v>
      </c>
      <c r="K673">
        <v>3.1608659215672991E-2</v>
      </c>
      <c r="L673" t="s">
        <v>154</v>
      </c>
    </row>
    <row r="674" spans="9:12" x14ac:dyDescent="0.25">
      <c r="I674" t="s">
        <v>178</v>
      </c>
      <c r="J674" t="s">
        <v>265</v>
      </c>
      <c r="K674">
        <v>8.3591119947344639E-3</v>
      </c>
      <c r="L674" t="s">
        <v>154</v>
      </c>
    </row>
    <row r="675" spans="9:12" x14ac:dyDescent="0.25">
      <c r="I675" t="s">
        <v>178</v>
      </c>
      <c r="J675" t="s">
        <v>246</v>
      </c>
      <c r="K675">
        <v>0</v>
      </c>
      <c r="L675" t="s">
        <v>154</v>
      </c>
    </row>
    <row r="676" spans="9:12" x14ac:dyDescent="0.25">
      <c r="I676" t="s">
        <v>178</v>
      </c>
      <c r="J676" t="s">
        <v>247</v>
      </c>
      <c r="K676">
        <v>2.1572387200886108E-2</v>
      </c>
      <c r="L676" t="s">
        <v>154</v>
      </c>
    </row>
    <row r="677" spans="9:12" x14ac:dyDescent="0.25">
      <c r="I677" t="s">
        <v>178</v>
      </c>
      <c r="J677" t="s">
        <v>248</v>
      </c>
      <c r="K677">
        <v>1.9981506164991093E-2</v>
      </c>
      <c r="L677" t="s">
        <v>154</v>
      </c>
    </row>
    <row r="678" spans="9:12" x14ac:dyDescent="0.25">
      <c r="I678" t="s">
        <v>178</v>
      </c>
      <c r="J678" t="s">
        <v>249</v>
      </c>
      <c r="K678">
        <v>2.3661252273860733E-2</v>
      </c>
      <c r="L678" t="s">
        <v>154</v>
      </c>
    </row>
    <row r="679" spans="9:12" x14ac:dyDescent="0.25">
      <c r="I679" t="s">
        <v>178</v>
      </c>
      <c r="J679" t="s">
        <v>250</v>
      </c>
      <c r="K679">
        <v>7.6317137013469663E-2</v>
      </c>
      <c r="L679" t="s">
        <v>154</v>
      </c>
    </row>
    <row r="680" spans="9:12" x14ac:dyDescent="0.25">
      <c r="I680" t="s">
        <v>178</v>
      </c>
      <c r="J680" t="s">
        <v>251</v>
      </c>
      <c r="K680">
        <v>4.3136493041349214E-2</v>
      </c>
      <c r="L680" t="s">
        <v>154</v>
      </c>
    </row>
    <row r="681" spans="9:12" x14ac:dyDescent="0.25">
      <c r="I681" t="s">
        <v>178</v>
      </c>
      <c r="J681" t="s">
        <v>266</v>
      </c>
      <c r="K681">
        <v>2.8330112307041549E-2</v>
      </c>
      <c r="L681" t="s">
        <v>154</v>
      </c>
    </row>
    <row r="682" spans="9:12" x14ac:dyDescent="0.25">
      <c r="I682" t="s">
        <v>178</v>
      </c>
      <c r="J682" t="s">
        <v>267</v>
      </c>
      <c r="K682">
        <v>7.010910539141932E-3</v>
      </c>
      <c r="L682" t="s">
        <v>154</v>
      </c>
    </row>
    <row r="683" spans="9:12" x14ac:dyDescent="0.25">
      <c r="I683" t="s">
        <v>179</v>
      </c>
      <c r="J683" t="s">
        <v>153</v>
      </c>
      <c r="K683">
        <v>0</v>
      </c>
      <c r="L683" t="s">
        <v>154</v>
      </c>
    </row>
    <row r="684" spans="9:12" x14ac:dyDescent="0.25">
      <c r="I684" t="s">
        <v>179</v>
      </c>
      <c r="J684" t="s">
        <v>155</v>
      </c>
      <c r="K684">
        <v>1.9518992477984907E-3</v>
      </c>
      <c r="L684" t="s">
        <v>154</v>
      </c>
    </row>
    <row r="685" spans="9:12" x14ac:dyDescent="0.25">
      <c r="I685" t="s">
        <v>179</v>
      </c>
      <c r="J685" t="s">
        <v>156</v>
      </c>
      <c r="K685">
        <v>3.4928786248897463E-3</v>
      </c>
      <c r="L685" t="s">
        <v>154</v>
      </c>
    </row>
    <row r="686" spans="9:12" x14ac:dyDescent="0.25">
      <c r="I686" t="s">
        <v>179</v>
      </c>
      <c r="J686" t="s">
        <v>222</v>
      </c>
      <c r="K686">
        <v>4.80256948691211E-3</v>
      </c>
      <c r="L686" t="s">
        <v>154</v>
      </c>
    </row>
    <row r="687" spans="9:12" x14ac:dyDescent="0.25">
      <c r="I687" t="s">
        <v>179</v>
      </c>
      <c r="J687" t="s">
        <v>223</v>
      </c>
      <c r="K687">
        <v>1.7578804634539192E-2</v>
      </c>
      <c r="L687" t="s">
        <v>154</v>
      </c>
    </row>
    <row r="688" spans="9:12" x14ac:dyDescent="0.25">
      <c r="I688" t="s">
        <v>179</v>
      </c>
      <c r="J688" t="s">
        <v>224</v>
      </c>
      <c r="K688">
        <v>1.1112799837270176E-2</v>
      </c>
      <c r="L688" t="s">
        <v>154</v>
      </c>
    </row>
    <row r="689" spans="9:12" x14ac:dyDescent="0.25">
      <c r="I689" t="s">
        <v>179</v>
      </c>
      <c r="J689" t="s">
        <v>256</v>
      </c>
      <c r="K689">
        <v>6.5567528956505128E-3</v>
      </c>
      <c r="L689" t="s">
        <v>154</v>
      </c>
    </row>
    <row r="690" spans="9:12" x14ac:dyDescent="0.25">
      <c r="I690" t="s">
        <v>179</v>
      </c>
      <c r="J690" t="s">
        <v>257</v>
      </c>
      <c r="K690">
        <v>1.4418456198436449E-3</v>
      </c>
      <c r="L690" t="s">
        <v>154</v>
      </c>
    </row>
    <row r="691" spans="9:12" x14ac:dyDescent="0.25">
      <c r="I691" t="s">
        <v>179</v>
      </c>
      <c r="J691" t="s">
        <v>157</v>
      </c>
      <c r="K691">
        <v>0</v>
      </c>
      <c r="L691" t="s">
        <v>154</v>
      </c>
    </row>
    <row r="692" spans="9:12" x14ac:dyDescent="0.25">
      <c r="I692" t="s">
        <v>179</v>
      </c>
      <c r="J692" t="s">
        <v>158</v>
      </c>
      <c r="K692">
        <v>2.0679625458162623E-2</v>
      </c>
      <c r="L692" t="s">
        <v>154</v>
      </c>
    </row>
    <row r="693" spans="9:12" x14ac:dyDescent="0.25">
      <c r="I693" t="s">
        <v>179</v>
      </c>
      <c r="J693" t="s">
        <v>159</v>
      </c>
      <c r="K693">
        <v>2.6485519377263619E-2</v>
      </c>
      <c r="L693" t="s">
        <v>154</v>
      </c>
    </row>
    <row r="694" spans="9:12" x14ac:dyDescent="0.25">
      <c r="I694" t="s">
        <v>179</v>
      </c>
      <c r="J694" t="s">
        <v>225</v>
      </c>
      <c r="K694">
        <v>3.3266177425363704E-2</v>
      </c>
      <c r="L694" t="s">
        <v>154</v>
      </c>
    </row>
    <row r="695" spans="9:12" x14ac:dyDescent="0.25">
      <c r="I695" t="s">
        <v>179</v>
      </c>
      <c r="J695" t="s">
        <v>226</v>
      </c>
      <c r="K695">
        <v>0.11838391927573796</v>
      </c>
      <c r="L695" t="s">
        <v>154</v>
      </c>
    </row>
    <row r="696" spans="9:12" x14ac:dyDescent="0.25">
      <c r="I696" t="s">
        <v>179</v>
      </c>
      <c r="J696" t="s">
        <v>227</v>
      </c>
      <c r="K696">
        <v>7.2746026242287931E-2</v>
      </c>
      <c r="L696" t="s">
        <v>154</v>
      </c>
    </row>
    <row r="697" spans="9:12" x14ac:dyDescent="0.25">
      <c r="I697" t="s">
        <v>179</v>
      </c>
      <c r="J697" t="s">
        <v>258</v>
      </c>
      <c r="K697">
        <v>4.8299744958642886E-2</v>
      </c>
      <c r="L697" t="s">
        <v>154</v>
      </c>
    </row>
    <row r="698" spans="9:12" x14ac:dyDescent="0.25">
      <c r="I698" t="s">
        <v>179</v>
      </c>
      <c r="J698" t="s">
        <v>259</v>
      </c>
      <c r="K698">
        <v>1.1238109069795841E-2</v>
      </c>
      <c r="L698" t="s">
        <v>154</v>
      </c>
    </row>
    <row r="699" spans="9:12" x14ac:dyDescent="0.25">
      <c r="I699" t="s">
        <v>179</v>
      </c>
      <c r="J699" t="s">
        <v>160</v>
      </c>
      <c r="K699">
        <v>0</v>
      </c>
      <c r="L699" t="s">
        <v>154</v>
      </c>
    </row>
    <row r="700" spans="9:12" x14ac:dyDescent="0.25">
      <c r="I700" t="s">
        <v>179</v>
      </c>
      <c r="J700" t="s">
        <v>161</v>
      </c>
      <c r="K700">
        <v>2.7745175909453012E-3</v>
      </c>
      <c r="L700" t="s">
        <v>154</v>
      </c>
    </row>
    <row r="701" spans="9:12" x14ac:dyDescent="0.25">
      <c r="I701" t="s">
        <v>179</v>
      </c>
      <c r="J701" t="s">
        <v>162</v>
      </c>
      <c r="K701">
        <v>3.2629643467139741E-3</v>
      </c>
      <c r="L701" t="s">
        <v>154</v>
      </c>
    </row>
    <row r="702" spans="9:12" x14ac:dyDescent="0.25">
      <c r="I702" t="s">
        <v>179</v>
      </c>
      <c r="J702" t="s">
        <v>228</v>
      </c>
      <c r="K702">
        <v>4.2189286240949557E-3</v>
      </c>
      <c r="L702" t="s">
        <v>154</v>
      </c>
    </row>
    <row r="703" spans="9:12" x14ac:dyDescent="0.25">
      <c r="I703" t="s">
        <v>179</v>
      </c>
      <c r="J703" t="s">
        <v>229</v>
      </c>
      <c r="K703">
        <v>1.5137932700875772E-2</v>
      </c>
      <c r="L703" t="s">
        <v>154</v>
      </c>
    </row>
    <row r="704" spans="9:12" x14ac:dyDescent="0.25">
      <c r="I704" t="s">
        <v>179</v>
      </c>
      <c r="J704" t="s">
        <v>230</v>
      </c>
      <c r="K704">
        <v>9.193450317879789E-3</v>
      </c>
      <c r="L704" t="s">
        <v>154</v>
      </c>
    </row>
    <row r="705" spans="9:12" x14ac:dyDescent="0.25">
      <c r="I705" t="s">
        <v>179</v>
      </c>
      <c r="J705" t="s">
        <v>260</v>
      </c>
      <c r="K705">
        <v>5.3226209344434056E-3</v>
      </c>
      <c r="L705" t="s">
        <v>154</v>
      </c>
    </row>
    <row r="706" spans="9:12" x14ac:dyDescent="0.25">
      <c r="I706" t="s">
        <v>179</v>
      </c>
      <c r="J706" t="s">
        <v>261</v>
      </c>
      <c r="K706">
        <v>1.0225658786470512E-3</v>
      </c>
      <c r="L706" t="s">
        <v>154</v>
      </c>
    </row>
    <row r="707" spans="9:12" x14ac:dyDescent="0.25">
      <c r="I707" t="s">
        <v>179</v>
      </c>
      <c r="J707" t="s">
        <v>163</v>
      </c>
      <c r="K707">
        <v>0</v>
      </c>
      <c r="L707" t="s">
        <v>154</v>
      </c>
    </row>
    <row r="708" spans="9:12" x14ac:dyDescent="0.25">
      <c r="I708" t="s">
        <v>179</v>
      </c>
      <c r="J708" t="s">
        <v>164</v>
      </c>
      <c r="K708">
        <v>6.9405313086556347E-3</v>
      </c>
      <c r="L708" t="s">
        <v>154</v>
      </c>
    </row>
    <row r="709" spans="9:12" x14ac:dyDescent="0.25">
      <c r="I709" t="s">
        <v>179</v>
      </c>
      <c r="J709" t="s">
        <v>165</v>
      </c>
      <c r="K709">
        <v>8.7630395041394128E-3</v>
      </c>
      <c r="L709" t="s">
        <v>154</v>
      </c>
    </row>
    <row r="710" spans="9:12" x14ac:dyDescent="0.25">
      <c r="I710" t="s">
        <v>179</v>
      </c>
      <c r="J710" t="s">
        <v>231</v>
      </c>
      <c r="K710">
        <v>1.116663738895864E-2</v>
      </c>
      <c r="L710" t="s">
        <v>154</v>
      </c>
    </row>
    <row r="711" spans="9:12" x14ac:dyDescent="0.25">
      <c r="I711" t="s">
        <v>179</v>
      </c>
      <c r="J711" t="s">
        <v>232</v>
      </c>
      <c r="K711">
        <v>4.3086851169245835E-2</v>
      </c>
      <c r="L711" t="s">
        <v>154</v>
      </c>
    </row>
    <row r="712" spans="9:12" x14ac:dyDescent="0.25">
      <c r="I712" t="s">
        <v>179</v>
      </c>
      <c r="J712" t="s">
        <v>233</v>
      </c>
      <c r="K712">
        <v>2.4516223374490286E-2</v>
      </c>
      <c r="L712" t="s">
        <v>154</v>
      </c>
    </row>
    <row r="713" spans="9:12" x14ac:dyDescent="0.25">
      <c r="I713" t="s">
        <v>179</v>
      </c>
      <c r="J713" t="s">
        <v>262</v>
      </c>
      <c r="K713">
        <v>1.3428517557991947E-2</v>
      </c>
      <c r="L713" t="s">
        <v>154</v>
      </c>
    </row>
    <row r="714" spans="9:12" x14ac:dyDescent="0.25">
      <c r="I714" t="s">
        <v>179</v>
      </c>
      <c r="J714" t="s">
        <v>263</v>
      </c>
      <c r="K714">
        <v>2.8774611144705706E-3</v>
      </c>
      <c r="L714" t="s">
        <v>154</v>
      </c>
    </row>
    <row r="715" spans="9:12" x14ac:dyDescent="0.25">
      <c r="I715" t="s">
        <v>179</v>
      </c>
      <c r="J715" t="s">
        <v>240</v>
      </c>
      <c r="K715">
        <v>0</v>
      </c>
      <c r="L715" t="s">
        <v>154</v>
      </c>
    </row>
    <row r="716" spans="9:12" x14ac:dyDescent="0.25">
      <c r="I716" t="s">
        <v>179</v>
      </c>
      <c r="J716" t="s">
        <v>241</v>
      </c>
      <c r="K716">
        <v>1.7774221492095867E-2</v>
      </c>
      <c r="L716" t="s">
        <v>154</v>
      </c>
    </row>
    <row r="717" spans="9:12" x14ac:dyDescent="0.25">
      <c r="I717" t="s">
        <v>179</v>
      </c>
      <c r="J717" t="s">
        <v>242</v>
      </c>
      <c r="K717">
        <v>2.0535076149412978E-2</v>
      </c>
      <c r="L717" t="s">
        <v>154</v>
      </c>
    </row>
    <row r="718" spans="9:12" x14ac:dyDescent="0.25">
      <c r="I718" t="s">
        <v>179</v>
      </c>
      <c r="J718" t="s">
        <v>243</v>
      </c>
      <c r="K718">
        <v>2.6436730076530929E-2</v>
      </c>
      <c r="L718" t="s">
        <v>154</v>
      </c>
    </row>
    <row r="719" spans="9:12" x14ac:dyDescent="0.25">
      <c r="I719" t="s">
        <v>179</v>
      </c>
      <c r="J719" t="s">
        <v>244</v>
      </c>
      <c r="K719">
        <v>9.4924454073828407E-2</v>
      </c>
      <c r="L719" t="s">
        <v>154</v>
      </c>
    </row>
    <row r="720" spans="9:12" x14ac:dyDescent="0.25">
      <c r="I720" t="s">
        <v>179</v>
      </c>
      <c r="J720" t="s">
        <v>245</v>
      </c>
      <c r="K720">
        <v>5.6183297213253179E-2</v>
      </c>
      <c r="L720" t="s">
        <v>154</v>
      </c>
    </row>
    <row r="721" spans="9:12" x14ac:dyDescent="0.25">
      <c r="I721" t="s">
        <v>179</v>
      </c>
      <c r="J721" t="s">
        <v>264</v>
      </c>
      <c r="K721">
        <v>3.148591495389183E-2</v>
      </c>
      <c r="L721" t="s">
        <v>154</v>
      </c>
    </row>
    <row r="722" spans="9:12" x14ac:dyDescent="0.25">
      <c r="I722" t="s">
        <v>179</v>
      </c>
      <c r="J722" t="s">
        <v>265</v>
      </c>
      <c r="K722">
        <v>6.6123842578706491E-3</v>
      </c>
      <c r="L722" t="s">
        <v>154</v>
      </c>
    </row>
    <row r="723" spans="9:12" x14ac:dyDescent="0.25">
      <c r="I723" t="s">
        <v>179</v>
      </c>
      <c r="J723" t="s">
        <v>246</v>
      </c>
      <c r="K723">
        <v>0</v>
      </c>
      <c r="L723" t="s">
        <v>154</v>
      </c>
    </row>
    <row r="724" spans="9:12" x14ac:dyDescent="0.25">
      <c r="I724" t="s">
        <v>179</v>
      </c>
      <c r="J724" t="s">
        <v>247</v>
      </c>
      <c r="K724">
        <v>1.7186805902577276E-2</v>
      </c>
      <c r="L724" t="s">
        <v>154</v>
      </c>
    </row>
    <row r="725" spans="9:12" x14ac:dyDescent="0.25">
      <c r="I725" t="s">
        <v>179</v>
      </c>
      <c r="J725" t="s">
        <v>248</v>
      </c>
      <c r="K725">
        <v>1.9884756755043569E-2</v>
      </c>
      <c r="L725" t="s">
        <v>154</v>
      </c>
    </row>
    <row r="726" spans="9:12" x14ac:dyDescent="0.25">
      <c r="I726" t="s">
        <v>179</v>
      </c>
      <c r="J726" t="s">
        <v>249</v>
      </c>
      <c r="K726">
        <v>2.4300294799546471E-2</v>
      </c>
      <c r="L726" t="s">
        <v>154</v>
      </c>
    </row>
    <row r="727" spans="9:12" x14ac:dyDescent="0.25">
      <c r="I727" t="s">
        <v>179</v>
      </c>
      <c r="J727" t="s">
        <v>250</v>
      </c>
      <c r="K727">
        <v>8.1758707133077008E-2</v>
      </c>
      <c r="L727" t="s">
        <v>154</v>
      </c>
    </row>
    <row r="728" spans="9:12" x14ac:dyDescent="0.25">
      <c r="I728" t="s">
        <v>179</v>
      </c>
      <c r="J728" t="s">
        <v>251</v>
      </c>
      <c r="K728">
        <v>4.4968195253396889E-2</v>
      </c>
      <c r="L728" t="s">
        <v>154</v>
      </c>
    </row>
    <row r="729" spans="9:12" x14ac:dyDescent="0.25">
      <c r="I729" t="s">
        <v>179</v>
      </c>
      <c r="J729" t="s">
        <v>266</v>
      </c>
      <c r="K729">
        <v>2.3489427757681047E-2</v>
      </c>
      <c r="L729" t="s">
        <v>154</v>
      </c>
    </row>
    <row r="730" spans="9:12" x14ac:dyDescent="0.25">
      <c r="I730" t="s">
        <v>179</v>
      </c>
      <c r="J730" t="s">
        <v>267</v>
      </c>
      <c r="K730">
        <v>4.7108202160830387E-3</v>
      </c>
      <c r="L730" t="s">
        <v>154</v>
      </c>
    </row>
    <row r="731" spans="9:12" x14ac:dyDescent="0.25">
      <c r="I731" t="s">
        <v>180</v>
      </c>
      <c r="J731" t="s">
        <v>153</v>
      </c>
      <c r="K731">
        <v>0</v>
      </c>
      <c r="L731" t="s">
        <v>154</v>
      </c>
    </row>
    <row r="732" spans="9:12" x14ac:dyDescent="0.25">
      <c r="I732" t="s">
        <v>180</v>
      </c>
      <c r="J732" t="s">
        <v>155</v>
      </c>
      <c r="K732">
        <v>1.9036700275285605E-3</v>
      </c>
      <c r="L732" t="s">
        <v>154</v>
      </c>
    </row>
    <row r="733" spans="9:12" x14ac:dyDescent="0.25">
      <c r="I733" t="s">
        <v>180</v>
      </c>
      <c r="J733" t="s">
        <v>156</v>
      </c>
      <c r="K733">
        <v>3.1527210253542034E-3</v>
      </c>
      <c r="L733" t="s">
        <v>154</v>
      </c>
    </row>
    <row r="734" spans="9:12" x14ac:dyDescent="0.25">
      <c r="I734" t="s">
        <v>180</v>
      </c>
      <c r="J734" t="s">
        <v>222</v>
      </c>
      <c r="K734">
        <v>4.2021368759256961E-3</v>
      </c>
      <c r="L734" t="s">
        <v>154</v>
      </c>
    </row>
    <row r="735" spans="9:12" x14ac:dyDescent="0.25">
      <c r="I735" t="s">
        <v>180</v>
      </c>
      <c r="J735" t="s">
        <v>223</v>
      </c>
      <c r="K735">
        <v>1.5880359569089897E-2</v>
      </c>
      <c r="L735" t="s">
        <v>154</v>
      </c>
    </row>
    <row r="736" spans="9:12" x14ac:dyDescent="0.25">
      <c r="I736" t="s">
        <v>180</v>
      </c>
      <c r="J736" t="s">
        <v>224</v>
      </c>
      <c r="K736">
        <v>9.5467713736602233E-3</v>
      </c>
      <c r="L736" t="s">
        <v>154</v>
      </c>
    </row>
    <row r="737" spans="9:12" x14ac:dyDescent="0.25">
      <c r="I737" t="s">
        <v>180</v>
      </c>
      <c r="J737" t="s">
        <v>256</v>
      </c>
      <c r="K737">
        <v>5.8084611976190054E-3</v>
      </c>
      <c r="L737" t="s">
        <v>154</v>
      </c>
    </row>
    <row r="738" spans="9:12" x14ac:dyDescent="0.25">
      <c r="I738" t="s">
        <v>180</v>
      </c>
      <c r="J738" t="s">
        <v>257</v>
      </c>
      <c r="K738">
        <v>1.2967539018971176E-3</v>
      </c>
      <c r="L738" t="s">
        <v>154</v>
      </c>
    </row>
    <row r="739" spans="9:12" x14ac:dyDescent="0.25">
      <c r="I739" t="s">
        <v>180</v>
      </c>
      <c r="J739" t="s">
        <v>157</v>
      </c>
      <c r="K739">
        <v>0</v>
      </c>
      <c r="L739" t="s">
        <v>154</v>
      </c>
    </row>
    <row r="740" spans="9:12" x14ac:dyDescent="0.25">
      <c r="I740" t="s">
        <v>180</v>
      </c>
      <c r="J740" t="s">
        <v>158</v>
      </c>
      <c r="K740">
        <v>2.6287021509146205E-2</v>
      </c>
      <c r="L740" t="s">
        <v>154</v>
      </c>
    </row>
    <row r="741" spans="9:12" x14ac:dyDescent="0.25">
      <c r="I741" t="s">
        <v>180</v>
      </c>
      <c r="J741" t="s">
        <v>159</v>
      </c>
      <c r="K741">
        <v>2.7604079668859867E-2</v>
      </c>
      <c r="L741" t="s">
        <v>154</v>
      </c>
    </row>
    <row r="742" spans="9:12" x14ac:dyDescent="0.25">
      <c r="I742" t="s">
        <v>180</v>
      </c>
      <c r="J742" t="s">
        <v>225</v>
      </c>
      <c r="K742">
        <v>3.3876761619749111E-2</v>
      </c>
      <c r="L742" t="s">
        <v>154</v>
      </c>
    </row>
    <row r="743" spans="9:12" x14ac:dyDescent="0.25">
      <c r="I743" t="s">
        <v>180</v>
      </c>
      <c r="J743" t="s">
        <v>226</v>
      </c>
      <c r="K743">
        <v>0.11706700694707987</v>
      </c>
      <c r="L743" t="s">
        <v>154</v>
      </c>
    </row>
    <row r="744" spans="9:12" x14ac:dyDescent="0.25">
      <c r="I744" t="s">
        <v>180</v>
      </c>
      <c r="J744" t="s">
        <v>227</v>
      </c>
      <c r="K744">
        <v>7.1426478189167975E-2</v>
      </c>
      <c r="L744" t="s">
        <v>154</v>
      </c>
    </row>
    <row r="745" spans="9:12" x14ac:dyDescent="0.25">
      <c r="I745" t="s">
        <v>180</v>
      </c>
      <c r="J745" t="s">
        <v>258</v>
      </c>
      <c r="K745">
        <v>4.9353469054300249E-2</v>
      </c>
      <c r="L745" t="s">
        <v>154</v>
      </c>
    </row>
    <row r="746" spans="9:12" x14ac:dyDescent="0.25">
      <c r="I746" t="s">
        <v>180</v>
      </c>
      <c r="J746" t="s">
        <v>259</v>
      </c>
      <c r="K746">
        <v>1.2772461439560149E-2</v>
      </c>
      <c r="L746" t="s">
        <v>154</v>
      </c>
    </row>
    <row r="747" spans="9:12" x14ac:dyDescent="0.25">
      <c r="I747" t="s">
        <v>180</v>
      </c>
      <c r="J747" t="s">
        <v>160</v>
      </c>
      <c r="K747">
        <v>0</v>
      </c>
      <c r="L747" t="s">
        <v>154</v>
      </c>
    </row>
    <row r="748" spans="9:12" x14ac:dyDescent="0.25">
      <c r="I748" t="s">
        <v>180</v>
      </c>
      <c r="J748" t="s">
        <v>161</v>
      </c>
      <c r="K748">
        <v>3.9732824317067249E-3</v>
      </c>
      <c r="L748" t="s">
        <v>154</v>
      </c>
    </row>
    <row r="749" spans="9:12" x14ac:dyDescent="0.25">
      <c r="I749" t="s">
        <v>180</v>
      </c>
      <c r="J749" t="s">
        <v>162</v>
      </c>
      <c r="K749">
        <v>3.5514519684388931E-3</v>
      </c>
      <c r="L749" t="s">
        <v>154</v>
      </c>
    </row>
    <row r="750" spans="9:12" x14ac:dyDescent="0.25">
      <c r="I750" t="s">
        <v>180</v>
      </c>
      <c r="J750" t="s">
        <v>228</v>
      </c>
      <c r="K750">
        <v>4.4298651445995639E-3</v>
      </c>
      <c r="L750" t="s">
        <v>154</v>
      </c>
    </row>
    <row r="751" spans="9:12" x14ac:dyDescent="0.25">
      <c r="I751" t="s">
        <v>180</v>
      </c>
      <c r="J751" t="s">
        <v>229</v>
      </c>
      <c r="K751">
        <v>1.5514421296245418E-2</v>
      </c>
      <c r="L751" t="s">
        <v>154</v>
      </c>
    </row>
    <row r="752" spans="9:12" x14ac:dyDescent="0.25">
      <c r="I752" t="s">
        <v>180</v>
      </c>
      <c r="J752" t="s">
        <v>230</v>
      </c>
      <c r="K752">
        <v>8.7931436788904731E-3</v>
      </c>
      <c r="L752" t="s">
        <v>154</v>
      </c>
    </row>
    <row r="753" spans="9:12" x14ac:dyDescent="0.25">
      <c r="I753" t="s">
        <v>180</v>
      </c>
      <c r="J753" t="s">
        <v>260</v>
      </c>
      <c r="K753">
        <v>5.1212852880375649E-3</v>
      </c>
      <c r="L753" t="s">
        <v>154</v>
      </c>
    </row>
    <row r="754" spans="9:12" x14ac:dyDescent="0.25">
      <c r="I754" t="s">
        <v>180</v>
      </c>
      <c r="J754" t="s">
        <v>261</v>
      </c>
      <c r="K754">
        <v>1.1234685156358473E-3</v>
      </c>
      <c r="L754" t="s">
        <v>154</v>
      </c>
    </row>
    <row r="755" spans="9:12" x14ac:dyDescent="0.25">
      <c r="I755" t="s">
        <v>180</v>
      </c>
      <c r="J755" t="s">
        <v>163</v>
      </c>
      <c r="K755">
        <v>0</v>
      </c>
      <c r="L755" t="s">
        <v>154</v>
      </c>
    </row>
    <row r="756" spans="9:12" x14ac:dyDescent="0.25">
      <c r="I756" t="s">
        <v>180</v>
      </c>
      <c r="J756" t="s">
        <v>164</v>
      </c>
      <c r="K756">
        <v>8.1624928623715617E-3</v>
      </c>
      <c r="L756" t="s">
        <v>154</v>
      </c>
    </row>
    <row r="757" spans="9:12" x14ac:dyDescent="0.25">
      <c r="I757" t="s">
        <v>180</v>
      </c>
      <c r="J757" t="s">
        <v>165</v>
      </c>
      <c r="K757">
        <v>8.8299112300905241E-3</v>
      </c>
      <c r="L757" t="s">
        <v>154</v>
      </c>
    </row>
    <row r="758" spans="9:12" x14ac:dyDescent="0.25">
      <c r="I758" t="s">
        <v>180</v>
      </c>
      <c r="J758" t="s">
        <v>231</v>
      </c>
      <c r="K758">
        <v>1.1039385317315758E-2</v>
      </c>
      <c r="L758" t="s">
        <v>154</v>
      </c>
    </row>
    <row r="759" spans="9:12" x14ac:dyDescent="0.25">
      <c r="I759" t="s">
        <v>180</v>
      </c>
      <c r="J759" t="s">
        <v>232</v>
      </c>
      <c r="K759">
        <v>4.0527469242855753E-2</v>
      </c>
      <c r="L759" t="s">
        <v>154</v>
      </c>
    </row>
    <row r="760" spans="9:12" x14ac:dyDescent="0.25">
      <c r="I760" t="s">
        <v>180</v>
      </c>
      <c r="J760" t="s">
        <v>233</v>
      </c>
      <c r="K760">
        <v>2.3525578244833926E-2</v>
      </c>
      <c r="L760" t="s">
        <v>154</v>
      </c>
    </row>
    <row r="761" spans="9:12" x14ac:dyDescent="0.25">
      <c r="I761" t="s">
        <v>180</v>
      </c>
      <c r="J761" t="s">
        <v>262</v>
      </c>
      <c r="K761">
        <v>1.3462526875352957E-2</v>
      </c>
      <c r="L761" t="s">
        <v>154</v>
      </c>
    </row>
    <row r="762" spans="9:12" x14ac:dyDescent="0.25">
      <c r="I762" t="s">
        <v>180</v>
      </c>
      <c r="J762" t="s">
        <v>263</v>
      </c>
      <c r="K762">
        <v>3.186905325842029E-3</v>
      </c>
      <c r="L762" t="s">
        <v>154</v>
      </c>
    </row>
    <row r="763" spans="9:12" x14ac:dyDescent="0.25">
      <c r="I763" t="s">
        <v>180</v>
      </c>
      <c r="J763" t="s">
        <v>240</v>
      </c>
      <c r="K763">
        <v>0</v>
      </c>
      <c r="L763" t="s">
        <v>154</v>
      </c>
    </row>
    <row r="764" spans="9:12" x14ac:dyDescent="0.25">
      <c r="I764" t="s">
        <v>180</v>
      </c>
      <c r="J764" t="s">
        <v>241</v>
      </c>
      <c r="K764">
        <v>2.0759512490476795E-2</v>
      </c>
      <c r="L764" t="s">
        <v>154</v>
      </c>
    </row>
    <row r="765" spans="9:12" x14ac:dyDescent="0.25">
      <c r="I765" t="s">
        <v>180</v>
      </c>
      <c r="J765" t="s">
        <v>242</v>
      </c>
      <c r="K765">
        <v>2.1058771852958319E-2</v>
      </c>
      <c r="L765" t="s">
        <v>154</v>
      </c>
    </row>
    <row r="766" spans="9:12" x14ac:dyDescent="0.25">
      <c r="I766" t="s">
        <v>180</v>
      </c>
      <c r="J766" t="s">
        <v>243</v>
      </c>
      <c r="K766">
        <v>2.6476271991508895E-2</v>
      </c>
      <c r="L766" t="s">
        <v>154</v>
      </c>
    </row>
    <row r="767" spans="9:12" x14ac:dyDescent="0.25">
      <c r="I767" t="s">
        <v>180</v>
      </c>
      <c r="J767" t="s">
        <v>244</v>
      </c>
      <c r="K767">
        <v>9.2662121482975549E-2</v>
      </c>
      <c r="L767" t="s">
        <v>154</v>
      </c>
    </row>
    <row r="768" spans="9:12" x14ac:dyDescent="0.25">
      <c r="I768" t="s">
        <v>180</v>
      </c>
      <c r="J768" t="s">
        <v>245</v>
      </c>
      <c r="K768">
        <v>5.4565208732174499E-2</v>
      </c>
      <c r="L768" t="s">
        <v>154</v>
      </c>
    </row>
    <row r="769" spans="9:12" x14ac:dyDescent="0.25">
      <c r="I769" t="s">
        <v>180</v>
      </c>
      <c r="J769" t="s">
        <v>264</v>
      </c>
      <c r="K769">
        <v>3.1882035544337196E-2</v>
      </c>
      <c r="L769" t="s">
        <v>154</v>
      </c>
    </row>
    <row r="770" spans="9:12" x14ac:dyDescent="0.25">
      <c r="I770" t="s">
        <v>180</v>
      </c>
      <c r="J770" t="s">
        <v>265</v>
      </c>
      <c r="K770">
        <v>7.5739988115820214E-3</v>
      </c>
      <c r="L770" t="s">
        <v>154</v>
      </c>
    </row>
    <row r="771" spans="9:12" x14ac:dyDescent="0.25">
      <c r="I771" t="s">
        <v>180</v>
      </c>
      <c r="J771" t="s">
        <v>246</v>
      </c>
      <c r="K771">
        <v>0</v>
      </c>
      <c r="L771" t="s">
        <v>154</v>
      </c>
    </row>
    <row r="772" spans="9:12" x14ac:dyDescent="0.25">
      <c r="I772" t="s">
        <v>180</v>
      </c>
      <c r="J772" t="s">
        <v>247</v>
      </c>
      <c r="K772">
        <v>1.9213451133125281E-2</v>
      </c>
      <c r="L772" t="s">
        <v>154</v>
      </c>
    </row>
    <row r="773" spans="9:12" x14ac:dyDescent="0.25">
      <c r="I773" t="s">
        <v>180</v>
      </c>
      <c r="J773" t="s">
        <v>248</v>
      </c>
      <c r="K773">
        <v>1.9258384302209931E-2</v>
      </c>
      <c r="L773" t="s">
        <v>154</v>
      </c>
    </row>
    <row r="774" spans="9:12" x14ac:dyDescent="0.25">
      <c r="I774" t="s">
        <v>180</v>
      </c>
      <c r="J774" t="s">
        <v>249</v>
      </c>
      <c r="K774">
        <v>2.3714657795627262E-2</v>
      </c>
      <c r="L774" t="s">
        <v>154</v>
      </c>
    </row>
    <row r="775" spans="9:12" x14ac:dyDescent="0.25">
      <c r="I775" t="s">
        <v>180</v>
      </c>
      <c r="J775" t="s">
        <v>250</v>
      </c>
      <c r="K775">
        <v>7.7769426309657538E-2</v>
      </c>
      <c r="L775" t="s">
        <v>154</v>
      </c>
    </row>
    <row r="776" spans="9:12" x14ac:dyDescent="0.25">
      <c r="I776" t="s">
        <v>180</v>
      </c>
      <c r="J776" t="s">
        <v>251</v>
      </c>
      <c r="K776">
        <v>4.4055434752367881E-2</v>
      </c>
      <c r="L776" t="s">
        <v>154</v>
      </c>
    </row>
    <row r="777" spans="9:12" x14ac:dyDescent="0.25">
      <c r="I777" t="s">
        <v>180</v>
      </c>
      <c r="J777" t="s">
        <v>266</v>
      </c>
      <c r="K777">
        <v>2.4432524341225628E-2</v>
      </c>
      <c r="L777" t="s">
        <v>154</v>
      </c>
    </row>
    <row r="778" spans="9:12" x14ac:dyDescent="0.25">
      <c r="I778" t="s">
        <v>180</v>
      </c>
      <c r="J778" t="s">
        <v>267</v>
      </c>
      <c r="K778">
        <v>5.1588606386175177E-3</v>
      </c>
      <c r="L778" t="s">
        <v>154</v>
      </c>
    </row>
    <row r="779" spans="9:12" x14ac:dyDescent="0.25">
      <c r="I779" t="s">
        <v>181</v>
      </c>
      <c r="J779" t="s">
        <v>153</v>
      </c>
      <c r="K779">
        <v>0</v>
      </c>
      <c r="L779" t="s">
        <v>154</v>
      </c>
    </row>
    <row r="780" spans="9:12" x14ac:dyDescent="0.25">
      <c r="I780" t="s">
        <v>181</v>
      </c>
      <c r="J780" t="s">
        <v>155</v>
      </c>
      <c r="K780">
        <v>3.7487359940317896E-3</v>
      </c>
      <c r="L780" t="s">
        <v>154</v>
      </c>
    </row>
    <row r="781" spans="9:12" x14ac:dyDescent="0.25">
      <c r="I781" t="s">
        <v>181</v>
      </c>
      <c r="J781" t="s">
        <v>156</v>
      </c>
      <c r="K781">
        <v>4.0449326451277943E-3</v>
      </c>
      <c r="L781" t="s">
        <v>154</v>
      </c>
    </row>
    <row r="782" spans="9:12" x14ac:dyDescent="0.25">
      <c r="I782" t="s">
        <v>181</v>
      </c>
      <c r="J782" t="s">
        <v>222</v>
      </c>
      <c r="K782">
        <v>5.2049705974783842E-3</v>
      </c>
      <c r="L782" t="s">
        <v>154</v>
      </c>
    </row>
    <row r="783" spans="9:12" x14ac:dyDescent="0.25">
      <c r="I783" t="s">
        <v>181</v>
      </c>
      <c r="J783" t="s">
        <v>223</v>
      </c>
      <c r="K783">
        <v>1.8257120106141216E-2</v>
      </c>
      <c r="L783" t="s">
        <v>154</v>
      </c>
    </row>
    <row r="784" spans="9:12" x14ac:dyDescent="0.25">
      <c r="I784" t="s">
        <v>181</v>
      </c>
      <c r="J784" t="s">
        <v>224</v>
      </c>
      <c r="K784">
        <v>1.0450798580220293E-2</v>
      </c>
      <c r="L784" t="s">
        <v>154</v>
      </c>
    </row>
    <row r="785" spans="9:12" x14ac:dyDescent="0.25">
      <c r="I785" t="s">
        <v>181</v>
      </c>
      <c r="J785" t="s">
        <v>256</v>
      </c>
      <c r="K785">
        <v>6.4653333397021737E-3</v>
      </c>
      <c r="L785" t="s">
        <v>154</v>
      </c>
    </row>
    <row r="786" spans="9:12" x14ac:dyDescent="0.25">
      <c r="I786" t="s">
        <v>181</v>
      </c>
      <c r="J786" t="s">
        <v>257</v>
      </c>
      <c r="K786">
        <v>1.5327743395225867E-3</v>
      </c>
      <c r="L786" t="s">
        <v>154</v>
      </c>
    </row>
    <row r="787" spans="9:12" x14ac:dyDescent="0.25">
      <c r="I787" t="s">
        <v>181</v>
      </c>
      <c r="J787" t="s">
        <v>157</v>
      </c>
      <c r="K787">
        <v>0</v>
      </c>
      <c r="L787" t="s">
        <v>154</v>
      </c>
    </row>
    <row r="788" spans="9:12" x14ac:dyDescent="0.25">
      <c r="I788" t="s">
        <v>181</v>
      </c>
      <c r="J788" t="s">
        <v>158</v>
      </c>
      <c r="K788">
        <v>2.770609752004027E-2</v>
      </c>
      <c r="L788" t="s">
        <v>154</v>
      </c>
    </row>
    <row r="789" spans="9:12" x14ac:dyDescent="0.25">
      <c r="I789" t="s">
        <v>181</v>
      </c>
      <c r="J789" t="s">
        <v>159</v>
      </c>
      <c r="K789">
        <v>2.6426010384889613E-2</v>
      </c>
      <c r="L789" t="s">
        <v>154</v>
      </c>
    </row>
    <row r="790" spans="9:12" x14ac:dyDescent="0.25">
      <c r="I790" t="s">
        <v>181</v>
      </c>
      <c r="J790" t="s">
        <v>225</v>
      </c>
      <c r="K790">
        <v>3.1950981116269546E-2</v>
      </c>
      <c r="L790" t="s">
        <v>154</v>
      </c>
    </row>
    <row r="791" spans="9:12" x14ac:dyDescent="0.25">
      <c r="I791" t="s">
        <v>181</v>
      </c>
      <c r="J791" t="s">
        <v>226</v>
      </c>
      <c r="K791">
        <v>0.11340436252075305</v>
      </c>
      <c r="L791" t="s">
        <v>154</v>
      </c>
    </row>
    <row r="792" spans="9:12" x14ac:dyDescent="0.25">
      <c r="I792" t="s">
        <v>181</v>
      </c>
      <c r="J792" t="s">
        <v>227</v>
      </c>
      <c r="K792">
        <v>7.0114680992091408E-2</v>
      </c>
      <c r="L792" t="s">
        <v>154</v>
      </c>
    </row>
    <row r="793" spans="9:12" x14ac:dyDescent="0.25">
      <c r="I793" t="s">
        <v>181</v>
      </c>
      <c r="J793" t="s">
        <v>258</v>
      </c>
      <c r="K793">
        <v>4.913718914145862E-2</v>
      </c>
      <c r="L793" t="s">
        <v>154</v>
      </c>
    </row>
    <row r="794" spans="9:12" x14ac:dyDescent="0.25">
      <c r="I794" t="s">
        <v>181</v>
      </c>
      <c r="J794" t="s">
        <v>259</v>
      </c>
      <c r="K794">
        <v>1.2949275447485541E-2</v>
      </c>
      <c r="L794" t="s">
        <v>154</v>
      </c>
    </row>
    <row r="795" spans="9:12" x14ac:dyDescent="0.25">
      <c r="I795" t="s">
        <v>181</v>
      </c>
      <c r="J795" t="s">
        <v>160</v>
      </c>
      <c r="K795">
        <v>0</v>
      </c>
      <c r="L795" t="s">
        <v>154</v>
      </c>
    </row>
    <row r="796" spans="9:12" x14ac:dyDescent="0.25">
      <c r="I796" t="s">
        <v>181</v>
      </c>
      <c r="J796" t="s">
        <v>161</v>
      </c>
      <c r="K796">
        <v>3.8092342852316524E-3</v>
      </c>
      <c r="L796" t="s">
        <v>154</v>
      </c>
    </row>
    <row r="797" spans="9:12" x14ac:dyDescent="0.25">
      <c r="I797" t="s">
        <v>181</v>
      </c>
      <c r="J797" t="s">
        <v>162</v>
      </c>
      <c r="K797">
        <v>3.4077828069869484E-3</v>
      </c>
      <c r="L797" t="s">
        <v>154</v>
      </c>
    </row>
    <row r="798" spans="9:12" x14ac:dyDescent="0.25">
      <c r="I798" t="s">
        <v>181</v>
      </c>
      <c r="J798" t="s">
        <v>228</v>
      </c>
      <c r="K798">
        <v>4.1877722221086893E-3</v>
      </c>
      <c r="L798" t="s">
        <v>154</v>
      </c>
    </row>
    <row r="799" spans="9:12" x14ac:dyDescent="0.25">
      <c r="I799" t="s">
        <v>181</v>
      </c>
      <c r="J799" t="s">
        <v>229</v>
      </c>
      <c r="K799">
        <v>1.4650944014558015E-2</v>
      </c>
      <c r="L799" t="s">
        <v>154</v>
      </c>
    </row>
    <row r="800" spans="9:12" x14ac:dyDescent="0.25">
      <c r="I800" t="s">
        <v>181</v>
      </c>
      <c r="J800" t="s">
        <v>230</v>
      </c>
      <c r="K800">
        <v>8.6020083592093007E-3</v>
      </c>
      <c r="L800" t="s">
        <v>154</v>
      </c>
    </row>
    <row r="801" spans="9:12" x14ac:dyDescent="0.25">
      <c r="I801" t="s">
        <v>181</v>
      </c>
      <c r="J801" t="s">
        <v>260</v>
      </c>
      <c r="K801">
        <v>5.2086923038840395E-3</v>
      </c>
      <c r="L801" t="s">
        <v>154</v>
      </c>
    </row>
    <row r="802" spans="9:12" x14ac:dyDescent="0.25">
      <c r="I802" t="s">
        <v>181</v>
      </c>
      <c r="J802" t="s">
        <v>261</v>
      </c>
      <c r="K802">
        <v>1.1837846950355779E-3</v>
      </c>
      <c r="L802" t="s">
        <v>154</v>
      </c>
    </row>
    <row r="803" spans="9:12" x14ac:dyDescent="0.25">
      <c r="I803" t="s">
        <v>181</v>
      </c>
      <c r="J803" t="s">
        <v>163</v>
      </c>
      <c r="K803">
        <v>0</v>
      </c>
      <c r="L803" t="s">
        <v>154</v>
      </c>
    </row>
    <row r="804" spans="9:12" x14ac:dyDescent="0.25">
      <c r="I804" t="s">
        <v>181</v>
      </c>
      <c r="J804" t="s">
        <v>164</v>
      </c>
      <c r="K804">
        <v>1.055915125232915E-2</v>
      </c>
      <c r="L804" t="s">
        <v>154</v>
      </c>
    </row>
    <row r="805" spans="9:12" x14ac:dyDescent="0.25">
      <c r="I805" t="s">
        <v>181</v>
      </c>
      <c r="J805" t="s">
        <v>165</v>
      </c>
      <c r="K805">
        <v>9.3877025962073243E-3</v>
      </c>
      <c r="L805" t="s">
        <v>154</v>
      </c>
    </row>
    <row r="806" spans="9:12" x14ac:dyDescent="0.25">
      <c r="I806" t="s">
        <v>181</v>
      </c>
      <c r="J806" t="s">
        <v>231</v>
      </c>
      <c r="K806">
        <v>1.1675454720590062E-2</v>
      </c>
      <c r="L806" t="s">
        <v>154</v>
      </c>
    </row>
    <row r="807" spans="9:12" x14ac:dyDescent="0.25">
      <c r="I807" t="s">
        <v>181</v>
      </c>
      <c r="J807" t="s">
        <v>232</v>
      </c>
      <c r="K807">
        <v>4.2328154497114558E-2</v>
      </c>
      <c r="L807" t="s">
        <v>154</v>
      </c>
    </row>
    <row r="808" spans="9:12" x14ac:dyDescent="0.25">
      <c r="I808" t="s">
        <v>181</v>
      </c>
      <c r="J808" t="s">
        <v>233</v>
      </c>
      <c r="K808">
        <v>2.4901427923812676E-2</v>
      </c>
      <c r="L808" t="s">
        <v>154</v>
      </c>
    </row>
    <row r="809" spans="9:12" x14ac:dyDescent="0.25">
      <c r="I809" t="s">
        <v>181</v>
      </c>
      <c r="J809" t="s">
        <v>262</v>
      </c>
      <c r="K809">
        <v>1.6393716745136275E-2</v>
      </c>
      <c r="L809" t="s">
        <v>154</v>
      </c>
    </row>
    <row r="810" spans="9:12" x14ac:dyDescent="0.25">
      <c r="I810" t="s">
        <v>181</v>
      </c>
      <c r="J810" t="s">
        <v>263</v>
      </c>
      <c r="K810">
        <v>4.2115062655898412E-3</v>
      </c>
      <c r="L810" t="s">
        <v>154</v>
      </c>
    </row>
    <row r="811" spans="9:12" x14ac:dyDescent="0.25">
      <c r="I811" t="s">
        <v>181</v>
      </c>
      <c r="J811" t="s">
        <v>240</v>
      </c>
      <c r="K811">
        <v>0</v>
      </c>
      <c r="L811" t="s">
        <v>154</v>
      </c>
    </row>
    <row r="812" spans="9:12" x14ac:dyDescent="0.25">
      <c r="I812" t="s">
        <v>181</v>
      </c>
      <c r="J812" t="s">
        <v>241</v>
      </c>
      <c r="K812">
        <v>2.0506667173749188E-2</v>
      </c>
      <c r="L812" t="s">
        <v>154</v>
      </c>
    </row>
    <row r="813" spans="9:12" x14ac:dyDescent="0.25">
      <c r="I813" t="s">
        <v>181</v>
      </c>
      <c r="J813" t="s">
        <v>242</v>
      </c>
      <c r="K813">
        <v>2.0859015705720695E-2</v>
      </c>
      <c r="L813" t="s">
        <v>154</v>
      </c>
    </row>
    <row r="814" spans="9:12" x14ac:dyDescent="0.25">
      <c r="I814" t="s">
        <v>181</v>
      </c>
      <c r="J814" t="s">
        <v>243</v>
      </c>
      <c r="K814">
        <v>2.5665784899883567E-2</v>
      </c>
      <c r="L814" t="s">
        <v>154</v>
      </c>
    </row>
    <row r="815" spans="9:12" x14ac:dyDescent="0.25">
      <c r="I815" t="s">
        <v>181</v>
      </c>
      <c r="J815" t="s">
        <v>244</v>
      </c>
      <c r="K815">
        <v>9.2146070708157182E-2</v>
      </c>
      <c r="L815" t="s">
        <v>154</v>
      </c>
    </row>
    <row r="816" spans="9:12" x14ac:dyDescent="0.25">
      <c r="I816" t="s">
        <v>181</v>
      </c>
      <c r="J816" t="s">
        <v>245</v>
      </c>
      <c r="K816">
        <v>5.5635057069142346E-2</v>
      </c>
      <c r="L816" t="s">
        <v>154</v>
      </c>
    </row>
    <row r="817" spans="9:12" x14ac:dyDescent="0.25">
      <c r="I817" t="s">
        <v>181</v>
      </c>
      <c r="J817" t="s">
        <v>264</v>
      </c>
      <c r="K817">
        <v>3.7683201806388657E-2</v>
      </c>
      <c r="L817" t="s">
        <v>154</v>
      </c>
    </row>
    <row r="818" spans="9:12" x14ac:dyDescent="0.25">
      <c r="I818" t="s">
        <v>181</v>
      </c>
      <c r="J818" t="s">
        <v>265</v>
      </c>
      <c r="K818">
        <v>9.4253095699893437E-3</v>
      </c>
      <c r="L818" t="s">
        <v>154</v>
      </c>
    </row>
    <row r="819" spans="9:12" x14ac:dyDescent="0.25">
      <c r="I819" t="s">
        <v>181</v>
      </c>
      <c r="J819" t="s">
        <v>246</v>
      </c>
      <c r="K819">
        <v>0</v>
      </c>
      <c r="L819" t="s">
        <v>154</v>
      </c>
    </row>
    <row r="820" spans="9:12" x14ac:dyDescent="0.25">
      <c r="I820" t="s">
        <v>181</v>
      </c>
      <c r="J820" t="s">
        <v>247</v>
      </c>
      <c r="K820">
        <v>1.7130049540146342E-2</v>
      </c>
      <c r="L820" t="s">
        <v>154</v>
      </c>
    </row>
    <row r="821" spans="9:12" x14ac:dyDescent="0.25">
      <c r="I821" t="s">
        <v>181</v>
      </c>
      <c r="J821" t="s">
        <v>248</v>
      </c>
      <c r="K821">
        <v>1.6949693352671765E-2</v>
      </c>
      <c r="L821" t="s">
        <v>154</v>
      </c>
    </row>
    <row r="822" spans="9:12" x14ac:dyDescent="0.25">
      <c r="I822" t="s">
        <v>181</v>
      </c>
      <c r="J822" t="s">
        <v>249</v>
      </c>
      <c r="K822">
        <v>2.0932262725615384E-2</v>
      </c>
      <c r="L822" t="s">
        <v>154</v>
      </c>
    </row>
    <row r="823" spans="9:12" x14ac:dyDescent="0.25">
      <c r="I823" t="s">
        <v>181</v>
      </c>
      <c r="J823" t="s">
        <v>250</v>
      </c>
      <c r="K823">
        <v>7.0392194196034277E-2</v>
      </c>
      <c r="L823" t="s">
        <v>154</v>
      </c>
    </row>
    <row r="824" spans="9:12" x14ac:dyDescent="0.25">
      <c r="I824" t="s">
        <v>181</v>
      </c>
      <c r="J824" t="s">
        <v>251</v>
      </c>
      <c r="K824">
        <v>4.0108496617614051E-2</v>
      </c>
      <c r="L824" t="s">
        <v>154</v>
      </c>
    </row>
    <row r="825" spans="9:12" x14ac:dyDescent="0.25">
      <c r="I825" t="s">
        <v>181</v>
      </c>
      <c r="J825" t="s">
        <v>266</v>
      </c>
      <c r="K825">
        <v>2.514166161434693E-2</v>
      </c>
      <c r="L825" t="s">
        <v>154</v>
      </c>
    </row>
    <row r="826" spans="9:12" x14ac:dyDescent="0.25">
      <c r="I826" t="s">
        <v>181</v>
      </c>
      <c r="J826" t="s">
        <v>267</v>
      </c>
      <c r="K826">
        <v>5.5239396075347407E-3</v>
      </c>
      <c r="L826" t="s">
        <v>154</v>
      </c>
    </row>
    <row r="827" spans="9:12" x14ac:dyDescent="0.25">
      <c r="I827" t="s">
        <v>182</v>
      </c>
      <c r="J827" t="s">
        <v>153</v>
      </c>
      <c r="K827">
        <v>0</v>
      </c>
      <c r="L827" t="s">
        <v>154</v>
      </c>
    </row>
    <row r="828" spans="9:12" x14ac:dyDescent="0.25">
      <c r="I828" t="s">
        <v>182</v>
      </c>
      <c r="J828" t="s">
        <v>155</v>
      </c>
      <c r="K828">
        <v>4.2178570678268728E-3</v>
      </c>
      <c r="L828" t="s">
        <v>154</v>
      </c>
    </row>
    <row r="829" spans="9:12" x14ac:dyDescent="0.25">
      <c r="I829" t="s">
        <v>182</v>
      </c>
      <c r="J829" t="s">
        <v>156</v>
      </c>
      <c r="K829">
        <v>4.7887226972354669E-3</v>
      </c>
      <c r="L829" t="s">
        <v>154</v>
      </c>
    </row>
    <row r="830" spans="9:12" x14ac:dyDescent="0.25">
      <c r="I830" t="s">
        <v>182</v>
      </c>
      <c r="J830" t="s">
        <v>222</v>
      </c>
      <c r="K830">
        <v>6.1481835275553533E-3</v>
      </c>
      <c r="L830" t="s">
        <v>154</v>
      </c>
    </row>
    <row r="831" spans="9:12" x14ac:dyDescent="0.25">
      <c r="I831" t="s">
        <v>182</v>
      </c>
      <c r="J831" t="s">
        <v>223</v>
      </c>
      <c r="K831">
        <v>2.0411342811883136E-2</v>
      </c>
      <c r="L831" t="s">
        <v>154</v>
      </c>
    </row>
    <row r="832" spans="9:12" x14ac:dyDescent="0.25">
      <c r="I832" t="s">
        <v>182</v>
      </c>
      <c r="J832" t="s">
        <v>224</v>
      </c>
      <c r="K832">
        <v>1.2770823468158811E-2</v>
      </c>
      <c r="L832" t="s">
        <v>154</v>
      </c>
    </row>
    <row r="833" spans="9:12" x14ac:dyDescent="0.25">
      <c r="I833" t="s">
        <v>182</v>
      </c>
      <c r="J833" t="s">
        <v>256</v>
      </c>
      <c r="K833">
        <v>8.7745603313752751E-3</v>
      </c>
      <c r="L833" t="s">
        <v>154</v>
      </c>
    </row>
    <row r="834" spans="9:12" x14ac:dyDescent="0.25">
      <c r="I834" t="s">
        <v>182</v>
      </c>
      <c r="J834" t="s">
        <v>257</v>
      </c>
      <c r="K834">
        <v>1.9628930865263679E-3</v>
      </c>
      <c r="L834" t="s">
        <v>154</v>
      </c>
    </row>
    <row r="835" spans="9:12" x14ac:dyDescent="0.25">
      <c r="I835" t="s">
        <v>182</v>
      </c>
      <c r="J835" t="s">
        <v>157</v>
      </c>
      <c r="K835">
        <v>0</v>
      </c>
      <c r="L835" t="s">
        <v>154</v>
      </c>
    </row>
    <row r="836" spans="9:12" x14ac:dyDescent="0.25">
      <c r="I836" t="s">
        <v>182</v>
      </c>
      <c r="J836" t="s">
        <v>158</v>
      </c>
      <c r="K836">
        <v>2.5113550068109173E-2</v>
      </c>
      <c r="L836" t="s">
        <v>154</v>
      </c>
    </row>
    <row r="837" spans="9:12" x14ac:dyDescent="0.25">
      <c r="I837" t="s">
        <v>182</v>
      </c>
      <c r="J837" t="s">
        <v>159</v>
      </c>
      <c r="K837">
        <v>2.541839256840504E-2</v>
      </c>
      <c r="L837" t="s">
        <v>154</v>
      </c>
    </row>
    <row r="838" spans="9:12" x14ac:dyDescent="0.25">
      <c r="I838" t="s">
        <v>182</v>
      </c>
      <c r="J838" t="s">
        <v>225</v>
      </c>
      <c r="K838">
        <v>3.1436118417506959E-2</v>
      </c>
      <c r="L838" t="s">
        <v>154</v>
      </c>
    </row>
    <row r="839" spans="9:12" x14ac:dyDescent="0.25">
      <c r="I839" t="s">
        <v>182</v>
      </c>
      <c r="J839" t="s">
        <v>226</v>
      </c>
      <c r="K839">
        <v>0.11467022887244956</v>
      </c>
      <c r="L839" t="s">
        <v>154</v>
      </c>
    </row>
    <row r="840" spans="9:12" x14ac:dyDescent="0.25">
      <c r="I840" t="s">
        <v>182</v>
      </c>
      <c r="J840" t="s">
        <v>227</v>
      </c>
      <c r="K840">
        <v>6.8315458734013193E-2</v>
      </c>
      <c r="L840" t="s">
        <v>154</v>
      </c>
    </row>
    <row r="841" spans="9:12" x14ac:dyDescent="0.25">
      <c r="I841" t="s">
        <v>182</v>
      </c>
      <c r="J841" t="s">
        <v>258</v>
      </c>
      <c r="K841">
        <v>4.7381322314260038E-2</v>
      </c>
      <c r="L841" t="s">
        <v>154</v>
      </c>
    </row>
    <row r="842" spans="9:12" x14ac:dyDescent="0.25">
      <c r="I842" t="s">
        <v>182</v>
      </c>
      <c r="J842" t="s">
        <v>259</v>
      </c>
      <c r="K842">
        <v>1.2337748870002215E-2</v>
      </c>
      <c r="L842" t="s">
        <v>154</v>
      </c>
    </row>
    <row r="843" spans="9:12" x14ac:dyDescent="0.25">
      <c r="I843" t="s">
        <v>182</v>
      </c>
      <c r="J843" t="s">
        <v>160</v>
      </c>
      <c r="K843">
        <v>0</v>
      </c>
      <c r="L843" t="s">
        <v>154</v>
      </c>
    </row>
    <row r="844" spans="9:12" x14ac:dyDescent="0.25">
      <c r="I844" t="s">
        <v>182</v>
      </c>
      <c r="J844" t="s">
        <v>161</v>
      </c>
      <c r="K844">
        <v>3.0789907086934401E-3</v>
      </c>
      <c r="L844" t="s">
        <v>154</v>
      </c>
    </row>
    <row r="845" spans="9:12" x14ac:dyDescent="0.25">
      <c r="I845" t="s">
        <v>182</v>
      </c>
      <c r="J845" t="s">
        <v>162</v>
      </c>
      <c r="K845">
        <v>2.9365656423857751E-3</v>
      </c>
      <c r="L845" t="s">
        <v>154</v>
      </c>
    </row>
    <row r="846" spans="9:12" x14ac:dyDescent="0.25">
      <c r="I846" t="s">
        <v>182</v>
      </c>
      <c r="J846" t="s">
        <v>228</v>
      </c>
      <c r="K846">
        <v>3.7118729916785381E-3</v>
      </c>
      <c r="L846" t="s">
        <v>154</v>
      </c>
    </row>
    <row r="847" spans="9:12" x14ac:dyDescent="0.25">
      <c r="I847" t="s">
        <v>182</v>
      </c>
      <c r="J847" t="s">
        <v>229</v>
      </c>
      <c r="K847">
        <v>1.4591965650082618E-2</v>
      </c>
      <c r="L847" t="s">
        <v>154</v>
      </c>
    </row>
    <row r="848" spans="9:12" x14ac:dyDescent="0.25">
      <c r="I848" t="s">
        <v>182</v>
      </c>
      <c r="J848" t="s">
        <v>230</v>
      </c>
      <c r="K848">
        <v>8.2035246300243628E-3</v>
      </c>
      <c r="L848" t="s">
        <v>154</v>
      </c>
    </row>
    <row r="849" spans="9:12" x14ac:dyDescent="0.25">
      <c r="I849" t="s">
        <v>182</v>
      </c>
      <c r="J849" t="s">
        <v>260</v>
      </c>
      <c r="K849">
        <v>5.05984170265944E-3</v>
      </c>
      <c r="L849" t="s">
        <v>154</v>
      </c>
    </row>
    <row r="850" spans="9:12" x14ac:dyDescent="0.25">
      <c r="I850" t="s">
        <v>182</v>
      </c>
      <c r="J850" t="s">
        <v>261</v>
      </c>
      <c r="K850">
        <v>1.1902635044609678E-3</v>
      </c>
      <c r="L850" t="s">
        <v>154</v>
      </c>
    </row>
    <row r="851" spans="9:12" x14ac:dyDescent="0.25">
      <c r="I851" t="s">
        <v>182</v>
      </c>
      <c r="J851" t="s">
        <v>163</v>
      </c>
      <c r="K851">
        <v>0</v>
      </c>
      <c r="L851" t="s">
        <v>154</v>
      </c>
    </row>
    <row r="852" spans="9:12" x14ac:dyDescent="0.25">
      <c r="I852" t="s">
        <v>182</v>
      </c>
      <c r="J852" t="s">
        <v>164</v>
      </c>
      <c r="K852">
        <v>1.0656219456184234E-2</v>
      </c>
      <c r="L852" t="s">
        <v>154</v>
      </c>
    </row>
    <row r="853" spans="9:12" x14ac:dyDescent="0.25">
      <c r="I853" t="s">
        <v>182</v>
      </c>
      <c r="J853" t="s">
        <v>165</v>
      </c>
      <c r="K853">
        <v>9.5191740109954771E-3</v>
      </c>
      <c r="L853" t="s">
        <v>154</v>
      </c>
    </row>
    <row r="854" spans="9:12" x14ac:dyDescent="0.25">
      <c r="I854" t="s">
        <v>182</v>
      </c>
      <c r="J854" t="s">
        <v>231</v>
      </c>
      <c r="K854">
        <v>1.1464134718831221E-2</v>
      </c>
      <c r="L854" t="s">
        <v>154</v>
      </c>
    </row>
    <row r="855" spans="9:12" x14ac:dyDescent="0.25">
      <c r="I855" t="s">
        <v>182</v>
      </c>
      <c r="J855" t="s">
        <v>232</v>
      </c>
      <c r="K855">
        <v>4.205887475553978E-2</v>
      </c>
      <c r="L855" t="s">
        <v>154</v>
      </c>
    </row>
    <row r="856" spans="9:12" x14ac:dyDescent="0.25">
      <c r="I856" t="s">
        <v>182</v>
      </c>
      <c r="J856" t="s">
        <v>233</v>
      </c>
      <c r="K856">
        <v>2.4579913955778812E-2</v>
      </c>
      <c r="L856" t="s">
        <v>154</v>
      </c>
    </row>
    <row r="857" spans="9:12" x14ac:dyDescent="0.25">
      <c r="I857" t="s">
        <v>182</v>
      </c>
      <c r="J857" t="s">
        <v>262</v>
      </c>
      <c r="K857">
        <v>1.7417863257902077E-2</v>
      </c>
      <c r="L857" t="s">
        <v>154</v>
      </c>
    </row>
    <row r="858" spans="9:12" x14ac:dyDescent="0.25">
      <c r="I858" t="s">
        <v>182</v>
      </c>
      <c r="J858" t="s">
        <v>263</v>
      </c>
      <c r="K858">
        <v>4.5987256023611121E-3</v>
      </c>
      <c r="L858" t="s">
        <v>154</v>
      </c>
    </row>
    <row r="859" spans="9:12" x14ac:dyDescent="0.25">
      <c r="I859" t="s">
        <v>182</v>
      </c>
      <c r="J859" t="s">
        <v>240</v>
      </c>
      <c r="K859">
        <v>0</v>
      </c>
      <c r="L859" t="s">
        <v>154</v>
      </c>
    </row>
    <row r="860" spans="9:12" x14ac:dyDescent="0.25">
      <c r="I860" t="s">
        <v>182</v>
      </c>
      <c r="J860" t="s">
        <v>241</v>
      </c>
      <c r="K860">
        <v>1.9482057570069673E-2</v>
      </c>
      <c r="L860" t="s">
        <v>154</v>
      </c>
    </row>
    <row r="861" spans="9:12" x14ac:dyDescent="0.25">
      <c r="I861" t="s">
        <v>182</v>
      </c>
      <c r="J861" t="s">
        <v>242</v>
      </c>
      <c r="K861">
        <v>1.9080605873366286E-2</v>
      </c>
      <c r="L861" t="s">
        <v>154</v>
      </c>
    </row>
    <row r="862" spans="9:12" x14ac:dyDescent="0.25">
      <c r="I862" t="s">
        <v>182</v>
      </c>
      <c r="J862" t="s">
        <v>243</v>
      </c>
      <c r="K862">
        <v>2.4379406094059419E-2</v>
      </c>
      <c r="L862" t="s">
        <v>154</v>
      </c>
    </row>
    <row r="863" spans="9:12" x14ac:dyDescent="0.25">
      <c r="I863" t="s">
        <v>182</v>
      </c>
      <c r="J863" t="s">
        <v>244</v>
      </c>
      <c r="K863">
        <v>8.9919344729210593E-2</v>
      </c>
      <c r="L863" t="s">
        <v>154</v>
      </c>
    </row>
    <row r="864" spans="9:12" x14ac:dyDescent="0.25">
      <c r="I864" t="s">
        <v>182</v>
      </c>
      <c r="J864" t="s">
        <v>245</v>
      </c>
      <c r="K864">
        <v>5.3783276187660101E-2</v>
      </c>
      <c r="L864" t="s">
        <v>154</v>
      </c>
    </row>
    <row r="865" spans="9:12" x14ac:dyDescent="0.25">
      <c r="I865" t="s">
        <v>182</v>
      </c>
      <c r="J865" t="s">
        <v>264</v>
      </c>
      <c r="K865">
        <v>3.6861572298552317E-2</v>
      </c>
      <c r="L865" t="s">
        <v>154</v>
      </c>
    </row>
    <row r="866" spans="9:12" x14ac:dyDescent="0.25">
      <c r="I866" t="s">
        <v>182</v>
      </c>
      <c r="J866" t="s">
        <v>265</v>
      </c>
      <c r="K866">
        <v>9.553854150816124E-3</v>
      </c>
      <c r="L866" t="s">
        <v>154</v>
      </c>
    </row>
    <row r="867" spans="9:12" x14ac:dyDescent="0.25">
      <c r="I867" t="s">
        <v>182</v>
      </c>
      <c r="J867" t="s">
        <v>246</v>
      </c>
      <c r="K867">
        <v>0</v>
      </c>
      <c r="L867" t="s">
        <v>154</v>
      </c>
    </row>
    <row r="868" spans="9:12" x14ac:dyDescent="0.25">
      <c r="I868" t="s">
        <v>182</v>
      </c>
      <c r="J868" t="s">
        <v>247</v>
      </c>
      <c r="K868">
        <v>1.6791224172094676E-2</v>
      </c>
      <c r="L868" t="s">
        <v>154</v>
      </c>
    </row>
    <row r="869" spans="9:12" x14ac:dyDescent="0.25">
      <c r="I869" t="s">
        <v>182</v>
      </c>
      <c r="J869" t="s">
        <v>248</v>
      </c>
      <c r="K869">
        <v>1.7316760190164055E-2</v>
      </c>
      <c r="L869" t="s">
        <v>154</v>
      </c>
    </row>
    <row r="870" spans="9:12" x14ac:dyDescent="0.25">
      <c r="I870" t="s">
        <v>182</v>
      </c>
      <c r="J870" t="s">
        <v>249</v>
      </c>
      <c r="K870">
        <v>2.1696980833330225E-2</v>
      </c>
      <c r="L870" t="s">
        <v>154</v>
      </c>
    </row>
    <row r="871" spans="9:12" x14ac:dyDescent="0.25">
      <c r="I871" t="s">
        <v>182</v>
      </c>
      <c r="J871" t="s">
        <v>250</v>
      </c>
      <c r="K871">
        <v>7.3575536106970152E-2</v>
      </c>
      <c r="L871" t="s">
        <v>154</v>
      </c>
    </row>
    <row r="872" spans="9:12" x14ac:dyDescent="0.25">
      <c r="I872" t="s">
        <v>182</v>
      </c>
      <c r="J872" t="s">
        <v>251</v>
      </c>
      <c r="K872">
        <v>4.2729293545939066E-2</v>
      </c>
      <c r="L872" t="s">
        <v>154</v>
      </c>
    </row>
    <row r="873" spans="9:12" x14ac:dyDescent="0.25">
      <c r="I873" t="s">
        <v>182</v>
      </c>
      <c r="J873" t="s">
        <v>266</v>
      </c>
      <c r="K873">
        <v>2.660923716884038E-2</v>
      </c>
      <c r="L873" t="s">
        <v>154</v>
      </c>
    </row>
    <row r="874" spans="9:12" x14ac:dyDescent="0.25">
      <c r="I874" t="s">
        <v>182</v>
      </c>
      <c r="J874" t="s">
        <v>267</v>
      </c>
      <c r="K874">
        <v>5.4057176560397728E-3</v>
      </c>
      <c r="L874" t="s">
        <v>154</v>
      </c>
    </row>
    <row r="875" spans="9:12" x14ac:dyDescent="0.25">
      <c r="I875" t="s">
        <v>183</v>
      </c>
      <c r="J875" t="s">
        <v>153</v>
      </c>
      <c r="K875">
        <v>0</v>
      </c>
      <c r="L875" t="s">
        <v>154</v>
      </c>
    </row>
    <row r="876" spans="9:12" x14ac:dyDescent="0.25">
      <c r="I876" t="s">
        <v>183</v>
      </c>
      <c r="J876" t="s">
        <v>155</v>
      </c>
      <c r="K876">
        <v>4.1174730039954073E-3</v>
      </c>
      <c r="L876" t="s">
        <v>154</v>
      </c>
    </row>
    <row r="877" spans="9:12" x14ac:dyDescent="0.25">
      <c r="I877" t="s">
        <v>183</v>
      </c>
      <c r="J877" t="s">
        <v>156</v>
      </c>
      <c r="K877">
        <v>4.6338364707374808E-3</v>
      </c>
      <c r="L877" t="s">
        <v>154</v>
      </c>
    </row>
    <row r="878" spans="9:12" x14ac:dyDescent="0.25">
      <c r="I878" t="s">
        <v>183</v>
      </c>
      <c r="J878" t="s">
        <v>222</v>
      </c>
      <c r="K878">
        <v>5.8947225885648113E-3</v>
      </c>
      <c r="L878" t="s">
        <v>154</v>
      </c>
    </row>
    <row r="879" spans="9:12" x14ac:dyDescent="0.25">
      <c r="I879" t="s">
        <v>183</v>
      </c>
      <c r="J879" t="s">
        <v>223</v>
      </c>
      <c r="K879">
        <v>2.0289240526735659E-2</v>
      </c>
      <c r="L879" t="s">
        <v>154</v>
      </c>
    </row>
    <row r="880" spans="9:12" x14ac:dyDescent="0.25">
      <c r="I880" t="s">
        <v>183</v>
      </c>
      <c r="J880" t="s">
        <v>224</v>
      </c>
      <c r="K880">
        <v>1.2733839780667297E-2</v>
      </c>
      <c r="L880" t="s">
        <v>154</v>
      </c>
    </row>
    <row r="881" spans="9:12" x14ac:dyDescent="0.25">
      <c r="I881" t="s">
        <v>183</v>
      </c>
      <c r="J881" t="s">
        <v>256</v>
      </c>
      <c r="K881">
        <v>7.8018446322011487E-3</v>
      </c>
      <c r="L881" t="s">
        <v>154</v>
      </c>
    </row>
    <row r="882" spans="9:12" x14ac:dyDescent="0.25">
      <c r="I882" t="s">
        <v>183</v>
      </c>
      <c r="J882" t="s">
        <v>257</v>
      </c>
      <c r="K882">
        <v>1.6414536128881317E-3</v>
      </c>
      <c r="L882" t="s">
        <v>154</v>
      </c>
    </row>
    <row r="883" spans="9:12" x14ac:dyDescent="0.25">
      <c r="I883" t="s">
        <v>183</v>
      </c>
      <c r="J883" t="s">
        <v>157</v>
      </c>
      <c r="K883">
        <v>0</v>
      </c>
      <c r="L883" t="s">
        <v>154</v>
      </c>
    </row>
    <row r="884" spans="9:12" x14ac:dyDescent="0.25">
      <c r="I884" t="s">
        <v>183</v>
      </c>
      <c r="J884" t="s">
        <v>158</v>
      </c>
      <c r="K884">
        <v>2.5920836589059457E-2</v>
      </c>
      <c r="L884" t="s">
        <v>154</v>
      </c>
    </row>
    <row r="885" spans="9:12" x14ac:dyDescent="0.25">
      <c r="I885" t="s">
        <v>183</v>
      </c>
      <c r="J885" t="s">
        <v>159</v>
      </c>
      <c r="K885">
        <v>2.6715975537101144E-2</v>
      </c>
      <c r="L885" t="s">
        <v>154</v>
      </c>
    </row>
    <row r="886" spans="9:12" x14ac:dyDescent="0.25">
      <c r="I886" t="s">
        <v>183</v>
      </c>
      <c r="J886" t="s">
        <v>225</v>
      </c>
      <c r="K886">
        <v>3.2793869539258003E-2</v>
      </c>
      <c r="L886" t="s">
        <v>154</v>
      </c>
    </row>
    <row r="887" spans="9:12" x14ac:dyDescent="0.25">
      <c r="I887" t="s">
        <v>183</v>
      </c>
      <c r="J887" t="s">
        <v>226</v>
      </c>
      <c r="K887">
        <v>0.11542107394030475</v>
      </c>
      <c r="L887" t="s">
        <v>154</v>
      </c>
    </row>
    <row r="888" spans="9:12" x14ac:dyDescent="0.25">
      <c r="I888" t="s">
        <v>183</v>
      </c>
      <c r="J888" t="s">
        <v>227</v>
      </c>
      <c r="K888">
        <v>6.7941849079314193E-2</v>
      </c>
      <c r="L888" t="s">
        <v>154</v>
      </c>
    </row>
    <row r="889" spans="9:12" x14ac:dyDescent="0.25">
      <c r="I889" t="s">
        <v>183</v>
      </c>
      <c r="J889" t="s">
        <v>258</v>
      </c>
      <c r="K889">
        <v>4.4316144167014286E-2</v>
      </c>
      <c r="L889" t="s">
        <v>154</v>
      </c>
    </row>
    <row r="890" spans="9:12" x14ac:dyDescent="0.25">
      <c r="I890" t="s">
        <v>183</v>
      </c>
      <c r="J890" t="s">
        <v>259</v>
      </c>
      <c r="K890">
        <v>1.1026661517053477E-2</v>
      </c>
      <c r="L890" t="s">
        <v>154</v>
      </c>
    </row>
    <row r="891" spans="9:12" x14ac:dyDescent="0.25">
      <c r="I891" t="s">
        <v>183</v>
      </c>
      <c r="J891" t="s">
        <v>160</v>
      </c>
      <c r="K891">
        <v>0</v>
      </c>
      <c r="L891" t="s">
        <v>154</v>
      </c>
    </row>
    <row r="892" spans="9:12" x14ac:dyDescent="0.25">
      <c r="I892" t="s">
        <v>183</v>
      </c>
      <c r="J892" t="s">
        <v>161</v>
      </c>
      <c r="K892">
        <v>3.291515987396547E-3</v>
      </c>
      <c r="L892" t="s">
        <v>154</v>
      </c>
    </row>
    <row r="893" spans="9:12" x14ac:dyDescent="0.25">
      <c r="I893" t="s">
        <v>183</v>
      </c>
      <c r="J893" t="s">
        <v>162</v>
      </c>
      <c r="K893">
        <v>3.2812649842474477E-3</v>
      </c>
      <c r="L893" t="s">
        <v>154</v>
      </c>
    </row>
    <row r="894" spans="9:12" x14ac:dyDescent="0.25">
      <c r="I894" t="s">
        <v>183</v>
      </c>
      <c r="J894" t="s">
        <v>228</v>
      </c>
      <c r="K894">
        <v>4.2206110959820495E-3</v>
      </c>
      <c r="L894" t="s">
        <v>154</v>
      </c>
    </row>
    <row r="895" spans="9:12" x14ac:dyDescent="0.25">
      <c r="I895" t="s">
        <v>183</v>
      </c>
      <c r="J895" t="s">
        <v>229</v>
      </c>
      <c r="K895">
        <v>1.5099782009848029E-2</v>
      </c>
      <c r="L895" t="s">
        <v>154</v>
      </c>
    </row>
    <row r="896" spans="9:12" x14ac:dyDescent="0.25">
      <c r="I896" t="s">
        <v>183</v>
      </c>
      <c r="J896" t="s">
        <v>230</v>
      </c>
      <c r="K896">
        <v>8.5722775045772442E-3</v>
      </c>
      <c r="L896" t="s">
        <v>154</v>
      </c>
    </row>
    <row r="897" spans="9:12" x14ac:dyDescent="0.25">
      <c r="I897" t="s">
        <v>183</v>
      </c>
      <c r="J897" t="s">
        <v>260</v>
      </c>
      <c r="K897">
        <v>5.0034256088646867E-3</v>
      </c>
      <c r="L897" t="s">
        <v>154</v>
      </c>
    </row>
    <row r="898" spans="9:12" x14ac:dyDescent="0.25">
      <c r="I898" t="s">
        <v>183</v>
      </c>
      <c r="J898" t="s">
        <v>261</v>
      </c>
      <c r="K898">
        <v>1.0290573301956472E-3</v>
      </c>
      <c r="L898" t="s">
        <v>154</v>
      </c>
    </row>
    <row r="899" spans="9:12" x14ac:dyDescent="0.25">
      <c r="I899" t="s">
        <v>183</v>
      </c>
      <c r="J899" t="s">
        <v>163</v>
      </c>
      <c r="K899">
        <v>0</v>
      </c>
      <c r="L899" t="s">
        <v>154</v>
      </c>
    </row>
    <row r="900" spans="9:12" x14ac:dyDescent="0.25">
      <c r="I900" t="s">
        <v>183</v>
      </c>
      <c r="J900" t="s">
        <v>164</v>
      </c>
      <c r="K900">
        <v>1.0823540306373901E-2</v>
      </c>
      <c r="L900" t="s">
        <v>154</v>
      </c>
    </row>
    <row r="901" spans="9:12" x14ac:dyDescent="0.25">
      <c r="I901" t="s">
        <v>183</v>
      </c>
      <c r="J901" t="s">
        <v>165</v>
      </c>
      <c r="K901">
        <v>9.8557674786874591E-3</v>
      </c>
      <c r="L901" t="s">
        <v>154</v>
      </c>
    </row>
    <row r="902" spans="9:12" x14ac:dyDescent="0.25">
      <c r="I902" t="s">
        <v>183</v>
      </c>
      <c r="J902" t="s">
        <v>231</v>
      </c>
      <c r="K902">
        <v>1.2056836653482669E-2</v>
      </c>
      <c r="L902" t="s">
        <v>154</v>
      </c>
    </row>
    <row r="903" spans="9:12" x14ac:dyDescent="0.25">
      <c r="I903" t="s">
        <v>183</v>
      </c>
      <c r="J903" t="s">
        <v>232</v>
      </c>
      <c r="K903">
        <v>4.3693743910343565E-2</v>
      </c>
      <c r="L903" t="s">
        <v>154</v>
      </c>
    </row>
    <row r="904" spans="9:12" x14ac:dyDescent="0.25">
      <c r="I904" t="s">
        <v>183</v>
      </c>
      <c r="J904" t="s">
        <v>233</v>
      </c>
      <c r="K904">
        <v>2.5325703544606677E-2</v>
      </c>
      <c r="L904" t="s">
        <v>154</v>
      </c>
    </row>
    <row r="905" spans="9:12" x14ac:dyDescent="0.25">
      <c r="I905" t="s">
        <v>183</v>
      </c>
      <c r="J905" t="s">
        <v>262</v>
      </c>
      <c r="K905">
        <v>1.6729187254814371E-2</v>
      </c>
      <c r="L905" t="s">
        <v>154</v>
      </c>
    </row>
    <row r="906" spans="9:12" x14ac:dyDescent="0.25">
      <c r="I906" t="s">
        <v>183</v>
      </c>
      <c r="J906" t="s">
        <v>263</v>
      </c>
      <c r="K906">
        <v>4.242866585691364E-3</v>
      </c>
      <c r="L906" t="s">
        <v>154</v>
      </c>
    </row>
    <row r="907" spans="9:12" x14ac:dyDescent="0.25">
      <c r="I907" t="s">
        <v>183</v>
      </c>
      <c r="J907" t="s">
        <v>240</v>
      </c>
      <c r="K907">
        <v>0</v>
      </c>
      <c r="L907" t="s">
        <v>154</v>
      </c>
    </row>
    <row r="908" spans="9:12" x14ac:dyDescent="0.25">
      <c r="I908" t="s">
        <v>183</v>
      </c>
      <c r="J908" t="s">
        <v>241</v>
      </c>
      <c r="K908">
        <v>1.9569159899052196E-2</v>
      </c>
      <c r="L908" t="s">
        <v>154</v>
      </c>
    </row>
    <row r="909" spans="9:12" x14ac:dyDescent="0.25">
      <c r="I909" t="s">
        <v>183</v>
      </c>
      <c r="J909" t="s">
        <v>242</v>
      </c>
      <c r="K909">
        <v>2.0130828492789719E-2</v>
      </c>
      <c r="L909" t="s">
        <v>154</v>
      </c>
    </row>
    <row r="910" spans="9:12" x14ac:dyDescent="0.25">
      <c r="I910" t="s">
        <v>183</v>
      </c>
      <c r="J910" t="s">
        <v>243</v>
      </c>
      <c r="K910">
        <v>2.5138424243411939E-2</v>
      </c>
      <c r="L910" t="s">
        <v>154</v>
      </c>
    </row>
    <row r="911" spans="9:12" x14ac:dyDescent="0.25">
      <c r="I911" t="s">
        <v>183</v>
      </c>
      <c r="J911" t="s">
        <v>244</v>
      </c>
      <c r="K911">
        <v>8.953016067207098E-2</v>
      </c>
      <c r="L911" t="s">
        <v>154</v>
      </c>
    </row>
    <row r="912" spans="9:12" x14ac:dyDescent="0.25">
      <c r="I912" t="s">
        <v>183</v>
      </c>
      <c r="J912" t="s">
        <v>245</v>
      </c>
      <c r="K912">
        <v>5.5004658705333609E-2</v>
      </c>
      <c r="L912" t="s">
        <v>154</v>
      </c>
    </row>
    <row r="913" spans="9:12" x14ac:dyDescent="0.25">
      <c r="I913" t="s">
        <v>183</v>
      </c>
      <c r="J913" t="s">
        <v>264</v>
      </c>
      <c r="K913">
        <v>3.601566469152824E-2</v>
      </c>
      <c r="L913" t="s">
        <v>154</v>
      </c>
    </row>
    <row r="914" spans="9:12" x14ac:dyDescent="0.25">
      <c r="I914" t="s">
        <v>183</v>
      </c>
      <c r="J914" t="s">
        <v>265</v>
      </c>
      <c r="K914">
        <v>9.3626264328952203E-3</v>
      </c>
      <c r="L914" t="s">
        <v>154</v>
      </c>
    </row>
    <row r="915" spans="9:12" x14ac:dyDescent="0.25">
      <c r="I915" t="s">
        <v>183</v>
      </c>
      <c r="J915" t="s">
        <v>246</v>
      </c>
      <c r="K915">
        <v>0</v>
      </c>
      <c r="L915" t="s">
        <v>154</v>
      </c>
    </row>
    <row r="916" spans="9:12" x14ac:dyDescent="0.25">
      <c r="I916" t="s">
        <v>183</v>
      </c>
      <c r="J916" t="s">
        <v>247</v>
      </c>
      <c r="K916">
        <v>1.668343307121193E-2</v>
      </c>
      <c r="L916" t="s">
        <v>154</v>
      </c>
    </row>
    <row r="917" spans="9:12" x14ac:dyDescent="0.25">
      <c r="I917" t="s">
        <v>183</v>
      </c>
      <c r="J917" t="s">
        <v>248</v>
      </c>
      <c r="K917">
        <v>1.7572800147304415E-2</v>
      </c>
      <c r="L917" t="s">
        <v>154</v>
      </c>
    </row>
    <row r="918" spans="9:12" x14ac:dyDescent="0.25">
      <c r="I918" t="s">
        <v>183</v>
      </c>
      <c r="J918" t="s">
        <v>249</v>
      </c>
      <c r="K918">
        <v>2.2032434376892774E-2</v>
      </c>
      <c r="L918" t="s">
        <v>154</v>
      </c>
    </row>
    <row r="919" spans="9:12" x14ac:dyDescent="0.25">
      <c r="I919" t="s">
        <v>183</v>
      </c>
      <c r="J919" t="s">
        <v>250</v>
      </c>
      <c r="K919">
        <v>7.2997471533118918E-2</v>
      </c>
      <c r="L919" t="s">
        <v>154</v>
      </c>
    </row>
    <row r="920" spans="9:12" x14ac:dyDescent="0.25">
      <c r="I920" t="s">
        <v>183</v>
      </c>
      <c r="J920" t="s">
        <v>251</v>
      </c>
      <c r="K920">
        <v>4.2400326005543797E-2</v>
      </c>
      <c r="L920" t="s">
        <v>154</v>
      </c>
    </row>
    <row r="921" spans="9:12" x14ac:dyDescent="0.25">
      <c r="I921" t="s">
        <v>183</v>
      </c>
      <c r="J921" t="s">
        <v>266</v>
      </c>
      <c r="K921">
        <v>2.4402265256709233E-2</v>
      </c>
      <c r="L921" t="s">
        <v>154</v>
      </c>
    </row>
    <row r="922" spans="9:12" x14ac:dyDescent="0.25">
      <c r="I922" t="s">
        <v>183</v>
      </c>
      <c r="J922" t="s">
        <v>267</v>
      </c>
      <c r="K922">
        <v>4.6853452321283318E-3</v>
      </c>
      <c r="L922" t="s">
        <v>154</v>
      </c>
    </row>
    <row r="923" spans="9:12" x14ac:dyDescent="0.25">
      <c r="I923" t="s">
        <v>184</v>
      </c>
      <c r="J923" t="s">
        <v>153</v>
      </c>
      <c r="K923">
        <v>0</v>
      </c>
      <c r="L923" t="s">
        <v>154</v>
      </c>
    </row>
    <row r="924" spans="9:12" x14ac:dyDescent="0.25">
      <c r="I924" t="s">
        <v>184</v>
      </c>
      <c r="J924" t="s">
        <v>155</v>
      </c>
      <c r="K924">
        <v>4.2691248927008872E-3</v>
      </c>
      <c r="L924" t="s">
        <v>154</v>
      </c>
    </row>
    <row r="925" spans="9:12" x14ac:dyDescent="0.25">
      <c r="I925" t="s">
        <v>184</v>
      </c>
      <c r="J925" t="s">
        <v>156</v>
      </c>
      <c r="K925">
        <v>5.0869503683297311E-3</v>
      </c>
      <c r="L925" t="s">
        <v>154</v>
      </c>
    </row>
    <row r="926" spans="9:12" x14ac:dyDescent="0.25">
      <c r="I926" t="s">
        <v>184</v>
      </c>
      <c r="J926" t="s">
        <v>222</v>
      </c>
      <c r="K926">
        <v>6.5449367176632538E-3</v>
      </c>
      <c r="L926" t="s">
        <v>154</v>
      </c>
    </row>
    <row r="927" spans="9:12" x14ac:dyDescent="0.25">
      <c r="I927" t="s">
        <v>184</v>
      </c>
      <c r="J927" t="s">
        <v>223</v>
      </c>
      <c r="K927">
        <v>2.1229505601084112E-2</v>
      </c>
      <c r="L927" t="s">
        <v>154</v>
      </c>
    </row>
    <row r="928" spans="9:12" x14ac:dyDescent="0.25">
      <c r="I928" t="s">
        <v>184</v>
      </c>
      <c r="J928" t="s">
        <v>224</v>
      </c>
      <c r="K928">
        <v>1.1649211175781398E-2</v>
      </c>
      <c r="L928" t="s">
        <v>154</v>
      </c>
    </row>
    <row r="929" spans="9:12" x14ac:dyDescent="0.25">
      <c r="I929" t="s">
        <v>184</v>
      </c>
      <c r="J929" t="s">
        <v>256</v>
      </c>
      <c r="K929">
        <v>7.1789524395233697E-3</v>
      </c>
      <c r="L929" t="s">
        <v>154</v>
      </c>
    </row>
    <row r="930" spans="9:12" x14ac:dyDescent="0.25">
      <c r="I930" t="s">
        <v>184</v>
      </c>
      <c r="J930" t="s">
        <v>257</v>
      </c>
      <c r="K930">
        <v>1.577735953572736E-3</v>
      </c>
      <c r="L930" t="s">
        <v>154</v>
      </c>
    </row>
    <row r="931" spans="9:12" x14ac:dyDescent="0.25">
      <c r="I931" t="s">
        <v>184</v>
      </c>
      <c r="J931" t="s">
        <v>157</v>
      </c>
      <c r="K931">
        <v>0</v>
      </c>
      <c r="L931" t="s">
        <v>154</v>
      </c>
    </row>
    <row r="932" spans="9:12" x14ac:dyDescent="0.25">
      <c r="I932" t="s">
        <v>184</v>
      </c>
      <c r="J932" t="s">
        <v>158</v>
      </c>
      <c r="K932">
        <v>2.3812141894876127E-2</v>
      </c>
      <c r="L932" t="s">
        <v>154</v>
      </c>
    </row>
    <row r="933" spans="9:12" x14ac:dyDescent="0.25">
      <c r="I933" t="s">
        <v>184</v>
      </c>
      <c r="J933" t="s">
        <v>159</v>
      </c>
      <c r="K933">
        <v>2.6555169047058201E-2</v>
      </c>
      <c r="L933" t="s">
        <v>154</v>
      </c>
    </row>
    <row r="934" spans="9:12" x14ac:dyDescent="0.25">
      <c r="I934" t="s">
        <v>184</v>
      </c>
      <c r="J934" t="s">
        <v>225</v>
      </c>
      <c r="K934">
        <v>3.3280643898868791E-2</v>
      </c>
      <c r="L934" t="s">
        <v>154</v>
      </c>
    </row>
    <row r="935" spans="9:12" x14ac:dyDescent="0.25">
      <c r="I935" t="s">
        <v>184</v>
      </c>
      <c r="J935" t="s">
        <v>226</v>
      </c>
      <c r="K935">
        <v>0.11589777401477012</v>
      </c>
      <c r="L935" t="s">
        <v>154</v>
      </c>
    </row>
    <row r="936" spans="9:12" x14ac:dyDescent="0.25">
      <c r="I936" t="s">
        <v>184</v>
      </c>
      <c r="J936" t="s">
        <v>227</v>
      </c>
      <c r="K936">
        <v>7.0492598322756755E-2</v>
      </c>
      <c r="L936" t="s">
        <v>154</v>
      </c>
    </row>
    <row r="937" spans="9:12" x14ac:dyDescent="0.25">
      <c r="I937" t="s">
        <v>184</v>
      </c>
      <c r="J937" t="s">
        <v>258</v>
      </c>
      <c r="K937">
        <v>4.6248676786887863E-2</v>
      </c>
      <c r="L937" t="s">
        <v>154</v>
      </c>
    </row>
    <row r="938" spans="9:12" x14ac:dyDescent="0.25">
      <c r="I938" t="s">
        <v>184</v>
      </c>
      <c r="J938" t="s">
        <v>259</v>
      </c>
      <c r="K938">
        <v>1.1414716875171226E-2</v>
      </c>
      <c r="L938" t="s">
        <v>154</v>
      </c>
    </row>
    <row r="939" spans="9:12" x14ac:dyDescent="0.25">
      <c r="I939" t="s">
        <v>184</v>
      </c>
      <c r="J939" t="s">
        <v>160</v>
      </c>
      <c r="K939">
        <v>0</v>
      </c>
      <c r="L939" t="s">
        <v>154</v>
      </c>
    </row>
    <row r="940" spans="9:12" x14ac:dyDescent="0.25">
      <c r="I940" t="s">
        <v>184</v>
      </c>
      <c r="J940" t="s">
        <v>161</v>
      </c>
      <c r="K940">
        <v>3.4835241153167236E-3</v>
      </c>
      <c r="L940" t="s">
        <v>154</v>
      </c>
    </row>
    <row r="941" spans="9:12" x14ac:dyDescent="0.25">
      <c r="I941" t="s">
        <v>184</v>
      </c>
      <c r="J941" t="s">
        <v>162</v>
      </c>
      <c r="K941">
        <v>3.3869377082887619E-3</v>
      </c>
      <c r="L941" t="s">
        <v>154</v>
      </c>
    </row>
    <row r="942" spans="9:12" x14ac:dyDescent="0.25">
      <c r="I942" t="s">
        <v>184</v>
      </c>
      <c r="J942" t="s">
        <v>228</v>
      </c>
      <c r="K942">
        <v>4.2658286722236137E-3</v>
      </c>
      <c r="L942" t="s">
        <v>154</v>
      </c>
    </row>
    <row r="943" spans="9:12" x14ac:dyDescent="0.25">
      <c r="I943" t="s">
        <v>184</v>
      </c>
      <c r="J943" t="s">
        <v>229</v>
      </c>
      <c r="K943">
        <v>1.5847093151854581E-2</v>
      </c>
      <c r="L943" t="s">
        <v>154</v>
      </c>
    </row>
    <row r="944" spans="9:12" x14ac:dyDescent="0.25">
      <c r="I944" t="s">
        <v>184</v>
      </c>
      <c r="J944" t="s">
        <v>230</v>
      </c>
      <c r="K944">
        <v>9.2704134533853101E-3</v>
      </c>
      <c r="L944" t="s">
        <v>154</v>
      </c>
    </row>
    <row r="945" spans="9:12" x14ac:dyDescent="0.25">
      <c r="I945" t="s">
        <v>184</v>
      </c>
      <c r="J945" t="s">
        <v>260</v>
      </c>
      <c r="K945">
        <v>5.0935252733905305E-3</v>
      </c>
      <c r="L945" t="s">
        <v>154</v>
      </c>
    </row>
    <row r="946" spans="9:12" x14ac:dyDescent="0.25">
      <c r="I946" t="s">
        <v>184</v>
      </c>
      <c r="J946" t="s">
        <v>261</v>
      </c>
      <c r="K946">
        <v>9.0323714024744049E-4</v>
      </c>
      <c r="L946" t="s">
        <v>154</v>
      </c>
    </row>
    <row r="947" spans="9:12" x14ac:dyDescent="0.25">
      <c r="I947" t="s">
        <v>184</v>
      </c>
      <c r="J947" t="s">
        <v>163</v>
      </c>
      <c r="K947">
        <v>0</v>
      </c>
      <c r="L947" t="s">
        <v>154</v>
      </c>
    </row>
    <row r="948" spans="9:12" x14ac:dyDescent="0.25">
      <c r="I948" t="s">
        <v>184</v>
      </c>
      <c r="J948" t="s">
        <v>164</v>
      </c>
      <c r="K948">
        <v>1.0256967224131278E-2</v>
      </c>
      <c r="L948" t="s">
        <v>154</v>
      </c>
    </row>
    <row r="949" spans="9:12" x14ac:dyDescent="0.25">
      <c r="I949" t="s">
        <v>184</v>
      </c>
      <c r="J949" t="s">
        <v>165</v>
      </c>
      <c r="K949">
        <v>9.6434375469641488E-3</v>
      </c>
      <c r="L949" t="s">
        <v>154</v>
      </c>
    </row>
    <row r="950" spans="9:12" x14ac:dyDescent="0.25">
      <c r="I950" t="s">
        <v>184</v>
      </c>
      <c r="J950" t="s">
        <v>231</v>
      </c>
      <c r="K950">
        <v>1.1765742350938913E-2</v>
      </c>
      <c r="L950" t="s">
        <v>154</v>
      </c>
    </row>
    <row r="951" spans="9:12" x14ac:dyDescent="0.25">
      <c r="I951" t="s">
        <v>184</v>
      </c>
      <c r="J951" t="s">
        <v>232</v>
      </c>
      <c r="K951">
        <v>4.2632767159151048E-2</v>
      </c>
      <c r="L951" t="s">
        <v>154</v>
      </c>
    </row>
    <row r="952" spans="9:12" x14ac:dyDescent="0.25">
      <c r="I952" t="s">
        <v>184</v>
      </c>
      <c r="J952" t="s">
        <v>233</v>
      </c>
      <c r="K952">
        <v>2.5474963281087826E-2</v>
      </c>
      <c r="L952" t="s">
        <v>154</v>
      </c>
    </row>
    <row r="953" spans="9:12" x14ac:dyDescent="0.25">
      <c r="I953" t="s">
        <v>184</v>
      </c>
      <c r="J953" t="s">
        <v>262</v>
      </c>
      <c r="K953">
        <v>1.628795899708552E-2</v>
      </c>
      <c r="L953" t="s">
        <v>154</v>
      </c>
    </row>
    <row r="954" spans="9:12" x14ac:dyDescent="0.25">
      <c r="I954" t="s">
        <v>184</v>
      </c>
      <c r="J954" t="s">
        <v>263</v>
      </c>
      <c r="K954">
        <v>3.9068783908740804E-3</v>
      </c>
      <c r="L954" t="s">
        <v>154</v>
      </c>
    </row>
    <row r="955" spans="9:12" x14ac:dyDescent="0.25">
      <c r="I955" t="s">
        <v>184</v>
      </c>
      <c r="J955" t="s">
        <v>240</v>
      </c>
      <c r="K955">
        <v>0</v>
      </c>
      <c r="L955" t="s">
        <v>154</v>
      </c>
    </row>
    <row r="956" spans="9:12" x14ac:dyDescent="0.25">
      <c r="I956" t="s">
        <v>184</v>
      </c>
      <c r="J956" t="s">
        <v>241</v>
      </c>
      <c r="K956">
        <v>2.0678485826860948E-2</v>
      </c>
      <c r="L956" t="s">
        <v>154</v>
      </c>
    </row>
    <row r="957" spans="9:12" x14ac:dyDescent="0.25">
      <c r="I957" t="s">
        <v>184</v>
      </c>
      <c r="J957" t="s">
        <v>242</v>
      </c>
      <c r="K957">
        <v>2.0904088790503376E-2</v>
      </c>
      <c r="L957" t="s">
        <v>154</v>
      </c>
    </row>
    <row r="958" spans="9:12" x14ac:dyDescent="0.25">
      <c r="I958" t="s">
        <v>184</v>
      </c>
      <c r="J958" t="s">
        <v>243</v>
      </c>
      <c r="K958">
        <v>2.5705385404080419E-2</v>
      </c>
      <c r="L958" t="s">
        <v>154</v>
      </c>
    </row>
    <row r="959" spans="9:12" x14ac:dyDescent="0.25">
      <c r="I959" t="s">
        <v>184</v>
      </c>
      <c r="J959" t="s">
        <v>244</v>
      </c>
      <c r="K959">
        <v>9.0249411918400926E-2</v>
      </c>
      <c r="L959" t="s">
        <v>154</v>
      </c>
    </row>
    <row r="960" spans="9:12" x14ac:dyDescent="0.25">
      <c r="I960" t="s">
        <v>184</v>
      </c>
      <c r="J960" t="s">
        <v>245</v>
      </c>
      <c r="K960">
        <v>5.5065369319361256E-2</v>
      </c>
      <c r="L960" t="s">
        <v>154</v>
      </c>
    </row>
    <row r="961" spans="9:12" x14ac:dyDescent="0.25">
      <c r="I961" t="s">
        <v>184</v>
      </c>
      <c r="J961" t="s">
        <v>264</v>
      </c>
      <c r="K961">
        <v>3.6186410994101539E-2</v>
      </c>
      <c r="L961" t="s">
        <v>154</v>
      </c>
    </row>
    <row r="962" spans="9:12" x14ac:dyDescent="0.25">
      <c r="I962" t="s">
        <v>184</v>
      </c>
      <c r="J962" t="s">
        <v>265</v>
      </c>
      <c r="K962">
        <v>8.5652001896267121E-3</v>
      </c>
      <c r="L962" t="s">
        <v>154</v>
      </c>
    </row>
    <row r="963" spans="9:12" x14ac:dyDescent="0.25">
      <c r="I963" t="s">
        <v>184</v>
      </c>
      <c r="J963" t="s">
        <v>246</v>
      </c>
      <c r="K963">
        <v>0</v>
      </c>
      <c r="L963" t="s">
        <v>154</v>
      </c>
    </row>
    <row r="964" spans="9:12" x14ac:dyDescent="0.25">
      <c r="I964" t="s">
        <v>184</v>
      </c>
      <c r="J964" t="s">
        <v>247</v>
      </c>
      <c r="K964">
        <v>1.6343421803042595E-2</v>
      </c>
      <c r="L964" t="s">
        <v>154</v>
      </c>
    </row>
    <row r="965" spans="9:12" x14ac:dyDescent="0.25">
      <c r="I965" t="s">
        <v>184</v>
      </c>
      <c r="J965" t="s">
        <v>248</v>
      </c>
      <c r="K965">
        <v>1.7465819188907709E-2</v>
      </c>
      <c r="L965" t="s">
        <v>154</v>
      </c>
    </row>
    <row r="966" spans="9:12" x14ac:dyDescent="0.25">
      <c r="I966" t="s">
        <v>184</v>
      </c>
      <c r="J966" t="s">
        <v>249</v>
      </c>
      <c r="K966">
        <v>2.1625647039258702E-2</v>
      </c>
      <c r="L966" t="s">
        <v>154</v>
      </c>
    </row>
    <row r="967" spans="9:12" x14ac:dyDescent="0.25">
      <c r="I967" t="s">
        <v>184</v>
      </c>
      <c r="J967" t="s">
        <v>250</v>
      </c>
      <c r="K967">
        <v>7.1900929155843826E-2</v>
      </c>
      <c r="L967" t="s">
        <v>154</v>
      </c>
    </row>
    <row r="968" spans="9:12" x14ac:dyDescent="0.25">
      <c r="I968" t="s">
        <v>184</v>
      </c>
      <c r="J968" t="s">
        <v>251</v>
      </c>
      <c r="K968">
        <v>4.0847785583441015E-2</v>
      </c>
      <c r="L968" t="s">
        <v>154</v>
      </c>
    </row>
    <row r="969" spans="9:12" x14ac:dyDescent="0.25">
      <c r="I969" t="s">
        <v>184</v>
      </c>
      <c r="J969" t="s">
        <v>266</v>
      </c>
      <c r="K969">
        <v>2.2852247821027644E-2</v>
      </c>
      <c r="L969" t="s">
        <v>154</v>
      </c>
    </row>
    <row r="970" spans="9:12" x14ac:dyDescent="0.25">
      <c r="I970" t="s">
        <v>184</v>
      </c>
      <c r="J970" t="s">
        <v>267</v>
      </c>
      <c r="K970">
        <v>4.1523845115619493E-3</v>
      </c>
      <c r="L970" t="s">
        <v>154</v>
      </c>
    </row>
    <row r="971" spans="9:12" x14ac:dyDescent="0.25">
      <c r="I971" t="s">
        <v>185</v>
      </c>
      <c r="J971" t="s">
        <v>153</v>
      </c>
      <c r="K971">
        <v>0</v>
      </c>
      <c r="L971" t="s">
        <v>154</v>
      </c>
    </row>
    <row r="972" spans="9:12" x14ac:dyDescent="0.25">
      <c r="I972" t="s">
        <v>185</v>
      </c>
      <c r="J972" t="s">
        <v>155</v>
      </c>
      <c r="K972">
        <v>3.0454845868886256E-3</v>
      </c>
      <c r="L972" t="s">
        <v>154</v>
      </c>
    </row>
    <row r="973" spans="9:12" x14ac:dyDescent="0.25">
      <c r="I973" t="s">
        <v>185</v>
      </c>
      <c r="J973" t="s">
        <v>156</v>
      </c>
      <c r="K973">
        <v>4.3852965431049303E-3</v>
      </c>
      <c r="L973" t="s">
        <v>154</v>
      </c>
    </row>
    <row r="974" spans="9:12" x14ac:dyDescent="0.25">
      <c r="I974" t="s">
        <v>185</v>
      </c>
      <c r="J974" t="s">
        <v>222</v>
      </c>
      <c r="K974">
        <v>5.6023250150466983E-3</v>
      </c>
      <c r="L974" t="s">
        <v>154</v>
      </c>
    </row>
    <row r="975" spans="9:12" x14ac:dyDescent="0.25">
      <c r="I975" t="s">
        <v>185</v>
      </c>
      <c r="J975" t="s">
        <v>223</v>
      </c>
      <c r="K975">
        <v>1.9754535886243135E-2</v>
      </c>
      <c r="L975" t="s">
        <v>154</v>
      </c>
    </row>
    <row r="976" spans="9:12" x14ac:dyDescent="0.25">
      <c r="I976" t="s">
        <v>185</v>
      </c>
      <c r="J976" t="s">
        <v>224</v>
      </c>
      <c r="K976">
        <v>1.0120196534783493E-2</v>
      </c>
      <c r="L976" t="s">
        <v>154</v>
      </c>
    </row>
    <row r="977" spans="9:12" x14ac:dyDescent="0.25">
      <c r="I977" t="s">
        <v>185</v>
      </c>
      <c r="J977" t="s">
        <v>256</v>
      </c>
      <c r="K977">
        <v>6.2771011220837418E-3</v>
      </c>
      <c r="L977" t="s">
        <v>154</v>
      </c>
    </row>
    <row r="978" spans="9:12" x14ac:dyDescent="0.25">
      <c r="I978" t="s">
        <v>185</v>
      </c>
      <c r="J978" t="s">
        <v>257</v>
      </c>
      <c r="K978">
        <v>1.5412401557800171E-3</v>
      </c>
      <c r="L978" t="s">
        <v>154</v>
      </c>
    </row>
    <row r="979" spans="9:12" x14ac:dyDescent="0.25">
      <c r="I979" t="s">
        <v>185</v>
      </c>
      <c r="J979" t="s">
        <v>157</v>
      </c>
      <c r="K979">
        <v>0</v>
      </c>
      <c r="L979" t="s">
        <v>154</v>
      </c>
    </row>
    <row r="980" spans="9:12" x14ac:dyDescent="0.25">
      <c r="I980" t="s">
        <v>185</v>
      </c>
      <c r="J980" t="s">
        <v>158</v>
      </c>
      <c r="K980">
        <v>2.37810564698996E-2</v>
      </c>
      <c r="L980" t="s">
        <v>154</v>
      </c>
    </row>
    <row r="981" spans="9:12" x14ac:dyDescent="0.25">
      <c r="I981" t="s">
        <v>185</v>
      </c>
      <c r="J981" t="s">
        <v>159</v>
      </c>
      <c r="K981">
        <v>2.8413375681064907E-2</v>
      </c>
      <c r="L981" t="s">
        <v>154</v>
      </c>
    </row>
    <row r="982" spans="9:12" x14ac:dyDescent="0.25">
      <c r="I982" t="s">
        <v>185</v>
      </c>
      <c r="J982" t="s">
        <v>225</v>
      </c>
      <c r="K982">
        <v>3.4722079429102645E-2</v>
      </c>
      <c r="L982" t="s">
        <v>154</v>
      </c>
    </row>
    <row r="983" spans="9:12" x14ac:dyDescent="0.25">
      <c r="I983" t="s">
        <v>185</v>
      </c>
      <c r="J983" t="s">
        <v>226</v>
      </c>
      <c r="K983">
        <v>0.12173878719140356</v>
      </c>
      <c r="L983" t="s">
        <v>154</v>
      </c>
    </row>
    <row r="984" spans="9:12" x14ac:dyDescent="0.25">
      <c r="I984" t="s">
        <v>185</v>
      </c>
      <c r="J984" t="s">
        <v>227</v>
      </c>
      <c r="K984">
        <v>7.0575603023592184E-2</v>
      </c>
      <c r="L984" t="s">
        <v>154</v>
      </c>
    </row>
    <row r="985" spans="9:12" x14ac:dyDescent="0.25">
      <c r="I985" t="s">
        <v>185</v>
      </c>
      <c r="J985" t="s">
        <v>258</v>
      </c>
      <c r="K985">
        <v>4.5642869163381679E-2</v>
      </c>
      <c r="L985" t="s">
        <v>154</v>
      </c>
    </row>
    <row r="986" spans="9:12" x14ac:dyDescent="0.25">
      <c r="I986" t="s">
        <v>185</v>
      </c>
      <c r="J986" t="s">
        <v>259</v>
      </c>
      <c r="K986">
        <v>1.163805074576949E-2</v>
      </c>
      <c r="L986" t="s">
        <v>154</v>
      </c>
    </row>
    <row r="987" spans="9:12" x14ac:dyDescent="0.25">
      <c r="I987" t="s">
        <v>185</v>
      </c>
      <c r="J987" t="s">
        <v>160</v>
      </c>
      <c r="K987">
        <v>0</v>
      </c>
      <c r="L987" t="s">
        <v>154</v>
      </c>
    </row>
    <row r="988" spans="9:12" x14ac:dyDescent="0.25">
      <c r="I988" t="s">
        <v>185</v>
      </c>
      <c r="J988" t="s">
        <v>161</v>
      </c>
      <c r="K988">
        <v>3.383696803476997E-3</v>
      </c>
      <c r="L988" t="s">
        <v>154</v>
      </c>
    </row>
    <row r="989" spans="9:12" x14ac:dyDescent="0.25">
      <c r="I989" t="s">
        <v>185</v>
      </c>
      <c r="J989" t="s">
        <v>162</v>
      </c>
      <c r="K989">
        <v>3.6514832567741081E-3</v>
      </c>
      <c r="L989" t="s">
        <v>154</v>
      </c>
    </row>
    <row r="990" spans="9:12" x14ac:dyDescent="0.25">
      <c r="I990" t="s">
        <v>185</v>
      </c>
      <c r="J990" t="s">
        <v>228</v>
      </c>
      <c r="K990">
        <v>4.6143323196438909E-3</v>
      </c>
      <c r="L990" t="s">
        <v>154</v>
      </c>
    </row>
    <row r="991" spans="9:12" x14ac:dyDescent="0.25">
      <c r="I991" t="s">
        <v>185</v>
      </c>
      <c r="J991" t="s">
        <v>229</v>
      </c>
      <c r="K991">
        <v>1.5924914755257258E-2</v>
      </c>
      <c r="L991" t="s">
        <v>154</v>
      </c>
    </row>
    <row r="992" spans="9:12" x14ac:dyDescent="0.25">
      <c r="I992" t="s">
        <v>185</v>
      </c>
      <c r="J992" t="s">
        <v>230</v>
      </c>
      <c r="K992">
        <v>8.1749692364521311E-3</v>
      </c>
      <c r="L992" t="s">
        <v>154</v>
      </c>
    </row>
    <row r="993" spans="9:12" x14ac:dyDescent="0.25">
      <c r="I993" t="s">
        <v>185</v>
      </c>
      <c r="J993" t="s">
        <v>260</v>
      </c>
      <c r="K993">
        <v>3.7745065091178099E-3</v>
      </c>
      <c r="L993" t="s">
        <v>154</v>
      </c>
    </row>
    <row r="994" spans="9:12" x14ac:dyDescent="0.25">
      <c r="I994" t="s">
        <v>185</v>
      </c>
      <c r="J994" t="s">
        <v>261</v>
      </c>
      <c r="K994">
        <v>7.1945818057857702E-4</v>
      </c>
      <c r="L994" t="s">
        <v>154</v>
      </c>
    </row>
    <row r="995" spans="9:12" x14ac:dyDescent="0.25">
      <c r="I995" t="s">
        <v>185</v>
      </c>
      <c r="J995" t="s">
        <v>163</v>
      </c>
      <c r="K995">
        <v>0</v>
      </c>
      <c r="L995" t="s">
        <v>154</v>
      </c>
    </row>
    <row r="996" spans="9:12" x14ac:dyDescent="0.25">
      <c r="I996" t="s">
        <v>185</v>
      </c>
      <c r="J996" t="s">
        <v>164</v>
      </c>
      <c r="K996">
        <v>1.0111293223182782E-2</v>
      </c>
      <c r="L996" t="s">
        <v>154</v>
      </c>
    </row>
    <row r="997" spans="9:12" x14ac:dyDescent="0.25">
      <c r="I997" t="s">
        <v>185</v>
      </c>
      <c r="J997" t="s">
        <v>165</v>
      </c>
      <c r="K997">
        <v>1.0082019019739178E-2</v>
      </c>
      <c r="L997" t="s">
        <v>154</v>
      </c>
    </row>
    <row r="998" spans="9:12" x14ac:dyDescent="0.25">
      <c r="I998" t="s">
        <v>185</v>
      </c>
      <c r="J998" t="s">
        <v>231</v>
      </c>
      <c r="K998">
        <v>1.2562970788200603E-2</v>
      </c>
      <c r="L998" t="s">
        <v>154</v>
      </c>
    </row>
    <row r="999" spans="9:12" x14ac:dyDescent="0.25">
      <c r="I999" t="s">
        <v>185</v>
      </c>
      <c r="J999" t="s">
        <v>232</v>
      </c>
      <c r="K999">
        <v>4.5220095610439451E-2</v>
      </c>
      <c r="L999" t="s">
        <v>154</v>
      </c>
    </row>
    <row r="1000" spans="9:12" x14ac:dyDescent="0.25">
      <c r="I1000" t="s">
        <v>185</v>
      </c>
      <c r="J1000" t="s">
        <v>233</v>
      </c>
      <c r="K1000">
        <v>2.441971148099711E-2</v>
      </c>
      <c r="L1000" t="s">
        <v>154</v>
      </c>
    </row>
    <row r="1001" spans="9:12" x14ac:dyDescent="0.25">
      <c r="I1001" t="s">
        <v>185</v>
      </c>
      <c r="J1001" t="s">
        <v>262</v>
      </c>
      <c r="K1001">
        <v>1.3774171895057353E-2</v>
      </c>
      <c r="L1001" t="s">
        <v>154</v>
      </c>
    </row>
    <row r="1002" spans="9:12" x14ac:dyDescent="0.25">
      <c r="I1002" t="s">
        <v>185</v>
      </c>
      <c r="J1002" t="s">
        <v>263</v>
      </c>
      <c r="K1002">
        <v>3.210771422811033E-3</v>
      </c>
      <c r="L1002" t="s">
        <v>154</v>
      </c>
    </row>
    <row r="1003" spans="9:12" x14ac:dyDescent="0.25">
      <c r="I1003" t="s">
        <v>185</v>
      </c>
      <c r="J1003" t="s">
        <v>240</v>
      </c>
      <c r="K1003">
        <v>0</v>
      </c>
      <c r="L1003" t="s">
        <v>154</v>
      </c>
    </row>
    <row r="1004" spans="9:12" x14ac:dyDescent="0.25">
      <c r="I1004" t="s">
        <v>185</v>
      </c>
      <c r="J1004" t="s">
        <v>241</v>
      </c>
      <c r="K1004">
        <v>2.1962561071534301E-2</v>
      </c>
      <c r="L1004" t="s">
        <v>154</v>
      </c>
    </row>
    <row r="1005" spans="9:12" x14ac:dyDescent="0.25">
      <c r="I1005" t="s">
        <v>185</v>
      </c>
      <c r="J1005" t="s">
        <v>242</v>
      </c>
      <c r="K1005">
        <v>2.2493720013768391E-2</v>
      </c>
      <c r="L1005" t="s">
        <v>154</v>
      </c>
    </row>
    <row r="1006" spans="9:12" x14ac:dyDescent="0.25">
      <c r="I1006" t="s">
        <v>185</v>
      </c>
      <c r="J1006" t="s">
        <v>243</v>
      </c>
      <c r="K1006">
        <v>2.7541846917452633E-2</v>
      </c>
      <c r="L1006" t="s">
        <v>154</v>
      </c>
    </row>
    <row r="1007" spans="9:12" x14ac:dyDescent="0.25">
      <c r="I1007" t="s">
        <v>185</v>
      </c>
      <c r="J1007" t="s">
        <v>244</v>
      </c>
      <c r="K1007">
        <v>9.7368954933350252E-2</v>
      </c>
      <c r="L1007" t="s">
        <v>154</v>
      </c>
    </row>
    <row r="1008" spans="9:12" x14ac:dyDescent="0.25">
      <c r="I1008" t="s">
        <v>185</v>
      </c>
      <c r="J1008" t="s">
        <v>245</v>
      </c>
      <c r="K1008">
        <v>5.5093250943755334E-2</v>
      </c>
      <c r="L1008" t="s">
        <v>154</v>
      </c>
    </row>
    <row r="1009" spans="9:12" x14ac:dyDescent="0.25">
      <c r="I1009" t="s">
        <v>185</v>
      </c>
      <c r="J1009" t="s">
        <v>264</v>
      </c>
      <c r="K1009">
        <v>3.3471550461687503E-2</v>
      </c>
      <c r="L1009" t="s">
        <v>154</v>
      </c>
    </row>
    <row r="1010" spans="9:12" x14ac:dyDescent="0.25">
      <c r="I1010" t="s">
        <v>185</v>
      </c>
      <c r="J1010" t="s">
        <v>265</v>
      </c>
      <c r="K1010">
        <v>7.72275722461586E-3</v>
      </c>
      <c r="L1010" t="s">
        <v>154</v>
      </c>
    </row>
    <row r="1011" spans="9:12" x14ac:dyDescent="0.25">
      <c r="I1011" t="s">
        <v>185</v>
      </c>
      <c r="J1011" t="s">
        <v>246</v>
      </c>
      <c r="K1011">
        <v>0</v>
      </c>
      <c r="L1011" t="s">
        <v>154</v>
      </c>
    </row>
    <row r="1012" spans="9:12" x14ac:dyDescent="0.25">
      <c r="I1012" t="s">
        <v>185</v>
      </c>
      <c r="J1012" t="s">
        <v>247</v>
      </c>
      <c r="K1012">
        <v>1.7203508965572784E-2</v>
      </c>
      <c r="L1012" t="s">
        <v>154</v>
      </c>
    </row>
    <row r="1013" spans="9:12" x14ac:dyDescent="0.25">
      <c r="I1013" t="s">
        <v>185</v>
      </c>
      <c r="J1013" t="s">
        <v>248</v>
      </c>
      <c r="K1013">
        <v>1.7726754201510063E-2</v>
      </c>
      <c r="L1013" t="s">
        <v>154</v>
      </c>
    </row>
    <row r="1014" spans="9:12" x14ac:dyDescent="0.25">
      <c r="I1014" t="s">
        <v>185</v>
      </c>
      <c r="J1014" t="s">
        <v>249</v>
      </c>
      <c r="K1014">
        <v>2.1707658454480683E-2</v>
      </c>
      <c r="L1014" t="s">
        <v>154</v>
      </c>
    </row>
    <row r="1015" spans="9:12" x14ac:dyDescent="0.25">
      <c r="I1015" t="s">
        <v>185</v>
      </c>
      <c r="J1015" t="s">
        <v>250</v>
      </c>
      <c r="K1015">
        <v>7.2080655903195956E-2</v>
      </c>
      <c r="L1015" t="s">
        <v>154</v>
      </c>
    </row>
    <row r="1016" spans="9:12" x14ac:dyDescent="0.25">
      <c r="I1016" t="s">
        <v>185</v>
      </c>
      <c r="J1016" t="s">
        <v>251</v>
      </c>
      <c r="K1016">
        <v>3.4996388925542896E-2</v>
      </c>
      <c r="L1016" t="s">
        <v>154</v>
      </c>
    </row>
    <row r="1017" spans="9:12" x14ac:dyDescent="0.25">
      <c r="I1017" t="s">
        <v>185</v>
      </c>
      <c r="J1017" t="s">
        <v>266</v>
      </c>
      <c r="K1017">
        <v>1.9740218578896476E-2</v>
      </c>
      <c r="L1017" t="s">
        <v>154</v>
      </c>
    </row>
    <row r="1018" spans="9:12" x14ac:dyDescent="0.25">
      <c r="I1018" t="s">
        <v>185</v>
      </c>
      <c r="J1018" t="s">
        <v>267</v>
      </c>
      <c r="K1018">
        <v>4.027777354764759E-3</v>
      </c>
      <c r="L1018" t="s">
        <v>154</v>
      </c>
    </row>
    <row r="1019" spans="9:12" x14ac:dyDescent="0.25">
      <c r="I1019" t="s">
        <v>186</v>
      </c>
      <c r="J1019" t="s">
        <v>153</v>
      </c>
      <c r="K1019">
        <v>0</v>
      </c>
      <c r="L1019" t="s">
        <v>154</v>
      </c>
    </row>
    <row r="1020" spans="9:12" x14ac:dyDescent="0.25">
      <c r="I1020" t="s">
        <v>186</v>
      </c>
      <c r="J1020" t="s">
        <v>155</v>
      </c>
      <c r="K1020">
        <v>3.4608500850924757E-3</v>
      </c>
      <c r="L1020" t="s">
        <v>154</v>
      </c>
    </row>
    <row r="1021" spans="9:12" x14ac:dyDescent="0.25">
      <c r="I1021" t="s">
        <v>186</v>
      </c>
      <c r="J1021" t="s">
        <v>156</v>
      </c>
      <c r="K1021">
        <v>5.268732258643145E-3</v>
      </c>
      <c r="L1021" t="s">
        <v>154</v>
      </c>
    </row>
    <row r="1022" spans="9:12" x14ac:dyDescent="0.25">
      <c r="I1022" t="s">
        <v>186</v>
      </c>
      <c r="J1022" t="s">
        <v>222</v>
      </c>
      <c r="K1022">
        <v>6.5958229416162211E-3</v>
      </c>
      <c r="L1022" t="s">
        <v>154</v>
      </c>
    </row>
    <row r="1023" spans="9:12" x14ac:dyDescent="0.25">
      <c r="I1023" t="s">
        <v>186</v>
      </c>
      <c r="J1023" t="s">
        <v>223</v>
      </c>
      <c r="K1023">
        <v>2.213762742456906E-2</v>
      </c>
      <c r="L1023" t="s">
        <v>154</v>
      </c>
    </row>
    <row r="1024" spans="9:12" x14ac:dyDescent="0.25">
      <c r="I1024" t="s">
        <v>186</v>
      </c>
      <c r="J1024" t="s">
        <v>224</v>
      </c>
      <c r="K1024">
        <v>1.1683998285803569E-2</v>
      </c>
      <c r="L1024" t="s">
        <v>154</v>
      </c>
    </row>
    <row r="1025" spans="9:12" x14ac:dyDescent="0.25">
      <c r="I1025" t="s">
        <v>186</v>
      </c>
      <c r="J1025" t="s">
        <v>256</v>
      </c>
      <c r="K1025">
        <v>7.0168266693981596E-3</v>
      </c>
      <c r="L1025" t="s">
        <v>154</v>
      </c>
    </row>
    <row r="1026" spans="9:12" x14ac:dyDescent="0.25">
      <c r="I1026" t="s">
        <v>186</v>
      </c>
      <c r="J1026" t="s">
        <v>257</v>
      </c>
      <c r="K1026">
        <v>1.4243670496574235E-3</v>
      </c>
      <c r="L1026" t="s">
        <v>154</v>
      </c>
    </row>
    <row r="1027" spans="9:12" x14ac:dyDescent="0.25">
      <c r="I1027" t="s">
        <v>186</v>
      </c>
      <c r="J1027" t="s">
        <v>157</v>
      </c>
      <c r="K1027">
        <v>0</v>
      </c>
      <c r="L1027" t="s">
        <v>154</v>
      </c>
    </row>
    <row r="1028" spans="9:12" x14ac:dyDescent="0.25">
      <c r="I1028" t="s">
        <v>186</v>
      </c>
      <c r="J1028" t="s">
        <v>158</v>
      </c>
      <c r="K1028">
        <v>2.517938132673363E-2</v>
      </c>
      <c r="L1028" t="s">
        <v>154</v>
      </c>
    </row>
    <row r="1029" spans="9:12" x14ac:dyDescent="0.25">
      <c r="I1029" t="s">
        <v>186</v>
      </c>
      <c r="J1029" t="s">
        <v>159</v>
      </c>
      <c r="K1029">
        <v>2.8773375141148312E-2</v>
      </c>
      <c r="L1029" t="s">
        <v>154</v>
      </c>
    </row>
    <row r="1030" spans="9:12" x14ac:dyDescent="0.25">
      <c r="I1030" t="s">
        <v>186</v>
      </c>
      <c r="J1030" t="s">
        <v>225</v>
      </c>
      <c r="K1030">
        <v>3.5289132671878817E-2</v>
      </c>
      <c r="L1030" t="s">
        <v>154</v>
      </c>
    </row>
    <row r="1031" spans="9:12" x14ac:dyDescent="0.25">
      <c r="I1031" t="s">
        <v>186</v>
      </c>
      <c r="J1031" t="s">
        <v>226</v>
      </c>
      <c r="K1031">
        <v>0.12176617067298774</v>
      </c>
      <c r="L1031" t="s">
        <v>154</v>
      </c>
    </row>
    <row r="1032" spans="9:12" x14ac:dyDescent="0.25">
      <c r="I1032" t="s">
        <v>186</v>
      </c>
      <c r="J1032" t="s">
        <v>227</v>
      </c>
      <c r="K1032">
        <v>7.0427208920951653E-2</v>
      </c>
      <c r="L1032" t="s">
        <v>154</v>
      </c>
    </row>
    <row r="1033" spans="9:12" x14ac:dyDescent="0.25">
      <c r="I1033" t="s">
        <v>186</v>
      </c>
      <c r="J1033" t="s">
        <v>258</v>
      </c>
      <c r="K1033">
        <v>4.4325076124702503E-2</v>
      </c>
      <c r="L1033" t="s">
        <v>154</v>
      </c>
    </row>
    <row r="1034" spans="9:12" x14ac:dyDescent="0.25">
      <c r="I1034" t="s">
        <v>186</v>
      </c>
      <c r="J1034" t="s">
        <v>259</v>
      </c>
      <c r="K1034">
        <v>1.074227045548222E-2</v>
      </c>
      <c r="L1034" t="s">
        <v>154</v>
      </c>
    </row>
    <row r="1035" spans="9:12" x14ac:dyDescent="0.25">
      <c r="I1035" t="s">
        <v>186</v>
      </c>
      <c r="J1035" t="s">
        <v>160</v>
      </c>
      <c r="K1035">
        <v>0</v>
      </c>
      <c r="L1035" t="s">
        <v>154</v>
      </c>
    </row>
    <row r="1036" spans="9:12" x14ac:dyDescent="0.25">
      <c r="I1036" t="s">
        <v>186</v>
      </c>
      <c r="J1036" t="s">
        <v>161</v>
      </c>
      <c r="K1036">
        <v>3.5504508834673784E-3</v>
      </c>
      <c r="L1036" t="s">
        <v>154</v>
      </c>
    </row>
    <row r="1037" spans="9:12" x14ac:dyDescent="0.25">
      <c r="I1037" t="s">
        <v>186</v>
      </c>
      <c r="J1037" t="s">
        <v>162</v>
      </c>
      <c r="K1037">
        <v>3.4615343658676496E-3</v>
      </c>
      <c r="L1037" t="s">
        <v>154</v>
      </c>
    </row>
    <row r="1038" spans="9:12" x14ac:dyDescent="0.25">
      <c r="I1038" t="s">
        <v>186</v>
      </c>
      <c r="J1038" t="s">
        <v>228</v>
      </c>
      <c r="K1038">
        <v>4.4146533260862042E-3</v>
      </c>
      <c r="L1038" t="s">
        <v>154</v>
      </c>
    </row>
    <row r="1039" spans="9:12" x14ac:dyDescent="0.25">
      <c r="I1039" t="s">
        <v>186</v>
      </c>
      <c r="J1039" t="s">
        <v>229</v>
      </c>
      <c r="K1039">
        <v>1.6657999935965066E-2</v>
      </c>
      <c r="L1039" t="s">
        <v>154</v>
      </c>
    </row>
    <row r="1040" spans="9:12" x14ac:dyDescent="0.25">
      <c r="I1040" t="s">
        <v>186</v>
      </c>
      <c r="J1040" t="s">
        <v>230</v>
      </c>
      <c r="K1040">
        <v>8.9770478089784937E-3</v>
      </c>
      <c r="L1040" t="s">
        <v>154</v>
      </c>
    </row>
    <row r="1041" spans="9:12" x14ac:dyDescent="0.25">
      <c r="I1041" t="s">
        <v>186</v>
      </c>
      <c r="J1041" t="s">
        <v>260</v>
      </c>
      <c r="K1041">
        <v>4.5533231787749503E-3</v>
      </c>
      <c r="L1041" t="s">
        <v>154</v>
      </c>
    </row>
    <row r="1042" spans="9:12" x14ac:dyDescent="0.25">
      <c r="I1042" t="s">
        <v>186</v>
      </c>
      <c r="J1042" t="s">
        <v>261</v>
      </c>
      <c r="K1042">
        <v>7.2005221176635629E-4</v>
      </c>
      <c r="L1042" t="s">
        <v>154</v>
      </c>
    </row>
    <row r="1043" spans="9:12" x14ac:dyDescent="0.25">
      <c r="I1043" t="s">
        <v>186</v>
      </c>
      <c r="J1043" t="s">
        <v>163</v>
      </c>
      <c r="K1043">
        <v>0</v>
      </c>
      <c r="L1043" t="s">
        <v>154</v>
      </c>
    </row>
    <row r="1044" spans="9:12" x14ac:dyDescent="0.25">
      <c r="I1044" t="s">
        <v>186</v>
      </c>
      <c r="J1044" t="s">
        <v>164</v>
      </c>
      <c r="K1044">
        <v>1.0458093229112286E-2</v>
      </c>
      <c r="L1044" t="s">
        <v>154</v>
      </c>
    </row>
    <row r="1045" spans="9:12" x14ac:dyDescent="0.25">
      <c r="I1045" t="s">
        <v>186</v>
      </c>
      <c r="J1045" t="s">
        <v>165</v>
      </c>
      <c r="K1045">
        <v>9.9671345201644158E-3</v>
      </c>
      <c r="L1045" t="s">
        <v>154</v>
      </c>
    </row>
    <row r="1046" spans="9:12" x14ac:dyDescent="0.25">
      <c r="I1046" t="s">
        <v>186</v>
      </c>
      <c r="J1046" t="s">
        <v>231</v>
      </c>
      <c r="K1046">
        <v>1.2168811270045817E-2</v>
      </c>
      <c r="L1046" t="s">
        <v>154</v>
      </c>
    </row>
    <row r="1047" spans="9:12" x14ac:dyDescent="0.25">
      <c r="I1047" t="s">
        <v>186</v>
      </c>
      <c r="J1047" t="s">
        <v>232</v>
      </c>
      <c r="K1047">
        <v>4.4571115400971424E-2</v>
      </c>
      <c r="L1047" t="s">
        <v>154</v>
      </c>
    </row>
    <row r="1048" spans="9:12" x14ac:dyDescent="0.25">
      <c r="I1048" t="s">
        <v>186</v>
      </c>
      <c r="J1048" t="s">
        <v>233</v>
      </c>
      <c r="K1048">
        <v>2.4181161245672409E-2</v>
      </c>
      <c r="L1048" t="s">
        <v>154</v>
      </c>
    </row>
    <row r="1049" spans="9:12" x14ac:dyDescent="0.25">
      <c r="I1049" t="s">
        <v>186</v>
      </c>
      <c r="J1049" t="s">
        <v>262</v>
      </c>
      <c r="K1049">
        <v>1.4218167593495016E-2</v>
      </c>
      <c r="L1049" t="s">
        <v>154</v>
      </c>
    </row>
    <row r="1050" spans="9:12" x14ac:dyDescent="0.25">
      <c r="I1050" t="s">
        <v>186</v>
      </c>
      <c r="J1050" t="s">
        <v>263</v>
      </c>
      <c r="K1050">
        <v>2.9513897919177597E-3</v>
      </c>
      <c r="L1050" t="s">
        <v>154</v>
      </c>
    </row>
    <row r="1051" spans="9:12" x14ac:dyDescent="0.25">
      <c r="I1051" t="s">
        <v>186</v>
      </c>
      <c r="J1051" t="s">
        <v>240</v>
      </c>
      <c r="K1051">
        <v>0</v>
      </c>
      <c r="L1051" t="s">
        <v>154</v>
      </c>
    </row>
    <row r="1052" spans="9:12" x14ac:dyDescent="0.25">
      <c r="I1052" t="s">
        <v>186</v>
      </c>
      <c r="J1052" t="s">
        <v>241</v>
      </c>
      <c r="K1052">
        <v>2.1709628802499326E-2</v>
      </c>
      <c r="L1052" t="s">
        <v>154</v>
      </c>
    </row>
    <row r="1053" spans="9:12" x14ac:dyDescent="0.25">
      <c r="I1053" t="s">
        <v>186</v>
      </c>
      <c r="J1053" t="s">
        <v>242</v>
      </c>
      <c r="K1053">
        <v>2.1507972285322838E-2</v>
      </c>
      <c r="L1053" t="s">
        <v>154</v>
      </c>
    </row>
    <row r="1054" spans="9:12" x14ac:dyDescent="0.25">
      <c r="I1054" t="s">
        <v>186</v>
      </c>
      <c r="J1054" t="s">
        <v>243</v>
      </c>
      <c r="K1054">
        <v>2.6575025936887632E-2</v>
      </c>
      <c r="L1054" t="s">
        <v>154</v>
      </c>
    </row>
    <row r="1055" spans="9:12" x14ac:dyDescent="0.25">
      <c r="I1055" t="s">
        <v>186</v>
      </c>
      <c r="J1055" t="s">
        <v>244</v>
      </c>
      <c r="K1055">
        <v>9.267361848754746E-2</v>
      </c>
      <c r="L1055" t="s">
        <v>154</v>
      </c>
    </row>
    <row r="1056" spans="9:12" x14ac:dyDescent="0.25">
      <c r="I1056" t="s">
        <v>186</v>
      </c>
      <c r="J1056" t="s">
        <v>245</v>
      </c>
      <c r="K1056">
        <v>5.2438918270352297E-2</v>
      </c>
      <c r="L1056" t="s">
        <v>154</v>
      </c>
    </row>
    <row r="1057" spans="9:12" x14ac:dyDescent="0.25">
      <c r="I1057" t="s">
        <v>186</v>
      </c>
      <c r="J1057" t="s">
        <v>264</v>
      </c>
      <c r="K1057">
        <v>3.1654531839253958E-2</v>
      </c>
      <c r="L1057" t="s">
        <v>154</v>
      </c>
    </row>
    <row r="1058" spans="9:12" x14ac:dyDescent="0.25">
      <c r="I1058" t="s">
        <v>186</v>
      </c>
      <c r="J1058" t="s">
        <v>265</v>
      </c>
      <c r="K1058">
        <v>7.1465330801693209E-3</v>
      </c>
      <c r="L1058" t="s">
        <v>154</v>
      </c>
    </row>
    <row r="1059" spans="9:12" x14ac:dyDescent="0.25">
      <c r="I1059" t="s">
        <v>186</v>
      </c>
      <c r="J1059" t="s">
        <v>246</v>
      </c>
      <c r="K1059">
        <v>0</v>
      </c>
      <c r="L1059" t="s">
        <v>154</v>
      </c>
    </row>
    <row r="1060" spans="9:12" x14ac:dyDescent="0.25">
      <c r="I1060" t="s">
        <v>186</v>
      </c>
      <c r="J1060" t="s">
        <v>247</v>
      </c>
      <c r="K1060">
        <v>1.7717941662648558E-2</v>
      </c>
      <c r="L1060" t="s">
        <v>154</v>
      </c>
    </row>
    <row r="1061" spans="9:12" x14ac:dyDescent="0.25">
      <c r="I1061" t="s">
        <v>186</v>
      </c>
      <c r="J1061" t="s">
        <v>248</v>
      </c>
      <c r="K1061">
        <v>1.8484119056705668E-2</v>
      </c>
      <c r="L1061" t="s">
        <v>154</v>
      </c>
    </row>
    <row r="1062" spans="9:12" x14ac:dyDescent="0.25">
      <c r="I1062" t="s">
        <v>186</v>
      </c>
      <c r="J1062" t="s">
        <v>249</v>
      </c>
      <c r="K1062">
        <v>2.246879496088159E-2</v>
      </c>
      <c r="L1062" t="s">
        <v>154</v>
      </c>
    </row>
    <row r="1063" spans="9:12" x14ac:dyDescent="0.25">
      <c r="I1063" t="s">
        <v>186</v>
      </c>
      <c r="J1063" t="s">
        <v>250</v>
      </c>
      <c r="K1063">
        <v>7.3270734499744805E-2</v>
      </c>
      <c r="L1063" t="s">
        <v>154</v>
      </c>
    </row>
    <row r="1064" spans="9:12" x14ac:dyDescent="0.25">
      <c r="I1064" t="s">
        <v>186</v>
      </c>
      <c r="J1064" t="s">
        <v>251</v>
      </c>
      <c r="K1064">
        <v>3.6997387088281021E-2</v>
      </c>
      <c r="L1064" t="s">
        <v>154</v>
      </c>
    </row>
    <row r="1065" spans="9:12" x14ac:dyDescent="0.25">
      <c r="I1065" t="s">
        <v>186</v>
      </c>
      <c r="J1065" t="s">
        <v>266</v>
      </c>
      <c r="K1065">
        <v>1.9345600076782869E-2</v>
      </c>
      <c r="L1065" t="s">
        <v>154</v>
      </c>
    </row>
    <row r="1066" spans="9:12" x14ac:dyDescent="0.25">
      <c r="I1066" t="s">
        <v>186</v>
      </c>
      <c r="J1066" t="s">
        <v>267</v>
      </c>
      <c r="K1066">
        <v>3.0674191619706869E-3</v>
      </c>
      <c r="L1066" t="s">
        <v>154</v>
      </c>
    </row>
    <row r="1067" spans="9:12" x14ac:dyDescent="0.25">
      <c r="I1067" t="s">
        <v>187</v>
      </c>
      <c r="J1067" t="s">
        <v>153</v>
      </c>
      <c r="K1067">
        <v>0</v>
      </c>
      <c r="L1067" t="s">
        <v>154</v>
      </c>
    </row>
    <row r="1068" spans="9:12" x14ac:dyDescent="0.25">
      <c r="I1068" t="s">
        <v>187</v>
      </c>
      <c r="J1068" t="s">
        <v>155</v>
      </c>
      <c r="K1068">
        <v>2.4943567864563845E-3</v>
      </c>
      <c r="L1068" t="s">
        <v>154</v>
      </c>
    </row>
    <row r="1069" spans="9:12" x14ac:dyDescent="0.25">
      <c r="I1069" t="s">
        <v>187</v>
      </c>
      <c r="J1069" t="s">
        <v>156</v>
      </c>
      <c r="K1069">
        <v>4.7589936479856595E-3</v>
      </c>
      <c r="L1069" t="s">
        <v>154</v>
      </c>
    </row>
    <row r="1070" spans="9:12" x14ac:dyDescent="0.25">
      <c r="I1070" t="s">
        <v>187</v>
      </c>
      <c r="J1070" t="s">
        <v>222</v>
      </c>
      <c r="K1070">
        <v>6.3070086358006823E-3</v>
      </c>
      <c r="L1070" t="s">
        <v>154</v>
      </c>
    </row>
    <row r="1071" spans="9:12" x14ac:dyDescent="0.25">
      <c r="I1071" t="s">
        <v>187</v>
      </c>
      <c r="J1071" t="s">
        <v>223</v>
      </c>
      <c r="K1071">
        <v>2.0317223361091291E-2</v>
      </c>
      <c r="L1071" t="s">
        <v>154</v>
      </c>
    </row>
    <row r="1072" spans="9:12" x14ac:dyDescent="0.25">
      <c r="I1072" t="s">
        <v>187</v>
      </c>
      <c r="J1072" t="s">
        <v>224</v>
      </c>
      <c r="K1072">
        <v>1.1527311550518917E-2</v>
      </c>
      <c r="L1072" t="s">
        <v>154</v>
      </c>
    </row>
    <row r="1073" spans="9:12" x14ac:dyDescent="0.25">
      <c r="I1073" t="s">
        <v>187</v>
      </c>
      <c r="J1073" t="s">
        <v>256</v>
      </c>
      <c r="K1073">
        <v>7.2501597661549372E-3</v>
      </c>
      <c r="L1073" t="s">
        <v>154</v>
      </c>
    </row>
    <row r="1074" spans="9:12" x14ac:dyDescent="0.25">
      <c r="I1074" t="s">
        <v>187</v>
      </c>
      <c r="J1074" t="s">
        <v>257</v>
      </c>
      <c r="K1074">
        <v>1.8341158122728986E-3</v>
      </c>
      <c r="L1074" t="s">
        <v>154</v>
      </c>
    </row>
    <row r="1075" spans="9:12" x14ac:dyDescent="0.25">
      <c r="I1075" t="s">
        <v>187</v>
      </c>
      <c r="J1075" t="s">
        <v>157</v>
      </c>
      <c r="K1075">
        <v>0</v>
      </c>
      <c r="L1075" t="s">
        <v>154</v>
      </c>
    </row>
    <row r="1076" spans="9:12" x14ac:dyDescent="0.25">
      <c r="I1076" t="s">
        <v>187</v>
      </c>
      <c r="J1076" t="s">
        <v>158</v>
      </c>
      <c r="K1076">
        <v>2.5588691714373498E-2</v>
      </c>
      <c r="L1076" t="s">
        <v>154</v>
      </c>
    </row>
    <row r="1077" spans="9:12" x14ac:dyDescent="0.25">
      <c r="I1077" t="s">
        <v>187</v>
      </c>
      <c r="J1077" t="s">
        <v>159</v>
      </c>
      <c r="K1077">
        <v>2.9821988665709936E-2</v>
      </c>
      <c r="L1077" t="s">
        <v>154</v>
      </c>
    </row>
    <row r="1078" spans="9:12" x14ac:dyDescent="0.25">
      <c r="I1078" t="s">
        <v>187</v>
      </c>
      <c r="J1078" t="s">
        <v>225</v>
      </c>
      <c r="K1078">
        <v>3.6642579388257698E-2</v>
      </c>
      <c r="L1078" t="s">
        <v>154</v>
      </c>
    </row>
    <row r="1079" spans="9:12" x14ac:dyDescent="0.25">
      <c r="I1079" t="s">
        <v>187</v>
      </c>
      <c r="J1079" t="s">
        <v>226</v>
      </c>
      <c r="K1079">
        <v>0.12379069644213429</v>
      </c>
      <c r="L1079" t="s">
        <v>154</v>
      </c>
    </row>
    <row r="1080" spans="9:12" x14ac:dyDescent="0.25">
      <c r="I1080" t="s">
        <v>187</v>
      </c>
      <c r="J1080" t="s">
        <v>227</v>
      </c>
      <c r="K1080">
        <v>7.108471476132143E-2</v>
      </c>
      <c r="L1080" t="s">
        <v>154</v>
      </c>
    </row>
    <row r="1081" spans="9:12" x14ac:dyDescent="0.25">
      <c r="I1081" t="s">
        <v>187</v>
      </c>
      <c r="J1081" t="s">
        <v>258</v>
      </c>
      <c r="K1081">
        <v>4.4919833735235642E-2</v>
      </c>
      <c r="L1081" t="s">
        <v>154</v>
      </c>
    </row>
    <row r="1082" spans="9:12" x14ac:dyDescent="0.25">
      <c r="I1082" t="s">
        <v>187</v>
      </c>
      <c r="J1082" t="s">
        <v>259</v>
      </c>
      <c r="K1082">
        <v>1.1363838334776258E-2</v>
      </c>
      <c r="L1082" t="s">
        <v>154</v>
      </c>
    </row>
    <row r="1083" spans="9:12" x14ac:dyDescent="0.25">
      <c r="I1083" t="s">
        <v>187</v>
      </c>
      <c r="J1083" t="s">
        <v>160</v>
      </c>
      <c r="K1083">
        <v>0</v>
      </c>
      <c r="L1083" t="s">
        <v>154</v>
      </c>
    </row>
    <row r="1084" spans="9:12" x14ac:dyDescent="0.25">
      <c r="I1084" t="s">
        <v>187</v>
      </c>
      <c r="J1084" t="s">
        <v>161</v>
      </c>
      <c r="K1084">
        <v>3.4323184397569255E-3</v>
      </c>
      <c r="L1084" t="s">
        <v>154</v>
      </c>
    </row>
    <row r="1085" spans="9:12" x14ac:dyDescent="0.25">
      <c r="I1085" t="s">
        <v>187</v>
      </c>
      <c r="J1085" t="s">
        <v>162</v>
      </c>
      <c r="K1085">
        <v>3.5013612111671577E-3</v>
      </c>
      <c r="L1085" t="s">
        <v>154</v>
      </c>
    </row>
    <row r="1086" spans="9:12" x14ac:dyDescent="0.25">
      <c r="I1086" t="s">
        <v>187</v>
      </c>
      <c r="J1086" t="s">
        <v>228</v>
      </c>
      <c r="K1086">
        <v>4.5335885966050499E-3</v>
      </c>
      <c r="L1086" t="s">
        <v>154</v>
      </c>
    </row>
    <row r="1087" spans="9:12" x14ac:dyDescent="0.25">
      <c r="I1087" t="s">
        <v>187</v>
      </c>
      <c r="J1087" t="s">
        <v>229</v>
      </c>
      <c r="K1087">
        <v>1.6274589924859691E-2</v>
      </c>
      <c r="L1087" t="s">
        <v>154</v>
      </c>
    </row>
    <row r="1088" spans="9:12" x14ac:dyDescent="0.25">
      <c r="I1088" t="s">
        <v>187</v>
      </c>
      <c r="J1088" t="s">
        <v>230</v>
      </c>
      <c r="K1088">
        <v>8.3845190145302936E-3</v>
      </c>
      <c r="L1088" t="s">
        <v>154</v>
      </c>
    </row>
    <row r="1089" spans="9:12" x14ac:dyDescent="0.25">
      <c r="I1089" t="s">
        <v>187</v>
      </c>
      <c r="J1089" t="s">
        <v>260</v>
      </c>
      <c r="K1089">
        <v>4.4274511063554581E-3</v>
      </c>
      <c r="L1089" t="s">
        <v>154</v>
      </c>
    </row>
    <row r="1090" spans="9:12" x14ac:dyDescent="0.25">
      <c r="I1090" t="s">
        <v>187</v>
      </c>
      <c r="J1090" t="s">
        <v>261</v>
      </c>
      <c r="K1090">
        <v>9.3315171036018908E-4</v>
      </c>
      <c r="L1090" t="s">
        <v>154</v>
      </c>
    </row>
    <row r="1091" spans="9:12" x14ac:dyDescent="0.25">
      <c r="I1091" t="s">
        <v>187</v>
      </c>
      <c r="J1091" t="s">
        <v>163</v>
      </c>
      <c r="K1091">
        <v>0</v>
      </c>
      <c r="L1091" t="s">
        <v>154</v>
      </c>
    </row>
    <row r="1092" spans="9:12" x14ac:dyDescent="0.25">
      <c r="I1092" t="s">
        <v>187</v>
      </c>
      <c r="J1092" t="s">
        <v>164</v>
      </c>
      <c r="K1092">
        <v>9.5743980760410064E-3</v>
      </c>
      <c r="L1092" t="s">
        <v>154</v>
      </c>
    </row>
    <row r="1093" spans="9:12" x14ac:dyDescent="0.25">
      <c r="I1093" t="s">
        <v>187</v>
      </c>
      <c r="J1093" t="s">
        <v>165</v>
      </c>
      <c r="K1093">
        <v>9.3232432503376206E-3</v>
      </c>
      <c r="L1093" t="s">
        <v>154</v>
      </c>
    </row>
    <row r="1094" spans="9:12" x14ac:dyDescent="0.25">
      <c r="I1094" t="s">
        <v>187</v>
      </c>
      <c r="J1094" t="s">
        <v>231</v>
      </c>
      <c r="K1094">
        <v>1.1813480565911593E-2</v>
      </c>
      <c r="L1094" t="s">
        <v>154</v>
      </c>
    </row>
    <row r="1095" spans="9:12" x14ac:dyDescent="0.25">
      <c r="I1095" t="s">
        <v>187</v>
      </c>
      <c r="J1095" t="s">
        <v>232</v>
      </c>
      <c r="K1095">
        <v>4.2556369573402301E-2</v>
      </c>
      <c r="L1095" t="s">
        <v>154</v>
      </c>
    </row>
    <row r="1096" spans="9:12" x14ac:dyDescent="0.25">
      <c r="I1096" t="s">
        <v>187</v>
      </c>
      <c r="J1096" t="s">
        <v>233</v>
      </c>
      <c r="K1096">
        <v>2.2895557107926342E-2</v>
      </c>
      <c r="L1096" t="s">
        <v>154</v>
      </c>
    </row>
    <row r="1097" spans="9:12" x14ac:dyDescent="0.25">
      <c r="I1097" t="s">
        <v>187</v>
      </c>
      <c r="J1097" t="s">
        <v>262</v>
      </c>
      <c r="K1097">
        <v>1.2768761649557652E-2</v>
      </c>
      <c r="L1097" t="s">
        <v>154</v>
      </c>
    </row>
    <row r="1098" spans="9:12" x14ac:dyDescent="0.25">
      <c r="I1098" t="s">
        <v>187</v>
      </c>
      <c r="J1098" t="s">
        <v>263</v>
      </c>
      <c r="K1098">
        <v>2.8970202230691965E-3</v>
      </c>
      <c r="L1098" t="s">
        <v>154</v>
      </c>
    </row>
    <row r="1099" spans="9:12" x14ac:dyDescent="0.25">
      <c r="I1099" t="s">
        <v>187</v>
      </c>
      <c r="J1099" t="s">
        <v>240</v>
      </c>
      <c r="K1099">
        <v>0</v>
      </c>
      <c r="L1099" t="s">
        <v>154</v>
      </c>
    </row>
    <row r="1100" spans="9:12" x14ac:dyDescent="0.25">
      <c r="I1100" t="s">
        <v>187</v>
      </c>
      <c r="J1100" t="s">
        <v>241</v>
      </c>
      <c r="K1100">
        <v>2.4449474920523094E-2</v>
      </c>
      <c r="L1100" t="s">
        <v>154</v>
      </c>
    </row>
    <row r="1101" spans="9:12" x14ac:dyDescent="0.25">
      <c r="I1101" t="s">
        <v>187</v>
      </c>
      <c r="J1101" t="s">
        <v>242</v>
      </c>
      <c r="K1101">
        <v>2.3570752881046052E-2</v>
      </c>
      <c r="L1101" t="s">
        <v>154</v>
      </c>
    </row>
    <row r="1102" spans="9:12" x14ac:dyDescent="0.25">
      <c r="I1102" t="s">
        <v>187</v>
      </c>
      <c r="J1102" t="s">
        <v>243</v>
      </c>
      <c r="K1102">
        <v>2.8228257031614367E-2</v>
      </c>
      <c r="L1102" t="s">
        <v>154</v>
      </c>
    </row>
    <row r="1103" spans="9:12" x14ac:dyDescent="0.25">
      <c r="I1103" t="s">
        <v>187</v>
      </c>
      <c r="J1103" t="s">
        <v>244</v>
      </c>
      <c r="K1103">
        <v>9.6639993839607544E-2</v>
      </c>
      <c r="L1103" t="s">
        <v>154</v>
      </c>
    </row>
    <row r="1104" spans="9:12" x14ac:dyDescent="0.25">
      <c r="I1104" t="s">
        <v>187</v>
      </c>
      <c r="J1104" t="s">
        <v>245</v>
      </c>
      <c r="K1104">
        <v>5.3501470832026297E-2</v>
      </c>
      <c r="L1104" t="s">
        <v>154</v>
      </c>
    </row>
    <row r="1105" spans="9:12" x14ac:dyDescent="0.25">
      <c r="I1105" t="s">
        <v>187</v>
      </c>
      <c r="J1105" t="s">
        <v>264</v>
      </c>
      <c r="K1105">
        <v>3.1722029208161459E-2</v>
      </c>
      <c r="L1105" t="s">
        <v>154</v>
      </c>
    </row>
    <row r="1106" spans="9:12" x14ac:dyDescent="0.25">
      <c r="I1106" t="s">
        <v>187</v>
      </c>
      <c r="J1106" t="s">
        <v>265</v>
      </c>
      <c r="K1106">
        <v>7.5473022650337758E-3</v>
      </c>
      <c r="L1106" t="s">
        <v>154</v>
      </c>
    </row>
    <row r="1107" spans="9:12" x14ac:dyDescent="0.25">
      <c r="I1107" t="s">
        <v>187</v>
      </c>
      <c r="J1107" t="s">
        <v>246</v>
      </c>
      <c r="K1107">
        <v>0</v>
      </c>
      <c r="L1107" t="s">
        <v>154</v>
      </c>
    </row>
    <row r="1108" spans="9:12" x14ac:dyDescent="0.25">
      <c r="I1108" t="s">
        <v>187</v>
      </c>
      <c r="J1108" t="s">
        <v>247</v>
      </c>
      <c r="K1108">
        <v>1.6089058452751451E-2</v>
      </c>
      <c r="L1108" t="s">
        <v>154</v>
      </c>
    </row>
    <row r="1109" spans="9:12" x14ac:dyDescent="0.25">
      <c r="I1109" t="s">
        <v>187</v>
      </c>
      <c r="J1109" t="s">
        <v>248</v>
      </c>
      <c r="K1109">
        <v>1.7461649620451335E-2</v>
      </c>
      <c r="L1109" t="s">
        <v>154</v>
      </c>
    </row>
    <row r="1110" spans="9:12" x14ac:dyDescent="0.25">
      <c r="I1110" t="s">
        <v>187</v>
      </c>
      <c r="J1110" t="s">
        <v>249</v>
      </c>
      <c r="K1110">
        <v>2.1482578417583897E-2</v>
      </c>
      <c r="L1110" t="s">
        <v>154</v>
      </c>
    </row>
    <row r="1111" spans="9:12" x14ac:dyDescent="0.25">
      <c r="I1111" t="s">
        <v>187</v>
      </c>
      <c r="J1111" t="s">
        <v>250</v>
      </c>
      <c r="K1111">
        <v>6.9376240168576297E-2</v>
      </c>
      <c r="L1111" t="s">
        <v>154</v>
      </c>
    </row>
    <row r="1112" spans="9:12" x14ac:dyDescent="0.25">
      <c r="I1112" t="s">
        <v>187</v>
      </c>
      <c r="J1112" t="s">
        <v>251</v>
      </c>
      <c r="K1112">
        <v>3.5182571391293126E-2</v>
      </c>
      <c r="L1112" t="s">
        <v>154</v>
      </c>
    </row>
    <row r="1113" spans="9:12" x14ac:dyDescent="0.25">
      <c r="I1113" t="s">
        <v>187</v>
      </c>
      <c r="J1113" t="s">
        <v>266</v>
      </c>
      <c r="K1113">
        <v>1.9605296579060107E-2</v>
      </c>
      <c r="L1113" t="s">
        <v>154</v>
      </c>
    </row>
    <row r="1114" spans="9:12" x14ac:dyDescent="0.25">
      <c r="I1114" t="s">
        <v>187</v>
      </c>
      <c r="J1114" t="s">
        <v>267</v>
      </c>
      <c r="K1114">
        <v>4.1260013403028014E-3</v>
      </c>
      <c r="L1114" t="s">
        <v>154</v>
      </c>
    </row>
    <row r="1115" spans="9:12" x14ac:dyDescent="0.25">
      <c r="I1115" t="s">
        <v>188</v>
      </c>
      <c r="J1115" t="s">
        <v>153</v>
      </c>
      <c r="K1115">
        <v>0</v>
      </c>
      <c r="L1115" t="s">
        <v>154</v>
      </c>
    </row>
    <row r="1116" spans="9:12" x14ac:dyDescent="0.25">
      <c r="I1116" t="s">
        <v>188</v>
      </c>
      <c r="J1116" t="s">
        <v>155</v>
      </c>
      <c r="K1116">
        <v>2.9466920934367018E-3</v>
      </c>
      <c r="L1116" t="s">
        <v>154</v>
      </c>
    </row>
    <row r="1117" spans="9:12" x14ac:dyDescent="0.25">
      <c r="I1117" t="s">
        <v>188</v>
      </c>
      <c r="J1117" t="s">
        <v>156</v>
      </c>
      <c r="K1117">
        <v>4.1521696348490343E-3</v>
      </c>
      <c r="L1117" t="s">
        <v>154</v>
      </c>
    </row>
    <row r="1118" spans="9:12" x14ac:dyDescent="0.25">
      <c r="I1118" t="s">
        <v>188</v>
      </c>
      <c r="J1118" t="s">
        <v>222</v>
      </c>
      <c r="K1118">
        <v>5.3629301908674782E-3</v>
      </c>
      <c r="L1118" t="s">
        <v>154</v>
      </c>
    </row>
    <row r="1119" spans="9:12" x14ac:dyDescent="0.25">
      <c r="I1119" t="s">
        <v>188</v>
      </c>
      <c r="J1119" t="s">
        <v>223</v>
      </c>
      <c r="K1119">
        <v>1.8686136932795284E-2</v>
      </c>
      <c r="L1119" t="s">
        <v>154</v>
      </c>
    </row>
    <row r="1120" spans="9:12" x14ac:dyDescent="0.25">
      <c r="I1120" t="s">
        <v>188</v>
      </c>
      <c r="J1120" t="s">
        <v>224</v>
      </c>
      <c r="K1120">
        <v>1.0537104127932692E-2</v>
      </c>
      <c r="L1120" t="s">
        <v>154</v>
      </c>
    </row>
    <row r="1121" spans="9:12" x14ac:dyDescent="0.25">
      <c r="I1121" t="s">
        <v>188</v>
      </c>
      <c r="J1121" t="s">
        <v>256</v>
      </c>
      <c r="K1121">
        <v>7.2934161687628592E-3</v>
      </c>
      <c r="L1121" t="s">
        <v>154</v>
      </c>
    </row>
    <row r="1122" spans="9:12" x14ac:dyDescent="0.25">
      <c r="I1122" t="s">
        <v>188</v>
      </c>
      <c r="J1122" t="s">
        <v>257</v>
      </c>
      <c r="K1122">
        <v>1.8855099461019609E-3</v>
      </c>
      <c r="L1122" t="s">
        <v>154</v>
      </c>
    </row>
    <row r="1123" spans="9:12" x14ac:dyDescent="0.25">
      <c r="I1123" t="s">
        <v>188</v>
      </c>
      <c r="J1123" t="s">
        <v>157</v>
      </c>
      <c r="K1123">
        <v>0</v>
      </c>
      <c r="L1123" t="s">
        <v>154</v>
      </c>
    </row>
    <row r="1124" spans="9:12" x14ac:dyDescent="0.25">
      <c r="I1124" t="s">
        <v>188</v>
      </c>
      <c r="J1124" t="s">
        <v>158</v>
      </c>
      <c r="K1124">
        <v>2.6114065808224302E-2</v>
      </c>
      <c r="L1124" t="s">
        <v>154</v>
      </c>
    </row>
    <row r="1125" spans="9:12" x14ac:dyDescent="0.25">
      <c r="I1125" t="s">
        <v>188</v>
      </c>
      <c r="J1125" t="s">
        <v>159</v>
      </c>
      <c r="K1125">
        <v>2.7670963750380959E-2</v>
      </c>
      <c r="L1125" t="s">
        <v>154</v>
      </c>
    </row>
    <row r="1126" spans="9:12" x14ac:dyDescent="0.25">
      <c r="I1126" t="s">
        <v>188</v>
      </c>
      <c r="J1126" t="s">
        <v>225</v>
      </c>
      <c r="K1126">
        <v>3.441484400871505E-2</v>
      </c>
      <c r="L1126" t="s">
        <v>154</v>
      </c>
    </row>
    <row r="1127" spans="9:12" x14ac:dyDescent="0.25">
      <c r="I1127" t="s">
        <v>188</v>
      </c>
      <c r="J1127" t="s">
        <v>226</v>
      </c>
      <c r="K1127">
        <v>0.11940237636890939</v>
      </c>
      <c r="L1127" t="s">
        <v>154</v>
      </c>
    </row>
    <row r="1128" spans="9:12" x14ac:dyDescent="0.25">
      <c r="I1128" t="s">
        <v>188</v>
      </c>
      <c r="J1128" t="s">
        <v>227</v>
      </c>
      <c r="K1128">
        <v>7.2970468182853382E-2</v>
      </c>
      <c r="L1128" t="s">
        <v>154</v>
      </c>
    </row>
    <row r="1129" spans="9:12" x14ac:dyDescent="0.25">
      <c r="I1129" t="s">
        <v>188</v>
      </c>
      <c r="J1129" t="s">
        <v>258</v>
      </c>
      <c r="K1129">
        <v>5.1641315104050456E-2</v>
      </c>
      <c r="L1129" t="s">
        <v>154</v>
      </c>
    </row>
    <row r="1130" spans="9:12" x14ac:dyDescent="0.25">
      <c r="I1130" t="s">
        <v>188</v>
      </c>
      <c r="J1130" t="s">
        <v>259</v>
      </c>
      <c r="K1130">
        <v>1.3949391364999562E-2</v>
      </c>
      <c r="L1130" t="s">
        <v>154</v>
      </c>
    </row>
    <row r="1131" spans="9:12" x14ac:dyDescent="0.25">
      <c r="I1131" t="s">
        <v>188</v>
      </c>
      <c r="J1131" t="s">
        <v>160</v>
      </c>
      <c r="K1131">
        <v>0</v>
      </c>
      <c r="L1131" t="s">
        <v>154</v>
      </c>
    </row>
    <row r="1132" spans="9:12" x14ac:dyDescent="0.25">
      <c r="I1132" t="s">
        <v>188</v>
      </c>
      <c r="J1132" t="s">
        <v>161</v>
      </c>
      <c r="K1132">
        <v>3.2475654691339183E-3</v>
      </c>
      <c r="L1132" t="s">
        <v>154</v>
      </c>
    </row>
    <row r="1133" spans="9:12" x14ac:dyDescent="0.25">
      <c r="I1133" t="s">
        <v>188</v>
      </c>
      <c r="J1133" t="s">
        <v>162</v>
      </c>
      <c r="K1133">
        <v>3.3068488924786329E-3</v>
      </c>
      <c r="L1133" t="s">
        <v>154</v>
      </c>
    </row>
    <row r="1134" spans="9:12" x14ac:dyDescent="0.25">
      <c r="I1134" t="s">
        <v>188</v>
      </c>
      <c r="J1134" t="s">
        <v>228</v>
      </c>
      <c r="K1134">
        <v>4.2852814452081075E-3</v>
      </c>
      <c r="L1134" t="s">
        <v>154</v>
      </c>
    </row>
    <row r="1135" spans="9:12" x14ac:dyDescent="0.25">
      <c r="I1135" t="s">
        <v>188</v>
      </c>
      <c r="J1135" t="s">
        <v>229</v>
      </c>
      <c r="K1135">
        <v>1.4958142138113495E-2</v>
      </c>
      <c r="L1135" t="s">
        <v>154</v>
      </c>
    </row>
    <row r="1136" spans="9:12" x14ac:dyDescent="0.25">
      <c r="I1136" t="s">
        <v>188</v>
      </c>
      <c r="J1136" t="s">
        <v>230</v>
      </c>
      <c r="K1136">
        <v>8.1351027443973649E-3</v>
      </c>
      <c r="L1136" t="s">
        <v>154</v>
      </c>
    </row>
    <row r="1137" spans="9:12" x14ac:dyDescent="0.25">
      <c r="I1137" t="s">
        <v>188</v>
      </c>
      <c r="J1137" t="s">
        <v>260</v>
      </c>
      <c r="K1137">
        <v>4.7550160615953407E-3</v>
      </c>
      <c r="L1137" t="s">
        <v>154</v>
      </c>
    </row>
    <row r="1138" spans="9:12" x14ac:dyDescent="0.25">
      <c r="I1138" t="s">
        <v>188</v>
      </c>
      <c r="J1138" t="s">
        <v>261</v>
      </c>
      <c r="K1138">
        <v>1.2053213972658587E-3</v>
      </c>
      <c r="L1138" t="s">
        <v>154</v>
      </c>
    </row>
    <row r="1139" spans="9:12" x14ac:dyDescent="0.25">
      <c r="I1139" t="s">
        <v>188</v>
      </c>
      <c r="J1139" t="s">
        <v>163</v>
      </c>
      <c r="K1139">
        <v>0</v>
      </c>
      <c r="L1139" t="s">
        <v>154</v>
      </c>
    </row>
    <row r="1140" spans="9:12" x14ac:dyDescent="0.25">
      <c r="I1140" t="s">
        <v>188</v>
      </c>
      <c r="J1140" t="s">
        <v>164</v>
      </c>
      <c r="K1140">
        <v>9.2090531375338385E-3</v>
      </c>
      <c r="L1140" t="s">
        <v>154</v>
      </c>
    </row>
    <row r="1141" spans="9:12" x14ac:dyDescent="0.25">
      <c r="I1141" t="s">
        <v>188</v>
      </c>
      <c r="J1141" t="s">
        <v>165</v>
      </c>
      <c r="K1141">
        <v>9.0796363779644864E-3</v>
      </c>
      <c r="L1141" t="s">
        <v>154</v>
      </c>
    </row>
    <row r="1142" spans="9:12" x14ac:dyDescent="0.25">
      <c r="I1142" t="s">
        <v>188</v>
      </c>
      <c r="J1142" t="s">
        <v>231</v>
      </c>
      <c r="K1142">
        <v>1.1402765184304524E-2</v>
      </c>
      <c r="L1142" t="s">
        <v>154</v>
      </c>
    </row>
    <row r="1143" spans="9:12" x14ac:dyDescent="0.25">
      <c r="I1143" t="s">
        <v>188</v>
      </c>
      <c r="J1143" t="s">
        <v>232</v>
      </c>
      <c r="K1143">
        <v>4.1493334006400207E-2</v>
      </c>
      <c r="L1143" t="s">
        <v>154</v>
      </c>
    </row>
    <row r="1144" spans="9:12" x14ac:dyDescent="0.25">
      <c r="I1144" t="s">
        <v>188</v>
      </c>
      <c r="J1144" t="s">
        <v>233</v>
      </c>
      <c r="K1144">
        <v>2.3244523108728633E-2</v>
      </c>
      <c r="L1144" t="s">
        <v>154</v>
      </c>
    </row>
    <row r="1145" spans="9:12" x14ac:dyDescent="0.25">
      <c r="I1145" t="s">
        <v>188</v>
      </c>
      <c r="J1145" t="s">
        <v>262</v>
      </c>
      <c r="K1145">
        <v>1.4374167423282423E-2</v>
      </c>
      <c r="L1145" t="s">
        <v>154</v>
      </c>
    </row>
    <row r="1146" spans="9:12" x14ac:dyDescent="0.25">
      <c r="I1146" t="s">
        <v>188</v>
      </c>
      <c r="J1146" t="s">
        <v>263</v>
      </c>
      <c r="K1146">
        <v>3.8638787539628256E-3</v>
      </c>
      <c r="L1146" t="s">
        <v>154</v>
      </c>
    </row>
    <row r="1147" spans="9:12" x14ac:dyDescent="0.25">
      <c r="I1147" t="s">
        <v>188</v>
      </c>
      <c r="J1147" t="s">
        <v>240</v>
      </c>
      <c r="K1147">
        <v>0</v>
      </c>
      <c r="L1147" t="s">
        <v>154</v>
      </c>
    </row>
    <row r="1148" spans="9:12" x14ac:dyDescent="0.25">
      <c r="I1148" t="s">
        <v>188</v>
      </c>
      <c r="J1148" t="s">
        <v>241</v>
      </c>
      <c r="K1148">
        <v>2.2905905721050696E-2</v>
      </c>
      <c r="L1148" t="s">
        <v>154</v>
      </c>
    </row>
    <row r="1149" spans="9:12" x14ac:dyDescent="0.25">
      <c r="I1149" t="s">
        <v>188</v>
      </c>
      <c r="J1149" t="s">
        <v>242</v>
      </c>
      <c r="K1149">
        <v>2.2500826699500261E-2</v>
      </c>
      <c r="L1149" t="s">
        <v>154</v>
      </c>
    </row>
    <row r="1150" spans="9:12" x14ac:dyDescent="0.25">
      <c r="I1150" t="s">
        <v>188</v>
      </c>
      <c r="J1150" t="s">
        <v>243</v>
      </c>
      <c r="K1150">
        <v>2.7547291192350384E-2</v>
      </c>
      <c r="L1150" t="s">
        <v>154</v>
      </c>
    </row>
    <row r="1151" spans="9:12" x14ac:dyDescent="0.25">
      <c r="I1151" t="s">
        <v>188</v>
      </c>
      <c r="J1151" t="s">
        <v>244</v>
      </c>
      <c r="K1151">
        <v>9.5315571617775416E-2</v>
      </c>
      <c r="L1151" t="s">
        <v>154</v>
      </c>
    </row>
    <row r="1152" spans="9:12" x14ac:dyDescent="0.25">
      <c r="I1152" t="s">
        <v>188</v>
      </c>
      <c r="J1152" t="s">
        <v>245</v>
      </c>
      <c r="K1152">
        <v>5.4464516730397108E-2</v>
      </c>
      <c r="L1152" t="s">
        <v>154</v>
      </c>
    </row>
    <row r="1153" spans="9:12" x14ac:dyDescent="0.25">
      <c r="I1153" t="s">
        <v>188</v>
      </c>
      <c r="J1153" t="s">
        <v>264</v>
      </c>
      <c r="K1153">
        <v>3.5436367130042647E-2</v>
      </c>
      <c r="L1153" t="s">
        <v>154</v>
      </c>
    </row>
    <row r="1154" spans="9:12" x14ac:dyDescent="0.25">
      <c r="I1154" t="s">
        <v>188</v>
      </c>
      <c r="J1154" t="s">
        <v>265</v>
      </c>
      <c r="K1154">
        <v>8.7861049742666304E-3</v>
      </c>
      <c r="L1154" t="s">
        <v>154</v>
      </c>
    </row>
    <row r="1155" spans="9:12" x14ac:dyDescent="0.25">
      <c r="I1155" t="s">
        <v>188</v>
      </c>
      <c r="J1155" t="s">
        <v>246</v>
      </c>
      <c r="K1155">
        <v>0</v>
      </c>
      <c r="L1155" t="s">
        <v>154</v>
      </c>
    </row>
    <row r="1156" spans="9:12" x14ac:dyDescent="0.25">
      <c r="I1156" t="s">
        <v>188</v>
      </c>
      <c r="J1156" t="s">
        <v>247</v>
      </c>
      <c r="K1156">
        <v>1.6094559497504421E-2</v>
      </c>
      <c r="L1156" t="s">
        <v>154</v>
      </c>
    </row>
    <row r="1157" spans="9:12" x14ac:dyDescent="0.25">
      <c r="I1157" t="s">
        <v>188</v>
      </c>
      <c r="J1157" t="s">
        <v>248</v>
      </c>
      <c r="K1157">
        <v>1.6154154248405269E-2</v>
      </c>
      <c r="L1157" t="s">
        <v>154</v>
      </c>
    </row>
    <row r="1158" spans="9:12" x14ac:dyDescent="0.25">
      <c r="I1158" t="s">
        <v>188</v>
      </c>
      <c r="J1158" t="s">
        <v>249</v>
      </c>
      <c r="K1158">
        <v>1.9988928722408476E-2</v>
      </c>
      <c r="L1158" t="s">
        <v>154</v>
      </c>
    </row>
    <row r="1159" spans="9:12" x14ac:dyDescent="0.25">
      <c r="I1159" t="s">
        <v>188</v>
      </c>
      <c r="J1159" t="s">
        <v>250</v>
      </c>
      <c r="K1159">
        <v>6.8006918664158394E-2</v>
      </c>
      <c r="L1159" t="s">
        <v>154</v>
      </c>
    </row>
    <row r="1160" spans="9:12" x14ac:dyDescent="0.25">
      <c r="I1160" t="s">
        <v>188</v>
      </c>
      <c r="J1160" t="s">
        <v>251</v>
      </c>
      <c r="K1160">
        <v>3.5951372338574955E-2</v>
      </c>
      <c r="L1160" t="s">
        <v>154</v>
      </c>
    </row>
    <row r="1161" spans="9:12" x14ac:dyDescent="0.25">
      <c r="I1161" t="s">
        <v>188</v>
      </c>
      <c r="J1161" t="s">
        <v>266</v>
      </c>
      <c r="K1161">
        <v>2.226796163424203E-2</v>
      </c>
      <c r="L1161" t="s">
        <v>154</v>
      </c>
    </row>
    <row r="1162" spans="9:12" x14ac:dyDescent="0.25">
      <c r="I1162" t="s">
        <v>188</v>
      </c>
      <c r="J1162" t="s">
        <v>267</v>
      </c>
      <c r="K1162">
        <v>4.9915010060711494E-3</v>
      </c>
      <c r="L1162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138B-11BD-4835-B6D8-CCA5B117FF3F}">
  <dimension ref="A9:AN34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25">
      <c r="A10" t="s">
        <v>103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209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25">
      <c r="A11" t="str">
        <f>IFERROR(IF(Veda!D5=A10,"ok","x"),"")</f>
        <v>ok</v>
      </c>
      <c r="C11" t="s">
        <v>270</v>
      </c>
      <c r="D11" t="s">
        <v>143</v>
      </c>
      <c r="E11" t="s">
        <v>271</v>
      </c>
      <c r="F11" t="s">
        <v>270</v>
      </c>
      <c r="G11" t="s">
        <v>143</v>
      </c>
      <c r="I11" t="s">
        <v>152</v>
      </c>
      <c r="J11" t="s">
        <v>272</v>
      </c>
      <c r="K11">
        <v>0.999999999999999</v>
      </c>
      <c r="L11" t="s">
        <v>154</v>
      </c>
      <c r="N11" t="s">
        <v>189</v>
      </c>
      <c r="O11" t="s">
        <v>272</v>
      </c>
      <c r="P11">
        <v>1.0000000000000033</v>
      </c>
      <c r="Q11" t="s">
        <v>154</v>
      </c>
      <c r="S11" t="s">
        <v>199</v>
      </c>
      <c r="T11" t="s">
        <v>272</v>
      </c>
      <c r="U11">
        <v>1</v>
      </c>
      <c r="V11" t="s">
        <v>154</v>
      </c>
      <c r="X11">
        <v>1</v>
      </c>
      <c r="Y11">
        <v>1.0000000000000002</v>
      </c>
      <c r="Z11" t="s">
        <v>272</v>
      </c>
      <c r="AA11" t="s">
        <v>25</v>
      </c>
      <c r="AC11" t="s">
        <v>22</v>
      </c>
      <c r="AD11" t="s">
        <v>272</v>
      </c>
      <c r="AE11">
        <v>1</v>
      </c>
      <c r="AG11" t="s">
        <v>96</v>
      </c>
      <c r="AH11" t="s">
        <v>272</v>
      </c>
      <c r="AI11">
        <v>0.40234945987323956</v>
      </c>
    </row>
    <row r="12" spans="1:40" x14ac:dyDescent="0.25">
      <c r="I12" t="s">
        <v>166</v>
      </c>
      <c r="J12" t="s">
        <v>272</v>
      </c>
      <c r="K12">
        <v>0.999999999999999</v>
      </c>
      <c r="L12" t="s">
        <v>154</v>
      </c>
      <c r="N12" t="s">
        <v>190</v>
      </c>
      <c r="O12" t="s">
        <v>272</v>
      </c>
      <c r="P12">
        <v>0.99999999999999734</v>
      </c>
      <c r="Q12" t="s">
        <v>154</v>
      </c>
      <c r="S12" t="s">
        <v>200</v>
      </c>
      <c r="T12" t="s">
        <v>272</v>
      </c>
      <c r="U12">
        <v>0.99999999999999956</v>
      </c>
      <c r="V12" t="s">
        <v>154</v>
      </c>
      <c r="AC12" t="s">
        <v>19</v>
      </c>
      <c r="AD12" t="s">
        <v>272</v>
      </c>
      <c r="AE12">
        <v>1</v>
      </c>
    </row>
    <row r="13" spans="1:40" x14ac:dyDescent="0.25">
      <c r="I13" t="s">
        <v>167</v>
      </c>
      <c r="J13" t="s">
        <v>272</v>
      </c>
      <c r="K13">
        <v>1.0000000000000011</v>
      </c>
      <c r="L13" t="s">
        <v>154</v>
      </c>
      <c r="N13" t="s">
        <v>191</v>
      </c>
      <c r="O13" t="s">
        <v>272</v>
      </c>
      <c r="P13">
        <v>1.0000000000000013</v>
      </c>
      <c r="Q13" t="s">
        <v>154</v>
      </c>
      <c r="S13" t="s">
        <v>201</v>
      </c>
      <c r="T13" t="s">
        <v>272</v>
      </c>
      <c r="U13">
        <v>0.99999999999999756</v>
      </c>
      <c r="V13" t="s">
        <v>154</v>
      </c>
    </row>
    <row r="14" spans="1:40" x14ac:dyDescent="0.25">
      <c r="I14" t="s">
        <v>168</v>
      </c>
      <c r="J14" t="s">
        <v>272</v>
      </c>
      <c r="K14">
        <v>1.0000000000000033</v>
      </c>
      <c r="L14" t="s">
        <v>154</v>
      </c>
      <c r="N14" t="s">
        <v>192</v>
      </c>
      <c r="O14" t="s">
        <v>272</v>
      </c>
      <c r="P14">
        <v>1.0000000000000011</v>
      </c>
      <c r="Q14" t="s">
        <v>154</v>
      </c>
      <c r="S14" t="s">
        <v>202</v>
      </c>
      <c r="T14" t="s">
        <v>272</v>
      </c>
      <c r="U14">
        <v>0.99999999999999611</v>
      </c>
      <c r="V14" t="s">
        <v>154</v>
      </c>
    </row>
    <row r="15" spans="1:40" x14ac:dyDescent="0.25">
      <c r="I15" t="s">
        <v>169</v>
      </c>
      <c r="J15" t="s">
        <v>272</v>
      </c>
      <c r="K15">
        <v>1.0000000000000007</v>
      </c>
      <c r="L15" t="s">
        <v>154</v>
      </c>
      <c r="N15" t="s">
        <v>193</v>
      </c>
      <c r="O15" t="s">
        <v>272</v>
      </c>
      <c r="P15">
        <v>1.0000000000000036</v>
      </c>
      <c r="Q15" t="s">
        <v>154</v>
      </c>
      <c r="S15" t="s">
        <v>203</v>
      </c>
      <c r="T15" t="s">
        <v>272</v>
      </c>
      <c r="U15">
        <v>1.0000000000000007</v>
      </c>
      <c r="V15" t="s">
        <v>154</v>
      </c>
    </row>
    <row r="16" spans="1:40" x14ac:dyDescent="0.25">
      <c r="I16" t="s">
        <v>170</v>
      </c>
      <c r="J16" t="s">
        <v>272</v>
      </c>
      <c r="K16">
        <v>0.99999999999999944</v>
      </c>
      <c r="L16" t="s">
        <v>154</v>
      </c>
      <c r="N16" t="s">
        <v>194</v>
      </c>
      <c r="O16" t="s">
        <v>272</v>
      </c>
      <c r="P16">
        <v>0.99999999999999967</v>
      </c>
      <c r="Q16" t="s">
        <v>154</v>
      </c>
      <c r="S16" t="s">
        <v>204</v>
      </c>
      <c r="T16" t="s">
        <v>272</v>
      </c>
      <c r="U16">
        <v>1.0000000000000022</v>
      </c>
      <c r="V16" t="s">
        <v>154</v>
      </c>
    </row>
    <row r="17" spans="9:22" x14ac:dyDescent="0.25">
      <c r="I17" t="s">
        <v>171</v>
      </c>
      <c r="J17" t="s">
        <v>272</v>
      </c>
      <c r="K17">
        <v>0.99999999999999634</v>
      </c>
      <c r="L17" t="s">
        <v>154</v>
      </c>
      <c r="N17" t="s">
        <v>195</v>
      </c>
      <c r="O17" t="s">
        <v>272</v>
      </c>
      <c r="P17">
        <v>1.0000000000000007</v>
      </c>
      <c r="Q17" t="s">
        <v>154</v>
      </c>
      <c r="S17" t="s">
        <v>205</v>
      </c>
      <c r="T17" t="s">
        <v>272</v>
      </c>
      <c r="U17">
        <v>1</v>
      </c>
      <c r="V17" t="s">
        <v>154</v>
      </c>
    </row>
    <row r="18" spans="9:22" x14ac:dyDescent="0.25">
      <c r="I18" t="s">
        <v>172</v>
      </c>
      <c r="J18" t="s">
        <v>272</v>
      </c>
      <c r="K18">
        <v>0.99999999999999933</v>
      </c>
      <c r="L18" t="s">
        <v>154</v>
      </c>
      <c r="N18" t="s">
        <v>196</v>
      </c>
      <c r="O18" t="s">
        <v>272</v>
      </c>
      <c r="P18">
        <v>0.99999999999999933</v>
      </c>
      <c r="Q18" t="s">
        <v>154</v>
      </c>
      <c r="S18" t="s">
        <v>206</v>
      </c>
      <c r="T18" t="s">
        <v>272</v>
      </c>
      <c r="U18">
        <v>0.99999999999999878</v>
      </c>
      <c r="V18" t="s">
        <v>154</v>
      </c>
    </row>
    <row r="19" spans="9:22" x14ac:dyDescent="0.25">
      <c r="I19" t="s">
        <v>173</v>
      </c>
      <c r="J19" t="s">
        <v>272</v>
      </c>
      <c r="K19">
        <v>0.99999999999999889</v>
      </c>
      <c r="L19" t="s">
        <v>154</v>
      </c>
      <c r="N19" t="s">
        <v>197</v>
      </c>
      <c r="O19" t="s">
        <v>272</v>
      </c>
      <c r="P19">
        <v>0.99999999999999889</v>
      </c>
      <c r="Q19" t="s">
        <v>154</v>
      </c>
      <c r="S19" t="s">
        <v>207</v>
      </c>
      <c r="T19" t="s">
        <v>272</v>
      </c>
      <c r="U19">
        <v>0.99999999999999822</v>
      </c>
      <c r="V19" t="s">
        <v>154</v>
      </c>
    </row>
    <row r="20" spans="9:22" x14ac:dyDescent="0.25">
      <c r="I20" t="s">
        <v>174</v>
      </c>
      <c r="J20" t="s">
        <v>272</v>
      </c>
      <c r="K20">
        <v>1.0000000000000031</v>
      </c>
      <c r="L20" t="s">
        <v>154</v>
      </c>
      <c r="N20" t="s">
        <v>198</v>
      </c>
      <c r="O20" t="s">
        <v>272</v>
      </c>
      <c r="P20">
        <v>1.000000000000002</v>
      </c>
      <c r="Q20" t="s">
        <v>154</v>
      </c>
      <c r="S20" t="s">
        <v>208</v>
      </c>
      <c r="T20" t="s">
        <v>272</v>
      </c>
      <c r="U20">
        <v>0.99999999999999978</v>
      </c>
      <c r="V20" t="s">
        <v>154</v>
      </c>
    </row>
    <row r="21" spans="9:22" x14ac:dyDescent="0.25">
      <c r="I21" t="s">
        <v>175</v>
      </c>
      <c r="J21" t="s">
        <v>272</v>
      </c>
      <c r="K21">
        <v>0.99999999999999944</v>
      </c>
      <c r="L21" t="s">
        <v>154</v>
      </c>
    </row>
    <row r="22" spans="9:22" x14ac:dyDescent="0.25">
      <c r="I22" t="s">
        <v>176</v>
      </c>
      <c r="J22" t="s">
        <v>272</v>
      </c>
      <c r="K22">
        <v>0.99999999999999922</v>
      </c>
      <c r="L22" t="s">
        <v>154</v>
      </c>
    </row>
    <row r="23" spans="9:22" x14ac:dyDescent="0.25">
      <c r="I23" t="s">
        <v>177</v>
      </c>
      <c r="J23" t="s">
        <v>272</v>
      </c>
      <c r="K23">
        <v>1.0000000000000016</v>
      </c>
      <c r="L23" t="s">
        <v>154</v>
      </c>
    </row>
    <row r="24" spans="9:22" x14ac:dyDescent="0.25">
      <c r="I24" t="s">
        <v>178</v>
      </c>
      <c r="J24" t="s">
        <v>272</v>
      </c>
      <c r="K24">
        <v>1.0000000000000011</v>
      </c>
      <c r="L24" t="s">
        <v>154</v>
      </c>
    </row>
    <row r="25" spans="9:22" x14ac:dyDescent="0.25">
      <c r="I25" t="s">
        <v>179</v>
      </c>
      <c r="J25" t="s">
        <v>272</v>
      </c>
      <c r="K25">
        <v>1.0000000000000002</v>
      </c>
      <c r="L25" t="s">
        <v>154</v>
      </c>
    </row>
    <row r="26" spans="9:22" x14ac:dyDescent="0.25">
      <c r="I26" t="s">
        <v>180</v>
      </c>
      <c r="J26" t="s">
        <v>272</v>
      </c>
      <c r="K26">
        <v>0.99999999999999944</v>
      </c>
      <c r="L26" t="s">
        <v>154</v>
      </c>
    </row>
    <row r="27" spans="9:22" x14ac:dyDescent="0.25">
      <c r="I27" t="s">
        <v>181</v>
      </c>
      <c r="J27" t="s">
        <v>272</v>
      </c>
      <c r="K27">
        <v>1.0000000000000009</v>
      </c>
      <c r="L27" t="s">
        <v>154</v>
      </c>
    </row>
    <row r="28" spans="9:22" x14ac:dyDescent="0.25">
      <c r="I28" t="s">
        <v>182</v>
      </c>
      <c r="J28" t="s">
        <v>272</v>
      </c>
      <c r="K28">
        <v>0.99999999999999811</v>
      </c>
      <c r="L28" t="s">
        <v>154</v>
      </c>
    </row>
    <row r="29" spans="9:22" x14ac:dyDescent="0.25">
      <c r="I29" t="s">
        <v>183</v>
      </c>
      <c r="J29" t="s">
        <v>272</v>
      </c>
      <c r="K29">
        <v>0.99999999999999822</v>
      </c>
      <c r="L29" t="s">
        <v>154</v>
      </c>
    </row>
    <row r="30" spans="9:22" x14ac:dyDescent="0.25">
      <c r="I30" t="s">
        <v>184</v>
      </c>
      <c r="J30" t="s">
        <v>272</v>
      </c>
      <c r="K30">
        <v>1.0000000000000029</v>
      </c>
      <c r="L30" t="s">
        <v>154</v>
      </c>
    </row>
    <row r="31" spans="9:22" x14ac:dyDescent="0.25">
      <c r="I31" t="s">
        <v>185</v>
      </c>
      <c r="J31" t="s">
        <v>272</v>
      </c>
      <c r="K31">
        <v>1.0000000000000009</v>
      </c>
      <c r="L31" t="s">
        <v>154</v>
      </c>
    </row>
    <row r="32" spans="9:22" x14ac:dyDescent="0.25">
      <c r="I32" t="s">
        <v>186</v>
      </c>
      <c r="J32" t="s">
        <v>272</v>
      </c>
      <c r="K32">
        <v>0.99999999999999822</v>
      </c>
      <c r="L32" t="s">
        <v>154</v>
      </c>
    </row>
    <row r="33" spans="9:12" x14ac:dyDescent="0.25">
      <c r="I33" t="s">
        <v>187</v>
      </c>
      <c r="J33" t="s">
        <v>272</v>
      </c>
      <c r="K33">
        <v>1.0000000000000016</v>
      </c>
      <c r="L33" t="s">
        <v>154</v>
      </c>
    </row>
    <row r="34" spans="9:12" x14ac:dyDescent="0.25">
      <c r="I34" t="s">
        <v>188</v>
      </c>
      <c r="J34" t="s">
        <v>272</v>
      </c>
      <c r="K34">
        <v>0.99999999999999667</v>
      </c>
      <c r="L34" t="s">
        <v>154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0BBE-4FFC-4D32-8552-5DC2F1B5D570}">
  <dimension ref="A9:AN298"/>
  <sheetViews>
    <sheetView tabSelected="1"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120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209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25">
      <c r="A11" t="str">
        <f>IFERROR(IF(Veda!D5=A10,"ok","x"),"")</f>
        <v>x</v>
      </c>
      <c r="C11" t="s">
        <v>273</v>
      </c>
      <c r="D11" t="s">
        <v>143</v>
      </c>
      <c r="E11" t="s">
        <v>211</v>
      </c>
      <c r="F11" t="s">
        <v>274</v>
      </c>
      <c r="G11" t="s">
        <v>143</v>
      </c>
      <c r="I11" t="s">
        <v>152</v>
      </c>
      <c r="J11" t="s">
        <v>279</v>
      </c>
      <c r="K11">
        <v>0.23135811281973584</v>
      </c>
      <c r="L11" t="s">
        <v>154</v>
      </c>
      <c r="N11" t="s">
        <v>189</v>
      </c>
      <c r="O11" t="s">
        <v>279</v>
      </c>
      <c r="P11">
        <v>0.14216488870106467</v>
      </c>
      <c r="Q11" t="s">
        <v>154</v>
      </c>
      <c r="S11" t="s">
        <v>199</v>
      </c>
      <c r="T11" t="s">
        <v>279</v>
      </c>
      <c r="U11">
        <v>8.3514322197576929E-2</v>
      </c>
      <c r="V11" t="s">
        <v>154</v>
      </c>
      <c r="X11">
        <v>0.11426940639269406</v>
      </c>
      <c r="Y11">
        <v>0.16087081189037786</v>
      </c>
      <c r="Z11" t="s">
        <v>279</v>
      </c>
      <c r="AA11" t="s">
        <v>25</v>
      </c>
      <c r="AC11" t="s">
        <v>22</v>
      </c>
      <c r="AD11" t="s">
        <v>279</v>
      </c>
      <c r="AE11">
        <v>9.9898271176676809E-2</v>
      </c>
      <c r="AG11" t="s">
        <v>96</v>
      </c>
      <c r="AH11" t="s">
        <v>279</v>
      </c>
      <c r="AI11">
        <v>9.8520279975178982E-2</v>
      </c>
    </row>
    <row r="12" spans="1:40" x14ac:dyDescent="0.25">
      <c r="C12" t="s">
        <v>275</v>
      </c>
      <c r="E12" t="s">
        <v>213</v>
      </c>
      <c r="G12" t="s">
        <v>143</v>
      </c>
      <c r="I12" t="s">
        <v>152</v>
      </c>
      <c r="J12" t="s">
        <v>280</v>
      </c>
      <c r="K12">
        <v>0</v>
      </c>
      <c r="L12" t="s">
        <v>154</v>
      </c>
      <c r="N12" t="s">
        <v>189</v>
      </c>
      <c r="O12" t="s">
        <v>280</v>
      </c>
      <c r="P12">
        <v>0.161015971762029</v>
      </c>
      <c r="Q12" t="s">
        <v>154</v>
      </c>
      <c r="S12" t="s">
        <v>199</v>
      </c>
      <c r="T12" t="s">
        <v>280</v>
      </c>
      <c r="U12">
        <v>7.6484277529004496E-2</v>
      </c>
      <c r="V12" t="s">
        <v>154</v>
      </c>
      <c r="X12">
        <v>0.11426940639269406</v>
      </c>
      <c r="Y12">
        <v>5.2547713165767528E-2</v>
      </c>
      <c r="Z12" t="s">
        <v>280</v>
      </c>
      <c r="AA12" t="s">
        <v>25</v>
      </c>
      <c r="AC12" t="s">
        <v>22</v>
      </c>
      <c r="AD12" t="s">
        <v>280</v>
      </c>
      <c r="AE12">
        <v>8.3761761653526459E-2</v>
      </c>
      <c r="AG12" t="s">
        <v>96</v>
      </c>
      <c r="AH12" t="s">
        <v>280</v>
      </c>
      <c r="AI12">
        <v>0.2896619596017671</v>
      </c>
    </row>
    <row r="13" spans="1:40" x14ac:dyDescent="0.25">
      <c r="C13" t="s">
        <v>276</v>
      </c>
      <c r="E13" t="s">
        <v>277</v>
      </c>
      <c r="G13" t="s">
        <v>143</v>
      </c>
      <c r="I13" t="s">
        <v>152</v>
      </c>
      <c r="J13" t="s">
        <v>281</v>
      </c>
      <c r="K13">
        <v>4.9466015365848678E-3</v>
      </c>
      <c r="L13" t="s">
        <v>154</v>
      </c>
      <c r="N13" t="s">
        <v>189</v>
      </c>
      <c r="O13" t="s">
        <v>281</v>
      </c>
      <c r="P13">
        <v>3.5022187960107781E-2</v>
      </c>
      <c r="Q13" t="s">
        <v>154</v>
      </c>
      <c r="S13" t="s">
        <v>199</v>
      </c>
      <c r="T13" t="s">
        <v>281</v>
      </c>
      <c r="U13">
        <v>1.5202677110286972E-2</v>
      </c>
      <c r="V13" t="s">
        <v>154</v>
      </c>
      <c r="X13">
        <v>2.0776255707762557E-2</v>
      </c>
      <c r="Y13">
        <v>3.5896543437005365E-2</v>
      </c>
      <c r="Z13" t="s">
        <v>281</v>
      </c>
      <c r="AA13" t="s">
        <v>25</v>
      </c>
      <c r="AC13" t="s">
        <v>22</v>
      </c>
      <c r="AD13" t="s">
        <v>281</v>
      </c>
      <c r="AE13">
        <v>2.0845792360747243E-2</v>
      </c>
      <c r="AG13" t="s">
        <v>96</v>
      </c>
      <c r="AH13" t="s">
        <v>281</v>
      </c>
      <c r="AI13">
        <v>0.10791282251962131</v>
      </c>
    </row>
    <row r="14" spans="1:40" x14ac:dyDescent="0.25">
      <c r="C14" t="s">
        <v>278</v>
      </c>
      <c r="I14" t="s">
        <v>152</v>
      </c>
      <c r="J14" t="s">
        <v>282</v>
      </c>
      <c r="K14">
        <v>0.26812648830998931</v>
      </c>
      <c r="L14" t="s">
        <v>154</v>
      </c>
      <c r="N14" t="s">
        <v>189</v>
      </c>
      <c r="O14" t="s">
        <v>282</v>
      </c>
      <c r="P14">
        <v>6.328535705034842E-2</v>
      </c>
      <c r="Q14" t="s">
        <v>154</v>
      </c>
      <c r="S14" t="s">
        <v>199</v>
      </c>
      <c r="T14" t="s">
        <v>282</v>
      </c>
      <c r="U14">
        <v>3.709193825951853E-2</v>
      </c>
      <c r="V14" t="s">
        <v>154</v>
      </c>
      <c r="X14">
        <v>0.11552511415525114</v>
      </c>
      <c r="Y14">
        <v>0.16263862301005233</v>
      </c>
      <c r="Z14" t="s">
        <v>282</v>
      </c>
      <c r="AA14" t="s">
        <v>25</v>
      </c>
      <c r="AC14" t="s">
        <v>22</v>
      </c>
      <c r="AD14" t="s">
        <v>282</v>
      </c>
      <c r="AE14">
        <v>0.1498775565568603</v>
      </c>
      <c r="AG14" t="s">
        <v>96</v>
      </c>
      <c r="AH14" t="s">
        <v>282</v>
      </c>
      <c r="AI14">
        <v>0.17277073181674951</v>
      </c>
    </row>
    <row r="15" spans="1:40" x14ac:dyDescent="0.25">
      <c r="I15" t="s">
        <v>152</v>
      </c>
      <c r="J15" t="s">
        <v>283</v>
      </c>
      <c r="K15">
        <v>0</v>
      </c>
      <c r="L15" t="s">
        <v>154</v>
      </c>
      <c r="N15" t="s">
        <v>189</v>
      </c>
      <c r="O15" t="s">
        <v>283</v>
      </c>
      <c r="P15">
        <v>7.0286823918437741E-2</v>
      </c>
      <c r="Q15" t="s">
        <v>154</v>
      </c>
      <c r="S15" t="s">
        <v>199</v>
      </c>
      <c r="T15" t="s">
        <v>283</v>
      </c>
      <c r="U15">
        <v>4.015816103517901E-2</v>
      </c>
      <c r="V15" t="s">
        <v>154</v>
      </c>
      <c r="X15">
        <v>0.11552511415525114</v>
      </c>
      <c r="Y15">
        <v>5.3125160563193538E-2</v>
      </c>
      <c r="Z15" t="s">
        <v>283</v>
      </c>
      <c r="AA15" t="s">
        <v>25</v>
      </c>
      <c r="AC15" t="s">
        <v>22</v>
      </c>
      <c r="AD15" t="s">
        <v>283</v>
      </c>
      <c r="AE15">
        <v>0.12123868893085056</v>
      </c>
      <c r="AG15" t="s">
        <v>96</v>
      </c>
      <c r="AH15" t="s">
        <v>283</v>
      </c>
      <c r="AI15">
        <v>0.27619707949259142</v>
      </c>
    </row>
    <row r="16" spans="1:40" x14ac:dyDescent="0.25">
      <c r="I16" t="s">
        <v>152</v>
      </c>
      <c r="J16" t="s">
        <v>284</v>
      </c>
      <c r="K16">
        <v>9.9646291913808721E-3</v>
      </c>
      <c r="L16" t="s">
        <v>154</v>
      </c>
      <c r="N16" t="s">
        <v>189</v>
      </c>
      <c r="O16" t="s">
        <v>284</v>
      </c>
      <c r="P16">
        <v>1.3126284288804973E-2</v>
      </c>
      <c r="Q16" t="s">
        <v>154</v>
      </c>
      <c r="S16" t="s">
        <v>199</v>
      </c>
      <c r="T16" t="s">
        <v>284</v>
      </c>
      <c r="U16">
        <v>6.2743301744117644E-3</v>
      </c>
      <c r="V16" t="s">
        <v>154</v>
      </c>
      <c r="X16">
        <v>2.1004566210045664E-2</v>
      </c>
      <c r="Y16">
        <v>3.6291010947302131E-2</v>
      </c>
      <c r="Z16" t="s">
        <v>284</v>
      </c>
      <c r="AA16" t="s">
        <v>25</v>
      </c>
      <c r="AC16" t="s">
        <v>22</v>
      </c>
      <c r="AD16" t="s">
        <v>284</v>
      </c>
      <c r="AE16">
        <v>3.0723743027559515E-2</v>
      </c>
      <c r="AG16" t="s">
        <v>96</v>
      </c>
      <c r="AH16" t="s">
        <v>284</v>
      </c>
      <c r="AI16">
        <v>8.831386586845591E-2</v>
      </c>
    </row>
    <row r="17" spans="9:35" x14ac:dyDescent="0.25">
      <c r="I17" t="s">
        <v>152</v>
      </c>
      <c r="J17" t="s">
        <v>285</v>
      </c>
      <c r="K17">
        <v>0.24555776329003434</v>
      </c>
      <c r="L17" t="s">
        <v>154</v>
      </c>
      <c r="N17" t="s">
        <v>189</v>
      </c>
      <c r="O17" t="s">
        <v>285</v>
      </c>
      <c r="P17">
        <v>7.9588564957397037E-2</v>
      </c>
      <c r="Q17" t="s">
        <v>154</v>
      </c>
      <c r="S17" t="s">
        <v>199</v>
      </c>
      <c r="T17" t="s">
        <v>285</v>
      </c>
      <c r="U17">
        <v>8.3226542085515831E-2</v>
      </c>
      <c r="V17" t="s">
        <v>154</v>
      </c>
      <c r="X17">
        <v>0.11552511415525114</v>
      </c>
      <c r="Y17">
        <v>0.16263862301005233</v>
      </c>
      <c r="Z17" t="s">
        <v>285</v>
      </c>
      <c r="AA17" t="s">
        <v>25</v>
      </c>
      <c r="AC17" t="s">
        <v>22</v>
      </c>
      <c r="AD17" t="s">
        <v>285</v>
      </c>
      <c r="AE17">
        <v>0.142919327281717</v>
      </c>
      <c r="AG17" t="s">
        <v>96</v>
      </c>
      <c r="AH17" t="s">
        <v>285</v>
      </c>
      <c r="AI17">
        <v>0.24500253017268814</v>
      </c>
    </row>
    <row r="18" spans="9:35" x14ac:dyDescent="0.25">
      <c r="I18" t="s">
        <v>152</v>
      </c>
      <c r="J18" t="s">
        <v>286</v>
      </c>
      <c r="K18">
        <v>0</v>
      </c>
      <c r="L18" t="s">
        <v>154</v>
      </c>
      <c r="N18" t="s">
        <v>189</v>
      </c>
      <c r="O18" t="s">
        <v>286</v>
      </c>
      <c r="P18">
        <v>0.11017695663314349</v>
      </c>
      <c r="Q18" t="s">
        <v>154</v>
      </c>
      <c r="S18" t="s">
        <v>199</v>
      </c>
      <c r="T18" t="s">
        <v>286</v>
      </c>
      <c r="U18">
        <v>7.128681763674416E-2</v>
      </c>
      <c r="V18" t="s">
        <v>154</v>
      </c>
      <c r="X18">
        <v>0.11552511415525114</v>
      </c>
      <c r="Y18">
        <v>5.3125160563193538E-2</v>
      </c>
      <c r="Z18" t="s">
        <v>286</v>
      </c>
      <c r="AA18" t="s">
        <v>25</v>
      </c>
      <c r="AC18" t="s">
        <v>22</v>
      </c>
      <c r="AD18" t="s">
        <v>286</v>
      </c>
      <c r="AE18">
        <v>0.1161768448653136</v>
      </c>
      <c r="AG18" t="s">
        <v>96</v>
      </c>
      <c r="AH18" t="s">
        <v>286</v>
      </c>
      <c r="AI18">
        <v>0.36199236920503841</v>
      </c>
    </row>
    <row r="19" spans="9:35" x14ac:dyDescent="0.25">
      <c r="I19" t="s">
        <v>152</v>
      </c>
      <c r="J19" t="s">
        <v>287</v>
      </c>
      <c r="K19">
        <v>8.1840568433979941E-3</v>
      </c>
      <c r="L19" t="s">
        <v>154</v>
      </c>
      <c r="N19" t="s">
        <v>189</v>
      </c>
      <c r="O19" t="s">
        <v>287</v>
      </c>
      <c r="P19">
        <v>2.3875045307512777E-2</v>
      </c>
      <c r="Q19" t="s">
        <v>154</v>
      </c>
      <c r="S19" t="s">
        <v>199</v>
      </c>
      <c r="T19" t="s">
        <v>287</v>
      </c>
      <c r="U19">
        <v>1.4388536898632474E-2</v>
      </c>
      <c r="V19" t="s">
        <v>154</v>
      </c>
      <c r="X19">
        <v>2.1004566210045664E-2</v>
      </c>
      <c r="Y19">
        <v>3.6291010947302131E-2</v>
      </c>
      <c r="Z19" t="s">
        <v>287</v>
      </c>
      <c r="AA19" t="s">
        <v>25</v>
      </c>
      <c r="AC19" t="s">
        <v>22</v>
      </c>
      <c r="AD19" t="s">
        <v>287</v>
      </c>
      <c r="AE19">
        <v>2.9588672391200693E-2</v>
      </c>
      <c r="AG19" t="s">
        <v>96</v>
      </c>
      <c r="AH19" t="s">
        <v>287</v>
      </c>
      <c r="AI19">
        <v>0.15665157722872536</v>
      </c>
    </row>
    <row r="20" spans="9:35" x14ac:dyDescent="0.25">
      <c r="I20" t="s">
        <v>152</v>
      </c>
      <c r="J20" t="s">
        <v>288</v>
      </c>
      <c r="K20">
        <v>0.22578126744001323</v>
      </c>
      <c r="L20" t="s">
        <v>154</v>
      </c>
      <c r="N20" t="s">
        <v>189</v>
      </c>
      <c r="O20" t="s">
        <v>288</v>
      </c>
      <c r="P20">
        <v>0.13083417831824301</v>
      </c>
      <c r="Q20" t="s">
        <v>154</v>
      </c>
      <c r="S20" t="s">
        <v>199</v>
      </c>
      <c r="T20" t="s">
        <v>288</v>
      </c>
      <c r="U20">
        <v>0.25768554102482011</v>
      </c>
      <c r="V20" t="s">
        <v>154</v>
      </c>
      <c r="X20">
        <v>0.11301369863013698</v>
      </c>
      <c r="Y20">
        <v>0.15910300077070333</v>
      </c>
      <c r="Z20" t="s">
        <v>288</v>
      </c>
      <c r="AA20" t="s">
        <v>25</v>
      </c>
      <c r="AC20" t="s">
        <v>22</v>
      </c>
      <c r="AD20" t="s">
        <v>288</v>
      </c>
      <c r="AE20">
        <v>0.10007326401728092</v>
      </c>
      <c r="AG20" t="s">
        <v>96</v>
      </c>
      <c r="AH20" t="s">
        <v>288</v>
      </c>
      <c r="AI20">
        <v>0.14399650334909952</v>
      </c>
    </row>
    <row r="21" spans="9:35" x14ac:dyDescent="0.25">
      <c r="I21" t="s">
        <v>152</v>
      </c>
      <c r="J21" t="s">
        <v>289</v>
      </c>
      <c r="K21">
        <v>0</v>
      </c>
      <c r="L21" t="s">
        <v>154</v>
      </c>
      <c r="N21" t="s">
        <v>189</v>
      </c>
      <c r="O21" t="s">
        <v>289</v>
      </c>
      <c r="P21">
        <v>0.14205523377915824</v>
      </c>
      <c r="Q21" t="s">
        <v>154</v>
      </c>
      <c r="S21" t="s">
        <v>199</v>
      </c>
      <c r="T21" t="s">
        <v>289</v>
      </c>
      <c r="U21">
        <v>0.27128037452985698</v>
      </c>
      <c r="V21" t="s">
        <v>154</v>
      </c>
      <c r="X21">
        <v>0.11301369863013698</v>
      </c>
      <c r="Y21">
        <v>5.197026576834151E-2</v>
      </c>
      <c r="Z21" t="s">
        <v>289</v>
      </c>
      <c r="AA21" t="s">
        <v>25</v>
      </c>
      <c r="AC21" t="s">
        <v>22</v>
      </c>
      <c r="AD21" t="s">
        <v>289</v>
      </c>
      <c r="AE21">
        <v>8.4181256251472131E-2</v>
      </c>
      <c r="AG21" t="s">
        <v>96</v>
      </c>
      <c r="AH21" t="s">
        <v>289</v>
      </c>
      <c r="AI21">
        <v>0.33730783140857024</v>
      </c>
    </row>
    <row r="22" spans="9:35" x14ac:dyDescent="0.25">
      <c r="I22" t="s">
        <v>152</v>
      </c>
      <c r="J22" t="s">
        <v>290</v>
      </c>
      <c r="K22">
        <v>6.0810805688625543E-3</v>
      </c>
      <c r="L22" t="s">
        <v>154</v>
      </c>
      <c r="N22" t="s">
        <v>189</v>
      </c>
      <c r="O22" t="s">
        <v>290</v>
      </c>
      <c r="P22">
        <v>2.8568507323756129E-2</v>
      </c>
      <c r="Q22" t="s">
        <v>154</v>
      </c>
      <c r="S22" t="s">
        <v>199</v>
      </c>
      <c r="T22" t="s">
        <v>290</v>
      </c>
      <c r="U22">
        <v>4.3406481518452805E-2</v>
      </c>
      <c r="V22" t="s">
        <v>154</v>
      </c>
      <c r="X22">
        <v>2.0547945205479451E-2</v>
      </c>
      <c r="Y22">
        <v>3.5502075926708607E-2</v>
      </c>
      <c r="Z22" t="s">
        <v>290</v>
      </c>
      <c r="AA22" t="s">
        <v>25</v>
      </c>
      <c r="AC22" t="s">
        <v>22</v>
      </c>
      <c r="AD22" t="s">
        <v>290</v>
      </c>
      <c r="AE22">
        <v>2.0714821486794707E-2</v>
      </c>
      <c r="AG22" t="s">
        <v>96</v>
      </c>
      <c r="AH22" t="s">
        <v>290</v>
      </c>
      <c r="AI22">
        <v>0.15310287037487313</v>
      </c>
    </row>
    <row r="23" spans="9:35" x14ac:dyDescent="0.25">
      <c r="I23" t="s">
        <v>166</v>
      </c>
      <c r="J23" t="s">
        <v>279</v>
      </c>
      <c r="K23">
        <v>0.22193609863715497</v>
      </c>
      <c r="L23" t="s">
        <v>154</v>
      </c>
      <c r="N23" t="s">
        <v>190</v>
      </c>
      <c r="O23" t="s">
        <v>279</v>
      </c>
      <c r="P23">
        <v>0.14451169208168718</v>
      </c>
      <c r="Q23" t="s">
        <v>154</v>
      </c>
      <c r="S23" t="s">
        <v>200</v>
      </c>
      <c r="T23" t="s">
        <v>279</v>
      </c>
      <c r="U23">
        <v>9.0828204231132012E-2</v>
      </c>
      <c r="V23" t="s">
        <v>154</v>
      </c>
      <c r="AC23" t="s">
        <v>19</v>
      </c>
      <c r="AD23" t="s">
        <v>279</v>
      </c>
      <c r="AE23">
        <v>0.1144915418917503</v>
      </c>
    </row>
    <row r="24" spans="9:35" x14ac:dyDescent="0.25">
      <c r="I24" t="s">
        <v>166</v>
      </c>
      <c r="J24" t="s">
        <v>280</v>
      </c>
      <c r="K24">
        <v>0</v>
      </c>
      <c r="L24" t="s">
        <v>154</v>
      </c>
      <c r="N24" t="s">
        <v>190</v>
      </c>
      <c r="O24" t="s">
        <v>280</v>
      </c>
      <c r="P24">
        <v>0.126986194039617</v>
      </c>
      <c r="Q24" t="s">
        <v>154</v>
      </c>
      <c r="S24" t="s">
        <v>200</v>
      </c>
      <c r="T24" t="s">
        <v>280</v>
      </c>
      <c r="U24">
        <v>8.6420556770508417E-2</v>
      </c>
      <c r="V24" t="s">
        <v>154</v>
      </c>
      <c r="AC24" t="s">
        <v>19</v>
      </c>
      <c r="AD24" t="s">
        <v>280</v>
      </c>
      <c r="AE24">
        <v>0.11363914702538847</v>
      </c>
    </row>
    <row r="25" spans="9:35" x14ac:dyDescent="0.25">
      <c r="I25" t="s">
        <v>166</v>
      </c>
      <c r="J25" t="s">
        <v>281</v>
      </c>
      <c r="K25">
        <v>5.6725361584382909E-3</v>
      </c>
      <c r="L25" t="s">
        <v>154</v>
      </c>
      <c r="N25" t="s">
        <v>190</v>
      </c>
      <c r="O25" t="s">
        <v>281</v>
      </c>
      <c r="P25">
        <v>2.384911302854345E-2</v>
      </c>
      <c r="Q25" t="s">
        <v>154</v>
      </c>
      <c r="S25" t="s">
        <v>200</v>
      </c>
      <c r="T25" t="s">
        <v>281</v>
      </c>
      <c r="U25">
        <v>1.4947041889025573E-2</v>
      </c>
      <c r="V25" t="s">
        <v>154</v>
      </c>
      <c r="AC25" t="s">
        <v>19</v>
      </c>
      <c r="AD25" t="s">
        <v>281</v>
      </c>
      <c r="AE25">
        <v>2.0958342774224491E-2</v>
      </c>
    </row>
    <row r="26" spans="9:35" x14ac:dyDescent="0.25">
      <c r="I26" t="s">
        <v>166</v>
      </c>
      <c r="J26" t="s">
        <v>282</v>
      </c>
      <c r="K26">
        <v>0.26384580430480448</v>
      </c>
      <c r="L26" t="s">
        <v>154</v>
      </c>
      <c r="N26" t="s">
        <v>190</v>
      </c>
      <c r="O26" t="s">
        <v>282</v>
      </c>
      <c r="P26">
        <v>4.4555889200925777E-2</v>
      </c>
      <c r="Q26" t="s">
        <v>154</v>
      </c>
      <c r="S26" t="s">
        <v>200</v>
      </c>
      <c r="T26" t="s">
        <v>282</v>
      </c>
      <c r="U26">
        <v>4.703598255269504E-2</v>
      </c>
      <c r="V26" t="s">
        <v>154</v>
      </c>
      <c r="AC26" t="s">
        <v>19</v>
      </c>
      <c r="AD26" t="s">
        <v>282</v>
      </c>
      <c r="AE26">
        <v>0.11624950289576093</v>
      </c>
    </row>
    <row r="27" spans="9:35" x14ac:dyDescent="0.25">
      <c r="I27" t="s">
        <v>166</v>
      </c>
      <c r="J27" t="s">
        <v>283</v>
      </c>
      <c r="K27">
        <v>0</v>
      </c>
      <c r="L27" t="s">
        <v>154</v>
      </c>
      <c r="N27" t="s">
        <v>190</v>
      </c>
      <c r="O27" t="s">
        <v>283</v>
      </c>
      <c r="P27">
        <v>6.0065332174179392E-2</v>
      </c>
      <c r="Q27" t="s">
        <v>154</v>
      </c>
      <c r="S27" t="s">
        <v>200</v>
      </c>
      <c r="T27" t="s">
        <v>283</v>
      </c>
      <c r="U27">
        <v>4.404471141880191E-2</v>
      </c>
      <c r="V27" t="s">
        <v>154</v>
      </c>
      <c r="AC27" t="s">
        <v>19</v>
      </c>
      <c r="AD27" t="s">
        <v>283</v>
      </c>
      <c r="AE27">
        <v>0.11473668355228366</v>
      </c>
    </row>
    <row r="28" spans="9:35" x14ac:dyDescent="0.25">
      <c r="I28" t="s">
        <v>166</v>
      </c>
      <c r="J28" t="s">
        <v>284</v>
      </c>
      <c r="K28">
        <v>9.0291412557613124E-3</v>
      </c>
      <c r="L28" t="s">
        <v>154</v>
      </c>
      <c r="N28" t="s">
        <v>190</v>
      </c>
      <c r="O28" t="s">
        <v>284</v>
      </c>
      <c r="P28">
        <v>1.2939194028780961E-2</v>
      </c>
      <c r="Q28" t="s">
        <v>154</v>
      </c>
      <c r="S28" t="s">
        <v>200</v>
      </c>
      <c r="T28" t="s">
        <v>284</v>
      </c>
      <c r="U28">
        <v>7.4550751526433322E-3</v>
      </c>
      <c r="V28" t="s">
        <v>154</v>
      </c>
      <c r="AC28" t="s">
        <v>19</v>
      </c>
      <c r="AD28" t="s">
        <v>284</v>
      </c>
      <c r="AE28">
        <v>2.1319745677105192E-2</v>
      </c>
    </row>
    <row r="29" spans="9:35" x14ac:dyDescent="0.25">
      <c r="I29" t="s">
        <v>166</v>
      </c>
      <c r="J29" t="s">
        <v>285</v>
      </c>
      <c r="K29">
        <v>0.24402515889672777</v>
      </c>
      <c r="L29" t="s">
        <v>154</v>
      </c>
      <c r="N29" t="s">
        <v>190</v>
      </c>
      <c r="O29" t="s">
        <v>285</v>
      </c>
      <c r="P29">
        <v>0.1284299152765041</v>
      </c>
      <c r="Q29" t="s">
        <v>154</v>
      </c>
      <c r="S29" t="s">
        <v>200</v>
      </c>
      <c r="T29" t="s">
        <v>285</v>
      </c>
      <c r="U29">
        <v>6.9746881784889567E-2</v>
      </c>
      <c r="V29" t="s">
        <v>154</v>
      </c>
      <c r="AC29" t="s">
        <v>19</v>
      </c>
      <c r="AD29" t="s">
        <v>285</v>
      </c>
      <c r="AE29">
        <v>0.11617002553577603</v>
      </c>
    </row>
    <row r="30" spans="9:35" x14ac:dyDescent="0.25">
      <c r="I30" t="s">
        <v>166</v>
      </c>
      <c r="J30" t="s">
        <v>286</v>
      </c>
      <c r="K30">
        <v>0</v>
      </c>
      <c r="L30" t="s">
        <v>154</v>
      </c>
      <c r="N30" t="s">
        <v>190</v>
      </c>
      <c r="O30" t="s">
        <v>286</v>
      </c>
      <c r="P30">
        <v>9.5816607683656602E-2</v>
      </c>
      <c r="Q30" t="s">
        <v>154</v>
      </c>
      <c r="S30" t="s">
        <v>200</v>
      </c>
      <c r="T30" t="s">
        <v>286</v>
      </c>
      <c r="U30">
        <v>4.4963953918862862E-2</v>
      </c>
      <c r="V30" t="s">
        <v>154</v>
      </c>
      <c r="AC30" t="s">
        <v>19</v>
      </c>
      <c r="AD30" t="s">
        <v>286</v>
      </c>
      <c r="AE30">
        <v>0.11475738083136763</v>
      </c>
    </row>
    <row r="31" spans="9:35" x14ac:dyDescent="0.25">
      <c r="I31" t="s">
        <v>166</v>
      </c>
      <c r="J31" t="s">
        <v>287</v>
      </c>
      <c r="K31">
        <v>9.4799839989119141E-3</v>
      </c>
      <c r="L31" t="s">
        <v>154</v>
      </c>
      <c r="N31" t="s">
        <v>190</v>
      </c>
      <c r="O31" t="s">
        <v>287</v>
      </c>
      <c r="P31">
        <v>1.9576891083548612E-2</v>
      </c>
      <c r="Q31" t="s">
        <v>154</v>
      </c>
      <c r="S31" t="s">
        <v>200</v>
      </c>
      <c r="T31" t="s">
        <v>287</v>
      </c>
      <c r="U31">
        <v>7.3690266709164655E-3</v>
      </c>
      <c r="V31" t="s">
        <v>154</v>
      </c>
      <c r="AC31" t="s">
        <v>19</v>
      </c>
      <c r="AD31" t="s">
        <v>287</v>
      </c>
      <c r="AE31">
        <v>2.1312165640037392E-2</v>
      </c>
    </row>
    <row r="32" spans="9:35" x14ac:dyDescent="0.25">
      <c r="I32" t="s">
        <v>166</v>
      </c>
      <c r="J32" t="s">
        <v>288</v>
      </c>
      <c r="K32">
        <v>0.2372368194225957</v>
      </c>
      <c r="L32" t="s">
        <v>154</v>
      </c>
      <c r="N32" t="s">
        <v>190</v>
      </c>
      <c r="O32" t="s">
        <v>288</v>
      </c>
      <c r="P32">
        <v>0.14732879448120179</v>
      </c>
      <c r="Q32" t="s">
        <v>154</v>
      </c>
      <c r="S32" t="s">
        <v>200</v>
      </c>
      <c r="T32" t="s">
        <v>288</v>
      </c>
      <c r="U32">
        <v>0.27050346276007486</v>
      </c>
      <c r="V32" t="s">
        <v>154</v>
      </c>
      <c r="AC32" t="s">
        <v>19</v>
      </c>
      <c r="AD32" t="s">
        <v>288</v>
      </c>
      <c r="AE32">
        <v>0.11324126173654388</v>
      </c>
    </row>
    <row r="33" spans="9:31" x14ac:dyDescent="0.25">
      <c r="I33" t="s">
        <v>166</v>
      </c>
      <c r="J33" t="s">
        <v>289</v>
      </c>
      <c r="K33">
        <v>0</v>
      </c>
      <c r="L33" t="s">
        <v>154</v>
      </c>
      <c r="N33" t="s">
        <v>190</v>
      </c>
      <c r="O33" t="s">
        <v>289</v>
      </c>
      <c r="P33">
        <v>0.1609226732533714</v>
      </c>
      <c r="Q33" t="s">
        <v>154</v>
      </c>
      <c r="S33" t="s">
        <v>200</v>
      </c>
      <c r="T33" t="s">
        <v>289</v>
      </c>
      <c r="U33">
        <v>0.27052708562259015</v>
      </c>
      <c r="V33" t="s">
        <v>154</v>
      </c>
      <c r="AC33" t="s">
        <v>19</v>
      </c>
      <c r="AD33" t="s">
        <v>289</v>
      </c>
      <c r="AE33">
        <v>0.11240178242930438</v>
      </c>
    </row>
    <row r="34" spans="9:31" x14ac:dyDescent="0.25">
      <c r="I34" t="s">
        <v>166</v>
      </c>
      <c r="J34" t="s">
        <v>290</v>
      </c>
      <c r="K34">
        <v>8.7744573256045792E-3</v>
      </c>
      <c r="L34" t="s">
        <v>154</v>
      </c>
      <c r="N34" t="s">
        <v>190</v>
      </c>
      <c r="O34" t="s">
        <v>290</v>
      </c>
      <c r="P34">
        <v>3.5017703667981084E-2</v>
      </c>
      <c r="Q34" t="s">
        <v>154</v>
      </c>
      <c r="S34" t="s">
        <v>200</v>
      </c>
      <c r="T34" t="s">
        <v>290</v>
      </c>
      <c r="U34">
        <v>4.6158017227859324E-2</v>
      </c>
      <c r="V34" t="s">
        <v>154</v>
      </c>
      <c r="AC34" t="s">
        <v>19</v>
      </c>
      <c r="AD34" t="s">
        <v>290</v>
      </c>
      <c r="AE34">
        <v>2.0722420010457741E-2</v>
      </c>
    </row>
    <row r="35" spans="9:31" x14ac:dyDescent="0.25">
      <c r="I35" t="s">
        <v>167</v>
      </c>
      <c r="J35" t="s">
        <v>279</v>
      </c>
      <c r="K35">
        <v>0.22937306456142387</v>
      </c>
      <c r="L35" t="s">
        <v>154</v>
      </c>
      <c r="N35" t="s">
        <v>191</v>
      </c>
      <c r="O35" t="s">
        <v>279</v>
      </c>
      <c r="P35">
        <v>0.16145773950186651</v>
      </c>
      <c r="Q35" t="s">
        <v>154</v>
      </c>
      <c r="S35" t="s">
        <v>201</v>
      </c>
      <c r="T35" t="s">
        <v>279</v>
      </c>
      <c r="U35">
        <v>0.10537205810699674</v>
      </c>
      <c r="V35" t="s">
        <v>154</v>
      </c>
    </row>
    <row r="36" spans="9:31" x14ac:dyDescent="0.25">
      <c r="I36" t="s">
        <v>167</v>
      </c>
      <c r="J36" t="s">
        <v>280</v>
      </c>
      <c r="K36">
        <v>0</v>
      </c>
      <c r="L36" t="s">
        <v>154</v>
      </c>
      <c r="N36" t="s">
        <v>191</v>
      </c>
      <c r="O36" t="s">
        <v>280</v>
      </c>
      <c r="P36">
        <v>0.14983421956683451</v>
      </c>
      <c r="Q36" t="s">
        <v>154</v>
      </c>
      <c r="S36" t="s">
        <v>201</v>
      </c>
      <c r="T36" t="s">
        <v>280</v>
      </c>
      <c r="U36">
        <v>0.10463140223964812</v>
      </c>
      <c r="V36" t="s">
        <v>154</v>
      </c>
    </row>
    <row r="37" spans="9:31" x14ac:dyDescent="0.25">
      <c r="I37" t="s">
        <v>167</v>
      </c>
      <c r="J37" t="s">
        <v>281</v>
      </c>
      <c r="K37">
        <v>4.2717816533981295E-3</v>
      </c>
      <c r="L37" t="s">
        <v>154</v>
      </c>
      <c r="N37" t="s">
        <v>191</v>
      </c>
      <c r="O37" t="s">
        <v>281</v>
      </c>
      <c r="P37">
        <v>3.0891707560013013E-2</v>
      </c>
      <c r="Q37" t="s">
        <v>154</v>
      </c>
      <c r="S37" t="s">
        <v>201</v>
      </c>
      <c r="T37" t="s">
        <v>281</v>
      </c>
      <c r="U37">
        <v>1.7902774685420533E-2</v>
      </c>
      <c r="V37" t="s">
        <v>154</v>
      </c>
    </row>
    <row r="38" spans="9:31" x14ac:dyDescent="0.25">
      <c r="I38" t="s">
        <v>167</v>
      </c>
      <c r="J38" t="s">
        <v>282</v>
      </c>
      <c r="K38">
        <v>0.26509067028424321</v>
      </c>
      <c r="L38" t="s">
        <v>154</v>
      </c>
      <c r="N38" t="s">
        <v>191</v>
      </c>
      <c r="O38" t="s">
        <v>282</v>
      </c>
      <c r="P38">
        <v>4.7240235124125764E-2</v>
      </c>
      <c r="Q38" t="s">
        <v>154</v>
      </c>
      <c r="S38" t="s">
        <v>201</v>
      </c>
      <c r="T38" t="s">
        <v>282</v>
      </c>
      <c r="U38">
        <v>5.1416136141043067E-2</v>
      </c>
      <c r="V38" t="s">
        <v>154</v>
      </c>
    </row>
    <row r="39" spans="9:31" x14ac:dyDescent="0.25">
      <c r="I39" t="s">
        <v>167</v>
      </c>
      <c r="J39" t="s">
        <v>283</v>
      </c>
      <c r="K39">
        <v>0</v>
      </c>
      <c r="L39" t="s">
        <v>154</v>
      </c>
      <c r="N39" t="s">
        <v>191</v>
      </c>
      <c r="O39" t="s">
        <v>283</v>
      </c>
      <c r="P39">
        <v>5.7255769610759913E-2</v>
      </c>
      <c r="Q39" t="s">
        <v>154</v>
      </c>
      <c r="S39" t="s">
        <v>201</v>
      </c>
      <c r="T39" t="s">
        <v>283</v>
      </c>
      <c r="U39">
        <v>4.491327805829945E-2</v>
      </c>
      <c r="V39" t="s">
        <v>154</v>
      </c>
    </row>
    <row r="40" spans="9:31" x14ac:dyDescent="0.25">
      <c r="I40" t="s">
        <v>167</v>
      </c>
      <c r="J40" t="s">
        <v>284</v>
      </c>
      <c r="K40">
        <v>7.5503248684569736E-3</v>
      </c>
      <c r="L40" t="s">
        <v>154</v>
      </c>
      <c r="N40" t="s">
        <v>191</v>
      </c>
      <c r="O40" t="s">
        <v>284</v>
      </c>
      <c r="P40">
        <v>1.1846223523524128E-2</v>
      </c>
      <c r="Q40" t="s">
        <v>154</v>
      </c>
      <c r="S40" t="s">
        <v>201</v>
      </c>
      <c r="T40" t="s">
        <v>284</v>
      </c>
      <c r="U40">
        <v>7.6671250549483986E-3</v>
      </c>
      <c r="V40" t="s">
        <v>154</v>
      </c>
    </row>
    <row r="41" spans="9:31" x14ac:dyDescent="0.25">
      <c r="I41" t="s">
        <v>167</v>
      </c>
      <c r="J41" t="s">
        <v>285</v>
      </c>
      <c r="K41">
        <v>0.25026192244648116</v>
      </c>
      <c r="L41" t="s">
        <v>154</v>
      </c>
      <c r="N41" t="s">
        <v>191</v>
      </c>
      <c r="O41" t="s">
        <v>285</v>
      </c>
      <c r="P41">
        <v>0.12362818173274534</v>
      </c>
      <c r="Q41" t="s">
        <v>154</v>
      </c>
      <c r="S41" t="s">
        <v>201</v>
      </c>
      <c r="T41" t="s">
        <v>285</v>
      </c>
      <c r="U41">
        <v>7.0870034513319871E-2</v>
      </c>
      <c r="V41" t="s">
        <v>154</v>
      </c>
    </row>
    <row r="42" spans="9:31" x14ac:dyDescent="0.25">
      <c r="I42" t="s">
        <v>167</v>
      </c>
      <c r="J42" t="s">
        <v>286</v>
      </c>
      <c r="K42">
        <v>0</v>
      </c>
      <c r="L42" t="s">
        <v>154</v>
      </c>
      <c r="N42" t="s">
        <v>191</v>
      </c>
      <c r="O42" t="s">
        <v>286</v>
      </c>
      <c r="P42">
        <v>0.10993782298788723</v>
      </c>
      <c r="Q42" t="s">
        <v>154</v>
      </c>
      <c r="S42" t="s">
        <v>201</v>
      </c>
      <c r="T42" t="s">
        <v>286</v>
      </c>
      <c r="U42">
        <v>4.8694920614187766E-2</v>
      </c>
      <c r="V42" t="s">
        <v>154</v>
      </c>
    </row>
    <row r="43" spans="9:31" x14ac:dyDescent="0.25">
      <c r="I43" t="s">
        <v>167</v>
      </c>
      <c r="J43" t="s">
        <v>287</v>
      </c>
      <c r="K43">
        <v>7.8852266840442314E-3</v>
      </c>
      <c r="L43" t="s">
        <v>154</v>
      </c>
      <c r="N43" t="s">
        <v>191</v>
      </c>
      <c r="O43" t="s">
        <v>287</v>
      </c>
      <c r="P43">
        <v>2.5537005734530403E-2</v>
      </c>
      <c r="Q43" t="s">
        <v>154</v>
      </c>
      <c r="S43" t="s">
        <v>201</v>
      </c>
      <c r="T43" t="s">
        <v>287</v>
      </c>
      <c r="U43">
        <v>7.7972261528726034E-3</v>
      </c>
      <c r="V43" t="s">
        <v>154</v>
      </c>
    </row>
    <row r="44" spans="9:31" x14ac:dyDescent="0.25">
      <c r="I44" t="s">
        <v>167</v>
      </c>
      <c r="J44" t="s">
        <v>288</v>
      </c>
      <c r="K44">
        <v>0.22924639578547584</v>
      </c>
      <c r="L44" t="s">
        <v>154</v>
      </c>
      <c r="N44" t="s">
        <v>191</v>
      </c>
      <c r="O44" t="s">
        <v>288</v>
      </c>
      <c r="P44">
        <v>0.12466217317251543</v>
      </c>
      <c r="Q44" t="s">
        <v>154</v>
      </c>
      <c r="S44" t="s">
        <v>201</v>
      </c>
      <c r="T44" t="s">
        <v>288</v>
      </c>
      <c r="U44">
        <v>0.25470790503533125</v>
      </c>
      <c r="V44" t="s">
        <v>154</v>
      </c>
    </row>
    <row r="45" spans="9:31" x14ac:dyDescent="0.25">
      <c r="I45" t="s">
        <v>167</v>
      </c>
      <c r="J45" t="s">
        <v>289</v>
      </c>
      <c r="K45">
        <v>0</v>
      </c>
      <c r="L45" t="s">
        <v>154</v>
      </c>
      <c r="N45" t="s">
        <v>191</v>
      </c>
      <c r="O45" t="s">
        <v>289</v>
      </c>
      <c r="P45">
        <v>0.12898178365661744</v>
      </c>
      <c r="Q45" t="s">
        <v>154</v>
      </c>
      <c r="S45" t="s">
        <v>201</v>
      </c>
      <c r="T45" t="s">
        <v>289</v>
      </c>
      <c r="U45">
        <v>0.24333629174434887</v>
      </c>
      <c r="V45" t="s">
        <v>154</v>
      </c>
    </row>
    <row r="46" spans="9:31" x14ac:dyDescent="0.25">
      <c r="I46" t="s">
        <v>167</v>
      </c>
      <c r="J46" t="s">
        <v>290</v>
      </c>
      <c r="K46">
        <v>6.3206137164777696E-3</v>
      </c>
      <c r="L46" t="s">
        <v>154</v>
      </c>
      <c r="N46" t="s">
        <v>191</v>
      </c>
      <c r="O46" t="s">
        <v>290</v>
      </c>
      <c r="P46">
        <v>2.8727137828581727E-2</v>
      </c>
      <c r="Q46" t="s">
        <v>154</v>
      </c>
      <c r="S46" t="s">
        <v>201</v>
      </c>
      <c r="T46" t="s">
        <v>290</v>
      </c>
      <c r="U46">
        <v>4.2690847653580867E-2</v>
      </c>
      <c r="V46" t="s">
        <v>154</v>
      </c>
    </row>
    <row r="47" spans="9:31" x14ac:dyDescent="0.25">
      <c r="I47" t="s">
        <v>168</v>
      </c>
      <c r="J47" t="s">
        <v>279</v>
      </c>
      <c r="K47">
        <v>0.23674989712455177</v>
      </c>
      <c r="L47" t="s">
        <v>154</v>
      </c>
      <c r="N47" t="s">
        <v>192</v>
      </c>
      <c r="O47" t="s">
        <v>279</v>
      </c>
      <c r="P47">
        <v>6.0025376756776778E-2</v>
      </c>
      <c r="Q47" t="s">
        <v>154</v>
      </c>
      <c r="S47" t="s">
        <v>202</v>
      </c>
      <c r="T47" t="s">
        <v>279</v>
      </c>
      <c r="U47">
        <v>0.13192543147700353</v>
      </c>
      <c r="V47" t="s">
        <v>154</v>
      </c>
    </row>
    <row r="48" spans="9:31" x14ac:dyDescent="0.25">
      <c r="I48" t="s">
        <v>168</v>
      </c>
      <c r="J48" t="s">
        <v>280</v>
      </c>
      <c r="K48">
        <v>0</v>
      </c>
      <c r="L48" t="s">
        <v>154</v>
      </c>
      <c r="N48" t="s">
        <v>192</v>
      </c>
      <c r="O48" t="s">
        <v>280</v>
      </c>
      <c r="P48">
        <v>5.1562209803163873E-2</v>
      </c>
      <c r="Q48" t="s">
        <v>154</v>
      </c>
      <c r="S48" t="s">
        <v>202</v>
      </c>
      <c r="T48" t="s">
        <v>280</v>
      </c>
      <c r="U48">
        <v>0.12030982025690201</v>
      </c>
      <c r="V48" t="s">
        <v>154</v>
      </c>
    </row>
    <row r="49" spans="9:22" x14ac:dyDescent="0.25">
      <c r="I49" t="s">
        <v>168</v>
      </c>
      <c r="J49" t="s">
        <v>281</v>
      </c>
      <c r="K49">
        <v>8.4065375951994405E-3</v>
      </c>
      <c r="L49" t="s">
        <v>154</v>
      </c>
      <c r="N49" t="s">
        <v>192</v>
      </c>
      <c r="O49" t="s">
        <v>281</v>
      </c>
      <c r="P49">
        <v>6.5575283214290752E-3</v>
      </c>
      <c r="Q49" t="s">
        <v>154</v>
      </c>
      <c r="S49" t="s">
        <v>202</v>
      </c>
      <c r="T49" t="s">
        <v>281</v>
      </c>
      <c r="U49">
        <v>2.2579229936051732E-2</v>
      </c>
      <c r="V49" t="s">
        <v>154</v>
      </c>
    </row>
    <row r="50" spans="9:22" x14ac:dyDescent="0.25">
      <c r="I50" t="s">
        <v>168</v>
      </c>
      <c r="J50" t="s">
        <v>282</v>
      </c>
      <c r="K50">
        <v>0.24598839705256906</v>
      </c>
      <c r="L50" t="s">
        <v>154</v>
      </c>
      <c r="N50" t="s">
        <v>192</v>
      </c>
      <c r="O50" t="s">
        <v>282</v>
      </c>
      <c r="P50">
        <v>5.761152775766263E-2</v>
      </c>
      <c r="Q50" t="s">
        <v>154</v>
      </c>
      <c r="S50" t="s">
        <v>202</v>
      </c>
      <c r="T50" t="s">
        <v>282</v>
      </c>
      <c r="U50">
        <v>5.0498057227105861E-2</v>
      </c>
      <c r="V50" t="s">
        <v>154</v>
      </c>
    </row>
    <row r="51" spans="9:22" x14ac:dyDescent="0.25">
      <c r="I51" t="s">
        <v>168</v>
      </c>
      <c r="J51" t="s">
        <v>283</v>
      </c>
      <c r="K51">
        <v>0</v>
      </c>
      <c r="L51" t="s">
        <v>154</v>
      </c>
      <c r="N51" t="s">
        <v>192</v>
      </c>
      <c r="O51" t="s">
        <v>283</v>
      </c>
      <c r="P51">
        <v>6.01753299313115E-2</v>
      </c>
      <c r="Q51" t="s">
        <v>154</v>
      </c>
      <c r="S51" t="s">
        <v>202</v>
      </c>
      <c r="T51" t="s">
        <v>283</v>
      </c>
      <c r="U51">
        <v>7.0022254412260676E-2</v>
      </c>
      <c r="V51" t="s">
        <v>154</v>
      </c>
    </row>
    <row r="52" spans="9:22" x14ac:dyDescent="0.25">
      <c r="I52" t="s">
        <v>168</v>
      </c>
      <c r="J52" t="s">
        <v>284</v>
      </c>
      <c r="K52">
        <v>1.8204974220320747E-2</v>
      </c>
      <c r="L52" t="s">
        <v>154</v>
      </c>
      <c r="N52" t="s">
        <v>192</v>
      </c>
      <c r="O52" t="s">
        <v>284</v>
      </c>
      <c r="P52">
        <v>1.145239677398394E-2</v>
      </c>
      <c r="Q52" t="s">
        <v>154</v>
      </c>
      <c r="S52" t="s">
        <v>202</v>
      </c>
      <c r="T52" t="s">
        <v>284</v>
      </c>
      <c r="U52">
        <v>1.1782925887427987E-2</v>
      </c>
      <c r="V52" t="s">
        <v>154</v>
      </c>
    </row>
    <row r="53" spans="9:22" x14ac:dyDescent="0.25">
      <c r="I53" t="s">
        <v>168</v>
      </c>
      <c r="J53" t="s">
        <v>285</v>
      </c>
      <c r="K53">
        <v>0.2555266883534531</v>
      </c>
      <c r="L53" t="s">
        <v>154</v>
      </c>
      <c r="N53" t="s">
        <v>192</v>
      </c>
      <c r="O53" t="s">
        <v>285</v>
      </c>
      <c r="P53">
        <v>7.2188177808244255E-2</v>
      </c>
      <c r="Q53" t="s">
        <v>154</v>
      </c>
      <c r="S53" t="s">
        <v>202</v>
      </c>
      <c r="T53" t="s">
        <v>285</v>
      </c>
      <c r="U53">
        <v>0.12244407279354534</v>
      </c>
      <c r="V53" t="s">
        <v>154</v>
      </c>
    </row>
    <row r="54" spans="9:22" x14ac:dyDescent="0.25">
      <c r="I54" t="s">
        <v>168</v>
      </c>
      <c r="J54" t="s">
        <v>286</v>
      </c>
      <c r="K54">
        <v>0</v>
      </c>
      <c r="L54" t="s">
        <v>154</v>
      </c>
      <c r="N54" t="s">
        <v>192</v>
      </c>
      <c r="O54" t="s">
        <v>286</v>
      </c>
      <c r="P54">
        <v>7.7977862237584378E-2</v>
      </c>
      <c r="Q54" t="s">
        <v>154</v>
      </c>
      <c r="S54" t="s">
        <v>202</v>
      </c>
      <c r="T54" t="s">
        <v>286</v>
      </c>
      <c r="U54">
        <v>9.6539178475105639E-2</v>
      </c>
      <c r="V54" t="s">
        <v>154</v>
      </c>
    </row>
    <row r="55" spans="9:22" x14ac:dyDescent="0.25">
      <c r="I55" t="s">
        <v>168</v>
      </c>
      <c r="J55" t="s">
        <v>287</v>
      </c>
      <c r="K55">
        <v>2.0506228861374303E-2</v>
      </c>
      <c r="L55" t="s">
        <v>154</v>
      </c>
      <c r="N55" t="s">
        <v>192</v>
      </c>
      <c r="O55" t="s">
        <v>287</v>
      </c>
      <c r="P55">
        <v>8.6727577801086614E-3</v>
      </c>
      <c r="Q55" t="s">
        <v>154</v>
      </c>
      <c r="S55" t="s">
        <v>202</v>
      </c>
      <c r="T55" t="s">
        <v>287</v>
      </c>
      <c r="U55">
        <v>1.8764489824024292E-2</v>
      </c>
      <c r="V55" t="s">
        <v>154</v>
      </c>
    </row>
    <row r="56" spans="9:22" x14ac:dyDescent="0.25">
      <c r="I56" t="s">
        <v>168</v>
      </c>
      <c r="J56" t="s">
        <v>288</v>
      </c>
      <c r="K56">
        <v>0.20284517533296251</v>
      </c>
      <c r="L56" t="s">
        <v>154</v>
      </c>
      <c r="N56" t="s">
        <v>192</v>
      </c>
      <c r="O56" t="s">
        <v>288</v>
      </c>
      <c r="P56">
        <v>0.27210629760902932</v>
      </c>
      <c r="Q56" t="s">
        <v>154</v>
      </c>
      <c r="S56" t="s">
        <v>202</v>
      </c>
      <c r="T56" t="s">
        <v>288</v>
      </c>
      <c r="U56">
        <v>0.15452134852732324</v>
      </c>
      <c r="V56" t="s">
        <v>154</v>
      </c>
    </row>
    <row r="57" spans="9:22" x14ac:dyDescent="0.25">
      <c r="I57" t="s">
        <v>168</v>
      </c>
      <c r="J57" t="s">
        <v>289</v>
      </c>
      <c r="K57">
        <v>0</v>
      </c>
      <c r="L57" t="s">
        <v>154</v>
      </c>
      <c r="N57" t="s">
        <v>192</v>
      </c>
      <c r="O57" t="s">
        <v>289</v>
      </c>
      <c r="P57">
        <v>0.27849128541324358</v>
      </c>
      <c r="Q57" t="s">
        <v>154</v>
      </c>
      <c r="S57" t="s">
        <v>202</v>
      </c>
      <c r="T57" t="s">
        <v>289</v>
      </c>
      <c r="U57">
        <v>0.17076230075060334</v>
      </c>
      <c r="V57" t="s">
        <v>154</v>
      </c>
    </row>
    <row r="58" spans="9:22" x14ac:dyDescent="0.25">
      <c r="I58" t="s">
        <v>168</v>
      </c>
      <c r="J58" t="s">
        <v>290</v>
      </c>
      <c r="K58">
        <v>1.1772101459572495E-2</v>
      </c>
      <c r="L58" t="s">
        <v>154</v>
      </c>
      <c r="N58" t="s">
        <v>192</v>
      </c>
      <c r="O58" t="s">
        <v>290</v>
      </c>
      <c r="P58">
        <v>4.3179249807463196E-2</v>
      </c>
      <c r="Q58" t="s">
        <v>154</v>
      </c>
      <c r="S58" t="s">
        <v>202</v>
      </c>
      <c r="T58" t="s">
        <v>290</v>
      </c>
      <c r="U58">
        <v>2.9850890432642413E-2</v>
      </c>
      <c r="V58" t="s">
        <v>154</v>
      </c>
    </row>
    <row r="59" spans="9:22" x14ac:dyDescent="0.25">
      <c r="I59" t="s">
        <v>169</v>
      </c>
      <c r="J59" t="s">
        <v>279</v>
      </c>
      <c r="K59">
        <v>0.24683303086883457</v>
      </c>
      <c r="L59" t="s">
        <v>154</v>
      </c>
      <c r="N59" t="s">
        <v>193</v>
      </c>
      <c r="O59" t="s">
        <v>279</v>
      </c>
      <c r="P59">
        <v>5.4671594490829513E-2</v>
      </c>
      <c r="Q59" t="s">
        <v>154</v>
      </c>
      <c r="S59" t="s">
        <v>203</v>
      </c>
      <c r="T59" t="s">
        <v>279</v>
      </c>
      <c r="U59">
        <v>0.1474639830956323</v>
      </c>
      <c r="V59" t="s">
        <v>154</v>
      </c>
    </row>
    <row r="60" spans="9:22" x14ac:dyDescent="0.25">
      <c r="I60" t="s">
        <v>169</v>
      </c>
      <c r="J60" t="s">
        <v>280</v>
      </c>
      <c r="K60">
        <v>0</v>
      </c>
      <c r="L60" t="s">
        <v>154</v>
      </c>
      <c r="N60" t="s">
        <v>193</v>
      </c>
      <c r="O60" t="s">
        <v>280</v>
      </c>
      <c r="P60">
        <v>5.8262946991336967E-2</v>
      </c>
      <c r="Q60" t="s">
        <v>154</v>
      </c>
      <c r="S60" t="s">
        <v>203</v>
      </c>
      <c r="T60" t="s">
        <v>280</v>
      </c>
      <c r="U60">
        <v>0.13616141689682171</v>
      </c>
      <c r="V60" t="s">
        <v>154</v>
      </c>
    </row>
    <row r="61" spans="9:22" x14ac:dyDescent="0.25">
      <c r="I61" t="s">
        <v>169</v>
      </c>
      <c r="J61" t="s">
        <v>281</v>
      </c>
      <c r="K61">
        <v>7.052020178871854E-3</v>
      </c>
      <c r="L61" t="s">
        <v>154</v>
      </c>
      <c r="N61" t="s">
        <v>193</v>
      </c>
      <c r="O61" t="s">
        <v>281</v>
      </c>
      <c r="P61">
        <v>6.6468289032165532E-3</v>
      </c>
      <c r="Q61" t="s">
        <v>154</v>
      </c>
      <c r="S61" t="s">
        <v>203</v>
      </c>
      <c r="T61" t="s">
        <v>281</v>
      </c>
      <c r="U61">
        <v>2.634506703499483E-2</v>
      </c>
      <c r="V61" t="s">
        <v>154</v>
      </c>
    </row>
    <row r="62" spans="9:22" x14ac:dyDescent="0.25">
      <c r="I62" t="s">
        <v>169</v>
      </c>
      <c r="J62" t="s">
        <v>282</v>
      </c>
      <c r="K62">
        <v>0.24253940901457777</v>
      </c>
      <c r="L62" t="s">
        <v>154</v>
      </c>
      <c r="N62" t="s">
        <v>193</v>
      </c>
      <c r="O62" t="s">
        <v>282</v>
      </c>
      <c r="P62">
        <v>5.8500496245990449E-2</v>
      </c>
      <c r="Q62" t="s">
        <v>154</v>
      </c>
      <c r="S62" t="s">
        <v>203</v>
      </c>
      <c r="T62" t="s">
        <v>282</v>
      </c>
      <c r="U62">
        <v>5.0833586617778787E-2</v>
      </c>
      <c r="V62" t="s">
        <v>154</v>
      </c>
    </row>
    <row r="63" spans="9:22" x14ac:dyDescent="0.25">
      <c r="I63" t="s">
        <v>169</v>
      </c>
      <c r="J63" t="s">
        <v>283</v>
      </c>
      <c r="K63">
        <v>0</v>
      </c>
      <c r="L63" t="s">
        <v>154</v>
      </c>
      <c r="N63" t="s">
        <v>193</v>
      </c>
      <c r="O63" t="s">
        <v>283</v>
      </c>
      <c r="P63">
        <v>7.480860018305667E-2</v>
      </c>
      <c r="Q63" t="s">
        <v>154</v>
      </c>
      <c r="S63" t="s">
        <v>203</v>
      </c>
      <c r="T63" t="s">
        <v>283</v>
      </c>
      <c r="U63">
        <v>6.2988430731086911E-2</v>
      </c>
      <c r="V63" t="s">
        <v>154</v>
      </c>
    </row>
    <row r="64" spans="9:22" x14ac:dyDescent="0.25">
      <c r="I64" t="s">
        <v>169</v>
      </c>
      <c r="J64" t="s">
        <v>284</v>
      </c>
      <c r="K64">
        <v>1.2640954885004911E-2</v>
      </c>
      <c r="L64" t="s">
        <v>154</v>
      </c>
      <c r="N64" t="s">
        <v>193</v>
      </c>
      <c r="O64" t="s">
        <v>284</v>
      </c>
      <c r="P64">
        <v>1.1763579166240889E-2</v>
      </c>
      <c r="Q64" t="s">
        <v>154</v>
      </c>
      <c r="S64" t="s">
        <v>203</v>
      </c>
      <c r="T64" t="s">
        <v>284</v>
      </c>
      <c r="U64">
        <v>9.5014646537945838E-3</v>
      </c>
      <c r="V64" t="s">
        <v>154</v>
      </c>
    </row>
    <row r="65" spans="9:22" x14ac:dyDescent="0.25">
      <c r="I65" t="s">
        <v>169</v>
      </c>
      <c r="J65" t="s">
        <v>285</v>
      </c>
      <c r="K65">
        <v>0.25251139971460068</v>
      </c>
      <c r="L65" t="s">
        <v>154</v>
      </c>
      <c r="N65" t="s">
        <v>193</v>
      </c>
      <c r="O65" t="s">
        <v>285</v>
      </c>
      <c r="P65">
        <v>8.0101144149770806E-2</v>
      </c>
      <c r="Q65" t="s">
        <v>154</v>
      </c>
      <c r="S65" t="s">
        <v>203</v>
      </c>
      <c r="T65" t="s">
        <v>285</v>
      </c>
      <c r="U65">
        <v>0.13496547415401855</v>
      </c>
      <c r="V65" t="s">
        <v>154</v>
      </c>
    </row>
    <row r="66" spans="9:22" x14ac:dyDescent="0.25">
      <c r="I66" t="s">
        <v>169</v>
      </c>
      <c r="J66" t="s">
        <v>286</v>
      </c>
      <c r="K66">
        <v>0</v>
      </c>
      <c r="L66" t="s">
        <v>154</v>
      </c>
      <c r="N66" t="s">
        <v>193</v>
      </c>
      <c r="O66" t="s">
        <v>286</v>
      </c>
      <c r="P66">
        <v>9.4548944497973242E-2</v>
      </c>
      <c r="Q66" t="s">
        <v>154</v>
      </c>
      <c r="S66" t="s">
        <v>203</v>
      </c>
      <c r="T66" t="s">
        <v>286</v>
      </c>
      <c r="U66">
        <v>0.12579691847926294</v>
      </c>
      <c r="V66" t="s">
        <v>154</v>
      </c>
    </row>
    <row r="67" spans="9:22" x14ac:dyDescent="0.25">
      <c r="I67" t="s">
        <v>169</v>
      </c>
      <c r="J67" t="s">
        <v>287</v>
      </c>
      <c r="K67">
        <v>1.8173871336169298E-2</v>
      </c>
      <c r="L67" t="s">
        <v>154</v>
      </c>
      <c r="N67" t="s">
        <v>193</v>
      </c>
      <c r="O67" t="s">
        <v>287</v>
      </c>
      <c r="P67">
        <v>1.0219532258498568E-2</v>
      </c>
      <c r="Q67" t="s">
        <v>154</v>
      </c>
      <c r="S67" t="s">
        <v>203</v>
      </c>
      <c r="T67" t="s">
        <v>287</v>
      </c>
      <c r="U67">
        <v>2.4464079398794438E-2</v>
      </c>
      <c r="V67" t="s">
        <v>154</v>
      </c>
    </row>
    <row r="68" spans="9:22" x14ac:dyDescent="0.25">
      <c r="I68" t="s">
        <v>169</v>
      </c>
      <c r="J68" t="s">
        <v>288</v>
      </c>
      <c r="K68">
        <v>0.20967478961671837</v>
      </c>
      <c r="L68" t="s">
        <v>154</v>
      </c>
      <c r="N68" t="s">
        <v>193</v>
      </c>
      <c r="O68" t="s">
        <v>288</v>
      </c>
      <c r="P68">
        <v>0.23105963407187416</v>
      </c>
      <c r="Q68" t="s">
        <v>154</v>
      </c>
      <c r="S68" t="s">
        <v>203</v>
      </c>
      <c r="T68" t="s">
        <v>288</v>
      </c>
      <c r="U68">
        <v>0.12187269301098545</v>
      </c>
      <c r="V68" t="s">
        <v>154</v>
      </c>
    </row>
    <row r="69" spans="9:22" x14ac:dyDescent="0.25">
      <c r="I69" t="s">
        <v>169</v>
      </c>
      <c r="J69" t="s">
        <v>289</v>
      </c>
      <c r="K69">
        <v>0</v>
      </c>
      <c r="L69" t="s">
        <v>154</v>
      </c>
      <c r="N69" t="s">
        <v>193</v>
      </c>
      <c r="O69" t="s">
        <v>289</v>
      </c>
      <c r="P69">
        <v>0.28001510066403174</v>
      </c>
      <c r="Q69" t="s">
        <v>154</v>
      </c>
      <c r="S69" t="s">
        <v>203</v>
      </c>
      <c r="T69" t="s">
        <v>289</v>
      </c>
      <c r="U69">
        <v>0.13528368706288835</v>
      </c>
      <c r="V69" t="s">
        <v>154</v>
      </c>
    </row>
    <row r="70" spans="9:22" x14ac:dyDescent="0.25">
      <c r="I70" t="s">
        <v>169</v>
      </c>
      <c r="J70" t="s">
        <v>290</v>
      </c>
      <c r="K70">
        <v>1.057452438522314E-2</v>
      </c>
      <c r="L70" t="s">
        <v>154</v>
      </c>
      <c r="N70" t="s">
        <v>193</v>
      </c>
      <c r="O70" t="s">
        <v>290</v>
      </c>
      <c r="P70">
        <v>3.9401598377184086E-2</v>
      </c>
      <c r="Q70" t="s">
        <v>154</v>
      </c>
      <c r="S70" t="s">
        <v>203</v>
      </c>
      <c r="T70" t="s">
        <v>290</v>
      </c>
      <c r="U70">
        <v>2.4323198863941731E-2</v>
      </c>
      <c r="V70" t="s">
        <v>154</v>
      </c>
    </row>
    <row r="71" spans="9:22" x14ac:dyDescent="0.25">
      <c r="I71" t="s">
        <v>170</v>
      </c>
      <c r="J71" t="s">
        <v>279</v>
      </c>
      <c r="K71">
        <v>0.24075178840703607</v>
      </c>
      <c r="L71" t="s">
        <v>154</v>
      </c>
      <c r="N71" t="s">
        <v>194</v>
      </c>
      <c r="O71" t="s">
        <v>279</v>
      </c>
      <c r="P71">
        <v>8.1498855744225898E-2</v>
      </c>
      <c r="Q71" t="s">
        <v>154</v>
      </c>
      <c r="S71" t="s">
        <v>204</v>
      </c>
      <c r="T71" t="s">
        <v>279</v>
      </c>
      <c r="U71">
        <v>0.14015052143777343</v>
      </c>
      <c r="V71" t="s">
        <v>154</v>
      </c>
    </row>
    <row r="72" spans="9:22" x14ac:dyDescent="0.25">
      <c r="I72" t="s">
        <v>170</v>
      </c>
      <c r="J72" t="s">
        <v>280</v>
      </c>
      <c r="K72">
        <v>0</v>
      </c>
      <c r="L72" t="s">
        <v>154</v>
      </c>
      <c r="N72" t="s">
        <v>194</v>
      </c>
      <c r="O72" t="s">
        <v>280</v>
      </c>
      <c r="P72">
        <v>9.5207093008390503E-2</v>
      </c>
      <c r="Q72" t="s">
        <v>154</v>
      </c>
      <c r="S72" t="s">
        <v>204</v>
      </c>
      <c r="T72" t="s">
        <v>280</v>
      </c>
      <c r="U72">
        <v>0.12450867799467497</v>
      </c>
      <c r="V72" t="s">
        <v>154</v>
      </c>
    </row>
    <row r="73" spans="9:22" x14ac:dyDescent="0.25">
      <c r="I73" t="s">
        <v>170</v>
      </c>
      <c r="J73" t="s">
        <v>281</v>
      </c>
      <c r="K73">
        <v>7.3873296195731625E-3</v>
      </c>
      <c r="L73" t="s">
        <v>154</v>
      </c>
      <c r="N73" t="s">
        <v>194</v>
      </c>
      <c r="O73" t="s">
        <v>281</v>
      </c>
      <c r="P73">
        <v>1.8906195103753753E-2</v>
      </c>
      <c r="Q73" t="s">
        <v>154</v>
      </c>
      <c r="S73" t="s">
        <v>204</v>
      </c>
      <c r="T73" t="s">
        <v>281</v>
      </c>
      <c r="U73">
        <v>2.4125162343986786E-2</v>
      </c>
      <c r="V73" t="s">
        <v>154</v>
      </c>
    </row>
    <row r="74" spans="9:22" x14ac:dyDescent="0.25">
      <c r="I74" t="s">
        <v>170</v>
      </c>
      <c r="J74" t="s">
        <v>282</v>
      </c>
      <c r="K74">
        <v>0.24914883901229554</v>
      </c>
      <c r="L74" t="s">
        <v>154</v>
      </c>
      <c r="N74" t="s">
        <v>194</v>
      </c>
      <c r="O74" t="s">
        <v>282</v>
      </c>
      <c r="P74">
        <v>5.9288014812777734E-2</v>
      </c>
      <c r="Q74" t="s">
        <v>154</v>
      </c>
      <c r="S74" t="s">
        <v>204</v>
      </c>
      <c r="T74" t="s">
        <v>282</v>
      </c>
      <c r="U74">
        <v>5.2120300731522136E-2</v>
      </c>
      <c r="V74" t="s">
        <v>154</v>
      </c>
    </row>
    <row r="75" spans="9:22" x14ac:dyDescent="0.25">
      <c r="I75" t="s">
        <v>170</v>
      </c>
      <c r="J75" t="s">
        <v>283</v>
      </c>
      <c r="K75">
        <v>0</v>
      </c>
      <c r="L75" t="s">
        <v>154</v>
      </c>
      <c r="N75" t="s">
        <v>194</v>
      </c>
      <c r="O75" t="s">
        <v>283</v>
      </c>
      <c r="P75">
        <v>5.5238079225874585E-2</v>
      </c>
      <c r="Q75" t="s">
        <v>154</v>
      </c>
      <c r="S75" t="s">
        <v>204</v>
      </c>
      <c r="T75" t="s">
        <v>283</v>
      </c>
      <c r="U75">
        <v>6.5321535648896353E-2</v>
      </c>
      <c r="V75" t="s">
        <v>154</v>
      </c>
    </row>
    <row r="76" spans="9:22" x14ac:dyDescent="0.25">
      <c r="I76" t="s">
        <v>170</v>
      </c>
      <c r="J76" t="s">
        <v>284</v>
      </c>
      <c r="K76">
        <v>1.5178409192159764E-2</v>
      </c>
      <c r="L76" t="s">
        <v>154</v>
      </c>
      <c r="N76" t="s">
        <v>194</v>
      </c>
      <c r="O76" t="s">
        <v>284</v>
      </c>
      <c r="P76">
        <v>1.3097191033419536E-2</v>
      </c>
      <c r="Q76" t="s">
        <v>154</v>
      </c>
      <c r="S76" t="s">
        <v>204</v>
      </c>
      <c r="T76" t="s">
        <v>284</v>
      </c>
      <c r="U76">
        <v>9.7418686675807206E-3</v>
      </c>
      <c r="V76" t="s">
        <v>154</v>
      </c>
    </row>
    <row r="77" spans="9:22" x14ac:dyDescent="0.25">
      <c r="I77" t="s">
        <v>170</v>
      </c>
      <c r="J77" t="s">
        <v>285</v>
      </c>
      <c r="K77">
        <v>0.25192423026791416</v>
      </c>
      <c r="L77" t="s">
        <v>154</v>
      </c>
      <c r="N77" t="s">
        <v>194</v>
      </c>
      <c r="O77" t="s">
        <v>285</v>
      </c>
      <c r="P77">
        <v>6.7719277341392589E-2</v>
      </c>
      <c r="Q77" t="s">
        <v>154</v>
      </c>
      <c r="S77" t="s">
        <v>204</v>
      </c>
      <c r="T77" t="s">
        <v>285</v>
      </c>
      <c r="U77">
        <v>0.13213958187912153</v>
      </c>
      <c r="V77" t="s">
        <v>154</v>
      </c>
    </row>
    <row r="78" spans="9:22" x14ac:dyDescent="0.25">
      <c r="I78" t="s">
        <v>170</v>
      </c>
      <c r="J78" t="s">
        <v>286</v>
      </c>
      <c r="K78">
        <v>0</v>
      </c>
      <c r="L78" t="s">
        <v>154</v>
      </c>
      <c r="N78" t="s">
        <v>194</v>
      </c>
      <c r="O78" t="s">
        <v>286</v>
      </c>
      <c r="P78">
        <v>5.3560982185729113E-2</v>
      </c>
      <c r="Q78" t="s">
        <v>154</v>
      </c>
      <c r="S78" t="s">
        <v>204</v>
      </c>
      <c r="T78" t="s">
        <v>286</v>
      </c>
      <c r="U78">
        <v>0.11552567982291309</v>
      </c>
      <c r="V78" t="s">
        <v>154</v>
      </c>
    </row>
    <row r="79" spans="9:22" x14ac:dyDescent="0.25">
      <c r="I79" t="s">
        <v>170</v>
      </c>
      <c r="J79" t="s">
        <v>287</v>
      </c>
      <c r="K79">
        <v>1.9484917618840667E-2</v>
      </c>
      <c r="L79" t="s">
        <v>154</v>
      </c>
      <c r="N79" t="s">
        <v>194</v>
      </c>
      <c r="O79" t="s">
        <v>287</v>
      </c>
      <c r="P79">
        <v>1.1542554154676319E-2</v>
      </c>
      <c r="Q79" t="s">
        <v>154</v>
      </c>
      <c r="S79" t="s">
        <v>204</v>
      </c>
      <c r="T79" t="s">
        <v>287</v>
      </c>
      <c r="U79">
        <v>2.2014050121147308E-2</v>
      </c>
      <c r="V79" t="s">
        <v>154</v>
      </c>
    </row>
    <row r="80" spans="9:22" x14ac:dyDescent="0.25">
      <c r="I80" t="s">
        <v>170</v>
      </c>
      <c r="J80" t="s">
        <v>288</v>
      </c>
      <c r="K80">
        <v>0.20542554377260852</v>
      </c>
      <c r="L80" t="s">
        <v>154</v>
      </c>
      <c r="N80" t="s">
        <v>194</v>
      </c>
      <c r="O80" t="s">
        <v>288</v>
      </c>
      <c r="P80">
        <v>0.20269194821806383</v>
      </c>
      <c r="Q80" t="s">
        <v>154</v>
      </c>
      <c r="S80" t="s">
        <v>204</v>
      </c>
      <c r="T80" t="s">
        <v>288</v>
      </c>
      <c r="U80">
        <v>0.13971993703673891</v>
      </c>
      <c r="V80" t="s">
        <v>154</v>
      </c>
    </row>
    <row r="81" spans="9:22" x14ac:dyDescent="0.25">
      <c r="I81" t="s">
        <v>170</v>
      </c>
      <c r="J81" t="s">
        <v>289</v>
      </c>
      <c r="K81">
        <v>0</v>
      </c>
      <c r="L81" t="s">
        <v>154</v>
      </c>
      <c r="N81" t="s">
        <v>194</v>
      </c>
      <c r="O81" t="s">
        <v>289</v>
      </c>
      <c r="P81">
        <v>0.29241332232909101</v>
      </c>
      <c r="Q81" t="s">
        <v>154</v>
      </c>
      <c r="S81" t="s">
        <v>204</v>
      </c>
      <c r="T81" t="s">
        <v>289</v>
      </c>
      <c r="U81">
        <v>0.14926188208817318</v>
      </c>
      <c r="V81" t="s">
        <v>154</v>
      </c>
    </row>
    <row r="82" spans="9:22" x14ac:dyDescent="0.25">
      <c r="I82" t="s">
        <v>170</v>
      </c>
      <c r="J82" t="s">
        <v>290</v>
      </c>
      <c r="K82">
        <v>1.0698942109571575E-2</v>
      </c>
      <c r="L82" t="s">
        <v>154</v>
      </c>
      <c r="N82" t="s">
        <v>194</v>
      </c>
      <c r="O82" t="s">
        <v>290</v>
      </c>
      <c r="P82">
        <v>4.8836486842604769E-2</v>
      </c>
      <c r="Q82" t="s">
        <v>154</v>
      </c>
      <c r="S82" t="s">
        <v>204</v>
      </c>
      <c r="T82" t="s">
        <v>290</v>
      </c>
      <c r="U82">
        <v>2.5370802227473819E-2</v>
      </c>
      <c r="V82" t="s">
        <v>154</v>
      </c>
    </row>
    <row r="83" spans="9:22" x14ac:dyDescent="0.25">
      <c r="I83" t="s">
        <v>171</v>
      </c>
      <c r="J83" t="s">
        <v>279</v>
      </c>
      <c r="K83">
        <v>0.24141021206723248</v>
      </c>
      <c r="L83" t="s">
        <v>154</v>
      </c>
      <c r="N83" t="s">
        <v>195</v>
      </c>
      <c r="O83" t="s">
        <v>279</v>
      </c>
      <c r="P83">
        <v>9.2211393507273018E-2</v>
      </c>
      <c r="Q83" t="s">
        <v>154</v>
      </c>
      <c r="S83" t="s">
        <v>205</v>
      </c>
      <c r="T83" t="s">
        <v>279</v>
      </c>
      <c r="U83">
        <v>0.10414506709863652</v>
      </c>
      <c r="V83" t="s">
        <v>154</v>
      </c>
    </row>
    <row r="84" spans="9:22" x14ac:dyDescent="0.25">
      <c r="I84" t="s">
        <v>171</v>
      </c>
      <c r="J84" t="s">
        <v>280</v>
      </c>
      <c r="K84">
        <v>0</v>
      </c>
      <c r="L84" t="s">
        <v>154</v>
      </c>
      <c r="N84" t="s">
        <v>195</v>
      </c>
      <c r="O84" t="s">
        <v>280</v>
      </c>
      <c r="P84">
        <v>8.193258307576709E-2</v>
      </c>
      <c r="Q84" t="s">
        <v>154</v>
      </c>
      <c r="S84" t="s">
        <v>205</v>
      </c>
      <c r="T84" t="s">
        <v>280</v>
      </c>
      <c r="U84">
        <v>9.2527690603417354E-2</v>
      </c>
      <c r="V84" t="s">
        <v>154</v>
      </c>
    </row>
    <row r="85" spans="9:22" x14ac:dyDescent="0.25">
      <c r="I85" t="s">
        <v>171</v>
      </c>
      <c r="J85" t="s">
        <v>281</v>
      </c>
      <c r="K85">
        <v>5.1216992302555147E-3</v>
      </c>
      <c r="L85" t="s">
        <v>154</v>
      </c>
      <c r="N85" t="s">
        <v>195</v>
      </c>
      <c r="O85" t="s">
        <v>281</v>
      </c>
      <c r="P85">
        <v>1.7998863550439507E-2</v>
      </c>
      <c r="Q85" t="s">
        <v>154</v>
      </c>
      <c r="S85" t="s">
        <v>205</v>
      </c>
      <c r="T85" t="s">
        <v>281</v>
      </c>
      <c r="U85">
        <v>1.6446328620456266E-2</v>
      </c>
      <c r="V85" t="s">
        <v>154</v>
      </c>
    </row>
    <row r="86" spans="9:22" x14ac:dyDescent="0.25">
      <c r="I86" t="s">
        <v>171</v>
      </c>
      <c r="J86" t="s">
        <v>282</v>
      </c>
      <c r="K86">
        <v>0.25935296971527128</v>
      </c>
      <c r="L86" t="s">
        <v>154</v>
      </c>
      <c r="N86" t="s">
        <v>195</v>
      </c>
      <c r="O86" t="s">
        <v>282</v>
      </c>
      <c r="P86">
        <v>6.3272952675410554E-2</v>
      </c>
      <c r="Q86" t="s">
        <v>154</v>
      </c>
      <c r="S86" t="s">
        <v>205</v>
      </c>
      <c r="T86" t="s">
        <v>282</v>
      </c>
      <c r="U86">
        <v>4.2585333930059185E-2</v>
      </c>
      <c r="V86" t="s">
        <v>154</v>
      </c>
    </row>
    <row r="87" spans="9:22" x14ac:dyDescent="0.25">
      <c r="I87" t="s">
        <v>171</v>
      </c>
      <c r="J87" t="s">
        <v>283</v>
      </c>
      <c r="K87">
        <v>0</v>
      </c>
      <c r="L87" t="s">
        <v>154</v>
      </c>
      <c r="N87" t="s">
        <v>195</v>
      </c>
      <c r="O87" t="s">
        <v>283</v>
      </c>
      <c r="P87">
        <v>5.0184381078800765E-2</v>
      </c>
      <c r="Q87" t="s">
        <v>154</v>
      </c>
      <c r="S87" t="s">
        <v>205</v>
      </c>
      <c r="T87" t="s">
        <v>283</v>
      </c>
      <c r="U87">
        <v>4.9838327952723978E-2</v>
      </c>
      <c r="V87" t="s">
        <v>154</v>
      </c>
    </row>
    <row r="88" spans="9:22" x14ac:dyDescent="0.25">
      <c r="I88" t="s">
        <v>171</v>
      </c>
      <c r="J88" t="s">
        <v>284</v>
      </c>
      <c r="K88">
        <v>7.9298208305854968E-3</v>
      </c>
      <c r="L88" t="s">
        <v>154</v>
      </c>
      <c r="N88" t="s">
        <v>195</v>
      </c>
      <c r="O88" t="s">
        <v>284</v>
      </c>
      <c r="P88">
        <v>1.3663103500241115E-2</v>
      </c>
      <c r="Q88" t="s">
        <v>154</v>
      </c>
      <c r="S88" t="s">
        <v>205</v>
      </c>
      <c r="T88" t="s">
        <v>284</v>
      </c>
      <c r="U88">
        <v>7.313002516355905E-3</v>
      </c>
      <c r="V88" t="s">
        <v>154</v>
      </c>
    </row>
    <row r="89" spans="9:22" x14ac:dyDescent="0.25">
      <c r="I89" t="s">
        <v>171</v>
      </c>
      <c r="J89" t="s">
        <v>285</v>
      </c>
      <c r="K89">
        <v>0.23916827842549876</v>
      </c>
      <c r="L89" t="s">
        <v>154</v>
      </c>
      <c r="N89" t="s">
        <v>195</v>
      </c>
      <c r="O89" t="s">
        <v>285</v>
      </c>
      <c r="P89">
        <v>9.1967851124485217E-2</v>
      </c>
      <c r="Q89" t="s">
        <v>154</v>
      </c>
      <c r="S89" t="s">
        <v>205</v>
      </c>
      <c r="T89" t="s">
        <v>285</v>
      </c>
      <c r="U89">
        <v>0.11679970894978631</v>
      </c>
      <c r="V89" t="s">
        <v>154</v>
      </c>
    </row>
    <row r="90" spans="9:22" x14ac:dyDescent="0.25">
      <c r="I90" t="s">
        <v>171</v>
      </c>
      <c r="J90" t="s">
        <v>286</v>
      </c>
      <c r="K90">
        <v>0</v>
      </c>
      <c r="L90" t="s">
        <v>154</v>
      </c>
      <c r="N90" t="s">
        <v>195</v>
      </c>
      <c r="O90" t="s">
        <v>286</v>
      </c>
      <c r="P90">
        <v>6.5978080336090539E-2</v>
      </c>
      <c r="Q90" t="s">
        <v>154</v>
      </c>
      <c r="S90" t="s">
        <v>205</v>
      </c>
      <c r="T90" t="s">
        <v>286</v>
      </c>
      <c r="U90">
        <v>9.5659712285428425E-2</v>
      </c>
      <c r="V90" t="s">
        <v>154</v>
      </c>
    </row>
    <row r="91" spans="9:22" x14ac:dyDescent="0.25">
      <c r="I91" t="s">
        <v>171</v>
      </c>
      <c r="J91" t="s">
        <v>287</v>
      </c>
      <c r="K91">
        <v>7.2371019983280211E-3</v>
      </c>
      <c r="L91" t="s">
        <v>154</v>
      </c>
      <c r="N91" t="s">
        <v>195</v>
      </c>
      <c r="O91" t="s">
        <v>287</v>
      </c>
      <c r="P91">
        <v>1.693813923466761E-2</v>
      </c>
      <c r="Q91" t="s">
        <v>154</v>
      </c>
      <c r="S91" t="s">
        <v>205</v>
      </c>
      <c r="T91" t="s">
        <v>287</v>
      </c>
      <c r="U91">
        <v>1.9101575578271291E-2</v>
      </c>
      <c r="V91" t="s">
        <v>154</v>
      </c>
    </row>
    <row r="92" spans="9:22" x14ac:dyDescent="0.25">
      <c r="I92" t="s">
        <v>171</v>
      </c>
      <c r="J92" t="s">
        <v>288</v>
      </c>
      <c r="K92">
        <v>0.23229495774620926</v>
      </c>
      <c r="L92" t="s">
        <v>154</v>
      </c>
      <c r="N92" t="s">
        <v>195</v>
      </c>
      <c r="O92" t="s">
        <v>288</v>
      </c>
      <c r="P92">
        <v>0.22307505969609071</v>
      </c>
      <c r="Q92" t="s">
        <v>154</v>
      </c>
      <c r="S92" t="s">
        <v>205</v>
      </c>
      <c r="T92" t="s">
        <v>288</v>
      </c>
      <c r="U92">
        <v>0.20153772931357442</v>
      </c>
      <c r="V92" t="s">
        <v>154</v>
      </c>
    </row>
    <row r="93" spans="9:22" x14ac:dyDescent="0.25">
      <c r="I93" t="s">
        <v>171</v>
      </c>
      <c r="J93" t="s">
        <v>289</v>
      </c>
      <c r="K93">
        <v>0</v>
      </c>
      <c r="L93" t="s">
        <v>154</v>
      </c>
      <c r="N93" t="s">
        <v>195</v>
      </c>
      <c r="O93" t="s">
        <v>289</v>
      </c>
      <c r="P93">
        <v>0.23300782534692385</v>
      </c>
      <c r="Q93" t="s">
        <v>154</v>
      </c>
      <c r="S93" t="s">
        <v>205</v>
      </c>
      <c r="T93" t="s">
        <v>289</v>
      </c>
      <c r="U93">
        <v>0.21830533541902264</v>
      </c>
      <c r="V93" t="s">
        <v>154</v>
      </c>
    </row>
    <row r="94" spans="9:22" x14ac:dyDescent="0.25">
      <c r="I94" t="s">
        <v>171</v>
      </c>
      <c r="J94" t="s">
        <v>290</v>
      </c>
      <c r="K94">
        <v>7.4849599866154866E-3</v>
      </c>
      <c r="L94" t="s">
        <v>154</v>
      </c>
      <c r="N94" t="s">
        <v>195</v>
      </c>
      <c r="O94" t="s">
        <v>290</v>
      </c>
      <c r="P94">
        <v>4.9769766873810677E-2</v>
      </c>
      <c r="Q94" t="s">
        <v>154</v>
      </c>
      <c r="S94" t="s">
        <v>205</v>
      </c>
      <c r="T94" t="s">
        <v>290</v>
      </c>
      <c r="U94">
        <v>3.5740187732267802E-2</v>
      </c>
      <c r="V94" t="s">
        <v>154</v>
      </c>
    </row>
    <row r="95" spans="9:22" x14ac:dyDescent="0.25">
      <c r="I95" t="s">
        <v>172</v>
      </c>
      <c r="J95" t="s">
        <v>279</v>
      </c>
      <c r="K95">
        <v>0.24540113995953416</v>
      </c>
      <c r="L95" t="s">
        <v>154</v>
      </c>
      <c r="N95" t="s">
        <v>196</v>
      </c>
      <c r="O95" t="s">
        <v>279</v>
      </c>
      <c r="P95">
        <v>6.6460448860838212E-2</v>
      </c>
      <c r="Q95" t="s">
        <v>154</v>
      </c>
      <c r="S95" t="s">
        <v>206</v>
      </c>
      <c r="T95" t="s">
        <v>279</v>
      </c>
      <c r="U95">
        <v>0.11461497433700077</v>
      </c>
      <c r="V95" t="s">
        <v>154</v>
      </c>
    </row>
    <row r="96" spans="9:22" x14ac:dyDescent="0.25">
      <c r="I96" t="s">
        <v>172</v>
      </c>
      <c r="J96" t="s">
        <v>280</v>
      </c>
      <c r="K96">
        <v>0</v>
      </c>
      <c r="L96" t="s">
        <v>154</v>
      </c>
      <c r="N96" t="s">
        <v>196</v>
      </c>
      <c r="O96" t="s">
        <v>280</v>
      </c>
      <c r="P96">
        <v>5.663562305865999E-2</v>
      </c>
      <c r="Q96" t="s">
        <v>154</v>
      </c>
      <c r="S96" t="s">
        <v>206</v>
      </c>
      <c r="T96" t="s">
        <v>280</v>
      </c>
      <c r="U96">
        <v>0.10592936952109601</v>
      </c>
      <c r="V96" t="s">
        <v>154</v>
      </c>
    </row>
    <row r="97" spans="9:22" x14ac:dyDescent="0.25">
      <c r="I97" t="s">
        <v>172</v>
      </c>
      <c r="J97" t="s">
        <v>281</v>
      </c>
      <c r="K97">
        <v>5.0905375527233272E-3</v>
      </c>
      <c r="L97" t="s">
        <v>154</v>
      </c>
      <c r="N97" t="s">
        <v>196</v>
      </c>
      <c r="O97" t="s">
        <v>281</v>
      </c>
      <c r="P97">
        <v>1.7403650280999289E-2</v>
      </c>
      <c r="Q97" t="s">
        <v>154</v>
      </c>
      <c r="S97" t="s">
        <v>206</v>
      </c>
      <c r="T97" t="s">
        <v>281</v>
      </c>
      <c r="U97">
        <v>1.8778175104772286E-2</v>
      </c>
      <c r="V97" t="s">
        <v>154</v>
      </c>
    </row>
    <row r="98" spans="9:22" x14ac:dyDescent="0.25">
      <c r="I98" t="s">
        <v>172</v>
      </c>
      <c r="J98" t="s">
        <v>282</v>
      </c>
      <c r="K98">
        <v>0.25421613011682165</v>
      </c>
      <c r="L98" t="s">
        <v>154</v>
      </c>
      <c r="N98" t="s">
        <v>196</v>
      </c>
      <c r="O98" t="s">
        <v>282</v>
      </c>
      <c r="P98">
        <v>4.9018170440556716E-2</v>
      </c>
      <c r="Q98" t="s">
        <v>154</v>
      </c>
      <c r="S98" t="s">
        <v>206</v>
      </c>
      <c r="T98" t="s">
        <v>282</v>
      </c>
      <c r="U98">
        <v>3.7195424737756964E-2</v>
      </c>
      <c r="V98" t="s">
        <v>154</v>
      </c>
    </row>
    <row r="99" spans="9:22" x14ac:dyDescent="0.25">
      <c r="I99" t="s">
        <v>172</v>
      </c>
      <c r="J99" t="s">
        <v>283</v>
      </c>
      <c r="K99">
        <v>0</v>
      </c>
      <c r="L99" t="s">
        <v>154</v>
      </c>
      <c r="N99" t="s">
        <v>196</v>
      </c>
      <c r="O99" t="s">
        <v>283</v>
      </c>
      <c r="P99">
        <v>4.4900142757958228E-2</v>
      </c>
      <c r="Q99" t="s">
        <v>154</v>
      </c>
      <c r="S99" t="s">
        <v>206</v>
      </c>
      <c r="T99" t="s">
        <v>283</v>
      </c>
      <c r="U99">
        <v>4.1711464929330935E-2</v>
      </c>
      <c r="V99" t="s">
        <v>154</v>
      </c>
    </row>
    <row r="100" spans="9:22" x14ac:dyDescent="0.25">
      <c r="I100" t="s">
        <v>172</v>
      </c>
      <c r="J100" t="s">
        <v>284</v>
      </c>
      <c r="K100">
        <v>6.5155546819270129E-3</v>
      </c>
      <c r="L100" t="s">
        <v>154</v>
      </c>
      <c r="N100" t="s">
        <v>196</v>
      </c>
      <c r="O100" t="s">
        <v>284</v>
      </c>
      <c r="P100">
        <v>1.3285993021426161E-2</v>
      </c>
      <c r="Q100" t="s">
        <v>154</v>
      </c>
      <c r="S100" t="s">
        <v>206</v>
      </c>
      <c r="T100" t="s">
        <v>284</v>
      </c>
      <c r="U100">
        <v>5.7419583709167436E-3</v>
      </c>
      <c r="V100" t="s">
        <v>154</v>
      </c>
    </row>
    <row r="101" spans="9:22" x14ac:dyDescent="0.25">
      <c r="I101" t="s">
        <v>172</v>
      </c>
      <c r="J101" t="s">
        <v>285</v>
      </c>
      <c r="K101">
        <v>0.24819235292602121</v>
      </c>
      <c r="L101" t="s">
        <v>154</v>
      </c>
      <c r="N101" t="s">
        <v>196</v>
      </c>
      <c r="O101" t="s">
        <v>285</v>
      </c>
      <c r="P101">
        <v>7.982130551187458E-2</v>
      </c>
      <c r="Q101" t="s">
        <v>154</v>
      </c>
      <c r="S101" t="s">
        <v>206</v>
      </c>
      <c r="T101" t="s">
        <v>285</v>
      </c>
      <c r="U101">
        <v>0.1269524329432006</v>
      </c>
      <c r="V101" t="s">
        <v>154</v>
      </c>
    </row>
    <row r="102" spans="9:22" x14ac:dyDescent="0.25">
      <c r="I102" t="s">
        <v>172</v>
      </c>
      <c r="J102" t="s">
        <v>286</v>
      </c>
      <c r="K102">
        <v>0</v>
      </c>
      <c r="L102" t="s">
        <v>154</v>
      </c>
      <c r="N102" t="s">
        <v>196</v>
      </c>
      <c r="O102" t="s">
        <v>286</v>
      </c>
      <c r="P102">
        <v>5.1329417803082304E-2</v>
      </c>
      <c r="Q102" t="s">
        <v>154</v>
      </c>
      <c r="S102" t="s">
        <v>206</v>
      </c>
      <c r="T102" t="s">
        <v>286</v>
      </c>
      <c r="U102">
        <v>0.11464065402701654</v>
      </c>
      <c r="V102" t="s">
        <v>154</v>
      </c>
    </row>
    <row r="103" spans="9:22" x14ac:dyDescent="0.25">
      <c r="I103" t="s">
        <v>172</v>
      </c>
      <c r="J103" t="s">
        <v>287</v>
      </c>
      <c r="K103">
        <v>9.1460056721054603E-3</v>
      </c>
      <c r="L103" t="s">
        <v>154</v>
      </c>
      <c r="N103" t="s">
        <v>196</v>
      </c>
      <c r="O103" t="s">
        <v>287</v>
      </c>
      <c r="P103">
        <v>1.1796237545163981E-2</v>
      </c>
      <c r="Q103" t="s">
        <v>154</v>
      </c>
      <c r="S103" t="s">
        <v>206</v>
      </c>
      <c r="T103" t="s">
        <v>287</v>
      </c>
      <c r="U103">
        <v>2.0750595497986184E-2</v>
      </c>
      <c r="V103" t="s">
        <v>154</v>
      </c>
    </row>
    <row r="104" spans="9:22" x14ac:dyDescent="0.25">
      <c r="I104" t="s">
        <v>172</v>
      </c>
      <c r="J104" t="s">
        <v>288</v>
      </c>
      <c r="K104">
        <v>0.22518664638709579</v>
      </c>
      <c r="L104" t="s">
        <v>154</v>
      </c>
      <c r="N104" t="s">
        <v>196</v>
      </c>
      <c r="O104" t="s">
        <v>288</v>
      </c>
      <c r="P104">
        <v>0.27435691705287674</v>
      </c>
      <c r="Q104" t="s">
        <v>154</v>
      </c>
      <c r="S104" t="s">
        <v>206</v>
      </c>
      <c r="T104" t="s">
        <v>288</v>
      </c>
      <c r="U104">
        <v>0.18714842047500616</v>
      </c>
      <c r="V104" t="s">
        <v>154</v>
      </c>
    </row>
    <row r="105" spans="9:22" x14ac:dyDescent="0.25">
      <c r="I105" t="s">
        <v>172</v>
      </c>
      <c r="J105" t="s">
        <v>289</v>
      </c>
      <c r="K105">
        <v>0</v>
      </c>
      <c r="L105" t="s">
        <v>154</v>
      </c>
      <c r="N105" t="s">
        <v>196</v>
      </c>
      <c r="O105" t="s">
        <v>289</v>
      </c>
      <c r="P105">
        <v>0.27270636385618335</v>
      </c>
      <c r="Q105" t="s">
        <v>154</v>
      </c>
      <c r="S105" t="s">
        <v>206</v>
      </c>
      <c r="T105" t="s">
        <v>289</v>
      </c>
      <c r="U105">
        <v>0.19536542571662463</v>
      </c>
      <c r="V105" t="s">
        <v>154</v>
      </c>
    </row>
    <row r="106" spans="9:22" x14ac:dyDescent="0.25">
      <c r="I106" t="s">
        <v>172</v>
      </c>
      <c r="J106" t="s">
        <v>290</v>
      </c>
      <c r="K106">
        <v>6.2516327037707145E-3</v>
      </c>
      <c r="L106" t="s">
        <v>154</v>
      </c>
      <c r="N106" t="s">
        <v>196</v>
      </c>
      <c r="O106" t="s">
        <v>290</v>
      </c>
      <c r="P106">
        <v>6.2285729810379747E-2</v>
      </c>
      <c r="Q106" t="s">
        <v>154</v>
      </c>
      <c r="S106" t="s">
        <v>206</v>
      </c>
      <c r="T106" t="s">
        <v>290</v>
      </c>
      <c r="U106">
        <v>3.1171104339290965E-2</v>
      </c>
      <c r="V106" t="s">
        <v>154</v>
      </c>
    </row>
    <row r="107" spans="9:22" x14ac:dyDescent="0.25">
      <c r="I107" t="s">
        <v>173</v>
      </c>
      <c r="J107" t="s">
        <v>279</v>
      </c>
      <c r="K107">
        <v>0.24815154123642646</v>
      </c>
      <c r="L107" t="s">
        <v>154</v>
      </c>
      <c r="N107" t="s">
        <v>197</v>
      </c>
      <c r="O107" t="s">
        <v>279</v>
      </c>
      <c r="P107">
        <v>6.1870177593660119E-2</v>
      </c>
      <c r="Q107" t="s">
        <v>154</v>
      </c>
      <c r="S107" t="s">
        <v>207</v>
      </c>
      <c r="T107" t="s">
        <v>279</v>
      </c>
      <c r="U107">
        <v>0.12415792841335961</v>
      </c>
      <c r="V107" t="s">
        <v>154</v>
      </c>
    </row>
    <row r="108" spans="9:22" x14ac:dyDescent="0.25">
      <c r="I108" t="s">
        <v>173</v>
      </c>
      <c r="J108" t="s">
        <v>280</v>
      </c>
      <c r="K108">
        <v>0</v>
      </c>
      <c r="L108" t="s">
        <v>154</v>
      </c>
      <c r="N108" t="s">
        <v>197</v>
      </c>
      <c r="O108" t="s">
        <v>280</v>
      </c>
      <c r="P108">
        <v>5.6101202874634229E-2</v>
      </c>
      <c r="Q108" t="s">
        <v>154</v>
      </c>
      <c r="S108" t="s">
        <v>207</v>
      </c>
      <c r="T108" t="s">
        <v>280</v>
      </c>
      <c r="U108">
        <v>0.11389574349615958</v>
      </c>
      <c r="V108" t="s">
        <v>154</v>
      </c>
    </row>
    <row r="109" spans="9:22" x14ac:dyDescent="0.25">
      <c r="I109" t="s">
        <v>173</v>
      </c>
      <c r="J109" t="s">
        <v>281</v>
      </c>
      <c r="K109">
        <v>6.1883369777014259E-3</v>
      </c>
      <c r="L109" t="s">
        <v>154</v>
      </c>
      <c r="N109" t="s">
        <v>197</v>
      </c>
      <c r="O109" t="s">
        <v>281</v>
      </c>
      <c r="P109">
        <v>1.2078336861340822E-2</v>
      </c>
      <c r="Q109" t="s">
        <v>154</v>
      </c>
      <c r="S109" t="s">
        <v>207</v>
      </c>
      <c r="T109" t="s">
        <v>281</v>
      </c>
      <c r="U109">
        <v>1.9880810887676167E-2</v>
      </c>
      <c r="V109" t="s">
        <v>154</v>
      </c>
    </row>
    <row r="110" spans="9:22" x14ac:dyDescent="0.25">
      <c r="I110" t="s">
        <v>173</v>
      </c>
      <c r="J110" t="s">
        <v>282</v>
      </c>
      <c r="K110">
        <v>0.24399395399633811</v>
      </c>
      <c r="L110" t="s">
        <v>154</v>
      </c>
      <c r="N110" t="s">
        <v>197</v>
      </c>
      <c r="O110" t="s">
        <v>282</v>
      </c>
      <c r="P110">
        <v>4.9213798145296535E-2</v>
      </c>
      <c r="Q110" t="s">
        <v>154</v>
      </c>
      <c r="S110" t="s">
        <v>207</v>
      </c>
      <c r="T110" t="s">
        <v>282</v>
      </c>
      <c r="U110">
        <v>3.8704425584260072E-2</v>
      </c>
      <c r="V110" t="s">
        <v>154</v>
      </c>
    </row>
    <row r="111" spans="9:22" x14ac:dyDescent="0.25">
      <c r="I111" t="s">
        <v>173</v>
      </c>
      <c r="J111" t="s">
        <v>283</v>
      </c>
      <c r="K111">
        <v>0</v>
      </c>
      <c r="L111" t="s">
        <v>154</v>
      </c>
      <c r="N111" t="s">
        <v>197</v>
      </c>
      <c r="O111" t="s">
        <v>283</v>
      </c>
      <c r="P111">
        <v>5.0161547016101059E-2</v>
      </c>
      <c r="Q111" t="s">
        <v>154</v>
      </c>
      <c r="S111" t="s">
        <v>207</v>
      </c>
      <c r="T111" t="s">
        <v>283</v>
      </c>
      <c r="U111">
        <v>4.3993519994289215E-2</v>
      </c>
      <c r="V111" t="s">
        <v>154</v>
      </c>
    </row>
    <row r="112" spans="9:22" x14ac:dyDescent="0.25">
      <c r="I112" t="s">
        <v>173</v>
      </c>
      <c r="J112" t="s">
        <v>284</v>
      </c>
      <c r="K112">
        <v>9.336017805341195E-3</v>
      </c>
      <c r="L112" t="s">
        <v>154</v>
      </c>
      <c r="N112" t="s">
        <v>197</v>
      </c>
      <c r="O112" t="s">
        <v>284</v>
      </c>
      <c r="P112">
        <v>1.1582086315083784E-2</v>
      </c>
      <c r="Q112" t="s">
        <v>154</v>
      </c>
      <c r="S112" t="s">
        <v>207</v>
      </c>
      <c r="T112" t="s">
        <v>284</v>
      </c>
      <c r="U112">
        <v>5.5023641128560197E-3</v>
      </c>
      <c r="V112" t="s">
        <v>154</v>
      </c>
    </row>
    <row r="113" spans="9:22" x14ac:dyDescent="0.25">
      <c r="I113" t="s">
        <v>173</v>
      </c>
      <c r="J113" t="s">
        <v>285</v>
      </c>
      <c r="K113">
        <v>0.2511648321867529</v>
      </c>
      <c r="L113" t="s">
        <v>154</v>
      </c>
      <c r="N113" t="s">
        <v>197</v>
      </c>
      <c r="O113" t="s">
        <v>285</v>
      </c>
      <c r="P113">
        <v>7.2328893527791691E-2</v>
      </c>
      <c r="Q113" t="s">
        <v>154</v>
      </c>
      <c r="S113" t="s">
        <v>207</v>
      </c>
      <c r="T113" t="s">
        <v>285</v>
      </c>
      <c r="U113">
        <v>0.13229748507310859</v>
      </c>
      <c r="V113" t="s">
        <v>154</v>
      </c>
    </row>
    <row r="114" spans="9:22" x14ac:dyDescent="0.25">
      <c r="I114" t="s">
        <v>173</v>
      </c>
      <c r="J114" t="s">
        <v>286</v>
      </c>
      <c r="K114">
        <v>0</v>
      </c>
      <c r="L114" t="s">
        <v>154</v>
      </c>
      <c r="N114" t="s">
        <v>197</v>
      </c>
      <c r="O114" t="s">
        <v>286</v>
      </c>
      <c r="P114">
        <v>7.7963474315571574E-2</v>
      </c>
      <c r="Q114" t="s">
        <v>154</v>
      </c>
      <c r="S114" t="s">
        <v>207</v>
      </c>
      <c r="T114" t="s">
        <v>286</v>
      </c>
      <c r="U114">
        <v>0.11906319026638407</v>
      </c>
      <c r="V114" t="s">
        <v>154</v>
      </c>
    </row>
    <row r="115" spans="9:22" x14ac:dyDescent="0.25">
      <c r="I115" t="s">
        <v>173</v>
      </c>
      <c r="J115" t="s">
        <v>287</v>
      </c>
      <c r="K115">
        <v>1.386423578059532E-2</v>
      </c>
      <c r="L115" t="s">
        <v>154</v>
      </c>
      <c r="N115" t="s">
        <v>197</v>
      </c>
      <c r="O115" t="s">
        <v>287</v>
      </c>
      <c r="P115">
        <v>1.0623240379554675E-2</v>
      </c>
      <c r="Q115" t="s">
        <v>154</v>
      </c>
      <c r="S115" t="s">
        <v>207</v>
      </c>
      <c r="T115" t="s">
        <v>287</v>
      </c>
      <c r="U115">
        <v>2.2133167750341142E-2</v>
      </c>
      <c r="V115" t="s">
        <v>154</v>
      </c>
    </row>
    <row r="116" spans="9:22" x14ac:dyDescent="0.25">
      <c r="I116" t="s">
        <v>173</v>
      </c>
      <c r="J116" t="s">
        <v>288</v>
      </c>
      <c r="K116">
        <v>0.21767706897260108</v>
      </c>
      <c r="L116" t="s">
        <v>154</v>
      </c>
      <c r="N116" t="s">
        <v>197</v>
      </c>
      <c r="O116" t="s">
        <v>288</v>
      </c>
      <c r="P116">
        <v>0.26823866601133434</v>
      </c>
      <c r="Q116" t="s">
        <v>154</v>
      </c>
      <c r="S116" t="s">
        <v>207</v>
      </c>
      <c r="T116" t="s">
        <v>288</v>
      </c>
      <c r="U116">
        <v>0.17096981304335293</v>
      </c>
      <c r="V116" t="s">
        <v>154</v>
      </c>
    </row>
    <row r="117" spans="9:22" x14ac:dyDescent="0.25">
      <c r="I117" t="s">
        <v>173</v>
      </c>
      <c r="J117" t="s">
        <v>289</v>
      </c>
      <c r="K117">
        <v>0</v>
      </c>
      <c r="L117" t="s">
        <v>154</v>
      </c>
      <c r="N117" t="s">
        <v>197</v>
      </c>
      <c r="O117" t="s">
        <v>289</v>
      </c>
      <c r="P117">
        <v>0.281211788771765</v>
      </c>
      <c r="Q117" t="s">
        <v>154</v>
      </c>
      <c r="S117" t="s">
        <v>207</v>
      </c>
      <c r="T117" t="s">
        <v>289</v>
      </c>
      <c r="U117">
        <v>0.18105563320512436</v>
      </c>
      <c r="V117" t="s">
        <v>154</v>
      </c>
    </row>
    <row r="118" spans="9:22" x14ac:dyDescent="0.25">
      <c r="I118" t="s">
        <v>173</v>
      </c>
      <c r="J118" t="s">
        <v>290</v>
      </c>
      <c r="K118">
        <v>9.6240130442424038E-3</v>
      </c>
      <c r="L118" t="s">
        <v>154</v>
      </c>
      <c r="N118" t="s">
        <v>197</v>
      </c>
      <c r="O118" t="s">
        <v>290</v>
      </c>
      <c r="P118">
        <v>4.8626788187865019E-2</v>
      </c>
      <c r="Q118" t="s">
        <v>154</v>
      </c>
      <c r="S118" t="s">
        <v>207</v>
      </c>
      <c r="T118" t="s">
        <v>290</v>
      </c>
      <c r="U118">
        <v>2.8345918173086505E-2</v>
      </c>
      <c r="V118" t="s">
        <v>154</v>
      </c>
    </row>
    <row r="119" spans="9:22" x14ac:dyDescent="0.25">
      <c r="I119" t="s">
        <v>174</v>
      </c>
      <c r="J119" t="s">
        <v>279</v>
      </c>
      <c r="K119">
        <v>0.24893754344454411</v>
      </c>
      <c r="L119" t="s">
        <v>154</v>
      </c>
      <c r="N119" t="s">
        <v>198</v>
      </c>
      <c r="O119" t="s">
        <v>279</v>
      </c>
      <c r="P119">
        <v>5.331294369745479E-2</v>
      </c>
      <c r="Q119" t="s">
        <v>154</v>
      </c>
      <c r="S119" t="s">
        <v>208</v>
      </c>
      <c r="T119" t="s">
        <v>279</v>
      </c>
      <c r="U119">
        <v>0.11686386739872758</v>
      </c>
      <c r="V119" t="s">
        <v>154</v>
      </c>
    </row>
    <row r="120" spans="9:22" x14ac:dyDescent="0.25">
      <c r="I120" t="s">
        <v>174</v>
      </c>
      <c r="J120" t="s">
        <v>280</v>
      </c>
      <c r="K120">
        <v>0</v>
      </c>
      <c r="L120" t="s">
        <v>154</v>
      </c>
      <c r="N120" t="s">
        <v>198</v>
      </c>
      <c r="O120" t="s">
        <v>280</v>
      </c>
      <c r="P120">
        <v>5.2635000614264571E-2</v>
      </c>
      <c r="Q120" t="s">
        <v>154</v>
      </c>
      <c r="S120" t="s">
        <v>208</v>
      </c>
      <c r="T120" t="s">
        <v>280</v>
      </c>
      <c r="U120">
        <v>0.10597588559413273</v>
      </c>
      <c r="V120" t="s">
        <v>154</v>
      </c>
    </row>
    <row r="121" spans="9:22" x14ac:dyDescent="0.25">
      <c r="I121" t="s">
        <v>174</v>
      </c>
      <c r="J121" t="s">
        <v>281</v>
      </c>
      <c r="K121">
        <v>6.059924461233844E-3</v>
      </c>
      <c r="L121" t="s">
        <v>154</v>
      </c>
      <c r="N121" t="s">
        <v>198</v>
      </c>
      <c r="O121" t="s">
        <v>281</v>
      </c>
      <c r="P121">
        <v>1.2809778478980465E-2</v>
      </c>
      <c r="Q121" t="s">
        <v>154</v>
      </c>
      <c r="S121" t="s">
        <v>208</v>
      </c>
      <c r="T121" t="s">
        <v>281</v>
      </c>
      <c r="U121">
        <v>1.9048154681436339E-2</v>
      </c>
      <c r="V121" t="s">
        <v>154</v>
      </c>
    </row>
    <row r="122" spans="9:22" x14ac:dyDescent="0.25">
      <c r="I122" t="s">
        <v>174</v>
      </c>
      <c r="J122" t="s">
        <v>282</v>
      </c>
      <c r="K122">
        <v>0.23864745469039778</v>
      </c>
      <c r="L122" t="s">
        <v>154</v>
      </c>
      <c r="N122" t="s">
        <v>198</v>
      </c>
      <c r="O122" t="s">
        <v>282</v>
      </c>
      <c r="P122">
        <v>5.1457288069305343E-2</v>
      </c>
      <c r="Q122" t="s">
        <v>154</v>
      </c>
      <c r="S122" t="s">
        <v>208</v>
      </c>
      <c r="T122" t="s">
        <v>282</v>
      </c>
      <c r="U122">
        <v>4.2914452369693754E-2</v>
      </c>
      <c r="V122" t="s">
        <v>154</v>
      </c>
    </row>
    <row r="123" spans="9:22" x14ac:dyDescent="0.25">
      <c r="I123" t="s">
        <v>174</v>
      </c>
      <c r="J123" t="s">
        <v>283</v>
      </c>
      <c r="K123">
        <v>0</v>
      </c>
      <c r="L123" t="s">
        <v>154</v>
      </c>
      <c r="N123" t="s">
        <v>198</v>
      </c>
      <c r="O123" t="s">
        <v>283</v>
      </c>
      <c r="P123">
        <v>5.3886988717951612E-2</v>
      </c>
      <c r="Q123" t="s">
        <v>154</v>
      </c>
      <c r="S123" t="s">
        <v>208</v>
      </c>
      <c r="T123" t="s">
        <v>283</v>
      </c>
      <c r="U123">
        <v>4.8453583853842366E-2</v>
      </c>
      <c r="V123" t="s">
        <v>154</v>
      </c>
    </row>
    <row r="124" spans="9:22" x14ac:dyDescent="0.25">
      <c r="I124" t="s">
        <v>174</v>
      </c>
      <c r="J124" t="s">
        <v>284</v>
      </c>
      <c r="K124">
        <v>7.0614031735553272E-3</v>
      </c>
      <c r="L124" t="s">
        <v>154</v>
      </c>
      <c r="N124" t="s">
        <v>198</v>
      </c>
      <c r="O124" t="s">
        <v>284</v>
      </c>
      <c r="P124">
        <v>1.454300896515561E-2</v>
      </c>
      <c r="Q124" t="s">
        <v>154</v>
      </c>
      <c r="S124" t="s">
        <v>208</v>
      </c>
      <c r="T124" t="s">
        <v>284</v>
      </c>
      <c r="U124">
        <v>6.3606991920818721E-3</v>
      </c>
      <c r="V124" t="s">
        <v>154</v>
      </c>
    </row>
    <row r="125" spans="9:22" x14ac:dyDescent="0.25">
      <c r="I125" t="s">
        <v>174</v>
      </c>
      <c r="J125" t="s">
        <v>285</v>
      </c>
      <c r="K125">
        <v>0.25217303137197916</v>
      </c>
      <c r="L125" t="s">
        <v>154</v>
      </c>
      <c r="N125" t="s">
        <v>198</v>
      </c>
      <c r="O125" t="s">
        <v>285</v>
      </c>
      <c r="P125">
        <v>5.7765498064732045E-2</v>
      </c>
      <c r="Q125" t="s">
        <v>154</v>
      </c>
      <c r="S125" t="s">
        <v>208</v>
      </c>
      <c r="T125" t="s">
        <v>285</v>
      </c>
      <c r="U125">
        <v>0.13067664645209462</v>
      </c>
      <c r="V125" t="s">
        <v>154</v>
      </c>
    </row>
    <row r="126" spans="9:22" x14ac:dyDescent="0.25">
      <c r="I126" t="s">
        <v>174</v>
      </c>
      <c r="J126" t="s">
        <v>286</v>
      </c>
      <c r="K126">
        <v>0</v>
      </c>
      <c r="L126" t="s">
        <v>154</v>
      </c>
      <c r="N126" t="s">
        <v>198</v>
      </c>
      <c r="O126" t="s">
        <v>286</v>
      </c>
      <c r="P126">
        <v>5.6104372982535927E-2</v>
      </c>
      <c r="Q126" t="s">
        <v>154</v>
      </c>
      <c r="S126" t="s">
        <v>208</v>
      </c>
      <c r="T126" t="s">
        <v>286</v>
      </c>
      <c r="U126">
        <v>0.11154430120276147</v>
      </c>
      <c r="V126" t="s">
        <v>154</v>
      </c>
    </row>
    <row r="127" spans="9:22" x14ac:dyDescent="0.25">
      <c r="I127" t="s">
        <v>174</v>
      </c>
      <c r="J127" t="s">
        <v>287</v>
      </c>
      <c r="K127">
        <v>9.0554097668401699E-3</v>
      </c>
      <c r="L127" t="s">
        <v>154</v>
      </c>
      <c r="N127" t="s">
        <v>198</v>
      </c>
      <c r="O127" t="s">
        <v>287</v>
      </c>
      <c r="P127">
        <v>8.8541581776860594E-3</v>
      </c>
      <c r="Q127" t="s">
        <v>154</v>
      </c>
      <c r="S127" t="s">
        <v>208</v>
      </c>
      <c r="T127" t="s">
        <v>287</v>
      </c>
      <c r="U127">
        <v>2.1419261634220175E-2</v>
      </c>
      <c r="V127" t="s">
        <v>154</v>
      </c>
    </row>
    <row r="128" spans="9:22" x14ac:dyDescent="0.25">
      <c r="I128" t="s">
        <v>174</v>
      </c>
      <c r="J128" t="s">
        <v>288</v>
      </c>
      <c r="K128">
        <v>0.23027875197400516</v>
      </c>
      <c r="L128" t="s">
        <v>154</v>
      </c>
      <c r="N128" t="s">
        <v>198</v>
      </c>
      <c r="O128" t="s">
        <v>288</v>
      </c>
      <c r="P128">
        <v>0.27806944383153648</v>
      </c>
      <c r="Q128" t="s">
        <v>154</v>
      </c>
      <c r="S128" t="s">
        <v>208</v>
      </c>
      <c r="T128" t="s">
        <v>288</v>
      </c>
      <c r="U128">
        <v>0.17809040294139519</v>
      </c>
      <c r="V128" t="s">
        <v>154</v>
      </c>
    </row>
    <row r="129" spans="9:22" x14ac:dyDescent="0.25">
      <c r="I129" t="s">
        <v>174</v>
      </c>
      <c r="J129" t="s">
        <v>289</v>
      </c>
      <c r="K129">
        <v>0</v>
      </c>
      <c r="L129" t="s">
        <v>154</v>
      </c>
      <c r="N129" t="s">
        <v>198</v>
      </c>
      <c r="O129" t="s">
        <v>289</v>
      </c>
      <c r="P129">
        <v>0.30130526261324964</v>
      </c>
      <c r="Q129" t="s">
        <v>154</v>
      </c>
      <c r="S129" t="s">
        <v>208</v>
      </c>
      <c r="T129" t="s">
        <v>289</v>
      </c>
      <c r="U129">
        <v>0.18896390544213035</v>
      </c>
      <c r="V129" t="s">
        <v>154</v>
      </c>
    </row>
    <row r="130" spans="9:22" x14ac:dyDescent="0.25">
      <c r="I130" t="s">
        <v>174</v>
      </c>
      <c r="J130" t="s">
        <v>290</v>
      </c>
      <c r="K130">
        <v>7.7864811174476016E-3</v>
      </c>
      <c r="L130" t="s">
        <v>154</v>
      </c>
      <c r="N130" t="s">
        <v>198</v>
      </c>
      <c r="O130" t="s">
        <v>290</v>
      </c>
      <c r="P130">
        <v>5.9256255787149568E-2</v>
      </c>
      <c r="Q130" t="s">
        <v>154</v>
      </c>
      <c r="S130" t="s">
        <v>208</v>
      </c>
      <c r="T130" t="s">
        <v>290</v>
      </c>
      <c r="U130">
        <v>2.9688839237483351E-2</v>
      </c>
      <c r="V130" t="s">
        <v>154</v>
      </c>
    </row>
    <row r="131" spans="9:22" x14ac:dyDescent="0.25">
      <c r="I131" t="s">
        <v>175</v>
      </c>
      <c r="J131" t="s">
        <v>279</v>
      </c>
      <c r="K131">
        <v>0.24963010017663181</v>
      </c>
      <c r="L131" t="s">
        <v>154</v>
      </c>
    </row>
    <row r="132" spans="9:22" x14ac:dyDescent="0.25">
      <c r="I132" t="s">
        <v>175</v>
      </c>
      <c r="J132" t="s">
        <v>280</v>
      </c>
      <c r="K132">
        <v>0</v>
      </c>
      <c r="L132" t="s">
        <v>154</v>
      </c>
    </row>
    <row r="133" spans="9:22" x14ac:dyDescent="0.25">
      <c r="I133" t="s">
        <v>175</v>
      </c>
      <c r="J133" t="s">
        <v>281</v>
      </c>
      <c r="K133">
        <v>5.5220231045443931E-3</v>
      </c>
      <c r="L133" t="s">
        <v>154</v>
      </c>
    </row>
    <row r="134" spans="9:22" x14ac:dyDescent="0.25">
      <c r="I134" t="s">
        <v>175</v>
      </c>
      <c r="J134" t="s">
        <v>282</v>
      </c>
      <c r="K134">
        <v>0.24914967036490943</v>
      </c>
      <c r="L134" t="s">
        <v>154</v>
      </c>
    </row>
    <row r="135" spans="9:22" x14ac:dyDescent="0.25">
      <c r="I135" t="s">
        <v>175</v>
      </c>
      <c r="J135" t="s">
        <v>283</v>
      </c>
      <c r="K135">
        <v>0</v>
      </c>
      <c r="L135" t="s">
        <v>154</v>
      </c>
    </row>
    <row r="136" spans="9:22" x14ac:dyDescent="0.25">
      <c r="I136" t="s">
        <v>175</v>
      </c>
      <c r="J136" t="s">
        <v>284</v>
      </c>
      <c r="K136">
        <v>6.3583895305956411E-3</v>
      </c>
      <c r="L136" t="s">
        <v>154</v>
      </c>
    </row>
    <row r="137" spans="9:22" x14ac:dyDescent="0.25">
      <c r="I137" t="s">
        <v>175</v>
      </c>
      <c r="J137" t="s">
        <v>285</v>
      </c>
      <c r="K137">
        <v>0.24948983583501194</v>
      </c>
      <c r="L137" t="s">
        <v>154</v>
      </c>
    </row>
    <row r="138" spans="9:22" x14ac:dyDescent="0.25">
      <c r="I138" t="s">
        <v>175</v>
      </c>
      <c r="J138" t="s">
        <v>286</v>
      </c>
      <c r="K138">
        <v>0</v>
      </c>
      <c r="L138" t="s">
        <v>154</v>
      </c>
    </row>
    <row r="139" spans="9:22" x14ac:dyDescent="0.25">
      <c r="I139" t="s">
        <v>175</v>
      </c>
      <c r="J139" t="s">
        <v>287</v>
      </c>
      <c r="K139">
        <v>8.0561790958399854E-3</v>
      </c>
      <c r="L139" t="s">
        <v>154</v>
      </c>
    </row>
    <row r="140" spans="9:22" x14ac:dyDescent="0.25">
      <c r="I140" t="s">
        <v>175</v>
      </c>
      <c r="J140" t="s">
        <v>288</v>
      </c>
      <c r="K140">
        <v>0.22534919246934393</v>
      </c>
      <c r="L140" t="s">
        <v>154</v>
      </c>
    </row>
    <row r="141" spans="9:22" x14ac:dyDescent="0.25">
      <c r="I141" t="s">
        <v>175</v>
      </c>
      <c r="J141" t="s">
        <v>289</v>
      </c>
      <c r="K141">
        <v>0</v>
      </c>
      <c r="L141" t="s">
        <v>154</v>
      </c>
    </row>
    <row r="142" spans="9:22" x14ac:dyDescent="0.25">
      <c r="I142" t="s">
        <v>175</v>
      </c>
      <c r="J142" t="s">
        <v>290</v>
      </c>
      <c r="K142">
        <v>6.4446094231223241E-3</v>
      </c>
      <c r="L142" t="s">
        <v>154</v>
      </c>
    </row>
    <row r="143" spans="9:22" x14ac:dyDescent="0.25">
      <c r="I143" t="s">
        <v>176</v>
      </c>
      <c r="J143" t="s">
        <v>279</v>
      </c>
      <c r="K143">
        <v>0.24223397556282905</v>
      </c>
      <c r="L143" t="s">
        <v>154</v>
      </c>
    </row>
    <row r="144" spans="9:22" x14ac:dyDescent="0.25">
      <c r="I144" t="s">
        <v>176</v>
      </c>
      <c r="J144" t="s">
        <v>280</v>
      </c>
      <c r="K144">
        <v>0</v>
      </c>
      <c r="L144" t="s">
        <v>154</v>
      </c>
    </row>
    <row r="145" spans="9:12" x14ac:dyDescent="0.25">
      <c r="I145" t="s">
        <v>176</v>
      </c>
      <c r="J145" t="s">
        <v>281</v>
      </c>
      <c r="K145">
        <v>6.1096265726536935E-3</v>
      </c>
      <c r="L145" t="s">
        <v>154</v>
      </c>
    </row>
    <row r="146" spans="9:12" x14ac:dyDescent="0.25">
      <c r="I146" t="s">
        <v>176</v>
      </c>
      <c r="J146" t="s">
        <v>282</v>
      </c>
      <c r="K146">
        <v>0.25729075371480531</v>
      </c>
      <c r="L146" t="s">
        <v>154</v>
      </c>
    </row>
    <row r="147" spans="9:12" x14ac:dyDescent="0.25">
      <c r="I147" t="s">
        <v>176</v>
      </c>
      <c r="J147" t="s">
        <v>283</v>
      </c>
      <c r="K147">
        <v>0</v>
      </c>
      <c r="L147" t="s">
        <v>154</v>
      </c>
    </row>
    <row r="148" spans="9:12" x14ac:dyDescent="0.25">
      <c r="I148" t="s">
        <v>176</v>
      </c>
      <c r="J148" t="s">
        <v>284</v>
      </c>
      <c r="K148">
        <v>8.4706314295682483E-3</v>
      </c>
      <c r="L148" t="s">
        <v>154</v>
      </c>
    </row>
    <row r="149" spans="9:12" x14ac:dyDescent="0.25">
      <c r="I149" t="s">
        <v>176</v>
      </c>
      <c r="J149" t="s">
        <v>285</v>
      </c>
      <c r="K149">
        <v>0.2481113191221675</v>
      </c>
      <c r="L149" t="s">
        <v>154</v>
      </c>
    </row>
    <row r="150" spans="9:12" x14ac:dyDescent="0.25">
      <c r="I150" t="s">
        <v>176</v>
      </c>
      <c r="J150" t="s">
        <v>286</v>
      </c>
      <c r="K150">
        <v>0</v>
      </c>
      <c r="L150" t="s">
        <v>154</v>
      </c>
    </row>
    <row r="151" spans="9:12" x14ac:dyDescent="0.25">
      <c r="I151" t="s">
        <v>176</v>
      </c>
      <c r="J151" t="s">
        <v>287</v>
      </c>
      <c r="K151">
        <v>1.3094888046507625E-2</v>
      </c>
      <c r="L151" t="s">
        <v>154</v>
      </c>
    </row>
    <row r="152" spans="9:12" x14ac:dyDescent="0.25">
      <c r="I152" t="s">
        <v>176</v>
      </c>
      <c r="J152" t="s">
        <v>288</v>
      </c>
      <c r="K152">
        <v>0.21661612907408184</v>
      </c>
      <c r="L152" t="s">
        <v>154</v>
      </c>
    </row>
    <row r="153" spans="9:12" x14ac:dyDescent="0.25">
      <c r="I153" t="s">
        <v>176</v>
      </c>
      <c r="J153" t="s">
        <v>289</v>
      </c>
      <c r="K153">
        <v>0</v>
      </c>
      <c r="L153" t="s">
        <v>154</v>
      </c>
    </row>
    <row r="154" spans="9:12" x14ac:dyDescent="0.25">
      <c r="I154" t="s">
        <v>176</v>
      </c>
      <c r="J154" t="s">
        <v>290</v>
      </c>
      <c r="K154">
        <v>8.0726764773859615E-3</v>
      </c>
      <c r="L154" t="s">
        <v>154</v>
      </c>
    </row>
    <row r="155" spans="9:12" x14ac:dyDescent="0.25">
      <c r="I155" t="s">
        <v>177</v>
      </c>
      <c r="J155" t="s">
        <v>279</v>
      </c>
      <c r="K155">
        <v>0.24730231390606053</v>
      </c>
      <c r="L155" t="s">
        <v>154</v>
      </c>
    </row>
    <row r="156" spans="9:12" x14ac:dyDescent="0.25">
      <c r="I156" t="s">
        <v>177</v>
      </c>
      <c r="J156" t="s">
        <v>280</v>
      </c>
      <c r="K156">
        <v>0</v>
      </c>
      <c r="L156" t="s">
        <v>154</v>
      </c>
    </row>
    <row r="157" spans="9:12" x14ac:dyDescent="0.25">
      <c r="I157" t="s">
        <v>177</v>
      </c>
      <c r="J157" t="s">
        <v>281</v>
      </c>
      <c r="K157">
        <v>6.3605608516932388E-3</v>
      </c>
      <c r="L157" t="s">
        <v>154</v>
      </c>
    </row>
    <row r="158" spans="9:12" x14ac:dyDescent="0.25">
      <c r="I158" t="s">
        <v>177</v>
      </c>
      <c r="J158" t="s">
        <v>282</v>
      </c>
      <c r="K158">
        <v>0.24797191757309972</v>
      </c>
      <c r="L158" t="s">
        <v>154</v>
      </c>
    </row>
    <row r="159" spans="9:12" x14ac:dyDescent="0.25">
      <c r="I159" t="s">
        <v>177</v>
      </c>
      <c r="J159" t="s">
        <v>283</v>
      </c>
      <c r="K159">
        <v>0</v>
      </c>
      <c r="L159" t="s">
        <v>154</v>
      </c>
    </row>
    <row r="160" spans="9:12" x14ac:dyDescent="0.25">
      <c r="I160" t="s">
        <v>177</v>
      </c>
      <c r="J160" t="s">
        <v>284</v>
      </c>
      <c r="K160">
        <v>9.2790196394156223E-3</v>
      </c>
      <c r="L160" t="s">
        <v>154</v>
      </c>
    </row>
    <row r="161" spans="9:12" x14ac:dyDescent="0.25">
      <c r="I161" t="s">
        <v>177</v>
      </c>
      <c r="J161" t="s">
        <v>285</v>
      </c>
      <c r="K161">
        <v>0.2507417116084571</v>
      </c>
      <c r="L161" t="s">
        <v>154</v>
      </c>
    </row>
    <row r="162" spans="9:12" x14ac:dyDescent="0.25">
      <c r="I162" t="s">
        <v>177</v>
      </c>
      <c r="J162" t="s">
        <v>286</v>
      </c>
      <c r="K162">
        <v>0</v>
      </c>
      <c r="L162" t="s">
        <v>154</v>
      </c>
    </row>
    <row r="163" spans="9:12" x14ac:dyDescent="0.25">
      <c r="I163" t="s">
        <v>177</v>
      </c>
      <c r="J163" t="s">
        <v>287</v>
      </c>
      <c r="K163">
        <v>1.397647748191923E-2</v>
      </c>
      <c r="L163" t="s">
        <v>154</v>
      </c>
    </row>
    <row r="164" spans="9:12" x14ac:dyDescent="0.25">
      <c r="I164" t="s">
        <v>177</v>
      </c>
      <c r="J164" t="s">
        <v>288</v>
      </c>
      <c r="K164">
        <v>0.21433756844846891</v>
      </c>
      <c r="L164" t="s">
        <v>154</v>
      </c>
    </row>
    <row r="165" spans="9:12" x14ac:dyDescent="0.25">
      <c r="I165" t="s">
        <v>177</v>
      </c>
      <c r="J165" t="s">
        <v>289</v>
      </c>
      <c r="K165">
        <v>0</v>
      </c>
      <c r="L165" t="s">
        <v>154</v>
      </c>
    </row>
    <row r="166" spans="9:12" x14ac:dyDescent="0.25">
      <c r="I166" t="s">
        <v>177</v>
      </c>
      <c r="J166" t="s">
        <v>290</v>
      </c>
      <c r="K166">
        <v>1.0030430490887155E-2</v>
      </c>
      <c r="L166" t="s">
        <v>154</v>
      </c>
    </row>
    <row r="167" spans="9:12" x14ac:dyDescent="0.25">
      <c r="I167" t="s">
        <v>178</v>
      </c>
      <c r="J167" t="s">
        <v>279</v>
      </c>
      <c r="K167">
        <v>0.23604186647292949</v>
      </c>
      <c r="L167" t="s">
        <v>154</v>
      </c>
    </row>
    <row r="168" spans="9:12" x14ac:dyDescent="0.25">
      <c r="I168" t="s">
        <v>178</v>
      </c>
      <c r="J168" t="s">
        <v>280</v>
      </c>
      <c r="K168">
        <v>0</v>
      </c>
      <c r="L168" t="s">
        <v>154</v>
      </c>
    </row>
    <row r="169" spans="9:12" x14ac:dyDescent="0.25">
      <c r="I169" t="s">
        <v>178</v>
      </c>
      <c r="J169" t="s">
        <v>281</v>
      </c>
      <c r="K169">
        <v>2.0212772877191434E-2</v>
      </c>
      <c r="L169" t="s">
        <v>154</v>
      </c>
    </row>
    <row r="170" spans="9:12" x14ac:dyDescent="0.25">
      <c r="I170" t="s">
        <v>178</v>
      </c>
      <c r="J170" t="s">
        <v>282</v>
      </c>
      <c r="K170">
        <v>0.24113001454208469</v>
      </c>
      <c r="L170" t="s">
        <v>154</v>
      </c>
    </row>
    <row r="171" spans="9:12" x14ac:dyDescent="0.25">
      <c r="I171" t="s">
        <v>178</v>
      </c>
      <c r="J171" t="s">
        <v>283</v>
      </c>
      <c r="K171">
        <v>0</v>
      </c>
      <c r="L171" t="s">
        <v>154</v>
      </c>
    </row>
    <row r="172" spans="9:12" x14ac:dyDescent="0.25">
      <c r="I172" t="s">
        <v>178</v>
      </c>
      <c r="J172" t="s">
        <v>284</v>
      </c>
      <c r="K172">
        <v>2.6086300406666478E-2</v>
      </c>
      <c r="L172" t="s">
        <v>154</v>
      </c>
    </row>
    <row r="173" spans="9:12" x14ac:dyDescent="0.25">
      <c r="I173" t="s">
        <v>178</v>
      </c>
      <c r="J173" t="s">
        <v>285</v>
      </c>
      <c r="K173">
        <v>0.21354193801156721</v>
      </c>
      <c r="L173" t="s">
        <v>154</v>
      </c>
    </row>
    <row r="174" spans="9:12" x14ac:dyDescent="0.25">
      <c r="I174" t="s">
        <v>178</v>
      </c>
      <c r="J174" t="s">
        <v>286</v>
      </c>
      <c r="K174">
        <v>0</v>
      </c>
      <c r="L174" t="s">
        <v>154</v>
      </c>
    </row>
    <row r="175" spans="9:12" x14ac:dyDescent="0.25">
      <c r="I175" t="s">
        <v>178</v>
      </c>
      <c r="J175" t="s">
        <v>287</v>
      </c>
      <c r="K175">
        <v>2.187554392131686E-2</v>
      </c>
      <c r="L175" t="s">
        <v>154</v>
      </c>
    </row>
    <row r="176" spans="9:12" x14ac:dyDescent="0.25">
      <c r="I176" t="s">
        <v>178</v>
      </c>
      <c r="J176" t="s">
        <v>288</v>
      </c>
      <c r="K176">
        <v>0.21629634455073252</v>
      </c>
      <c r="L176" t="s">
        <v>154</v>
      </c>
    </row>
    <row r="177" spans="9:12" x14ac:dyDescent="0.25">
      <c r="I177" t="s">
        <v>178</v>
      </c>
      <c r="J177" t="s">
        <v>289</v>
      </c>
      <c r="K177">
        <v>0</v>
      </c>
      <c r="L177" t="s">
        <v>154</v>
      </c>
    </row>
    <row r="178" spans="9:12" x14ac:dyDescent="0.25">
      <c r="I178" t="s">
        <v>178</v>
      </c>
      <c r="J178" t="s">
        <v>290</v>
      </c>
      <c r="K178">
        <v>2.4815219217512476E-2</v>
      </c>
      <c r="L178" t="s">
        <v>154</v>
      </c>
    </row>
    <row r="179" spans="9:12" x14ac:dyDescent="0.25">
      <c r="I179" t="s">
        <v>179</v>
      </c>
      <c r="J179" t="s">
        <v>279</v>
      </c>
      <c r="K179">
        <v>0.2391850786232928</v>
      </c>
      <c r="L179" t="s">
        <v>154</v>
      </c>
    </row>
    <row r="180" spans="9:12" x14ac:dyDescent="0.25">
      <c r="I180" t="s">
        <v>179</v>
      </c>
      <c r="J180" t="s">
        <v>280</v>
      </c>
      <c r="K180">
        <v>0</v>
      </c>
      <c r="L180" t="s">
        <v>154</v>
      </c>
    </row>
    <row r="181" spans="9:12" x14ac:dyDescent="0.25">
      <c r="I181" t="s">
        <v>179</v>
      </c>
      <c r="J181" t="s">
        <v>281</v>
      </c>
      <c r="K181">
        <v>1.5590922358454253E-2</v>
      </c>
      <c r="L181" t="s">
        <v>154</v>
      </c>
    </row>
    <row r="182" spans="9:12" x14ac:dyDescent="0.25">
      <c r="I182" t="s">
        <v>179</v>
      </c>
      <c r="J182" t="s">
        <v>282</v>
      </c>
      <c r="K182">
        <v>0.24515342576460472</v>
      </c>
      <c r="L182" t="s">
        <v>154</v>
      </c>
    </row>
    <row r="183" spans="9:12" x14ac:dyDescent="0.25">
      <c r="I183" t="s">
        <v>179</v>
      </c>
      <c r="J183" t="s">
        <v>283</v>
      </c>
      <c r="K183">
        <v>0</v>
      </c>
      <c r="L183" t="s">
        <v>154</v>
      </c>
    </row>
    <row r="184" spans="9:12" x14ac:dyDescent="0.25">
      <c r="I184" t="s">
        <v>179</v>
      </c>
      <c r="J184" t="s">
        <v>284</v>
      </c>
      <c r="K184">
        <v>2.2419248487397934E-2</v>
      </c>
      <c r="L184" t="s">
        <v>154</v>
      </c>
    </row>
    <row r="185" spans="9:12" x14ac:dyDescent="0.25">
      <c r="I185" t="s">
        <v>179</v>
      </c>
      <c r="J185" t="s">
        <v>285</v>
      </c>
      <c r="K185">
        <v>0.22719511893035524</v>
      </c>
      <c r="L185" t="s">
        <v>154</v>
      </c>
    </row>
    <row r="186" spans="9:12" x14ac:dyDescent="0.25">
      <c r="I186" t="s">
        <v>179</v>
      </c>
      <c r="J186" t="s">
        <v>286</v>
      </c>
      <c r="K186">
        <v>0</v>
      </c>
      <c r="L186" t="s">
        <v>154</v>
      </c>
    </row>
    <row r="187" spans="9:12" x14ac:dyDescent="0.25">
      <c r="I187" t="s">
        <v>179</v>
      </c>
      <c r="J187" t="s">
        <v>287</v>
      </c>
      <c r="K187">
        <v>1.8744556401873017E-2</v>
      </c>
      <c r="L187" t="s">
        <v>154</v>
      </c>
    </row>
    <row r="188" spans="9:12" x14ac:dyDescent="0.25">
      <c r="I188" t="s">
        <v>179</v>
      </c>
      <c r="J188" t="s">
        <v>288</v>
      </c>
      <c r="K188">
        <v>0.21012410743719478</v>
      </c>
      <c r="L188" t="s">
        <v>154</v>
      </c>
    </row>
    <row r="189" spans="9:12" x14ac:dyDescent="0.25">
      <c r="I189" t="s">
        <v>179</v>
      </c>
      <c r="J189" t="s">
        <v>289</v>
      </c>
      <c r="K189">
        <v>0</v>
      </c>
      <c r="L189" t="s">
        <v>154</v>
      </c>
    </row>
    <row r="190" spans="9:12" x14ac:dyDescent="0.25">
      <c r="I190" t="s">
        <v>179</v>
      </c>
      <c r="J190" t="s">
        <v>290</v>
      </c>
      <c r="K190">
        <v>2.1587541996827397E-2</v>
      </c>
      <c r="L190" t="s">
        <v>154</v>
      </c>
    </row>
    <row r="191" spans="9:12" x14ac:dyDescent="0.25">
      <c r="I191" t="s">
        <v>180</v>
      </c>
      <c r="J191" t="s">
        <v>279</v>
      </c>
      <c r="K191">
        <v>0.23660709092292759</v>
      </c>
      <c r="L191" t="s">
        <v>154</v>
      </c>
    </row>
    <row r="192" spans="9:12" x14ac:dyDescent="0.25">
      <c r="I192" t="s">
        <v>180</v>
      </c>
      <c r="J192" t="s">
        <v>280</v>
      </c>
      <c r="K192">
        <v>0</v>
      </c>
      <c r="L192" t="s">
        <v>154</v>
      </c>
    </row>
    <row r="193" spans="9:12" x14ac:dyDescent="0.25">
      <c r="I193" t="s">
        <v>180</v>
      </c>
      <c r="J193" t="s">
        <v>281</v>
      </c>
      <c r="K193">
        <v>1.693346000226029E-2</v>
      </c>
      <c r="L193" t="s">
        <v>154</v>
      </c>
    </row>
    <row r="194" spans="9:12" x14ac:dyDescent="0.25">
      <c r="I194" t="s">
        <v>180</v>
      </c>
      <c r="J194" t="s">
        <v>282</v>
      </c>
      <c r="K194">
        <v>0.25420353018813441</v>
      </c>
      <c r="L194" t="s">
        <v>154</v>
      </c>
    </row>
    <row r="195" spans="9:12" x14ac:dyDescent="0.25">
      <c r="I195" t="s">
        <v>180</v>
      </c>
      <c r="J195" t="s">
        <v>283</v>
      </c>
      <c r="K195">
        <v>0</v>
      </c>
      <c r="L195" t="s">
        <v>154</v>
      </c>
    </row>
    <row r="196" spans="9:12" x14ac:dyDescent="0.25">
      <c r="I196" t="s">
        <v>180</v>
      </c>
      <c r="J196" t="s">
        <v>284</v>
      </c>
      <c r="K196">
        <v>2.5275325249788001E-2</v>
      </c>
      <c r="L196" t="s">
        <v>154</v>
      </c>
    </row>
    <row r="197" spans="9:12" x14ac:dyDescent="0.25">
      <c r="I197" t="s">
        <v>180</v>
      </c>
      <c r="J197" t="s">
        <v>285</v>
      </c>
      <c r="K197">
        <v>0.2223384261766741</v>
      </c>
      <c r="L197" t="s">
        <v>154</v>
      </c>
    </row>
    <row r="198" spans="9:12" x14ac:dyDescent="0.25">
      <c r="I198" t="s">
        <v>180</v>
      </c>
      <c r="J198" t="s">
        <v>286</v>
      </c>
      <c r="K198">
        <v>0</v>
      </c>
      <c r="L198" t="s">
        <v>154</v>
      </c>
    </row>
    <row r="199" spans="9:12" x14ac:dyDescent="0.25">
      <c r="I199" t="s">
        <v>180</v>
      </c>
      <c r="J199" t="s">
        <v>287</v>
      </c>
      <c r="K199">
        <v>2.0209248139478254E-2</v>
      </c>
      <c r="L199" t="s">
        <v>154</v>
      </c>
    </row>
    <row r="200" spans="9:12" x14ac:dyDescent="0.25">
      <c r="I200" t="s">
        <v>180</v>
      </c>
      <c r="J200" t="s">
        <v>288</v>
      </c>
      <c r="K200">
        <v>0.2020329290867767</v>
      </c>
      <c r="L200" t="s">
        <v>154</v>
      </c>
    </row>
    <row r="201" spans="9:12" x14ac:dyDescent="0.25">
      <c r="I201" t="s">
        <v>180</v>
      </c>
      <c r="J201" t="s">
        <v>289</v>
      </c>
      <c r="K201">
        <v>0</v>
      </c>
      <c r="L201" t="s">
        <v>154</v>
      </c>
    </row>
    <row r="202" spans="9:12" x14ac:dyDescent="0.25">
      <c r="I202" t="s">
        <v>180</v>
      </c>
      <c r="J202" t="s">
        <v>290</v>
      </c>
      <c r="K202">
        <v>2.2399990233960124E-2</v>
      </c>
      <c r="L202" t="s">
        <v>154</v>
      </c>
    </row>
    <row r="203" spans="9:12" x14ac:dyDescent="0.25">
      <c r="I203" t="s">
        <v>181</v>
      </c>
      <c r="J203" t="s">
        <v>279</v>
      </c>
      <c r="K203">
        <v>0.23400241369526389</v>
      </c>
      <c r="L203" t="s">
        <v>154</v>
      </c>
    </row>
    <row r="204" spans="9:12" x14ac:dyDescent="0.25">
      <c r="I204" t="s">
        <v>181</v>
      </c>
      <c r="J204" t="s">
        <v>280</v>
      </c>
      <c r="K204">
        <v>0</v>
      </c>
      <c r="L204" t="s">
        <v>154</v>
      </c>
    </row>
    <row r="205" spans="9:12" x14ac:dyDescent="0.25">
      <c r="I205" t="s">
        <v>181</v>
      </c>
      <c r="J205" t="s">
        <v>281</v>
      </c>
      <c r="K205">
        <v>2.1143534390881555E-2</v>
      </c>
      <c r="L205" t="s">
        <v>154</v>
      </c>
    </row>
    <row r="206" spans="9:12" x14ac:dyDescent="0.25">
      <c r="I206" t="s">
        <v>181</v>
      </c>
      <c r="J206" t="s">
        <v>282</v>
      </c>
      <c r="K206">
        <v>0.25241105942694642</v>
      </c>
      <c r="L206" t="s">
        <v>154</v>
      </c>
    </row>
    <row r="207" spans="9:12" x14ac:dyDescent="0.25">
      <c r="I207" t="s">
        <v>181</v>
      </c>
      <c r="J207" t="s">
        <v>283</v>
      </c>
      <c r="K207">
        <v>0</v>
      </c>
      <c r="L207" t="s">
        <v>154</v>
      </c>
    </row>
    <row r="208" spans="9:12" x14ac:dyDescent="0.25">
      <c r="I208" t="s">
        <v>181</v>
      </c>
      <c r="J208" t="s">
        <v>284</v>
      </c>
      <c r="K208">
        <v>2.7559344151869978E-2</v>
      </c>
      <c r="L208" t="s">
        <v>154</v>
      </c>
    </row>
    <row r="209" spans="9:12" x14ac:dyDescent="0.25">
      <c r="I209" t="s">
        <v>181</v>
      </c>
      <c r="J209" t="s">
        <v>285</v>
      </c>
      <c r="K209">
        <v>0.23814778075274604</v>
      </c>
      <c r="L209" t="s">
        <v>154</v>
      </c>
    </row>
    <row r="210" spans="9:12" x14ac:dyDescent="0.25">
      <c r="I210" t="s">
        <v>181</v>
      </c>
      <c r="J210" t="s">
        <v>286</v>
      </c>
      <c r="K210">
        <v>0</v>
      </c>
      <c r="L210" t="s">
        <v>154</v>
      </c>
    </row>
    <row r="211" spans="9:12" x14ac:dyDescent="0.25">
      <c r="I211" t="s">
        <v>181</v>
      </c>
      <c r="J211" t="s">
        <v>287</v>
      </c>
      <c r="K211">
        <v>2.6041542910076824E-2</v>
      </c>
      <c r="L211" t="s">
        <v>154</v>
      </c>
    </row>
    <row r="212" spans="9:12" x14ac:dyDescent="0.25">
      <c r="I212" t="s">
        <v>181</v>
      </c>
      <c r="J212" t="s">
        <v>288</v>
      </c>
      <c r="K212">
        <v>0.18168221903079176</v>
      </c>
      <c r="L212" t="s">
        <v>154</v>
      </c>
    </row>
    <row r="213" spans="9:12" x14ac:dyDescent="0.25">
      <c r="I213" t="s">
        <v>181</v>
      </c>
      <c r="J213" t="s">
        <v>289</v>
      </c>
      <c r="K213">
        <v>0</v>
      </c>
      <c r="L213" t="s">
        <v>154</v>
      </c>
    </row>
    <row r="214" spans="9:12" x14ac:dyDescent="0.25">
      <c r="I214" t="s">
        <v>181</v>
      </c>
      <c r="J214" t="s">
        <v>290</v>
      </c>
      <c r="K214">
        <v>1.9012105641424411E-2</v>
      </c>
      <c r="L214" t="s">
        <v>154</v>
      </c>
    </row>
    <row r="215" spans="9:12" x14ac:dyDescent="0.25">
      <c r="I215" t="s">
        <v>182</v>
      </c>
      <c r="J215" t="s">
        <v>279</v>
      </c>
      <c r="K215">
        <v>0.22864228104275897</v>
      </c>
      <c r="L215" t="s">
        <v>154</v>
      </c>
    </row>
    <row r="216" spans="9:12" x14ac:dyDescent="0.25">
      <c r="I216" t="s">
        <v>182</v>
      </c>
      <c r="J216" t="s">
        <v>280</v>
      </c>
      <c r="K216">
        <v>0</v>
      </c>
      <c r="L216" t="s">
        <v>154</v>
      </c>
    </row>
    <row r="217" spans="9:12" x14ac:dyDescent="0.25">
      <c r="I217" t="s">
        <v>182</v>
      </c>
      <c r="J217" t="s">
        <v>281</v>
      </c>
      <c r="K217">
        <v>2.1585371624305221E-2</v>
      </c>
      <c r="L217" t="s">
        <v>154</v>
      </c>
    </row>
    <row r="218" spans="9:12" x14ac:dyDescent="0.25">
      <c r="I218" t="s">
        <v>182</v>
      </c>
      <c r="J218" t="s">
        <v>282</v>
      </c>
      <c r="K218">
        <v>0.24169961778460963</v>
      </c>
      <c r="L218" t="s">
        <v>154</v>
      </c>
    </row>
    <row r="219" spans="9:12" x14ac:dyDescent="0.25">
      <c r="I219" t="s">
        <v>182</v>
      </c>
      <c r="J219" t="s">
        <v>283</v>
      </c>
      <c r="K219">
        <v>0</v>
      </c>
      <c r="L219" t="s">
        <v>154</v>
      </c>
    </row>
    <row r="220" spans="9:12" x14ac:dyDescent="0.25">
      <c r="I220" t="s">
        <v>182</v>
      </c>
      <c r="J220" t="s">
        <v>284</v>
      </c>
      <c r="K220">
        <v>2.6073017940645475E-2</v>
      </c>
      <c r="L220" t="s">
        <v>154</v>
      </c>
    </row>
    <row r="221" spans="9:12" x14ac:dyDescent="0.25">
      <c r="I221" t="s">
        <v>182</v>
      </c>
      <c r="J221" t="s">
        <v>285</v>
      </c>
      <c r="K221">
        <v>0.23310771728643334</v>
      </c>
      <c r="L221" t="s">
        <v>154</v>
      </c>
    </row>
    <row r="222" spans="9:12" x14ac:dyDescent="0.25">
      <c r="I222" t="s">
        <v>182</v>
      </c>
      <c r="J222" t="s">
        <v>286</v>
      </c>
      <c r="K222">
        <v>0</v>
      </c>
      <c r="L222" t="s">
        <v>154</v>
      </c>
    </row>
    <row r="223" spans="9:12" x14ac:dyDescent="0.25">
      <c r="I223" t="s">
        <v>182</v>
      </c>
      <c r="J223" t="s">
        <v>287</v>
      </c>
      <c r="K223">
        <v>2.6845120425009007E-2</v>
      </c>
      <c r="L223" t="s">
        <v>154</v>
      </c>
    </row>
    <row r="224" spans="9:12" x14ac:dyDescent="0.25">
      <c r="I224" t="s">
        <v>182</v>
      </c>
      <c r="J224" t="s">
        <v>288</v>
      </c>
      <c r="K224">
        <v>0.20089555701466344</v>
      </c>
      <c r="L224" t="s">
        <v>154</v>
      </c>
    </row>
    <row r="225" spans="9:12" x14ac:dyDescent="0.25">
      <c r="I225" t="s">
        <v>182</v>
      </c>
      <c r="J225" t="s">
        <v>289</v>
      </c>
      <c r="K225">
        <v>0</v>
      </c>
      <c r="L225" t="s">
        <v>154</v>
      </c>
    </row>
    <row r="226" spans="9:12" x14ac:dyDescent="0.25">
      <c r="I226" t="s">
        <v>182</v>
      </c>
      <c r="J226" t="s">
        <v>290</v>
      </c>
      <c r="K226">
        <v>2.1151316881573071E-2</v>
      </c>
      <c r="L226" t="s">
        <v>154</v>
      </c>
    </row>
    <row r="227" spans="9:12" x14ac:dyDescent="0.25">
      <c r="I227" t="s">
        <v>183</v>
      </c>
      <c r="J227" t="s">
        <v>279</v>
      </c>
      <c r="K227">
        <v>0.22904853842479453</v>
      </c>
      <c r="L227" t="s">
        <v>154</v>
      </c>
    </row>
    <row r="228" spans="9:12" x14ac:dyDescent="0.25">
      <c r="I228" t="s">
        <v>183</v>
      </c>
      <c r="J228" t="s">
        <v>280</v>
      </c>
      <c r="K228">
        <v>0</v>
      </c>
      <c r="L228" t="s">
        <v>154</v>
      </c>
    </row>
    <row r="229" spans="9:12" x14ac:dyDescent="0.25">
      <c r="I229" t="s">
        <v>183</v>
      </c>
      <c r="J229" t="s">
        <v>281</v>
      </c>
      <c r="K229">
        <v>1.9226624275701012E-2</v>
      </c>
      <c r="L229" t="s">
        <v>154</v>
      </c>
    </row>
    <row r="230" spans="9:12" x14ac:dyDescent="0.25">
      <c r="I230" t="s">
        <v>183</v>
      </c>
      <c r="J230" t="s">
        <v>282</v>
      </c>
      <c r="K230">
        <v>0.24616823215941364</v>
      </c>
      <c r="L230" t="s">
        <v>154</v>
      </c>
    </row>
    <row r="231" spans="9:12" x14ac:dyDescent="0.25">
      <c r="I231" t="s">
        <v>183</v>
      </c>
      <c r="J231" t="s">
        <v>283</v>
      </c>
      <c r="K231">
        <v>0</v>
      </c>
      <c r="L231" t="s">
        <v>154</v>
      </c>
    </row>
    <row r="232" spans="9:12" x14ac:dyDescent="0.25">
      <c r="I232" t="s">
        <v>183</v>
      </c>
      <c r="J232" t="s">
        <v>284</v>
      </c>
      <c r="K232">
        <v>2.4020702705580446E-2</v>
      </c>
      <c r="L232" t="s">
        <v>154</v>
      </c>
    </row>
    <row r="233" spans="9:12" x14ac:dyDescent="0.25">
      <c r="I233" t="s">
        <v>183</v>
      </c>
      <c r="J233" t="s">
        <v>285</v>
      </c>
      <c r="K233">
        <v>0.23838383071541525</v>
      </c>
      <c r="L233" t="s">
        <v>154</v>
      </c>
    </row>
    <row r="234" spans="9:12" x14ac:dyDescent="0.25">
      <c r="I234" t="s">
        <v>183</v>
      </c>
      <c r="J234" t="s">
        <v>286</v>
      </c>
      <c r="K234">
        <v>0</v>
      </c>
      <c r="L234" t="s">
        <v>154</v>
      </c>
    </row>
    <row r="235" spans="9:12" x14ac:dyDescent="0.25">
      <c r="I235" t="s">
        <v>183</v>
      </c>
      <c r="J235" t="s">
        <v>287</v>
      </c>
      <c r="K235">
        <v>2.6189484107133967E-2</v>
      </c>
      <c r="L235" t="s">
        <v>154</v>
      </c>
    </row>
    <row r="236" spans="9:12" x14ac:dyDescent="0.25">
      <c r="I236" t="s">
        <v>183</v>
      </c>
      <c r="J236" t="s">
        <v>288</v>
      </c>
      <c r="K236">
        <v>0.19838893358900819</v>
      </c>
      <c r="L236" t="s">
        <v>154</v>
      </c>
    </row>
    <row r="237" spans="9:12" x14ac:dyDescent="0.25">
      <c r="I237" t="s">
        <v>183</v>
      </c>
      <c r="J237" t="s">
        <v>289</v>
      </c>
      <c r="K237">
        <v>0</v>
      </c>
      <c r="L237" t="s">
        <v>154</v>
      </c>
    </row>
    <row r="238" spans="9:12" x14ac:dyDescent="0.25">
      <c r="I238" t="s">
        <v>183</v>
      </c>
      <c r="J238" t="s">
        <v>290</v>
      </c>
      <c r="K238">
        <v>1.8573654022951157E-2</v>
      </c>
      <c r="L238" t="s">
        <v>154</v>
      </c>
    </row>
    <row r="239" spans="9:12" x14ac:dyDescent="0.25">
      <c r="I239" t="s">
        <v>184</v>
      </c>
      <c r="J239" t="s">
        <v>279</v>
      </c>
      <c r="K239">
        <v>0.23001896363425653</v>
      </c>
      <c r="L239" t="s">
        <v>154</v>
      </c>
    </row>
    <row r="240" spans="9:12" x14ac:dyDescent="0.25">
      <c r="I240" t="s">
        <v>184</v>
      </c>
      <c r="J240" t="s">
        <v>280</v>
      </c>
      <c r="K240">
        <v>0</v>
      </c>
      <c r="L240" t="s">
        <v>154</v>
      </c>
    </row>
    <row r="241" spans="9:12" x14ac:dyDescent="0.25">
      <c r="I241" t="s">
        <v>184</v>
      </c>
      <c r="J241" t="s">
        <v>281</v>
      </c>
      <c r="K241">
        <v>1.8277062596691412E-2</v>
      </c>
      <c r="L241" t="s">
        <v>154</v>
      </c>
    </row>
    <row r="242" spans="9:12" x14ac:dyDescent="0.25">
      <c r="I242" t="s">
        <v>184</v>
      </c>
      <c r="J242" t="s">
        <v>282</v>
      </c>
      <c r="K242">
        <v>0.2497330348677497</v>
      </c>
      <c r="L242" t="s">
        <v>154</v>
      </c>
    </row>
    <row r="243" spans="9:12" x14ac:dyDescent="0.25">
      <c r="I243" t="s">
        <v>184</v>
      </c>
      <c r="J243" t="s">
        <v>283</v>
      </c>
      <c r="K243">
        <v>0</v>
      </c>
      <c r="L243" t="s">
        <v>154</v>
      </c>
    </row>
    <row r="244" spans="9:12" x14ac:dyDescent="0.25">
      <c r="I244" t="s">
        <v>184</v>
      </c>
      <c r="J244" t="s">
        <v>284</v>
      </c>
      <c r="K244">
        <v>2.5095776673991054E-2</v>
      </c>
      <c r="L244" t="s">
        <v>154</v>
      </c>
    </row>
    <row r="245" spans="9:12" x14ac:dyDescent="0.25">
      <c r="I245" t="s">
        <v>184</v>
      </c>
      <c r="J245" t="s">
        <v>285</v>
      </c>
      <c r="K245">
        <v>0.2371660357187037</v>
      </c>
      <c r="L245" t="s">
        <v>154</v>
      </c>
    </row>
    <row r="246" spans="9:12" x14ac:dyDescent="0.25">
      <c r="I246" t="s">
        <v>184</v>
      </c>
      <c r="J246" t="s">
        <v>286</v>
      </c>
      <c r="K246">
        <v>0</v>
      </c>
      <c r="L246" t="s">
        <v>154</v>
      </c>
    </row>
    <row r="247" spans="9:12" x14ac:dyDescent="0.25">
      <c r="I247" t="s">
        <v>184</v>
      </c>
      <c r="J247" t="s">
        <v>287</v>
      </c>
      <c r="K247">
        <v>2.4526841568187262E-2</v>
      </c>
      <c r="L247" t="s">
        <v>154</v>
      </c>
    </row>
    <row r="248" spans="9:12" x14ac:dyDescent="0.25">
      <c r="I248" t="s">
        <v>184</v>
      </c>
      <c r="J248" t="s">
        <v>288</v>
      </c>
      <c r="K248">
        <v>0.19755987887234858</v>
      </c>
      <c r="L248" t="s">
        <v>154</v>
      </c>
    </row>
    <row r="249" spans="9:12" x14ac:dyDescent="0.25">
      <c r="I249" t="s">
        <v>184</v>
      </c>
      <c r="J249" t="s">
        <v>289</v>
      </c>
      <c r="K249">
        <v>0</v>
      </c>
      <c r="L249" t="s">
        <v>154</v>
      </c>
    </row>
    <row r="250" spans="9:12" x14ac:dyDescent="0.25">
      <c r="I250" t="s">
        <v>184</v>
      </c>
      <c r="J250" t="s">
        <v>290</v>
      </c>
      <c r="K250">
        <v>1.7622406068074695E-2</v>
      </c>
      <c r="L250" t="s">
        <v>154</v>
      </c>
    </row>
    <row r="251" spans="9:12" x14ac:dyDescent="0.25">
      <c r="I251" t="s">
        <v>185</v>
      </c>
      <c r="J251" t="s">
        <v>279</v>
      </c>
      <c r="K251">
        <v>0.23169778284356871</v>
      </c>
      <c r="L251" t="s">
        <v>154</v>
      </c>
    </row>
    <row r="252" spans="9:12" x14ac:dyDescent="0.25">
      <c r="I252" t="s">
        <v>185</v>
      </c>
      <c r="J252" t="s">
        <v>280</v>
      </c>
      <c r="K252">
        <v>0</v>
      </c>
      <c r="L252" t="s">
        <v>154</v>
      </c>
    </row>
    <row r="253" spans="9:12" x14ac:dyDescent="0.25">
      <c r="I253" t="s">
        <v>185</v>
      </c>
      <c r="J253" t="s">
        <v>281</v>
      </c>
      <c r="K253">
        <v>1.5828294235023289E-2</v>
      </c>
      <c r="L253" t="s">
        <v>154</v>
      </c>
    </row>
    <row r="254" spans="9:12" x14ac:dyDescent="0.25">
      <c r="I254" t="s">
        <v>185</v>
      </c>
      <c r="J254" t="s">
        <v>282</v>
      </c>
      <c r="K254">
        <v>0.25913580678176318</v>
      </c>
      <c r="L254" t="s">
        <v>154</v>
      </c>
    </row>
    <row r="255" spans="9:12" x14ac:dyDescent="0.25">
      <c r="I255" t="s">
        <v>185</v>
      </c>
      <c r="J255" t="s">
        <v>283</v>
      </c>
      <c r="K255">
        <v>0</v>
      </c>
      <c r="L255" t="s">
        <v>154</v>
      </c>
    </row>
    <row r="256" spans="9:12" x14ac:dyDescent="0.25">
      <c r="I256" t="s">
        <v>185</v>
      </c>
      <c r="J256" t="s">
        <v>284</v>
      </c>
      <c r="K256">
        <v>2.3671775433162925E-2</v>
      </c>
      <c r="L256" t="s">
        <v>154</v>
      </c>
    </row>
    <row r="257" spans="9:12" x14ac:dyDescent="0.25">
      <c r="I257" t="s">
        <v>185</v>
      </c>
      <c r="J257" t="s">
        <v>285</v>
      </c>
      <c r="K257">
        <v>0.24658041537535577</v>
      </c>
      <c r="L257" t="s">
        <v>154</v>
      </c>
    </row>
    <row r="258" spans="9:12" x14ac:dyDescent="0.25">
      <c r="I258" t="s">
        <v>185</v>
      </c>
      <c r="J258" t="s">
        <v>286</v>
      </c>
      <c r="K258">
        <v>0</v>
      </c>
      <c r="L258" t="s">
        <v>154</v>
      </c>
    </row>
    <row r="259" spans="9:12" x14ac:dyDescent="0.25">
      <c r="I259" t="s">
        <v>185</v>
      </c>
      <c r="J259" t="s">
        <v>287</v>
      </c>
      <c r="K259">
        <v>2.1536047480096961E-2</v>
      </c>
      <c r="L259" t="s">
        <v>154</v>
      </c>
    </row>
    <row r="260" spans="9:12" x14ac:dyDescent="0.25">
      <c r="I260" t="s">
        <v>185</v>
      </c>
      <c r="J260" t="s">
        <v>288</v>
      </c>
      <c r="K260">
        <v>0.1833409388954032</v>
      </c>
      <c r="L260" t="s">
        <v>154</v>
      </c>
    </row>
    <row r="261" spans="9:12" x14ac:dyDescent="0.25">
      <c r="I261" t="s">
        <v>185</v>
      </c>
      <c r="J261" t="s">
        <v>289</v>
      </c>
      <c r="K261">
        <v>0</v>
      </c>
      <c r="L261" t="s">
        <v>154</v>
      </c>
    </row>
    <row r="262" spans="9:12" x14ac:dyDescent="0.25">
      <c r="I262" t="s">
        <v>185</v>
      </c>
      <c r="J262" t="s">
        <v>290</v>
      </c>
      <c r="K262">
        <v>1.8208938955626856E-2</v>
      </c>
      <c r="L262" t="s">
        <v>154</v>
      </c>
    </row>
    <row r="263" spans="9:12" x14ac:dyDescent="0.25">
      <c r="I263" t="s">
        <v>186</v>
      </c>
      <c r="J263" t="s">
        <v>279</v>
      </c>
      <c r="K263">
        <v>0.22730860256527891</v>
      </c>
      <c r="L263" t="s">
        <v>154</v>
      </c>
    </row>
    <row r="264" spans="9:12" x14ac:dyDescent="0.25">
      <c r="I264" t="s">
        <v>186</v>
      </c>
      <c r="J264" t="s">
        <v>280</v>
      </c>
      <c r="K264">
        <v>0</v>
      </c>
      <c r="L264" t="s">
        <v>154</v>
      </c>
    </row>
    <row r="265" spans="9:12" x14ac:dyDescent="0.25">
      <c r="I265" t="s">
        <v>186</v>
      </c>
      <c r="J265" t="s">
        <v>281</v>
      </c>
      <c r="K265">
        <v>1.4097321673021766E-2</v>
      </c>
      <c r="L265" t="s">
        <v>154</v>
      </c>
    </row>
    <row r="266" spans="9:12" x14ac:dyDescent="0.25">
      <c r="I266" t="s">
        <v>186</v>
      </c>
      <c r="J266" t="s">
        <v>282</v>
      </c>
      <c r="K266">
        <v>0.25635006404216187</v>
      </c>
      <c r="L266" t="s">
        <v>154</v>
      </c>
    </row>
    <row r="267" spans="9:12" x14ac:dyDescent="0.25">
      <c r="I267" t="s">
        <v>186</v>
      </c>
      <c r="J267" t="s">
        <v>283</v>
      </c>
      <c r="K267">
        <v>0</v>
      </c>
      <c r="L267" t="s">
        <v>154</v>
      </c>
    </row>
    <row r="268" spans="9:12" x14ac:dyDescent="0.25">
      <c r="I268" t="s">
        <v>186</v>
      </c>
      <c r="J268" t="s">
        <v>284</v>
      </c>
      <c r="K268">
        <v>2.3019499782802356E-2</v>
      </c>
      <c r="L268" t="s">
        <v>154</v>
      </c>
    </row>
    <row r="269" spans="9:12" x14ac:dyDescent="0.25">
      <c r="I269" t="s">
        <v>186</v>
      </c>
      <c r="J269" t="s">
        <v>285</v>
      </c>
      <c r="K269">
        <v>0.23835878034850072</v>
      </c>
      <c r="L269" t="s">
        <v>154</v>
      </c>
    </row>
    <row r="270" spans="9:12" x14ac:dyDescent="0.25">
      <c r="I270" t="s">
        <v>186</v>
      </c>
      <c r="J270" t="s">
        <v>286</v>
      </c>
      <c r="K270">
        <v>0</v>
      </c>
      <c r="L270" t="s">
        <v>154</v>
      </c>
    </row>
    <row r="271" spans="9:12" x14ac:dyDescent="0.25">
      <c r="I271" t="s">
        <v>186</v>
      </c>
      <c r="J271" t="s">
        <v>287</v>
      </c>
      <c r="K271">
        <v>2.0895095540483358E-2</v>
      </c>
      <c r="L271" t="s">
        <v>154</v>
      </c>
    </row>
    <row r="272" spans="9:12" x14ac:dyDescent="0.25">
      <c r="I272" t="s">
        <v>186</v>
      </c>
      <c r="J272" t="s">
        <v>288</v>
      </c>
      <c r="K272">
        <v>0.20282473814420193</v>
      </c>
      <c r="L272" t="s">
        <v>154</v>
      </c>
    </row>
    <row r="273" spans="9:12" x14ac:dyDescent="0.25">
      <c r="I273" t="s">
        <v>186</v>
      </c>
      <c r="J273" t="s">
        <v>289</v>
      </c>
      <c r="K273">
        <v>0</v>
      </c>
      <c r="L273" t="s">
        <v>154</v>
      </c>
    </row>
    <row r="274" spans="9:12" x14ac:dyDescent="0.25">
      <c r="I274" t="s">
        <v>186</v>
      </c>
      <c r="J274" t="s">
        <v>290</v>
      </c>
      <c r="K274">
        <v>1.7145897903547268E-2</v>
      </c>
      <c r="L274" t="s">
        <v>154</v>
      </c>
    </row>
    <row r="275" spans="9:12" x14ac:dyDescent="0.25">
      <c r="I275" t="s">
        <v>187</v>
      </c>
      <c r="J275" t="s">
        <v>279</v>
      </c>
      <c r="K275">
        <v>0.22409525962956636</v>
      </c>
      <c r="L275" t="s">
        <v>154</v>
      </c>
    </row>
    <row r="276" spans="9:12" x14ac:dyDescent="0.25">
      <c r="I276" t="s">
        <v>187</v>
      </c>
      <c r="J276" t="s">
        <v>280</v>
      </c>
      <c r="K276">
        <v>0</v>
      </c>
      <c r="L276" t="s">
        <v>154</v>
      </c>
    </row>
    <row r="277" spans="9:12" x14ac:dyDescent="0.25">
      <c r="I277" t="s">
        <v>187</v>
      </c>
      <c r="J277" t="s">
        <v>281</v>
      </c>
      <c r="K277">
        <v>1.5052682714560669E-2</v>
      </c>
      <c r="L277" t="s">
        <v>154</v>
      </c>
    </row>
    <row r="278" spans="9:12" x14ac:dyDescent="0.25">
      <c r="I278" t="s">
        <v>187</v>
      </c>
      <c r="J278" t="s">
        <v>282</v>
      </c>
      <c r="K278">
        <v>0.25812004612659817</v>
      </c>
      <c r="L278" t="s">
        <v>154</v>
      </c>
    </row>
    <row r="279" spans="9:12" x14ac:dyDescent="0.25">
      <c r="I279" t="s">
        <v>187</v>
      </c>
      <c r="J279" t="s">
        <v>283</v>
      </c>
      <c r="K279">
        <v>0</v>
      </c>
      <c r="L279" t="s">
        <v>154</v>
      </c>
    </row>
    <row r="280" spans="9:12" x14ac:dyDescent="0.25">
      <c r="I280" t="s">
        <v>187</v>
      </c>
      <c r="J280" t="s">
        <v>284</v>
      </c>
      <c r="K280">
        <v>2.2669873106704232E-2</v>
      </c>
      <c r="L280" t="s">
        <v>154</v>
      </c>
    </row>
    <row r="281" spans="9:12" x14ac:dyDescent="0.25">
      <c r="I281" t="s">
        <v>187</v>
      </c>
      <c r="J281" t="s">
        <v>285</v>
      </c>
      <c r="K281">
        <v>0.2415662451282746</v>
      </c>
      <c r="L281" t="s">
        <v>154</v>
      </c>
    </row>
    <row r="282" spans="9:12" x14ac:dyDescent="0.25">
      <c r="I282" t="s">
        <v>187</v>
      </c>
      <c r="J282" t="s">
        <v>286</v>
      </c>
      <c r="K282">
        <v>0</v>
      </c>
      <c r="L282" t="s">
        <v>154</v>
      </c>
    </row>
    <row r="283" spans="9:12" x14ac:dyDescent="0.25">
      <c r="I283" t="s">
        <v>187</v>
      </c>
      <c r="J283" t="s">
        <v>287</v>
      </c>
      <c r="K283">
        <v>2.0585520140387399E-2</v>
      </c>
      <c r="L283" t="s">
        <v>154</v>
      </c>
    </row>
    <row r="284" spans="9:12" x14ac:dyDescent="0.25">
      <c r="I284" t="s">
        <v>187</v>
      </c>
      <c r="J284" t="s">
        <v>288</v>
      </c>
      <c r="K284">
        <v>0.19800780191784087</v>
      </c>
      <c r="L284" t="s">
        <v>154</v>
      </c>
    </row>
    <row r="285" spans="9:12" x14ac:dyDescent="0.25">
      <c r="I285" t="s">
        <v>187</v>
      </c>
      <c r="J285" t="s">
        <v>289</v>
      </c>
      <c r="K285">
        <v>0</v>
      </c>
      <c r="L285" t="s">
        <v>154</v>
      </c>
    </row>
    <row r="286" spans="9:12" x14ac:dyDescent="0.25">
      <c r="I286" t="s">
        <v>187</v>
      </c>
      <c r="J286" t="s">
        <v>290</v>
      </c>
      <c r="K286">
        <v>1.9902571236069349E-2</v>
      </c>
      <c r="L286" t="s">
        <v>154</v>
      </c>
    </row>
    <row r="287" spans="9:12" x14ac:dyDescent="0.25">
      <c r="I287" t="s">
        <v>188</v>
      </c>
      <c r="J287" t="s">
        <v>279</v>
      </c>
      <c r="K287">
        <v>0.22789771008476509</v>
      </c>
      <c r="L287" t="s">
        <v>154</v>
      </c>
    </row>
    <row r="288" spans="9:12" x14ac:dyDescent="0.25">
      <c r="I288" t="s">
        <v>188</v>
      </c>
      <c r="J288" t="s">
        <v>280</v>
      </c>
      <c r="K288">
        <v>0</v>
      </c>
      <c r="L288" t="s">
        <v>154</v>
      </c>
    </row>
    <row r="289" spans="9:12" x14ac:dyDescent="0.25">
      <c r="I289" t="s">
        <v>188</v>
      </c>
      <c r="J289" t="s">
        <v>281</v>
      </c>
      <c r="K289">
        <v>1.9147758883436516E-2</v>
      </c>
      <c r="L289" t="s">
        <v>154</v>
      </c>
    </row>
    <row r="290" spans="9:12" x14ac:dyDescent="0.25">
      <c r="I290" t="s">
        <v>188</v>
      </c>
      <c r="J290" t="s">
        <v>282</v>
      </c>
      <c r="K290">
        <v>0.25712128346624008</v>
      </c>
      <c r="L290" t="s">
        <v>154</v>
      </c>
    </row>
    <row r="291" spans="9:12" x14ac:dyDescent="0.25">
      <c r="I291" t="s">
        <v>188</v>
      </c>
      <c r="J291" t="s">
        <v>283</v>
      </c>
      <c r="K291">
        <v>0</v>
      </c>
      <c r="L291" t="s">
        <v>154</v>
      </c>
    </row>
    <row r="292" spans="9:12" x14ac:dyDescent="0.25">
      <c r="I292" t="s">
        <v>188</v>
      </c>
      <c r="J292" t="s">
        <v>284</v>
      </c>
      <c r="K292">
        <v>2.8401977182548683E-2</v>
      </c>
      <c r="L292" t="s">
        <v>154</v>
      </c>
    </row>
    <row r="293" spans="9:12" x14ac:dyDescent="0.25">
      <c r="I293" t="s">
        <v>188</v>
      </c>
      <c r="J293" t="s">
        <v>285</v>
      </c>
      <c r="K293">
        <v>0.23695558352681803</v>
      </c>
      <c r="L293" t="s">
        <v>154</v>
      </c>
    </row>
    <row r="294" spans="9:12" x14ac:dyDescent="0.25">
      <c r="I294" t="s">
        <v>188</v>
      </c>
      <c r="J294" t="s">
        <v>286</v>
      </c>
      <c r="K294">
        <v>0</v>
      </c>
      <c r="L294" t="s">
        <v>154</v>
      </c>
    </row>
    <row r="295" spans="9:12" x14ac:dyDescent="0.25">
      <c r="I295" t="s">
        <v>188</v>
      </c>
      <c r="J295" t="s">
        <v>287</v>
      </c>
      <c r="K295">
        <v>2.3918201460295312E-2</v>
      </c>
      <c r="L295" t="s">
        <v>154</v>
      </c>
    </row>
    <row r="296" spans="9:12" x14ac:dyDescent="0.25">
      <c r="I296" t="s">
        <v>188</v>
      </c>
      <c r="J296" t="s">
        <v>288</v>
      </c>
      <c r="K296">
        <v>0.18562298801668561</v>
      </c>
      <c r="L296" t="s">
        <v>154</v>
      </c>
    </row>
    <row r="297" spans="9:12" x14ac:dyDescent="0.25">
      <c r="I297" t="s">
        <v>188</v>
      </c>
      <c r="J297" t="s">
        <v>289</v>
      </c>
      <c r="K297">
        <v>0</v>
      </c>
      <c r="L297" t="s">
        <v>154</v>
      </c>
    </row>
    <row r="298" spans="9:12" x14ac:dyDescent="0.25">
      <c r="I298" t="s">
        <v>188</v>
      </c>
      <c r="J298" t="s">
        <v>290</v>
      </c>
      <c r="K298">
        <v>2.0934497379207297E-2</v>
      </c>
      <c r="L29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Veda</vt:lpstr>
      <vt:lpstr>fuel_prices</vt:lpstr>
      <vt:lpstr>iea_data</vt:lpstr>
      <vt:lpstr>ar6_r10</vt:lpstr>
      <vt:lpstr>ev_charging_uc</vt:lpstr>
      <vt:lpstr>ts_012</vt:lpstr>
      <vt:lpstr>ts_024</vt:lpstr>
      <vt:lpstr>ts_036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2026-05-19T11:03:32Z</dcterms:modified>
</cp:coreProperties>
</file>