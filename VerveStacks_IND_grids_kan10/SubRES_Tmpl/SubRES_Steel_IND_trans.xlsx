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bRES_Tmpl\"/>
    </mc:Choice>
  </mc:AlternateContent>
  <xr:revisionPtr revIDLastSave="0" documentId="13_ncr:1_{9C0F7EFF-9777-4648-AA9D-CF0594E1E6A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ocumentation" sheetId="1" r:id="rId1"/>
    <sheet name="AVA" sheetId="2" r:id="rId2"/>
    <sheet name="DEM" sheetId="3" r:id="rId3"/>
    <sheet name="mis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</calcChain>
</file>

<file path=xl/sharedStrings.xml><?xml version="1.0" encoding="utf-8"?>
<sst xmlns="http://schemas.openxmlformats.org/spreadsheetml/2006/main" count="72" uniqueCount="56">
  <si>
    <t>Iron &amp; steel SubRES trans — IND (AVA + DEM)</t>
  </si>
  <si>
    <t>Generated: 2026-08-25</t>
  </si>
  <si>
    <t>Package: vs_sectors/iron_steel  |  emitter: build_phase4.py</t>
  </si>
  <si>
    <t>Template misc copied as-is (NCAP_BND Exist* / slag TOPINS).</t>
  </si>
  <si>
    <t>AVA  - ~TFM_AVA  *[_]IND* -&gt; IND</t>
  </si>
  <si>
    <t xml:space="preserve">       Matches bound names (EXS_BOF_IND_w…_IND still contains _IND).</t>
  </si>
  <si>
    <t xml:space="preserve">       New_* / allregions omitted (greenfield skipped).</t>
  </si>
  <si>
    <t>WACC skipped with New_techs.</t>
  </si>
  <si>
    <t>DEM  - ~TFM_INS-TS  mis_finished_steel Demand, 2019–2050</t>
  </si>
  <si>
    <t xml:space="preserve">       WoodMac: D:\Himanshu\GitHub\VerveStacks\data\GlobalEnergyMonitor\WoodMac_steel-markets-data-file-to-2022.xlsx</t>
  </si>
  <si>
    <t xml:space="preserve">       sheet: Crude Steel Production  Country=India</t>
  </si>
  <si>
    <t xml:space="preserve">       Series is crude steel; rolling yield 0.94 is not applied.</t>
  </si>
  <si>
    <t>Region = ISO. No TIAM_RegionMap.</t>
  </si>
  <si>
    <t>~TFM_AVA</t>
  </si>
  <si>
    <t>pset_pn</t>
  </si>
  <si>
    <t>Region</t>
  </si>
  <si>
    <t>*[_]IND*</t>
  </si>
  <si>
    <t>IND</t>
  </si>
  <si>
    <t>~TFM_INS-TS</t>
  </si>
  <si>
    <t>Commodity</t>
  </si>
  <si>
    <t>Attribute</t>
  </si>
  <si>
    <t>mis_finished_steel</t>
  </si>
  <si>
    <t>Demand</t>
  </si>
  <si>
    <t>~TFM_INS</t>
  </si>
  <si>
    <t>attribute</t>
  </si>
  <si>
    <t>process</t>
  </si>
  <si>
    <t>limtype</t>
  </si>
  <si>
    <t>value</t>
  </si>
  <si>
    <t>year</t>
  </si>
  <si>
    <t>NCAP_BND</t>
  </si>
  <si>
    <t>Exist*</t>
  </si>
  <si>
    <t>UP</t>
  </si>
  <si>
    <t>~TFM_TOPINS-A</t>
  </si>
  <si>
    <t>pset_set</t>
  </si>
  <si>
    <t>pset_co</t>
  </si>
  <si>
    <t>cset_cn</t>
  </si>
  <si>
    <t>io</t>
  </si>
  <si>
    <t>PRE</t>
  </si>
  <si>
    <t>*BF*</t>
  </si>
  <si>
    <t>GASBFG</t>
  </si>
  <si>
    <t>mis_slag</t>
  </si>
  <si>
    <t>OUT</t>
  </si>
  <si>
    <t>other_indexes</t>
  </si>
  <si>
    <t>FLO_EMIS</t>
  </si>
  <si>
    <t>Curr</t>
  </si>
  <si>
    <t>Attrib_Cond</t>
  </si>
  <si>
    <t>LimType</t>
  </si>
  <si>
    <t>Other_Indexes</t>
  </si>
  <si>
    <t>Year</t>
  </si>
  <si>
    <t>AllRegions</t>
  </si>
  <si>
    <t>PSET_SET</t>
  </si>
  <si>
    <t>PSET_PN</t>
  </si>
  <si>
    <t>PSET_CI</t>
  </si>
  <si>
    <t>PASTI</t>
  </si>
  <si>
    <t>FX</t>
  </si>
  <si>
    <t>ELE,CHP,STS,STG,PRE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</si>
</sst>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L4" sqref="L4"/>
    </sheetView>
  </sheetViews>
  <sheetFormatPr defaultRowHeight="15" x14ac:dyDescent="0.25"/>
  <cols>
    <col min="1" max="1" width="100" customWidth="1"/>
  </cols>
  <sheetData>
    <row r="1" spans="1:1" ht="18.75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x14ac:dyDescent="0.25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2" width="10" customWidth="1"/>
  </cols>
  <sheetData>
    <row r="1" spans="1:2" x14ac:dyDescent="0.25">
      <c r="A1" t="s">
        <v>13</v>
      </c>
    </row>
    <row r="2" spans="1:2" x14ac:dyDescent="0.25">
      <c r="A2" s="2" t="s">
        <v>14</v>
      </c>
      <c r="B2" s="2" t="s">
        <v>15</v>
      </c>
    </row>
    <row r="3" spans="1:2" x14ac:dyDescent="0.25">
      <c r="A3" t="s">
        <v>16</v>
      </c>
      <c r="B3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11" customWidth="1"/>
    <col min="4" max="35" width="14" customWidth="1"/>
  </cols>
  <sheetData>
    <row r="1" spans="1:35" x14ac:dyDescent="0.25">
      <c r="A1" t="s">
        <v>18</v>
      </c>
    </row>
    <row r="2" spans="1:35" x14ac:dyDescent="0.25">
      <c r="A2" s="2" t="s">
        <v>15</v>
      </c>
      <c r="B2" s="2" t="s">
        <v>19</v>
      </c>
      <c r="C2" s="2" t="s">
        <v>20</v>
      </c>
      <c r="D2" s="2">
        <v>2019</v>
      </c>
      <c r="E2" s="2">
        <v>2020</v>
      </c>
      <c r="F2" s="2">
        <v>2021</v>
      </c>
      <c r="G2" s="2">
        <v>2022</v>
      </c>
      <c r="H2" s="2">
        <v>2023</v>
      </c>
      <c r="I2" s="2">
        <v>2024</v>
      </c>
      <c r="J2" s="2">
        <v>2025</v>
      </c>
      <c r="K2" s="2">
        <v>2026</v>
      </c>
      <c r="L2" s="2">
        <v>2027</v>
      </c>
      <c r="M2" s="2">
        <v>2028</v>
      </c>
      <c r="N2" s="2">
        <v>2029</v>
      </c>
      <c r="O2" s="2">
        <v>2030</v>
      </c>
      <c r="P2" s="2">
        <v>2031</v>
      </c>
      <c r="Q2" s="2">
        <v>2032</v>
      </c>
      <c r="R2" s="2">
        <v>2033</v>
      </c>
      <c r="S2" s="2">
        <v>2034</v>
      </c>
      <c r="T2" s="2">
        <v>2035</v>
      </c>
      <c r="U2" s="2">
        <v>2036</v>
      </c>
      <c r="V2" s="2">
        <v>2037</v>
      </c>
      <c r="W2" s="2">
        <v>2038</v>
      </c>
      <c r="X2" s="2">
        <v>2039</v>
      </c>
      <c r="Y2" s="2">
        <v>2040</v>
      </c>
      <c r="Z2" s="2">
        <v>2041</v>
      </c>
      <c r="AA2" s="2">
        <v>2042</v>
      </c>
      <c r="AB2" s="2">
        <v>2043</v>
      </c>
      <c r="AC2" s="2">
        <v>2044</v>
      </c>
      <c r="AD2" s="2">
        <v>2045</v>
      </c>
      <c r="AE2" s="2">
        <v>2046</v>
      </c>
      <c r="AF2" s="2">
        <v>2047</v>
      </c>
      <c r="AG2" s="2">
        <v>2048</v>
      </c>
      <c r="AH2" s="2">
        <v>2049</v>
      </c>
      <c r="AI2" s="2">
        <v>2050</v>
      </c>
    </row>
    <row r="3" spans="1:35" x14ac:dyDescent="0.25">
      <c r="A3" t="s">
        <v>17</v>
      </c>
      <c r="B3" t="s">
        <v>21</v>
      </c>
      <c r="C3" t="s">
        <v>22</v>
      </c>
      <c r="D3">
        <v>111.364410591732</v>
      </c>
      <c r="E3">
        <v>100.32088439907599</v>
      </c>
      <c r="F3">
        <v>118.31159316286499</v>
      </c>
      <c r="G3">
        <v>120.537378705297</v>
      </c>
      <c r="H3">
        <v>130.15418132747601</v>
      </c>
      <c r="I3">
        <v>136.17831164561801</v>
      </c>
      <c r="J3">
        <v>144.86980621268501</v>
      </c>
      <c r="K3">
        <v>152.93320442475601</v>
      </c>
      <c r="L3">
        <v>159.78722808489201</v>
      </c>
      <c r="M3">
        <v>167.145211428447</v>
      </c>
      <c r="N3">
        <v>174.89230924861201</v>
      </c>
      <c r="O3">
        <v>182.505089872822</v>
      </c>
      <c r="P3">
        <v>189.71404219356299</v>
      </c>
      <c r="Q3">
        <v>196.80316292881599</v>
      </c>
      <c r="R3">
        <v>204.41796306790101</v>
      </c>
      <c r="S3">
        <v>212.53935263773599</v>
      </c>
      <c r="T3">
        <v>220.56209117366899</v>
      </c>
      <c r="U3">
        <v>229.173298366615</v>
      </c>
      <c r="V3">
        <v>237.78614819364299</v>
      </c>
      <c r="W3">
        <v>246.914550587946</v>
      </c>
      <c r="X3">
        <v>256.60545901701403</v>
      </c>
      <c r="Y3">
        <v>266.93885095168702</v>
      </c>
      <c r="Z3">
        <v>277.25502401530701</v>
      </c>
      <c r="AA3">
        <v>288.11281156660698</v>
      </c>
      <c r="AB3">
        <v>298.75328419469503</v>
      </c>
      <c r="AC3">
        <v>309.26842044027097</v>
      </c>
      <c r="AD3">
        <v>319.77680503612601</v>
      </c>
      <c r="AE3">
        <v>330.191027419492</v>
      </c>
      <c r="AF3">
        <v>340.58033823487199</v>
      </c>
      <c r="AG3">
        <v>350.88447072397798</v>
      </c>
      <c r="AH3">
        <v>361.03363856530598</v>
      </c>
      <c r="AI3">
        <v>370.93199543570103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T16"/>
  <sheetViews>
    <sheetView tabSelected="1" workbookViewId="0">
      <selection activeCell="L13" sqref="L13"/>
    </sheetView>
  </sheetViews>
  <sheetFormatPr defaultRowHeight="15" x14ac:dyDescent="0.25"/>
  <cols>
    <col min="3" max="3" width="13.7109375" bestFit="1" customWidth="1"/>
    <col min="4" max="5" width="7" bestFit="1" customWidth="1"/>
    <col min="6" max="7" width="7.42578125" bestFit="1" customWidth="1"/>
    <col min="8" max="8" width="11.85546875" bestFit="1" customWidth="1"/>
  </cols>
  <sheetData>
    <row r="4" spans="3:20" x14ac:dyDescent="0.25">
      <c r="C4" t="s">
        <v>23</v>
      </c>
      <c r="K4" t="s">
        <v>23</v>
      </c>
    </row>
    <row r="5" spans="3:20" x14ac:dyDescent="0.25">
      <c r="C5" t="s">
        <v>24</v>
      </c>
      <c r="D5" t="s">
        <v>25</v>
      </c>
      <c r="E5" t="s">
        <v>26</v>
      </c>
      <c r="F5" t="s">
        <v>27</v>
      </c>
      <c r="G5" t="s">
        <v>28</v>
      </c>
      <c r="K5" t="s">
        <v>20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</row>
    <row r="6" spans="3:20" x14ac:dyDescent="0.25">
      <c r="C6" t="s">
        <v>29</v>
      </c>
      <c r="D6" t="s">
        <v>30</v>
      </c>
      <c r="E6" t="s">
        <v>31</v>
      </c>
      <c r="F6">
        <v>2</v>
      </c>
      <c r="G6">
        <v>0</v>
      </c>
      <c r="K6" t="s">
        <v>29</v>
      </c>
      <c r="M6" t="s">
        <v>53</v>
      </c>
      <c r="N6" t="s">
        <v>54</v>
      </c>
      <c r="P6">
        <v>0</v>
      </c>
      <c r="Q6">
        <v>2</v>
      </c>
      <c r="R6" t="s">
        <v>55</v>
      </c>
    </row>
    <row r="9" spans="3:20" x14ac:dyDescent="0.25">
      <c r="C9" t="s">
        <v>32</v>
      </c>
    </row>
    <row r="10" spans="3:20" x14ac:dyDescent="0.25">
      <c r="C10" t="s">
        <v>33</v>
      </c>
      <c r="D10" t="s">
        <v>14</v>
      </c>
      <c r="E10" t="s">
        <v>34</v>
      </c>
      <c r="F10" t="s">
        <v>35</v>
      </c>
      <c r="G10" t="s">
        <v>36</v>
      </c>
    </row>
    <row r="11" spans="3:20" x14ac:dyDescent="0.25"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4" spans="3:20" x14ac:dyDescent="0.25">
      <c r="C14" t="s">
        <v>23</v>
      </c>
    </row>
    <row r="15" spans="3:20" x14ac:dyDescent="0.25">
      <c r="C15" t="s">
        <v>24</v>
      </c>
      <c r="D15" t="s">
        <v>14</v>
      </c>
      <c r="E15" t="s">
        <v>34</v>
      </c>
      <c r="F15" t="s">
        <v>27</v>
      </c>
      <c r="G15" t="s">
        <v>35</v>
      </c>
      <c r="H15" t="s">
        <v>42</v>
      </c>
    </row>
    <row r="16" spans="3:20" x14ac:dyDescent="0.25">
      <c r="C16" t="s">
        <v>43</v>
      </c>
      <c r="D16" t="s">
        <v>38</v>
      </c>
      <c r="E16" t="s">
        <v>39</v>
      </c>
      <c r="F16">
        <f>0.27/4</f>
        <v>6.7500000000000004E-2</v>
      </c>
      <c r="G16" t="s">
        <v>40</v>
      </c>
      <c r="H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AVA</vt:lpstr>
      <vt:lpstr>DEM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KanORS-EMR Business Standard</cp:lastModifiedBy>
  <dcterms:created xsi:type="dcterms:W3CDTF">2026-03-18T20:03:32Z</dcterms:created>
  <dcterms:modified xsi:type="dcterms:W3CDTF">2026-08-25T11:34:35Z</dcterms:modified>
</cp:coreProperties>
</file>