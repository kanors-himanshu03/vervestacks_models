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10\SuppXLS\"/>
    </mc:Choice>
  </mc:AlternateContent>
  <xr:revisionPtr revIDLastSave="0" documentId="8_{60EF3A4C-335E-4802-9FC2-3CBC87BC3614}" xr6:coauthVersionLast="47" xr6:coauthVersionMax="47" xr10:uidLastSave="{00000000-0000-0000-0000-000000000000}"/>
  <bookViews>
    <workbookView xWindow="1170" yWindow="1170" windowWidth="21600" windowHeight="11295" firstSheet="4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A11" i="10"/>
  <c r="L9" i="10" s="1"/>
  <c r="A10" i="6"/>
  <c r="H24" i="6" s="1"/>
  <c r="AC9" i="9"/>
  <c r="W9" i="9"/>
  <c r="P9" i="9"/>
  <c r="I9" i="9"/>
  <c r="B9" i="9"/>
  <c r="L9" i="8"/>
  <c r="G9" i="8"/>
  <c r="B9" i="8"/>
  <c r="A11" i="7"/>
  <c r="C9" i="7" s="1"/>
  <c r="H9" i="10" l="1"/>
  <c r="C9" i="10"/>
  <c r="H23" i="6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<sst xmlns="http://schemas.openxmlformats.org/spreadsheetml/2006/main" count="3316" uniqueCount="414">
  <si>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</si>
  <si>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</si>
  <si>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</si>
  <si>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</si>
  <si>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</si>
  <si>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</si>
  <si>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</si>
  <si>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</si>
  <si>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</si>
  <si>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</si>
  <si>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</si>
  <si>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</si>
  <si>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</si>
  <si>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</si>
  <si>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</si>
  <si>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</si>
  <si>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</si>
  <si>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</si>
  <si>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</si>
  <si>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</si>
  <si>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</si>
  <si>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</si>
  <si>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</si>
  <si>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</si>
  <si>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</si>
  <si>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</si>
  <si>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</si>
  <si>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</si>
  <si>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</si>
  <si>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</si>
  <si>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</si>
  <si>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</si>
  <si>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</si>
  <si>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</si>
  <si>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</si>
  <si>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</si>
  <si>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</si>
  <si>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S1</t>
  </si>
  <si>
    <t>a</t>
  </si>
  <si>
    <t>H1</t>
  </si>
  <si>
    <t>S1,S2</t>
  </si>
  <si>
    <t>S2</t>
  </si>
  <si>
    <t>H2</t>
  </si>
  <si>
    <t>ts_04</t>
  </si>
  <si>
    <t>commodity</t>
  </si>
  <si>
    <t>timeslice</t>
  </si>
  <si>
    <t>com_fr</t>
  </si>
  <si>
    <t>process</t>
  </si>
  <si>
    <t>elc_spv_IND_001</t>
  </si>
  <si>
    <t>S1aH1</t>
  </si>
  <si>
    <t>IMPNRGZ</t>
  </si>
  <si>
    <t>S1aH2</t>
  </si>
  <si>
    <t>S2aH1</t>
  </si>
  <si>
    <t>S2aH2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</si>
  <si>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</si>
  <si>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</si>
  <si>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</si>
  <si>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</si>
  <si>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</si>
  <si>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</si>
  <si>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</si>
  <si>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</si>
  <si>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</si>
  <si>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</si>
  <si>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</si>
  <si>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</si>
  <si>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</si>
  <si>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</si>
  <si>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</si>
  <si>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</si>
  <si>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</si>
  <si>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</si>
  <si>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</si>
  <si>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</si>
  <si>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</si>
  <si>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</si>
  <si>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</si>
  <si>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</si>
  <si>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</si>
  <si>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</si>
  <si>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</si>
  <si>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</si>
  <si>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</si>
  <si>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</si>
  <si>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</si>
  <si>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</si>
  <si>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</si>
  <si>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</si>
  <si>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</si>
  <si>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</si>
  <si>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</si>
  <si>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</si>
  <si>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</si>
  <si>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</si>
  <si>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</si>
  <si>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</si>
  <si>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</si>
  <si>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</si>
  <si>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</si>
  <si>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</si>
  <si>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</si>
  <si>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</si>
  <si>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</si>
  <si>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</si>
  <si>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</si>
  <si>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</si>
  <si>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</si>
  <si>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</si>
  <si>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</si>
  <si>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</si>
  <si>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</si>
  <si>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</si>
  <si>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</si>
  <si>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</si>
  <si>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</si>
  <si>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</si>
  <si>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</si>
  <si>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</si>
  <si>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</si>
  <si>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</si>
  <si>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</si>
  <si>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</si>
  <si>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</si>
  <si>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</si>
  <si>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</si>
  <si>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</si>
  <si>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</si>
  <si>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</si>
  <si>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</si>
  <si>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</si>
  <si>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</si>
  <si>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</si>
  <si>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</si>
  <si>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</si>
  <si>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</si>
  <si>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</si>
  <si>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</si>
  <si>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</si>
  <si>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</si>
  <si>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</si>
  <si>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</si>
  <si>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</si>
  <si>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</si>
  <si>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</si>
  <si>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</si>
  <si>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</si>
  <si>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</si>
  <si>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</si>
  <si>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</si>
  <si>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</si>
  <si>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</si>
  <si>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</si>
  <si>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</si>
  <si>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</si>
  <si>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</si>
  <si>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</si>
  <si>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</si>
  <si>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</si>
  <si>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</si>
  <si>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</si>
  <si>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</si>
  <si>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</si>
  <si>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</si>
  <si>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</si>
  <si>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</si>
  <si>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</si>
  <si>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</si>
  <si>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</si>
  <si>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</si>
  <si>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</si>
  <si>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</si>
  <si>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</si>
  <si>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</si>
  <si>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</si>
  <si>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</si>
  <si>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</si>
  <si>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</si>
  <si>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</si>
  <si>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</si>
  <si>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</si>
  <si>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</si>
  <si>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</si>
  <si>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</si>
  <si>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</si>
  <si>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</si>
  <si>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</si>
  <si>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</si>
  <si>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</si>
  <si>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</si>
  <si>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</si>
  <si>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</si>
  <si>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</si>
  <si>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</si>
  <si>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</si>
  <si>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</si>
  <si>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</si>
  <si>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</si>
  <si>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</si>
  <si>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</si>
  <si>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</si>
  <si>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</si>
  <si>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</si>
  <si>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</si>
  <si>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</si>
  <si>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</si>
  <si>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</si>
  <si>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</si>
  <si>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</si>
  <si>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</si>
  <si>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</si>
  <si>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</si>
  <si>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</si>
  <si>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</si>
  <si>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</si>
  <si>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</si>
  <si>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</si>
  <si>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</si>
  <si>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</si>
  <si>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</si>
  <si>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</si>
  <si>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</si>
  <si>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</si>
  <si>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</si>
  <si>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</si>
  <si>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</si>
  <si>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</si>
  <si>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</si>
  <si>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</si>
  <si>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</si>
  <si>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</si>
  <si>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</si>
  <si>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</si>
  <si>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</si>
  <si>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</si>
  <si>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</si>
  <si>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</si>
  <si>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</si>
  <si>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</si>
  <si>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</si>
  <si>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</si>
  <si>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</si>
  <si>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</si>
  <si>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</si>
  <si>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</si>
  <si>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</si>
  <si>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</si>
  <si>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</si>
  <si>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</si>
  <si>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</si>
  <si>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</si>
  <si>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</si>
  <si>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</si>
  <si>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</si>
  <si>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</si>
  <si>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</si>
  <si>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</si>
  <si>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</si>
  <si>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</si>
  <si>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</si>
  <si>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</si>
  <si>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</si>
  <si>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</si>
  <si>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</si>
  <si>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</si>
  <si>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</si>
  <si>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</si>
  <si>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</si>
  <si>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</si>
  <si>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</si>
  <si>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</si>
  <si>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</si>
  <si>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</si>
  <si>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</si>
  <si>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</si>
  <si>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</si>
  <si>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</si>
  <si>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</si>
  <si>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</si>
  <si>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</si>
  <si>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</si>
  <si>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</si>
  <si>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</si>
  <si>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</si>
  <si>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</si>
  <si>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</si>
  <si>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</si>
  <si>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</si>
  <si>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</si>
  <si>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</si>
  <si>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</si>
  <si>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</si>
  <si>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</si>
  <si>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</si>
  <si>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</si>
  <si>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</si>
  <si>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</si>
  <si>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</si>
  <si>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</si>
  <si>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</si>
  <si>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</si>
  <si>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</si>
  <si>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</si>
  <si>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</si>
  <si>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</si>
  <si>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</si>
  <si>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</si>
  <si>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</si>
  <si>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</si>
  <si>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</si>
  <si>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</si>
  <si>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</si>
  <si>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</si>
  <si>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</si>
  <si>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</si>
  <si>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</si>
  <si>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</si>
  <si>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</si>
  <si>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</si>
  <si>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</si>
  <si>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</si>
  <si>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</si>
  <si>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</si>
  <si>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</si>
  <si>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</si>
  <si>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</si>
  <si>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</si>
  <si>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</si>
  <si>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</si>
  <si>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</si>
  <si>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</si>
  <si>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</si>
  <si>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</si>
  <si>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</si>
  <si>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</si>
  <si>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</si>
  <si>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</si>
  <si>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</si>
  <si>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</si>
  <si>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</si>
  <si>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</si>
  <si>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</si>
  <si>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</si>
  <si>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</si>
  <si>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</si>
  <si>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</si>
  <si>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</si>
  <si>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</si>
  <si>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</si>
  <si>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</si>
  <si>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</si>
  <si>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</si>
  <si>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</si>
  <si>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</si>
  <si>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</si>
  <si>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</si>
  <si>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</si>
  <si>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</si>
  <si>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</si>
  <si>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</si>
  <si>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</si>
  <si>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</si>
  <si>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</si>
  <si>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</si>
  <si>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</si>
  <si>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</si>
  <si>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</si>
  <si>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</si>
  <si>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</si>
  <si>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</si>
  <si>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</si>
  <si>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</si>
  <si>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</si>
  <si>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</si>
  <si>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</si>
  <si>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</si>
  <si>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</si>
  <si>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</si>
  <si>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</si>
  <si>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</si>
  <si>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</si>
  <si>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</si>
  <si>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</si>
  <si>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</si>
  <si>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</si>
  <si>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</si>
  <si>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</si>
  <si>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</si>
  <si>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</si>
  <si>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</si>
  <si>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</si>
  <si>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distr_wonelc_won_IND_067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</si>
  <si>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</si>
  <si>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</si>
  <si>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</si>
  <si>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</si>
  <si>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</si>
  <si>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</si>
  <si>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</si>
  <si>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</si>
  <si>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</si>
  <si>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</si>
  <si>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</si>
  <si>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</si>
  <si>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</si>
  <si>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S2aH2,S1aH2</t>
  </si>
  <si>
    <t>N</t>
  </si>
  <si>
    <t>S2aH1,S1aH1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</si>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</sst>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5" x14ac:dyDescent="0.25"/>
  <sheetData>
    <row r="10" spans="1:4" x14ac:dyDescent="0.25">
      <c r="A10" t="str">
        <f>IFERROR([1]Veda!D5,"ts_04")</f>
        <v>ts_04</v>
      </c>
      <c r="B10" s="5"/>
      <c r="C10" s="5" t="s">
        <v>402</v>
      </c>
      <c r="D10" t="s">
        <v>43</v>
      </c>
    </row>
    <row r="11" spans="1:4" x14ac:dyDescent="0.25">
      <c r="B11" s="5"/>
      <c r="C11" s="5" t="s">
        <v>403</v>
      </c>
      <c r="D11" t="s">
        <v>404</v>
      </c>
    </row>
    <row r="12" spans="1:4" x14ac:dyDescent="0.25">
      <c r="B12" s="5"/>
      <c r="C12" s="5" t="s">
        <v>405</v>
      </c>
      <c r="D12" t="s">
        <v>406</v>
      </c>
    </row>
    <row r="17" spans="3:14" x14ac:dyDescent="0.25">
      <c r="I17" s="2">
        <v>0.75</v>
      </c>
      <c r="K17" s="1" t="s">
        <v>0</v>
      </c>
    </row>
    <row r="18" spans="3:14" ht="18" thickBot="1" x14ac:dyDescent="0.35">
      <c r="C18" s="3" t="s">
        <v>1</v>
      </c>
    </row>
    <row r="19" spans="3:14" ht="15.75" thickTop="1" x14ac:dyDescent="0.25"/>
    <row r="21" spans="3:14" ht="18" thickBot="1" x14ac:dyDescent="0.35">
      <c r="H21" s="3" t="str">
        <f>IF(H23=H24,"Not Required!","~UC_T: LO")</f>
        <v>~UC_T: LO</v>
      </c>
    </row>
    <row r="22" spans="3:14" ht="16.5" thickTop="1" thickBot="1" x14ac:dyDescent="0.3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2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S2aH1,S1aH1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2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S2aH2,S1aH2</v>
      </c>
      <c r="I24">
        <f>-$I$17</f>
        <v>-0.75</v>
      </c>
      <c r="M24" t="s">
        <v>16</v>
      </c>
    </row>
    <row r="29" spans="3:14" ht="18" thickBot="1" x14ac:dyDescent="0.35">
      <c r="I29" s="3" t="s">
        <v>17</v>
      </c>
    </row>
    <row r="30" spans="3:14" ht="16.5" thickTop="1" thickBot="1" x14ac:dyDescent="0.3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2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2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31AFF-AE1D-47CB-8429-0F2FD4188634}">
  <dimension ref="A9:G12"/>
  <sheetViews>
    <sheetView workbookViewId="0"/>
  </sheetViews>
  <sheetFormatPr defaultRowHeight="15" x14ac:dyDescent="0.25"/>
  <sheetData>
    <row r="9" spans="1:7" x14ac:dyDescent="0.25">
      <c r="C9" t="str">
        <f>IF(A11="x","DeActivated","~TimeSlices")</f>
        <v>~TimeSlices</v>
      </c>
    </row>
    <row r="10" spans="1:7" x14ac:dyDescent="0.25">
      <c r="A10" t="s">
        <v>43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2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25">
      <c r="C12" t="s">
        <v>41</v>
      </c>
      <c r="E12" t="s">
        <v>42</v>
      </c>
      <c r="G12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E809D-97EB-4CB2-A2E9-CA8D156BE787}">
  <dimension ref="B9:O322"/>
  <sheetViews>
    <sheetView workbookViewId="0"/>
  </sheetViews>
  <sheetFormatPr defaultRowHeight="15" x14ac:dyDescent="0.25"/>
  <sheetData>
    <row r="9" spans="2:15" x14ac:dyDescent="0.2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25">
      <c r="B10" t="s">
        <v>44</v>
      </c>
      <c r="C10" t="s">
        <v>45</v>
      </c>
      <c r="D10" t="s">
        <v>46</v>
      </c>
      <c r="E10" t="s">
        <v>47</v>
      </c>
      <c r="G10" t="s">
        <v>44</v>
      </c>
      <c r="H10" t="s">
        <v>45</v>
      </c>
      <c r="I10" t="s">
        <v>46</v>
      </c>
      <c r="J10" t="s">
        <v>47</v>
      </c>
      <c r="L10" t="s">
        <v>44</v>
      </c>
      <c r="M10" t="s">
        <v>45</v>
      </c>
      <c r="N10" t="s">
        <v>46</v>
      </c>
      <c r="O10" t="s">
        <v>47</v>
      </c>
    </row>
    <row r="11" spans="2:15" x14ac:dyDescent="0.25">
      <c r="B11" t="s">
        <v>48</v>
      </c>
      <c r="C11" t="s">
        <v>49</v>
      </c>
      <c r="D11">
        <v>2.6573510799566706E-2</v>
      </c>
      <c r="E11" t="s">
        <v>50</v>
      </c>
      <c r="G11" t="s">
        <v>131</v>
      </c>
      <c r="H11" t="s">
        <v>49</v>
      </c>
      <c r="I11">
        <v>0.38952976551294904</v>
      </c>
      <c r="J11" t="s">
        <v>50</v>
      </c>
      <c r="L11" t="s">
        <v>198</v>
      </c>
      <c r="M11" t="s">
        <v>49</v>
      </c>
      <c r="N11">
        <v>8.3222791471449564E-2</v>
      </c>
      <c r="O11" t="s">
        <v>50</v>
      </c>
    </row>
    <row r="12" spans="2:15" x14ac:dyDescent="0.25">
      <c r="B12" t="s">
        <v>48</v>
      </c>
      <c r="C12" t="s">
        <v>51</v>
      </c>
      <c r="D12">
        <v>0.56811432828560993</v>
      </c>
      <c r="E12" t="s">
        <v>50</v>
      </c>
      <c r="G12" t="s">
        <v>131</v>
      </c>
      <c r="H12" t="s">
        <v>51</v>
      </c>
      <c r="I12">
        <v>0.21496609582311027</v>
      </c>
      <c r="J12" t="s">
        <v>50</v>
      </c>
      <c r="L12" t="s">
        <v>198</v>
      </c>
      <c r="M12" t="s">
        <v>51</v>
      </c>
      <c r="N12">
        <v>8.888948360236984E-2</v>
      </c>
      <c r="O12" t="s">
        <v>50</v>
      </c>
    </row>
    <row r="13" spans="2:15" x14ac:dyDescent="0.25">
      <c r="B13" t="s">
        <v>48</v>
      </c>
      <c r="C13" t="s">
        <v>52</v>
      </c>
      <c r="D13">
        <v>1.1363805225353294E-2</v>
      </c>
      <c r="E13" t="s">
        <v>50</v>
      </c>
      <c r="G13" t="s">
        <v>131</v>
      </c>
      <c r="H13" t="s">
        <v>52</v>
      </c>
      <c r="I13">
        <v>0.21201352796727044</v>
      </c>
      <c r="J13" t="s">
        <v>50</v>
      </c>
      <c r="L13" t="s">
        <v>198</v>
      </c>
      <c r="M13" t="s">
        <v>52</v>
      </c>
      <c r="N13">
        <v>0.41239698513306178</v>
      </c>
      <c r="O13" t="s">
        <v>50</v>
      </c>
    </row>
    <row r="14" spans="2:15" x14ac:dyDescent="0.25">
      <c r="B14" t="s">
        <v>48</v>
      </c>
      <c r="C14" t="s">
        <v>53</v>
      </c>
      <c r="D14">
        <v>0.39394835568947423</v>
      </c>
      <c r="E14" t="s">
        <v>50</v>
      </c>
      <c r="G14" t="s">
        <v>131</v>
      </c>
      <c r="H14" t="s">
        <v>53</v>
      </c>
      <c r="I14">
        <v>0.18349061069666867</v>
      </c>
      <c r="J14" t="s">
        <v>50</v>
      </c>
      <c r="L14" t="s">
        <v>198</v>
      </c>
      <c r="M14" t="s">
        <v>53</v>
      </c>
      <c r="N14">
        <v>0.4154907397931184</v>
      </c>
      <c r="O14" t="s">
        <v>50</v>
      </c>
    </row>
    <row r="15" spans="2:15" x14ac:dyDescent="0.25">
      <c r="B15" t="s">
        <v>54</v>
      </c>
      <c r="C15" t="s">
        <v>49</v>
      </c>
      <c r="D15">
        <v>2.3807754532762734E-2</v>
      </c>
      <c r="E15" t="s">
        <v>50</v>
      </c>
      <c r="G15" t="s">
        <v>132</v>
      </c>
      <c r="H15" t="s">
        <v>49</v>
      </c>
      <c r="I15">
        <v>0.32448549829284346</v>
      </c>
      <c r="J15" t="s">
        <v>50</v>
      </c>
      <c r="L15" t="s">
        <v>199</v>
      </c>
      <c r="M15" t="s">
        <v>49</v>
      </c>
      <c r="N15">
        <v>0.10864995257212651</v>
      </c>
      <c r="O15" t="s">
        <v>50</v>
      </c>
    </row>
    <row r="16" spans="2:15" x14ac:dyDescent="0.25">
      <c r="B16" t="s">
        <v>54</v>
      </c>
      <c r="C16" t="s">
        <v>51</v>
      </c>
      <c r="D16">
        <v>0.5452631151473305</v>
      </c>
      <c r="E16" t="s">
        <v>50</v>
      </c>
      <c r="G16" t="s">
        <v>132</v>
      </c>
      <c r="H16" t="s">
        <v>51</v>
      </c>
      <c r="I16">
        <v>0.19274317064424978</v>
      </c>
      <c r="J16" t="s">
        <v>50</v>
      </c>
      <c r="L16" t="s">
        <v>199</v>
      </c>
      <c r="M16" t="s">
        <v>51</v>
      </c>
      <c r="N16">
        <v>9.4245724202917963E-2</v>
      </c>
      <c r="O16" t="s">
        <v>50</v>
      </c>
    </row>
    <row r="17" spans="2:15" x14ac:dyDescent="0.25">
      <c r="B17" t="s">
        <v>54</v>
      </c>
      <c r="C17" t="s">
        <v>52</v>
      </c>
      <c r="D17">
        <v>1.3135470147648891E-2</v>
      </c>
      <c r="E17" t="s">
        <v>50</v>
      </c>
      <c r="G17" t="s">
        <v>132</v>
      </c>
      <c r="H17" t="s">
        <v>52</v>
      </c>
      <c r="I17">
        <v>0.24296218778181949</v>
      </c>
      <c r="J17" t="s">
        <v>50</v>
      </c>
      <c r="L17" t="s">
        <v>199</v>
      </c>
      <c r="M17" t="s">
        <v>52</v>
      </c>
      <c r="N17">
        <v>0.39785851671103717</v>
      </c>
      <c r="O17" t="s">
        <v>50</v>
      </c>
    </row>
    <row r="18" spans="2:15" x14ac:dyDescent="0.25">
      <c r="B18" t="s">
        <v>54</v>
      </c>
      <c r="C18" t="s">
        <v>53</v>
      </c>
      <c r="D18">
        <v>0.41779366017225528</v>
      </c>
      <c r="E18" t="s">
        <v>50</v>
      </c>
      <c r="G18" t="s">
        <v>132</v>
      </c>
      <c r="H18" t="s">
        <v>53</v>
      </c>
      <c r="I18">
        <v>0.23980914328108852</v>
      </c>
      <c r="J18" t="s">
        <v>50</v>
      </c>
      <c r="L18" t="s">
        <v>199</v>
      </c>
      <c r="M18" t="s">
        <v>53</v>
      </c>
      <c r="N18">
        <v>0.39924580651391983</v>
      </c>
      <c r="O18" t="s">
        <v>50</v>
      </c>
    </row>
    <row r="19" spans="2:15" x14ac:dyDescent="0.25">
      <c r="B19" t="s">
        <v>55</v>
      </c>
      <c r="C19" t="s">
        <v>49</v>
      </c>
      <c r="D19">
        <v>1.8852170249188095E-2</v>
      </c>
      <c r="E19" t="s">
        <v>50</v>
      </c>
      <c r="G19" t="s">
        <v>133</v>
      </c>
      <c r="H19" t="s">
        <v>49</v>
      </c>
      <c r="I19">
        <v>0.33758023633146739</v>
      </c>
      <c r="J19" t="s">
        <v>50</v>
      </c>
      <c r="L19" t="s">
        <v>200</v>
      </c>
      <c r="M19" t="s">
        <v>49</v>
      </c>
      <c r="N19">
        <v>0.18414636660775457</v>
      </c>
      <c r="O19" t="s">
        <v>50</v>
      </c>
    </row>
    <row r="20" spans="2:15" x14ac:dyDescent="0.25">
      <c r="B20" t="s">
        <v>55</v>
      </c>
      <c r="C20" t="s">
        <v>51</v>
      </c>
      <c r="D20">
        <v>0.57331538367303347</v>
      </c>
      <c r="E20" t="s">
        <v>50</v>
      </c>
      <c r="G20" t="s">
        <v>133</v>
      </c>
      <c r="H20" t="s">
        <v>51</v>
      </c>
      <c r="I20">
        <v>0.19088978796915892</v>
      </c>
      <c r="J20" t="s">
        <v>50</v>
      </c>
      <c r="L20" t="s">
        <v>200</v>
      </c>
      <c r="M20" t="s">
        <v>51</v>
      </c>
      <c r="N20">
        <v>0.11718655239476648</v>
      </c>
      <c r="O20" t="s">
        <v>50</v>
      </c>
    </row>
    <row r="21" spans="2:15" x14ac:dyDescent="0.25">
      <c r="B21" t="s">
        <v>55</v>
      </c>
      <c r="C21" t="s">
        <v>52</v>
      </c>
      <c r="D21">
        <v>8.0116007675750892E-3</v>
      </c>
      <c r="E21" t="s">
        <v>50</v>
      </c>
      <c r="G21" t="s">
        <v>133</v>
      </c>
      <c r="H21" t="s">
        <v>52</v>
      </c>
      <c r="I21">
        <v>0.24926316174151791</v>
      </c>
      <c r="J21" t="s">
        <v>50</v>
      </c>
      <c r="L21" t="s">
        <v>200</v>
      </c>
      <c r="M21" t="s">
        <v>52</v>
      </c>
      <c r="N21">
        <v>0.35252187360294462</v>
      </c>
      <c r="O21" t="s">
        <v>50</v>
      </c>
    </row>
    <row r="22" spans="2:15" x14ac:dyDescent="0.25">
      <c r="B22" t="s">
        <v>55</v>
      </c>
      <c r="C22" t="s">
        <v>53</v>
      </c>
      <c r="D22">
        <v>0.39982084531020268</v>
      </c>
      <c r="E22" t="s">
        <v>50</v>
      </c>
      <c r="G22" t="s">
        <v>133</v>
      </c>
      <c r="H22" t="s">
        <v>53</v>
      </c>
      <c r="I22">
        <v>0.22226681395785214</v>
      </c>
      <c r="J22" t="s">
        <v>50</v>
      </c>
      <c r="L22" t="s">
        <v>200</v>
      </c>
      <c r="M22" t="s">
        <v>53</v>
      </c>
      <c r="N22">
        <v>0.34614520739453747</v>
      </c>
      <c r="O22" t="s">
        <v>50</v>
      </c>
    </row>
    <row r="23" spans="2:15" x14ac:dyDescent="0.25">
      <c r="B23" t="s">
        <v>56</v>
      </c>
      <c r="C23" t="s">
        <v>49</v>
      </c>
      <c r="D23">
        <v>2.7802803139652929E-2</v>
      </c>
      <c r="E23" t="s">
        <v>50</v>
      </c>
      <c r="G23" t="s">
        <v>134</v>
      </c>
      <c r="H23" t="s">
        <v>49</v>
      </c>
      <c r="I23">
        <v>0.42789318260902931</v>
      </c>
      <c r="J23" t="s">
        <v>50</v>
      </c>
      <c r="L23" t="s">
        <v>201</v>
      </c>
      <c r="M23" t="s">
        <v>49</v>
      </c>
      <c r="N23">
        <v>0.18558532925762899</v>
      </c>
      <c r="O23" t="s">
        <v>50</v>
      </c>
    </row>
    <row r="24" spans="2:15" x14ac:dyDescent="0.25">
      <c r="B24" t="s">
        <v>56</v>
      </c>
      <c r="C24" t="s">
        <v>51</v>
      </c>
      <c r="D24">
        <v>0.58075122011444991</v>
      </c>
      <c r="E24" t="s">
        <v>50</v>
      </c>
      <c r="G24" t="s">
        <v>134</v>
      </c>
      <c r="H24" t="s">
        <v>51</v>
      </c>
      <c r="I24">
        <v>0.26485675118625146</v>
      </c>
      <c r="J24" t="s">
        <v>50</v>
      </c>
      <c r="L24" t="s">
        <v>201</v>
      </c>
      <c r="M24" t="s">
        <v>51</v>
      </c>
      <c r="N24">
        <v>0.1437153849417388</v>
      </c>
      <c r="O24" t="s">
        <v>50</v>
      </c>
    </row>
    <row r="25" spans="2:15" x14ac:dyDescent="0.25">
      <c r="B25" t="s">
        <v>56</v>
      </c>
      <c r="C25" t="s">
        <v>52</v>
      </c>
      <c r="D25">
        <v>9.9266288703251833E-3</v>
      </c>
      <c r="E25" t="s">
        <v>50</v>
      </c>
      <c r="G25" t="s">
        <v>134</v>
      </c>
      <c r="H25" t="s">
        <v>52</v>
      </c>
      <c r="I25">
        <v>0.17420300040772743</v>
      </c>
      <c r="J25" t="s">
        <v>50</v>
      </c>
      <c r="L25" t="s">
        <v>201</v>
      </c>
      <c r="M25" t="s">
        <v>52</v>
      </c>
      <c r="N25">
        <v>0.33825799393349226</v>
      </c>
      <c r="O25" t="s">
        <v>50</v>
      </c>
    </row>
    <row r="26" spans="2:15" x14ac:dyDescent="0.25">
      <c r="B26" t="s">
        <v>56</v>
      </c>
      <c r="C26" t="s">
        <v>53</v>
      </c>
      <c r="D26">
        <v>0.38151934787557112</v>
      </c>
      <c r="E26" t="s">
        <v>50</v>
      </c>
      <c r="G26" t="s">
        <v>134</v>
      </c>
      <c r="H26" t="s">
        <v>53</v>
      </c>
      <c r="I26">
        <v>0.13304706579698841</v>
      </c>
      <c r="J26" t="s">
        <v>50</v>
      </c>
      <c r="L26" t="s">
        <v>201</v>
      </c>
      <c r="M26" t="s">
        <v>53</v>
      </c>
      <c r="N26">
        <v>0.33244129186714549</v>
      </c>
      <c r="O26" t="s">
        <v>50</v>
      </c>
    </row>
    <row r="27" spans="2:15" x14ac:dyDescent="0.25">
      <c r="B27" t="s">
        <v>57</v>
      </c>
      <c r="C27" t="s">
        <v>49</v>
      </c>
      <c r="D27">
        <v>2.3237801946329729E-2</v>
      </c>
      <c r="E27" t="s">
        <v>50</v>
      </c>
      <c r="G27" t="s">
        <v>135</v>
      </c>
      <c r="H27" t="s">
        <v>49</v>
      </c>
      <c r="I27">
        <v>0.41931828461871823</v>
      </c>
      <c r="J27" t="s">
        <v>50</v>
      </c>
      <c r="L27" t="s">
        <v>202</v>
      </c>
      <c r="M27" t="s">
        <v>49</v>
      </c>
      <c r="N27">
        <v>0.19645586155878603</v>
      </c>
      <c r="O27" t="s">
        <v>50</v>
      </c>
    </row>
    <row r="28" spans="2:15" x14ac:dyDescent="0.25">
      <c r="B28" t="s">
        <v>57</v>
      </c>
      <c r="C28" t="s">
        <v>51</v>
      </c>
      <c r="D28">
        <v>0.5900653615941005</v>
      </c>
      <c r="E28" t="s">
        <v>50</v>
      </c>
      <c r="G28" t="s">
        <v>135</v>
      </c>
      <c r="H28" t="s">
        <v>51</v>
      </c>
      <c r="I28">
        <v>0.2581591731835598</v>
      </c>
      <c r="J28" t="s">
        <v>50</v>
      </c>
      <c r="L28" t="s">
        <v>202</v>
      </c>
      <c r="M28" t="s">
        <v>51</v>
      </c>
      <c r="N28">
        <v>0.13000790771391482</v>
      </c>
      <c r="O28" t="s">
        <v>50</v>
      </c>
    </row>
    <row r="29" spans="2:15" x14ac:dyDescent="0.25">
      <c r="B29" t="s">
        <v>57</v>
      </c>
      <c r="C29" t="s">
        <v>52</v>
      </c>
      <c r="D29">
        <v>8.0029393550584988E-3</v>
      </c>
      <c r="E29" t="s">
        <v>50</v>
      </c>
      <c r="G29" t="s">
        <v>135</v>
      </c>
      <c r="H29" t="s">
        <v>52</v>
      </c>
      <c r="I29">
        <v>0.18882496098123594</v>
      </c>
      <c r="J29" t="s">
        <v>50</v>
      </c>
      <c r="L29" t="s">
        <v>202</v>
      </c>
      <c r="M29" t="s">
        <v>52</v>
      </c>
      <c r="N29">
        <v>0.34157533440877746</v>
      </c>
      <c r="O29" t="s">
        <v>50</v>
      </c>
    </row>
    <row r="30" spans="2:15" x14ac:dyDescent="0.25">
      <c r="B30" t="s">
        <v>57</v>
      </c>
      <c r="C30" t="s">
        <v>53</v>
      </c>
      <c r="D30">
        <v>0.37869389710451296</v>
      </c>
      <c r="E30" t="s">
        <v>50</v>
      </c>
      <c r="G30" t="s">
        <v>135</v>
      </c>
      <c r="H30" t="s">
        <v>53</v>
      </c>
      <c r="I30">
        <v>0.13369758121648573</v>
      </c>
      <c r="J30" t="s">
        <v>50</v>
      </c>
      <c r="L30" t="s">
        <v>202</v>
      </c>
      <c r="M30" t="s">
        <v>53</v>
      </c>
      <c r="N30">
        <v>0.33196089631851944</v>
      </c>
      <c r="O30" t="s">
        <v>50</v>
      </c>
    </row>
    <row r="31" spans="2:15" x14ac:dyDescent="0.25">
      <c r="B31" t="s">
        <v>58</v>
      </c>
      <c r="C31" t="s">
        <v>49</v>
      </c>
      <c r="D31">
        <v>2.672753747305574E-2</v>
      </c>
      <c r="E31" t="s">
        <v>50</v>
      </c>
      <c r="G31" t="s">
        <v>136</v>
      </c>
      <c r="H31" t="s">
        <v>49</v>
      </c>
      <c r="I31">
        <v>0.38427401829952013</v>
      </c>
      <c r="J31" t="s">
        <v>50</v>
      </c>
      <c r="L31" t="s">
        <v>203</v>
      </c>
      <c r="M31" t="s">
        <v>49</v>
      </c>
      <c r="N31">
        <v>0.2181661575887649</v>
      </c>
      <c r="O31" t="s">
        <v>50</v>
      </c>
    </row>
    <row r="32" spans="2:15" x14ac:dyDescent="0.25">
      <c r="B32" t="s">
        <v>58</v>
      </c>
      <c r="C32" t="s">
        <v>51</v>
      </c>
      <c r="D32">
        <v>0.61597044315147886</v>
      </c>
      <c r="E32" t="s">
        <v>50</v>
      </c>
      <c r="G32" t="s">
        <v>136</v>
      </c>
      <c r="H32" t="s">
        <v>51</v>
      </c>
      <c r="I32">
        <v>0.21425047441868852</v>
      </c>
      <c r="J32" t="s">
        <v>50</v>
      </c>
      <c r="L32" t="s">
        <v>203</v>
      </c>
      <c r="M32" t="s">
        <v>51</v>
      </c>
      <c r="N32">
        <v>0.18727827545119685</v>
      </c>
      <c r="O32" t="s">
        <v>50</v>
      </c>
    </row>
    <row r="33" spans="2:15" x14ac:dyDescent="0.25">
      <c r="B33" t="s">
        <v>58</v>
      </c>
      <c r="C33" t="s">
        <v>52</v>
      </c>
      <c r="D33">
        <v>6.4221213549112066E-3</v>
      </c>
      <c r="E33" t="s">
        <v>50</v>
      </c>
      <c r="G33" t="s">
        <v>136</v>
      </c>
      <c r="H33" t="s">
        <v>52</v>
      </c>
      <c r="I33">
        <v>0.22132441631202882</v>
      </c>
      <c r="J33" t="s">
        <v>50</v>
      </c>
      <c r="L33" t="s">
        <v>203</v>
      </c>
      <c r="M33" t="s">
        <v>52</v>
      </c>
      <c r="N33">
        <v>0.31202466502437093</v>
      </c>
      <c r="O33" t="s">
        <v>50</v>
      </c>
    </row>
    <row r="34" spans="2:15" x14ac:dyDescent="0.25">
      <c r="B34" t="s">
        <v>58</v>
      </c>
      <c r="C34" t="s">
        <v>53</v>
      </c>
      <c r="D34">
        <v>0.35087989802055503</v>
      </c>
      <c r="E34" t="s">
        <v>50</v>
      </c>
      <c r="G34" t="s">
        <v>136</v>
      </c>
      <c r="H34" t="s">
        <v>53</v>
      </c>
      <c r="I34">
        <v>0.18015109096976373</v>
      </c>
      <c r="J34" t="s">
        <v>50</v>
      </c>
      <c r="L34" t="s">
        <v>203</v>
      </c>
      <c r="M34" t="s">
        <v>53</v>
      </c>
      <c r="N34">
        <v>0.2825309019356706</v>
      </c>
      <c r="O34" t="s">
        <v>50</v>
      </c>
    </row>
    <row r="35" spans="2:15" x14ac:dyDescent="0.25">
      <c r="B35" t="s">
        <v>59</v>
      </c>
      <c r="C35" t="s">
        <v>49</v>
      </c>
      <c r="D35">
        <v>2.127518358684936E-2</v>
      </c>
      <c r="E35" t="s">
        <v>50</v>
      </c>
      <c r="G35" t="s">
        <v>137</v>
      </c>
      <c r="H35" t="s">
        <v>49</v>
      </c>
      <c r="I35">
        <v>0.38510230619483232</v>
      </c>
      <c r="J35" t="s">
        <v>50</v>
      </c>
      <c r="L35" t="s">
        <v>204</v>
      </c>
      <c r="M35" t="s">
        <v>49</v>
      </c>
      <c r="N35">
        <v>0.20948256118608571</v>
      </c>
      <c r="O35" t="s">
        <v>50</v>
      </c>
    </row>
    <row r="36" spans="2:15" x14ac:dyDescent="0.25">
      <c r="B36" t="s">
        <v>59</v>
      </c>
      <c r="C36" t="s">
        <v>51</v>
      </c>
      <c r="D36">
        <v>0.60877097321394513</v>
      </c>
      <c r="E36" t="s">
        <v>50</v>
      </c>
      <c r="G36" t="s">
        <v>137</v>
      </c>
      <c r="H36" t="s">
        <v>51</v>
      </c>
      <c r="I36">
        <v>0.21327865471178767</v>
      </c>
      <c r="J36" t="s">
        <v>50</v>
      </c>
      <c r="L36" t="s">
        <v>204</v>
      </c>
      <c r="M36" t="s">
        <v>51</v>
      </c>
      <c r="N36">
        <v>0.16550149392945612</v>
      </c>
      <c r="O36" t="s">
        <v>50</v>
      </c>
    </row>
    <row r="37" spans="2:15" x14ac:dyDescent="0.25">
      <c r="B37" t="s">
        <v>59</v>
      </c>
      <c r="C37" t="s">
        <v>52</v>
      </c>
      <c r="D37">
        <v>5.9375716531700744E-3</v>
      </c>
      <c r="E37" t="s">
        <v>50</v>
      </c>
      <c r="G37" t="s">
        <v>137</v>
      </c>
      <c r="H37" t="s">
        <v>52</v>
      </c>
      <c r="I37">
        <v>0.23244554883560131</v>
      </c>
      <c r="J37" t="s">
        <v>50</v>
      </c>
      <c r="L37" t="s">
        <v>204</v>
      </c>
      <c r="M37" t="s">
        <v>52</v>
      </c>
      <c r="N37">
        <v>0.32303462888248191</v>
      </c>
      <c r="O37" t="s">
        <v>50</v>
      </c>
    </row>
    <row r="38" spans="2:15" x14ac:dyDescent="0.25">
      <c r="B38" t="s">
        <v>59</v>
      </c>
      <c r="C38" t="s">
        <v>53</v>
      </c>
      <c r="D38">
        <v>0.36401627154603228</v>
      </c>
      <c r="E38" t="s">
        <v>50</v>
      </c>
      <c r="G38" t="s">
        <v>137</v>
      </c>
      <c r="H38" t="s">
        <v>53</v>
      </c>
      <c r="I38">
        <v>0.16917349025778028</v>
      </c>
      <c r="J38" t="s">
        <v>50</v>
      </c>
      <c r="L38" t="s">
        <v>204</v>
      </c>
      <c r="M38" t="s">
        <v>53</v>
      </c>
      <c r="N38">
        <v>0.30198131600197903</v>
      </c>
      <c r="O38" t="s">
        <v>50</v>
      </c>
    </row>
    <row r="39" spans="2:15" x14ac:dyDescent="0.25">
      <c r="B39" t="s">
        <v>60</v>
      </c>
      <c r="C39" t="s">
        <v>49</v>
      </c>
      <c r="D39">
        <v>1.4484046594669519E-2</v>
      </c>
      <c r="E39" t="s">
        <v>50</v>
      </c>
      <c r="G39" t="s">
        <v>138</v>
      </c>
      <c r="H39" t="s">
        <v>49</v>
      </c>
      <c r="I39">
        <v>0.40766880631772739</v>
      </c>
      <c r="J39" t="s">
        <v>50</v>
      </c>
      <c r="L39" t="s">
        <v>205</v>
      </c>
      <c r="M39" t="s">
        <v>49</v>
      </c>
      <c r="N39">
        <v>0.17708811347032438</v>
      </c>
      <c r="O39" t="s">
        <v>50</v>
      </c>
    </row>
    <row r="40" spans="2:15" x14ac:dyDescent="0.25">
      <c r="B40" t="s">
        <v>60</v>
      </c>
      <c r="C40" t="s">
        <v>51</v>
      </c>
      <c r="D40">
        <v>0.61822838337156505</v>
      </c>
      <c r="E40" t="s">
        <v>50</v>
      </c>
      <c r="G40" t="s">
        <v>138</v>
      </c>
      <c r="H40" t="s">
        <v>51</v>
      </c>
      <c r="I40">
        <v>0.24761919154200079</v>
      </c>
      <c r="J40" t="s">
        <v>50</v>
      </c>
      <c r="L40" t="s">
        <v>205</v>
      </c>
      <c r="M40" t="s">
        <v>51</v>
      </c>
      <c r="N40">
        <v>0.1396693636467945</v>
      </c>
      <c r="O40" t="s">
        <v>50</v>
      </c>
    </row>
    <row r="41" spans="2:15" x14ac:dyDescent="0.25">
      <c r="B41" t="s">
        <v>60</v>
      </c>
      <c r="C41" t="s">
        <v>52</v>
      </c>
      <c r="D41">
        <v>3.6769601847791329E-3</v>
      </c>
      <c r="E41" t="s">
        <v>50</v>
      </c>
      <c r="G41" t="s">
        <v>138</v>
      </c>
      <c r="H41" t="s">
        <v>52</v>
      </c>
      <c r="I41">
        <v>0.20126605272046214</v>
      </c>
      <c r="J41" t="s">
        <v>50</v>
      </c>
      <c r="L41" t="s">
        <v>205</v>
      </c>
      <c r="M41" t="s">
        <v>52</v>
      </c>
      <c r="N41">
        <v>0.34525586541656306</v>
      </c>
      <c r="O41" t="s">
        <v>50</v>
      </c>
    </row>
    <row r="42" spans="2:15" x14ac:dyDescent="0.25">
      <c r="B42" t="s">
        <v>60</v>
      </c>
      <c r="C42" t="s">
        <v>53</v>
      </c>
      <c r="D42">
        <v>0.36361060984898541</v>
      </c>
      <c r="E42" t="s">
        <v>50</v>
      </c>
      <c r="G42" t="s">
        <v>138</v>
      </c>
      <c r="H42" t="s">
        <v>53</v>
      </c>
      <c r="I42">
        <v>0.14344594941980482</v>
      </c>
      <c r="J42" t="s">
        <v>50</v>
      </c>
      <c r="L42" t="s">
        <v>205</v>
      </c>
      <c r="M42" t="s">
        <v>53</v>
      </c>
      <c r="N42">
        <v>0.33798665746631584</v>
      </c>
      <c r="O42" t="s">
        <v>50</v>
      </c>
    </row>
    <row r="43" spans="2:15" x14ac:dyDescent="0.25">
      <c r="B43" t="s">
        <v>61</v>
      </c>
      <c r="C43" t="s">
        <v>49</v>
      </c>
      <c r="D43">
        <v>1.7485727026337584E-2</v>
      </c>
      <c r="E43" t="s">
        <v>50</v>
      </c>
      <c r="G43" t="s">
        <v>139</v>
      </c>
      <c r="H43" t="s">
        <v>49</v>
      </c>
      <c r="I43">
        <v>0.2646501302428762</v>
      </c>
      <c r="J43" t="s">
        <v>50</v>
      </c>
      <c r="L43" t="s">
        <v>206</v>
      </c>
      <c r="M43" t="s">
        <v>49</v>
      </c>
      <c r="N43">
        <v>0.20000353296531923</v>
      </c>
      <c r="O43" t="s">
        <v>50</v>
      </c>
    </row>
    <row r="44" spans="2:15" x14ac:dyDescent="0.25">
      <c r="B44" t="s">
        <v>61</v>
      </c>
      <c r="C44" t="s">
        <v>51</v>
      </c>
      <c r="D44">
        <v>0.61075144251381064</v>
      </c>
      <c r="E44" t="s">
        <v>50</v>
      </c>
      <c r="G44" t="s">
        <v>139</v>
      </c>
      <c r="H44" t="s">
        <v>51</v>
      </c>
      <c r="I44">
        <v>0.16269292337355812</v>
      </c>
      <c r="J44" t="s">
        <v>50</v>
      </c>
      <c r="L44" t="s">
        <v>206</v>
      </c>
      <c r="M44" t="s">
        <v>51</v>
      </c>
      <c r="N44">
        <v>0.14382095370907214</v>
      </c>
      <c r="O44" t="s">
        <v>50</v>
      </c>
    </row>
    <row r="45" spans="2:15" x14ac:dyDescent="0.25">
      <c r="B45" t="s">
        <v>61</v>
      </c>
      <c r="C45" t="s">
        <v>52</v>
      </c>
      <c r="D45">
        <v>4.9927299392973738E-3</v>
      </c>
      <c r="E45" t="s">
        <v>50</v>
      </c>
      <c r="G45" t="s">
        <v>139</v>
      </c>
      <c r="H45" t="s">
        <v>52</v>
      </c>
      <c r="I45">
        <v>0.29145217351771324</v>
      </c>
      <c r="J45" t="s">
        <v>50</v>
      </c>
      <c r="L45" t="s">
        <v>206</v>
      </c>
      <c r="M45" t="s">
        <v>52</v>
      </c>
      <c r="N45">
        <v>0.33296170156166305</v>
      </c>
      <c r="O45" t="s">
        <v>50</v>
      </c>
    </row>
    <row r="46" spans="2:15" x14ac:dyDescent="0.25">
      <c r="B46" t="s">
        <v>61</v>
      </c>
      <c r="C46" t="s">
        <v>53</v>
      </c>
      <c r="D46">
        <v>0.36677010052055653</v>
      </c>
      <c r="E46" t="s">
        <v>50</v>
      </c>
      <c r="G46" t="s">
        <v>139</v>
      </c>
      <c r="H46" t="s">
        <v>53</v>
      </c>
      <c r="I46">
        <v>0.28120477286585077</v>
      </c>
      <c r="J46" t="s">
        <v>50</v>
      </c>
      <c r="L46" t="s">
        <v>206</v>
      </c>
      <c r="M46" t="s">
        <v>53</v>
      </c>
      <c r="N46">
        <v>0.32321381176394043</v>
      </c>
      <c r="O46" t="s">
        <v>50</v>
      </c>
    </row>
    <row r="47" spans="2:15" x14ac:dyDescent="0.25">
      <c r="B47" t="s">
        <v>62</v>
      </c>
      <c r="C47" t="s">
        <v>49</v>
      </c>
      <c r="D47">
        <v>1.8375646199912121E-2</v>
      </c>
      <c r="E47" t="s">
        <v>50</v>
      </c>
      <c r="G47" t="s">
        <v>140</v>
      </c>
      <c r="H47" t="s">
        <v>49</v>
      </c>
      <c r="I47">
        <v>0.21650251301661774</v>
      </c>
      <c r="J47" t="s">
        <v>50</v>
      </c>
      <c r="L47" t="s">
        <v>207</v>
      </c>
      <c r="M47" t="s">
        <v>49</v>
      </c>
      <c r="N47">
        <v>0.16685776319027798</v>
      </c>
      <c r="O47" t="s">
        <v>50</v>
      </c>
    </row>
    <row r="48" spans="2:15" x14ac:dyDescent="0.25">
      <c r="B48" t="s">
        <v>62</v>
      </c>
      <c r="C48" t="s">
        <v>51</v>
      </c>
      <c r="D48">
        <v>0.60445919048089769</v>
      </c>
      <c r="E48" t="s">
        <v>50</v>
      </c>
      <c r="G48" t="s">
        <v>140</v>
      </c>
      <c r="H48" t="s">
        <v>51</v>
      </c>
      <c r="I48">
        <v>0.19137591161374595</v>
      </c>
      <c r="J48" t="s">
        <v>50</v>
      </c>
      <c r="L48" t="s">
        <v>207</v>
      </c>
      <c r="M48" t="s">
        <v>51</v>
      </c>
      <c r="N48">
        <v>0.13737877641498134</v>
      </c>
      <c r="O48" t="s">
        <v>50</v>
      </c>
    </row>
    <row r="49" spans="2:15" x14ac:dyDescent="0.25">
      <c r="B49" t="s">
        <v>62</v>
      </c>
      <c r="C49" t="s">
        <v>52</v>
      </c>
      <c r="D49">
        <v>6.0347178808531007E-3</v>
      </c>
      <c r="E49" t="s">
        <v>50</v>
      </c>
      <c r="G49" t="s">
        <v>140</v>
      </c>
      <c r="H49" t="s">
        <v>52</v>
      </c>
      <c r="I49">
        <v>0.28702028891674414</v>
      </c>
      <c r="J49" t="s">
        <v>50</v>
      </c>
      <c r="L49" t="s">
        <v>207</v>
      </c>
      <c r="M49" t="s">
        <v>52</v>
      </c>
      <c r="N49">
        <v>0.34820111840469614</v>
      </c>
      <c r="O49" t="s">
        <v>50</v>
      </c>
    </row>
    <row r="50" spans="2:15" x14ac:dyDescent="0.25">
      <c r="B50" t="s">
        <v>62</v>
      </c>
      <c r="C50" t="s">
        <v>53</v>
      </c>
      <c r="D50">
        <v>0.37113044543833479</v>
      </c>
      <c r="E50" t="s">
        <v>50</v>
      </c>
      <c r="G50" t="s">
        <v>140</v>
      </c>
      <c r="H50" t="s">
        <v>53</v>
      </c>
      <c r="I50">
        <v>0.30510128645288864</v>
      </c>
      <c r="J50" t="s">
        <v>50</v>
      </c>
      <c r="L50" t="s">
        <v>207</v>
      </c>
      <c r="M50" t="s">
        <v>53</v>
      </c>
      <c r="N50">
        <v>0.34756234199004821</v>
      </c>
      <c r="O50" t="s">
        <v>50</v>
      </c>
    </row>
    <row r="51" spans="2:15" x14ac:dyDescent="0.25">
      <c r="B51" t="s">
        <v>63</v>
      </c>
      <c r="C51" t="s">
        <v>49</v>
      </c>
      <c r="D51">
        <v>1.5077435164293855E-2</v>
      </c>
      <c r="E51" t="s">
        <v>50</v>
      </c>
      <c r="G51" t="s">
        <v>141</v>
      </c>
      <c r="H51" t="s">
        <v>49</v>
      </c>
      <c r="I51">
        <v>0.25868238572851415</v>
      </c>
      <c r="J51" t="s">
        <v>50</v>
      </c>
      <c r="L51" t="s">
        <v>208</v>
      </c>
      <c r="M51" t="s">
        <v>49</v>
      </c>
      <c r="N51">
        <v>0.21241912107141334</v>
      </c>
      <c r="O51" t="s">
        <v>50</v>
      </c>
    </row>
    <row r="52" spans="2:15" x14ac:dyDescent="0.25">
      <c r="B52" t="s">
        <v>63</v>
      </c>
      <c r="C52" t="s">
        <v>51</v>
      </c>
      <c r="D52">
        <v>0.60618272484048852</v>
      </c>
      <c r="E52" t="s">
        <v>50</v>
      </c>
      <c r="G52" t="s">
        <v>141</v>
      </c>
      <c r="H52" t="s">
        <v>51</v>
      </c>
      <c r="I52">
        <v>0.18431208535928195</v>
      </c>
      <c r="J52" t="s">
        <v>50</v>
      </c>
      <c r="L52" t="s">
        <v>208</v>
      </c>
      <c r="M52" t="s">
        <v>51</v>
      </c>
      <c r="N52">
        <v>0.15588508865196735</v>
      </c>
      <c r="O52" t="s">
        <v>50</v>
      </c>
    </row>
    <row r="53" spans="2:15" x14ac:dyDescent="0.25">
      <c r="B53" t="s">
        <v>63</v>
      </c>
      <c r="C53" t="s">
        <v>52</v>
      </c>
      <c r="D53">
        <v>4.8806855441234564E-3</v>
      </c>
      <c r="E53" t="s">
        <v>50</v>
      </c>
      <c r="G53" t="s">
        <v>141</v>
      </c>
      <c r="H53" t="s">
        <v>52</v>
      </c>
      <c r="I53">
        <v>0.27987218543072873</v>
      </c>
      <c r="J53" t="s">
        <v>50</v>
      </c>
      <c r="L53" t="s">
        <v>208</v>
      </c>
      <c r="M53" t="s">
        <v>52</v>
      </c>
      <c r="N53">
        <v>0.31860190096507729</v>
      </c>
      <c r="O53" t="s">
        <v>50</v>
      </c>
    </row>
    <row r="54" spans="2:15" x14ac:dyDescent="0.25">
      <c r="B54" t="s">
        <v>63</v>
      </c>
      <c r="C54" t="s">
        <v>53</v>
      </c>
      <c r="D54">
        <v>0.37385915445109352</v>
      </c>
      <c r="E54" t="s">
        <v>50</v>
      </c>
      <c r="G54" t="s">
        <v>141</v>
      </c>
      <c r="H54" t="s">
        <v>53</v>
      </c>
      <c r="I54">
        <v>0.277133343481473</v>
      </c>
      <c r="J54" t="s">
        <v>50</v>
      </c>
      <c r="L54" t="s">
        <v>208</v>
      </c>
      <c r="M54" t="s">
        <v>53</v>
      </c>
      <c r="N54">
        <v>0.31309388931154108</v>
      </c>
      <c r="O54" t="s">
        <v>50</v>
      </c>
    </row>
    <row r="55" spans="2:15" x14ac:dyDescent="0.25">
      <c r="B55" t="s">
        <v>64</v>
      </c>
      <c r="C55" t="s">
        <v>49</v>
      </c>
      <c r="D55">
        <v>1.8027262908057562E-2</v>
      </c>
      <c r="E55" t="s">
        <v>50</v>
      </c>
      <c r="G55" t="s">
        <v>142</v>
      </c>
      <c r="H55" t="s">
        <v>49</v>
      </c>
      <c r="I55">
        <v>0.31666627666033481</v>
      </c>
      <c r="J55" t="s">
        <v>50</v>
      </c>
      <c r="L55" t="s">
        <v>209</v>
      </c>
      <c r="M55" t="s">
        <v>49</v>
      </c>
      <c r="N55">
        <v>0.20470838117895546</v>
      </c>
      <c r="O55" t="s">
        <v>50</v>
      </c>
    </row>
    <row r="56" spans="2:15" x14ac:dyDescent="0.25">
      <c r="B56" t="s">
        <v>64</v>
      </c>
      <c r="C56" t="s">
        <v>51</v>
      </c>
      <c r="D56">
        <v>0.50972889185918935</v>
      </c>
      <c r="E56" t="s">
        <v>50</v>
      </c>
      <c r="G56" t="s">
        <v>142</v>
      </c>
      <c r="H56" t="s">
        <v>51</v>
      </c>
      <c r="I56">
        <v>0.14262580898624305</v>
      </c>
      <c r="J56" t="s">
        <v>50</v>
      </c>
      <c r="L56" t="s">
        <v>209</v>
      </c>
      <c r="M56" t="s">
        <v>51</v>
      </c>
      <c r="N56">
        <v>0.14498930779875754</v>
      </c>
      <c r="O56" t="s">
        <v>50</v>
      </c>
    </row>
    <row r="57" spans="2:15" x14ac:dyDescent="0.25">
      <c r="B57" t="s">
        <v>64</v>
      </c>
      <c r="C57" t="s">
        <v>52</v>
      </c>
      <c r="D57">
        <v>1.5293325870801089E-2</v>
      </c>
      <c r="E57" t="s">
        <v>50</v>
      </c>
      <c r="G57" t="s">
        <v>142</v>
      </c>
      <c r="H57" t="s">
        <v>52</v>
      </c>
      <c r="I57">
        <v>0.27522941791948669</v>
      </c>
      <c r="J57" t="s">
        <v>50</v>
      </c>
      <c r="L57" t="s">
        <v>209</v>
      </c>
      <c r="M57" t="s">
        <v>52</v>
      </c>
      <c r="N57">
        <v>0.33328276045566607</v>
      </c>
      <c r="O57" t="s">
        <v>50</v>
      </c>
    </row>
    <row r="58" spans="2:15" x14ac:dyDescent="0.25">
      <c r="B58" t="s">
        <v>64</v>
      </c>
      <c r="C58" t="s">
        <v>53</v>
      </c>
      <c r="D58">
        <v>0.45695051936195286</v>
      </c>
      <c r="E58" t="s">
        <v>50</v>
      </c>
      <c r="G58" t="s">
        <v>142</v>
      </c>
      <c r="H58" t="s">
        <v>53</v>
      </c>
      <c r="I58">
        <v>0.26547849643393706</v>
      </c>
      <c r="J58" t="s">
        <v>50</v>
      </c>
      <c r="L58" t="s">
        <v>209</v>
      </c>
      <c r="M58" t="s">
        <v>53</v>
      </c>
      <c r="N58">
        <v>0.31701955056662534</v>
      </c>
      <c r="O58" t="s">
        <v>50</v>
      </c>
    </row>
    <row r="59" spans="2:15" x14ac:dyDescent="0.25">
      <c r="B59" t="s">
        <v>65</v>
      </c>
      <c r="C59" t="s">
        <v>49</v>
      </c>
      <c r="D59">
        <v>1.594481909136573E-2</v>
      </c>
      <c r="E59" t="s">
        <v>50</v>
      </c>
      <c r="G59" t="s">
        <v>143</v>
      </c>
      <c r="H59" t="s">
        <v>49</v>
      </c>
      <c r="I59">
        <v>0.24880289757560636</v>
      </c>
      <c r="J59" t="s">
        <v>50</v>
      </c>
      <c r="L59" t="s">
        <v>210</v>
      </c>
      <c r="M59" t="s">
        <v>49</v>
      </c>
      <c r="N59">
        <v>0.25322861491738813</v>
      </c>
      <c r="O59" t="s">
        <v>50</v>
      </c>
    </row>
    <row r="60" spans="2:15" x14ac:dyDescent="0.25">
      <c r="B60" t="s">
        <v>65</v>
      </c>
      <c r="C60" t="s">
        <v>51</v>
      </c>
      <c r="D60">
        <v>0.5133744653957858</v>
      </c>
      <c r="E60" t="s">
        <v>50</v>
      </c>
      <c r="G60" t="s">
        <v>143</v>
      </c>
      <c r="H60" t="s">
        <v>51</v>
      </c>
      <c r="I60">
        <v>0.10769147501814685</v>
      </c>
      <c r="J60" t="s">
        <v>50</v>
      </c>
      <c r="L60" t="s">
        <v>210</v>
      </c>
      <c r="M60" t="s">
        <v>51</v>
      </c>
      <c r="N60">
        <v>0.19382090630376983</v>
      </c>
      <c r="O60" t="s">
        <v>50</v>
      </c>
    </row>
    <row r="61" spans="2:15" x14ac:dyDescent="0.25">
      <c r="B61" t="s">
        <v>65</v>
      </c>
      <c r="C61" t="s">
        <v>52</v>
      </c>
      <c r="D61">
        <v>1.417539748644975E-2</v>
      </c>
      <c r="E61" t="s">
        <v>50</v>
      </c>
      <c r="G61" t="s">
        <v>143</v>
      </c>
      <c r="H61" t="s">
        <v>52</v>
      </c>
      <c r="I61">
        <v>0.33497700014224979</v>
      </c>
      <c r="J61" t="s">
        <v>50</v>
      </c>
      <c r="L61" t="s">
        <v>210</v>
      </c>
      <c r="M61" t="s">
        <v>52</v>
      </c>
      <c r="N61">
        <v>0.33448169861764915</v>
      </c>
      <c r="O61" t="s">
        <v>50</v>
      </c>
    </row>
    <row r="62" spans="2:15" x14ac:dyDescent="0.25">
      <c r="B62" t="s">
        <v>65</v>
      </c>
      <c r="C62" t="s">
        <v>53</v>
      </c>
      <c r="D62">
        <v>0.45650531802639988</v>
      </c>
      <c r="E62" t="s">
        <v>50</v>
      </c>
      <c r="G62" t="s">
        <v>143</v>
      </c>
      <c r="H62" t="s">
        <v>53</v>
      </c>
      <c r="I62">
        <v>0.30852862726399521</v>
      </c>
      <c r="J62" t="s">
        <v>50</v>
      </c>
      <c r="L62" t="s">
        <v>210</v>
      </c>
      <c r="M62" t="s">
        <v>53</v>
      </c>
      <c r="N62">
        <v>0.21846878016119112</v>
      </c>
      <c r="O62" t="s">
        <v>50</v>
      </c>
    </row>
    <row r="63" spans="2:15" x14ac:dyDescent="0.25">
      <c r="B63" t="s">
        <v>66</v>
      </c>
      <c r="C63" t="s">
        <v>49</v>
      </c>
      <c r="D63">
        <v>2.1962393613874052E-2</v>
      </c>
      <c r="E63" t="s">
        <v>50</v>
      </c>
      <c r="G63" t="s">
        <v>144</v>
      </c>
      <c r="H63" t="s">
        <v>49</v>
      </c>
      <c r="I63">
        <v>0.27707354719502764</v>
      </c>
      <c r="J63" t="s">
        <v>50</v>
      </c>
      <c r="L63" t="s">
        <v>211</v>
      </c>
      <c r="M63" t="s">
        <v>49</v>
      </c>
      <c r="N63">
        <v>0.22165271997285302</v>
      </c>
      <c r="O63" t="s">
        <v>50</v>
      </c>
    </row>
    <row r="64" spans="2:15" x14ac:dyDescent="0.25">
      <c r="B64" t="s">
        <v>66</v>
      </c>
      <c r="C64" t="s">
        <v>51</v>
      </c>
      <c r="D64">
        <v>0.51132763163340422</v>
      </c>
      <c r="E64" t="s">
        <v>50</v>
      </c>
      <c r="G64" t="s">
        <v>144</v>
      </c>
      <c r="H64" t="s">
        <v>51</v>
      </c>
      <c r="I64">
        <v>0.12173059516488742</v>
      </c>
      <c r="J64" t="s">
        <v>50</v>
      </c>
      <c r="L64" t="s">
        <v>211</v>
      </c>
      <c r="M64" t="s">
        <v>51</v>
      </c>
      <c r="N64">
        <v>0.17460639761807795</v>
      </c>
      <c r="O64" t="s">
        <v>50</v>
      </c>
    </row>
    <row r="65" spans="2:15" x14ac:dyDescent="0.25">
      <c r="B65" t="s">
        <v>66</v>
      </c>
      <c r="C65" t="s">
        <v>52</v>
      </c>
      <c r="D65">
        <v>1.6404845306452386E-2</v>
      </c>
      <c r="E65" t="s">
        <v>50</v>
      </c>
      <c r="G65" t="s">
        <v>144</v>
      </c>
      <c r="H65" t="s">
        <v>52</v>
      </c>
      <c r="I65">
        <v>0.31242521220445524</v>
      </c>
      <c r="J65" t="s">
        <v>50</v>
      </c>
      <c r="L65" t="s">
        <v>211</v>
      </c>
      <c r="M65" t="s">
        <v>52</v>
      </c>
      <c r="N65">
        <v>0.3493708237636643</v>
      </c>
      <c r="O65" t="s">
        <v>50</v>
      </c>
    </row>
    <row r="66" spans="2:15" x14ac:dyDescent="0.25">
      <c r="B66" t="s">
        <v>66</v>
      </c>
      <c r="C66" t="s">
        <v>53</v>
      </c>
      <c r="D66">
        <v>0.45030512944626766</v>
      </c>
      <c r="E66" t="s">
        <v>50</v>
      </c>
      <c r="G66" t="s">
        <v>144</v>
      </c>
      <c r="H66" t="s">
        <v>53</v>
      </c>
      <c r="I66">
        <v>0.28877064543563069</v>
      </c>
      <c r="J66" t="s">
        <v>50</v>
      </c>
      <c r="L66" t="s">
        <v>211</v>
      </c>
      <c r="M66" t="s">
        <v>53</v>
      </c>
      <c r="N66">
        <v>0.25437005864540341</v>
      </c>
      <c r="O66" t="s">
        <v>50</v>
      </c>
    </row>
    <row r="67" spans="2:15" x14ac:dyDescent="0.25">
      <c r="B67" t="s">
        <v>67</v>
      </c>
      <c r="C67" t="s">
        <v>49</v>
      </c>
      <c r="D67">
        <v>1.7720235212296622E-2</v>
      </c>
      <c r="E67" t="s">
        <v>50</v>
      </c>
      <c r="G67" t="s">
        <v>145</v>
      </c>
      <c r="H67" t="s">
        <v>49</v>
      </c>
      <c r="I67">
        <v>0.22682927236028985</v>
      </c>
      <c r="J67" t="s">
        <v>50</v>
      </c>
      <c r="L67" t="s">
        <v>212</v>
      </c>
      <c r="M67" t="s">
        <v>49</v>
      </c>
      <c r="N67">
        <v>0.27860709607138412</v>
      </c>
      <c r="O67" t="s">
        <v>50</v>
      </c>
    </row>
    <row r="68" spans="2:15" x14ac:dyDescent="0.25">
      <c r="B68" t="s">
        <v>67</v>
      </c>
      <c r="C68" t="s">
        <v>51</v>
      </c>
      <c r="D68">
        <v>0.53293698566963421</v>
      </c>
      <c r="E68" t="s">
        <v>50</v>
      </c>
      <c r="G68" t="s">
        <v>145</v>
      </c>
      <c r="H68" t="s">
        <v>51</v>
      </c>
      <c r="I68">
        <v>0.10928632143034814</v>
      </c>
      <c r="J68" t="s">
        <v>50</v>
      </c>
      <c r="L68" t="s">
        <v>212</v>
      </c>
      <c r="M68" t="s">
        <v>51</v>
      </c>
      <c r="N68">
        <v>0.21851642416727152</v>
      </c>
      <c r="O68" t="s">
        <v>50</v>
      </c>
    </row>
    <row r="69" spans="2:15" x14ac:dyDescent="0.25">
      <c r="B69" t="s">
        <v>67</v>
      </c>
      <c r="C69" t="s">
        <v>52</v>
      </c>
      <c r="D69">
        <v>1.1472302711744473E-2</v>
      </c>
      <c r="E69" t="s">
        <v>50</v>
      </c>
      <c r="G69" t="s">
        <v>145</v>
      </c>
      <c r="H69" t="s">
        <v>52</v>
      </c>
      <c r="I69">
        <v>0.33209991536286959</v>
      </c>
      <c r="J69" t="s">
        <v>50</v>
      </c>
      <c r="L69" t="s">
        <v>212</v>
      </c>
      <c r="M69" t="s">
        <v>52</v>
      </c>
      <c r="N69">
        <v>0.31463053938791086</v>
      </c>
      <c r="O69" t="s">
        <v>50</v>
      </c>
    </row>
    <row r="70" spans="2:15" x14ac:dyDescent="0.25">
      <c r="B70" t="s">
        <v>67</v>
      </c>
      <c r="C70" t="s">
        <v>53</v>
      </c>
      <c r="D70">
        <v>0.43787047640632659</v>
      </c>
      <c r="E70" t="s">
        <v>50</v>
      </c>
      <c r="G70" t="s">
        <v>145</v>
      </c>
      <c r="H70" t="s">
        <v>53</v>
      </c>
      <c r="I70">
        <v>0.33178449084649353</v>
      </c>
      <c r="J70" t="s">
        <v>50</v>
      </c>
      <c r="L70" t="s">
        <v>212</v>
      </c>
      <c r="M70" t="s">
        <v>53</v>
      </c>
      <c r="N70">
        <v>0.18824594037343295</v>
      </c>
      <c r="O70" t="s">
        <v>50</v>
      </c>
    </row>
    <row r="71" spans="2:15" x14ac:dyDescent="0.25">
      <c r="B71" t="s">
        <v>68</v>
      </c>
      <c r="C71" t="s">
        <v>49</v>
      </c>
      <c r="D71">
        <v>1.5707427955370386E-2</v>
      </c>
      <c r="E71" t="s">
        <v>50</v>
      </c>
      <c r="G71" t="s">
        <v>146</v>
      </c>
      <c r="H71" t="s">
        <v>49</v>
      </c>
      <c r="I71">
        <v>0.30892220038453955</v>
      </c>
      <c r="J71" t="s">
        <v>50</v>
      </c>
      <c r="L71" t="s">
        <v>213</v>
      </c>
      <c r="M71" t="s">
        <v>49</v>
      </c>
      <c r="N71">
        <v>0.2326126554674125</v>
      </c>
      <c r="O71" t="s">
        <v>50</v>
      </c>
    </row>
    <row r="72" spans="2:15" x14ac:dyDescent="0.25">
      <c r="B72" t="s">
        <v>68</v>
      </c>
      <c r="C72" t="s">
        <v>51</v>
      </c>
      <c r="D72">
        <v>0.51254946435302018</v>
      </c>
      <c r="E72" t="s">
        <v>50</v>
      </c>
      <c r="G72" t="s">
        <v>146</v>
      </c>
      <c r="H72" t="s">
        <v>51</v>
      </c>
      <c r="I72">
        <v>0.17396485689617006</v>
      </c>
      <c r="J72" t="s">
        <v>50</v>
      </c>
      <c r="L72" t="s">
        <v>213</v>
      </c>
      <c r="M72" t="s">
        <v>51</v>
      </c>
      <c r="N72">
        <v>0.18987506464725831</v>
      </c>
      <c r="O72" t="s">
        <v>50</v>
      </c>
    </row>
    <row r="73" spans="2:15" x14ac:dyDescent="0.25">
      <c r="B73" t="s">
        <v>68</v>
      </c>
      <c r="C73" t="s">
        <v>52</v>
      </c>
      <c r="D73">
        <v>1.5085569622001783E-2</v>
      </c>
      <c r="E73" t="s">
        <v>50</v>
      </c>
      <c r="G73" t="s">
        <v>146</v>
      </c>
      <c r="H73" t="s">
        <v>52</v>
      </c>
      <c r="I73">
        <v>0.26791440058006394</v>
      </c>
      <c r="J73" t="s">
        <v>50</v>
      </c>
      <c r="L73" t="s">
        <v>213</v>
      </c>
      <c r="M73" t="s">
        <v>52</v>
      </c>
      <c r="N73">
        <v>0.31246116754521075</v>
      </c>
      <c r="O73" t="s">
        <v>50</v>
      </c>
    </row>
    <row r="74" spans="2:15" x14ac:dyDescent="0.25">
      <c r="B74" t="s">
        <v>68</v>
      </c>
      <c r="C74" t="s">
        <v>53</v>
      </c>
      <c r="D74">
        <v>0.45665753806960574</v>
      </c>
      <c r="E74" t="s">
        <v>50</v>
      </c>
      <c r="G74" t="s">
        <v>146</v>
      </c>
      <c r="H74" t="s">
        <v>53</v>
      </c>
      <c r="I74">
        <v>0.24919854213923048</v>
      </c>
      <c r="J74" t="s">
        <v>50</v>
      </c>
      <c r="L74" t="s">
        <v>213</v>
      </c>
      <c r="M74" t="s">
        <v>53</v>
      </c>
      <c r="N74">
        <v>0.26505111234011725</v>
      </c>
      <c r="O74" t="s">
        <v>50</v>
      </c>
    </row>
    <row r="75" spans="2:15" x14ac:dyDescent="0.25">
      <c r="B75" t="s">
        <v>69</v>
      </c>
      <c r="C75" t="s">
        <v>49</v>
      </c>
      <c r="D75">
        <v>1.423771825365909E-2</v>
      </c>
      <c r="E75" t="s">
        <v>50</v>
      </c>
      <c r="G75" t="s">
        <v>147</v>
      </c>
      <c r="H75" t="s">
        <v>49</v>
      </c>
      <c r="I75">
        <v>0.32103513796601796</v>
      </c>
      <c r="J75" t="s">
        <v>50</v>
      </c>
      <c r="L75" t="s">
        <v>214</v>
      </c>
      <c r="M75" t="s">
        <v>49</v>
      </c>
      <c r="N75">
        <v>0.18114344179190769</v>
      </c>
      <c r="O75" t="s">
        <v>50</v>
      </c>
    </row>
    <row r="76" spans="2:15" x14ac:dyDescent="0.25">
      <c r="B76" t="s">
        <v>69</v>
      </c>
      <c r="C76" t="s">
        <v>51</v>
      </c>
      <c r="D76">
        <v>0.53799294443283907</v>
      </c>
      <c r="E76" t="s">
        <v>50</v>
      </c>
      <c r="G76" t="s">
        <v>147</v>
      </c>
      <c r="H76" t="s">
        <v>51</v>
      </c>
      <c r="I76">
        <v>0.18934612109594515</v>
      </c>
      <c r="J76" t="s">
        <v>50</v>
      </c>
      <c r="L76" t="s">
        <v>214</v>
      </c>
      <c r="M76" t="s">
        <v>51</v>
      </c>
      <c r="N76">
        <v>0.16648296948525634</v>
      </c>
      <c r="O76" t="s">
        <v>50</v>
      </c>
    </row>
    <row r="77" spans="2:15" x14ac:dyDescent="0.25">
      <c r="B77" t="s">
        <v>69</v>
      </c>
      <c r="C77" t="s">
        <v>52</v>
      </c>
      <c r="D77">
        <v>1.0275454523454694E-2</v>
      </c>
      <c r="E77" t="s">
        <v>50</v>
      </c>
      <c r="G77" t="s">
        <v>147</v>
      </c>
      <c r="H77" t="s">
        <v>52</v>
      </c>
      <c r="I77">
        <v>0.2540593215296067</v>
      </c>
      <c r="J77" t="s">
        <v>50</v>
      </c>
      <c r="L77" t="s">
        <v>214</v>
      </c>
      <c r="M77" t="s">
        <v>52</v>
      </c>
      <c r="N77">
        <v>0.33634822959123417</v>
      </c>
      <c r="O77" t="s">
        <v>50</v>
      </c>
    </row>
    <row r="78" spans="2:15" x14ac:dyDescent="0.25">
      <c r="B78" t="s">
        <v>69</v>
      </c>
      <c r="C78" t="s">
        <v>53</v>
      </c>
      <c r="D78">
        <v>0.4374938827900432</v>
      </c>
      <c r="E78" t="s">
        <v>50</v>
      </c>
      <c r="G78" t="s">
        <v>147</v>
      </c>
      <c r="H78" t="s">
        <v>53</v>
      </c>
      <c r="I78">
        <v>0.23555941940842715</v>
      </c>
      <c r="J78" t="s">
        <v>50</v>
      </c>
      <c r="L78" t="s">
        <v>214</v>
      </c>
      <c r="M78" t="s">
        <v>53</v>
      </c>
      <c r="N78">
        <v>0.31602535913160706</v>
      </c>
      <c r="O78" t="s">
        <v>50</v>
      </c>
    </row>
    <row r="79" spans="2:15" x14ac:dyDescent="0.25">
      <c r="B79" t="s">
        <v>70</v>
      </c>
      <c r="C79" t="s">
        <v>49</v>
      </c>
      <c r="D79">
        <v>1.3926746763019464E-2</v>
      </c>
      <c r="E79" t="s">
        <v>50</v>
      </c>
      <c r="G79" t="s">
        <v>148</v>
      </c>
      <c r="H79" t="s">
        <v>49</v>
      </c>
      <c r="I79">
        <v>0.2963292271201442</v>
      </c>
      <c r="J79" t="s">
        <v>50</v>
      </c>
      <c r="L79" t="s">
        <v>215</v>
      </c>
      <c r="M79" t="s">
        <v>49</v>
      </c>
      <c r="N79">
        <v>0.22060837771332062</v>
      </c>
      <c r="O79" t="s">
        <v>50</v>
      </c>
    </row>
    <row r="80" spans="2:15" x14ac:dyDescent="0.25">
      <c r="B80" t="s">
        <v>70</v>
      </c>
      <c r="C80" t="s">
        <v>51</v>
      </c>
      <c r="D80">
        <v>0.58213119538573654</v>
      </c>
      <c r="E80" t="s">
        <v>50</v>
      </c>
      <c r="G80" t="s">
        <v>148</v>
      </c>
      <c r="H80" t="s">
        <v>51</v>
      </c>
      <c r="I80">
        <v>0.21151136400377679</v>
      </c>
      <c r="J80" t="s">
        <v>50</v>
      </c>
      <c r="L80" t="s">
        <v>215</v>
      </c>
      <c r="M80" t="s">
        <v>51</v>
      </c>
      <c r="N80">
        <v>0.21435361166572112</v>
      </c>
      <c r="O80" t="s">
        <v>50</v>
      </c>
    </row>
    <row r="81" spans="2:15" x14ac:dyDescent="0.25">
      <c r="B81" t="s">
        <v>70</v>
      </c>
      <c r="C81" t="s">
        <v>52</v>
      </c>
      <c r="D81">
        <v>6.0402574794692961E-3</v>
      </c>
      <c r="E81" t="s">
        <v>50</v>
      </c>
      <c r="G81" t="s">
        <v>148</v>
      </c>
      <c r="H81" t="s">
        <v>52</v>
      </c>
      <c r="I81">
        <v>0.25247177174702984</v>
      </c>
      <c r="J81" t="s">
        <v>50</v>
      </c>
      <c r="L81" t="s">
        <v>215</v>
      </c>
      <c r="M81" t="s">
        <v>52</v>
      </c>
      <c r="N81">
        <v>0.29055964523407957</v>
      </c>
      <c r="O81" t="s">
        <v>50</v>
      </c>
    </row>
    <row r="82" spans="2:15" x14ac:dyDescent="0.25">
      <c r="B82" t="s">
        <v>70</v>
      </c>
      <c r="C82" t="s">
        <v>53</v>
      </c>
      <c r="D82">
        <v>0.39790180037177408</v>
      </c>
      <c r="E82" t="s">
        <v>50</v>
      </c>
      <c r="G82" t="s">
        <v>148</v>
      </c>
      <c r="H82" t="s">
        <v>53</v>
      </c>
      <c r="I82">
        <v>0.23968763712904942</v>
      </c>
      <c r="J82" t="s">
        <v>50</v>
      </c>
      <c r="L82" t="s">
        <v>215</v>
      </c>
      <c r="M82" t="s">
        <v>53</v>
      </c>
      <c r="N82">
        <v>0.2744783653868782</v>
      </c>
      <c r="O82" t="s">
        <v>50</v>
      </c>
    </row>
    <row r="83" spans="2:15" x14ac:dyDescent="0.25">
      <c r="B83" t="s">
        <v>71</v>
      </c>
      <c r="C83" t="s">
        <v>49</v>
      </c>
      <c r="D83">
        <v>1.1450402718707085E-2</v>
      </c>
      <c r="E83" t="s">
        <v>50</v>
      </c>
      <c r="G83" t="s">
        <v>149</v>
      </c>
      <c r="H83" t="s">
        <v>49</v>
      </c>
      <c r="I83">
        <v>0.317704065751653</v>
      </c>
      <c r="J83" t="s">
        <v>50</v>
      </c>
      <c r="L83" t="s">
        <v>216</v>
      </c>
      <c r="M83" t="s">
        <v>49</v>
      </c>
      <c r="N83">
        <v>0.25388889911280038</v>
      </c>
      <c r="O83" t="s">
        <v>50</v>
      </c>
    </row>
    <row r="84" spans="2:15" x14ac:dyDescent="0.25">
      <c r="B84" t="s">
        <v>71</v>
      </c>
      <c r="C84" t="s">
        <v>51</v>
      </c>
      <c r="D84">
        <v>0.58977169347596425</v>
      </c>
      <c r="E84" t="s">
        <v>50</v>
      </c>
      <c r="G84" t="s">
        <v>149</v>
      </c>
      <c r="H84" t="s">
        <v>51</v>
      </c>
      <c r="I84">
        <v>0.18779930646773427</v>
      </c>
      <c r="J84" t="s">
        <v>50</v>
      </c>
      <c r="L84" t="s">
        <v>216</v>
      </c>
      <c r="M84" t="s">
        <v>51</v>
      </c>
      <c r="N84">
        <v>0.16807329566807824</v>
      </c>
      <c r="O84" t="s">
        <v>50</v>
      </c>
    </row>
    <row r="85" spans="2:15" x14ac:dyDescent="0.25">
      <c r="B85" t="s">
        <v>71</v>
      </c>
      <c r="C85" t="s">
        <v>52</v>
      </c>
      <c r="D85">
        <v>4.2836826977587479E-3</v>
      </c>
      <c r="E85" t="s">
        <v>50</v>
      </c>
      <c r="G85" t="s">
        <v>149</v>
      </c>
      <c r="H85" t="s">
        <v>52</v>
      </c>
      <c r="I85">
        <v>0.25825460709774067</v>
      </c>
      <c r="J85" t="s">
        <v>50</v>
      </c>
      <c r="L85" t="s">
        <v>216</v>
      </c>
      <c r="M85" t="s">
        <v>52</v>
      </c>
      <c r="N85">
        <v>0.2969611887591635</v>
      </c>
      <c r="O85" t="s">
        <v>50</v>
      </c>
    </row>
    <row r="86" spans="2:15" x14ac:dyDescent="0.25">
      <c r="B86" t="s">
        <v>71</v>
      </c>
      <c r="C86" t="s">
        <v>53</v>
      </c>
      <c r="D86">
        <v>0.39449422110756838</v>
      </c>
      <c r="E86" t="s">
        <v>50</v>
      </c>
      <c r="G86" t="s">
        <v>149</v>
      </c>
      <c r="H86" t="s">
        <v>53</v>
      </c>
      <c r="I86">
        <v>0.2362420206828687</v>
      </c>
      <c r="J86" t="s">
        <v>50</v>
      </c>
      <c r="L86" t="s">
        <v>216</v>
      </c>
      <c r="M86" t="s">
        <v>53</v>
      </c>
      <c r="N86">
        <v>0.28107661645995685</v>
      </c>
      <c r="O86" t="s">
        <v>50</v>
      </c>
    </row>
    <row r="87" spans="2:15" x14ac:dyDescent="0.25">
      <c r="B87" t="s">
        <v>72</v>
      </c>
      <c r="C87" t="s">
        <v>49</v>
      </c>
      <c r="D87">
        <v>1.1490233239728118E-2</v>
      </c>
      <c r="E87" t="s">
        <v>50</v>
      </c>
      <c r="G87" t="s">
        <v>150</v>
      </c>
      <c r="H87" t="s">
        <v>49</v>
      </c>
      <c r="I87">
        <v>0.25844817674201948</v>
      </c>
      <c r="J87" t="s">
        <v>50</v>
      </c>
      <c r="L87" t="s">
        <v>217</v>
      </c>
      <c r="M87" t="s">
        <v>49</v>
      </c>
      <c r="N87">
        <v>0.20414243384479686</v>
      </c>
      <c r="O87" t="s">
        <v>50</v>
      </c>
    </row>
    <row r="88" spans="2:15" x14ac:dyDescent="0.25">
      <c r="B88" t="s">
        <v>72</v>
      </c>
      <c r="C88" t="s">
        <v>51</v>
      </c>
      <c r="D88">
        <v>0.57034863869546337</v>
      </c>
      <c r="E88" t="s">
        <v>50</v>
      </c>
      <c r="G88" t="s">
        <v>150</v>
      </c>
      <c r="H88" t="s">
        <v>51</v>
      </c>
      <c r="I88">
        <v>0.15500593330085435</v>
      </c>
      <c r="J88" t="s">
        <v>50</v>
      </c>
      <c r="L88" t="s">
        <v>217</v>
      </c>
      <c r="M88" t="s">
        <v>51</v>
      </c>
      <c r="N88">
        <v>0.19874607633714336</v>
      </c>
      <c r="O88" t="s">
        <v>50</v>
      </c>
    </row>
    <row r="89" spans="2:15" x14ac:dyDescent="0.25">
      <c r="B89" t="s">
        <v>72</v>
      </c>
      <c r="C89" t="s">
        <v>52</v>
      </c>
      <c r="D89">
        <v>5.517457331976147E-3</v>
      </c>
      <c r="E89" t="s">
        <v>50</v>
      </c>
      <c r="G89" t="s">
        <v>150</v>
      </c>
      <c r="H89" t="s">
        <v>52</v>
      </c>
      <c r="I89">
        <v>0.29178328055902142</v>
      </c>
      <c r="J89" t="s">
        <v>50</v>
      </c>
      <c r="L89" t="s">
        <v>217</v>
      </c>
      <c r="M89" t="s">
        <v>52</v>
      </c>
      <c r="N89">
        <v>0.30954676168407963</v>
      </c>
      <c r="O89" t="s">
        <v>50</v>
      </c>
    </row>
    <row r="90" spans="2:15" x14ac:dyDescent="0.25">
      <c r="B90" t="s">
        <v>72</v>
      </c>
      <c r="C90" t="s">
        <v>53</v>
      </c>
      <c r="D90">
        <v>0.4126436707328327</v>
      </c>
      <c r="E90" t="s">
        <v>50</v>
      </c>
      <c r="G90" t="s">
        <v>150</v>
      </c>
      <c r="H90" t="s">
        <v>53</v>
      </c>
      <c r="I90">
        <v>0.29476260939810467</v>
      </c>
      <c r="J90" t="s">
        <v>50</v>
      </c>
      <c r="L90" t="s">
        <v>217</v>
      </c>
      <c r="M90" t="s">
        <v>53</v>
      </c>
      <c r="N90">
        <v>0.28756472813397599</v>
      </c>
      <c r="O90" t="s">
        <v>50</v>
      </c>
    </row>
    <row r="91" spans="2:15" x14ac:dyDescent="0.25">
      <c r="B91" t="s">
        <v>73</v>
      </c>
      <c r="C91" t="s">
        <v>49</v>
      </c>
      <c r="D91">
        <v>1.5319901179976189E-2</v>
      </c>
      <c r="E91" t="s">
        <v>50</v>
      </c>
      <c r="G91" t="s">
        <v>151</v>
      </c>
      <c r="H91" t="s">
        <v>49</v>
      </c>
      <c r="I91">
        <v>0.28415132060755688</v>
      </c>
      <c r="J91" t="s">
        <v>50</v>
      </c>
      <c r="L91" t="s">
        <v>218</v>
      </c>
      <c r="M91" t="s">
        <v>49</v>
      </c>
      <c r="N91">
        <v>0.17758488458751609</v>
      </c>
      <c r="O91" t="s">
        <v>50</v>
      </c>
    </row>
    <row r="92" spans="2:15" x14ac:dyDescent="0.25">
      <c r="B92" t="s">
        <v>73</v>
      </c>
      <c r="C92" t="s">
        <v>51</v>
      </c>
      <c r="D92">
        <v>0.55617610082254809</v>
      </c>
      <c r="E92" t="s">
        <v>50</v>
      </c>
      <c r="G92" t="s">
        <v>151</v>
      </c>
      <c r="H92" t="s">
        <v>51</v>
      </c>
      <c r="I92">
        <v>0.19721368031906492</v>
      </c>
      <c r="J92" t="s">
        <v>50</v>
      </c>
      <c r="L92" t="s">
        <v>218</v>
      </c>
      <c r="M92" t="s">
        <v>51</v>
      </c>
      <c r="N92">
        <v>0.15553288183644251</v>
      </c>
      <c r="O92" t="s">
        <v>50</v>
      </c>
    </row>
    <row r="93" spans="2:15" x14ac:dyDescent="0.25">
      <c r="B93" t="s">
        <v>73</v>
      </c>
      <c r="C93" t="s">
        <v>52</v>
      </c>
      <c r="D93">
        <v>8.3860221527102714E-3</v>
      </c>
      <c r="E93" t="s">
        <v>50</v>
      </c>
      <c r="G93" t="s">
        <v>151</v>
      </c>
      <c r="H93" t="s">
        <v>52</v>
      </c>
      <c r="I93">
        <v>0.26111333057042724</v>
      </c>
      <c r="J93" t="s">
        <v>50</v>
      </c>
      <c r="L93" t="s">
        <v>218</v>
      </c>
      <c r="M93" t="s">
        <v>52</v>
      </c>
      <c r="N93">
        <v>0.33685423008801357</v>
      </c>
      <c r="O93" t="s">
        <v>50</v>
      </c>
    </row>
    <row r="94" spans="2:15" x14ac:dyDescent="0.25">
      <c r="B94" t="s">
        <v>73</v>
      </c>
      <c r="C94" t="s">
        <v>53</v>
      </c>
      <c r="D94">
        <v>0.42011797584476596</v>
      </c>
      <c r="E94" t="s">
        <v>50</v>
      </c>
      <c r="G94" t="s">
        <v>151</v>
      </c>
      <c r="H94" t="s">
        <v>53</v>
      </c>
      <c r="I94">
        <v>0.25752166850294911</v>
      </c>
      <c r="J94" t="s">
        <v>50</v>
      </c>
      <c r="L94" t="s">
        <v>218</v>
      </c>
      <c r="M94" t="s">
        <v>53</v>
      </c>
      <c r="N94">
        <v>0.33002800348802785</v>
      </c>
      <c r="O94" t="s">
        <v>50</v>
      </c>
    </row>
    <row r="95" spans="2:15" x14ac:dyDescent="0.25">
      <c r="B95" t="s">
        <v>74</v>
      </c>
      <c r="C95" t="s">
        <v>49</v>
      </c>
      <c r="D95">
        <v>1.3687999583807864E-2</v>
      </c>
      <c r="E95" t="s">
        <v>50</v>
      </c>
      <c r="G95" t="s">
        <v>152</v>
      </c>
      <c r="H95" t="s">
        <v>49</v>
      </c>
      <c r="I95">
        <v>0.27826886441952686</v>
      </c>
      <c r="J95" t="s">
        <v>50</v>
      </c>
      <c r="L95" t="s">
        <v>219</v>
      </c>
      <c r="M95" t="s">
        <v>49</v>
      </c>
      <c r="N95">
        <v>0.22681062366996349</v>
      </c>
      <c r="O95" t="s">
        <v>50</v>
      </c>
    </row>
    <row r="96" spans="2:15" x14ac:dyDescent="0.25">
      <c r="B96" t="s">
        <v>74</v>
      </c>
      <c r="C96" t="s">
        <v>51</v>
      </c>
      <c r="D96">
        <v>0.54883031792161041</v>
      </c>
      <c r="E96" t="s">
        <v>50</v>
      </c>
      <c r="G96" t="s">
        <v>152</v>
      </c>
      <c r="H96" t="s">
        <v>51</v>
      </c>
      <c r="I96">
        <v>0.17359227916464826</v>
      </c>
      <c r="J96" t="s">
        <v>50</v>
      </c>
      <c r="L96" t="s">
        <v>219</v>
      </c>
      <c r="M96" t="s">
        <v>51</v>
      </c>
      <c r="N96">
        <v>0.21042198408436547</v>
      </c>
      <c r="O96" t="s">
        <v>50</v>
      </c>
    </row>
    <row r="97" spans="2:15" x14ac:dyDescent="0.25">
      <c r="B97" t="s">
        <v>74</v>
      </c>
      <c r="C97" t="s">
        <v>52</v>
      </c>
      <c r="D97">
        <v>8.6251931554541909E-3</v>
      </c>
      <c r="E97" t="s">
        <v>50</v>
      </c>
      <c r="G97" t="s">
        <v>152</v>
      </c>
      <c r="H97" t="s">
        <v>52</v>
      </c>
      <c r="I97">
        <v>0.30278382281613392</v>
      </c>
      <c r="J97" t="s">
        <v>50</v>
      </c>
      <c r="L97" t="s">
        <v>219</v>
      </c>
      <c r="M97" t="s">
        <v>52</v>
      </c>
      <c r="N97">
        <v>0.2954892219244265</v>
      </c>
      <c r="O97" t="s">
        <v>50</v>
      </c>
    </row>
    <row r="98" spans="2:15" x14ac:dyDescent="0.25">
      <c r="B98" t="s">
        <v>74</v>
      </c>
      <c r="C98" t="s">
        <v>53</v>
      </c>
      <c r="D98">
        <v>0.42885648933912723</v>
      </c>
      <c r="E98" t="s">
        <v>50</v>
      </c>
      <c r="G98" t="s">
        <v>152</v>
      </c>
      <c r="H98" t="s">
        <v>53</v>
      </c>
      <c r="I98">
        <v>0.24535503359969196</v>
      </c>
      <c r="J98" t="s">
        <v>50</v>
      </c>
      <c r="L98" t="s">
        <v>219</v>
      </c>
      <c r="M98" t="s">
        <v>53</v>
      </c>
      <c r="N98">
        <v>0.26727817032124712</v>
      </c>
      <c r="O98" t="s">
        <v>50</v>
      </c>
    </row>
    <row r="99" spans="2:15" x14ac:dyDescent="0.25">
      <c r="B99" t="s">
        <v>75</v>
      </c>
      <c r="C99" t="s">
        <v>49</v>
      </c>
      <c r="D99">
        <v>1.178252244787136E-2</v>
      </c>
      <c r="E99" t="s">
        <v>50</v>
      </c>
      <c r="G99" t="s">
        <v>153</v>
      </c>
      <c r="H99" t="s">
        <v>49</v>
      </c>
      <c r="I99">
        <v>0.32608090915072535</v>
      </c>
      <c r="J99" t="s">
        <v>50</v>
      </c>
      <c r="L99" t="s">
        <v>220</v>
      </c>
      <c r="M99" t="s">
        <v>49</v>
      </c>
      <c r="N99">
        <v>0.2494215365113078</v>
      </c>
      <c r="O99" t="s">
        <v>50</v>
      </c>
    </row>
    <row r="100" spans="2:15" x14ac:dyDescent="0.25">
      <c r="B100" t="s">
        <v>75</v>
      </c>
      <c r="C100" t="s">
        <v>51</v>
      </c>
      <c r="D100">
        <v>0.57625946447739906</v>
      </c>
      <c r="E100" t="s">
        <v>50</v>
      </c>
      <c r="G100" t="s">
        <v>153</v>
      </c>
      <c r="H100" t="s">
        <v>51</v>
      </c>
      <c r="I100">
        <v>0.198363431132456</v>
      </c>
      <c r="J100" t="s">
        <v>50</v>
      </c>
      <c r="L100" t="s">
        <v>220</v>
      </c>
      <c r="M100" t="s">
        <v>51</v>
      </c>
      <c r="N100">
        <v>0.23341884242582583</v>
      </c>
      <c r="O100" t="s">
        <v>50</v>
      </c>
    </row>
    <row r="101" spans="2:15" x14ac:dyDescent="0.25">
      <c r="B101" t="s">
        <v>75</v>
      </c>
      <c r="C101" t="s">
        <v>52</v>
      </c>
      <c r="D101">
        <v>6.1146763187590941E-3</v>
      </c>
      <c r="E101" t="s">
        <v>50</v>
      </c>
      <c r="G101" t="s">
        <v>153</v>
      </c>
      <c r="H101" t="s">
        <v>52</v>
      </c>
      <c r="I101">
        <v>0.25972724536496633</v>
      </c>
      <c r="J101" t="s">
        <v>50</v>
      </c>
      <c r="L101" t="s">
        <v>220</v>
      </c>
      <c r="M101" t="s">
        <v>52</v>
      </c>
      <c r="N101">
        <v>0.27213845846350515</v>
      </c>
      <c r="O101" t="s">
        <v>50</v>
      </c>
    </row>
    <row r="102" spans="2:15" x14ac:dyDescent="0.25">
      <c r="B102" t="s">
        <v>75</v>
      </c>
      <c r="C102" t="s">
        <v>53</v>
      </c>
      <c r="D102">
        <v>0.40584333675596618</v>
      </c>
      <c r="E102" t="s">
        <v>50</v>
      </c>
      <c r="G102" t="s">
        <v>153</v>
      </c>
      <c r="H102" t="s">
        <v>53</v>
      </c>
      <c r="I102">
        <v>0.21582841435185196</v>
      </c>
      <c r="J102" t="s">
        <v>50</v>
      </c>
      <c r="L102" t="s">
        <v>220</v>
      </c>
      <c r="M102" t="s">
        <v>53</v>
      </c>
      <c r="N102">
        <v>0.24502116259936235</v>
      </c>
      <c r="O102" t="s">
        <v>50</v>
      </c>
    </row>
    <row r="103" spans="2:15" x14ac:dyDescent="0.25">
      <c r="B103" t="s">
        <v>76</v>
      </c>
      <c r="C103" t="s">
        <v>49</v>
      </c>
      <c r="D103">
        <v>1.1421673257835135E-2</v>
      </c>
      <c r="E103" t="s">
        <v>50</v>
      </c>
      <c r="G103" t="s">
        <v>154</v>
      </c>
      <c r="H103" t="s">
        <v>49</v>
      </c>
      <c r="I103">
        <v>0.29109924241829671</v>
      </c>
      <c r="J103" t="s">
        <v>50</v>
      </c>
      <c r="L103" t="s">
        <v>221</v>
      </c>
      <c r="M103" t="s">
        <v>49</v>
      </c>
      <c r="N103">
        <v>0.25655138176918912</v>
      </c>
      <c r="O103" t="s">
        <v>50</v>
      </c>
    </row>
    <row r="104" spans="2:15" x14ac:dyDescent="0.25">
      <c r="B104" t="s">
        <v>76</v>
      </c>
      <c r="C104" t="s">
        <v>51</v>
      </c>
      <c r="D104">
        <v>0.56618788964895894</v>
      </c>
      <c r="E104" t="s">
        <v>50</v>
      </c>
      <c r="G104" t="s">
        <v>154</v>
      </c>
      <c r="H104" t="s">
        <v>51</v>
      </c>
      <c r="I104">
        <v>0.22849754520285009</v>
      </c>
      <c r="J104" t="s">
        <v>50</v>
      </c>
      <c r="L104" t="s">
        <v>221</v>
      </c>
      <c r="M104" t="s">
        <v>51</v>
      </c>
      <c r="N104">
        <v>0.24222357488158405</v>
      </c>
      <c r="O104" t="s">
        <v>50</v>
      </c>
    </row>
    <row r="105" spans="2:15" x14ac:dyDescent="0.25">
      <c r="B105" t="s">
        <v>76</v>
      </c>
      <c r="C105" t="s">
        <v>52</v>
      </c>
      <c r="D105">
        <v>5.8047257736890453E-3</v>
      </c>
      <c r="E105" t="s">
        <v>50</v>
      </c>
      <c r="G105" t="s">
        <v>154</v>
      </c>
      <c r="H105" t="s">
        <v>52</v>
      </c>
      <c r="I105">
        <v>0.25521689300794143</v>
      </c>
      <c r="J105" t="s">
        <v>50</v>
      </c>
      <c r="L105" t="s">
        <v>221</v>
      </c>
      <c r="M105" t="s">
        <v>52</v>
      </c>
      <c r="N105">
        <v>0.2630998278832945</v>
      </c>
      <c r="O105" t="s">
        <v>50</v>
      </c>
    </row>
    <row r="106" spans="2:15" x14ac:dyDescent="0.25">
      <c r="B106" t="s">
        <v>76</v>
      </c>
      <c r="C106" t="s">
        <v>53</v>
      </c>
      <c r="D106">
        <v>0.41658571131951699</v>
      </c>
      <c r="E106" t="s">
        <v>50</v>
      </c>
      <c r="G106" t="s">
        <v>154</v>
      </c>
      <c r="H106" t="s">
        <v>53</v>
      </c>
      <c r="I106">
        <v>0.22518631937090736</v>
      </c>
      <c r="J106" t="s">
        <v>50</v>
      </c>
      <c r="L106" t="s">
        <v>221</v>
      </c>
      <c r="M106" t="s">
        <v>53</v>
      </c>
      <c r="N106">
        <v>0.23812521546593507</v>
      </c>
      <c r="O106" t="s">
        <v>50</v>
      </c>
    </row>
    <row r="107" spans="2:15" x14ac:dyDescent="0.25">
      <c r="B107" t="s">
        <v>77</v>
      </c>
      <c r="C107" t="s">
        <v>49</v>
      </c>
      <c r="D107">
        <v>5.0022751601391073E-3</v>
      </c>
      <c r="E107" t="s">
        <v>50</v>
      </c>
      <c r="G107" t="s">
        <v>155</v>
      </c>
      <c r="H107" t="s">
        <v>49</v>
      </c>
      <c r="I107">
        <v>0.31779976218089523</v>
      </c>
      <c r="J107" t="s">
        <v>50</v>
      </c>
    </row>
    <row r="108" spans="2:15" x14ac:dyDescent="0.25">
      <c r="B108" t="s">
        <v>77</v>
      </c>
      <c r="C108" t="s">
        <v>51</v>
      </c>
      <c r="D108">
        <v>0.57717604468295913</v>
      </c>
      <c r="E108" t="s">
        <v>50</v>
      </c>
      <c r="G108" t="s">
        <v>155</v>
      </c>
      <c r="H108" t="s">
        <v>51</v>
      </c>
      <c r="I108">
        <v>0.13757397279974279</v>
      </c>
      <c r="J108" t="s">
        <v>50</v>
      </c>
    </row>
    <row r="109" spans="2:15" x14ac:dyDescent="0.25">
      <c r="B109" t="s">
        <v>77</v>
      </c>
      <c r="C109" t="s">
        <v>52</v>
      </c>
      <c r="D109">
        <v>3.0878871166034939E-3</v>
      </c>
      <c r="E109" t="s">
        <v>50</v>
      </c>
      <c r="G109" t="s">
        <v>155</v>
      </c>
      <c r="H109" t="s">
        <v>52</v>
      </c>
      <c r="I109">
        <v>0.29210248808841965</v>
      </c>
      <c r="J109" t="s">
        <v>50</v>
      </c>
    </row>
    <row r="110" spans="2:15" x14ac:dyDescent="0.25">
      <c r="B110" t="s">
        <v>77</v>
      </c>
      <c r="C110" t="s">
        <v>53</v>
      </c>
      <c r="D110">
        <v>0.414733793040298</v>
      </c>
      <c r="E110" t="s">
        <v>50</v>
      </c>
      <c r="G110" t="s">
        <v>155</v>
      </c>
      <c r="H110" t="s">
        <v>53</v>
      </c>
      <c r="I110">
        <v>0.25252377693094052</v>
      </c>
      <c r="J110" t="s">
        <v>50</v>
      </c>
    </row>
    <row r="111" spans="2:15" x14ac:dyDescent="0.25">
      <c r="B111" t="s">
        <v>78</v>
      </c>
      <c r="C111" t="s">
        <v>49</v>
      </c>
      <c r="D111">
        <v>8.9375383669503001E-3</v>
      </c>
      <c r="E111" t="s">
        <v>50</v>
      </c>
      <c r="G111" t="s">
        <v>156</v>
      </c>
      <c r="H111" t="s">
        <v>49</v>
      </c>
      <c r="I111">
        <v>0.31254684768013768</v>
      </c>
      <c r="J111" t="s">
        <v>50</v>
      </c>
    </row>
    <row r="112" spans="2:15" x14ac:dyDescent="0.25">
      <c r="B112" t="s">
        <v>78</v>
      </c>
      <c r="C112" t="s">
        <v>51</v>
      </c>
      <c r="D112">
        <v>0.57593601971443564</v>
      </c>
      <c r="E112" t="s">
        <v>50</v>
      </c>
      <c r="G112" t="s">
        <v>156</v>
      </c>
      <c r="H112" t="s">
        <v>51</v>
      </c>
      <c r="I112">
        <v>0.1794389319865882</v>
      </c>
      <c r="J112" t="s">
        <v>50</v>
      </c>
    </row>
    <row r="113" spans="2:10" x14ac:dyDescent="0.25">
      <c r="B113" t="s">
        <v>78</v>
      </c>
      <c r="C113" t="s">
        <v>52</v>
      </c>
      <c r="D113">
        <v>4.3382414966626412E-3</v>
      </c>
      <c r="E113" t="s">
        <v>50</v>
      </c>
      <c r="G113" t="s">
        <v>156</v>
      </c>
      <c r="H113" t="s">
        <v>52</v>
      </c>
      <c r="I113">
        <v>0.26714660174981641</v>
      </c>
      <c r="J113" t="s">
        <v>50</v>
      </c>
    </row>
    <row r="114" spans="2:10" x14ac:dyDescent="0.25">
      <c r="B114" t="s">
        <v>78</v>
      </c>
      <c r="C114" t="s">
        <v>53</v>
      </c>
      <c r="D114">
        <v>0.41078820042195008</v>
      </c>
      <c r="E114" t="s">
        <v>50</v>
      </c>
      <c r="G114" t="s">
        <v>156</v>
      </c>
      <c r="H114" t="s">
        <v>53</v>
      </c>
      <c r="I114">
        <v>0.24086761858346056</v>
      </c>
      <c r="J114" t="s">
        <v>50</v>
      </c>
    </row>
    <row r="115" spans="2:10" x14ac:dyDescent="0.25">
      <c r="B115" t="s">
        <v>79</v>
      </c>
      <c r="C115" t="s">
        <v>49</v>
      </c>
      <c r="D115">
        <v>8.291758906273523E-3</v>
      </c>
      <c r="E115" t="s">
        <v>50</v>
      </c>
      <c r="G115" t="s">
        <v>157</v>
      </c>
      <c r="H115" t="s">
        <v>49</v>
      </c>
      <c r="I115">
        <v>0.32064076941809289</v>
      </c>
      <c r="J115" t="s">
        <v>50</v>
      </c>
    </row>
    <row r="116" spans="2:10" x14ac:dyDescent="0.25">
      <c r="B116" t="s">
        <v>79</v>
      </c>
      <c r="C116" t="s">
        <v>51</v>
      </c>
      <c r="D116">
        <v>0.58544291185637087</v>
      </c>
      <c r="E116" t="s">
        <v>50</v>
      </c>
      <c r="G116" t="s">
        <v>157</v>
      </c>
      <c r="H116" t="s">
        <v>51</v>
      </c>
      <c r="I116">
        <v>0.18834526706299959</v>
      </c>
      <c r="J116" t="s">
        <v>50</v>
      </c>
    </row>
    <row r="117" spans="2:10" x14ac:dyDescent="0.25">
      <c r="B117" t="s">
        <v>79</v>
      </c>
      <c r="C117" t="s">
        <v>52</v>
      </c>
      <c r="D117">
        <v>3.8332848269375026E-3</v>
      </c>
      <c r="E117" t="s">
        <v>50</v>
      </c>
      <c r="G117" t="s">
        <v>157</v>
      </c>
      <c r="H117" t="s">
        <v>52</v>
      </c>
      <c r="I117">
        <v>0.25560278584414908</v>
      </c>
      <c r="J117" t="s">
        <v>50</v>
      </c>
    </row>
    <row r="118" spans="2:10" x14ac:dyDescent="0.25">
      <c r="B118" t="s">
        <v>79</v>
      </c>
      <c r="C118" t="s">
        <v>53</v>
      </c>
      <c r="D118">
        <v>0.40243204441041802</v>
      </c>
      <c r="E118" t="s">
        <v>50</v>
      </c>
      <c r="G118" t="s">
        <v>157</v>
      </c>
      <c r="H118" t="s">
        <v>53</v>
      </c>
      <c r="I118">
        <v>0.23541117767475742</v>
      </c>
      <c r="J118" t="s">
        <v>50</v>
      </c>
    </row>
    <row r="119" spans="2:10" x14ac:dyDescent="0.25">
      <c r="B119" t="s">
        <v>80</v>
      </c>
      <c r="C119" t="s">
        <v>49</v>
      </c>
      <c r="D119">
        <v>6.3796969833058567E-3</v>
      </c>
      <c r="E119" t="s">
        <v>50</v>
      </c>
      <c r="G119" t="s">
        <v>158</v>
      </c>
      <c r="H119" t="s">
        <v>49</v>
      </c>
      <c r="I119">
        <v>0.35979422280472412</v>
      </c>
      <c r="J119" t="s">
        <v>50</v>
      </c>
    </row>
    <row r="120" spans="2:10" x14ac:dyDescent="0.25">
      <c r="B120" t="s">
        <v>80</v>
      </c>
      <c r="C120" t="s">
        <v>51</v>
      </c>
      <c r="D120">
        <v>0.58202463094818335</v>
      </c>
      <c r="E120" t="s">
        <v>50</v>
      </c>
      <c r="G120" t="s">
        <v>158</v>
      </c>
      <c r="H120" t="s">
        <v>51</v>
      </c>
      <c r="I120">
        <v>0.19147646604064958</v>
      </c>
      <c r="J120" t="s">
        <v>50</v>
      </c>
    </row>
    <row r="121" spans="2:10" x14ac:dyDescent="0.25">
      <c r="B121" t="s">
        <v>80</v>
      </c>
      <c r="C121" t="s">
        <v>52</v>
      </c>
      <c r="D121">
        <v>3.4152305057708566E-3</v>
      </c>
      <c r="E121" t="s">
        <v>50</v>
      </c>
      <c r="G121" t="s">
        <v>158</v>
      </c>
      <c r="H121" t="s">
        <v>52</v>
      </c>
      <c r="I121">
        <v>0.24559795383477018</v>
      </c>
      <c r="J121" t="s">
        <v>50</v>
      </c>
    </row>
    <row r="122" spans="2:10" x14ac:dyDescent="0.25">
      <c r="B122" t="s">
        <v>80</v>
      </c>
      <c r="C122" t="s">
        <v>53</v>
      </c>
      <c r="D122">
        <v>0.40818044156273914</v>
      </c>
      <c r="E122" t="s">
        <v>50</v>
      </c>
      <c r="G122" t="s">
        <v>158</v>
      </c>
      <c r="H122" t="s">
        <v>53</v>
      </c>
      <c r="I122">
        <v>0.20313135731985155</v>
      </c>
      <c r="J122" t="s">
        <v>50</v>
      </c>
    </row>
    <row r="123" spans="2:10" x14ac:dyDescent="0.25">
      <c r="B123" t="s">
        <v>81</v>
      </c>
      <c r="C123" t="s">
        <v>49</v>
      </c>
      <c r="D123">
        <v>4.1758974787580111E-3</v>
      </c>
      <c r="E123" t="s">
        <v>50</v>
      </c>
      <c r="G123" t="s">
        <v>159</v>
      </c>
      <c r="H123" t="s">
        <v>49</v>
      </c>
      <c r="I123">
        <v>0.26977178803558427</v>
      </c>
      <c r="J123" t="s">
        <v>50</v>
      </c>
    </row>
    <row r="124" spans="2:10" x14ac:dyDescent="0.25">
      <c r="B124" t="s">
        <v>81</v>
      </c>
      <c r="C124" t="s">
        <v>51</v>
      </c>
      <c r="D124">
        <v>0.5302383130847258</v>
      </c>
      <c r="E124" t="s">
        <v>50</v>
      </c>
      <c r="G124" t="s">
        <v>159</v>
      </c>
      <c r="H124" t="s">
        <v>51</v>
      </c>
      <c r="I124">
        <v>0.10524160639066753</v>
      </c>
      <c r="J124" t="s">
        <v>50</v>
      </c>
    </row>
    <row r="125" spans="2:10" x14ac:dyDescent="0.25">
      <c r="B125" t="s">
        <v>81</v>
      </c>
      <c r="C125" t="s">
        <v>52</v>
      </c>
      <c r="D125">
        <v>3.9307735711170688E-3</v>
      </c>
      <c r="E125" t="s">
        <v>50</v>
      </c>
      <c r="G125" t="s">
        <v>159</v>
      </c>
      <c r="H125" t="s">
        <v>52</v>
      </c>
      <c r="I125">
        <v>0.30921025812658254</v>
      </c>
      <c r="J125" t="s">
        <v>50</v>
      </c>
    </row>
    <row r="126" spans="2:10" x14ac:dyDescent="0.25">
      <c r="B126" t="s">
        <v>81</v>
      </c>
      <c r="C126" t="s">
        <v>53</v>
      </c>
      <c r="D126">
        <v>0.4616550158653967</v>
      </c>
      <c r="E126" t="s">
        <v>50</v>
      </c>
      <c r="G126" t="s">
        <v>159</v>
      </c>
      <c r="H126" t="s">
        <v>53</v>
      </c>
      <c r="I126">
        <v>0.31577634744717026</v>
      </c>
      <c r="J126" t="s">
        <v>50</v>
      </c>
    </row>
    <row r="127" spans="2:10" x14ac:dyDescent="0.25">
      <c r="B127" t="s">
        <v>82</v>
      </c>
      <c r="C127" t="s">
        <v>49</v>
      </c>
      <c r="D127">
        <v>4.8056021308410185E-3</v>
      </c>
      <c r="E127" t="s">
        <v>50</v>
      </c>
      <c r="G127" t="s">
        <v>160</v>
      </c>
      <c r="H127" t="s">
        <v>49</v>
      </c>
      <c r="I127">
        <v>0.23430566521186905</v>
      </c>
      <c r="J127" t="s">
        <v>50</v>
      </c>
    </row>
    <row r="128" spans="2:10" x14ac:dyDescent="0.25">
      <c r="B128" t="s">
        <v>82</v>
      </c>
      <c r="C128" t="s">
        <v>51</v>
      </c>
      <c r="D128">
        <v>0.56988965313617546</v>
      </c>
      <c r="E128" t="s">
        <v>50</v>
      </c>
      <c r="G128" t="s">
        <v>160</v>
      </c>
      <c r="H128" t="s">
        <v>51</v>
      </c>
      <c r="I128">
        <v>0.15605670048246423</v>
      </c>
      <c r="J128" t="s">
        <v>50</v>
      </c>
    </row>
    <row r="129" spans="2:10" x14ac:dyDescent="0.25">
      <c r="B129" t="s">
        <v>82</v>
      </c>
      <c r="C129" t="s">
        <v>52</v>
      </c>
      <c r="D129">
        <v>2.6315789056652718E-3</v>
      </c>
      <c r="E129" t="s">
        <v>50</v>
      </c>
      <c r="G129" t="s">
        <v>160</v>
      </c>
      <c r="H129" t="s">
        <v>52</v>
      </c>
      <c r="I129">
        <v>0.30141030939704144</v>
      </c>
      <c r="J129" t="s">
        <v>50</v>
      </c>
    </row>
    <row r="130" spans="2:10" x14ac:dyDescent="0.25">
      <c r="B130" t="s">
        <v>82</v>
      </c>
      <c r="C130" t="s">
        <v>53</v>
      </c>
      <c r="D130">
        <v>0.42267316582731934</v>
      </c>
      <c r="E130" t="s">
        <v>50</v>
      </c>
      <c r="G130" t="s">
        <v>160</v>
      </c>
      <c r="H130" t="s">
        <v>53</v>
      </c>
      <c r="I130">
        <v>0.30822732490862659</v>
      </c>
      <c r="J130" t="s">
        <v>50</v>
      </c>
    </row>
    <row r="131" spans="2:10" x14ac:dyDescent="0.25">
      <c r="B131" t="s">
        <v>83</v>
      </c>
      <c r="C131" t="s">
        <v>49</v>
      </c>
      <c r="D131">
        <v>4.573539421955165E-3</v>
      </c>
      <c r="E131" t="s">
        <v>50</v>
      </c>
      <c r="G131" t="s">
        <v>161</v>
      </c>
      <c r="H131" t="s">
        <v>49</v>
      </c>
      <c r="I131">
        <v>0.26269129498893817</v>
      </c>
      <c r="J131" t="s">
        <v>50</v>
      </c>
    </row>
    <row r="132" spans="2:10" x14ac:dyDescent="0.25">
      <c r="B132" t="s">
        <v>83</v>
      </c>
      <c r="C132" t="s">
        <v>51</v>
      </c>
      <c r="D132">
        <v>0.59481135017262754</v>
      </c>
      <c r="E132" t="s">
        <v>50</v>
      </c>
      <c r="G132" t="s">
        <v>161</v>
      </c>
      <c r="H132" t="s">
        <v>51</v>
      </c>
      <c r="I132">
        <v>9.8940050600542284E-2</v>
      </c>
      <c r="J132" t="s">
        <v>50</v>
      </c>
    </row>
    <row r="133" spans="2:10" x14ac:dyDescent="0.25">
      <c r="B133" t="s">
        <v>83</v>
      </c>
      <c r="C133" t="s">
        <v>52</v>
      </c>
      <c r="D133">
        <v>1.7974898019031769E-3</v>
      </c>
      <c r="E133" t="s">
        <v>50</v>
      </c>
      <c r="G133" t="s">
        <v>161</v>
      </c>
      <c r="H133" t="s">
        <v>52</v>
      </c>
      <c r="I133">
        <v>0.32355461536747337</v>
      </c>
      <c r="J133" t="s">
        <v>50</v>
      </c>
    </row>
    <row r="134" spans="2:10" x14ac:dyDescent="0.25">
      <c r="B134" t="s">
        <v>83</v>
      </c>
      <c r="C134" t="s">
        <v>53</v>
      </c>
      <c r="D134">
        <v>0.39881762060351222</v>
      </c>
      <c r="E134" t="s">
        <v>50</v>
      </c>
      <c r="G134" t="s">
        <v>161</v>
      </c>
      <c r="H134" t="s">
        <v>53</v>
      </c>
      <c r="I134">
        <v>0.31481403904304578</v>
      </c>
      <c r="J134" t="s">
        <v>50</v>
      </c>
    </row>
    <row r="135" spans="2:10" x14ac:dyDescent="0.25">
      <c r="B135" t="s">
        <v>84</v>
      </c>
      <c r="C135" t="s">
        <v>49</v>
      </c>
      <c r="D135">
        <v>2.1276196322169424E-2</v>
      </c>
      <c r="E135" t="s">
        <v>50</v>
      </c>
      <c r="G135" t="s">
        <v>162</v>
      </c>
      <c r="H135" t="s">
        <v>49</v>
      </c>
      <c r="I135">
        <v>0.14706001727316742</v>
      </c>
      <c r="J135" t="s">
        <v>50</v>
      </c>
    </row>
    <row r="136" spans="2:10" x14ac:dyDescent="0.25">
      <c r="B136" t="s">
        <v>84</v>
      </c>
      <c r="C136" t="s">
        <v>51</v>
      </c>
      <c r="D136">
        <v>0.56733862382131439</v>
      </c>
      <c r="E136" t="s">
        <v>50</v>
      </c>
      <c r="G136" t="s">
        <v>162</v>
      </c>
      <c r="H136" t="s">
        <v>51</v>
      </c>
      <c r="I136">
        <v>0.11079391267831966</v>
      </c>
      <c r="J136" t="s">
        <v>50</v>
      </c>
    </row>
    <row r="137" spans="2:10" x14ac:dyDescent="0.25">
      <c r="B137" t="s">
        <v>84</v>
      </c>
      <c r="C137" t="s">
        <v>52</v>
      </c>
      <c r="D137">
        <v>1.1084119254308224E-2</v>
      </c>
      <c r="E137" t="s">
        <v>50</v>
      </c>
      <c r="G137" t="s">
        <v>162</v>
      </c>
      <c r="H137" t="s">
        <v>52</v>
      </c>
      <c r="I137">
        <v>0.35788433788125623</v>
      </c>
      <c r="J137" t="s">
        <v>50</v>
      </c>
    </row>
    <row r="138" spans="2:10" x14ac:dyDescent="0.25">
      <c r="B138" t="s">
        <v>84</v>
      </c>
      <c r="C138" t="s">
        <v>53</v>
      </c>
      <c r="D138">
        <v>0.40030106060220694</v>
      </c>
      <c r="E138" t="s">
        <v>50</v>
      </c>
      <c r="G138" t="s">
        <v>162</v>
      </c>
      <c r="H138" t="s">
        <v>53</v>
      </c>
      <c r="I138">
        <v>0.38426173216725684</v>
      </c>
      <c r="J138" t="s">
        <v>50</v>
      </c>
    </row>
    <row r="139" spans="2:10" x14ac:dyDescent="0.25">
      <c r="B139" t="s">
        <v>85</v>
      </c>
      <c r="C139" t="s">
        <v>49</v>
      </c>
      <c r="D139">
        <v>2.2680426300897387E-2</v>
      </c>
      <c r="E139" t="s">
        <v>50</v>
      </c>
      <c r="G139" t="s">
        <v>163</v>
      </c>
      <c r="H139" t="s">
        <v>49</v>
      </c>
      <c r="I139">
        <v>0.26282523441221234</v>
      </c>
      <c r="J139" t="s">
        <v>50</v>
      </c>
    </row>
    <row r="140" spans="2:10" x14ac:dyDescent="0.25">
      <c r="B140" t="s">
        <v>85</v>
      </c>
      <c r="C140" t="s">
        <v>51</v>
      </c>
      <c r="D140">
        <v>0.55200519987278662</v>
      </c>
      <c r="E140" t="s">
        <v>50</v>
      </c>
      <c r="G140" t="s">
        <v>163</v>
      </c>
      <c r="H140" t="s">
        <v>51</v>
      </c>
      <c r="I140">
        <v>0.11552943393754682</v>
      </c>
      <c r="J140" t="s">
        <v>50</v>
      </c>
    </row>
    <row r="141" spans="2:10" x14ac:dyDescent="0.25">
      <c r="B141" t="s">
        <v>85</v>
      </c>
      <c r="C141" t="s">
        <v>52</v>
      </c>
      <c r="D141">
        <v>1.2527489310568624E-2</v>
      </c>
      <c r="E141" t="s">
        <v>50</v>
      </c>
      <c r="G141" t="s">
        <v>163</v>
      </c>
      <c r="H141" t="s">
        <v>52</v>
      </c>
      <c r="I141">
        <v>0.31124998806523047</v>
      </c>
      <c r="J141" t="s">
        <v>50</v>
      </c>
    </row>
    <row r="142" spans="2:10" x14ac:dyDescent="0.25">
      <c r="B142" t="s">
        <v>85</v>
      </c>
      <c r="C142" t="s">
        <v>53</v>
      </c>
      <c r="D142">
        <v>0.4127868845157488</v>
      </c>
      <c r="E142" t="s">
        <v>50</v>
      </c>
      <c r="G142" t="s">
        <v>163</v>
      </c>
      <c r="H142" t="s">
        <v>53</v>
      </c>
      <c r="I142">
        <v>0.31039534358500875</v>
      </c>
      <c r="J142" t="s">
        <v>50</v>
      </c>
    </row>
    <row r="143" spans="2:10" x14ac:dyDescent="0.25">
      <c r="B143" t="s">
        <v>86</v>
      </c>
      <c r="C143" t="s">
        <v>49</v>
      </c>
      <c r="D143">
        <v>2.3280191429051984E-2</v>
      </c>
      <c r="E143" t="s">
        <v>50</v>
      </c>
      <c r="G143" t="s">
        <v>164</v>
      </c>
      <c r="H143" t="s">
        <v>49</v>
      </c>
      <c r="I143">
        <v>0.23752742003280239</v>
      </c>
      <c r="J143" t="s">
        <v>50</v>
      </c>
    </row>
    <row r="144" spans="2:10" x14ac:dyDescent="0.25">
      <c r="B144" t="s">
        <v>86</v>
      </c>
      <c r="C144" t="s">
        <v>51</v>
      </c>
      <c r="D144">
        <v>0.55137050282786482</v>
      </c>
      <c r="E144" t="s">
        <v>50</v>
      </c>
      <c r="G144" t="s">
        <v>164</v>
      </c>
      <c r="H144" t="s">
        <v>51</v>
      </c>
      <c r="I144">
        <v>0.10175983680294878</v>
      </c>
      <c r="J144" t="s">
        <v>50</v>
      </c>
    </row>
    <row r="145" spans="2:10" x14ac:dyDescent="0.25">
      <c r="B145" t="s">
        <v>86</v>
      </c>
      <c r="C145" t="s">
        <v>52</v>
      </c>
      <c r="D145">
        <v>1.2241049717303089E-2</v>
      </c>
      <c r="E145" t="s">
        <v>50</v>
      </c>
      <c r="G145" t="s">
        <v>164</v>
      </c>
      <c r="H145" t="s">
        <v>52</v>
      </c>
      <c r="I145">
        <v>0.31807335487118538</v>
      </c>
      <c r="J145" t="s">
        <v>50</v>
      </c>
    </row>
    <row r="146" spans="2:10" x14ac:dyDescent="0.25">
      <c r="B146" t="s">
        <v>86</v>
      </c>
      <c r="C146" t="s">
        <v>53</v>
      </c>
      <c r="D146">
        <v>0.41310825602577861</v>
      </c>
      <c r="E146" t="s">
        <v>50</v>
      </c>
      <c r="G146" t="s">
        <v>164</v>
      </c>
      <c r="H146" t="s">
        <v>53</v>
      </c>
      <c r="I146">
        <v>0.34263938829306778</v>
      </c>
      <c r="J146" t="s">
        <v>50</v>
      </c>
    </row>
    <row r="147" spans="2:10" x14ac:dyDescent="0.25">
      <c r="B147" t="s">
        <v>87</v>
      </c>
      <c r="C147" t="s">
        <v>49</v>
      </c>
      <c r="D147">
        <v>2.2698188234852507E-2</v>
      </c>
      <c r="E147" t="s">
        <v>50</v>
      </c>
      <c r="G147" t="s">
        <v>165</v>
      </c>
      <c r="H147" t="s">
        <v>49</v>
      </c>
      <c r="I147">
        <v>0.29354732637467845</v>
      </c>
      <c r="J147" t="s">
        <v>50</v>
      </c>
    </row>
    <row r="148" spans="2:10" x14ac:dyDescent="0.25">
      <c r="B148" t="s">
        <v>87</v>
      </c>
      <c r="C148" t="s">
        <v>51</v>
      </c>
      <c r="D148">
        <v>0.5617492861678316</v>
      </c>
      <c r="E148" t="s">
        <v>50</v>
      </c>
      <c r="G148" t="s">
        <v>165</v>
      </c>
      <c r="H148" t="s">
        <v>51</v>
      </c>
      <c r="I148">
        <v>0.11486645478308528</v>
      </c>
      <c r="J148" t="s">
        <v>50</v>
      </c>
    </row>
    <row r="149" spans="2:10" x14ac:dyDescent="0.25">
      <c r="B149" t="s">
        <v>87</v>
      </c>
      <c r="C149" t="s">
        <v>52</v>
      </c>
      <c r="D149">
        <v>1.108863442021534E-2</v>
      </c>
      <c r="E149" t="s">
        <v>50</v>
      </c>
      <c r="G149" t="s">
        <v>165</v>
      </c>
      <c r="H149" t="s">
        <v>52</v>
      </c>
      <c r="I149">
        <v>0.30310658694790971</v>
      </c>
      <c r="J149" t="s">
        <v>50</v>
      </c>
    </row>
    <row r="150" spans="2:10" x14ac:dyDescent="0.25">
      <c r="B150" t="s">
        <v>87</v>
      </c>
      <c r="C150" t="s">
        <v>53</v>
      </c>
      <c r="D150">
        <v>0.40446389117710174</v>
      </c>
      <c r="E150" t="s">
        <v>50</v>
      </c>
      <c r="G150" t="s">
        <v>165</v>
      </c>
      <c r="H150" t="s">
        <v>53</v>
      </c>
      <c r="I150">
        <v>0.28847963189432285</v>
      </c>
      <c r="J150" t="s">
        <v>50</v>
      </c>
    </row>
    <row r="151" spans="2:10" x14ac:dyDescent="0.25">
      <c r="B151" t="s">
        <v>88</v>
      </c>
      <c r="C151" t="s">
        <v>49</v>
      </c>
      <c r="D151">
        <v>1.1888433078358964E-2</v>
      </c>
      <c r="E151" t="s">
        <v>50</v>
      </c>
      <c r="G151" t="s">
        <v>166</v>
      </c>
      <c r="H151" t="s">
        <v>49</v>
      </c>
      <c r="I151">
        <v>0.28075607552655141</v>
      </c>
      <c r="J151" t="s">
        <v>50</v>
      </c>
    </row>
    <row r="152" spans="2:10" x14ac:dyDescent="0.25">
      <c r="B152" t="s">
        <v>88</v>
      </c>
      <c r="C152" t="s">
        <v>51</v>
      </c>
      <c r="D152">
        <v>0.57236364280662033</v>
      </c>
      <c r="E152" t="s">
        <v>50</v>
      </c>
      <c r="G152" t="s">
        <v>166</v>
      </c>
      <c r="H152" t="s">
        <v>51</v>
      </c>
      <c r="I152">
        <v>0.22700014766657195</v>
      </c>
      <c r="J152" t="s">
        <v>50</v>
      </c>
    </row>
    <row r="153" spans="2:10" x14ac:dyDescent="0.25">
      <c r="B153" t="s">
        <v>88</v>
      </c>
      <c r="C153" t="s">
        <v>52</v>
      </c>
      <c r="D153">
        <v>5.5697223443104621E-3</v>
      </c>
      <c r="E153" t="s">
        <v>50</v>
      </c>
      <c r="G153" t="s">
        <v>166</v>
      </c>
      <c r="H153" t="s">
        <v>52</v>
      </c>
      <c r="I153">
        <v>0.27288091965089317</v>
      </c>
      <c r="J153" t="s">
        <v>50</v>
      </c>
    </row>
    <row r="154" spans="2:10" x14ac:dyDescent="0.25">
      <c r="B154" t="s">
        <v>88</v>
      </c>
      <c r="C154" t="s">
        <v>53</v>
      </c>
      <c r="D154">
        <v>0.41017820177070868</v>
      </c>
      <c r="E154" t="s">
        <v>50</v>
      </c>
      <c r="G154" t="s">
        <v>166</v>
      </c>
      <c r="H154" t="s">
        <v>53</v>
      </c>
      <c r="I154">
        <v>0.21936285715598466</v>
      </c>
      <c r="J154" t="s">
        <v>50</v>
      </c>
    </row>
    <row r="155" spans="2:10" x14ac:dyDescent="0.25">
      <c r="B155" t="s">
        <v>89</v>
      </c>
      <c r="C155" t="s">
        <v>49</v>
      </c>
      <c r="D155">
        <v>1.0160467772467704E-2</v>
      </c>
      <c r="E155" t="s">
        <v>50</v>
      </c>
      <c r="G155" t="s">
        <v>167</v>
      </c>
      <c r="H155" t="s">
        <v>49</v>
      </c>
      <c r="I155">
        <v>0.27795686813462844</v>
      </c>
      <c r="J155" t="s">
        <v>50</v>
      </c>
    </row>
    <row r="156" spans="2:10" x14ac:dyDescent="0.25">
      <c r="B156" t="s">
        <v>89</v>
      </c>
      <c r="C156" t="s">
        <v>51</v>
      </c>
      <c r="D156">
        <v>0.551800798450371</v>
      </c>
      <c r="E156" t="s">
        <v>50</v>
      </c>
      <c r="G156" t="s">
        <v>167</v>
      </c>
      <c r="H156" t="s">
        <v>51</v>
      </c>
      <c r="I156">
        <v>0.20382536464631085</v>
      </c>
      <c r="J156" t="s">
        <v>50</v>
      </c>
    </row>
    <row r="157" spans="2:10" x14ac:dyDescent="0.25">
      <c r="B157" t="s">
        <v>89</v>
      </c>
      <c r="C157" t="s">
        <v>52</v>
      </c>
      <c r="D157">
        <v>5.7267248054932822E-3</v>
      </c>
      <c r="E157" t="s">
        <v>50</v>
      </c>
      <c r="G157" t="s">
        <v>167</v>
      </c>
      <c r="H157" t="s">
        <v>52</v>
      </c>
      <c r="I157">
        <v>0.28299887901709408</v>
      </c>
      <c r="J157" t="s">
        <v>50</v>
      </c>
    </row>
    <row r="158" spans="2:10" x14ac:dyDescent="0.25">
      <c r="B158" t="s">
        <v>89</v>
      </c>
      <c r="C158" t="s">
        <v>53</v>
      </c>
      <c r="D158">
        <v>0.43231200897166838</v>
      </c>
      <c r="E158" t="s">
        <v>50</v>
      </c>
      <c r="G158" t="s">
        <v>167</v>
      </c>
      <c r="H158" t="s">
        <v>53</v>
      </c>
      <c r="I158">
        <v>0.23521888820196787</v>
      </c>
      <c r="J158" t="s">
        <v>50</v>
      </c>
    </row>
    <row r="159" spans="2:10" x14ac:dyDescent="0.25">
      <c r="B159" t="s">
        <v>90</v>
      </c>
      <c r="C159" t="s">
        <v>49</v>
      </c>
      <c r="D159">
        <v>1.2000237588907827E-2</v>
      </c>
      <c r="E159" t="s">
        <v>50</v>
      </c>
      <c r="G159" t="s">
        <v>168</v>
      </c>
      <c r="H159" t="s">
        <v>49</v>
      </c>
      <c r="I159">
        <v>0.16576546601388084</v>
      </c>
      <c r="J159" t="s">
        <v>50</v>
      </c>
    </row>
    <row r="160" spans="2:10" x14ac:dyDescent="0.25">
      <c r="B160" t="s">
        <v>90</v>
      </c>
      <c r="C160" t="s">
        <v>51</v>
      </c>
      <c r="D160">
        <v>0.54703263601531782</v>
      </c>
      <c r="E160" t="s">
        <v>50</v>
      </c>
      <c r="G160" t="s">
        <v>168</v>
      </c>
      <c r="H160" t="s">
        <v>51</v>
      </c>
      <c r="I160">
        <v>0.10369979517867482</v>
      </c>
      <c r="J160" t="s">
        <v>50</v>
      </c>
    </row>
    <row r="161" spans="2:10" x14ac:dyDescent="0.25">
      <c r="B161" t="s">
        <v>90</v>
      </c>
      <c r="C161" t="s">
        <v>52</v>
      </c>
      <c r="D161">
        <v>7.6830188692234638E-3</v>
      </c>
      <c r="E161" t="s">
        <v>50</v>
      </c>
      <c r="G161" t="s">
        <v>168</v>
      </c>
      <c r="H161" t="s">
        <v>52</v>
      </c>
      <c r="I161">
        <v>0.34192900121171366</v>
      </c>
      <c r="J161" t="s">
        <v>50</v>
      </c>
    </row>
    <row r="162" spans="2:10" x14ac:dyDescent="0.25">
      <c r="B162" t="s">
        <v>90</v>
      </c>
      <c r="C162" t="s">
        <v>53</v>
      </c>
      <c r="D162">
        <v>0.43328410752654506</v>
      </c>
      <c r="E162" t="s">
        <v>50</v>
      </c>
      <c r="G162" t="s">
        <v>168</v>
      </c>
      <c r="H162" t="s">
        <v>53</v>
      </c>
      <c r="I162">
        <v>0.38860573759572836</v>
      </c>
      <c r="J162" t="s">
        <v>50</v>
      </c>
    </row>
    <row r="163" spans="2:10" x14ac:dyDescent="0.25">
      <c r="B163" t="s">
        <v>91</v>
      </c>
      <c r="C163" t="s">
        <v>49</v>
      </c>
      <c r="D163">
        <v>1.455728861133007E-2</v>
      </c>
      <c r="E163" t="s">
        <v>50</v>
      </c>
      <c r="G163" t="s">
        <v>169</v>
      </c>
      <c r="H163" t="s">
        <v>49</v>
      </c>
      <c r="I163">
        <v>0.18279417379853785</v>
      </c>
      <c r="J163" t="s">
        <v>50</v>
      </c>
    </row>
    <row r="164" spans="2:10" x14ac:dyDescent="0.25">
      <c r="B164" t="s">
        <v>91</v>
      </c>
      <c r="C164" t="s">
        <v>51</v>
      </c>
      <c r="D164">
        <v>0.58238913819304283</v>
      </c>
      <c r="E164" t="s">
        <v>50</v>
      </c>
      <c r="G164" t="s">
        <v>169</v>
      </c>
      <c r="H164" t="s">
        <v>51</v>
      </c>
      <c r="I164">
        <v>0.12149246906065464</v>
      </c>
      <c r="J164" t="s">
        <v>50</v>
      </c>
    </row>
    <row r="165" spans="2:10" x14ac:dyDescent="0.25">
      <c r="B165" t="s">
        <v>91</v>
      </c>
      <c r="C165" t="s">
        <v>52</v>
      </c>
      <c r="D165">
        <v>4.0597621791694759E-3</v>
      </c>
      <c r="E165" t="s">
        <v>50</v>
      </c>
      <c r="G165" t="s">
        <v>169</v>
      </c>
      <c r="H165" t="s">
        <v>52</v>
      </c>
      <c r="I165">
        <v>0.31119485569159155</v>
      </c>
      <c r="J165" t="s">
        <v>50</v>
      </c>
    </row>
    <row r="166" spans="2:10" x14ac:dyDescent="0.25">
      <c r="B166" t="s">
        <v>91</v>
      </c>
      <c r="C166" t="s">
        <v>53</v>
      </c>
      <c r="D166">
        <v>0.39899381101645864</v>
      </c>
      <c r="E166" t="s">
        <v>50</v>
      </c>
      <c r="G166" t="s">
        <v>169</v>
      </c>
      <c r="H166" t="s">
        <v>53</v>
      </c>
      <c r="I166">
        <v>0.38451850144921595</v>
      </c>
      <c r="J166" t="s">
        <v>50</v>
      </c>
    </row>
    <row r="167" spans="2:10" x14ac:dyDescent="0.25">
      <c r="B167" t="s">
        <v>92</v>
      </c>
      <c r="C167" t="s">
        <v>49</v>
      </c>
      <c r="D167">
        <v>1.40618581341601E-2</v>
      </c>
      <c r="E167" t="s">
        <v>50</v>
      </c>
      <c r="G167" t="s">
        <v>170</v>
      </c>
      <c r="H167" t="s">
        <v>49</v>
      </c>
      <c r="I167">
        <v>0.25139028710677636</v>
      </c>
      <c r="J167" t="s">
        <v>50</v>
      </c>
    </row>
    <row r="168" spans="2:10" x14ac:dyDescent="0.25">
      <c r="B168" t="s">
        <v>92</v>
      </c>
      <c r="C168" t="s">
        <v>51</v>
      </c>
      <c r="D168">
        <v>0.55545454464643085</v>
      </c>
      <c r="E168" t="s">
        <v>50</v>
      </c>
      <c r="G168" t="s">
        <v>170</v>
      </c>
      <c r="H168" t="s">
        <v>51</v>
      </c>
      <c r="I168">
        <v>9.0253589568160555E-2</v>
      </c>
      <c r="J168" t="s">
        <v>50</v>
      </c>
    </row>
    <row r="169" spans="2:10" x14ac:dyDescent="0.25">
      <c r="B169" t="s">
        <v>92</v>
      </c>
      <c r="C169" t="s">
        <v>52</v>
      </c>
      <c r="D169">
        <v>7.6128522485515359E-3</v>
      </c>
      <c r="E169" t="s">
        <v>50</v>
      </c>
      <c r="G169" t="s">
        <v>170</v>
      </c>
      <c r="H169" t="s">
        <v>52</v>
      </c>
      <c r="I169">
        <v>0.33585949421564659</v>
      </c>
      <c r="J169" t="s">
        <v>50</v>
      </c>
    </row>
    <row r="170" spans="2:10" x14ac:dyDescent="0.25">
      <c r="B170" t="s">
        <v>92</v>
      </c>
      <c r="C170" t="s">
        <v>53</v>
      </c>
      <c r="D170">
        <v>0.42287074497085725</v>
      </c>
      <c r="E170" t="s">
        <v>50</v>
      </c>
      <c r="G170" t="s">
        <v>170</v>
      </c>
      <c r="H170" t="s">
        <v>53</v>
      </c>
      <c r="I170">
        <v>0.32249662910941801</v>
      </c>
      <c r="J170" t="s">
        <v>50</v>
      </c>
    </row>
    <row r="171" spans="2:10" x14ac:dyDescent="0.25">
      <c r="B171" t="s">
        <v>93</v>
      </c>
      <c r="C171" t="s">
        <v>49</v>
      </c>
      <c r="D171">
        <v>1.0456222506048198E-2</v>
      </c>
      <c r="E171" t="s">
        <v>50</v>
      </c>
      <c r="G171" t="s">
        <v>171</v>
      </c>
      <c r="H171" t="s">
        <v>49</v>
      </c>
      <c r="I171">
        <v>0.26754234863904175</v>
      </c>
      <c r="J171" t="s">
        <v>50</v>
      </c>
    </row>
    <row r="172" spans="2:10" x14ac:dyDescent="0.25">
      <c r="B172" t="s">
        <v>93</v>
      </c>
      <c r="C172" t="s">
        <v>51</v>
      </c>
      <c r="D172">
        <v>0.52796388239091097</v>
      </c>
      <c r="E172" t="s">
        <v>50</v>
      </c>
      <c r="G172" t="s">
        <v>171</v>
      </c>
      <c r="H172" t="s">
        <v>51</v>
      </c>
      <c r="I172">
        <v>9.73482777703948E-2</v>
      </c>
      <c r="J172" t="s">
        <v>50</v>
      </c>
    </row>
    <row r="173" spans="2:10" x14ac:dyDescent="0.25">
      <c r="B173" t="s">
        <v>93</v>
      </c>
      <c r="C173" t="s">
        <v>52</v>
      </c>
      <c r="D173">
        <v>8.7928785579272865E-3</v>
      </c>
      <c r="E173" t="s">
        <v>50</v>
      </c>
      <c r="G173" t="s">
        <v>171</v>
      </c>
      <c r="H173" t="s">
        <v>52</v>
      </c>
      <c r="I173">
        <v>0.32967961239218407</v>
      </c>
      <c r="J173" t="s">
        <v>50</v>
      </c>
    </row>
    <row r="174" spans="2:10" x14ac:dyDescent="0.25">
      <c r="B174" t="s">
        <v>93</v>
      </c>
      <c r="C174" t="s">
        <v>53</v>
      </c>
      <c r="D174">
        <v>0.45278701654511233</v>
      </c>
      <c r="E174" t="s">
        <v>50</v>
      </c>
      <c r="G174" t="s">
        <v>171</v>
      </c>
      <c r="H174" t="s">
        <v>53</v>
      </c>
      <c r="I174">
        <v>0.30542976119837817</v>
      </c>
      <c r="J174" t="s">
        <v>50</v>
      </c>
    </row>
    <row r="175" spans="2:10" x14ac:dyDescent="0.25">
      <c r="B175" t="s">
        <v>94</v>
      </c>
      <c r="C175" t="s">
        <v>49</v>
      </c>
      <c r="D175">
        <v>8.3029771630975767E-3</v>
      </c>
      <c r="E175" t="s">
        <v>50</v>
      </c>
      <c r="G175" t="s">
        <v>172</v>
      </c>
      <c r="H175" t="s">
        <v>49</v>
      </c>
      <c r="I175">
        <v>0.22281533672119352</v>
      </c>
      <c r="J175" t="s">
        <v>50</v>
      </c>
    </row>
    <row r="176" spans="2:10" x14ac:dyDescent="0.25">
      <c r="B176" t="s">
        <v>94</v>
      </c>
      <c r="C176" t="s">
        <v>51</v>
      </c>
      <c r="D176">
        <v>0.52706579341602222</v>
      </c>
      <c r="E176" t="s">
        <v>50</v>
      </c>
      <c r="G176" t="s">
        <v>172</v>
      </c>
      <c r="H176" t="s">
        <v>51</v>
      </c>
      <c r="I176">
        <v>8.7957807007049429E-2</v>
      </c>
      <c r="J176" t="s">
        <v>50</v>
      </c>
    </row>
    <row r="177" spans="2:10" x14ac:dyDescent="0.25">
      <c r="B177" t="s">
        <v>94</v>
      </c>
      <c r="C177" t="s">
        <v>52</v>
      </c>
      <c r="D177">
        <v>6.7128425610208757E-3</v>
      </c>
      <c r="E177" t="s">
        <v>50</v>
      </c>
      <c r="G177" t="s">
        <v>172</v>
      </c>
      <c r="H177" t="s">
        <v>52</v>
      </c>
      <c r="I177">
        <v>0.34637977506126788</v>
      </c>
      <c r="J177" t="s">
        <v>50</v>
      </c>
    </row>
    <row r="178" spans="2:10" x14ac:dyDescent="0.25">
      <c r="B178" t="s">
        <v>94</v>
      </c>
      <c r="C178" t="s">
        <v>53</v>
      </c>
      <c r="D178">
        <v>0.45791838685985786</v>
      </c>
      <c r="E178" t="s">
        <v>50</v>
      </c>
      <c r="G178" t="s">
        <v>172</v>
      </c>
      <c r="H178" t="s">
        <v>53</v>
      </c>
      <c r="I178">
        <v>0.34284708121048618</v>
      </c>
      <c r="J178" t="s">
        <v>50</v>
      </c>
    </row>
    <row r="179" spans="2:10" x14ac:dyDescent="0.25">
      <c r="B179" t="s">
        <v>95</v>
      </c>
      <c r="C179" t="s">
        <v>49</v>
      </c>
      <c r="D179">
        <v>8.0302551083619323E-3</v>
      </c>
      <c r="E179" t="s">
        <v>50</v>
      </c>
      <c r="G179" t="s">
        <v>173</v>
      </c>
      <c r="H179" t="s">
        <v>49</v>
      </c>
      <c r="I179">
        <v>0.18700274766393279</v>
      </c>
      <c r="J179" t="s">
        <v>50</v>
      </c>
    </row>
    <row r="180" spans="2:10" x14ac:dyDescent="0.25">
      <c r="B180" t="s">
        <v>95</v>
      </c>
      <c r="C180" t="s">
        <v>51</v>
      </c>
      <c r="D180">
        <v>0.52294992646317384</v>
      </c>
      <c r="E180" t="s">
        <v>50</v>
      </c>
      <c r="G180" t="s">
        <v>173</v>
      </c>
      <c r="H180" t="s">
        <v>51</v>
      </c>
      <c r="I180">
        <v>0.17718513295381494</v>
      </c>
      <c r="J180" t="s">
        <v>50</v>
      </c>
    </row>
    <row r="181" spans="2:10" x14ac:dyDescent="0.25">
      <c r="B181" t="s">
        <v>95</v>
      </c>
      <c r="C181" t="s">
        <v>52</v>
      </c>
      <c r="D181">
        <v>6.9962343198286614E-3</v>
      </c>
      <c r="E181" t="s">
        <v>50</v>
      </c>
      <c r="G181" t="s">
        <v>173</v>
      </c>
      <c r="H181" t="s">
        <v>52</v>
      </c>
      <c r="I181">
        <v>0.30761487336172522</v>
      </c>
      <c r="J181" t="s">
        <v>50</v>
      </c>
    </row>
    <row r="182" spans="2:10" x14ac:dyDescent="0.25">
      <c r="B182" t="s">
        <v>95</v>
      </c>
      <c r="C182" t="s">
        <v>53</v>
      </c>
      <c r="D182">
        <v>0.46202358410863531</v>
      </c>
      <c r="E182" t="s">
        <v>50</v>
      </c>
      <c r="G182" t="s">
        <v>173</v>
      </c>
      <c r="H182" t="s">
        <v>53</v>
      </c>
      <c r="I182">
        <v>0.32819724602053041</v>
      </c>
      <c r="J182" t="s">
        <v>50</v>
      </c>
    </row>
    <row r="183" spans="2:10" x14ac:dyDescent="0.25">
      <c r="B183" t="s">
        <v>96</v>
      </c>
      <c r="C183" t="s">
        <v>49</v>
      </c>
      <c r="D183">
        <v>1.5342775824392488E-2</v>
      </c>
      <c r="E183" t="s">
        <v>50</v>
      </c>
      <c r="G183" t="s">
        <v>174</v>
      </c>
      <c r="H183" t="s">
        <v>49</v>
      </c>
      <c r="I183">
        <v>0.1142815409868729</v>
      </c>
      <c r="J183" t="s">
        <v>50</v>
      </c>
    </row>
    <row r="184" spans="2:10" x14ac:dyDescent="0.25">
      <c r="B184" t="s">
        <v>96</v>
      </c>
      <c r="C184" t="s">
        <v>51</v>
      </c>
      <c r="D184">
        <v>0.55187973484135111</v>
      </c>
      <c r="E184" t="s">
        <v>50</v>
      </c>
      <c r="G184" t="s">
        <v>174</v>
      </c>
      <c r="H184" t="s">
        <v>51</v>
      </c>
      <c r="I184">
        <v>0.143610897083914</v>
      </c>
      <c r="J184" t="s">
        <v>50</v>
      </c>
    </row>
    <row r="185" spans="2:10" x14ac:dyDescent="0.25">
      <c r="B185" t="s">
        <v>96</v>
      </c>
      <c r="C185" t="s">
        <v>52</v>
      </c>
      <c r="D185">
        <v>9.2629299831534385E-3</v>
      </c>
      <c r="E185" t="s">
        <v>50</v>
      </c>
      <c r="G185" t="s">
        <v>174</v>
      </c>
      <c r="H185" t="s">
        <v>52</v>
      </c>
      <c r="I185">
        <v>0.3105768806648494</v>
      </c>
      <c r="J185" t="s">
        <v>50</v>
      </c>
    </row>
    <row r="186" spans="2:10" x14ac:dyDescent="0.25">
      <c r="B186" t="s">
        <v>96</v>
      </c>
      <c r="C186" t="s">
        <v>53</v>
      </c>
      <c r="D186">
        <v>0.42351455935110605</v>
      </c>
      <c r="E186" t="s">
        <v>50</v>
      </c>
      <c r="G186" t="s">
        <v>174</v>
      </c>
      <c r="H186" t="s">
        <v>53</v>
      </c>
      <c r="I186">
        <v>0.43153068126436661</v>
      </c>
      <c r="J186" t="s">
        <v>50</v>
      </c>
    </row>
    <row r="187" spans="2:10" x14ac:dyDescent="0.25">
      <c r="B187" t="s">
        <v>97</v>
      </c>
      <c r="C187" t="s">
        <v>49</v>
      </c>
      <c r="D187">
        <v>1.8864107402373344E-2</v>
      </c>
      <c r="E187" t="s">
        <v>50</v>
      </c>
      <c r="G187" t="s">
        <v>175</v>
      </c>
      <c r="H187" t="s">
        <v>49</v>
      </c>
      <c r="I187">
        <v>0.16843008951097027</v>
      </c>
      <c r="J187" t="s">
        <v>50</v>
      </c>
    </row>
    <row r="188" spans="2:10" x14ac:dyDescent="0.25">
      <c r="B188" t="s">
        <v>97</v>
      </c>
      <c r="C188" t="s">
        <v>51</v>
      </c>
      <c r="D188">
        <v>0.5546117553592822</v>
      </c>
      <c r="E188" t="s">
        <v>50</v>
      </c>
      <c r="G188" t="s">
        <v>175</v>
      </c>
      <c r="H188" t="s">
        <v>51</v>
      </c>
      <c r="I188">
        <v>0.13880058372382334</v>
      </c>
      <c r="J188" t="s">
        <v>50</v>
      </c>
    </row>
    <row r="189" spans="2:10" x14ac:dyDescent="0.25">
      <c r="B189" t="s">
        <v>97</v>
      </c>
      <c r="C189" t="s">
        <v>52</v>
      </c>
      <c r="D189">
        <v>1.1470016978517412E-2</v>
      </c>
      <c r="E189" t="s">
        <v>50</v>
      </c>
      <c r="G189" t="s">
        <v>175</v>
      </c>
      <c r="H189" t="s">
        <v>52</v>
      </c>
      <c r="I189">
        <v>0.33863740908958256</v>
      </c>
      <c r="J189" t="s">
        <v>50</v>
      </c>
    </row>
    <row r="190" spans="2:10" x14ac:dyDescent="0.25">
      <c r="B190" t="s">
        <v>97</v>
      </c>
      <c r="C190" t="s">
        <v>53</v>
      </c>
      <c r="D190">
        <v>0.41505412025982724</v>
      </c>
      <c r="E190" t="s">
        <v>50</v>
      </c>
      <c r="G190" t="s">
        <v>175</v>
      </c>
      <c r="H190" t="s">
        <v>53</v>
      </c>
      <c r="I190">
        <v>0.35413191767562568</v>
      </c>
      <c r="J190" t="s">
        <v>50</v>
      </c>
    </row>
    <row r="191" spans="2:10" x14ac:dyDescent="0.25">
      <c r="B191" t="s">
        <v>98</v>
      </c>
      <c r="C191" t="s">
        <v>49</v>
      </c>
      <c r="D191">
        <v>1.4374904028946631E-2</v>
      </c>
      <c r="E191" t="s">
        <v>50</v>
      </c>
      <c r="G191" t="s">
        <v>176</v>
      </c>
      <c r="H191" t="s">
        <v>49</v>
      </c>
      <c r="I191">
        <v>0.18483615170794299</v>
      </c>
      <c r="J191" t="s">
        <v>50</v>
      </c>
    </row>
    <row r="192" spans="2:10" x14ac:dyDescent="0.25">
      <c r="B192" t="s">
        <v>98</v>
      </c>
      <c r="C192" t="s">
        <v>51</v>
      </c>
      <c r="D192">
        <v>0.53486712033958672</v>
      </c>
      <c r="E192" t="s">
        <v>50</v>
      </c>
      <c r="G192" t="s">
        <v>176</v>
      </c>
      <c r="H192" t="s">
        <v>51</v>
      </c>
      <c r="I192">
        <v>8.7040359113743082E-2</v>
      </c>
      <c r="J192" t="s">
        <v>50</v>
      </c>
    </row>
    <row r="193" spans="2:10" x14ac:dyDescent="0.25">
      <c r="B193" t="s">
        <v>98</v>
      </c>
      <c r="C193" t="s">
        <v>52</v>
      </c>
      <c r="D193">
        <v>1.0033661750669241E-2</v>
      </c>
      <c r="E193" t="s">
        <v>50</v>
      </c>
      <c r="G193" t="s">
        <v>176</v>
      </c>
      <c r="H193" t="s">
        <v>52</v>
      </c>
      <c r="I193">
        <v>0.32550812871200546</v>
      </c>
      <c r="J193" t="s">
        <v>50</v>
      </c>
    </row>
    <row r="194" spans="2:10" x14ac:dyDescent="0.25">
      <c r="B194" t="s">
        <v>98</v>
      </c>
      <c r="C194" t="s">
        <v>53</v>
      </c>
      <c r="D194">
        <v>0.44072431388079469</v>
      </c>
      <c r="E194" t="s">
        <v>50</v>
      </c>
      <c r="G194" t="s">
        <v>176</v>
      </c>
      <c r="H194" t="s">
        <v>53</v>
      </c>
      <c r="I194">
        <v>0.40261536046630891</v>
      </c>
      <c r="J194" t="s">
        <v>50</v>
      </c>
    </row>
    <row r="195" spans="2:10" x14ac:dyDescent="0.25">
      <c r="B195" t="s">
        <v>99</v>
      </c>
      <c r="C195" t="s">
        <v>49</v>
      </c>
      <c r="D195">
        <v>4.6198775733037973E-3</v>
      </c>
      <c r="E195" t="s">
        <v>50</v>
      </c>
      <c r="G195" t="s">
        <v>177</v>
      </c>
      <c r="H195" t="s">
        <v>49</v>
      </c>
      <c r="I195">
        <v>0.20480522085722813</v>
      </c>
      <c r="J195" t="s">
        <v>50</v>
      </c>
    </row>
    <row r="196" spans="2:10" x14ac:dyDescent="0.25">
      <c r="B196" t="s">
        <v>99</v>
      </c>
      <c r="C196" t="s">
        <v>51</v>
      </c>
      <c r="D196">
        <v>0.58873416135319134</v>
      </c>
      <c r="E196" t="s">
        <v>50</v>
      </c>
      <c r="G196" t="s">
        <v>177</v>
      </c>
      <c r="H196" t="s">
        <v>51</v>
      </c>
      <c r="I196">
        <v>9.259049802781065E-2</v>
      </c>
      <c r="J196" t="s">
        <v>50</v>
      </c>
    </row>
    <row r="197" spans="2:10" x14ac:dyDescent="0.25">
      <c r="B197" t="s">
        <v>99</v>
      </c>
      <c r="C197" t="s">
        <v>52</v>
      </c>
      <c r="D197">
        <v>2.6811071375305458E-3</v>
      </c>
      <c r="E197" t="s">
        <v>50</v>
      </c>
      <c r="G197" t="s">
        <v>177</v>
      </c>
      <c r="H197" t="s">
        <v>52</v>
      </c>
      <c r="I197">
        <v>0.33551936083398931</v>
      </c>
      <c r="J197" t="s">
        <v>50</v>
      </c>
    </row>
    <row r="198" spans="2:10" x14ac:dyDescent="0.25">
      <c r="B198" t="s">
        <v>99</v>
      </c>
      <c r="C198" t="s">
        <v>53</v>
      </c>
      <c r="D198">
        <v>0.40396485393597259</v>
      </c>
      <c r="E198" t="s">
        <v>50</v>
      </c>
      <c r="G198" t="s">
        <v>177</v>
      </c>
      <c r="H198" t="s">
        <v>53</v>
      </c>
      <c r="I198">
        <v>0.36708492028097595</v>
      </c>
      <c r="J198" t="s">
        <v>50</v>
      </c>
    </row>
    <row r="199" spans="2:10" x14ac:dyDescent="0.25">
      <c r="B199" t="s">
        <v>100</v>
      </c>
      <c r="C199" t="s">
        <v>49</v>
      </c>
      <c r="D199">
        <v>2.9796838923808319E-3</v>
      </c>
      <c r="E199" t="s">
        <v>50</v>
      </c>
      <c r="G199" t="s">
        <v>178</v>
      </c>
      <c r="H199" t="s">
        <v>49</v>
      </c>
      <c r="I199">
        <v>0.30043665514991341</v>
      </c>
      <c r="J199" t="s">
        <v>50</v>
      </c>
    </row>
    <row r="200" spans="2:10" x14ac:dyDescent="0.25">
      <c r="B200" t="s">
        <v>100</v>
      </c>
      <c r="C200" t="s">
        <v>51</v>
      </c>
      <c r="D200">
        <v>0.60246554889060633</v>
      </c>
      <c r="E200" t="s">
        <v>50</v>
      </c>
      <c r="G200" t="s">
        <v>178</v>
      </c>
      <c r="H200" t="s">
        <v>51</v>
      </c>
      <c r="I200">
        <v>0.18510982747689242</v>
      </c>
      <c r="J200" t="s">
        <v>50</v>
      </c>
    </row>
    <row r="201" spans="2:10" x14ac:dyDescent="0.25">
      <c r="B201" t="s">
        <v>100</v>
      </c>
      <c r="C201" t="s">
        <v>52</v>
      </c>
      <c r="D201">
        <v>2.1332312379022827E-3</v>
      </c>
      <c r="E201" t="s">
        <v>50</v>
      </c>
      <c r="G201" t="s">
        <v>178</v>
      </c>
      <c r="H201" t="s">
        <v>52</v>
      </c>
      <c r="I201">
        <v>0.28417102607579942</v>
      </c>
      <c r="J201" t="s">
        <v>50</v>
      </c>
    </row>
    <row r="202" spans="2:10" x14ac:dyDescent="0.25">
      <c r="B202" t="s">
        <v>100</v>
      </c>
      <c r="C202" t="s">
        <v>53</v>
      </c>
      <c r="D202">
        <v>0.39242153597911261</v>
      </c>
      <c r="E202" t="s">
        <v>50</v>
      </c>
      <c r="G202" t="s">
        <v>178</v>
      </c>
      <c r="H202" t="s">
        <v>53</v>
      </c>
      <c r="I202">
        <v>0.23028249129739736</v>
      </c>
      <c r="J202" t="s">
        <v>50</v>
      </c>
    </row>
    <row r="203" spans="2:10" x14ac:dyDescent="0.25">
      <c r="B203" t="s">
        <v>101</v>
      </c>
      <c r="C203" t="s">
        <v>49</v>
      </c>
      <c r="D203">
        <v>1.1577554151574913E-2</v>
      </c>
      <c r="E203" t="s">
        <v>50</v>
      </c>
      <c r="G203" t="s">
        <v>179</v>
      </c>
      <c r="H203" t="s">
        <v>49</v>
      </c>
      <c r="I203">
        <v>0.17839720658650499</v>
      </c>
      <c r="J203" t="s">
        <v>50</v>
      </c>
    </row>
    <row r="204" spans="2:10" x14ac:dyDescent="0.25">
      <c r="B204" t="s">
        <v>101</v>
      </c>
      <c r="C204" t="s">
        <v>51</v>
      </c>
      <c r="D204">
        <v>0.6190225446264348</v>
      </c>
      <c r="E204" t="s">
        <v>50</v>
      </c>
      <c r="G204" t="s">
        <v>179</v>
      </c>
      <c r="H204" t="s">
        <v>51</v>
      </c>
      <c r="I204">
        <v>0.12837592986531229</v>
      </c>
      <c r="J204" t="s">
        <v>50</v>
      </c>
    </row>
    <row r="205" spans="2:10" x14ac:dyDescent="0.25">
      <c r="B205" t="s">
        <v>101</v>
      </c>
      <c r="C205" t="s">
        <v>52</v>
      </c>
      <c r="D205">
        <v>2.4973125291929202E-3</v>
      </c>
      <c r="E205" t="s">
        <v>50</v>
      </c>
      <c r="G205" t="s">
        <v>179</v>
      </c>
      <c r="H205" t="s">
        <v>52</v>
      </c>
      <c r="I205">
        <v>0.35633337960742884</v>
      </c>
      <c r="J205" t="s">
        <v>50</v>
      </c>
    </row>
    <row r="206" spans="2:10" x14ac:dyDescent="0.25">
      <c r="B206" t="s">
        <v>101</v>
      </c>
      <c r="C206" t="s">
        <v>53</v>
      </c>
      <c r="D206">
        <v>0.36690258869279418</v>
      </c>
      <c r="E206" t="s">
        <v>50</v>
      </c>
      <c r="G206" t="s">
        <v>179</v>
      </c>
      <c r="H206" t="s">
        <v>53</v>
      </c>
      <c r="I206">
        <v>0.3368934839407548</v>
      </c>
      <c r="J206" t="s">
        <v>50</v>
      </c>
    </row>
    <row r="207" spans="2:10" x14ac:dyDescent="0.25">
      <c r="B207" t="s">
        <v>102</v>
      </c>
      <c r="C207" t="s">
        <v>49</v>
      </c>
      <c r="D207">
        <v>8.5063722545984898E-3</v>
      </c>
      <c r="E207" t="s">
        <v>50</v>
      </c>
      <c r="G207" t="s">
        <v>180</v>
      </c>
      <c r="H207" t="s">
        <v>49</v>
      </c>
      <c r="I207">
        <v>0.30016249462379602</v>
      </c>
      <c r="J207" t="s">
        <v>50</v>
      </c>
    </row>
    <row r="208" spans="2:10" x14ac:dyDescent="0.25">
      <c r="B208" t="s">
        <v>102</v>
      </c>
      <c r="C208" t="s">
        <v>51</v>
      </c>
      <c r="D208">
        <v>0.63107017957035993</v>
      </c>
      <c r="E208" t="s">
        <v>50</v>
      </c>
      <c r="G208" t="s">
        <v>180</v>
      </c>
      <c r="H208" t="s">
        <v>51</v>
      </c>
      <c r="I208">
        <v>0.14634106765563115</v>
      </c>
      <c r="J208" t="s">
        <v>50</v>
      </c>
    </row>
    <row r="209" spans="2:10" x14ac:dyDescent="0.25">
      <c r="B209" t="s">
        <v>102</v>
      </c>
      <c r="C209" t="s">
        <v>52</v>
      </c>
      <c r="D209">
        <v>1.8598132755370527E-3</v>
      </c>
      <c r="E209" t="s">
        <v>50</v>
      </c>
      <c r="G209" t="s">
        <v>180</v>
      </c>
      <c r="H209" t="s">
        <v>52</v>
      </c>
      <c r="I209">
        <v>0.30414119237884735</v>
      </c>
      <c r="J209" t="s">
        <v>50</v>
      </c>
    </row>
    <row r="210" spans="2:10" x14ac:dyDescent="0.25">
      <c r="B210" t="s">
        <v>102</v>
      </c>
      <c r="C210" t="s">
        <v>53</v>
      </c>
      <c r="D210">
        <v>0.35856363489950083</v>
      </c>
      <c r="E210" t="s">
        <v>50</v>
      </c>
      <c r="G210" t="s">
        <v>180</v>
      </c>
      <c r="H210" t="s">
        <v>53</v>
      </c>
      <c r="I210">
        <v>0.24935524534172607</v>
      </c>
      <c r="J210" t="s">
        <v>50</v>
      </c>
    </row>
    <row r="211" spans="2:10" x14ac:dyDescent="0.25">
      <c r="B211" t="s">
        <v>103</v>
      </c>
      <c r="C211" t="s">
        <v>49</v>
      </c>
      <c r="D211">
        <v>7.9487269696032845E-3</v>
      </c>
      <c r="E211" t="s">
        <v>50</v>
      </c>
      <c r="G211" t="s">
        <v>181</v>
      </c>
      <c r="H211" t="s">
        <v>49</v>
      </c>
      <c r="I211">
        <v>0.33194059123208258</v>
      </c>
      <c r="J211" t="s">
        <v>50</v>
      </c>
    </row>
    <row r="212" spans="2:10" x14ac:dyDescent="0.25">
      <c r="B212" t="s">
        <v>103</v>
      </c>
      <c r="C212" t="s">
        <v>51</v>
      </c>
      <c r="D212">
        <v>0.62767237379240404</v>
      </c>
      <c r="E212" t="s">
        <v>50</v>
      </c>
      <c r="G212" t="s">
        <v>181</v>
      </c>
      <c r="H212" t="s">
        <v>51</v>
      </c>
      <c r="I212">
        <v>0.16044195207565801</v>
      </c>
      <c r="J212" t="s">
        <v>50</v>
      </c>
    </row>
    <row r="213" spans="2:10" x14ac:dyDescent="0.25">
      <c r="B213" t="s">
        <v>103</v>
      </c>
      <c r="C213" t="s">
        <v>52</v>
      </c>
      <c r="D213">
        <v>1.8307053767225463E-3</v>
      </c>
      <c r="E213" t="s">
        <v>50</v>
      </c>
      <c r="G213" t="s">
        <v>181</v>
      </c>
      <c r="H213" t="s">
        <v>52</v>
      </c>
      <c r="I213">
        <v>0.30464014056486804</v>
      </c>
      <c r="J213" t="s">
        <v>50</v>
      </c>
    </row>
    <row r="214" spans="2:10" x14ac:dyDescent="0.25">
      <c r="B214" t="s">
        <v>103</v>
      </c>
      <c r="C214" t="s">
        <v>53</v>
      </c>
      <c r="D214">
        <v>0.36254819386126885</v>
      </c>
      <c r="E214" t="s">
        <v>50</v>
      </c>
      <c r="G214" t="s">
        <v>181</v>
      </c>
      <c r="H214" t="s">
        <v>53</v>
      </c>
      <c r="I214">
        <v>0.20297731612739414</v>
      </c>
      <c r="J214" t="s">
        <v>50</v>
      </c>
    </row>
    <row r="215" spans="2:10" x14ac:dyDescent="0.25">
      <c r="B215" t="s">
        <v>104</v>
      </c>
      <c r="C215" t="s">
        <v>49</v>
      </c>
      <c r="D215">
        <v>1.1325878286518961E-2</v>
      </c>
      <c r="E215" t="s">
        <v>50</v>
      </c>
      <c r="G215" t="s">
        <v>182</v>
      </c>
      <c r="H215" t="s">
        <v>49</v>
      </c>
      <c r="I215">
        <v>0.30721467383962664</v>
      </c>
      <c r="J215" t="s">
        <v>50</v>
      </c>
    </row>
    <row r="216" spans="2:10" x14ac:dyDescent="0.25">
      <c r="B216" t="s">
        <v>104</v>
      </c>
      <c r="C216" t="s">
        <v>51</v>
      </c>
      <c r="D216">
        <v>0.61475563911735454</v>
      </c>
      <c r="E216" t="s">
        <v>50</v>
      </c>
      <c r="G216" t="s">
        <v>182</v>
      </c>
      <c r="H216" t="s">
        <v>51</v>
      </c>
      <c r="I216">
        <v>0.15287426678560972</v>
      </c>
      <c r="J216" t="s">
        <v>50</v>
      </c>
    </row>
    <row r="217" spans="2:10" x14ac:dyDescent="0.25">
      <c r="B217" t="s">
        <v>104</v>
      </c>
      <c r="C217" t="s">
        <v>52</v>
      </c>
      <c r="D217">
        <v>3.0080570365770931E-3</v>
      </c>
      <c r="E217" t="s">
        <v>50</v>
      </c>
      <c r="G217" t="s">
        <v>182</v>
      </c>
      <c r="H217" t="s">
        <v>52</v>
      </c>
      <c r="I217">
        <v>0.3329425658240735</v>
      </c>
      <c r="J217" t="s">
        <v>50</v>
      </c>
    </row>
    <row r="218" spans="2:10" x14ac:dyDescent="0.25">
      <c r="B218" t="s">
        <v>104</v>
      </c>
      <c r="C218" t="s">
        <v>53</v>
      </c>
      <c r="D218">
        <v>0.37091042555954995</v>
      </c>
      <c r="E218" t="s">
        <v>50</v>
      </c>
      <c r="G218" t="s">
        <v>182</v>
      </c>
      <c r="H218" t="s">
        <v>53</v>
      </c>
      <c r="I218">
        <v>0.20696849355069274</v>
      </c>
      <c r="J218" t="s">
        <v>50</v>
      </c>
    </row>
    <row r="219" spans="2:10" x14ac:dyDescent="0.25">
      <c r="B219" t="s">
        <v>105</v>
      </c>
      <c r="C219" t="s">
        <v>49</v>
      </c>
      <c r="D219">
        <v>1.215652033655442E-2</v>
      </c>
      <c r="E219" t="s">
        <v>50</v>
      </c>
      <c r="G219" t="s">
        <v>183</v>
      </c>
      <c r="H219" t="s">
        <v>49</v>
      </c>
      <c r="I219">
        <v>0.32675549936469361</v>
      </c>
      <c r="J219" t="s">
        <v>50</v>
      </c>
    </row>
    <row r="220" spans="2:10" x14ac:dyDescent="0.25">
      <c r="B220" t="s">
        <v>105</v>
      </c>
      <c r="C220" t="s">
        <v>51</v>
      </c>
      <c r="D220">
        <v>0.62694115383253313</v>
      </c>
      <c r="E220" t="s">
        <v>50</v>
      </c>
      <c r="G220" t="s">
        <v>183</v>
      </c>
      <c r="H220" t="s">
        <v>51</v>
      </c>
      <c r="I220">
        <v>0.1543785726877725</v>
      </c>
      <c r="J220" t="s">
        <v>50</v>
      </c>
    </row>
    <row r="221" spans="2:10" x14ac:dyDescent="0.25">
      <c r="B221" t="s">
        <v>105</v>
      </c>
      <c r="C221" t="s">
        <v>52</v>
      </c>
      <c r="D221">
        <v>2.6776722256025361E-3</v>
      </c>
      <c r="E221" t="s">
        <v>50</v>
      </c>
      <c r="G221" t="s">
        <v>183</v>
      </c>
      <c r="H221" t="s">
        <v>52</v>
      </c>
      <c r="I221">
        <v>0.32212482418569044</v>
      </c>
      <c r="J221" t="s">
        <v>50</v>
      </c>
    </row>
    <row r="222" spans="2:10" x14ac:dyDescent="0.25">
      <c r="B222" t="s">
        <v>105</v>
      </c>
      <c r="C222" t="s">
        <v>53</v>
      </c>
      <c r="D222">
        <v>0.35822465360531291</v>
      </c>
      <c r="E222" t="s">
        <v>50</v>
      </c>
      <c r="G222" t="s">
        <v>183</v>
      </c>
      <c r="H222" t="s">
        <v>53</v>
      </c>
      <c r="I222">
        <v>0.19674110376184345</v>
      </c>
      <c r="J222" t="s">
        <v>50</v>
      </c>
    </row>
    <row r="223" spans="2:10" x14ac:dyDescent="0.25">
      <c r="B223" t="s">
        <v>106</v>
      </c>
      <c r="C223" t="s">
        <v>49</v>
      </c>
      <c r="D223">
        <v>9.1626294658599915E-3</v>
      </c>
      <c r="E223" t="s">
        <v>50</v>
      </c>
      <c r="G223" t="s">
        <v>184</v>
      </c>
      <c r="H223" t="s">
        <v>49</v>
      </c>
      <c r="I223">
        <v>0.27669363383023809</v>
      </c>
      <c r="J223" t="s">
        <v>50</v>
      </c>
    </row>
    <row r="224" spans="2:10" x14ac:dyDescent="0.25">
      <c r="B224" t="s">
        <v>106</v>
      </c>
      <c r="C224" t="s">
        <v>51</v>
      </c>
      <c r="D224">
        <v>0.62094220705983572</v>
      </c>
      <c r="E224" t="s">
        <v>50</v>
      </c>
      <c r="G224" t="s">
        <v>184</v>
      </c>
      <c r="H224" t="s">
        <v>51</v>
      </c>
      <c r="I224">
        <v>0.13830427987674171</v>
      </c>
      <c r="J224" t="s">
        <v>50</v>
      </c>
    </row>
    <row r="225" spans="2:10" x14ac:dyDescent="0.25">
      <c r="B225" t="s">
        <v>106</v>
      </c>
      <c r="C225" t="s">
        <v>52</v>
      </c>
      <c r="D225">
        <v>2.4763961639253677E-3</v>
      </c>
      <c r="E225" t="s">
        <v>50</v>
      </c>
      <c r="G225" t="s">
        <v>184</v>
      </c>
      <c r="H225" t="s">
        <v>52</v>
      </c>
      <c r="I225">
        <v>0.30659162404111423</v>
      </c>
      <c r="J225" t="s">
        <v>50</v>
      </c>
    </row>
    <row r="226" spans="2:10" x14ac:dyDescent="0.25">
      <c r="B226" t="s">
        <v>106</v>
      </c>
      <c r="C226" t="s">
        <v>53</v>
      </c>
      <c r="D226">
        <v>0.36741876731037548</v>
      </c>
      <c r="E226" t="s">
        <v>50</v>
      </c>
      <c r="G226" t="s">
        <v>184</v>
      </c>
      <c r="H226" t="s">
        <v>53</v>
      </c>
      <c r="I226">
        <v>0.27841046225190741</v>
      </c>
      <c r="J226" t="s">
        <v>50</v>
      </c>
    </row>
    <row r="227" spans="2:10" x14ac:dyDescent="0.25">
      <c r="B227" t="s">
        <v>107</v>
      </c>
      <c r="C227" t="s">
        <v>49</v>
      </c>
      <c r="D227">
        <v>5.8633901783394643E-3</v>
      </c>
      <c r="E227" t="s">
        <v>50</v>
      </c>
      <c r="G227" t="s">
        <v>185</v>
      </c>
      <c r="H227" t="s">
        <v>49</v>
      </c>
      <c r="I227">
        <v>0.32684597372066349</v>
      </c>
      <c r="J227" t="s">
        <v>50</v>
      </c>
    </row>
    <row r="228" spans="2:10" x14ac:dyDescent="0.25">
      <c r="B228" t="s">
        <v>107</v>
      </c>
      <c r="C228" t="s">
        <v>51</v>
      </c>
      <c r="D228">
        <v>0.61324462616175235</v>
      </c>
      <c r="E228" t="s">
        <v>50</v>
      </c>
      <c r="G228" t="s">
        <v>185</v>
      </c>
      <c r="H228" t="s">
        <v>51</v>
      </c>
      <c r="I228">
        <v>0.14151923221201163</v>
      </c>
      <c r="J228" t="s">
        <v>50</v>
      </c>
    </row>
    <row r="229" spans="2:10" x14ac:dyDescent="0.25">
      <c r="B229" t="s">
        <v>107</v>
      </c>
      <c r="C229" t="s">
        <v>52</v>
      </c>
      <c r="D229">
        <v>2.1729899494562304E-3</v>
      </c>
      <c r="E229" t="s">
        <v>50</v>
      </c>
      <c r="G229" t="s">
        <v>185</v>
      </c>
      <c r="H229" t="s">
        <v>52</v>
      </c>
      <c r="I229">
        <v>0.2890921955919204</v>
      </c>
      <c r="J229" t="s">
        <v>50</v>
      </c>
    </row>
    <row r="230" spans="2:10" x14ac:dyDescent="0.25">
      <c r="B230" t="s">
        <v>107</v>
      </c>
      <c r="C230" t="s">
        <v>53</v>
      </c>
      <c r="D230">
        <v>0.37871899371045409</v>
      </c>
      <c r="E230" t="s">
        <v>50</v>
      </c>
      <c r="G230" t="s">
        <v>185</v>
      </c>
      <c r="H230" t="s">
        <v>53</v>
      </c>
      <c r="I230">
        <v>0.24254259847540868</v>
      </c>
      <c r="J230" t="s">
        <v>50</v>
      </c>
    </row>
    <row r="231" spans="2:10" x14ac:dyDescent="0.25">
      <c r="B231" t="s">
        <v>108</v>
      </c>
      <c r="C231" t="s">
        <v>49</v>
      </c>
      <c r="D231">
        <v>2.9832819878778043E-3</v>
      </c>
      <c r="E231" t="s">
        <v>50</v>
      </c>
      <c r="G231" t="s">
        <v>186</v>
      </c>
      <c r="H231" t="s">
        <v>49</v>
      </c>
      <c r="I231">
        <v>0.32791940020548138</v>
      </c>
      <c r="J231" t="s">
        <v>50</v>
      </c>
    </row>
    <row r="232" spans="2:10" x14ac:dyDescent="0.25">
      <c r="B232" t="s">
        <v>108</v>
      </c>
      <c r="C232" t="s">
        <v>51</v>
      </c>
      <c r="D232">
        <v>0.60254765715757552</v>
      </c>
      <c r="E232" t="s">
        <v>50</v>
      </c>
      <c r="G232" t="s">
        <v>186</v>
      </c>
      <c r="H232" t="s">
        <v>51</v>
      </c>
      <c r="I232">
        <v>0.1370271077221008</v>
      </c>
      <c r="J232" t="s">
        <v>50</v>
      </c>
    </row>
    <row r="233" spans="2:10" x14ac:dyDescent="0.25">
      <c r="B233" t="s">
        <v>108</v>
      </c>
      <c r="C233" t="s">
        <v>52</v>
      </c>
      <c r="D233">
        <v>2.0565727797692067E-3</v>
      </c>
      <c r="E233" t="s">
        <v>50</v>
      </c>
      <c r="G233" t="s">
        <v>186</v>
      </c>
      <c r="H233" t="s">
        <v>52</v>
      </c>
      <c r="I233">
        <v>0.31432437057043738</v>
      </c>
      <c r="J233" t="s">
        <v>50</v>
      </c>
    </row>
    <row r="234" spans="2:10" x14ac:dyDescent="0.25">
      <c r="B234" t="s">
        <v>108</v>
      </c>
      <c r="C234" t="s">
        <v>53</v>
      </c>
      <c r="D234">
        <v>0.39241248807477658</v>
      </c>
      <c r="E234" t="s">
        <v>50</v>
      </c>
      <c r="G234" t="s">
        <v>186</v>
      </c>
      <c r="H234" t="s">
        <v>53</v>
      </c>
      <c r="I234">
        <v>0.22072912150198282</v>
      </c>
      <c r="J234" t="s">
        <v>50</v>
      </c>
    </row>
    <row r="235" spans="2:10" x14ac:dyDescent="0.25">
      <c r="B235" t="s">
        <v>109</v>
      </c>
      <c r="C235" t="s">
        <v>49</v>
      </c>
      <c r="D235">
        <v>6.9644118603550435E-3</v>
      </c>
      <c r="E235" t="s">
        <v>50</v>
      </c>
      <c r="G235" t="s">
        <v>187</v>
      </c>
      <c r="H235" t="s">
        <v>49</v>
      </c>
      <c r="I235">
        <v>0.36042959071053021</v>
      </c>
      <c r="J235" t="s">
        <v>50</v>
      </c>
    </row>
    <row r="236" spans="2:10" x14ac:dyDescent="0.25">
      <c r="B236" t="s">
        <v>109</v>
      </c>
      <c r="C236" t="s">
        <v>51</v>
      </c>
      <c r="D236">
        <v>0.60837096165463367</v>
      </c>
      <c r="E236" t="s">
        <v>50</v>
      </c>
      <c r="G236" t="s">
        <v>187</v>
      </c>
      <c r="H236" t="s">
        <v>51</v>
      </c>
      <c r="I236">
        <v>0.17964071859702802</v>
      </c>
      <c r="J236" t="s">
        <v>50</v>
      </c>
    </row>
    <row r="237" spans="2:10" x14ac:dyDescent="0.25">
      <c r="B237" t="s">
        <v>109</v>
      </c>
      <c r="C237" t="s">
        <v>52</v>
      </c>
      <c r="D237">
        <v>2.5758517414208519E-3</v>
      </c>
      <c r="E237" t="s">
        <v>50</v>
      </c>
      <c r="G237" t="s">
        <v>187</v>
      </c>
      <c r="H237" t="s">
        <v>52</v>
      </c>
      <c r="I237">
        <v>0.27487941766157825</v>
      </c>
      <c r="J237" t="s">
        <v>50</v>
      </c>
    </row>
    <row r="238" spans="2:10" x14ac:dyDescent="0.25">
      <c r="B238" t="s">
        <v>109</v>
      </c>
      <c r="C238" t="s">
        <v>53</v>
      </c>
      <c r="D238">
        <v>0.38208877474358854</v>
      </c>
      <c r="E238" t="s">
        <v>50</v>
      </c>
      <c r="G238" t="s">
        <v>187</v>
      </c>
      <c r="H238" t="s">
        <v>53</v>
      </c>
      <c r="I238">
        <v>0.18505027303086061</v>
      </c>
      <c r="J238" t="s">
        <v>50</v>
      </c>
    </row>
    <row r="239" spans="2:10" x14ac:dyDescent="0.25">
      <c r="B239" t="s">
        <v>110</v>
      </c>
      <c r="C239" t="s">
        <v>49</v>
      </c>
      <c r="D239">
        <v>4.5847067577271146E-3</v>
      </c>
      <c r="E239" t="s">
        <v>50</v>
      </c>
      <c r="G239" t="s">
        <v>188</v>
      </c>
      <c r="H239" t="s">
        <v>49</v>
      </c>
      <c r="I239">
        <v>0.38330585250191174</v>
      </c>
      <c r="J239" t="s">
        <v>50</v>
      </c>
    </row>
    <row r="240" spans="2:10" x14ac:dyDescent="0.25">
      <c r="B240" t="s">
        <v>110</v>
      </c>
      <c r="C240" t="s">
        <v>51</v>
      </c>
      <c r="D240">
        <v>0.58996451496891489</v>
      </c>
      <c r="E240" t="s">
        <v>50</v>
      </c>
      <c r="G240" t="s">
        <v>188</v>
      </c>
      <c r="H240" t="s">
        <v>51</v>
      </c>
      <c r="I240">
        <v>0.16670188578372391</v>
      </c>
      <c r="J240" t="s">
        <v>50</v>
      </c>
    </row>
    <row r="241" spans="2:10" x14ac:dyDescent="0.25">
      <c r="B241" t="s">
        <v>110</v>
      </c>
      <c r="C241" t="s">
        <v>52</v>
      </c>
      <c r="D241">
        <v>2.4636407186435006E-3</v>
      </c>
      <c r="E241" t="s">
        <v>50</v>
      </c>
      <c r="G241" t="s">
        <v>188</v>
      </c>
      <c r="H241" t="s">
        <v>52</v>
      </c>
      <c r="I241">
        <v>0.27512241562458273</v>
      </c>
      <c r="J241" t="s">
        <v>50</v>
      </c>
    </row>
    <row r="242" spans="2:10" x14ac:dyDescent="0.25">
      <c r="B242" t="s">
        <v>110</v>
      </c>
      <c r="C242" t="s">
        <v>53</v>
      </c>
      <c r="D242">
        <v>0.40298713755471455</v>
      </c>
      <c r="E242" t="s">
        <v>50</v>
      </c>
      <c r="G242" t="s">
        <v>188</v>
      </c>
      <c r="H242" t="s">
        <v>53</v>
      </c>
      <c r="I242">
        <v>0.17486984608977915</v>
      </c>
      <c r="J242" t="s">
        <v>50</v>
      </c>
    </row>
    <row r="243" spans="2:10" x14ac:dyDescent="0.25">
      <c r="B243" t="s">
        <v>111</v>
      </c>
      <c r="C243" t="s">
        <v>49</v>
      </c>
      <c r="D243">
        <v>1.6602778961657766E-2</v>
      </c>
      <c r="E243" t="s">
        <v>50</v>
      </c>
      <c r="G243" t="s">
        <v>189</v>
      </c>
      <c r="H243" t="s">
        <v>49</v>
      </c>
      <c r="I243">
        <v>0.32654745015021175</v>
      </c>
      <c r="J243" t="s">
        <v>50</v>
      </c>
    </row>
    <row r="244" spans="2:10" x14ac:dyDescent="0.25">
      <c r="B244" t="s">
        <v>111</v>
      </c>
      <c r="C244" t="s">
        <v>51</v>
      </c>
      <c r="D244">
        <v>0.60275837052442227</v>
      </c>
      <c r="E244" t="s">
        <v>50</v>
      </c>
      <c r="G244" t="s">
        <v>189</v>
      </c>
      <c r="H244" t="s">
        <v>51</v>
      </c>
      <c r="I244">
        <v>0.18549398334417985</v>
      </c>
      <c r="J244" t="s">
        <v>50</v>
      </c>
    </row>
    <row r="245" spans="2:10" x14ac:dyDescent="0.25">
      <c r="B245" t="s">
        <v>111</v>
      </c>
      <c r="C245" t="s">
        <v>52</v>
      </c>
      <c r="D245">
        <v>4.7532755734494168E-3</v>
      </c>
      <c r="E245" t="s">
        <v>50</v>
      </c>
      <c r="G245" t="s">
        <v>189</v>
      </c>
      <c r="H245" t="s">
        <v>52</v>
      </c>
      <c r="I245">
        <v>0.25906870111678926</v>
      </c>
      <c r="J245" t="s">
        <v>50</v>
      </c>
    </row>
    <row r="246" spans="2:10" x14ac:dyDescent="0.25">
      <c r="B246" t="s">
        <v>111</v>
      </c>
      <c r="C246" t="s">
        <v>53</v>
      </c>
      <c r="D246">
        <v>0.37588557494047209</v>
      </c>
      <c r="E246" t="s">
        <v>50</v>
      </c>
      <c r="G246" t="s">
        <v>189</v>
      </c>
      <c r="H246" t="s">
        <v>53</v>
      </c>
      <c r="I246">
        <v>0.22888986538881767</v>
      </c>
      <c r="J246" t="s">
        <v>50</v>
      </c>
    </row>
    <row r="247" spans="2:10" x14ac:dyDescent="0.25">
      <c r="B247" t="s">
        <v>112</v>
      </c>
      <c r="C247" t="s">
        <v>49</v>
      </c>
      <c r="D247">
        <v>1.3702174785166816E-2</v>
      </c>
      <c r="E247" t="s">
        <v>50</v>
      </c>
      <c r="G247" t="s">
        <v>190</v>
      </c>
      <c r="H247" t="s">
        <v>49</v>
      </c>
      <c r="I247">
        <v>0.3037385939411793</v>
      </c>
      <c r="J247" t="s">
        <v>50</v>
      </c>
    </row>
    <row r="248" spans="2:10" x14ac:dyDescent="0.25">
      <c r="B248" t="s">
        <v>112</v>
      </c>
      <c r="C248" t="s">
        <v>51</v>
      </c>
      <c r="D248">
        <v>0.60418322755139442</v>
      </c>
      <c r="E248" t="s">
        <v>50</v>
      </c>
      <c r="G248" t="s">
        <v>190</v>
      </c>
      <c r="H248" t="s">
        <v>51</v>
      </c>
      <c r="I248">
        <v>0.16609306910845914</v>
      </c>
      <c r="J248" t="s">
        <v>50</v>
      </c>
    </row>
    <row r="249" spans="2:10" x14ac:dyDescent="0.25">
      <c r="B249" t="s">
        <v>112</v>
      </c>
      <c r="C249" t="s">
        <v>52</v>
      </c>
      <c r="D249">
        <v>3.9563257352036975E-3</v>
      </c>
      <c r="E249" t="s">
        <v>50</v>
      </c>
      <c r="G249" t="s">
        <v>190</v>
      </c>
      <c r="H249" t="s">
        <v>52</v>
      </c>
      <c r="I249">
        <v>0.2910780328588527</v>
      </c>
      <c r="J249" t="s">
        <v>50</v>
      </c>
    </row>
    <row r="250" spans="2:10" x14ac:dyDescent="0.25">
      <c r="B250" t="s">
        <v>112</v>
      </c>
      <c r="C250" t="s">
        <v>53</v>
      </c>
      <c r="D250">
        <v>0.37815827192823542</v>
      </c>
      <c r="E250" t="s">
        <v>50</v>
      </c>
      <c r="G250" t="s">
        <v>190</v>
      </c>
      <c r="H250" t="s">
        <v>53</v>
      </c>
      <c r="I250">
        <v>0.2390903040915057</v>
      </c>
      <c r="J250" t="s">
        <v>50</v>
      </c>
    </row>
    <row r="251" spans="2:10" x14ac:dyDescent="0.25">
      <c r="B251" t="s">
        <v>113</v>
      </c>
      <c r="C251" t="s">
        <v>49</v>
      </c>
      <c r="D251">
        <v>1.5224829206984815E-2</v>
      </c>
      <c r="E251" t="s">
        <v>50</v>
      </c>
      <c r="G251" t="s">
        <v>191</v>
      </c>
      <c r="H251" t="s">
        <v>49</v>
      </c>
      <c r="I251">
        <v>0.39269894193378585</v>
      </c>
      <c r="J251" t="s">
        <v>50</v>
      </c>
    </row>
    <row r="252" spans="2:10" x14ac:dyDescent="0.25">
      <c r="B252" t="s">
        <v>113</v>
      </c>
      <c r="C252" t="s">
        <v>51</v>
      </c>
      <c r="D252">
        <v>0.60781544035345947</v>
      </c>
      <c r="E252" t="s">
        <v>50</v>
      </c>
      <c r="G252" t="s">
        <v>191</v>
      </c>
      <c r="H252" t="s">
        <v>51</v>
      </c>
      <c r="I252">
        <v>0.20828746951992402</v>
      </c>
      <c r="J252" t="s">
        <v>50</v>
      </c>
    </row>
    <row r="253" spans="2:10" x14ac:dyDescent="0.25">
      <c r="B253" t="s">
        <v>113</v>
      </c>
      <c r="C253" t="s">
        <v>52</v>
      </c>
      <c r="D253">
        <v>4.368029367622958E-3</v>
      </c>
      <c r="E253" t="s">
        <v>50</v>
      </c>
      <c r="G253" t="s">
        <v>191</v>
      </c>
      <c r="H253" t="s">
        <v>52</v>
      </c>
      <c r="I253">
        <v>0.25068584895516743</v>
      </c>
      <c r="J253" t="s">
        <v>50</v>
      </c>
    </row>
    <row r="254" spans="2:10" x14ac:dyDescent="0.25">
      <c r="B254" t="s">
        <v>113</v>
      </c>
      <c r="C254" t="s">
        <v>53</v>
      </c>
      <c r="D254">
        <v>0.37259170107193224</v>
      </c>
      <c r="E254" t="s">
        <v>50</v>
      </c>
      <c r="G254" t="s">
        <v>191</v>
      </c>
      <c r="H254" t="s">
        <v>53</v>
      </c>
      <c r="I254">
        <v>0.14832773959112272</v>
      </c>
      <c r="J254" t="s">
        <v>50</v>
      </c>
    </row>
    <row r="255" spans="2:10" x14ac:dyDescent="0.25">
      <c r="B255" t="s">
        <v>114</v>
      </c>
      <c r="C255" t="s">
        <v>49</v>
      </c>
      <c r="D255">
        <v>1.9811937631529587E-2</v>
      </c>
      <c r="E255" t="s">
        <v>50</v>
      </c>
      <c r="G255" t="s">
        <v>192</v>
      </c>
      <c r="H255" t="s">
        <v>49</v>
      </c>
      <c r="I255">
        <v>0.36606593892973927</v>
      </c>
      <c r="J255" t="s">
        <v>50</v>
      </c>
    </row>
    <row r="256" spans="2:10" x14ac:dyDescent="0.25">
      <c r="B256" t="s">
        <v>114</v>
      </c>
      <c r="C256" t="s">
        <v>51</v>
      </c>
      <c r="D256">
        <v>0.60115669739452426</v>
      </c>
      <c r="E256" t="s">
        <v>50</v>
      </c>
      <c r="G256" t="s">
        <v>192</v>
      </c>
      <c r="H256" t="s">
        <v>51</v>
      </c>
      <c r="I256">
        <v>0.20011573436663077</v>
      </c>
      <c r="J256" t="s">
        <v>50</v>
      </c>
    </row>
    <row r="257" spans="2:10" x14ac:dyDescent="0.25">
      <c r="B257" t="s">
        <v>114</v>
      </c>
      <c r="C257" t="s">
        <v>52</v>
      </c>
      <c r="D257">
        <v>6.1162372200273809E-3</v>
      </c>
      <c r="E257" t="s">
        <v>50</v>
      </c>
      <c r="G257" t="s">
        <v>192</v>
      </c>
      <c r="H257" t="s">
        <v>52</v>
      </c>
      <c r="I257">
        <v>0.26877091287716703</v>
      </c>
      <c r="J257" t="s">
        <v>50</v>
      </c>
    </row>
    <row r="258" spans="2:10" x14ac:dyDescent="0.25">
      <c r="B258" t="s">
        <v>114</v>
      </c>
      <c r="C258" t="s">
        <v>53</v>
      </c>
      <c r="D258">
        <v>0.37291512775392055</v>
      </c>
      <c r="E258" t="s">
        <v>50</v>
      </c>
      <c r="G258" t="s">
        <v>192</v>
      </c>
      <c r="H258" t="s">
        <v>53</v>
      </c>
      <c r="I258">
        <v>0.16504741382646049</v>
      </c>
      <c r="J258" t="s">
        <v>50</v>
      </c>
    </row>
    <row r="259" spans="2:10" x14ac:dyDescent="0.25">
      <c r="B259" t="s">
        <v>115</v>
      </c>
      <c r="C259" t="s">
        <v>49</v>
      </c>
      <c r="D259">
        <v>2.4068684182504536E-2</v>
      </c>
      <c r="E259" t="s">
        <v>50</v>
      </c>
      <c r="G259" t="s">
        <v>193</v>
      </c>
      <c r="H259" t="s">
        <v>49</v>
      </c>
      <c r="I259">
        <v>0.34120540643963571</v>
      </c>
      <c r="J259" t="s">
        <v>50</v>
      </c>
    </row>
    <row r="260" spans="2:10" x14ac:dyDescent="0.25">
      <c r="B260" t="s">
        <v>115</v>
      </c>
      <c r="C260" t="s">
        <v>51</v>
      </c>
      <c r="D260">
        <v>0.61026354683375572</v>
      </c>
      <c r="E260" t="s">
        <v>50</v>
      </c>
      <c r="G260" t="s">
        <v>193</v>
      </c>
      <c r="H260" t="s">
        <v>51</v>
      </c>
      <c r="I260">
        <v>0.1961187561234902</v>
      </c>
      <c r="J260" t="s">
        <v>50</v>
      </c>
    </row>
    <row r="261" spans="2:10" x14ac:dyDescent="0.25">
      <c r="B261" t="s">
        <v>115</v>
      </c>
      <c r="C261" t="s">
        <v>52</v>
      </c>
      <c r="D261">
        <v>6.1616088452621579E-3</v>
      </c>
      <c r="E261" t="s">
        <v>50</v>
      </c>
      <c r="G261" t="s">
        <v>193</v>
      </c>
      <c r="H261" t="s">
        <v>52</v>
      </c>
      <c r="I261">
        <v>0.28282702834608486</v>
      </c>
      <c r="J261" t="s">
        <v>50</v>
      </c>
    </row>
    <row r="262" spans="2:10" x14ac:dyDescent="0.25">
      <c r="B262" t="s">
        <v>115</v>
      </c>
      <c r="C262" t="s">
        <v>53</v>
      </c>
      <c r="D262">
        <v>0.35950616013847653</v>
      </c>
      <c r="E262" t="s">
        <v>50</v>
      </c>
      <c r="G262" t="s">
        <v>193</v>
      </c>
      <c r="H262" t="s">
        <v>53</v>
      </c>
      <c r="I262">
        <v>0.17984880909078282</v>
      </c>
      <c r="J262" t="s">
        <v>50</v>
      </c>
    </row>
    <row r="263" spans="2:10" x14ac:dyDescent="0.25">
      <c r="B263" t="s">
        <v>116</v>
      </c>
      <c r="C263" t="s">
        <v>49</v>
      </c>
      <c r="D263">
        <v>2.0206850684892835E-2</v>
      </c>
      <c r="E263" t="s">
        <v>50</v>
      </c>
      <c r="G263" t="s">
        <v>194</v>
      </c>
      <c r="H263" t="s">
        <v>49</v>
      </c>
      <c r="I263">
        <v>0.27380355300412301</v>
      </c>
      <c r="J263" t="s">
        <v>50</v>
      </c>
    </row>
    <row r="264" spans="2:10" x14ac:dyDescent="0.25">
      <c r="B264" t="s">
        <v>116</v>
      </c>
      <c r="C264" t="s">
        <v>51</v>
      </c>
      <c r="D264">
        <v>0.60758410026653309</v>
      </c>
      <c r="E264" t="s">
        <v>50</v>
      </c>
      <c r="G264" t="s">
        <v>194</v>
      </c>
      <c r="H264" t="s">
        <v>51</v>
      </c>
      <c r="I264">
        <v>0.13281779453195774</v>
      </c>
      <c r="J264" t="s">
        <v>50</v>
      </c>
    </row>
    <row r="265" spans="2:10" x14ac:dyDescent="0.25">
      <c r="B265" t="s">
        <v>116</v>
      </c>
      <c r="C265" t="s">
        <v>52</v>
      </c>
      <c r="D265">
        <v>5.7584710865276646E-3</v>
      </c>
      <c r="E265" t="s">
        <v>50</v>
      </c>
      <c r="G265" t="s">
        <v>194</v>
      </c>
      <c r="H265" t="s">
        <v>52</v>
      </c>
      <c r="I265">
        <v>0.36452573986680659</v>
      </c>
      <c r="J265" t="s">
        <v>50</v>
      </c>
    </row>
    <row r="266" spans="2:10" x14ac:dyDescent="0.25">
      <c r="B266" t="s">
        <v>116</v>
      </c>
      <c r="C266" t="s">
        <v>53</v>
      </c>
      <c r="D266">
        <v>0.3664505779620455</v>
      </c>
      <c r="E266" t="s">
        <v>50</v>
      </c>
      <c r="G266" t="s">
        <v>194</v>
      </c>
      <c r="H266" t="s">
        <v>53</v>
      </c>
      <c r="I266">
        <v>0.22885291259711277</v>
      </c>
      <c r="J266" t="s">
        <v>50</v>
      </c>
    </row>
    <row r="267" spans="2:10" x14ac:dyDescent="0.25">
      <c r="B267" t="s">
        <v>117</v>
      </c>
      <c r="C267" t="s">
        <v>49</v>
      </c>
      <c r="D267">
        <v>1.0727420369262559E-2</v>
      </c>
      <c r="E267" t="s">
        <v>50</v>
      </c>
      <c r="G267" t="s">
        <v>195</v>
      </c>
      <c r="H267" t="s">
        <v>49</v>
      </c>
      <c r="I267">
        <v>0.28030724612229313</v>
      </c>
      <c r="J267" t="s">
        <v>50</v>
      </c>
    </row>
    <row r="268" spans="2:10" x14ac:dyDescent="0.25">
      <c r="B268" t="s">
        <v>117</v>
      </c>
      <c r="C268" t="s">
        <v>51</v>
      </c>
      <c r="D268">
        <v>0.58761771500710358</v>
      </c>
      <c r="E268" t="s">
        <v>50</v>
      </c>
      <c r="G268" t="s">
        <v>195</v>
      </c>
      <c r="H268" t="s">
        <v>51</v>
      </c>
      <c r="I268">
        <v>0.1496044800723087</v>
      </c>
      <c r="J268" t="s">
        <v>50</v>
      </c>
    </row>
    <row r="269" spans="2:10" x14ac:dyDescent="0.25">
      <c r="B269" t="s">
        <v>117</v>
      </c>
      <c r="C269" t="s">
        <v>52</v>
      </c>
      <c r="D269">
        <v>3.596170708737753E-3</v>
      </c>
      <c r="E269" t="s">
        <v>50</v>
      </c>
      <c r="G269" t="s">
        <v>195</v>
      </c>
      <c r="H269" t="s">
        <v>52</v>
      </c>
      <c r="I269">
        <v>0.35092223543235324</v>
      </c>
      <c r="J269" t="s">
        <v>50</v>
      </c>
    </row>
    <row r="270" spans="2:10" x14ac:dyDescent="0.25">
      <c r="B270" t="s">
        <v>117</v>
      </c>
      <c r="C270" t="s">
        <v>53</v>
      </c>
      <c r="D270">
        <v>0.39805869391489873</v>
      </c>
      <c r="E270" t="s">
        <v>50</v>
      </c>
      <c r="G270" t="s">
        <v>195</v>
      </c>
      <c r="H270" t="s">
        <v>53</v>
      </c>
      <c r="I270">
        <v>0.21916603837304627</v>
      </c>
      <c r="J270" t="s">
        <v>50</v>
      </c>
    </row>
    <row r="271" spans="2:10" x14ac:dyDescent="0.25">
      <c r="B271" t="s">
        <v>118</v>
      </c>
      <c r="C271" t="s">
        <v>49</v>
      </c>
      <c r="D271">
        <v>1.221477799982983E-2</v>
      </c>
      <c r="E271" t="s">
        <v>50</v>
      </c>
      <c r="G271" t="s">
        <v>196</v>
      </c>
      <c r="H271" t="s">
        <v>49</v>
      </c>
      <c r="I271">
        <v>0.31614454740850939</v>
      </c>
      <c r="J271" t="s">
        <v>50</v>
      </c>
    </row>
    <row r="272" spans="2:10" x14ac:dyDescent="0.25">
      <c r="B272" t="s">
        <v>118</v>
      </c>
      <c r="C272" t="s">
        <v>51</v>
      </c>
      <c r="D272">
        <v>0.59697433146085399</v>
      </c>
      <c r="E272" t="s">
        <v>50</v>
      </c>
      <c r="G272" t="s">
        <v>196</v>
      </c>
      <c r="H272" t="s">
        <v>51</v>
      </c>
      <c r="I272">
        <v>0.17235340520031175</v>
      </c>
      <c r="J272" t="s">
        <v>50</v>
      </c>
    </row>
    <row r="273" spans="2:10" x14ac:dyDescent="0.25">
      <c r="B273" t="s">
        <v>118</v>
      </c>
      <c r="C273" t="s">
        <v>52</v>
      </c>
      <c r="D273">
        <v>3.2468246186732014E-3</v>
      </c>
      <c r="E273" t="s">
        <v>50</v>
      </c>
      <c r="G273" t="s">
        <v>196</v>
      </c>
      <c r="H273" t="s">
        <v>52</v>
      </c>
      <c r="I273">
        <v>0.32112499131087707</v>
      </c>
      <c r="J273" t="s">
        <v>50</v>
      </c>
    </row>
    <row r="274" spans="2:10" x14ac:dyDescent="0.25">
      <c r="B274" t="s">
        <v>118</v>
      </c>
      <c r="C274" t="s">
        <v>53</v>
      </c>
      <c r="D274">
        <v>0.38756406592064291</v>
      </c>
      <c r="E274" t="s">
        <v>50</v>
      </c>
      <c r="G274" t="s">
        <v>196</v>
      </c>
      <c r="H274" t="s">
        <v>53</v>
      </c>
      <c r="I274">
        <v>0.19037705608030359</v>
      </c>
      <c r="J274" t="s">
        <v>50</v>
      </c>
    </row>
    <row r="275" spans="2:10" x14ac:dyDescent="0.25">
      <c r="B275" t="s">
        <v>119</v>
      </c>
      <c r="C275" t="s">
        <v>49</v>
      </c>
      <c r="D275">
        <v>1.608478067093087E-2</v>
      </c>
      <c r="E275" t="s">
        <v>50</v>
      </c>
      <c r="G275" t="s">
        <v>197</v>
      </c>
      <c r="H275" t="s">
        <v>49</v>
      </c>
      <c r="I275">
        <v>0.28295991308882468</v>
      </c>
      <c r="J275" t="s">
        <v>50</v>
      </c>
    </row>
    <row r="276" spans="2:10" x14ac:dyDescent="0.25">
      <c r="B276" t="s">
        <v>119</v>
      </c>
      <c r="C276" t="s">
        <v>51</v>
      </c>
      <c r="D276">
        <v>0.59394795450877746</v>
      </c>
      <c r="E276" t="s">
        <v>50</v>
      </c>
      <c r="G276" t="s">
        <v>197</v>
      </c>
      <c r="H276" t="s">
        <v>51</v>
      </c>
      <c r="I276">
        <v>0.14874806775513477</v>
      </c>
      <c r="J276" t="s">
        <v>50</v>
      </c>
    </row>
    <row r="277" spans="2:10" x14ac:dyDescent="0.25">
      <c r="B277" t="s">
        <v>119</v>
      </c>
      <c r="C277" t="s">
        <v>52</v>
      </c>
      <c r="D277">
        <v>4.6760005396398645E-3</v>
      </c>
      <c r="E277" t="s">
        <v>50</v>
      </c>
      <c r="G277" t="s">
        <v>197</v>
      </c>
      <c r="H277" t="s">
        <v>52</v>
      </c>
      <c r="I277">
        <v>0.35707160868174964</v>
      </c>
      <c r="J277" t="s">
        <v>50</v>
      </c>
    </row>
    <row r="278" spans="2:10" x14ac:dyDescent="0.25">
      <c r="B278" t="s">
        <v>119</v>
      </c>
      <c r="C278" t="s">
        <v>53</v>
      </c>
      <c r="D278">
        <v>0.38529126428064936</v>
      </c>
      <c r="E278" t="s">
        <v>50</v>
      </c>
      <c r="G278" t="s">
        <v>197</v>
      </c>
      <c r="H278" t="s">
        <v>53</v>
      </c>
      <c r="I278">
        <v>0.21122041047429083</v>
      </c>
      <c r="J278" t="s">
        <v>50</v>
      </c>
    </row>
    <row r="279" spans="2:10" x14ac:dyDescent="0.25">
      <c r="B279" t="s">
        <v>120</v>
      </c>
      <c r="C279" t="s">
        <v>49</v>
      </c>
      <c r="D279">
        <v>1.5327313579825896E-2</v>
      </c>
      <c r="E279" t="s">
        <v>50</v>
      </c>
    </row>
    <row r="280" spans="2:10" x14ac:dyDescent="0.25">
      <c r="B280" t="s">
        <v>120</v>
      </c>
      <c r="C280" t="s">
        <v>51</v>
      </c>
      <c r="D280">
        <v>0.60254075648966943</v>
      </c>
      <c r="E280" t="s">
        <v>50</v>
      </c>
    </row>
    <row r="281" spans="2:10" x14ac:dyDescent="0.25">
      <c r="B281" t="s">
        <v>120</v>
      </c>
      <c r="C281" t="s">
        <v>52</v>
      </c>
      <c r="D281">
        <v>4.700031040435519E-3</v>
      </c>
      <c r="E281" t="s">
        <v>50</v>
      </c>
    </row>
    <row r="282" spans="2:10" x14ac:dyDescent="0.25">
      <c r="B282" t="s">
        <v>120</v>
      </c>
      <c r="C282" t="s">
        <v>53</v>
      </c>
      <c r="D282">
        <v>0.37743189889007278</v>
      </c>
      <c r="E282" t="s">
        <v>50</v>
      </c>
    </row>
    <row r="283" spans="2:10" x14ac:dyDescent="0.25">
      <c r="B283" t="s">
        <v>121</v>
      </c>
      <c r="C283" t="s">
        <v>49</v>
      </c>
      <c r="D283">
        <v>1.5086236058105686E-2</v>
      </c>
      <c r="E283" t="s">
        <v>50</v>
      </c>
    </row>
    <row r="284" spans="2:10" x14ac:dyDescent="0.25">
      <c r="B284" t="s">
        <v>121</v>
      </c>
      <c r="C284" t="s">
        <v>51</v>
      </c>
      <c r="D284">
        <v>0.56844009840607124</v>
      </c>
      <c r="E284" t="s">
        <v>50</v>
      </c>
    </row>
    <row r="285" spans="2:10" x14ac:dyDescent="0.25">
      <c r="B285" t="s">
        <v>121</v>
      </c>
      <c r="C285" t="s">
        <v>52</v>
      </c>
      <c r="D285">
        <v>3.9416673487309524E-3</v>
      </c>
      <c r="E285" t="s">
        <v>50</v>
      </c>
    </row>
    <row r="286" spans="2:10" x14ac:dyDescent="0.25">
      <c r="B286" t="s">
        <v>121</v>
      </c>
      <c r="C286" t="s">
        <v>53</v>
      </c>
      <c r="D286">
        <v>0.41253199818709008</v>
      </c>
      <c r="E286" t="s">
        <v>50</v>
      </c>
    </row>
    <row r="287" spans="2:10" x14ac:dyDescent="0.25">
      <c r="B287" t="s">
        <v>122</v>
      </c>
      <c r="C287" t="s">
        <v>49</v>
      </c>
      <c r="D287">
        <v>1.4226876288441666E-2</v>
      </c>
      <c r="E287" t="s">
        <v>50</v>
      </c>
    </row>
    <row r="288" spans="2:10" x14ac:dyDescent="0.25">
      <c r="B288" t="s">
        <v>122</v>
      </c>
      <c r="C288" t="s">
        <v>51</v>
      </c>
      <c r="D288">
        <v>0.58578908125119566</v>
      </c>
      <c r="E288" t="s">
        <v>50</v>
      </c>
    </row>
    <row r="289" spans="2:5" x14ac:dyDescent="0.25">
      <c r="B289" t="s">
        <v>122</v>
      </c>
      <c r="C289" t="s">
        <v>52</v>
      </c>
      <c r="D289">
        <v>4.2393861119877424E-3</v>
      </c>
      <c r="E289" t="s">
        <v>50</v>
      </c>
    </row>
    <row r="290" spans="2:5" x14ac:dyDescent="0.25">
      <c r="B290" t="s">
        <v>122</v>
      </c>
      <c r="C290" t="s">
        <v>53</v>
      </c>
      <c r="D290">
        <v>0.39574465634837613</v>
      </c>
      <c r="E290" t="s">
        <v>50</v>
      </c>
    </row>
    <row r="291" spans="2:5" x14ac:dyDescent="0.25">
      <c r="B291" t="s">
        <v>123</v>
      </c>
      <c r="C291" t="s">
        <v>49</v>
      </c>
      <c r="D291">
        <v>1.722135492431175E-2</v>
      </c>
      <c r="E291" t="s">
        <v>50</v>
      </c>
    </row>
    <row r="292" spans="2:5" x14ac:dyDescent="0.25">
      <c r="B292" t="s">
        <v>123</v>
      </c>
      <c r="C292" t="s">
        <v>51</v>
      </c>
      <c r="D292">
        <v>0.52651349527059332</v>
      </c>
      <c r="E292" t="s">
        <v>50</v>
      </c>
    </row>
    <row r="293" spans="2:5" x14ac:dyDescent="0.25">
      <c r="B293" t="s">
        <v>123</v>
      </c>
      <c r="C293" t="s">
        <v>52</v>
      </c>
      <c r="D293">
        <v>7.6502953639527964E-3</v>
      </c>
      <c r="E293" t="s">
        <v>50</v>
      </c>
    </row>
    <row r="294" spans="2:5" x14ac:dyDescent="0.25">
      <c r="B294" t="s">
        <v>123</v>
      </c>
      <c r="C294" t="s">
        <v>53</v>
      </c>
      <c r="D294">
        <v>0.44861485444114446</v>
      </c>
      <c r="E294" t="s">
        <v>50</v>
      </c>
    </row>
    <row r="295" spans="2:5" x14ac:dyDescent="0.25">
      <c r="B295" t="s">
        <v>124</v>
      </c>
      <c r="C295" t="s">
        <v>49</v>
      </c>
      <c r="D295">
        <v>1.5853891504162575E-2</v>
      </c>
      <c r="E295" t="s">
        <v>50</v>
      </c>
    </row>
    <row r="296" spans="2:5" x14ac:dyDescent="0.25">
      <c r="B296" t="s">
        <v>124</v>
      </c>
      <c r="C296" t="s">
        <v>51</v>
      </c>
      <c r="D296">
        <v>0.54045432305644281</v>
      </c>
      <c r="E296" t="s">
        <v>50</v>
      </c>
    </row>
    <row r="297" spans="2:5" x14ac:dyDescent="0.25">
      <c r="B297" t="s">
        <v>124</v>
      </c>
      <c r="C297" t="s">
        <v>52</v>
      </c>
      <c r="D297">
        <v>5.4040396584480298E-3</v>
      </c>
      <c r="E297" t="s">
        <v>50</v>
      </c>
    </row>
    <row r="298" spans="2:5" x14ac:dyDescent="0.25">
      <c r="B298" t="s">
        <v>124</v>
      </c>
      <c r="C298" t="s">
        <v>53</v>
      </c>
      <c r="D298">
        <v>0.4382877457809477</v>
      </c>
      <c r="E298" t="s">
        <v>50</v>
      </c>
    </row>
    <row r="299" spans="2:5" x14ac:dyDescent="0.25">
      <c r="B299" t="s">
        <v>125</v>
      </c>
      <c r="C299" t="s">
        <v>49</v>
      </c>
      <c r="D299">
        <v>1.5762937943557414E-2</v>
      </c>
      <c r="E299" t="s">
        <v>50</v>
      </c>
    </row>
    <row r="300" spans="2:5" x14ac:dyDescent="0.25">
      <c r="B300" t="s">
        <v>125</v>
      </c>
      <c r="C300" t="s">
        <v>51</v>
      </c>
      <c r="D300">
        <v>0.55469684322260671</v>
      </c>
      <c r="E300" t="s">
        <v>50</v>
      </c>
    </row>
    <row r="301" spans="2:5" x14ac:dyDescent="0.25">
      <c r="B301" t="s">
        <v>125</v>
      </c>
      <c r="C301" t="s">
        <v>52</v>
      </c>
      <c r="D301">
        <v>5.6124730191365992E-3</v>
      </c>
      <c r="E301" t="s">
        <v>50</v>
      </c>
    </row>
    <row r="302" spans="2:5" x14ac:dyDescent="0.25">
      <c r="B302" t="s">
        <v>125</v>
      </c>
      <c r="C302" t="s">
        <v>53</v>
      </c>
      <c r="D302">
        <v>0.42392774581469866</v>
      </c>
      <c r="E302" t="s">
        <v>50</v>
      </c>
    </row>
    <row r="303" spans="2:5" x14ac:dyDescent="0.25">
      <c r="B303" t="s">
        <v>126</v>
      </c>
      <c r="C303" t="s">
        <v>49</v>
      </c>
      <c r="D303">
        <v>1.9838343676505887E-2</v>
      </c>
      <c r="E303" t="s">
        <v>50</v>
      </c>
    </row>
    <row r="304" spans="2:5" x14ac:dyDescent="0.25">
      <c r="B304" t="s">
        <v>126</v>
      </c>
      <c r="C304" t="s">
        <v>51</v>
      </c>
      <c r="D304">
        <v>0.59216549872816293</v>
      </c>
      <c r="E304" t="s">
        <v>50</v>
      </c>
    </row>
    <row r="305" spans="2:5" x14ac:dyDescent="0.25">
      <c r="B305" t="s">
        <v>126</v>
      </c>
      <c r="C305" t="s">
        <v>52</v>
      </c>
      <c r="D305">
        <v>5.1933837875695193E-3</v>
      </c>
      <c r="E305" t="s">
        <v>50</v>
      </c>
    </row>
    <row r="306" spans="2:5" x14ac:dyDescent="0.25">
      <c r="B306" t="s">
        <v>126</v>
      </c>
      <c r="C306" t="s">
        <v>53</v>
      </c>
      <c r="D306">
        <v>0.38280277380776057</v>
      </c>
      <c r="E306" t="s">
        <v>50</v>
      </c>
    </row>
    <row r="307" spans="2:5" x14ac:dyDescent="0.25">
      <c r="B307" t="s">
        <v>127</v>
      </c>
      <c r="C307" t="s">
        <v>49</v>
      </c>
      <c r="D307">
        <v>1.8941594918414309E-2</v>
      </c>
      <c r="E307" t="s">
        <v>50</v>
      </c>
    </row>
    <row r="308" spans="2:5" x14ac:dyDescent="0.25">
      <c r="B308" t="s">
        <v>127</v>
      </c>
      <c r="C308" t="s">
        <v>51</v>
      </c>
      <c r="D308">
        <v>0.5641572928228723</v>
      </c>
      <c r="E308" t="s">
        <v>50</v>
      </c>
    </row>
    <row r="309" spans="2:5" x14ac:dyDescent="0.25">
      <c r="B309" t="s">
        <v>127</v>
      </c>
      <c r="C309" t="s">
        <v>52</v>
      </c>
      <c r="D309">
        <v>7.3355826207932712E-3</v>
      </c>
      <c r="E309" t="s">
        <v>50</v>
      </c>
    </row>
    <row r="310" spans="2:5" x14ac:dyDescent="0.25">
      <c r="B310" t="s">
        <v>127</v>
      </c>
      <c r="C310" t="s">
        <v>53</v>
      </c>
      <c r="D310">
        <v>0.40956552963791903</v>
      </c>
      <c r="E310" t="s">
        <v>50</v>
      </c>
    </row>
    <row r="311" spans="2:5" x14ac:dyDescent="0.25">
      <c r="B311" t="s">
        <v>128</v>
      </c>
      <c r="C311" t="s">
        <v>49</v>
      </c>
      <c r="D311">
        <v>2.2347733790832106E-2</v>
      </c>
      <c r="E311" t="s">
        <v>50</v>
      </c>
    </row>
    <row r="312" spans="2:5" x14ac:dyDescent="0.25">
      <c r="B312" t="s">
        <v>128</v>
      </c>
      <c r="C312" t="s">
        <v>51</v>
      </c>
      <c r="D312">
        <v>0.60489403786274443</v>
      </c>
      <c r="E312" t="s">
        <v>50</v>
      </c>
    </row>
    <row r="313" spans="2:5" x14ac:dyDescent="0.25">
      <c r="B313" t="s">
        <v>128</v>
      </c>
      <c r="C313" t="s">
        <v>52</v>
      </c>
      <c r="D313">
        <v>5.2173623155852607E-3</v>
      </c>
      <c r="E313" t="s">
        <v>50</v>
      </c>
    </row>
    <row r="314" spans="2:5" x14ac:dyDescent="0.25">
      <c r="B314" t="s">
        <v>128</v>
      </c>
      <c r="C314" t="s">
        <v>53</v>
      </c>
      <c r="D314">
        <v>0.3675408660308368</v>
      </c>
      <c r="E314" t="s">
        <v>50</v>
      </c>
    </row>
    <row r="315" spans="2:5" x14ac:dyDescent="0.25">
      <c r="B315" t="s">
        <v>129</v>
      </c>
      <c r="C315" t="s">
        <v>49</v>
      </c>
      <c r="D315">
        <v>1.6845825034987178E-2</v>
      </c>
      <c r="E315" t="s">
        <v>50</v>
      </c>
    </row>
    <row r="316" spans="2:5" x14ac:dyDescent="0.25">
      <c r="B316" t="s">
        <v>129</v>
      </c>
      <c r="C316" t="s">
        <v>51</v>
      </c>
      <c r="D316">
        <v>0.5828438360851248</v>
      </c>
      <c r="E316" t="s">
        <v>50</v>
      </c>
    </row>
    <row r="317" spans="2:5" x14ac:dyDescent="0.25">
      <c r="B317" t="s">
        <v>129</v>
      </c>
      <c r="C317" t="s">
        <v>52</v>
      </c>
      <c r="D317">
        <v>4.9527529707345461E-3</v>
      </c>
      <c r="E317" t="s">
        <v>50</v>
      </c>
    </row>
    <row r="318" spans="2:5" x14ac:dyDescent="0.25">
      <c r="B318" t="s">
        <v>129</v>
      </c>
      <c r="C318" t="s">
        <v>53</v>
      </c>
      <c r="D318">
        <v>0.39535758590915032</v>
      </c>
      <c r="E318" t="s">
        <v>50</v>
      </c>
    </row>
    <row r="319" spans="2:5" x14ac:dyDescent="0.25">
      <c r="B319" t="s">
        <v>130</v>
      </c>
      <c r="C319" t="s">
        <v>49</v>
      </c>
      <c r="D319">
        <v>1.8999960659521496E-2</v>
      </c>
      <c r="E319" t="s">
        <v>50</v>
      </c>
    </row>
    <row r="320" spans="2:5" x14ac:dyDescent="0.25">
      <c r="B320" t="s">
        <v>130</v>
      </c>
      <c r="C320" t="s">
        <v>51</v>
      </c>
      <c r="D320">
        <v>0.60043616185783077</v>
      </c>
      <c r="E320" t="s">
        <v>50</v>
      </c>
    </row>
    <row r="321" spans="2:5" x14ac:dyDescent="0.25">
      <c r="B321" t="s">
        <v>130</v>
      </c>
      <c r="C321" t="s">
        <v>52</v>
      </c>
      <c r="D321">
        <v>5.0949098487925587E-3</v>
      </c>
      <c r="E321" t="s">
        <v>50</v>
      </c>
    </row>
    <row r="322" spans="2:5" x14ac:dyDescent="0.25">
      <c r="B322" t="s">
        <v>130</v>
      </c>
      <c r="C322" t="s">
        <v>53</v>
      </c>
      <c r="D322">
        <v>0.37546896763385351</v>
      </c>
      <c r="E322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F4D56-0CEF-4991-BA9F-9B92F42C850C}">
  <dimension ref="B9:AF179"/>
  <sheetViews>
    <sheetView workbookViewId="0"/>
  </sheetViews>
  <sheetFormatPr defaultRowHeight="15" x14ac:dyDescent="0.25"/>
  <sheetData>
    <row r="9" spans="2:32" x14ac:dyDescent="0.25">
      <c r="B9" t="str">
        <f>IF(A11="x","DeActivated","~TFM_DINS-TSL: attribute=FLO_EMIS; other_indexes=ACT")</f>
        <v>~TFM_DINS-TSL: attribute=FLO_EMIS; other_indexes=ACT</v>
      </c>
      <c r="I9" t="str">
        <f>IF(A11="x","DeActivated","~TFM_INS-TSL: attribute=FLO_SHAR; limtype=FX")</f>
        <v>~TFM_INS-TSL: attribute=FLO_SHAR; limtype=FX</v>
      </c>
      <c r="P9" t="str">
        <f>IF(A11="x","DeActivated","~TFM_INS-TSL: attribute=FLO_SHAR; limtype=FX")</f>
        <v>~TFM_INS-TSL: attribute=FLO_SHAR; limtype=FX</v>
      </c>
      <c r="W9" t="str">
        <f>IF(A11="x","DeActivated","~TFM_DINS-TSL: attribute=NCAP_PKCNT")</f>
        <v>~TFM_DINS-TSL: attribute=NCAP_PKCNT</v>
      </c>
      <c r="AC9" t="str">
        <f>IF(A11="x","DeActivated","~TFM_DINS-AT")</f>
        <v>~TFM_DINS-AT</v>
      </c>
    </row>
    <row r="10" spans="2:32" x14ac:dyDescent="0.25">
      <c r="B10" t="s">
        <v>47</v>
      </c>
      <c r="C10" t="s">
        <v>44</v>
      </c>
      <c r="D10" t="s">
        <v>49</v>
      </c>
      <c r="E10" t="s">
        <v>51</v>
      </c>
      <c r="F10" t="s">
        <v>52</v>
      </c>
      <c r="G10" t="s">
        <v>53</v>
      </c>
      <c r="I10" t="s">
        <v>47</v>
      </c>
      <c r="J10" t="s">
        <v>44</v>
      </c>
      <c r="K10" t="s">
        <v>49</v>
      </c>
      <c r="L10" t="s">
        <v>51</v>
      </c>
      <c r="M10" t="s">
        <v>52</v>
      </c>
      <c r="N10" t="s">
        <v>53</v>
      </c>
      <c r="P10" t="s">
        <v>47</v>
      </c>
      <c r="Q10" t="s">
        <v>44</v>
      </c>
      <c r="R10" t="s">
        <v>49</v>
      </c>
      <c r="S10" t="s">
        <v>51</v>
      </c>
      <c r="T10" t="s">
        <v>52</v>
      </c>
      <c r="U10" t="s">
        <v>53</v>
      </c>
      <c r="W10" t="s">
        <v>47</v>
      </c>
      <c r="X10" t="s">
        <v>49</v>
      </c>
      <c r="Y10" t="s">
        <v>51</v>
      </c>
      <c r="Z10" t="s">
        <v>52</v>
      </c>
      <c r="AA10" t="s">
        <v>53</v>
      </c>
      <c r="AC10" t="s">
        <v>47</v>
      </c>
      <c r="AD10" t="s">
        <v>44</v>
      </c>
      <c r="AE10" t="s">
        <v>396</v>
      </c>
      <c r="AF10" t="s">
        <v>397</v>
      </c>
    </row>
    <row r="11" spans="2:32" x14ac:dyDescent="0.25">
      <c r="B11" t="s">
        <v>222</v>
      </c>
      <c r="C11" t="s">
        <v>31</v>
      </c>
      <c r="D11">
        <v>0.91016969910701473</v>
      </c>
      <c r="E11">
        <v>0.17898616046892424</v>
      </c>
      <c r="F11">
        <v>0.89542270387003575</v>
      </c>
      <c r="G11">
        <v>0.25779884397468816</v>
      </c>
      <c r="I11" t="s">
        <v>391</v>
      </c>
      <c r="J11" t="s">
        <v>392</v>
      </c>
      <c r="K11">
        <v>0.80814832696499217</v>
      </c>
      <c r="L11">
        <v>4.708876401061423E-2</v>
      </c>
      <c r="M11">
        <v>0.80946324312755003</v>
      </c>
      <c r="N11">
        <v>7.3970143509546948E-2</v>
      </c>
      <c r="P11" t="s">
        <v>391</v>
      </c>
      <c r="Q11" t="s">
        <v>395</v>
      </c>
      <c r="R11">
        <v>0</v>
      </c>
      <c r="S11">
        <v>2.0664493760326631E-2</v>
      </c>
      <c r="T11">
        <v>0</v>
      </c>
      <c r="U11">
        <v>3.9007237219045643E-2</v>
      </c>
      <c r="W11" t="s">
        <v>222</v>
      </c>
      <c r="X11">
        <v>2.4122904361906367E-2</v>
      </c>
      <c r="Y11">
        <v>0.51572288325883919</v>
      </c>
      <c r="Z11">
        <v>1.0259465584158849E-2</v>
      </c>
      <c r="AA11">
        <v>0.35566427943651024</v>
      </c>
      <c r="AC11" t="s">
        <v>222</v>
      </c>
      <c r="AD11" t="s">
        <v>398</v>
      </c>
      <c r="AE11" t="s">
        <v>399</v>
      </c>
      <c r="AF11">
        <v>0.51572288325883919</v>
      </c>
    </row>
    <row r="12" spans="2:32" x14ac:dyDescent="0.25">
      <c r="B12" t="s">
        <v>223</v>
      </c>
      <c r="C12" t="s">
        <v>31</v>
      </c>
      <c r="D12">
        <v>0.91034851178070286</v>
      </c>
      <c r="E12">
        <v>0.17938691151497063</v>
      </c>
      <c r="F12">
        <v>0.89307071633973278</v>
      </c>
      <c r="G12">
        <v>0.22656330864001906</v>
      </c>
      <c r="I12" t="s">
        <v>393</v>
      </c>
      <c r="J12" t="s">
        <v>392</v>
      </c>
      <c r="K12">
        <v>7.3521033765531277E-3</v>
      </c>
      <c r="L12">
        <v>2.2070090581938706E-2</v>
      </c>
      <c r="M12">
        <v>1.7561202013267466E-3</v>
      </c>
      <c r="N12">
        <v>8.9036169207715879E-5</v>
      </c>
      <c r="P12" t="s">
        <v>393</v>
      </c>
      <c r="Q12" t="s">
        <v>395</v>
      </c>
      <c r="R12">
        <v>1.204837391346195E-2</v>
      </c>
      <c r="S12">
        <v>5.9551900981713122E-3</v>
      </c>
      <c r="T12">
        <v>2.8006614161731661E-3</v>
      </c>
      <c r="U12">
        <v>3.2770259387328147E-4</v>
      </c>
      <c r="W12" t="s">
        <v>223</v>
      </c>
      <c r="X12">
        <v>2.2544345565294943E-2</v>
      </c>
      <c r="Y12">
        <v>0.51632757196712198</v>
      </c>
      <c r="Z12">
        <v>1.2370439130880906E-2</v>
      </c>
      <c r="AA12">
        <v>0.39346068198053008</v>
      </c>
      <c r="AC12" t="s">
        <v>223</v>
      </c>
      <c r="AD12" t="s">
        <v>398</v>
      </c>
      <c r="AE12" t="s">
        <v>399</v>
      </c>
      <c r="AF12">
        <v>0.51632757196712198</v>
      </c>
    </row>
    <row r="13" spans="2:32" x14ac:dyDescent="0.25">
      <c r="B13" t="s">
        <v>224</v>
      </c>
      <c r="C13" t="s">
        <v>31</v>
      </c>
      <c r="D13">
        <v>0.92733717633198198</v>
      </c>
      <c r="E13">
        <v>0.1713068195812798</v>
      </c>
      <c r="F13">
        <v>0.90826457267444749</v>
      </c>
      <c r="G13">
        <v>0.26003118201331676</v>
      </c>
      <c r="I13" t="s">
        <v>394</v>
      </c>
      <c r="J13" t="s">
        <v>392</v>
      </c>
      <c r="K13">
        <v>3.4757837355578252E-3</v>
      </c>
      <c r="L13">
        <v>4.5540004088156184E-3</v>
      </c>
      <c r="M13">
        <v>1.7345973754945507E-4</v>
      </c>
      <c r="N13">
        <v>6.8106902847915829E-5</v>
      </c>
      <c r="P13" t="s">
        <v>394</v>
      </c>
      <c r="Q13" t="s">
        <v>395</v>
      </c>
      <c r="R13">
        <v>8.4363785056072449E-3</v>
      </c>
      <c r="S13">
        <v>7.400165213644381E-3</v>
      </c>
      <c r="T13">
        <v>8.5639908186208957E-4</v>
      </c>
      <c r="U13">
        <v>6.8709329165865356E-4</v>
      </c>
      <c r="W13" t="s">
        <v>224</v>
      </c>
      <c r="X13">
        <v>1.6936737685217168E-2</v>
      </c>
      <c r="Y13">
        <v>0.515064957287238</v>
      </c>
      <c r="Z13">
        <v>7.1582688552838886E-3</v>
      </c>
      <c r="AA13">
        <v>0.35723511289536763</v>
      </c>
      <c r="AC13" t="s">
        <v>224</v>
      </c>
      <c r="AD13" t="s">
        <v>398</v>
      </c>
      <c r="AE13" t="s">
        <v>399</v>
      </c>
      <c r="AF13">
        <v>0.515064957287238</v>
      </c>
    </row>
    <row r="14" spans="2:32" x14ac:dyDescent="0.25">
      <c r="B14" t="s">
        <v>225</v>
      </c>
      <c r="C14" t="s">
        <v>31</v>
      </c>
      <c r="D14">
        <v>0.90718165394422501</v>
      </c>
      <c r="E14">
        <v>0.17810094451217989</v>
      </c>
      <c r="F14">
        <v>0.89769666954956207</v>
      </c>
      <c r="G14">
        <v>0.27257764653813149</v>
      </c>
      <c r="W14" t="s">
        <v>225</v>
      </c>
      <c r="X14">
        <v>2.461328882577488E-2</v>
      </c>
      <c r="Y14">
        <v>0.51412792605114843</v>
      </c>
      <c r="Z14">
        <v>8.7398332500106223E-3</v>
      </c>
      <c r="AA14">
        <v>0.33590612942660109</v>
      </c>
      <c r="AC14" t="s">
        <v>225</v>
      </c>
      <c r="AD14" t="s">
        <v>398</v>
      </c>
      <c r="AE14" t="s">
        <v>399</v>
      </c>
      <c r="AF14">
        <v>0.51412792605114843</v>
      </c>
    </row>
    <row r="15" spans="2:32" x14ac:dyDescent="0.25">
      <c r="B15" t="s">
        <v>226</v>
      </c>
      <c r="C15" t="s">
        <v>31</v>
      </c>
      <c r="D15">
        <v>0.91882208948264399</v>
      </c>
      <c r="E15">
        <v>0.17197645147097435</v>
      </c>
      <c r="F15">
        <v>0.90411859256793348</v>
      </c>
      <c r="G15">
        <v>0.27916364057949805</v>
      </c>
      <c r="W15" t="s">
        <v>226</v>
      </c>
      <c r="X15">
        <v>2.0326728191471178E-2</v>
      </c>
      <c r="Y15">
        <v>0.51614598695810965</v>
      </c>
      <c r="Z15">
        <v>6.9621320789431396E-3</v>
      </c>
      <c r="AA15">
        <v>0.32944357218761527</v>
      </c>
      <c r="AC15" t="s">
        <v>226</v>
      </c>
      <c r="AD15" t="s">
        <v>398</v>
      </c>
      <c r="AE15" t="s">
        <v>399</v>
      </c>
      <c r="AF15">
        <v>0.51614598695810965</v>
      </c>
    </row>
    <row r="16" spans="2:32" x14ac:dyDescent="0.25">
      <c r="B16" t="s">
        <v>227</v>
      </c>
      <c r="C16" t="s">
        <v>31</v>
      </c>
      <c r="D16">
        <v>0.91950394060117058</v>
      </c>
      <c r="E16">
        <v>0.17919568091856475</v>
      </c>
      <c r="F16">
        <v>0.9100005656869592</v>
      </c>
      <c r="G16">
        <v>0.31358896951006476</v>
      </c>
      <c r="W16" t="s">
        <v>227</v>
      </c>
      <c r="X16">
        <v>2.2209406650101213E-2</v>
      </c>
      <c r="Y16">
        <v>0.5118443130118332</v>
      </c>
      <c r="Z16">
        <v>5.3073388351196097E-3</v>
      </c>
      <c r="AA16">
        <v>0.2899724882656079</v>
      </c>
      <c r="AC16" t="s">
        <v>227</v>
      </c>
      <c r="AD16" t="s">
        <v>398</v>
      </c>
      <c r="AE16" t="s">
        <v>399</v>
      </c>
      <c r="AF16">
        <v>0.5118443130118332</v>
      </c>
    </row>
    <row r="17" spans="2:32" x14ac:dyDescent="0.25">
      <c r="B17" t="s">
        <v>228</v>
      </c>
      <c r="C17" t="s">
        <v>31</v>
      </c>
      <c r="D17">
        <v>0.92551502066443592</v>
      </c>
      <c r="E17">
        <v>0.17164173901918364</v>
      </c>
      <c r="F17">
        <v>0.91305245291733605</v>
      </c>
      <c r="G17">
        <v>0.29895918028676699</v>
      </c>
      <c r="W17" t="s">
        <v>228</v>
      </c>
      <c r="X17">
        <v>1.7855522236752488E-2</v>
      </c>
      <c r="Y17">
        <v>0.51092032202391791</v>
      </c>
      <c r="Z17">
        <v>4.9559669604112783E-3</v>
      </c>
      <c r="AA17">
        <v>0.30383677372062551</v>
      </c>
      <c r="AC17" t="s">
        <v>228</v>
      </c>
      <c r="AD17" t="s">
        <v>398</v>
      </c>
      <c r="AE17" t="s">
        <v>399</v>
      </c>
      <c r="AF17">
        <v>0.51092032202391791</v>
      </c>
    </row>
    <row r="18" spans="2:32" x14ac:dyDescent="0.25">
      <c r="B18" t="s">
        <v>229</v>
      </c>
      <c r="C18" t="s">
        <v>31</v>
      </c>
      <c r="D18">
        <v>0.9432234432234432</v>
      </c>
      <c r="E18">
        <v>0.1598804339804327</v>
      </c>
      <c r="F18">
        <v>0.94596580302358857</v>
      </c>
      <c r="G18">
        <v>0.31488018154485592</v>
      </c>
      <c r="W18" t="s">
        <v>229</v>
      </c>
      <c r="X18">
        <v>1.1868964629817182E-2</v>
      </c>
      <c r="Y18">
        <v>0.5066077886056114</v>
      </c>
      <c r="Z18">
        <v>2.9966232711981077E-3</v>
      </c>
      <c r="AA18">
        <v>0.29633282939490296</v>
      </c>
      <c r="AC18" t="s">
        <v>229</v>
      </c>
      <c r="AD18" t="s">
        <v>398</v>
      </c>
      <c r="AE18" t="s">
        <v>399</v>
      </c>
      <c r="AF18">
        <v>0.5066077886056114</v>
      </c>
    </row>
    <row r="19" spans="2:32" x14ac:dyDescent="0.25">
      <c r="B19" t="s">
        <v>230</v>
      </c>
      <c r="C19" t="s">
        <v>31</v>
      </c>
      <c r="D19">
        <v>0.93566808932474244</v>
      </c>
      <c r="E19">
        <v>0.16427506063701761</v>
      </c>
      <c r="F19">
        <v>0.92816764898315929</v>
      </c>
      <c r="G19">
        <v>0.29913202657321231</v>
      </c>
      <c r="W19" t="s">
        <v>230</v>
      </c>
      <c r="X19">
        <v>1.4570214521131226E-2</v>
      </c>
      <c r="Y19">
        <v>0.50891675954410864</v>
      </c>
      <c r="Z19">
        <v>4.1375249477598915E-3</v>
      </c>
      <c r="AA19">
        <v>0.30394602941607651</v>
      </c>
      <c r="AC19" t="s">
        <v>230</v>
      </c>
      <c r="AD19" t="s">
        <v>398</v>
      </c>
      <c r="AE19" t="s">
        <v>399</v>
      </c>
      <c r="AF19">
        <v>0.50891675954410864</v>
      </c>
    </row>
    <row r="20" spans="2:32" x14ac:dyDescent="0.25">
      <c r="B20" t="s">
        <v>231</v>
      </c>
      <c r="C20" t="s">
        <v>31</v>
      </c>
      <c r="D20">
        <v>0.9336721211175637</v>
      </c>
      <c r="E20">
        <v>0.17187652422845345</v>
      </c>
      <c r="F20">
        <v>0.91775179687363406</v>
      </c>
      <c r="G20">
        <v>0.30471402351219068</v>
      </c>
      <c r="W20" t="s">
        <v>231</v>
      </c>
      <c r="X20">
        <v>1.549161712323738E-2</v>
      </c>
      <c r="Y20">
        <v>0.50959026113578854</v>
      </c>
      <c r="Z20">
        <v>5.0597773257794153E-3</v>
      </c>
      <c r="AA20">
        <v>0.31117236129517944</v>
      </c>
      <c r="AC20" t="s">
        <v>231</v>
      </c>
      <c r="AD20" t="s">
        <v>398</v>
      </c>
      <c r="AE20" t="s">
        <v>399</v>
      </c>
      <c r="AF20">
        <v>0.50959026113578854</v>
      </c>
    </row>
    <row r="21" spans="2:32" x14ac:dyDescent="0.25">
      <c r="B21" t="s">
        <v>232</v>
      </c>
      <c r="C21" t="s">
        <v>31</v>
      </c>
      <c r="D21">
        <v>0.94321539983249947</v>
      </c>
      <c r="E21">
        <v>0.16626225282966237</v>
      </c>
      <c r="F21">
        <v>0.92655342504515925</v>
      </c>
      <c r="G21">
        <v>0.29846757776727312</v>
      </c>
      <c r="W21" t="s">
        <v>232</v>
      </c>
      <c r="X21">
        <v>1.2643303208917055E-2</v>
      </c>
      <c r="Y21">
        <v>0.50831934653686706</v>
      </c>
      <c r="Z21">
        <v>4.0703730055634433E-3</v>
      </c>
      <c r="AA21">
        <v>0.31178943949641447</v>
      </c>
      <c r="AC21" t="s">
        <v>232</v>
      </c>
      <c r="AD21" t="s">
        <v>398</v>
      </c>
      <c r="AE21" t="s">
        <v>399</v>
      </c>
      <c r="AF21">
        <v>0.50831934653686706</v>
      </c>
    </row>
    <row r="22" spans="2:32" x14ac:dyDescent="0.25">
      <c r="B22" t="s">
        <v>233</v>
      </c>
      <c r="C22" t="s">
        <v>31</v>
      </c>
      <c r="D22">
        <v>0.92380098397663368</v>
      </c>
      <c r="E22">
        <v>0.18705845442668834</v>
      </c>
      <c r="F22">
        <v>0.90009592554291828</v>
      </c>
      <c r="G22">
        <v>0.18601283287384363</v>
      </c>
      <c r="W22" t="s">
        <v>233</v>
      </c>
      <c r="X22">
        <v>1.7280124205513357E-2</v>
      </c>
      <c r="Y22">
        <v>0.48860321211205765</v>
      </c>
      <c r="Z22">
        <v>1.4579388475378248E-2</v>
      </c>
      <c r="AA22">
        <v>0.43561872623948672</v>
      </c>
      <c r="AC22" t="s">
        <v>233</v>
      </c>
      <c r="AD22" t="s">
        <v>398</v>
      </c>
      <c r="AE22" t="s">
        <v>399</v>
      </c>
      <c r="AF22">
        <v>0.48860321211205765</v>
      </c>
    </row>
    <row r="23" spans="2:32" x14ac:dyDescent="0.25">
      <c r="B23" t="s">
        <v>234</v>
      </c>
      <c r="C23" t="s">
        <v>31</v>
      </c>
      <c r="D23">
        <v>0.92950093642138931</v>
      </c>
      <c r="E23">
        <v>0.20228290546480931</v>
      </c>
      <c r="F23">
        <v>0.90435190399418053</v>
      </c>
      <c r="G23">
        <v>0.19817192860102395</v>
      </c>
      <c r="W23" t="s">
        <v>234</v>
      </c>
      <c r="X23">
        <v>1.4424978130078857E-2</v>
      </c>
      <c r="Y23">
        <v>0.46444022935859075</v>
      </c>
      <c r="Z23">
        <v>1.2754137981283597E-2</v>
      </c>
      <c r="AA23">
        <v>0.41073499497026555</v>
      </c>
      <c r="AC23" t="s">
        <v>234</v>
      </c>
      <c r="AD23" t="s">
        <v>398</v>
      </c>
      <c r="AE23" t="s">
        <v>399</v>
      </c>
      <c r="AF23">
        <v>0.46444022935859075</v>
      </c>
    </row>
    <row r="24" spans="2:32" x14ac:dyDescent="0.25">
      <c r="B24" t="s">
        <v>235</v>
      </c>
      <c r="C24" t="s">
        <v>31</v>
      </c>
      <c r="D24">
        <v>0.91158522555914434</v>
      </c>
      <c r="E24">
        <v>0.18213834316726726</v>
      </c>
      <c r="F24">
        <v>0.89292890548378456</v>
      </c>
      <c r="G24">
        <v>0.18917934769338351</v>
      </c>
      <c r="W24" t="s">
        <v>235</v>
      </c>
      <c r="X24">
        <v>2.1755941869501135E-2</v>
      </c>
      <c r="Y24">
        <v>0.50652102979606606</v>
      </c>
      <c r="Z24">
        <v>1.6161834554495862E-2</v>
      </c>
      <c r="AA24">
        <v>0.44363460094859419</v>
      </c>
      <c r="AC24" t="s">
        <v>235</v>
      </c>
      <c r="AD24" t="s">
        <v>398</v>
      </c>
      <c r="AE24" t="s">
        <v>399</v>
      </c>
      <c r="AF24">
        <v>0.50652102979606606</v>
      </c>
    </row>
    <row r="25" spans="2:32" x14ac:dyDescent="0.25">
      <c r="B25" t="s">
        <v>236</v>
      </c>
      <c r="C25" t="s">
        <v>31</v>
      </c>
      <c r="D25">
        <v>0.9236327112844146</v>
      </c>
      <c r="E25">
        <v>0.1782422283410251</v>
      </c>
      <c r="F25">
        <v>0.90148092949296832</v>
      </c>
      <c r="G25">
        <v>0.20037987661423201</v>
      </c>
      <c r="W25" t="s">
        <v>236</v>
      </c>
      <c r="X25">
        <v>1.6726634770656387E-2</v>
      </c>
      <c r="Y25">
        <v>0.5030544012691569</v>
      </c>
      <c r="Z25">
        <v>1.0769858268112839E-2</v>
      </c>
      <c r="AA25">
        <v>0.41105984466915296</v>
      </c>
      <c r="AC25" t="s">
        <v>236</v>
      </c>
      <c r="AD25" t="s">
        <v>398</v>
      </c>
      <c r="AE25" t="s">
        <v>399</v>
      </c>
      <c r="AF25">
        <v>0.5030544012691569</v>
      </c>
    </row>
    <row r="26" spans="2:32" x14ac:dyDescent="0.25">
      <c r="B26" t="s">
        <v>237</v>
      </c>
      <c r="C26" t="s">
        <v>31</v>
      </c>
      <c r="D26">
        <v>0.93053910553947627</v>
      </c>
      <c r="E26">
        <v>0.21652268677113456</v>
      </c>
      <c r="F26">
        <v>0.90423056018885595</v>
      </c>
      <c r="G26">
        <v>0.21218649660904351</v>
      </c>
      <c r="W26" t="s">
        <v>237</v>
      </c>
      <c r="X26">
        <v>1.3795477756622616E-2</v>
      </c>
      <c r="Y26">
        <v>0.45016057082938188</v>
      </c>
      <c r="Z26">
        <v>1.317691306383805E-2</v>
      </c>
      <c r="AA26">
        <v>0.39888030945238095</v>
      </c>
      <c r="AC26" t="s">
        <v>237</v>
      </c>
      <c r="AD26" t="s">
        <v>398</v>
      </c>
      <c r="AE26" t="s">
        <v>399</v>
      </c>
      <c r="AF26">
        <v>0.45016057082938188</v>
      </c>
    </row>
    <row r="27" spans="2:32" x14ac:dyDescent="0.25">
      <c r="B27" t="s">
        <v>238</v>
      </c>
      <c r="C27" t="s">
        <v>31</v>
      </c>
      <c r="D27">
        <v>0.93775607816862605</v>
      </c>
      <c r="E27">
        <v>0.19417751905626518</v>
      </c>
      <c r="F27">
        <v>0.91238969899078026</v>
      </c>
      <c r="G27">
        <v>0.21183724623576169</v>
      </c>
      <c r="W27" t="s">
        <v>238</v>
      </c>
      <c r="X27">
        <v>1.2681681494913609E-2</v>
      </c>
      <c r="Y27">
        <v>0.47919582662443821</v>
      </c>
      <c r="Z27">
        <v>9.1024392001299564E-3</v>
      </c>
      <c r="AA27">
        <v>0.38755088248751057</v>
      </c>
      <c r="AC27" t="s">
        <v>238</v>
      </c>
      <c r="AD27" t="s">
        <v>398</v>
      </c>
      <c r="AE27" t="s">
        <v>399</v>
      </c>
      <c r="AF27">
        <v>0.47919582662443821</v>
      </c>
    </row>
    <row r="28" spans="2:32" x14ac:dyDescent="0.25">
      <c r="B28" t="s">
        <v>239</v>
      </c>
      <c r="C28" t="s">
        <v>31</v>
      </c>
      <c r="D28">
        <v>0.94232566227976533</v>
      </c>
      <c r="E28">
        <v>0.16978399371852301</v>
      </c>
      <c r="F28">
        <v>0.92030393457925086</v>
      </c>
      <c r="G28">
        <v>0.26577707556546426</v>
      </c>
      <c r="W28" t="s">
        <v>239</v>
      </c>
      <c r="X28">
        <v>1.2138659377240894E-2</v>
      </c>
      <c r="Y28">
        <v>0.50739001820705742</v>
      </c>
      <c r="Z28">
        <v>5.2359657402420131E-3</v>
      </c>
      <c r="AA28">
        <v>0.34491910349991833</v>
      </c>
      <c r="AC28" t="s">
        <v>239</v>
      </c>
      <c r="AD28" t="s">
        <v>398</v>
      </c>
      <c r="AE28" t="s">
        <v>399</v>
      </c>
      <c r="AF28">
        <v>0.50739001820705742</v>
      </c>
    </row>
    <row r="29" spans="2:32" x14ac:dyDescent="0.25">
      <c r="B29" t="s">
        <v>240</v>
      </c>
      <c r="C29" t="s">
        <v>31</v>
      </c>
      <c r="D29">
        <v>0.95143686735893129</v>
      </c>
      <c r="E29">
        <v>0.16203377513959538</v>
      </c>
      <c r="F29">
        <v>0.94647796474433799</v>
      </c>
      <c r="G29">
        <v>0.26390556317594621</v>
      </c>
      <c r="W29" t="s">
        <v>240</v>
      </c>
      <c r="X29">
        <v>9.88412727180343E-3</v>
      </c>
      <c r="Y29">
        <v>0.50909811845305042</v>
      </c>
      <c r="Z29">
        <v>3.6775209876941115E-3</v>
      </c>
      <c r="AA29">
        <v>0.33867139095203574</v>
      </c>
      <c r="AC29" t="s">
        <v>240</v>
      </c>
      <c r="AD29" t="s">
        <v>398</v>
      </c>
      <c r="AE29" t="s">
        <v>399</v>
      </c>
      <c r="AF29">
        <v>0.50909811845305042</v>
      </c>
    </row>
    <row r="30" spans="2:32" x14ac:dyDescent="0.25">
      <c r="B30" t="s">
        <v>241</v>
      </c>
      <c r="C30" t="s">
        <v>31</v>
      </c>
      <c r="D30">
        <v>0.9514652014652013</v>
      </c>
      <c r="E30">
        <v>0.16713529616418538</v>
      </c>
      <c r="F30">
        <v>0.9300095211885081</v>
      </c>
      <c r="G30">
        <v>0.23446389148292443</v>
      </c>
      <c r="W30" t="s">
        <v>241</v>
      </c>
      <c r="X30">
        <v>1.0147435005534697E-2</v>
      </c>
      <c r="Y30">
        <v>0.50369523585009068</v>
      </c>
      <c r="Z30">
        <v>4.8460368852684859E-3</v>
      </c>
      <c r="AA30">
        <v>0.36242898286767145</v>
      </c>
      <c r="AC30" t="s">
        <v>241</v>
      </c>
      <c r="AD30" t="s">
        <v>398</v>
      </c>
      <c r="AE30" t="s">
        <v>399</v>
      </c>
      <c r="AF30">
        <v>0.50369523585009068</v>
      </c>
    </row>
    <row r="31" spans="2:32" x14ac:dyDescent="0.25">
      <c r="B31" t="s">
        <v>242</v>
      </c>
      <c r="C31" t="s">
        <v>31</v>
      </c>
      <c r="D31">
        <v>0.93502068589763243</v>
      </c>
      <c r="E31">
        <v>0.1773549210699901</v>
      </c>
      <c r="F31">
        <v>0.91134608199202172</v>
      </c>
      <c r="G31">
        <v>0.23383317549852595</v>
      </c>
      <c r="W31" t="s">
        <v>242</v>
      </c>
      <c r="X31">
        <v>1.3851299540100599E-2</v>
      </c>
      <c r="Y31">
        <v>0.50285975601510235</v>
      </c>
      <c r="Z31">
        <v>7.5406860696778594E-3</v>
      </c>
      <c r="AA31">
        <v>0.37776882893757086</v>
      </c>
      <c r="AC31" t="s">
        <v>242</v>
      </c>
      <c r="AD31" t="s">
        <v>398</v>
      </c>
      <c r="AE31" t="s">
        <v>399</v>
      </c>
      <c r="AF31">
        <v>0.50285975601510235</v>
      </c>
    </row>
    <row r="32" spans="2:32" x14ac:dyDescent="0.25">
      <c r="B32" t="s">
        <v>243</v>
      </c>
      <c r="C32" t="s">
        <v>31</v>
      </c>
      <c r="D32">
        <v>0.94059688654214835</v>
      </c>
      <c r="E32">
        <v>0.18263508318082741</v>
      </c>
      <c r="F32">
        <v>0.91481640088698224</v>
      </c>
      <c r="G32">
        <v>0.22328692771990719</v>
      </c>
      <c r="W32" t="s">
        <v>243</v>
      </c>
      <c r="X32">
        <v>1.2272491039672654E-2</v>
      </c>
      <c r="Y32">
        <v>0.49207447134652127</v>
      </c>
      <c r="Z32">
        <v>7.6909832975784517E-3</v>
      </c>
      <c r="AA32">
        <v>0.38240628784987174</v>
      </c>
      <c r="AC32" t="s">
        <v>243</v>
      </c>
      <c r="AD32" t="s">
        <v>398</v>
      </c>
      <c r="AE32" t="s">
        <v>399</v>
      </c>
      <c r="AF32">
        <v>0.49207447134652127</v>
      </c>
    </row>
    <row r="33" spans="2:32" x14ac:dyDescent="0.25">
      <c r="B33" t="s">
        <v>244</v>
      </c>
      <c r="C33" t="s">
        <v>31</v>
      </c>
      <c r="D33">
        <v>0.95389031598100549</v>
      </c>
      <c r="E33">
        <v>0.18038546820683479</v>
      </c>
      <c r="F33">
        <v>0.92388300640246934</v>
      </c>
      <c r="G33">
        <v>0.24826700115088524</v>
      </c>
      <c r="W33" t="s">
        <v>244</v>
      </c>
      <c r="X33">
        <v>1.0114264438347261E-2</v>
      </c>
      <c r="Y33">
        <v>0.49466832205168132</v>
      </c>
      <c r="Z33">
        <v>5.2202319340823615E-3</v>
      </c>
      <c r="AA33">
        <v>0.34647726818645103</v>
      </c>
      <c r="AC33" t="s">
        <v>244</v>
      </c>
      <c r="AD33" t="s">
        <v>398</v>
      </c>
      <c r="AE33" t="s">
        <v>399</v>
      </c>
      <c r="AF33">
        <v>0.49466832205168132</v>
      </c>
    </row>
    <row r="34" spans="2:32" x14ac:dyDescent="0.25">
      <c r="B34" t="s">
        <v>245</v>
      </c>
      <c r="C34" t="s">
        <v>31</v>
      </c>
      <c r="D34">
        <v>0.95222447360692619</v>
      </c>
      <c r="E34">
        <v>0.17388645897066091</v>
      </c>
      <c r="F34">
        <v>0.92402545680806858</v>
      </c>
      <c r="G34">
        <v>0.23089935674153439</v>
      </c>
      <c r="W34" t="s">
        <v>245</v>
      </c>
      <c r="X34">
        <v>9.9904944799856701E-3</v>
      </c>
      <c r="Y34">
        <v>0.49524240962613508</v>
      </c>
      <c r="Z34">
        <v>5.0496265198195639E-3</v>
      </c>
      <c r="AA34">
        <v>0.36239476896426059</v>
      </c>
      <c r="AC34" t="s">
        <v>245</v>
      </c>
      <c r="AD34" t="s">
        <v>398</v>
      </c>
      <c r="AE34" t="s">
        <v>399</v>
      </c>
      <c r="AF34">
        <v>0.49524240962613508</v>
      </c>
    </row>
    <row r="35" spans="2:32" x14ac:dyDescent="0.25">
      <c r="B35" t="s">
        <v>246</v>
      </c>
      <c r="C35" t="s">
        <v>31</v>
      </c>
      <c r="D35">
        <v>0.96790443455385733</v>
      </c>
      <c r="E35">
        <v>0.16807098683811225</v>
      </c>
      <c r="F35">
        <v>0.95314340044545498</v>
      </c>
      <c r="G35">
        <v>0.23170058436293978</v>
      </c>
      <c r="W35" t="s">
        <v>246</v>
      </c>
      <c r="X35">
        <v>4.2138369957010749E-3</v>
      </c>
      <c r="Y35">
        <v>0.48620391566981191</v>
      </c>
      <c r="Z35">
        <v>2.5869728342644738E-3</v>
      </c>
      <c r="AA35">
        <v>0.34745604859637869</v>
      </c>
      <c r="AC35" t="s">
        <v>246</v>
      </c>
      <c r="AD35" t="s">
        <v>398</v>
      </c>
      <c r="AE35" t="s">
        <v>399</v>
      </c>
      <c r="AF35">
        <v>0.48620391566981191</v>
      </c>
    </row>
    <row r="36" spans="2:32" x14ac:dyDescent="0.25">
      <c r="B36" t="s">
        <v>247</v>
      </c>
      <c r="C36" t="s">
        <v>31</v>
      </c>
      <c r="D36">
        <v>0.9592460125622202</v>
      </c>
      <c r="E36">
        <v>0.16747792297113709</v>
      </c>
      <c r="F36">
        <v>0.95075595638196775</v>
      </c>
      <c r="G36">
        <v>0.23563171130662175</v>
      </c>
      <c r="W36" t="s">
        <v>247</v>
      </c>
      <c r="X36">
        <v>7.7226128212429636E-3</v>
      </c>
      <c r="Y36">
        <v>0.49764607517763432</v>
      </c>
      <c r="Z36">
        <v>3.7280382965272762E-3</v>
      </c>
      <c r="AA36">
        <v>0.35300804349243037</v>
      </c>
      <c r="AC36" t="s">
        <v>247</v>
      </c>
      <c r="AD36" t="s">
        <v>398</v>
      </c>
      <c r="AE36" t="s">
        <v>399</v>
      </c>
      <c r="AF36">
        <v>0.49764607517763432</v>
      </c>
    </row>
    <row r="37" spans="2:32" x14ac:dyDescent="0.25">
      <c r="B37" t="s">
        <v>248</v>
      </c>
      <c r="C37" t="s">
        <v>31</v>
      </c>
      <c r="D37">
        <v>0.95753810120651217</v>
      </c>
      <c r="E37">
        <v>0.15278667061496687</v>
      </c>
      <c r="F37">
        <v>0.95131695739533739</v>
      </c>
      <c r="G37">
        <v>0.23985333454560645</v>
      </c>
      <c r="W37" t="s">
        <v>248</v>
      </c>
      <c r="X37">
        <v>7.2948485322533608E-3</v>
      </c>
      <c r="Y37">
        <v>0.51505566123520152</v>
      </c>
      <c r="Z37">
        <v>3.3539841136658462E-3</v>
      </c>
      <c r="AA37">
        <v>0.35211332961682279</v>
      </c>
      <c r="AC37" t="s">
        <v>248</v>
      </c>
      <c r="AD37" t="s">
        <v>398</v>
      </c>
      <c r="AE37" t="s">
        <v>399</v>
      </c>
      <c r="AF37">
        <v>0.51505566123520152</v>
      </c>
    </row>
    <row r="38" spans="2:32" x14ac:dyDescent="0.25">
      <c r="B38" t="s">
        <v>249</v>
      </c>
      <c r="C38" t="s">
        <v>31</v>
      </c>
      <c r="D38">
        <v>0.96397076319768382</v>
      </c>
      <c r="E38">
        <v>0.15774925006922352</v>
      </c>
      <c r="F38">
        <v>0.9532854207714011</v>
      </c>
      <c r="G38">
        <v>0.22795568542103023</v>
      </c>
      <c r="W38" t="s">
        <v>249</v>
      </c>
      <c r="X38">
        <v>5.5792959525949263E-3</v>
      </c>
      <c r="Y38">
        <v>0.50900343327545661</v>
      </c>
      <c r="Z38">
        <v>2.9704323559785568E-3</v>
      </c>
      <c r="AA38">
        <v>0.35501919669750254</v>
      </c>
      <c r="AC38" t="s">
        <v>249</v>
      </c>
      <c r="AD38" t="s">
        <v>398</v>
      </c>
      <c r="AE38" t="s">
        <v>399</v>
      </c>
      <c r="AF38">
        <v>0.50900343327545661</v>
      </c>
    </row>
    <row r="39" spans="2:32" x14ac:dyDescent="0.25">
      <c r="B39" t="s">
        <v>250</v>
      </c>
      <c r="C39" t="s">
        <v>31</v>
      </c>
      <c r="D39">
        <v>0.96870817791867192</v>
      </c>
      <c r="E39">
        <v>0.14890235664502866</v>
      </c>
      <c r="F39">
        <v>0.94795988371692308</v>
      </c>
      <c r="G39">
        <v>0.16667666523151908</v>
      </c>
      <c r="W39" t="s">
        <v>250</v>
      </c>
      <c r="X39">
        <v>4.1687064205314529E-3</v>
      </c>
      <c r="Y39">
        <v>0.52932522204196431</v>
      </c>
      <c r="Z39">
        <v>3.9025619775854168E-3</v>
      </c>
      <c r="AA39">
        <v>0.45834166712530594</v>
      </c>
      <c r="AC39" t="s">
        <v>250</v>
      </c>
      <c r="AD39" t="s">
        <v>398</v>
      </c>
      <c r="AE39" t="s">
        <v>399</v>
      </c>
      <c r="AF39">
        <v>0.52932522204196431</v>
      </c>
    </row>
    <row r="40" spans="2:32" x14ac:dyDescent="0.25">
      <c r="B40" t="s">
        <v>251</v>
      </c>
      <c r="C40" t="s">
        <v>31</v>
      </c>
      <c r="D40">
        <v>0.96794871794871784</v>
      </c>
      <c r="E40">
        <v>0.14437798195156246</v>
      </c>
      <c r="F40">
        <v>0.95519973022740645</v>
      </c>
      <c r="G40">
        <v>0.20771014675611846</v>
      </c>
      <c r="W40" t="s">
        <v>251</v>
      </c>
      <c r="X40">
        <v>4.5561670126196786E-3</v>
      </c>
      <c r="Y40">
        <v>0.5403094904150757</v>
      </c>
      <c r="Z40">
        <v>2.4813528099405548E-3</v>
      </c>
      <c r="AA40">
        <v>0.39854448044640656</v>
      </c>
      <c r="AC40" t="s">
        <v>251</v>
      </c>
      <c r="AD40" t="s">
        <v>398</v>
      </c>
      <c r="AE40" t="s">
        <v>399</v>
      </c>
      <c r="AF40">
        <v>0.5403094904150757</v>
      </c>
    </row>
    <row r="41" spans="2:32" x14ac:dyDescent="0.25">
      <c r="B41" t="s">
        <v>252</v>
      </c>
      <c r="C41" t="s">
        <v>31</v>
      </c>
      <c r="D41">
        <v>0.97068345214151242</v>
      </c>
      <c r="E41">
        <v>0.14337253908885611</v>
      </c>
      <c r="F41">
        <v>0.95770308591244324</v>
      </c>
      <c r="G41">
        <v>0.24339729831456033</v>
      </c>
      <c r="W41" t="s">
        <v>252</v>
      </c>
      <c r="X41">
        <v>4.1416715074114215E-3</v>
      </c>
      <c r="Y41">
        <v>0.53864479870204096</v>
      </c>
      <c r="Z41">
        <v>1.6188624766951217E-3</v>
      </c>
      <c r="AA41">
        <v>0.35918472547452851</v>
      </c>
      <c r="AC41" t="s">
        <v>252</v>
      </c>
      <c r="AD41" t="s">
        <v>398</v>
      </c>
      <c r="AE41" t="s">
        <v>399</v>
      </c>
      <c r="AF41">
        <v>0.53864479870204096</v>
      </c>
    </row>
    <row r="42" spans="2:32" x14ac:dyDescent="0.25">
      <c r="B42" t="s">
        <v>253</v>
      </c>
      <c r="C42" t="s">
        <v>31</v>
      </c>
      <c r="D42">
        <v>0.91130480546774772</v>
      </c>
      <c r="E42">
        <v>0.21377892847795155</v>
      </c>
      <c r="F42">
        <v>0.89647014165875583</v>
      </c>
      <c r="G42">
        <v>0.26605366191362612</v>
      </c>
      <c r="W42" t="s">
        <v>253</v>
      </c>
      <c r="X42">
        <v>1.6972235553476146E-2</v>
      </c>
      <c r="Y42">
        <v>0.45257171988242501</v>
      </c>
      <c r="Z42">
        <v>8.7935968176380309E-3</v>
      </c>
      <c r="AA42">
        <v>0.31757923673010763</v>
      </c>
      <c r="AC42" t="s">
        <v>253</v>
      </c>
      <c r="AD42" t="s">
        <v>398</v>
      </c>
      <c r="AE42" t="s">
        <v>399</v>
      </c>
      <c r="AF42">
        <v>0.45257171988242501</v>
      </c>
    </row>
    <row r="43" spans="2:32" x14ac:dyDescent="0.25">
      <c r="B43" t="s">
        <v>254</v>
      </c>
      <c r="C43" t="s">
        <v>31</v>
      </c>
      <c r="D43">
        <v>0.91547113537671643</v>
      </c>
      <c r="E43">
        <v>0.22112575638183846</v>
      </c>
      <c r="F43">
        <v>0.89635440356829554</v>
      </c>
      <c r="G43">
        <v>0.25793013737081533</v>
      </c>
      <c r="W43" t="s">
        <v>254</v>
      </c>
      <c r="X43">
        <v>1.7898335996234239E-2</v>
      </c>
      <c r="Y43">
        <v>0.43561679167382567</v>
      </c>
      <c r="Z43">
        <v>9.8320885763784668E-3</v>
      </c>
      <c r="AA43">
        <v>0.32397211533058046</v>
      </c>
      <c r="AC43" t="s">
        <v>254</v>
      </c>
      <c r="AD43" t="s">
        <v>398</v>
      </c>
      <c r="AE43" t="s">
        <v>399</v>
      </c>
      <c r="AF43">
        <v>0.43561679167382567</v>
      </c>
    </row>
    <row r="44" spans="2:32" x14ac:dyDescent="0.25">
      <c r="B44" t="s">
        <v>255</v>
      </c>
      <c r="C44" t="s">
        <v>31</v>
      </c>
      <c r="D44">
        <v>0.9154790798460587</v>
      </c>
      <c r="E44">
        <v>0.22359980566304485</v>
      </c>
      <c r="F44">
        <v>0.89626051176660126</v>
      </c>
      <c r="G44">
        <v>0.25044531495432487</v>
      </c>
      <c r="W44" t="s">
        <v>255</v>
      </c>
      <c r="X44">
        <v>1.8846716445919964E-2</v>
      </c>
      <c r="Y44">
        <v>0.4463676149360703</v>
      </c>
      <c r="Z44">
        <v>9.8557143892032094E-3</v>
      </c>
      <c r="AA44">
        <v>0.33260848352382355</v>
      </c>
      <c r="AC44" t="s">
        <v>255</v>
      </c>
      <c r="AD44" t="s">
        <v>398</v>
      </c>
      <c r="AE44" t="s">
        <v>399</v>
      </c>
      <c r="AF44">
        <v>0.4463676149360703</v>
      </c>
    </row>
    <row r="45" spans="2:32" x14ac:dyDescent="0.25">
      <c r="B45" t="s">
        <v>256</v>
      </c>
      <c r="C45" t="s">
        <v>31</v>
      </c>
      <c r="D45">
        <v>0.91382625587866084</v>
      </c>
      <c r="E45">
        <v>0.21454373242812033</v>
      </c>
      <c r="F45">
        <v>0.89613835229205863</v>
      </c>
      <c r="G45">
        <v>0.25718963748386825</v>
      </c>
      <c r="W45" t="s">
        <v>256</v>
      </c>
      <c r="X45">
        <v>1.8436375568708266E-2</v>
      </c>
      <c r="Y45">
        <v>0.45627521932969006</v>
      </c>
      <c r="Z45">
        <v>8.9574154412085313E-3</v>
      </c>
      <c r="AA45">
        <v>0.32672653520222206</v>
      </c>
      <c r="AC45" t="s">
        <v>256</v>
      </c>
      <c r="AD45" t="s">
        <v>398</v>
      </c>
      <c r="AE45" t="s">
        <v>399</v>
      </c>
      <c r="AF45">
        <v>0.45627521932969006</v>
      </c>
    </row>
    <row r="46" spans="2:32" x14ac:dyDescent="0.25">
      <c r="B46" t="s">
        <v>257</v>
      </c>
      <c r="C46" t="s">
        <v>31</v>
      </c>
      <c r="D46">
        <v>0.94861872526290647</v>
      </c>
      <c r="E46">
        <v>0.20201295783350082</v>
      </c>
      <c r="F46">
        <v>0.94246773771230408</v>
      </c>
      <c r="G46">
        <v>0.25145302036740125</v>
      </c>
      <c r="W46" t="s">
        <v>257</v>
      </c>
      <c r="X46">
        <v>9.250720421647908E-3</v>
      </c>
      <c r="Y46">
        <v>0.44537206915504302</v>
      </c>
      <c r="Z46">
        <v>4.3102730433724956E-3</v>
      </c>
      <c r="AA46">
        <v>0.31742696256255987</v>
      </c>
      <c r="AC46" t="s">
        <v>257</v>
      </c>
      <c r="AD46" t="s">
        <v>398</v>
      </c>
      <c r="AE46" t="s">
        <v>399</v>
      </c>
      <c r="AF46">
        <v>0.44537206915504302</v>
      </c>
    </row>
    <row r="47" spans="2:32" x14ac:dyDescent="0.25">
      <c r="B47" t="s">
        <v>258</v>
      </c>
      <c r="C47" t="s">
        <v>31</v>
      </c>
      <c r="D47">
        <v>0.95230303617227074</v>
      </c>
      <c r="E47">
        <v>0.20853848269865258</v>
      </c>
      <c r="F47">
        <v>0.93157727028148563</v>
      </c>
      <c r="G47">
        <v>0.24825055908847324</v>
      </c>
      <c r="W47" t="s">
        <v>258</v>
      </c>
      <c r="X47">
        <v>7.7442358066174216E-3</v>
      </c>
      <c r="Y47">
        <v>0.42057861873829677</v>
      </c>
      <c r="Z47">
        <v>4.3410169130466518E-3</v>
      </c>
      <c r="AA47">
        <v>0.32770454429013512</v>
      </c>
      <c r="AC47" t="s">
        <v>258</v>
      </c>
      <c r="AD47" t="s">
        <v>398</v>
      </c>
      <c r="AE47" t="s">
        <v>399</v>
      </c>
      <c r="AF47">
        <v>0.42057861873829677</v>
      </c>
    </row>
    <row r="48" spans="2:32" x14ac:dyDescent="0.25">
      <c r="B48" t="s">
        <v>259</v>
      </c>
      <c r="C48" t="s">
        <v>31</v>
      </c>
      <c r="D48">
        <v>0.94629189488393095</v>
      </c>
      <c r="E48">
        <v>0.21966972855717126</v>
      </c>
      <c r="F48">
        <v>0.91923329786128971</v>
      </c>
      <c r="G48">
        <v>0.24499204590982729</v>
      </c>
      <c r="W48" t="s">
        <v>259</v>
      </c>
      <c r="X48">
        <v>9.1846564770609353E-3</v>
      </c>
      <c r="Y48">
        <v>0.41868394740666803</v>
      </c>
      <c r="Z48">
        <v>5.8482411327032508E-3</v>
      </c>
      <c r="AA48">
        <v>0.32981175536790919</v>
      </c>
      <c r="AC48" t="s">
        <v>259</v>
      </c>
      <c r="AD48" t="s">
        <v>398</v>
      </c>
      <c r="AE48" t="s">
        <v>399</v>
      </c>
      <c r="AF48">
        <v>0.41868394740666803</v>
      </c>
    </row>
    <row r="49" spans="2:32" x14ac:dyDescent="0.25">
      <c r="B49" t="s">
        <v>260</v>
      </c>
      <c r="C49" t="s">
        <v>31</v>
      </c>
      <c r="D49">
        <v>0.94629081895186318</v>
      </c>
      <c r="E49">
        <v>0.21272847038186091</v>
      </c>
      <c r="F49">
        <v>0.9388982025342778</v>
      </c>
      <c r="G49">
        <v>0.28057524414024254</v>
      </c>
      <c r="W49" t="s">
        <v>260</v>
      </c>
      <c r="X49">
        <v>1.1442239556106999E-2</v>
      </c>
      <c r="Y49">
        <v>0.4577662923364022</v>
      </c>
      <c r="Z49">
        <v>3.173594502899169E-3</v>
      </c>
      <c r="AA49">
        <v>0.31190116796242101</v>
      </c>
      <c r="AC49" t="s">
        <v>260</v>
      </c>
      <c r="AD49" t="s">
        <v>398</v>
      </c>
      <c r="AE49" t="s">
        <v>399</v>
      </c>
      <c r="AF49">
        <v>0.4577662923364022</v>
      </c>
    </row>
    <row r="50" spans="2:32" x14ac:dyDescent="0.25">
      <c r="B50" t="s">
        <v>261</v>
      </c>
      <c r="C50" t="s">
        <v>31</v>
      </c>
      <c r="D50">
        <v>0.94257907333369817</v>
      </c>
      <c r="E50">
        <v>0.23272465905296427</v>
      </c>
      <c r="F50">
        <v>0.91744552239029853</v>
      </c>
      <c r="G50">
        <v>0.26197878752786968</v>
      </c>
      <c r="W50" t="s">
        <v>261</v>
      </c>
      <c r="X50">
        <v>1.0719461071480771E-2</v>
      </c>
      <c r="Y50">
        <v>0.42342721079301582</v>
      </c>
      <c r="Z50">
        <v>5.7716227760130721E-3</v>
      </c>
      <c r="AA50">
        <v>0.3205960582576376</v>
      </c>
      <c r="AC50" t="s">
        <v>261</v>
      </c>
      <c r="AD50" t="s">
        <v>398</v>
      </c>
      <c r="AE50" t="s">
        <v>399</v>
      </c>
      <c r="AF50">
        <v>0.42342721079301582</v>
      </c>
    </row>
    <row r="51" spans="2:32" x14ac:dyDescent="0.25">
      <c r="B51" t="s">
        <v>262</v>
      </c>
      <c r="C51" t="s">
        <v>31</v>
      </c>
      <c r="D51">
        <v>0.94839403565839897</v>
      </c>
      <c r="E51">
        <v>0.22072835165207719</v>
      </c>
      <c r="F51">
        <v>0.9196587099213227</v>
      </c>
      <c r="G51">
        <v>0.23970565804527791</v>
      </c>
      <c r="W51" t="s">
        <v>262</v>
      </c>
      <c r="X51">
        <v>7.78840970106496E-3</v>
      </c>
      <c r="Y51">
        <v>0.39325856168867723</v>
      </c>
      <c r="Z51">
        <v>6.5136639056585875E-3</v>
      </c>
      <c r="AA51">
        <v>0.33541944508738486</v>
      </c>
      <c r="AC51" t="s">
        <v>262</v>
      </c>
      <c r="AD51" t="s">
        <v>398</v>
      </c>
      <c r="AE51" t="s">
        <v>399</v>
      </c>
      <c r="AF51">
        <v>0.39325856168867723</v>
      </c>
    </row>
    <row r="52" spans="2:32" x14ac:dyDescent="0.25">
      <c r="B52" t="s">
        <v>263</v>
      </c>
      <c r="C52" t="s">
        <v>31</v>
      </c>
      <c r="D52">
        <v>0.95604395604395598</v>
      </c>
      <c r="E52">
        <v>0.22494147971227152</v>
      </c>
      <c r="F52">
        <v>0.94753326259702353</v>
      </c>
      <c r="G52">
        <v>0.24906389158780529</v>
      </c>
      <c r="W52" t="s">
        <v>263</v>
      </c>
      <c r="X52">
        <v>6.2806675005350771E-3</v>
      </c>
      <c r="Y52">
        <v>0.39869132894456488</v>
      </c>
      <c r="Z52">
        <v>5.0500853592037468E-3</v>
      </c>
      <c r="AA52">
        <v>0.34449295066432806</v>
      </c>
      <c r="AC52" t="s">
        <v>263</v>
      </c>
      <c r="AD52" t="s">
        <v>398</v>
      </c>
      <c r="AE52" t="s">
        <v>399</v>
      </c>
      <c r="AF52">
        <v>0.39869132894456488</v>
      </c>
    </row>
    <row r="53" spans="2:32" x14ac:dyDescent="0.25">
      <c r="B53" t="s">
        <v>264</v>
      </c>
      <c r="C53" t="s">
        <v>31</v>
      </c>
      <c r="D53">
        <v>0.95500306054042627</v>
      </c>
      <c r="E53">
        <v>0.24121909423778576</v>
      </c>
      <c r="F53">
        <v>0.94055842826844316</v>
      </c>
      <c r="G53">
        <v>0.26038783810831162</v>
      </c>
      <c r="W53" t="s">
        <v>264</v>
      </c>
      <c r="X53">
        <v>5.8777409487227135E-3</v>
      </c>
      <c r="Y53">
        <v>0.38277292009109498</v>
      </c>
      <c r="Z53">
        <v>5.0929069780211314E-3</v>
      </c>
      <c r="AA53">
        <v>0.3363299495055832</v>
      </c>
      <c r="AC53" t="s">
        <v>264</v>
      </c>
      <c r="AD53" t="s">
        <v>398</v>
      </c>
      <c r="AE53" t="s">
        <v>399</v>
      </c>
      <c r="AF53">
        <v>0.38277292009109498</v>
      </c>
    </row>
    <row r="54" spans="2:32" x14ac:dyDescent="0.25">
      <c r="B54" t="s">
        <v>265</v>
      </c>
      <c r="C54" t="s">
        <v>31</v>
      </c>
      <c r="D54">
        <v>0.93217471600967616</v>
      </c>
      <c r="E54">
        <v>0.22669547751355812</v>
      </c>
      <c r="F54">
        <v>0.90700134774722685</v>
      </c>
      <c r="G54">
        <v>0.25173555612938131</v>
      </c>
      <c r="W54" t="s">
        <v>265</v>
      </c>
      <c r="X54">
        <v>1.1608577216447723E-2</v>
      </c>
      <c r="Y54">
        <v>0.41756058938912322</v>
      </c>
      <c r="Z54">
        <v>6.970175842158052E-3</v>
      </c>
      <c r="AA54">
        <v>0.31868652313685447</v>
      </c>
      <c r="AC54" t="s">
        <v>265</v>
      </c>
      <c r="AD54" t="s">
        <v>398</v>
      </c>
      <c r="AE54" t="s">
        <v>399</v>
      </c>
      <c r="AF54">
        <v>0.41756058938912322</v>
      </c>
    </row>
    <row r="55" spans="2:32" x14ac:dyDescent="0.25">
      <c r="B55" t="s">
        <v>266</v>
      </c>
      <c r="C55" t="s">
        <v>31</v>
      </c>
      <c r="D55">
        <v>0.92664545661916775</v>
      </c>
      <c r="E55">
        <v>0.22829521112111426</v>
      </c>
      <c r="F55">
        <v>0.90539291417986323</v>
      </c>
      <c r="G55">
        <v>0.27975968987532862</v>
      </c>
      <c r="W55" t="s">
        <v>266</v>
      </c>
      <c r="X55">
        <v>1.379095833558497E-2</v>
      </c>
      <c r="Y55">
        <v>0.40545929088715904</v>
      </c>
      <c r="Z55">
        <v>8.3395486207843983E-3</v>
      </c>
      <c r="AA55">
        <v>0.30177496882930777</v>
      </c>
      <c r="AC55" t="s">
        <v>266</v>
      </c>
      <c r="AD55" t="s">
        <v>398</v>
      </c>
      <c r="AE55" t="s">
        <v>399</v>
      </c>
      <c r="AF55">
        <v>0.40545929088715904</v>
      </c>
    </row>
    <row r="56" spans="2:32" x14ac:dyDescent="0.25">
      <c r="B56" t="s">
        <v>267</v>
      </c>
      <c r="C56" t="s">
        <v>31</v>
      </c>
      <c r="D56">
        <v>0.93413366920370455</v>
      </c>
      <c r="E56">
        <v>0.22559573341645817</v>
      </c>
      <c r="F56">
        <v>0.90858013376076074</v>
      </c>
      <c r="G56">
        <v>0.25349271393286832</v>
      </c>
      <c r="W56" t="s">
        <v>267</v>
      </c>
      <c r="X56">
        <v>1.0587309098296516E-2</v>
      </c>
      <c r="Y56">
        <v>0.39393678859683667</v>
      </c>
      <c r="Z56">
        <v>7.3495439814176607E-3</v>
      </c>
      <c r="AA56">
        <v>0.32282558541810269</v>
      </c>
      <c r="AC56" t="s">
        <v>267</v>
      </c>
      <c r="AD56" t="s">
        <v>398</v>
      </c>
      <c r="AE56" t="s">
        <v>399</v>
      </c>
      <c r="AF56">
        <v>0.39393678859683667</v>
      </c>
    </row>
    <row r="57" spans="2:32" x14ac:dyDescent="0.25">
      <c r="B57" t="s">
        <v>268</v>
      </c>
      <c r="C57" t="s">
        <v>31</v>
      </c>
      <c r="D57">
        <v>0.96428571428571452</v>
      </c>
      <c r="E57">
        <v>0.17848931374147611</v>
      </c>
      <c r="F57">
        <v>0.95660173266031112</v>
      </c>
      <c r="G57">
        <v>0.26650014570741454</v>
      </c>
      <c r="W57" t="s">
        <v>268</v>
      </c>
      <c r="X57">
        <v>3.736298035280655E-3</v>
      </c>
      <c r="Y57">
        <v>0.47613519091448103</v>
      </c>
      <c r="Z57">
        <v>2.1564803823849064E-3</v>
      </c>
      <c r="AA57">
        <v>0.32491886299190609</v>
      </c>
      <c r="AC57" t="s">
        <v>268</v>
      </c>
      <c r="AD57" t="s">
        <v>398</v>
      </c>
      <c r="AE57" t="s">
        <v>399</v>
      </c>
      <c r="AF57">
        <v>0.47613519091448103</v>
      </c>
    </row>
    <row r="58" spans="2:32" x14ac:dyDescent="0.25">
      <c r="B58" t="s">
        <v>269</v>
      </c>
      <c r="C58" t="s">
        <v>31</v>
      </c>
      <c r="D58">
        <v>0.96844299900771502</v>
      </c>
      <c r="E58">
        <v>0.17851509670426324</v>
      </c>
      <c r="F58">
        <v>0.95832099892242306</v>
      </c>
      <c r="G58">
        <v>0.2661361607900759</v>
      </c>
      <c r="W58" t="s">
        <v>269</v>
      </c>
      <c r="X58">
        <v>2.3509384562135482E-3</v>
      </c>
      <c r="Y58">
        <v>0.47533882068913957</v>
      </c>
      <c r="Z58">
        <v>1.6738991922243488E-3</v>
      </c>
      <c r="AA58">
        <v>0.30792446707878385</v>
      </c>
      <c r="AC58" t="s">
        <v>269</v>
      </c>
      <c r="AD58" t="s">
        <v>398</v>
      </c>
      <c r="AE58" t="s">
        <v>399</v>
      </c>
      <c r="AF58">
        <v>0.47533882068913957</v>
      </c>
    </row>
    <row r="59" spans="2:32" x14ac:dyDescent="0.25">
      <c r="B59" t="s">
        <v>270</v>
      </c>
      <c r="C59" t="s">
        <v>31</v>
      </c>
      <c r="D59">
        <v>0.94729928245673123</v>
      </c>
      <c r="E59">
        <v>0.15990742520274215</v>
      </c>
      <c r="F59">
        <v>0.95041332937072298</v>
      </c>
      <c r="G59">
        <v>0.30780048477411992</v>
      </c>
      <c r="W59" t="s">
        <v>270</v>
      </c>
      <c r="X59">
        <v>9.2252430687891022E-3</v>
      </c>
      <c r="Y59">
        <v>0.49325041925736818</v>
      </c>
      <c r="Z59">
        <v>1.9790382638959175E-3</v>
      </c>
      <c r="AA59">
        <v>0.29075826659956355</v>
      </c>
      <c r="AC59" t="s">
        <v>270</v>
      </c>
      <c r="AD59" t="s">
        <v>398</v>
      </c>
      <c r="AE59" t="s">
        <v>399</v>
      </c>
      <c r="AF59">
        <v>0.49325041925736818</v>
      </c>
    </row>
    <row r="60" spans="2:32" x14ac:dyDescent="0.25">
      <c r="B60" t="s">
        <v>271</v>
      </c>
      <c r="C60" t="s">
        <v>31</v>
      </c>
      <c r="D60">
        <v>0.95467032967032961</v>
      </c>
      <c r="E60">
        <v>0.164555675779711</v>
      </c>
      <c r="F60">
        <v>0.95542121305020544</v>
      </c>
      <c r="G60">
        <v>0.31594389625129621</v>
      </c>
      <c r="W60" t="s">
        <v>271</v>
      </c>
      <c r="X60">
        <v>6.6930591602644141E-3</v>
      </c>
      <c r="Y60">
        <v>0.49654422822370048</v>
      </c>
      <c r="Z60">
        <v>1.4553582801862923E-3</v>
      </c>
      <c r="AA60">
        <v>0.28058653085697188</v>
      </c>
      <c r="AC60" t="s">
        <v>271</v>
      </c>
      <c r="AD60" t="s">
        <v>398</v>
      </c>
      <c r="AE60" t="s">
        <v>399</v>
      </c>
      <c r="AF60">
        <v>0.49654422822370048</v>
      </c>
    </row>
    <row r="61" spans="2:32" x14ac:dyDescent="0.25">
      <c r="B61" t="s">
        <v>272</v>
      </c>
      <c r="C61" t="s">
        <v>31</v>
      </c>
      <c r="D61">
        <v>0.95427364781179791</v>
      </c>
      <c r="E61">
        <v>0.15845016609569221</v>
      </c>
      <c r="F61">
        <v>0.95194497758521979</v>
      </c>
      <c r="G61">
        <v>0.30523355466676927</v>
      </c>
      <c r="W61" t="s">
        <v>272</v>
      </c>
      <c r="X61">
        <v>6.3558651815783657E-3</v>
      </c>
      <c r="Y61">
        <v>0.50189181252314286</v>
      </c>
      <c r="Z61">
        <v>1.4558473898124904E-3</v>
      </c>
      <c r="AA61">
        <v>0.28831228029662043</v>
      </c>
      <c r="AC61" t="s">
        <v>272</v>
      </c>
      <c r="AD61" t="s">
        <v>398</v>
      </c>
      <c r="AE61" t="s">
        <v>399</v>
      </c>
      <c r="AF61">
        <v>0.50189181252314286</v>
      </c>
    </row>
    <row r="62" spans="2:32" x14ac:dyDescent="0.25">
      <c r="B62" t="s">
        <v>273</v>
      </c>
      <c r="C62" t="s">
        <v>31</v>
      </c>
      <c r="D62">
        <v>0.94861759548372449</v>
      </c>
      <c r="E62">
        <v>0.15601016358936062</v>
      </c>
      <c r="F62">
        <v>0.94741058175834603</v>
      </c>
      <c r="G62">
        <v>0.29188209989378278</v>
      </c>
      <c r="W62" t="s">
        <v>273</v>
      </c>
      <c r="X62">
        <v>9.4288725146912025E-3</v>
      </c>
      <c r="Y62">
        <v>0.51178834897285497</v>
      </c>
      <c r="Z62">
        <v>2.490544114174079E-3</v>
      </c>
      <c r="AA62">
        <v>0.30709815872185336</v>
      </c>
      <c r="AC62" t="s">
        <v>273</v>
      </c>
      <c r="AD62" t="s">
        <v>398</v>
      </c>
      <c r="AE62" t="s">
        <v>399</v>
      </c>
      <c r="AF62">
        <v>0.51178834897285497</v>
      </c>
    </row>
    <row r="63" spans="2:32" x14ac:dyDescent="0.25">
      <c r="B63" t="s">
        <v>274</v>
      </c>
      <c r="C63" t="s">
        <v>31</v>
      </c>
      <c r="D63">
        <v>0.94758282301154872</v>
      </c>
      <c r="E63">
        <v>0.15184675326324876</v>
      </c>
      <c r="F63">
        <v>0.94810743739921088</v>
      </c>
      <c r="G63">
        <v>0.31988163977285877</v>
      </c>
      <c r="W63" t="s">
        <v>274</v>
      </c>
      <c r="X63">
        <v>9.7984615533136862E-3</v>
      </c>
      <c r="Y63">
        <v>0.50533035950642391</v>
      </c>
      <c r="Z63">
        <v>2.1464774190567818E-3</v>
      </c>
      <c r="AA63">
        <v>0.28716028891109602</v>
      </c>
      <c r="AC63" t="s">
        <v>274</v>
      </c>
      <c r="AD63" t="s">
        <v>398</v>
      </c>
      <c r="AE63" t="s">
        <v>399</v>
      </c>
      <c r="AF63">
        <v>0.50533035950642391</v>
      </c>
    </row>
    <row r="64" spans="2:32" x14ac:dyDescent="0.25">
      <c r="B64" t="s">
        <v>275</v>
      </c>
      <c r="C64" t="s">
        <v>31</v>
      </c>
      <c r="D64">
        <v>0.95288259207282533</v>
      </c>
      <c r="E64">
        <v>0.15293253315800182</v>
      </c>
      <c r="F64">
        <v>0.95253460682381386</v>
      </c>
      <c r="G64">
        <v>0.29632088482961833</v>
      </c>
      <c r="W64" t="s">
        <v>275</v>
      </c>
      <c r="X64">
        <v>7.4960866093354787E-3</v>
      </c>
      <c r="Y64">
        <v>0.50800226952924965</v>
      </c>
      <c r="Z64">
        <v>2.0149064745440671E-3</v>
      </c>
      <c r="AA64">
        <v>0.2989483120298464</v>
      </c>
      <c r="AC64" t="s">
        <v>275</v>
      </c>
      <c r="AD64" t="s">
        <v>398</v>
      </c>
      <c r="AE64" t="s">
        <v>399</v>
      </c>
      <c r="AF64">
        <v>0.50800226952924965</v>
      </c>
    </row>
    <row r="65" spans="2:32" x14ac:dyDescent="0.25">
      <c r="B65" t="s">
        <v>276</v>
      </c>
      <c r="C65" t="s">
        <v>31</v>
      </c>
      <c r="D65">
        <v>0.9619963369963368</v>
      </c>
      <c r="E65">
        <v>0.15836489923669966</v>
      </c>
      <c r="F65">
        <v>0.95554400831252706</v>
      </c>
      <c r="G65">
        <v>0.2760862405389275</v>
      </c>
      <c r="W65" t="s">
        <v>276</v>
      </c>
      <c r="X65">
        <v>4.7972493655800159E-3</v>
      </c>
      <c r="Y65">
        <v>0.50173829547754478</v>
      </c>
      <c r="Z65">
        <v>1.7681598094568406E-3</v>
      </c>
      <c r="AA65">
        <v>0.30816327702037127</v>
      </c>
      <c r="AC65" t="s">
        <v>276</v>
      </c>
      <c r="AD65" t="s">
        <v>398</v>
      </c>
      <c r="AE65" t="s">
        <v>399</v>
      </c>
      <c r="AF65">
        <v>0.50173829547754478</v>
      </c>
    </row>
    <row r="66" spans="2:32" x14ac:dyDescent="0.25">
      <c r="B66" t="s">
        <v>277</v>
      </c>
      <c r="C66" t="s">
        <v>31</v>
      </c>
      <c r="D66">
        <v>0.97322061029816453</v>
      </c>
      <c r="E66">
        <v>0.17253697896816167</v>
      </c>
      <c r="F66">
        <v>0.95810204471356197</v>
      </c>
      <c r="G66">
        <v>0.26039972903091235</v>
      </c>
      <c r="W66" t="s">
        <v>277</v>
      </c>
      <c r="X66">
        <v>2.4223690396239454E-3</v>
      </c>
      <c r="Y66">
        <v>0.48925740024822623</v>
      </c>
      <c r="Z66">
        <v>1.6607734091928297E-3</v>
      </c>
      <c r="AA66">
        <v>0.31689042665580919</v>
      </c>
      <c r="AC66" t="s">
        <v>277</v>
      </c>
      <c r="AD66" t="s">
        <v>398</v>
      </c>
      <c r="AE66" t="s">
        <v>399</v>
      </c>
      <c r="AF66">
        <v>0.48925740024822623</v>
      </c>
    </row>
    <row r="67" spans="2:32" x14ac:dyDescent="0.25">
      <c r="B67" t="s">
        <v>278</v>
      </c>
      <c r="C67" t="s">
        <v>31</v>
      </c>
      <c r="D67">
        <v>0.95833333333333337</v>
      </c>
      <c r="E67">
        <v>0.1543677095223514</v>
      </c>
      <c r="F67">
        <v>0.95326790154263741</v>
      </c>
      <c r="G67">
        <v>0.25947597826595098</v>
      </c>
      <c r="W67" t="s">
        <v>278</v>
      </c>
      <c r="X67">
        <v>5.8962972458400983E-3</v>
      </c>
      <c r="Y67">
        <v>0.51506661259841657</v>
      </c>
      <c r="Z67">
        <v>2.1688827950064075E-3</v>
      </c>
      <c r="AA67">
        <v>0.32172106662060057</v>
      </c>
      <c r="AC67" t="s">
        <v>278</v>
      </c>
      <c r="AD67" t="s">
        <v>398</v>
      </c>
      <c r="AE67" t="s">
        <v>399</v>
      </c>
      <c r="AF67">
        <v>0.51506661259841657</v>
      </c>
    </row>
    <row r="68" spans="2:32" x14ac:dyDescent="0.25">
      <c r="B68" t="s">
        <v>279</v>
      </c>
      <c r="C68" t="s">
        <v>31</v>
      </c>
      <c r="D68">
        <v>0.96811467555460573</v>
      </c>
      <c r="E68">
        <v>0.1621536256290495</v>
      </c>
      <c r="F68">
        <v>0.95548323870760032</v>
      </c>
      <c r="G68">
        <v>0.23535294416326022</v>
      </c>
      <c r="W68" t="s">
        <v>279</v>
      </c>
      <c r="X68">
        <v>3.9308559764888451E-3</v>
      </c>
      <c r="Y68">
        <v>0.50582636188744745</v>
      </c>
      <c r="Z68">
        <v>2.1007445261026036E-3</v>
      </c>
      <c r="AA68">
        <v>0.3436268190006021</v>
      </c>
      <c r="AC68" t="s">
        <v>279</v>
      </c>
      <c r="AD68" t="s">
        <v>398</v>
      </c>
      <c r="AE68" t="s">
        <v>399</v>
      </c>
      <c r="AF68">
        <v>0.50582636188744745</v>
      </c>
    </row>
    <row r="69" spans="2:32" x14ac:dyDescent="0.25">
      <c r="B69" t="s">
        <v>280</v>
      </c>
      <c r="C69" t="s">
        <v>31</v>
      </c>
      <c r="D69">
        <v>0.93304088733056778</v>
      </c>
      <c r="E69">
        <v>0.1622324378375741</v>
      </c>
      <c r="F69">
        <v>0.93899961536126264</v>
      </c>
      <c r="G69">
        <v>0.26428960974269849</v>
      </c>
      <c r="W69" t="s">
        <v>280</v>
      </c>
      <c r="X69">
        <v>1.3958111964462522E-2</v>
      </c>
      <c r="Y69">
        <v>0.50674461442428365</v>
      </c>
      <c r="Z69">
        <v>3.9742866085005456E-3</v>
      </c>
      <c r="AA69">
        <v>0.31428369420844476</v>
      </c>
      <c r="AC69" t="s">
        <v>280</v>
      </c>
      <c r="AD69" t="s">
        <v>398</v>
      </c>
      <c r="AE69" t="s">
        <v>399</v>
      </c>
      <c r="AF69">
        <v>0.50674461442428365</v>
      </c>
    </row>
    <row r="70" spans="2:32" x14ac:dyDescent="0.25">
      <c r="B70" t="s">
        <v>281</v>
      </c>
      <c r="C70" t="s">
        <v>31</v>
      </c>
      <c r="D70">
        <v>0.94001831501831512</v>
      </c>
      <c r="E70">
        <v>0.15813675634688526</v>
      </c>
      <c r="F70">
        <v>0.94454977033110432</v>
      </c>
      <c r="G70">
        <v>0.28092071843187993</v>
      </c>
      <c r="W70" t="s">
        <v>281</v>
      </c>
      <c r="X70">
        <v>1.1336436838192129E-2</v>
      </c>
      <c r="Y70">
        <v>0.49986845922050915</v>
      </c>
      <c r="Z70">
        <v>3.2553628939033419E-3</v>
      </c>
      <c r="AA70">
        <v>0.31115800084504547</v>
      </c>
      <c r="AC70" t="s">
        <v>281</v>
      </c>
      <c r="AD70" t="s">
        <v>398</v>
      </c>
      <c r="AE70" t="s">
        <v>399</v>
      </c>
      <c r="AF70">
        <v>0.49986845922050915</v>
      </c>
    </row>
    <row r="71" spans="2:32" x14ac:dyDescent="0.25">
      <c r="B71" t="s">
        <v>282</v>
      </c>
      <c r="C71" t="s">
        <v>31</v>
      </c>
      <c r="D71">
        <v>0.93705047926445095</v>
      </c>
      <c r="E71">
        <v>0.16092317053746716</v>
      </c>
      <c r="F71">
        <v>0.94040617483361488</v>
      </c>
      <c r="G71">
        <v>0.28412211259491837</v>
      </c>
      <c r="W71" t="s">
        <v>282</v>
      </c>
      <c r="X71">
        <v>1.2596680896283645E-2</v>
      </c>
      <c r="Y71">
        <v>0.50289281028217003</v>
      </c>
      <c r="Z71">
        <v>3.5942604679696298E-3</v>
      </c>
      <c r="AA71">
        <v>0.30658942721009674</v>
      </c>
      <c r="AC71" t="s">
        <v>282</v>
      </c>
      <c r="AD71" t="s">
        <v>398</v>
      </c>
      <c r="AE71" t="s">
        <v>399</v>
      </c>
      <c r="AF71">
        <v>0.50289281028217003</v>
      </c>
    </row>
    <row r="72" spans="2:32" x14ac:dyDescent="0.25">
      <c r="B72" t="s">
        <v>283</v>
      </c>
      <c r="C72" t="s">
        <v>31</v>
      </c>
      <c r="D72">
        <v>0.92977428732042045</v>
      </c>
      <c r="E72">
        <v>0.17324092802905397</v>
      </c>
      <c r="F72">
        <v>0.91893994229937637</v>
      </c>
      <c r="G72">
        <v>0.27097208610847395</v>
      </c>
      <c r="W72" t="s">
        <v>283</v>
      </c>
      <c r="X72">
        <v>1.6879021630805763E-2</v>
      </c>
      <c r="Y72">
        <v>0.51216277213984607</v>
      </c>
      <c r="Z72">
        <v>5.1823284804187828E-3</v>
      </c>
      <c r="AA72">
        <v>0.31597346829681983</v>
      </c>
      <c r="AC72" t="s">
        <v>283</v>
      </c>
      <c r="AD72" t="s">
        <v>398</v>
      </c>
      <c r="AE72" t="s">
        <v>399</v>
      </c>
      <c r="AF72">
        <v>0.51216277213984607</v>
      </c>
    </row>
    <row r="73" spans="2:32" x14ac:dyDescent="0.25">
      <c r="B73" t="s">
        <v>284</v>
      </c>
      <c r="C73" t="s">
        <v>31</v>
      </c>
      <c r="D73">
        <v>0.92451114324113015</v>
      </c>
      <c r="E73">
        <v>0.18268495879926047</v>
      </c>
      <c r="F73">
        <v>0.91862126149792278</v>
      </c>
      <c r="G73">
        <v>0.30075443191300694</v>
      </c>
      <c r="W73" t="s">
        <v>284</v>
      </c>
      <c r="X73">
        <v>1.9932955523536838E-2</v>
      </c>
      <c r="Y73">
        <v>0.50540179282070308</v>
      </c>
      <c r="Z73">
        <v>5.074973424103138E-3</v>
      </c>
      <c r="AA73">
        <v>0.29610516576478796</v>
      </c>
      <c r="AC73" t="s">
        <v>284</v>
      </c>
      <c r="AD73" t="s">
        <v>398</v>
      </c>
      <c r="AE73" t="s">
        <v>399</v>
      </c>
      <c r="AF73">
        <v>0.50540179282070308</v>
      </c>
    </row>
    <row r="74" spans="2:32" x14ac:dyDescent="0.25">
      <c r="B74" t="s">
        <v>285</v>
      </c>
      <c r="C74" t="s">
        <v>31</v>
      </c>
      <c r="D74">
        <v>0.92804936755137291</v>
      </c>
      <c r="E74">
        <v>0.17100038612089291</v>
      </c>
      <c r="F74">
        <v>0.93317354109346262</v>
      </c>
      <c r="G74">
        <v>0.27189936946393956</v>
      </c>
      <c r="W74" t="s">
        <v>285</v>
      </c>
      <c r="X74">
        <v>1.7184796403164521E-2</v>
      </c>
      <c r="Y74">
        <v>0.51671629704704003</v>
      </c>
      <c r="Z74">
        <v>4.8704966357505253E-3</v>
      </c>
      <c r="AA74">
        <v>0.3099427400631794</v>
      </c>
      <c r="AC74" t="s">
        <v>285</v>
      </c>
      <c r="AD74" t="s">
        <v>398</v>
      </c>
      <c r="AE74" t="s">
        <v>399</v>
      </c>
      <c r="AF74">
        <v>0.51671629704704003</v>
      </c>
    </row>
    <row r="75" spans="2:32" x14ac:dyDescent="0.25">
      <c r="B75" t="s">
        <v>286</v>
      </c>
      <c r="C75" t="s">
        <v>31</v>
      </c>
      <c r="D75">
        <v>0.94829125648005697</v>
      </c>
      <c r="E75">
        <v>0.17412143623741361</v>
      </c>
      <c r="F75">
        <v>0.95133107136296047</v>
      </c>
      <c r="G75">
        <v>0.27051453548495319</v>
      </c>
      <c r="W75" t="s">
        <v>286</v>
      </c>
      <c r="X75">
        <v>8.574336754213813E-3</v>
      </c>
      <c r="Y75">
        <v>0.46967789065572951</v>
      </c>
      <c r="Z75">
        <v>2.8586819168429614E-3</v>
      </c>
      <c r="AA75">
        <v>0.31642635522607226</v>
      </c>
      <c r="AC75" t="s">
        <v>286</v>
      </c>
      <c r="AD75" t="s">
        <v>398</v>
      </c>
      <c r="AE75" t="s">
        <v>399</v>
      </c>
      <c r="AF75">
        <v>0.46967789065572951</v>
      </c>
    </row>
    <row r="76" spans="2:32" x14ac:dyDescent="0.25">
      <c r="B76" t="s">
        <v>287</v>
      </c>
      <c r="C76" t="s">
        <v>31</v>
      </c>
      <c r="D76">
        <v>0.94355157391509836</v>
      </c>
      <c r="E76">
        <v>0.16790409052099026</v>
      </c>
      <c r="F76">
        <v>0.94701036163689212</v>
      </c>
      <c r="G76">
        <v>0.27327546846933376</v>
      </c>
      <c r="W76" t="s">
        <v>287</v>
      </c>
      <c r="X76">
        <v>9.8756716041881066E-3</v>
      </c>
      <c r="Y76">
        <v>0.4826548999678314</v>
      </c>
      <c r="Z76">
        <v>2.6107193631500882E-3</v>
      </c>
      <c r="AA76">
        <v>0.31163402098807397</v>
      </c>
      <c r="AC76" t="s">
        <v>287</v>
      </c>
      <c r="AD76" t="s">
        <v>398</v>
      </c>
      <c r="AE76" t="s">
        <v>399</v>
      </c>
      <c r="AF76">
        <v>0.4826548999678314</v>
      </c>
    </row>
    <row r="77" spans="2:32" x14ac:dyDescent="0.25">
      <c r="B77" t="s">
        <v>288</v>
      </c>
      <c r="C77" t="s">
        <v>31</v>
      </c>
      <c r="D77">
        <v>0.93460158577207719</v>
      </c>
      <c r="E77">
        <v>0.1665968832768652</v>
      </c>
      <c r="F77">
        <v>0.94287785719686446</v>
      </c>
      <c r="G77">
        <v>0.24653716183594745</v>
      </c>
      <c r="W77" t="s">
        <v>288</v>
      </c>
      <c r="X77">
        <v>1.3877138185302191E-2</v>
      </c>
      <c r="Y77">
        <v>0.51242836369486422</v>
      </c>
      <c r="Z77">
        <v>4.0121727178555585E-3</v>
      </c>
      <c r="AA77">
        <v>0.33059343895925974</v>
      </c>
      <c r="AC77" t="s">
        <v>288</v>
      </c>
      <c r="AD77" t="s">
        <v>398</v>
      </c>
      <c r="AE77" t="s">
        <v>399</v>
      </c>
      <c r="AF77">
        <v>0.51242836369486422</v>
      </c>
    </row>
    <row r="78" spans="2:32" x14ac:dyDescent="0.25">
      <c r="B78" t="s">
        <v>289</v>
      </c>
      <c r="C78" t="s">
        <v>31</v>
      </c>
      <c r="D78">
        <v>0.93461433744386579</v>
      </c>
      <c r="E78">
        <v>0.15925256975804633</v>
      </c>
      <c r="F78">
        <v>0.94218708832678277</v>
      </c>
      <c r="G78">
        <v>0.25762428947841981</v>
      </c>
      <c r="W78" t="s">
        <v>289</v>
      </c>
      <c r="X78">
        <v>1.2882303333224999E-2</v>
      </c>
      <c r="Y78">
        <v>0.50642356570217384</v>
      </c>
      <c r="Z78">
        <v>3.9286967066279304E-3</v>
      </c>
      <c r="AA78">
        <v>0.31549056705981948</v>
      </c>
      <c r="AC78" t="s">
        <v>289</v>
      </c>
      <c r="AD78" t="s">
        <v>398</v>
      </c>
      <c r="AE78" t="s">
        <v>399</v>
      </c>
      <c r="AF78">
        <v>0.50642356570217384</v>
      </c>
    </row>
    <row r="79" spans="2:32" x14ac:dyDescent="0.25">
      <c r="B79" t="s">
        <v>290</v>
      </c>
      <c r="C79" t="s">
        <v>31</v>
      </c>
      <c r="D79">
        <v>0.93629236732750198</v>
      </c>
      <c r="E79">
        <v>0.18781261587603607</v>
      </c>
      <c r="F79">
        <v>0.94554404869627107</v>
      </c>
      <c r="G79">
        <v>0.24222229342582285</v>
      </c>
      <c r="W79" t="s">
        <v>290</v>
      </c>
      <c r="X79">
        <v>1.2515452729604408E-2</v>
      </c>
      <c r="Y79">
        <v>0.47157456331796077</v>
      </c>
      <c r="Z79">
        <v>3.2521152909177997E-3</v>
      </c>
      <c r="AA79">
        <v>0.34036398828253428</v>
      </c>
      <c r="AC79" t="s">
        <v>290</v>
      </c>
      <c r="AD79" t="s">
        <v>398</v>
      </c>
      <c r="AE79" t="s">
        <v>399</v>
      </c>
      <c r="AF79">
        <v>0.47157456331796077</v>
      </c>
    </row>
    <row r="80" spans="2:32" x14ac:dyDescent="0.25">
      <c r="B80" t="s">
        <v>291</v>
      </c>
      <c r="C80" t="s">
        <v>31</v>
      </c>
      <c r="D80">
        <v>0.93886136241609486</v>
      </c>
      <c r="E80">
        <v>0.17316203956263865</v>
      </c>
      <c r="F80">
        <v>0.94631931473943365</v>
      </c>
      <c r="G80">
        <v>0.25601986715349578</v>
      </c>
      <c r="W80" t="s">
        <v>291</v>
      </c>
      <c r="X80">
        <v>1.1642053331833994E-2</v>
      </c>
      <c r="Y80">
        <v>0.47935945929838819</v>
      </c>
      <c r="Z80">
        <v>3.4501922903711632E-3</v>
      </c>
      <c r="AA80">
        <v>0.32207379234172973</v>
      </c>
      <c r="AC80" t="s">
        <v>291</v>
      </c>
      <c r="AD80" t="s">
        <v>398</v>
      </c>
      <c r="AE80" t="s">
        <v>399</v>
      </c>
      <c r="AF80">
        <v>0.47935945929838819</v>
      </c>
    </row>
    <row r="81" spans="2:32" x14ac:dyDescent="0.25">
      <c r="B81" t="s">
        <v>292</v>
      </c>
      <c r="C81" t="s">
        <v>31</v>
      </c>
      <c r="D81">
        <v>0.92529160044787362</v>
      </c>
      <c r="E81">
        <v>0.193069147495814</v>
      </c>
      <c r="F81">
        <v>0.93957186477514953</v>
      </c>
      <c r="G81">
        <v>0.21480844897357296</v>
      </c>
      <c r="W81" t="s">
        <v>292</v>
      </c>
      <c r="X81">
        <v>1.5147072913950444E-2</v>
      </c>
      <c r="Y81">
        <v>0.46309586778122253</v>
      </c>
      <c r="Z81">
        <v>6.6920611322213537E-3</v>
      </c>
      <c r="AA81">
        <v>0.39242380691450213</v>
      </c>
      <c r="AC81" t="s">
        <v>292</v>
      </c>
      <c r="AD81" t="s">
        <v>398</v>
      </c>
      <c r="AE81" t="s">
        <v>399</v>
      </c>
      <c r="AF81">
        <v>0.46309586778122253</v>
      </c>
    </row>
    <row r="82" spans="2:32" x14ac:dyDescent="0.25">
      <c r="B82" t="s">
        <v>293</v>
      </c>
      <c r="C82" t="s">
        <v>31</v>
      </c>
      <c r="D82">
        <v>0.93472283451907157</v>
      </c>
      <c r="E82">
        <v>0.1907336105288179</v>
      </c>
      <c r="F82">
        <v>0.94530268585178201</v>
      </c>
      <c r="G82">
        <v>0.2248722473316305</v>
      </c>
      <c r="W82" t="s">
        <v>293</v>
      </c>
      <c r="X82">
        <v>1.3369090877536854E-2</v>
      </c>
      <c r="Y82">
        <v>0.4557482280109057</v>
      </c>
      <c r="Z82">
        <v>4.5321556792110567E-3</v>
      </c>
      <c r="AA82">
        <v>0.3675747073884722</v>
      </c>
      <c r="AC82" t="s">
        <v>293</v>
      </c>
      <c r="AD82" t="s">
        <v>398</v>
      </c>
      <c r="AE82" t="s">
        <v>399</v>
      </c>
      <c r="AF82">
        <v>0.4557482280109057</v>
      </c>
    </row>
    <row r="83" spans="2:32" x14ac:dyDescent="0.25">
      <c r="B83" t="s">
        <v>294</v>
      </c>
      <c r="C83" t="s">
        <v>31</v>
      </c>
      <c r="D83">
        <v>0.92936092275435711</v>
      </c>
      <c r="E83">
        <v>0.18944437487241042</v>
      </c>
      <c r="F83">
        <v>0.94171220400728595</v>
      </c>
      <c r="G83">
        <v>0.22525518807431474</v>
      </c>
      <c r="W83" t="s">
        <v>294</v>
      </c>
      <c r="X83">
        <v>1.335472253270846E-2</v>
      </c>
      <c r="Y83">
        <v>0.46995188698531304</v>
      </c>
      <c r="Z83">
        <v>4.7290321649507009E-3</v>
      </c>
      <c r="AA83">
        <v>0.35719867850360915</v>
      </c>
      <c r="AC83" t="s">
        <v>294</v>
      </c>
      <c r="AD83" t="s">
        <v>398</v>
      </c>
      <c r="AE83" t="s">
        <v>399</v>
      </c>
      <c r="AF83">
        <v>0.46995188698531304</v>
      </c>
    </row>
    <row r="84" spans="2:32" x14ac:dyDescent="0.25">
      <c r="B84" t="s">
        <v>295</v>
      </c>
      <c r="C84" t="s">
        <v>31</v>
      </c>
      <c r="D84">
        <v>0.9236679114878259</v>
      </c>
      <c r="E84">
        <v>0.19309731602635055</v>
      </c>
      <c r="F84">
        <v>0.93807874438205952</v>
      </c>
      <c r="G84">
        <v>0.28777414441971133</v>
      </c>
      <c r="W84" t="s">
        <v>295</v>
      </c>
      <c r="X84">
        <v>1.5598421216021384E-2</v>
      </c>
      <c r="Y84">
        <v>0.46560574962194329</v>
      </c>
      <c r="Z84">
        <v>4.061121194880269E-3</v>
      </c>
      <c r="AA84">
        <v>0.29934403497978407</v>
      </c>
      <c r="AC84" t="s">
        <v>295</v>
      </c>
      <c r="AD84" t="s">
        <v>398</v>
      </c>
      <c r="AE84" t="s">
        <v>399</v>
      </c>
      <c r="AF84">
        <v>0.46560574962194329</v>
      </c>
    </row>
    <row r="85" spans="2:32" x14ac:dyDescent="0.25">
      <c r="B85" t="s">
        <v>296</v>
      </c>
      <c r="C85" t="s">
        <v>31</v>
      </c>
      <c r="D85">
        <v>0.92361643311254171</v>
      </c>
      <c r="E85">
        <v>0.19758027877503004</v>
      </c>
      <c r="F85">
        <v>0.93802618943027227</v>
      </c>
      <c r="G85">
        <v>0.25792814741828524</v>
      </c>
      <c r="W85" t="s">
        <v>296</v>
      </c>
      <c r="X85">
        <v>1.5323531142877827E-2</v>
      </c>
      <c r="Y85">
        <v>0.45639672283608484</v>
      </c>
      <c r="Z85">
        <v>5.9019730473438099E-3</v>
      </c>
      <c r="AA85">
        <v>0.32952320790338108</v>
      </c>
      <c r="AC85" t="s">
        <v>296</v>
      </c>
      <c r="AD85" t="s">
        <v>398</v>
      </c>
      <c r="AE85" t="s">
        <v>399</v>
      </c>
      <c r="AF85">
        <v>0.45639672283608484</v>
      </c>
    </row>
    <row r="86" spans="2:32" x14ac:dyDescent="0.25">
      <c r="B86" t="s">
        <v>297</v>
      </c>
      <c r="C86" t="s">
        <v>31</v>
      </c>
      <c r="D86">
        <v>0.92344542681442787</v>
      </c>
      <c r="E86">
        <v>0.18767833243474896</v>
      </c>
      <c r="F86">
        <v>0.93399113938995093</v>
      </c>
      <c r="G86">
        <v>0.29210505625409383</v>
      </c>
      <c r="W86" t="s">
        <v>297</v>
      </c>
      <c r="X86">
        <v>1.8157025362604471E-2</v>
      </c>
      <c r="Y86">
        <v>0.49146264627815445</v>
      </c>
      <c r="Z86">
        <v>4.2158243324533339E-3</v>
      </c>
      <c r="AA86">
        <v>0.29698679763051078</v>
      </c>
      <c r="AC86" t="s">
        <v>297</v>
      </c>
      <c r="AD86" t="s">
        <v>398</v>
      </c>
      <c r="AE86" t="s">
        <v>399</v>
      </c>
      <c r="AF86">
        <v>0.49146264627815445</v>
      </c>
    </row>
    <row r="87" spans="2:32" x14ac:dyDescent="0.25">
      <c r="B87" t="s">
        <v>298</v>
      </c>
      <c r="C87" t="s">
        <v>31</v>
      </c>
      <c r="D87">
        <v>0.92809880769331166</v>
      </c>
      <c r="E87">
        <v>0.18179879172724356</v>
      </c>
      <c r="F87">
        <v>0.93954339264398012</v>
      </c>
      <c r="G87">
        <v>0.23868550115276144</v>
      </c>
      <c r="W87" t="s">
        <v>298</v>
      </c>
      <c r="X87">
        <v>1.4356781011936329E-2</v>
      </c>
      <c r="Y87">
        <v>0.49672612065315908</v>
      </c>
      <c r="Z87">
        <v>4.197896780040321E-3</v>
      </c>
      <c r="AA87">
        <v>0.33510056864523774</v>
      </c>
      <c r="AC87" t="s">
        <v>298</v>
      </c>
      <c r="AD87" t="s">
        <v>398</v>
      </c>
      <c r="AE87" t="s">
        <v>399</v>
      </c>
      <c r="AF87">
        <v>0.49672612065315908</v>
      </c>
    </row>
    <row r="88" spans="2:32" x14ac:dyDescent="0.25">
      <c r="B88" t="s">
        <v>299</v>
      </c>
      <c r="C88" t="s">
        <v>31</v>
      </c>
      <c r="D88">
        <v>0.92642166237681878</v>
      </c>
      <c r="E88">
        <v>0.17409938537380393</v>
      </c>
      <c r="F88">
        <v>0.93663653346761322</v>
      </c>
      <c r="G88">
        <v>0.25594822031621106</v>
      </c>
      <c r="W88" t="s">
        <v>299</v>
      </c>
      <c r="X88">
        <v>1.6225544371583807E-2</v>
      </c>
      <c r="Y88">
        <v>0.51275914519567578</v>
      </c>
      <c r="Z88">
        <v>4.3271642139695744E-3</v>
      </c>
      <c r="AA88">
        <v>0.31889001541143119</v>
      </c>
      <c r="AC88" t="s">
        <v>299</v>
      </c>
      <c r="AD88" t="s">
        <v>398</v>
      </c>
      <c r="AE88" t="s">
        <v>399</v>
      </c>
      <c r="AF88">
        <v>0.51275914519567578</v>
      </c>
    </row>
    <row r="89" spans="2:32" x14ac:dyDescent="0.25">
      <c r="B89" t="s">
        <v>300</v>
      </c>
      <c r="C89" t="s">
        <v>31</v>
      </c>
      <c r="D89">
        <v>0.44140172007429995</v>
      </c>
      <c r="E89">
        <v>0.4337241663669037</v>
      </c>
      <c r="F89">
        <v>0.37262046668168242</v>
      </c>
      <c r="G89">
        <v>0.36983694291642993</v>
      </c>
      <c r="W89" t="s">
        <v>300</v>
      </c>
      <c r="X89">
        <v>7.9573248627741955E-2</v>
      </c>
      <c r="Y89">
        <v>8.4991441094709103E-2</v>
      </c>
      <c r="Z89">
        <v>0.39215755826732018</v>
      </c>
      <c r="AA89">
        <v>0.39509947907931281</v>
      </c>
      <c r="AC89" t="s">
        <v>324</v>
      </c>
      <c r="AD89" t="s">
        <v>398</v>
      </c>
      <c r="AE89" t="s">
        <v>399</v>
      </c>
      <c r="AF89">
        <v>0.21995986033148415</v>
      </c>
    </row>
    <row r="90" spans="2:32" x14ac:dyDescent="0.25">
      <c r="B90" t="s">
        <v>301</v>
      </c>
      <c r="C90" t="s">
        <v>31</v>
      </c>
      <c r="D90">
        <v>0.40480992408922645</v>
      </c>
      <c r="E90">
        <v>0.42172436690478748</v>
      </c>
      <c r="F90">
        <v>0.36013654617619367</v>
      </c>
      <c r="G90">
        <v>0.34991227536101621</v>
      </c>
      <c r="W90" t="s">
        <v>301</v>
      </c>
      <c r="X90">
        <v>0.11595983243884216</v>
      </c>
      <c r="Y90">
        <v>0.10058649937645157</v>
      </c>
      <c r="Z90">
        <v>0.42230575075504811</v>
      </c>
      <c r="AA90">
        <v>0.42377828543035001</v>
      </c>
      <c r="AC90" t="s">
        <v>325</v>
      </c>
      <c r="AD90" t="s">
        <v>398</v>
      </c>
      <c r="AE90" t="s">
        <v>399</v>
      </c>
      <c r="AF90">
        <v>0.21206430401393406</v>
      </c>
    </row>
    <row r="91" spans="2:32" x14ac:dyDescent="0.25">
      <c r="B91" t="s">
        <v>302</v>
      </c>
      <c r="C91" t="s">
        <v>31</v>
      </c>
      <c r="D91">
        <v>0.37575601322345198</v>
      </c>
      <c r="E91">
        <v>0.43024549758921266</v>
      </c>
      <c r="F91">
        <v>0.38664021104407542</v>
      </c>
      <c r="G91">
        <v>0.39323874084503951</v>
      </c>
      <c r="W91" t="s">
        <v>302</v>
      </c>
      <c r="X91">
        <v>0.1771529047157395</v>
      </c>
      <c r="Y91">
        <v>0.11273607257522647</v>
      </c>
      <c r="Z91">
        <v>0.33728070068118687</v>
      </c>
      <c r="AA91">
        <v>0.33117972764141451</v>
      </c>
      <c r="AC91" t="s">
        <v>326</v>
      </c>
      <c r="AD91" t="s">
        <v>398</v>
      </c>
      <c r="AE91" t="s">
        <v>399</v>
      </c>
      <c r="AF91">
        <v>0.1996711477134937</v>
      </c>
    </row>
    <row r="92" spans="2:32" x14ac:dyDescent="0.25">
      <c r="B92" t="s">
        <v>303</v>
      </c>
      <c r="C92" t="s">
        <v>31</v>
      </c>
      <c r="D92">
        <v>0.31152621247343837</v>
      </c>
      <c r="E92">
        <v>0.39687043287447926</v>
      </c>
      <c r="F92">
        <v>0.38881276498550649</v>
      </c>
      <c r="G92">
        <v>0.40998906105605953</v>
      </c>
      <c r="W92" t="s">
        <v>303</v>
      </c>
      <c r="X92">
        <v>0.19543563425506003</v>
      </c>
      <c r="Y92">
        <v>0.15134336060211087</v>
      </c>
      <c r="Z92">
        <v>0.35426518774404625</v>
      </c>
      <c r="AA92">
        <v>0.34817322513993204</v>
      </c>
      <c r="AC92" t="s">
        <v>327</v>
      </c>
      <c r="AD92" t="s">
        <v>398</v>
      </c>
      <c r="AE92" t="s">
        <v>399</v>
      </c>
      <c r="AF92">
        <v>0.22690814723898753</v>
      </c>
    </row>
    <row r="93" spans="2:32" x14ac:dyDescent="0.25">
      <c r="B93" t="s">
        <v>304</v>
      </c>
      <c r="C93" t="s">
        <v>31</v>
      </c>
      <c r="D93">
        <v>0.33868394417143466</v>
      </c>
      <c r="E93">
        <v>0.41536006870531705</v>
      </c>
      <c r="F93">
        <v>0.38825633677761756</v>
      </c>
      <c r="G93">
        <v>0.40044256556834146</v>
      </c>
      <c r="W93" t="s">
        <v>304</v>
      </c>
      <c r="X93">
        <v>0.20313144818050233</v>
      </c>
      <c r="Y93">
        <v>0.1344255873014116</v>
      </c>
      <c r="Z93">
        <v>0.35125213607473238</v>
      </c>
      <c r="AA93">
        <v>0.34136532172905754</v>
      </c>
      <c r="AC93" t="s">
        <v>328</v>
      </c>
      <c r="AD93" t="s">
        <v>398</v>
      </c>
      <c r="AE93" t="s">
        <v>399</v>
      </c>
      <c r="AF93">
        <v>0.21096916167600013</v>
      </c>
    </row>
    <row r="94" spans="2:32" x14ac:dyDescent="0.25">
      <c r="B94" t="s">
        <v>305</v>
      </c>
      <c r="C94" t="s">
        <v>31</v>
      </c>
      <c r="D94">
        <v>0.35852091631812194</v>
      </c>
      <c r="E94">
        <v>0.36065759347914017</v>
      </c>
      <c r="F94">
        <v>0.36274891225774064</v>
      </c>
      <c r="G94">
        <v>0.36123187876710561</v>
      </c>
      <c r="W94" t="s">
        <v>305</v>
      </c>
      <c r="X94">
        <v>0.23619888390901941</v>
      </c>
      <c r="Y94">
        <v>0.20275793519432922</v>
      </c>
      <c r="Z94">
        <v>0.33596936788542259</v>
      </c>
      <c r="AA94">
        <v>0.30421226002762197</v>
      </c>
      <c r="AC94" t="s">
        <v>329</v>
      </c>
      <c r="AD94" t="s">
        <v>398</v>
      </c>
      <c r="AE94" t="s">
        <v>399</v>
      </c>
      <c r="AF94">
        <v>0.18757453513257041</v>
      </c>
    </row>
    <row r="95" spans="2:32" x14ac:dyDescent="0.25">
      <c r="B95" t="s">
        <v>306</v>
      </c>
      <c r="C95" t="s">
        <v>31</v>
      </c>
      <c r="D95">
        <v>0.3031935345272932</v>
      </c>
      <c r="E95">
        <v>0.30776160666411961</v>
      </c>
      <c r="F95">
        <v>0.35389883841340164</v>
      </c>
      <c r="G95">
        <v>0.35048330331167943</v>
      </c>
      <c r="W95" t="s">
        <v>306</v>
      </c>
      <c r="X95">
        <v>0.24196969025334153</v>
      </c>
      <c r="Y95">
        <v>0.19116791868418187</v>
      </c>
      <c r="Z95">
        <v>0.37109275230123462</v>
      </c>
      <c r="AA95">
        <v>0.34690732100889143</v>
      </c>
      <c r="AC95" t="s">
        <v>330</v>
      </c>
      <c r="AD95" t="s">
        <v>398</v>
      </c>
      <c r="AE95" t="s">
        <v>399</v>
      </c>
      <c r="AF95">
        <v>0.15848516915716104</v>
      </c>
    </row>
    <row r="96" spans="2:32" x14ac:dyDescent="0.25">
      <c r="B96" t="s">
        <v>307</v>
      </c>
      <c r="C96" t="s">
        <v>31</v>
      </c>
      <c r="D96">
        <v>0.29250297724304736</v>
      </c>
      <c r="E96">
        <v>0.34420578041296657</v>
      </c>
      <c r="F96">
        <v>0.36874692120627517</v>
      </c>
      <c r="G96">
        <v>0.38349012597893595</v>
      </c>
      <c r="W96" t="s">
        <v>307</v>
      </c>
      <c r="X96">
        <v>0.20302927341476584</v>
      </c>
      <c r="Y96">
        <v>0.16012915188835261</v>
      </c>
      <c r="Z96">
        <v>0.39366845214032953</v>
      </c>
      <c r="AA96">
        <v>0.38537993881237409</v>
      </c>
      <c r="AC96" t="s">
        <v>331</v>
      </c>
      <c r="AD96" t="s">
        <v>398</v>
      </c>
      <c r="AE96" t="s">
        <v>399</v>
      </c>
      <c r="AF96">
        <v>0.20390423141140657</v>
      </c>
    </row>
    <row r="97" spans="2:32" x14ac:dyDescent="0.25">
      <c r="B97" t="s">
        <v>308</v>
      </c>
      <c r="C97" t="s">
        <v>31</v>
      </c>
      <c r="D97">
        <v>0.26100313730646885</v>
      </c>
      <c r="E97">
        <v>0.28331778859198009</v>
      </c>
      <c r="F97">
        <v>0.34129426268246171</v>
      </c>
      <c r="G97">
        <v>0.35321544759281009</v>
      </c>
      <c r="W97" t="s">
        <v>308</v>
      </c>
      <c r="X97">
        <v>0.25551322048419761</v>
      </c>
      <c r="Y97">
        <v>0.18373752958496933</v>
      </c>
      <c r="Z97">
        <v>0.42304862617711525</v>
      </c>
      <c r="AA97">
        <v>0.41066332370025144</v>
      </c>
      <c r="AC97" t="s">
        <v>332</v>
      </c>
      <c r="AD97" t="s">
        <v>398</v>
      </c>
      <c r="AE97" t="s">
        <v>399</v>
      </c>
      <c r="AF97">
        <v>0.12231649902234706</v>
      </c>
    </row>
    <row r="98" spans="2:32" x14ac:dyDescent="0.25">
      <c r="B98" t="s">
        <v>309</v>
      </c>
      <c r="C98" t="s">
        <v>31</v>
      </c>
      <c r="D98">
        <v>0.2819820987134149</v>
      </c>
      <c r="E98">
        <v>0.29201641433910069</v>
      </c>
      <c r="F98">
        <v>0.34604861823586797</v>
      </c>
      <c r="G98">
        <v>0.34668268840253863</v>
      </c>
      <c r="W98" t="s">
        <v>309</v>
      </c>
      <c r="X98">
        <v>0.21722052739685457</v>
      </c>
      <c r="Y98">
        <v>0.17884388293019823</v>
      </c>
      <c r="Z98">
        <v>0.45082179764063479</v>
      </c>
      <c r="AA98">
        <v>0.44999476315877729</v>
      </c>
      <c r="AC98" t="s">
        <v>333</v>
      </c>
      <c r="AD98" t="s">
        <v>398</v>
      </c>
      <c r="AE98" t="s">
        <v>399</v>
      </c>
      <c r="AF98">
        <v>0.10895772100437828</v>
      </c>
    </row>
    <row r="99" spans="2:32" x14ac:dyDescent="0.25">
      <c r="B99" t="s">
        <v>310</v>
      </c>
      <c r="C99" t="s">
        <v>31</v>
      </c>
      <c r="D99">
        <v>0.29660835428256588</v>
      </c>
      <c r="E99">
        <v>0.35093621837191341</v>
      </c>
      <c r="F99">
        <v>0.35623175690078157</v>
      </c>
      <c r="G99">
        <v>0.36580069378382474</v>
      </c>
      <c r="W99" t="s">
        <v>310</v>
      </c>
      <c r="X99">
        <v>0.26584940045880767</v>
      </c>
      <c r="Y99">
        <v>0.19509523036140042</v>
      </c>
      <c r="Z99">
        <v>0.39656167355425359</v>
      </c>
      <c r="AA99">
        <v>0.38970588797147376</v>
      </c>
      <c r="AC99" t="s">
        <v>334</v>
      </c>
      <c r="AD99" t="s">
        <v>398</v>
      </c>
      <c r="AE99" t="s">
        <v>399</v>
      </c>
      <c r="AF99">
        <v>0.10614500104796536</v>
      </c>
    </row>
    <row r="100" spans="2:32" x14ac:dyDescent="0.25">
      <c r="B100" t="s">
        <v>311</v>
      </c>
      <c r="C100" t="s">
        <v>31</v>
      </c>
      <c r="D100">
        <v>0.30771501433250853</v>
      </c>
      <c r="E100">
        <v>0.34732769304107713</v>
      </c>
      <c r="F100">
        <v>0.34821310455201404</v>
      </c>
      <c r="G100">
        <v>0.36519803999930112</v>
      </c>
      <c r="W100" t="s">
        <v>311</v>
      </c>
      <c r="X100">
        <v>0.25243389193492782</v>
      </c>
      <c r="Y100">
        <v>0.17879197249181383</v>
      </c>
      <c r="Z100">
        <v>0.40873816153089465</v>
      </c>
      <c r="AA100">
        <v>0.38879295193904767</v>
      </c>
      <c r="AC100" t="s">
        <v>335</v>
      </c>
      <c r="AD100" t="s">
        <v>398</v>
      </c>
      <c r="AE100" t="s">
        <v>399</v>
      </c>
      <c r="AF100">
        <v>0.15140454473214196</v>
      </c>
    </row>
    <row r="101" spans="2:32" x14ac:dyDescent="0.25">
      <c r="B101" t="s">
        <v>312</v>
      </c>
      <c r="C101" t="s">
        <v>31</v>
      </c>
      <c r="D101">
        <v>0.35502646566383694</v>
      </c>
      <c r="E101">
        <v>0.39615340559997725</v>
      </c>
      <c r="F101">
        <v>0.28215802868432327</v>
      </c>
      <c r="G101">
        <v>0.3247908472869841</v>
      </c>
      <c r="W101" t="s">
        <v>312</v>
      </c>
      <c r="X101">
        <v>0.26307044266979379</v>
      </c>
      <c r="Y101">
        <v>0.20135383055594872</v>
      </c>
      <c r="Z101">
        <v>0.34558265300985624</v>
      </c>
      <c r="AA101">
        <v>0.22571943684797982</v>
      </c>
      <c r="AC101" t="s">
        <v>336</v>
      </c>
      <c r="AD101" t="s">
        <v>398</v>
      </c>
      <c r="AE101" t="s">
        <v>399</v>
      </c>
      <c r="AF101">
        <v>0.12681464630620676</v>
      </c>
    </row>
    <row r="102" spans="2:32" x14ac:dyDescent="0.25">
      <c r="B102" t="s">
        <v>313</v>
      </c>
      <c r="C102" t="s">
        <v>31</v>
      </c>
      <c r="D102">
        <v>0.3280203230590002</v>
      </c>
      <c r="E102">
        <v>0.38717006324974873</v>
      </c>
      <c r="F102">
        <v>0.26858957434086417</v>
      </c>
      <c r="G102">
        <v>0.30377404688019194</v>
      </c>
      <c r="W102" t="s">
        <v>313</v>
      </c>
      <c r="X102">
        <v>0.33637345526086299</v>
      </c>
      <c r="Y102">
        <v>0.26497738121435344</v>
      </c>
      <c r="Z102">
        <v>0.52729734358472546</v>
      </c>
      <c r="AA102">
        <v>0.38391487522136325</v>
      </c>
      <c r="AC102" t="s">
        <v>337</v>
      </c>
      <c r="AD102" t="s">
        <v>398</v>
      </c>
      <c r="AE102" t="s">
        <v>399</v>
      </c>
      <c r="AF102">
        <v>0.14557511800211795</v>
      </c>
    </row>
    <row r="103" spans="2:32" x14ac:dyDescent="0.25">
      <c r="B103" t="s">
        <v>314</v>
      </c>
      <c r="C103" t="s">
        <v>31</v>
      </c>
      <c r="D103">
        <v>0.31871886670033472</v>
      </c>
      <c r="E103">
        <v>0.37845618566686035</v>
      </c>
      <c r="F103">
        <v>0.28530485224855906</v>
      </c>
      <c r="G103">
        <v>0.35709634690946651</v>
      </c>
      <c r="W103" t="s">
        <v>314</v>
      </c>
      <c r="X103">
        <v>0.28608793579668879</v>
      </c>
      <c r="Y103">
        <v>0.22438377776160787</v>
      </c>
      <c r="Z103">
        <v>0.32131318244747503</v>
      </c>
      <c r="AA103">
        <v>0.19224421857419169</v>
      </c>
      <c r="AC103" t="s">
        <v>338</v>
      </c>
      <c r="AD103" t="s">
        <v>398</v>
      </c>
      <c r="AE103" t="s">
        <v>399</v>
      </c>
      <c r="AF103">
        <v>0.15747905350064814</v>
      </c>
    </row>
    <row r="104" spans="2:32" x14ac:dyDescent="0.25">
      <c r="B104" t="s">
        <v>315</v>
      </c>
      <c r="C104" t="s">
        <v>31</v>
      </c>
      <c r="D104">
        <v>0.29535341298806173</v>
      </c>
      <c r="E104">
        <v>0.33613911521786616</v>
      </c>
      <c r="F104">
        <v>0.21548813056516622</v>
      </c>
      <c r="G104">
        <v>0.26905296836271153</v>
      </c>
      <c r="W104" t="s">
        <v>315</v>
      </c>
      <c r="X104">
        <v>0.46421380652936811</v>
      </c>
      <c r="Y104">
        <v>0.37892446714818501</v>
      </c>
      <c r="Z104">
        <v>0.62015616201599744</v>
      </c>
      <c r="AA104">
        <v>0.52605922796193416</v>
      </c>
      <c r="AC104" t="s">
        <v>339</v>
      </c>
      <c r="AD104" t="s">
        <v>398</v>
      </c>
      <c r="AE104" t="s">
        <v>399</v>
      </c>
      <c r="AF104">
        <v>0.20281711186023349</v>
      </c>
    </row>
    <row r="105" spans="2:32" x14ac:dyDescent="0.25">
      <c r="B105" t="s">
        <v>316</v>
      </c>
      <c r="C105" t="s">
        <v>31</v>
      </c>
      <c r="D105">
        <v>0.37377817948086156</v>
      </c>
      <c r="E105">
        <v>0.37564194344249796</v>
      </c>
      <c r="F105">
        <v>0.26371314325224476</v>
      </c>
      <c r="G105">
        <v>0.2719276471333873</v>
      </c>
      <c r="W105" t="s">
        <v>316</v>
      </c>
      <c r="X105">
        <v>0.26782722810092419</v>
      </c>
      <c r="Y105">
        <v>0.24615118163907432</v>
      </c>
      <c r="Z105">
        <v>0.49458570027033527</v>
      </c>
      <c r="AA105">
        <v>0.46470178760638731</v>
      </c>
      <c r="AC105" t="s">
        <v>340</v>
      </c>
      <c r="AD105" t="s">
        <v>398</v>
      </c>
      <c r="AE105" t="s">
        <v>399</v>
      </c>
      <c r="AF105">
        <v>0.19469352741036988</v>
      </c>
    </row>
    <row r="106" spans="2:32" x14ac:dyDescent="0.25">
      <c r="B106" t="s">
        <v>317</v>
      </c>
      <c r="C106" t="s">
        <v>31</v>
      </c>
      <c r="D106">
        <v>0.35253428341262039</v>
      </c>
      <c r="E106">
        <v>0.34439693274004229</v>
      </c>
      <c r="F106">
        <v>0.23238605892394565</v>
      </c>
      <c r="G106">
        <v>0.2443112862144832</v>
      </c>
      <c r="W106" t="s">
        <v>317</v>
      </c>
      <c r="X106">
        <v>0.42689665280257866</v>
      </c>
      <c r="Y106">
        <v>0.41479312927613632</v>
      </c>
      <c r="Z106">
        <v>0.55918606923892467</v>
      </c>
      <c r="AA106">
        <v>0.52823742301916754</v>
      </c>
      <c r="AC106" t="s">
        <v>341</v>
      </c>
      <c r="AD106" t="s">
        <v>398</v>
      </c>
      <c r="AE106" t="s">
        <v>399</v>
      </c>
      <c r="AF106">
        <v>0.13015975744883618</v>
      </c>
    </row>
    <row r="107" spans="2:32" x14ac:dyDescent="0.25">
      <c r="B107" t="s">
        <v>318</v>
      </c>
      <c r="C107" t="s">
        <v>31</v>
      </c>
      <c r="D107">
        <v>0.3876338275544588</v>
      </c>
      <c r="E107">
        <v>0.41512598980006432</v>
      </c>
      <c r="F107">
        <v>0.35842373308429593</v>
      </c>
      <c r="G107">
        <v>0.38528012052295874</v>
      </c>
      <c r="W107" t="s">
        <v>318</v>
      </c>
      <c r="X107">
        <v>0.2381865450691287</v>
      </c>
      <c r="Y107">
        <v>0.15767840875853151</v>
      </c>
      <c r="Z107">
        <v>0.2770725513514567</v>
      </c>
      <c r="AA107">
        <v>0.26225183019103188</v>
      </c>
      <c r="AC107" t="s">
        <v>342</v>
      </c>
      <c r="AD107" t="s">
        <v>398</v>
      </c>
      <c r="AE107" t="s">
        <v>399</v>
      </c>
      <c r="AF107">
        <v>0.15349186187119451</v>
      </c>
    </row>
    <row r="108" spans="2:32" x14ac:dyDescent="0.25">
      <c r="B108" t="s">
        <v>319</v>
      </c>
      <c r="C108" t="s">
        <v>31</v>
      </c>
      <c r="D108">
        <v>0.48145347910724667</v>
      </c>
      <c r="E108">
        <v>0.48680497469205425</v>
      </c>
      <c r="F108">
        <v>0.39598614270411536</v>
      </c>
      <c r="G108">
        <v>0.38503546171649983</v>
      </c>
      <c r="W108" t="s">
        <v>319</v>
      </c>
      <c r="X108">
        <v>0.23990191243242703</v>
      </c>
      <c r="Y108">
        <v>0.23356027898624504</v>
      </c>
      <c r="Z108">
        <v>0.36178202480732097</v>
      </c>
      <c r="AA108">
        <v>0.33609057656256303</v>
      </c>
      <c r="AC108" t="s">
        <v>343</v>
      </c>
      <c r="AD108" t="s">
        <v>398</v>
      </c>
      <c r="AE108" t="s">
        <v>399</v>
      </c>
      <c r="AF108">
        <v>0.10570420029084383</v>
      </c>
    </row>
    <row r="109" spans="2:32" x14ac:dyDescent="0.25">
      <c r="B109" t="s">
        <v>320</v>
      </c>
      <c r="C109" t="s">
        <v>31</v>
      </c>
      <c r="D109">
        <v>0.44399869085568966</v>
      </c>
      <c r="E109">
        <v>0.46102345792191335</v>
      </c>
      <c r="F109">
        <v>0.34244188092101202</v>
      </c>
      <c r="G109">
        <v>0.34524996675787728</v>
      </c>
      <c r="W109" t="s">
        <v>320</v>
      </c>
      <c r="X109">
        <v>0.21342795127636646</v>
      </c>
      <c r="Y109">
        <v>0.18692505504375947</v>
      </c>
      <c r="Z109">
        <v>0.40263136354916229</v>
      </c>
      <c r="AA109">
        <v>0.39447218762570818</v>
      </c>
      <c r="AC109" t="s">
        <v>344</v>
      </c>
      <c r="AD109" t="s">
        <v>398</v>
      </c>
      <c r="AE109" t="s">
        <v>399</v>
      </c>
      <c r="AF109">
        <v>0.12446880571549612</v>
      </c>
    </row>
    <row r="110" spans="2:32" x14ac:dyDescent="0.25">
      <c r="B110" t="s">
        <v>321</v>
      </c>
      <c r="C110" t="s">
        <v>31</v>
      </c>
      <c r="D110">
        <v>0.48521984107501631</v>
      </c>
      <c r="E110">
        <v>0.44180874055087221</v>
      </c>
      <c r="F110">
        <v>0.42605443368895352</v>
      </c>
      <c r="G110">
        <v>0.44999089838653611</v>
      </c>
      <c r="W110" t="s">
        <v>321</v>
      </c>
      <c r="X110">
        <v>0.23242265741710877</v>
      </c>
      <c r="Y110">
        <v>0.21562850949624862</v>
      </c>
      <c r="Z110">
        <v>0.30114593991621608</v>
      </c>
      <c r="AA110">
        <v>0.2723948281303617</v>
      </c>
      <c r="AC110" t="s">
        <v>345</v>
      </c>
      <c r="AD110" t="s">
        <v>398</v>
      </c>
      <c r="AE110" t="s">
        <v>399</v>
      </c>
      <c r="AF110">
        <v>0.14964275690217824</v>
      </c>
    </row>
    <row r="111" spans="2:32" x14ac:dyDescent="0.25">
      <c r="B111" t="s">
        <v>322</v>
      </c>
      <c r="C111" t="s">
        <v>31</v>
      </c>
      <c r="D111">
        <v>0.50092743516810057</v>
      </c>
      <c r="E111">
        <v>0.46833306224329474</v>
      </c>
      <c r="F111">
        <v>0.42914088032645592</v>
      </c>
      <c r="G111">
        <v>0.44636317174438184</v>
      </c>
      <c r="W111" t="s">
        <v>322</v>
      </c>
      <c r="X111">
        <v>0.26891709401659608</v>
      </c>
      <c r="Y111">
        <v>0.25166357994521082</v>
      </c>
      <c r="Z111">
        <v>0.29180630936808288</v>
      </c>
      <c r="AA111">
        <v>0.26272920622421009</v>
      </c>
      <c r="AC111" t="s">
        <v>346</v>
      </c>
      <c r="AD111" t="s">
        <v>398</v>
      </c>
      <c r="AE111" t="s">
        <v>399</v>
      </c>
      <c r="AF111">
        <v>0.17028513344083721</v>
      </c>
    </row>
    <row r="112" spans="2:32" x14ac:dyDescent="0.25">
      <c r="B112" t="s">
        <v>323</v>
      </c>
      <c r="C112" t="s">
        <v>31</v>
      </c>
      <c r="D112">
        <v>0.50474381028256554</v>
      </c>
      <c r="E112">
        <v>0.51426601978003816</v>
      </c>
      <c r="F112">
        <v>0.41722842501018426</v>
      </c>
      <c r="G112">
        <v>0.4269073220086162</v>
      </c>
      <c r="W112" t="s">
        <v>323</v>
      </c>
      <c r="X112">
        <v>0.29152013816164019</v>
      </c>
      <c r="Y112">
        <v>0.27523940634634364</v>
      </c>
      <c r="Z112">
        <v>0.2973274904491085</v>
      </c>
      <c r="AA112">
        <v>0.26910383521248671</v>
      </c>
      <c r="AC112" t="s">
        <v>347</v>
      </c>
      <c r="AD112" t="s">
        <v>398</v>
      </c>
      <c r="AE112" t="s">
        <v>399</v>
      </c>
      <c r="AF112">
        <v>0.19940508855381547</v>
      </c>
    </row>
    <row r="113" spans="2:32" x14ac:dyDescent="0.25">
      <c r="B113" t="s">
        <v>324</v>
      </c>
      <c r="C113" t="s">
        <v>31</v>
      </c>
      <c r="D113">
        <v>0.36357454538951867</v>
      </c>
      <c r="E113">
        <v>0.50462124111834583</v>
      </c>
      <c r="F113">
        <v>0.41375913544130632</v>
      </c>
      <c r="G113">
        <v>0.51760187388176926</v>
      </c>
      <c r="W113" t="s">
        <v>324</v>
      </c>
      <c r="X113">
        <v>0.21995986033148415</v>
      </c>
      <c r="Y113">
        <v>0.12138716113514546</v>
      </c>
      <c r="Z113">
        <v>0.11906569653656641</v>
      </c>
      <c r="AA113">
        <v>0.10304737428779308</v>
      </c>
      <c r="AC113" t="s">
        <v>348</v>
      </c>
      <c r="AD113" t="s">
        <v>398</v>
      </c>
      <c r="AE113" t="s">
        <v>399</v>
      </c>
      <c r="AF113">
        <v>0.12211674907809059</v>
      </c>
    </row>
    <row r="114" spans="2:32" x14ac:dyDescent="0.25">
      <c r="B114" t="s">
        <v>325</v>
      </c>
      <c r="C114" t="s">
        <v>31</v>
      </c>
      <c r="D114">
        <v>0.38169971607220571</v>
      </c>
      <c r="E114">
        <v>0.54425324327822944</v>
      </c>
      <c r="F114">
        <v>0.4693764299421963</v>
      </c>
      <c r="G114">
        <v>0.53957436443372286</v>
      </c>
      <c r="W114" t="s">
        <v>325</v>
      </c>
      <c r="X114">
        <v>0.21206430401393406</v>
      </c>
      <c r="Y114">
        <v>0.12596540230966996</v>
      </c>
      <c r="Z114">
        <v>0.15791786615066439</v>
      </c>
      <c r="AA114">
        <v>0.15586848528206329</v>
      </c>
      <c r="AC114" t="s">
        <v>349</v>
      </c>
      <c r="AD114" t="s">
        <v>398</v>
      </c>
      <c r="AE114" t="s">
        <v>399</v>
      </c>
      <c r="AF114">
        <v>0.13595671053221639</v>
      </c>
    </row>
    <row r="115" spans="2:32" x14ac:dyDescent="0.25">
      <c r="B115" t="s">
        <v>326</v>
      </c>
      <c r="C115" t="s">
        <v>31</v>
      </c>
      <c r="D115">
        <v>0.3530469027015406</v>
      </c>
      <c r="E115">
        <v>0.4979061548196913</v>
      </c>
      <c r="F115">
        <v>0.4337820150227944</v>
      </c>
      <c r="G115">
        <v>0.53381651846695877</v>
      </c>
      <c r="W115" t="s">
        <v>326</v>
      </c>
      <c r="X115">
        <v>0.1996711477134937</v>
      </c>
      <c r="Y115">
        <v>0.11290703349458656</v>
      </c>
      <c r="Z115">
        <v>0.14662792851022552</v>
      </c>
      <c r="AA115">
        <v>0.13074744891908019</v>
      </c>
      <c r="AC115" t="s">
        <v>350</v>
      </c>
      <c r="AD115" t="s">
        <v>398</v>
      </c>
      <c r="AE115" t="s">
        <v>399</v>
      </c>
      <c r="AF115">
        <v>0.20102789776671504</v>
      </c>
    </row>
    <row r="116" spans="2:32" x14ac:dyDescent="0.25">
      <c r="B116" t="s">
        <v>327</v>
      </c>
      <c r="C116" t="s">
        <v>31</v>
      </c>
      <c r="D116">
        <v>0.34164155914011335</v>
      </c>
      <c r="E116">
        <v>0.49717485972251207</v>
      </c>
      <c r="F116">
        <v>0.4474360664791453</v>
      </c>
      <c r="G116">
        <v>0.5359114813411251</v>
      </c>
      <c r="W116" t="s">
        <v>327</v>
      </c>
      <c r="X116">
        <v>0.22690814723898753</v>
      </c>
      <c r="Y116">
        <v>0.14045130218941157</v>
      </c>
      <c r="Z116">
        <v>9.1873582534711312E-2</v>
      </c>
      <c r="AA116">
        <v>7.0168197745683392E-2</v>
      </c>
      <c r="AC116" t="s">
        <v>351</v>
      </c>
      <c r="AD116" t="s">
        <v>398</v>
      </c>
      <c r="AE116" t="s">
        <v>399</v>
      </c>
      <c r="AF116">
        <v>0.15020571391637783</v>
      </c>
    </row>
    <row r="117" spans="2:32" x14ac:dyDescent="0.25">
      <c r="B117" t="s">
        <v>328</v>
      </c>
      <c r="C117" t="s">
        <v>31</v>
      </c>
      <c r="D117">
        <v>0.36485528424606856</v>
      </c>
      <c r="E117">
        <v>0.50969517058508851</v>
      </c>
      <c r="F117">
        <v>0.4182721304714469</v>
      </c>
      <c r="G117">
        <v>0.52622247862902416</v>
      </c>
      <c r="W117" t="s">
        <v>328</v>
      </c>
      <c r="X117">
        <v>0.21096916167600013</v>
      </c>
      <c r="Y117">
        <v>0.12988611835762934</v>
      </c>
      <c r="Z117">
        <v>9.4483261958914058E-2</v>
      </c>
      <c r="AA117">
        <v>6.6898907452207571E-2</v>
      </c>
      <c r="AC117" t="s">
        <v>352</v>
      </c>
      <c r="AD117" t="s">
        <v>398</v>
      </c>
      <c r="AE117" t="s">
        <v>399</v>
      </c>
      <c r="AF117">
        <v>0.17006218494061126</v>
      </c>
    </row>
    <row r="118" spans="2:32" x14ac:dyDescent="0.25">
      <c r="B118" t="s">
        <v>329</v>
      </c>
      <c r="C118" t="s">
        <v>31</v>
      </c>
      <c r="D118">
        <v>0.35127239175591052</v>
      </c>
      <c r="E118">
        <v>0.48293497773101479</v>
      </c>
      <c r="F118">
        <v>0.41771119429977993</v>
      </c>
      <c r="G118">
        <v>0.51021593146155719</v>
      </c>
      <c r="W118" t="s">
        <v>329</v>
      </c>
      <c r="X118">
        <v>0.18757453513257041</v>
      </c>
      <c r="Y118">
        <v>0.10458144768375653</v>
      </c>
      <c r="Z118">
        <v>0.10744407785211273</v>
      </c>
      <c r="AA118">
        <v>8.7456088965844225E-2</v>
      </c>
      <c r="AC118" t="s">
        <v>353</v>
      </c>
      <c r="AD118" t="s">
        <v>398</v>
      </c>
      <c r="AE118" t="s">
        <v>399</v>
      </c>
      <c r="AF118">
        <v>0.24418131011627531</v>
      </c>
    </row>
    <row r="119" spans="2:32" x14ac:dyDescent="0.25">
      <c r="B119" t="s">
        <v>330</v>
      </c>
      <c r="C119" t="s">
        <v>31</v>
      </c>
      <c r="D119">
        <v>0.38215232588761999</v>
      </c>
      <c r="E119">
        <v>0.50818861425927142</v>
      </c>
      <c r="F119">
        <v>0.44454173681595277</v>
      </c>
      <c r="G119">
        <v>0.51329035176290516</v>
      </c>
      <c r="W119" t="s">
        <v>330</v>
      </c>
      <c r="X119">
        <v>0.15848516915716104</v>
      </c>
      <c r="Y119">
        <v>8.7772789531175746E-2</v>
      </c>
      <c r="Z119">
        <v>9.5138005112307952E-2</v>
      </c>
      <c r="AA119">
        <v>6.9241284514313745E-2</v>
      </c>
      <c r="AC119" t="s">
        <v>354</v>
      </c>
      <c r="AD119" t="s">
        <v>398</v>
      </c>
      <c r="AE119" t="s">
        <v>399</v>
      </c>
      <c r="AF119">
        <v>0.16661518505595471</v>
      </c>
    </row>
    <row r="120" spans="2:32" x14ac:dyDescent="0.25">
      <c r="B120" t="s">
        <v>331</v>
      </c>
      <c r="C120" t="s">
        <v>31</v>
      </c>
      <c r="D120">
        <v>0.36960327870433163</v>
      </c>
      <c r="E120">
        <v>0.49919562377152893</v>
      </c>
      <c r="F120">
        <v>0.38847495436801005</v>
      </c>
      <c r="G120">
        <v>0.51729192019319692</v>
      </c>
      <c r="W120" t="s">
        <v>331</v>
      </c>
      <c r="X120">
        <v>0.20390423141140657</v>
      </c>
      <c r="Y120">
        <v>0.1238520096500451</v>
      </c>
      <c r="Z120">
        <v>0.10011740493069364</v>
      </c>
      <c r="AA120">
        <v>7.1355482008070958E-2</v>
      </c>
      <c r="AC120" t="s">
        <v>355</v>
      </c>
      <c r="AD120" t="s">
        <v>398</v>
      </c>
      <c r="AE120" t="s">
        <v>399</v>
      </c>
      <c r="AF120">
        <v>0.15949107404244242</v>
      </c>
    </row>
    <row r="121" spans="2:32" x14ac:dyDescent="0.25">
      <c r="B121" t="s">
        <v>332</v>
      </c>
      <c r="C121" t="s">
        <v>31</v>
      </c>
      <c r="D121">
        <v>0.29006081190048727</v>
      </c>
      <c r="E121">
        <v>0.50133710849723112</v>
      </c>
      <c r="F121">
        <v>0.41702352211666216</v>
      </c>
      <c r="G121">
        <v>0.51892378079705037</v>
      </c>
      <c r="W121" t="s">
        <v>332</v>
      </c>
      <c r="X121">
        <v>0.11167849622421885</v>
      </c>
      <c r="Y121">
        <v>6.8654041515137751E-2</v>
      </c>
      <c r="Z121">
        <v>0.12231649902234706</v>
      </c>
      <c r="AA121">
        <v>0.11801587516119423</v>
      </c>
      <c r="AC121" t="s">
        <v>356</v>
      </c>
      <c r="AD121" t="s">
        <v>398</v>
      </c>
      <c r="AE121" t="s">
        <v>399</v>
      </c>
      <c r="AF121">
        <v>0.1922304936278684</v>
      </c>
    </row>
    <row r="122" spans="2:32" x14ac:dyDescent="0.25">
      <c r="B122" t="s">
        <v>333</v>
      </c>
      <c r="C122" t="s">
        <v>31</v>
      </c>
      <c r="D122">
        <v>0.35451386238587129</v>
      </c>
      <c r="E122">
        <v>0.53404289692101403</v>
      </c>
      <c r="F122">
        <v>0.50188642466539735</v>
      </c>
      <c r="G122">
        <v>0.55893748902204854</v>
      </c>
      <c r="W122" t="s">
        <v>333</v>
      </c>
      <c r="X122">
        <v>7.7742162233164047E-2</v>
      </c>
      <c r="Y122">
        <v>6.8719651152749139E-2</v>
      </c>
      <c r="Z122">
        <v>0.10250063815189979</v>
      </c>
      <c r="AA122">
        <v>0.10895772100437828</v>
      </c>
      <c r="AC122" t="s">
        <v>357</v>
      </c>
      <c r="AD122" t="s">
        <v>398</v>
      </c>
      <c r="AE122" t="s">
        <v>399</v>
      </c>
      <c r="AF122">
        <v>0.27329201279689408</v>
      </c>
    </row>
    <row r="123" spans="2:32" x14ac:dyDescent="0.25">
      <c r="B123" t="s">
        <v>334</v>
      </c>
      <c r="C123" t="s">
        <v>31</v>
      </c>
      <c r="D123">
        <v>0.36354668183418398</v>
      </c>
      <c r="E123">
        <v>0.51731239578841426</v>
      </c>
      <c r="F123">
        <v>0.48838560532517328</v>
      </c>
      <c r="G123">
        <v>0.5543926717230192</v>
      </c>
      <c r="W123" t="s">
        <v>334</v>
      </c>
      <c r="X123">
        <v>9.8647564158839171E-2</v>
      </c>
      <c r="Y123">
        <v>7.0286727155868506E-2</v>
      </c>
      <c r="Z123">
        <v>0.10614500104796536</v>
      </c>
      <c r="AA123">
        <v>0.10510626123490911</v>
      </c>
      <c r="AC123" t="s">
        <v>358</v>
      </c>
      <c r="AD123" t="s">
        <v>398</v>
      </c>
      <c r="AE123" t="s">
        <v>399</v>
      </c>
      <c r="AF123">
        <v>0.20005442672345236</v>
      </c>
    </row>
    <row r="124" spans="2:32" x14ac:dyDescent="0.25">
      <c r="B124" t="s">
        <v>335</v>
      </c>
      <c r="C124" t="s">
        <v>31</v>
      </c>
      <c r="D124">
        <v>0.32650558124057277</v>
      </c>
      <c r="E124">
        <v>0.49409066479062669</v>
      </c>
      <c r="F124">
        <v>0.38793410723451871</v>
      </c>
      <c r="G124">
        <v>0.49668603150519658</v>
      </c>
      <c r="W124" t="s">
        <v>335</v>
      </c>
      <c r="X124">
        <v>0.15148282808590149</v>
      </c>
      <c r="Y124">
        <v>6.8227539512993984E-2</v>
      </c>
      <c r="Z124">
        <v>0.13094132725505561</v>
      </c>
      <c r="AA124">
        <v>0.12630229335043425</v>
      </c>
      <c r="AC124" t="s">
        <v>359</v>
      </c>
      <c r="AD124" t="s">
        <v>398</v>
      </c>
      <c r="AE124" t="s">
        <v>399</v>
      </c>
      <c r="AF124">
        <v>0.26003749064114573</v>
      </c>
    </row>
    <row r="125" spans="2:32" x14ac:dyDescent="0.25">
      <c r="B125" t="s">
        <v>336</v>
      </c>
      <c r="C125" t="s">
        <v>31</v>
      </c>
      <c r="D125">
        <v>0.36147592468798428</v>
      </c>
      <c r="E125">
        <v>0.50045849599207715</v>
      </c>
      <c r="F125">
        <v>0.46039254087638826</v>
      </c>
      <c r="G125">
        <v>0.54587992026981103</v>
      </c>
      <c r="W125" t="s">
        <v>336</v>
      </c>
      <c r="X125">
        <v>9.4708633899536085E-2</v>
      </c>
      <c r="Y125">
        <v>4.0993543809092231E-2</v>
      </c>
      <c r="Z125">
        <v>0.12681464948021076</v>
      </c>
      <c r="AA125">
        <v>0.11680189894971627</v>
      </c>
      <c r="AC125" t="s">
        <v>360</v>
      </c>
      <c r="AD125" t="s">
        <v>398</v>
      </c>
      <c r="AE125" t="s">
        <v>399</v>
      </c>
      <c r="AF125">
        <v>0.18089818667430074</v>
      </c>
    </row>
    <row r="126" spans="2:32" x14ac:dyDescent="0.25">
      <c r="B126" t="s">
        <v>337</v>
      </c>
      <c r="C126" t="s">
        <v>31</v>
      </c>
      <c r="D126">
        <v>0.30852094976322986</v>
      </c>
      <c r="E126">
        <v>0.47392896763324022</v>
      </c>
      <c r="F126">
        <v>0.38835806864321365</v>
      </c>
      <c r="G126">
        <v>0.49098063135412934</v>
      </c>
      <c r="W126" t="s">
        <v>337</v>
      </c>
      <c r="X126">
        <v>0.12982691708279867</v>
      </c>
      <c r="Y126">
        <v>5.7038674550145545E-2</v>
      </c>
      <c r="Z126">
        <v>0.14559151032136686</v>
      </c>
      <c r="AA126">
        <v>0.13456837912919839</v>
      </c>
      <c r="AC126" t="s">
        <v>361</v>
      </c>
      <c r="AD126" t="s">
        <v>398</v>
      </c>
      <c r="AE126" t="s">
        <v>399</v>
      </c>
      <c r="AF126">
        <v>0.2816240264319852</v>
      </c>
    </row>
    <row r="127" spans="2:32" x14ac:dyDescent="0.25">
      <c r="B127" t="s">
        <v>338</v>
      </c>
      <c r="C127" t="s">
        <v>31</v>
      </c>
      <c r="D127">
        <v>0.3819595520106791</v>
      </c>
      <c r="E127">
        <v>0.50591820134016308</v>
      </c>
      <c r="F127">
        <v>0.44070700482161351</v>
      </c>
      <c r="G127">
        <v>0.5041729406156733</v>
      </c>
      <c r="W127" t="s">
        <v>338</v>
      </c>
      <c r="X127">
        <v>0.10816287171370277</v>
      </c>
      <c r="Y127">
        <v>5.211286110444114E-2</v>
      </c>
      <c r="Z127">
        <v>0.15749550842835572</v>
      </c>
      <c r="AA127">
        <v>0.1573459210834654</v>
      </c>
      <c r="AC127" t="s">
        <v>362</v>
      </c>
      <c r="AD127" t="s">
        <v>398</v>
      </c>
      <c r="AE127" t="s">
        <v>399</v>
      </c>
      <c r="AF127">
        <v>0.1874685636189134</v>
      </c>
    </row>
    <row r="128" spans="2:32" x14ac:dyDescent="0.25">
      <c r="B128" t="s">
        <v>339</v>
      </c>
      <c r="C128" t="s">
        <v>31</v>
      </c>
      <c r="D128">
        <v>0.36889061456933947</v>
      </c>
      <c r="E128">
        <v>0.53408171489517653</v>
      </c>
      <c r="F128">
        <v>0.43395241910298055</v>
      </c>
      <c r="G128">
        <v>0.52205046767693675</v>
      </c>
      <c r="W128" t="s">
        <v>339</v>
      </c>
      <c r="X128">
        <v>0.20281919850640395</v>
      </c>
      <c r="Y128">
        <v>0.11421455887612626</v>
      </c>
      <c r="Z128">
        <v>0.17493483459434989</v>
      </c>
      <c r="AA128">
        <v>0.16271430597196235</v>
      </c>
      <c r="AC128" t="s">
        <v>363</v>
      </c>
      <c r="AD128" t="s">
        <v>398</v>
      </c>
      <c r="AE128" t="s">
        <v>399</v>
      </c>
      <c r="AF128">
        <v>0.26160536804200235</v>
      </c>
    </row>
    <row r="129" spans="2:32" x14ac:dyDescent="0.25">
      <c r="B129" t="s">
        <v>340</v>
      </c>
      <c r="C129" t="s">
        <v>31</v>
      </c>
      <c r="D129">
        <v>0.35270746711818707</v>
      </c>
      <c r="E129">
        <v>0.49607175966498912</v>
      </c>
      <c r="F129">
        <v>0.43295583456679254</v>
      </c>
      <c r="G129">
        <v>0.54326368982074325</v>
      </c>
      <c r="W129" t="s">
        <v>340</v>
      </c>
      <c r="X129">
        <v>0.19469550646427941</v>
      </c>
      <c r="Y129">
        <v>0.11483116514094488</v>
      </c>
      <c r="Z129">
        <v>0.15323528872497244</v>
      </c>
      <c r="AA129">
        <v>0.14207711579962939</v>
      </c>
      <c r="AC129" t="s">
        <v>364</v>
      </c>
      <c r="AD129" t="s">
        <v>398</v>
      </c>
      <c r="AE129" t="s">
        <v>399</v>
      </c>
      <c r="AF129">
        <v>0.32615565505465532</v>
      </c>
    </row>
    <row r="130" spans="2:32" x14ac:dyDescent="0.25">
      <c r="B130" t="s">
        <v>341</v>
      </c>
      <c r="C130" t="s">
        <v>31</v>
      </c>
      <c r="D130">
        <v>0.37872646156861289</v>
      </c>
      <c r="E130">
        <v>0.50426183929268509</v>
      </c>
      <c r="F130">
        <v>0.49211378253955151</v>
      </c>
      <c r="G130">
        <v>0.59374422214680456</v>
      </c>
      <c r="W130" t="s">
        <v>341</v>
      </c>
      <c r="X130">
        <v>0.13015975744883618</v>
      </c>
      <c r="Y130">
        <v>9.2904328418614512E-2</v>
      </c>
      <c r="Z130">
        <v>0.1102898048678195</v>
      </c>
      <c r="AA130">
        <v>0.10470518167345409</v>
      </c>
      <c r="AC130" t="s">
        <v>365</v>
      </c>
      <c r="AD130" t="s">
        <v>398</v>
      </c>
      <c r="AE130" t="s">
        <v>399</v>
      </c>
      <c r="AF130">
        <v>0.35133591235845441</v>
      </c>
    </row>
    <row r="131" spans="2:32" x14ac:dyDescent="0.25">
      <c r="B131" t="s">
        <v>342</v>
      </c>
      <c r="C131" t="s">
        <v>31</v>
      </c>
      <c r="D131">
        <v>0.3852917252854185</v>
      </c>
      <c r="E131">
        <v>0.51607976384317311</v>
      </c>
      <c r="F131">
        <v>0.47909548746532687</v>
      </c>
      <c r="G131">
        <v>0.56663959803088948</v>
      </c>
      <c r="W131" t="s">
        <v>342</v>
      </c>
      <c r="X131">
        <v>0.15349186187119451</v>
      </c>
      <c r="Y131">
        <v>9.0731181357887963E-2</v>
      </c>
      <c r="Z131">
        <v>0.12408833507302479</v>
      </c>
      <c r="AA131">
        <v>0.1135115433186815</v>
      </c>
      <c r="AC131" t="s">
        <v>366</v>
      </c>
      <c r="AD131" t="s">
        <v>398</v>
      </c>
      <c r="AE131" t="s">
        <v>399</v>
      </c>
      <c r="AF131">
        <v>0.2011205555277277</v>
      </c>
    </row>
    <row r="132" spans="2:32" x14ac:dyDescent="0.25">
      <c r="B132" t="s">
        <v>343</v>
      </c>
      <c r="C132" t="s">
        <v>31</v>
      </c>
      <c r="D132">
        <v>0.36091331449835679</v>
      </c>
      <c r="E132">
        <v>0.56189829001950187</v>
      </c>
      <c r="F132">
        <v>0.50658229384472764</v>
      </c>
      <c r="G132">
        <v>0.59784926170746699</v>
      </c>
      <c r="W132" t="s">
        <v>343</v>
      </c>
      <c r="X132">
        <v>9.3190797193154248E-2</v>
      </c>
      <c r="Y132">
        <v>5.5891771712494986E-2</v>
      </c>
      <c r="Z132">
        <v>0.10463578943309695</v>
      </c>
      <c r="AA132">
        <v>0.10570420029084383</v>
      </c>
      <c r="AC132" t="s">
        <v>367</v>
      </c>
      <c r="AD132" t="s">
        <v>398</v>
      </c>
      <c r="AE132" t="s">
        <v>399</v>
      </c>
      <c r="AF132">
        <v>0.21862915931878354</v>
      </c>
    </row>
    <row r="133" spans="2:32" x14ac:dyDescent="0.25">
      <c r="B133" t="s">
        <v>344</v>
      </c>
      <c r="C133" t="s">
        <v>31</v>
      </c>
      <c r="D133">
        <v>0.35839221595044418</v>
      </c>
      <c r="E133">
        <v>0.47120981048067739</v>
      </c>
      <c r="F133">
        <v>0.44572619553562065</v>
      </c>
      <c r="G133">
        <v>0.56408314975956619</v>
      </c>
      <c r="W133" t="s">
        <v>344</v>
      </c>
      <c r="X133">
        <v>0.12447824908614125</v>
      </c>
      <c r="Y133">
        <v>8.6393452507847773E-2</v>
      </c>
      <c r="Z133">
        <v>0.11376093024269869</v>
      </c>
      <c r="AA133">
        <v>0.1121961276452169</v>
      </c>
      <c r="AC133" t="s">
        <v>368</v>
      </c>
      <c r="AD133" t="s">
        <v>398</v>
      </c>
      <c r="AE133" t="s">
        <v>399</v>
      </c>
      <c r="AF133">
        <v>0.22012791067221357</v>
      </c>
    </row>
    <row r="134" spans="2:32" x14ac:dyDescent="0.25">
      <c r="B134" t="s">
        <v>345</v>
      </c>
      <c r="C134" t="s">
        <v>31</v>
      </c>
      <c r="D134">
        <v>0.33875892851631001</v>
      </c>
      <c r="E134">
        <v>0.52563205190653117</v>
      </c>
      <c r="F134">
        <v>0.40643449904828632</v>
      </c>
      <c r="G134">
        <v>0.52588789403030467</v>
      </c>
      <c r="W134" t="s">
        <v>345</v>
      </c>
      <c r="X134">
        <v>0.13828254067956858</v>
      </c>
      <c r="Y134">
        <v>8.626470466007341E-2</v>
      </c>
      <c r="Z134">
        <v>0.14964275690217824</v>
      </c>
      <c r="AA134">
        <v>0.12126012316708251</v>
      </c>
      <c r="AC134" t="s">
        <v>369</v>
      </c>
      <c r="AD134" t="s">
        <v>398</v>
      </c>
      <c r="AE134" t="s">
        <v>399</v>
      </c>
      <c r="AF134">
        <v>0.26818121280954416</v>
      </c>
    </row>
    <row r="135" spans="2:32" x14ac:dyDescent="0.25">
      <c r="B135" t="s">
        <v>346</v>
      </c>
      <c r="C135" t="s">
        <v>31</v>
      </c>
      <c r="D135">
        <v>0.4124901984533319</v>
      </c>
      <c r="E135">
        <v>0.51205228728820673</v>
      </c>
      <c r="F135">
        <v>0.38653652424878177</v>
      </c>
      <c r="G135">
        <v>0.48148446056315458</v>
      </c>
      <c r="W135" t="s">
        <v>346</v>
      </c>
      <c r="X135">
        <v>0.17028513344083721</v>
      </c>
      <c r="Y135">
        <v>0.10358884065966316</v>
      </c>
      <c r="Z135">
        <v>0.13489292394054356</v>
      </c>
      <c r="AA135">
        <v>0.11209346112481247</v>
      </c>
      <c r="AC135" t="s">
        <v>370</v>
      </c>
      <c r="AD135" t="s">
        <v>398</v>
      </c>
      <c r="AE135" t="s">
        <v>399</v>
      </c>
      <c r="AF135">
        <v>0.36370556807603938</v>
      </c>
    </row>
    <row r="136" spans="2:32" x14ac:dyDescent="0.25">
      <c r="B136" t="s">
        <v>347</v>
      </c>
      <c r="C136" t="s">
        <v>31</v>
      </c>
      <c r="D136">
        <v>0.44691535852469821</v>
      </c>
      <c r="E136">
        <v>0.46644168446277084</v>
      </c>
      <c r="F136">
        <v>0.41095427556768427</v>
      </c>
      <c r="G136">
        <v>0.43781100399421558</v>
      </c>
      <c r="W136" t="s">
        <v>347</v>
      </c>
      <c r="X136">
        <v>0.1995619288554438</v>
      </c>
      <c r="Y136">
        <v>0.15664558409908325</v>
      </c>
      <c r="Z136">
        <v>0.17400684524095333</v>
      </c>
      <c r="AA136">
        <v>0.15353200394902586</v>
      </c>
      <c r="AC136" t="s">
        <v>371</v>
      </c>
      <c r="AD136" t="s">
        <v>398</v>
      </c>
      <c r="AE136" t="s">
        <v>399</v>
      </c>
      <c r="AF136">
        <v>0.35655110014804026</v>
      </c>
    </row>
    <row r="137" spans="2:32" x14ac:dyDescent="0.25">
      <c r="B137" t="s">
        <v>348</v>
      </c>
      <c r="C137" t="s">
        <v>31</v>
      </c>
      <c r="D137">
        <v>0.3642406527812882</v>
      </c>
      <c r="E137">
        <v>0.52047905844858233</v>
      </c>
      <c r="F137">
        <v>0.42350262501803465</v>
      </c>
      <c r="G137">
        <v>0.53846950613612632</v>
      </c>
      <c r="W137" t="s">
        <v>348</v>
      </c>
      <c r="X137">
        <v>0.12211674907809059</v>
      </c>
      <c r="Y137">
        <v>5.2863747287826633E-2</v>
      </c>
      <c r="Z137">
        <v>0.11162904797013748</v>
      </c>
      <c r="AA137">
        <v>9.6503761378750816E-2</v>
      </c>
      <c r="AC137" t="s">
        <v>372</v>
      </c>
      <c r="AD137" t="s">
        <v>398</v>
      </c>
      <c r="AE137" t="s">
        <v>399</v>
      </c>
      <c r="AF137">
        <v>0.22031467690677214</v>
      </c>
    </row>
    <row r="138" spans="2:32" x14ac:dyDescent="0.25">
      <c r="B138" t="s">
        <v>349</v>
      </c>
      <c r="C138" t="s">
        <v>31</v>
      </c>
      <c r="D138">
        <v>0.33659119529639286</v>
      </c>
      <c r="E138">
        <v>0.48403405333179422</v>
      </c>
      <c r="F138">
        <v>0.39751618388941057</v>
      </c>
      <c r="G138">
        <v>0.52423667720632239</v>
      </c>
      <c r="W138" t="s">
        <v>349</v>
      </c>
      <c r="X138">
        <v>0.13597197400933569</v>
      </c>
      <c r="Y138">
        <v>7.8064027768768487E-2</v>
      </c>
      <c r="Z138">
        <v>0.11558573311918005</v>
      </c>
      <c r="AA138">
        <v>0.10421566322117537</v>
      </c>
      <c r="AC138" t="s">
        <v>373</v>
      </c>
      <c r="AD138" t="s">
        <v>398</v>
      </c>
      <c r="AE138" t="s">
        <v>399</v>
      </c>
      <c r="AF138">
        <v>0.25036455882556502</v>
      </c>
    </row>
    <row r="139" spans="2:32" x14ac:dyDescent="0.25">
      <c r="B139" t="s">
        <v>350</v>
      </c>
      <c r="C139" t="s">
        <v>31</v>
      </c>
      <c r="D139">
        <v>0.35137229353910654</v>
      </c>
      <c r="E139">
        <v>0.52542774468515674</v>
      </c>
      <c r="F139">
        <v>0.4205131082294285</v>
      </c>
      <c r="G139">
        <v>0.51779791749357196</v>
      </c>
      <c r="W139" t="s">
        <v>350</v>
      </c>
      <c r="X139">
        <v>0.20103346941121655</v>
      </c>
      <c r="Y139">
        <v>0.11808761110938251</v>
      </c>
      <c r="Z139">
        <v>0.15938061816265162</v>
      </c>
      <c r="AA139">
        <v>0.14679018030373905</v>
      </c>
      <c r="AC139" t="s">
        <v>374</v>
      </c>
      <c r="AD139" t="s">
        <v>398</v>
      </c>
      <c r="AE139" t="s">
        <v>399</v>
      </c>
      <c r="AF139">
        <v>0.2007875644812194</v>
      </c>
    </row>
    <row r="140" spans="2:32" x14ac:dyDescent="0.25">
      <c r="B140" t="s">
        <v>351</v>
      </c>
      <c r="C140" t="s">
        <v>31</v>
      </c>
      <c r="D140">
        <v>0.3251437642739477</v>
      </c>
      <c r="E140">
        <v>0.51692698476220822</v>
      </c>
      <c r="F140">
        <v>0.38396313351633082</v>
      </c>
      <c r="G140">
        <v>0.5113857807913933</v>
      </c>
      <c r="W140" t="s">
        <v>351</v>
      </c>
      <c r="X140">
        <v>0.15021370359535482</v>
      </c>
      <c r="Y140">
        <v>7.9941219987089002E-2</v>
      </c>
      <c r="Z140">
        <v>0.10197657247672301</v>
      </c>
      <c r="AA140">
        <v>8.4343697732754963E-2</v>
      </c>
      <c r="AC140" t="s">
        <v>375</v>
      </c>
      <c r="AD140" t="s">
        <v>398</v>
      </c>
      <c r="AE140" t="s">
        <v>399</v>
      </c>
      <c r="AF140">
        <v>0.32038836817631816</v>
      </c>
    </row>
    <row r="141" spans="2:32" x14ac:dyDescent="0.25">
      <c r="B141" t="s">
        <v>352</v>
      </c>
      <c r="C141" t="s">
        <v>31</v>
      </c>
      <c r="D141">
        <v>0.26757868157158982</v>
      </c>
      <c r="E141">
        <v>0.41633550192600643</v>
      </c>
      <c r="F141">
        <v>0.40336307246151282</v>
      </c>
      <c r="G141">
        <v>0.45915680342212645</v>
      </c>
      <c r="W141" t="s">
        <v>352</v>
      </c>
      <c r="X141">
        <v>0.14609106217483062</v>
      </c>
      <c r="Y141">
        <v>5.6992090146097997E-2</v>
      </c>
      <c r="Z141">
        <v>0.16653338427184969</v>
      </c>
      <c r="AA141">
        <v>0.17006972579756027</v>
      </c>
      <c r="AC141" t="s">
        <v>376</v>
      </c>
      <c r="AD141" t="s">
        <v>398</v>
      </c>
      <c r="AE141" t="s">
        <v>399</v>
      </c>
      <c r="AF141">
        <v>0.2431280996089088</v>
      </c>
    </row>
    <row r="142" spans="2:32" x14ac:dyDescent="0.25">
      <c r="B142" t="s">
        <v>353</v>
      </c>
      <c r="C142" t="s">
        <v>31</v>
      </c>
      <c r="D142">
        <v>0.33830123076921248</v>
      </c>
      <c r="E142">
        <v>0.36226880310070525</v>
      </c>
      <c r="F142">
        <v>0.36032536469550175</v>
      </c>
      <c r="G142">
        <v>0.37621141722692053</v>
      </c>
      <c r="W142" t="s">
        <v>353</v>
      </c>
      <c r="X142">
        <v>0.18665251949076336</v>
      </c>
      <c r="Y142">
        <v>0.12431784908883131</v>
      </c>
      <c r="Z142">
        <v>0.23879733084579405</v>
      </c>
      <c r="AA142">
        <v>0.24419822476928799</v>
      </c>
      <c r="AC142" t="s">
        <v>377</v>
      </c>
      <c r="AD142" t="s">
        <v>398</v>
      </c>
      <c r="AE142" t="s">
        <v>399</v>
      </c>
      <c r="AF142">
        <v>0.15454185212475496</v>
      </c>
    </row>
    <row r="143" spans="2:32" x14ac:dyDescent="0.25">
      <c r="B143" t="s">
        <v>354</v>
      </c>
      <c r="C143" t="s">
        <v>31</v>
      </c>
      <c r="D143">
        <v>0.32286980225461026</v>
      </c>
      <c r="E143">
        <v>0.49376430433678403</v>
      </c>
      <c r="F143">
        <v>0.43134863155124736</v>
      </c>
      <c r="G143">
        <v>0.48192071700679712</v>
      </c>
      <c r="W143" t="s">
        <v>354</v>
      </c>
      <c r="X143">
        <v>0.13605304289580081</v>
      </c>
      <c r="Y143">
        <v>5.1243018726734445E-2</v>
      </c>
      <c r="Z143">
        <v>0.16665965384820167</v>
      </c>
      <c r="AA143">
        <v>0.1621574729010733</v>
      </c>
      <c r="AC143" t="s">
        <v>378</v>
      </c>
      <c r="AD143" t="s">
        <v>398</v>
      </c>
      <c r="AE143" t="s">
        <v>399</v>
      </c>
      <c r="AF143">
        <v>0.23401526440508463</v>
      </c>
    </row>
    <row r="144" spans="2:32" x14ac:dyDescent="0.25">
      <c r="B144" t="s">
        <v>355</v>
      </c>
      <c r="C144" t="s">
        <v>31</v>
      </c>
      <c r="D144">
        <v>0.37786207759938983</v>
      </c>
      <c r="E144">
        <v>0.43984155434162653</v>
      </c>
      <c r="F144">
        <v>0.48097468014699529</v>
      </c>
      <c r="G144">
        <v>0.50415644170122531</v>
      </c>
      <c r="W144" t="s">
        <v>355</v>
      </c>
      <c r="X144">
        <v>6.1373877327950861E-2</v>
      </c>
      <c r="Y144">
        <v>4.6238618296718992E-2</v>
      </c>
      <c r="Z144">
        <v>0.14854291399177136</v>
      </c>
      <c r="AA144">
        <v>0.15949107404244242</v>
      </c>
      <c r="AC144" t="s">
        <v>379</v>
      </c>
      <c r="AD144" t="s">
        <v>398</v>
      </c>
      <c r="AE144" t="s">
        <v>399</v>
      </c>
      <c r="AF144">
        <v>0.21007040547273573</v>
      </c>
    </row>
    <row r="145" spans="2:32" x14ac:dyDescent="0.25">
      <c r="B145" t="s">
        <v>356</v>
      </c>
      <c r="C145" t="s">
        <v>31</v>
      </c>
      <c r="D145">
        <v>0.32322823850706894</v>
      </c>
      <c r="E145">
        <v>0.50079649987197217</v>
      </c>
      <c r="F145">
        <v>0.412547692328597</v>
      </c>
      <c r="G145">
        <v>0.45951806510563037</v>
      </c>
      <c r="W145" t="s">
        <v>356</v>
      </c>
      <c r="X145">
        <v>0.16323471045611429</v>
      </c>
      <c r="Y145">
        <v>7.175267527157192E-2</v>
      </c>
      <c r="Z145">
        <v>0.19225387165820937</v>
      </c>
      <c r="AA145">
        <v>0.19172597216740037</v>
      </c>
      <c r="AC145" t="s">
        <v>380</v>
      </c>
      <c r="AD145" t="s">
        <v>398</v>
      </c>
      <c r="AE145" t="s">
        <v>399</v>
      </c>
      <c r="AF145">
        <v>0.21733443640124642</v>
      </c>
    </row>
    <row r="146" spans="2:32" x14ac:dyDescent="0.25">
      <c r="B146" t="s">
        <v>357</v>
      </c>
      <c r="C146" t="s">
        <v>31</v>
      </c>
      <c r="D146">
        <v>0.28819729941628242</v>
      </c>
      <c r="E146">
        <v>0.44596727857230156</v>
      </c>
      <c r="F146">
        <v>0.33246734767525865</v>
      </c>
      <c r="G146">
        <v>0.41138190450706014</v>
      </c>
      <c r="W146" t="s">
        <v>357</v>
      </c>
      <c r="X146">
        <v>0.19049479184246321</v>
      </c>
      <c r="Y146">
        <v>8.1610447025542307E-2</v>
      </c>
      <c r="Z146">
        <v>0.25369794115863981</v>
      </c>
      <c r="AA146">
        <v>0.27329201279689408</v>
      </c>
      <c r="AC146" t="s">
        <v>381</v>
      </c>
      <c r="AD146" t="s">
        <v>398</v>
      </c>
      <c r="AE146" t="s">
        <v>399</v>
      </c>
      <c r="AF146">
        <v>0.17290350740614382</v>
      </c>
    </row>
    <row r="147" spans="2:32" x14ac:dyDescent="0.25">
      <c r="B147" t="s">
        <v>358</v>
      </c>
      <c r="C147" t="s">
        <v>31</v>
      </c>
      <c r="D147">
        <v>0.29235556094627629</v>
      </c>
      <c r="E147">
        <v>0.46707167153955631</v>
      </c>
      <c r="F147">
        <v>0.35715147690226562</v>
      </c>
      <c r="G147">
        <v>0.43738731373299783</v>
      </c>
      <c r="W147" t="s">
        <v>358</v>
      </c>
      <c r="X147">
        <v>0.1948861540442644</v>
      </c>
      <c r="Y147">
        <v>7.6259872225175565E-2</v>
      </c>
      <c r="Z147">
        <v>0.20013291845626022</v>
      </c>
      <c r="AA147">
        <v>0.19047514350494926</v>
      </c>
      <c r="AC147" t="s">
        <v>382</v>
      </c>
      <c r="AD147" t="s">
        <v>398</v>
      </c>
      <c r="AE147" t="s">
        <v>399</v>
      </c>
      <c r="AF147">
        <v>0.12951602878183865</v>
      </c>
    </row>
    <row r="148" spans="2:32" x14ac:dyDescent="0.25">
      <c r="B148" t="s">
        <v>359</v>
      </c>
      <c r="C148" t="s">
        <v>31</v>
      </c>
      <c r="D148">
        <v>0.28002396855721723</v>
      </c>
      <c r="E148">
        <v>0.33033484891216236</v>
      </c>
      <c r="F148">
        <v>0.25001071462076724</v>
      </c>
      <c r="G148">
        <v>0.33803487100120005</v>
      </c>
      <c r="W148" t="s">
        <v>359</v>
      </c>
      <c r="X148">
        <v>0.26018562233335701</v>
      </c>
      <c r="Y148">
        <v>0.21036828706064953</v>
      </c>
      <c r="Z148">
        <v>0.25150556514708894</v>
      </c>
      <c r="AA148">
        <v>0.20217968860511898</v>
      </c>
      <c r="AC148" t="s">
        <v>383</v>
      </c>
      <c r="AD148" t="s">
        <v>398</v>
      </c>
      <c r="AE148" t="s">
        <v>399</v>
      </c>
      <c r="AF148">
        <v>0.14063178708184138</v>
      </c>
    </row>
    <row r="149" spans="2:32" x14ac:dyDescent="0.25">
      <c r="B149" t="s">
        <v>360</v>
      </c>
      <c r="C149" t="s">
        <v>31</v>
      </c>
      <c r="D149">
        <v>0.28048005540019233</v>
      </c>
      <c r="E149">
        <v>0.33551450457269</v>
      </c>
      <c r="F149">
        <v>0.26110806519638102</v>
      </c>
      <c r="G149">
        <v>0.3396216862356265</v>
      </c>
      <c r="W149" t="s">
        <v>360</v>
      </c>
      <c r="X149">
        <v>0.17867679053582128</v>
      </c>
      <c r="Y149">
        <v>0.13102342902768924</v>
      </c>
      <c r="Z149">
        <v>0.18092381914866087</v>
      </c>
      <c r="AA149">
        <v>0.15037762600759755</v>
      </c>
      <c r="AC149" t="s">
        <v>384</v>
      </c>
      <c r="AD149" t="s">
        <v>398</v>
      </c>
      <c r="AE149" t="s">
        <v>399</v>
      </c>
      <c r="AF149">
        <v>0.15286866723088172</v>
      </c>
    </row>
    <row r="150" spans="2:32" x14ac:dyDescent="0.25">
      <c r="B150" t="s">
        <v>361</v>
      </c>
      <c r="C150" t="s">
        <v>31</v>
      </c>
      <c r="D150">
        <v>0.38569301718728943</v>
      </c>
      <c r="E150">
        <v>0.46054229544073033</v>
      </c>
      <c r="F150">
        <v>0.43367674509677956</v>
      </c>
      <c r="G150">
        <v>0.40870864996417028</v>
      </c>
      <c r="W150" t="s">
        <v>361</v>
      </c>
      <c r="X150">
        <v>0.12079116520538816</v>
      </c>
      <c r="Y150">
        <v>7.5564708334022512E-2</v>
      </c>
      <c r="Z150">
        <v>0.24779774375833102</v>
      </c>
      <c r="AA150">
        <v>0.28162461986703419</v>
      </c>
      <c r="AC150" t="s">
        <v>385</v>
      </c>
      <c r="AD150" t="s">
        <v>398</v>
      </c>
      <c r="AE150" t="s">
        <v>399</v>
      </c>
      <c r="AF150">
        <v>0.15669957093886697</v>
      </c>
    </row>
    <row r="151" spans="2:32" x14ac:dyDescent="0.25">
      <c r="B151" t="s">
        <v>362</v>
      </c>
      <c r="C151" t="s">
        <v>31</v>
      </c>
      <c r="D151">
        <v>0.39014094848741954</v>
      </c>
      <c r="E151">
        <v>0.479047891259061</v>
      </c>
      <c r="F151">
        <v>0.38295426232807517</v>
      </c>
      <c r="G151">
        <v>0.41339900429825827</v>
      </c>
      <c r="W151" t="s">
        <v>362</v>
      </c>
      <c r="X151">
        <v>8.9609386586529186E-2</v>
      </c>
      <c r="Y151">
        <v>5.9558055933483046E-2</v>
      </c>
      <c r="Z151">
        <v>0.15172035927635802</v>
      </c>
      <c r="AA151">
        <v>0.18746866833203293</v>
      </c>
      <c r="AC151" t="s">
        <v>386</v>
      </c>
      <c r="AD151" t="s">
        <v>398</v>
      </c>
      <c r="AE151" t="s">
        <v>399</v>
      </c>
      <c r="AF151">
        <v>0.17337548821389723</v>
      </c>
    </row>
    <row r="152" spans="2:32" x14ac:dyDescent="0.25">
      <c r="B152" t="s">
        <v>363</v>
      </c>
      <c r="C152" t="s">
        <v>31</v>
      </c>
      <c r="D152">
        <v>0.21858085017631829</v>
      </c>
      <c r="E152">
        <v>0.41520496645642041</v>
      </c>
      <c r="F152">
        <v>0.37949185583156314</v>
      </c>
      <c r="G152">
        <v>0.43002051192469615</v>
      </c>
      <c r="W152" t="s">
        <v>363</v>
      </c>
      <c r="X152">
        <v>0.19699137084849586</v>
      </c>
      <c r="Y152">
        <v>7.0723409952103147E-2</v>
      </c>
      <c r="Z152">
        <v>0.26174394050461147</v>
      </c>
      <c r="AA152">
        <v>0.25132991609984034</v>
      </c>
      <c r="AC152" t="s">
        <v>387</v>
      </c>
      <c r="AD152" t="s">
        <v>398</v>
      </c>
      <c r="AE152" t="s">
        <v>399</v>
      </c>
      <c r="AF152">
        <v>0.37943920620276783</v>
      </c>
    </row>
    <row r="153" spans="2:32" x14ac:dyDescent="0.25">
      <c r="B153" t="s">
        <v>364</v>
      </c>
      <c r="C153" t="s">
        <v>31</v>
      </c>
      <c r="D153">
        <v>0.24224923978153357</v>
      </c>
      <c r="E153">
        <v>0.4017339699697593</v>
      </c>
      <c r="F153">
        <v>0.2903654643550817</v>
      </c>
      <c r="G153">
        <v>0.38955266700024549</v>
      </c>
      <c r="W153" t="s">
        <v>364</v>
      </c>
      <c r="X153">
        <v>0.26619860362317288</v>
      </c>
      <c r="Y153">
        <v>9.6859341107758734E-2</v>
      </c>
      <c r="Z153">
        <v>0.32623130014636026</v>
      </c>
      <c r="AA153">
        <v>0.30223509235568824</v>
      </c>
      <c r="AC153" t="s">
        <v>388</v>
      </c>
      <c r="AD153" t="s">
        <v>398</v>
      </c>
      <c r="AE153" t="s">
        <v>399</v>
      </c>
      <c r="AF153">
        <v>0.20278800002974537</v>
      </c>
    </row>
    <row r="154" spans="2:32" x14ac:dyDescent="0.25">
      <c r="B154" t="s">
        <v>365</v>
      </c>
      <c r="C154" t="s">
        <v>31</v>
      </c>
      <c r="D154">
        <v>0.23732430553569195</v>
      </c>
      <c r="E154">
        <v>0.40246359092794726</v>
      </c>
      <c r="F154">
        <v>0.3176540216315859</v>
      </c>
      <c r="G154">
        <v>0.38479984652650018</v>
      </c>
      <c r="W154" t="s">
        <v>365</v>
      </c>
      <c r="X154">
        <v>0.22732795972483735</v>
      </c>
      <c r="Y154">
        <v>8.9739194361667399E-2</v>
      </c>
      <c r="Z154">
        <v>0.3514637978050188</v>
      </c>
      <c r="AA154">
        <v>0.34787925249760709</v>
      </c>
      <c r="AC154" t="s">
        <v>389</v>
      </c>
      <c r="AD154" t="s">
        <v>398</v>
      </c>
      <c r="AE154" t="s">
        <v>399</v>
      </c>
      <c r="AF154">
        <v>0.20779572233309893</v>
      </c>
    </row>
    <row r="155" spans="2:32" x14ac:dyDescent="0.25">
      <c r="B155" t="s">
        <v>366</v>
      </c>
      <c r="C155" t="s">
        <v>31</v>
      </c>
      <c r="D155">
        <v>0.36360969861873599</v>
      </c>
      <c r="E155">
        <v>0.42677356058054777</v>
      </c>
      <c r="F155">
        <v>0.43666668947801052</v>
      </c>
      <c r="G155">
        <v>0.44500077038760932</v>
      </c>
      <c r="W155" t="s">
        <v>366</v>
      </c>
      <c r="X155">
        <v>0.11522566333435588</v>
      </c>
      <c r="Y155">
        <v>0.10917633421237186</v>
      </c>
      <c r="Z155">
        <v>0.18850759709065826</v>
      </c>
      <c r="AA155">
        <v>0.2011205555277277</v>
      </c>
      <c r="AC155" t="s">
        <v>390</v>
      </c>
      <c r="AD155" t="s">
        <v>398</v>
      </c>
      <c r="AE155" t="s">
        <v>399</v>
      </c>
      <c r="AF155">
        <v>0.31259735223478963</v>
      </c>
    </row>
    <row r="156" spans="2:32" x14ac:dyDescent="0.25">
      <c r="B156" t="s">
        <v>367</v>
      </c>
      <c r="C156" t="s">
        <v>31</v>
      </c>
      <c r="D156">
        <v>0.36426121327842503</v>
      </c>
      <c r="E156">
        <v>0.41094511084150037</v>
      </c>
      <c r="F156">
        <v>0.48170522384361752</v>
      </c>
      <c r="G156">
        <v>0.42430677803285738</v>
      </c>
      <c r="W156" t="s">
        <v>367</v>
      </c>
      <c r="X156">
        <v>5.8218064697494763E-2</v>
      </c>
      <c r="Y156">
        <v>7.3159220863647054E-2</v>
      </c>
      <c r="Z156">
        <v>0.15735157653248194</v>
      </c>
      <c r="AA156">
        <v>0.21863196279686606</v>
      </c>
      <c r="AC156" t="s">
        <v>300</v>
      </c>
      <c r="AD156" t="s">
        <v>398</v>
      </c>
      <c r="AE156" t="s">
        <v>399</v>
      </c>
      <c r="AF156">
        <v>0.39509947907931281</v>
      </c>
    </row>
    <row r="157" spans="2:32" x14ac:dyDescent="0.25">
      <c r="B157" t="s">
        <v>368</v>
      </c>
      <c r="C157" t="s">
        <v>31</v>
      </c>
      <c r="D157">
        <v>0.31607338604587121</v>
      </c>
      <c r="E157">
        <v>0.37742493203969568</v>
      </c>
      <c r="F157">
        <v>0.27318934387266286</v>
      </c>
      <c r="G157">
        <v>0.32088082142757418</v>
      </c>
      <c r="W157" t="s">
        <v>368</v>
      </c>
      <c r="X157">
        <v>0.10528191051754106</v>
      </c>
      <c r="Y157">
        <v>8.6761164099733154E-2</v>
      </c>
      <c r="Z157">
        <v>0.21051803560007568</v>
      </c>
      <c r="AA157">
        <v>0.22015038401335868</v>
      </c>
      <c r="AC157" t="s">
        <v>301</v>
      </c>
      <c r="AD157" t="s">
        <v>398</v>
      </c>
      <c r="AE157" t="s">
        <v>399</v>
      </c>
      <c r="AF157">
        <v>0.42377828543035001</v>
      </c>
    </row>
    <row r="158" spans="2:32" x14ac:dyDescent="0.25">
      <c r="B158" t="s">
        <v>369</v>
      </c>
      <c r="C158" t="s">
        <v>31</v>
      </c>
      <c r="D158">
        <v>0.26429074525741203</v>
      </c>
      <c r="E158">
        <v>0.46083339759819886</v>
      </c>
      <c r="F158">
        <v>0.3441979087679416</v>
      </c>
      <c r="G158">
        <v>0.39323408348040739</v>
      </c>
      <c r="W158" t="s">
        <v>369</v>
      </c>
      <c r="X158">
        <v>0.12379543499373345</v>
      </c>
      <c r="Y158">
        <v>5.8295950326440138E-2</v>
      </c>
      <c r="Z158">
        <v>0.2168202540415885</v>
      </c>
      <c r="AA158">
        <v>0.26818121280954416</v>
      </c>
      <c r="AC158" t="s">
        <v>302</v>
      </c>
      <c r="AD158" t="s">
        <v>398</v>
      </c>
      <c r="AE158" t="s">
        <v>399</v>
      </c>
      <c r="AF158">
        <v>0.33728070068118687</v>
      </c>
    </row>
    <row r="159" spans="2:32" x14ac:dyDescent="0.25">
      <c r="B159" t="s">
        <v>370</v>
      </c>
      <c r="C159" t="s">
        <v>31</v>
      </c>
      <c r="D159">
        <v>0.25685714684797051</v>
      </c>
      <c r="E159">
        <v>0.41402679535451198</v>
      </c>
      <c r="F159">
        <v>0.30857936077227943</v>
      </c>
      <c r="G159">
        <v>0.37749896535302735</v>
      </c>
      <c r="W159" t="s">
        <v>370</v>
      </c>
      <c r="X159">
        <v>0.20418102234544336</v>
      </c>
      <c r="Y159">
        <v>9.2308303800376107E-2</v>
      </c>
      <c r="Z159">
        <v>0.33266892489644495</v>
      </c>
      <c r="AA159">
        <v>0.36396631619715014</v>
      </c>
      <c r="AC159" t="s">
        <v>303</v>
      </c>
      <c r="AD159" t="s">
        <v>398</v>
      </c>
      <c r="AE159" t="s">
        <v>399</v>
      </c>
      <c r="AF159">
        <v>0.35426518774404625</v>
      </c>
    </row>
    <row r="160" spans="2:32" x14ac:dyDescent="0.25">
      <c r="B160" t="s">
        <v>371</v>
      </c>
      <c r="C160" t="s">
        <v>31</v>
      </c>
      <c r="D160">
        <v>0.2748836754699801</v>
      </c>
      <c r="E160">
        <v>0.43357498187037735</v>
      </c>
      <c r="F160">
        <v>0.27972282626058476</v>
      </c>
      <c r="G160">
        <v>0.3749536863739229</v>
      </c>
      <c r="W160" t="s">
        <v>371</v>
      </c>
      <c r="X160">
        <v>0.35663282592626633</v>
      </c>
      <c r="Y160">
        <v>0.21973430920693296</v>
      </c>
      <c r="Z160">
        <v>0.33548143372444589</v>
      </c>
      <c r="AA160">
        <v>0.27186269272040803</v>
      </c>
      <c r="AC160" t="s">
        <v>304</v>
      </c>
      <c r="AD160" t="s">
        <v>398</v>
      </c>
      <c r="AE160" t="s">
        <v>399</v>
      </c>
      <c r="AF160">
        <v>0.35125213607473238</v>
      </c>
    </row>
    <row r="161" spans="2:32" x14ac:dyDescent="0.25">
      <c r="B161" t="s">
        <v>372</v>
      </c>
      <c r="C161" t="s">
        <v>31</v>
      </c>
      <c r="D161">
        <v>0.33334919449253309</v>
      </c>
      <c r="E161">
        <v>0.41920990063279917</v>
      </c>
      <c r="F161">
        <v>0.34860288168805353</v>
      </c>
      <c r="G161">
        <v>0.40278158679876264</v>
      </c>
      <c r="W161" t="s">
        <v>372</v>
      </c>
      <c r="X161">
        <v>0.11094353021093317</v>
      </c>
      <c r="Y161">
        <v>7.9835772800975549E-2</v>
      </c>
      <c r="Z161">
        <v>0.22038941715803778</v>
      </c>
      <c r="AA161">
        <v>0.20836599325003513</v>
      </c>
      <c r="AC161" t="s">
        <v>305</v>
      </c>
      <c r="AD161" t="s">
        <v>398</v>
      </c>
      <c r="AE161" t="s">
        <v>399</v>
      </c>
      <c r="AF161">
        <v>0.33596936788542259</v>
      </c>
    </row>
    <row r="162" spans="2:32" x14ac:dyDescent="0.25">
      <c r="B162" t="s">
        <v>373</v>
      </c>
      <c r="C162" t="s">
        <v>31</v>
      </c>
      <c r="D162">
        <v>0.21468322718008356</v>
      </c>
      <c r="E162">
        <v>0.32714647971586763</v>
      </c>
      <c r="F162">
        <v>0.26997168452693038</v>
      </c>
      <c r="G162">
        <v>0.36536122242376518</v>
      </c>
      <c r="W162" t="s">
        <v>373</v>
      </c>
      <c r="X162">
        <v>0.25572139287597773</v>
      </c>
      <c r="Y162">
        <v>0.12467427585434564</v>
      </c>
      <c r="Z162">
        <v>0.2576951101308031</v>
      </c>
      <c r="AA162">
        <v>0.21127564769322107</v>
      </c>
      <c r="AC162" t="s">
        <v>306</v>
      </c>
      <c r="AD162" t="s">
        <v>398</v>
      </c>
      <c r="AE162" t="s">
        <v>399</v>
      </c>
      <c r="AF162">
        <v>0.37109275230123462</v>
      </c>
    </row>
    <row r="163" spans="2:32" x14ac:dyDescent="0.25">
      <c r="B163" t="s">
        <v>374</v>
      </c>
      <c r="C163" t="s">
        <v>31</v>
      </c>
      <c r="D163">
        <v>0.26307256398253021</v>
      </c>
      <c r="E163">
        <v>0.44152941621692415</v>
      </c>
      <c r="F163">
        <v>0.3084637740991743</v>
      </c>
      <c r="G163">
        <v>0.39846402759754229</v>
      </c>
      <c r="W163" t="s">
        <v>374</v>
      </c>
      <c r="X163">
        <v>0.20116669380271657</v>
      </c>
      <c r="Y163">
        <v>9.7232992586158112E-2</v>
      </c>
      <c r="Z163">
        <v>0.18361287907284229</v>
      </c>
      <c r="AA163">
        <v>0.12233860361121204</v>
      </c>
      <c r="AC163" t="s">
        <v>307</v>
      </c>
      <c r="AD163" t="s">
        <v>398</v>
      </c>
      <c r="AE163" t="s">
        <v>399</v>
      </c>
      <c r="AF163">
        <v>0.39366845214032953</v>
      </c>
    </row>
    <row r="164" spans="2:32" x14ac:dyDescent="0.25">
      <c r="B164" t="s">
        <v>375</v>
      </c>
      <c r="C164" t="s">
        <v>31</v>
      </c>
      <c r="D164">
        <v>0.29998593878732699</v>
      </c>
      <c r="E164">
        <v>0.46664760895176394</v>
      </c>
      <c r="F164">
        <v>0.31417779132741164</v>
      </c>
      <c r="G164">
        <v>0.41511039916035852</v>
      </c>
      <c r="W164" t="s">
        <v>375</v>
      </c>
      <c r="X164">
        <v>0.29726062358657701</v>
      </c>
      <c r="Y164">
        <v>0.14792099383492888</v>
      </c>
      <c r="Z164">
        <v>0.32039449785192503</v>
      </c>
      <c r="AA164">
        <v>0.19916818505382258</v>
      </c>
      <c r="AC164" t="s">
        <v>308</v>
      </c>
      <c r="AD164" t="s">
        <v>398</v>
      </c>
      <c r="AE164" t="s">
        <v>399</v>
      </c>
      <c r="AF164">
        <v>0.42244786981976568</v>
      </c>
    </row>
    <row r="165" spans="2:32" x14ac:dyDescent="0.25">
      <c r="B165" t="s">
        <v>376</v>
      </c>
      <c r="C165" t="s">
        <v>31</v>
      </c>
      <c r="D165">
        <v>0.30727201265459686</v>
      </c>
      <c r="E165">
        <v>0.44636242897985662</v>
      </c>
      <c r="F165">
        <v>0.31120165582909565</v>
      </c>
      <c r="G165">
        <v>0.39626018383893641</v>
      </c>
      <c r="W165" t="s">
        <v>376</v>
      </c>
      <c r="X165">
        <v>0.24657728586659877</v>
      </c>
      <c r="Y165">
        <v>0.11649765504581279</v>
      </c>
      <c r="Z165">
        <v>0.24175454917074754</v>
      </c>
      <c r="AA165">
        <v>0.14765411813118062</v>
      </c>
      <c r="AC165" t="s">
        <v>309</v>
      </c>
      <c r="AD165" t="s">
        <v>398</v>
      </c>
      <c r="AE165" t="s">
        <v>399</v>
      </c>
      <c r="AF165">
        <v>0.45082179764063479</v>
      </c>
    </row>
    <row r="166" spans="2:32" x14ac:dyDescent="0.25">
      <c r="B166" t="s">
        <v>377</v>
      </c>
      <c r="C166" t="s">
        <v>31</v>
      </c>
      <c r="D166">
        <v>0.29309406592269549</v>
      </c>
      <c r="E166">
        <v>0.49907512713715441</v>
      </c>
      <c r="F166">
        <v>0.37125277546459234</v>
      </c>
      <c r="G166">
        <v>0.47904058993860082</v>
      </c>
      <c r="W166" t="s">
        <v>377</v>
      </c>
      <c r="X166">
        <v>0.14026733723870943</v>
      </c>
      <c r="Y166">
        <v>7.011210485214904E-2</v>
      </c>
      <c r="Z166">
        <v>0.15457454252006564</v>
      </c>
      <c r="AA166">
        <v>0.14036642380555553</v>
      </c>
      <c r="AC166" t="s">
        <v>310</v>
      </c>
      <c r="AD166" t="s">
        <v>398</v>
      </c>
      <c r="AE166" t="s">
        <v>399</v>
      </c>
      <c r="AF166">
        <v>0.39656167355425359</v>
      </c>
    </row>
    <row r="167" spans="2:32" x14ac:dyDescent="0.25">
      <c r="B167" t="s">
        <v>378</v>
      </c>
      <c r="C167" t="s">
        <v>31</v>
      </c>
      <c r="D167">
        <v>0.28431450802812236</v>
      </c>
      <c r="E167">
        <v>0.46566868185534421</v>
      </c>
      <c r="F167">
        <v>0.32432156655336147</v>
      </c>
      <c r="G167">
        <v>0.42808324429761346</v>
      </c>
      <c r="W167" t="s">
        <v>378</v>
      </c>
      <c r="X167">
        <v>0.23430592878975071</v>
      </c>
      <c r="Y167">
        <v>0.10145082947659841</v>
      </c>
      <c r="Z167">
        <v>0.20610892790432175</v>
      </c>
      <c r="AA167">
        <v>0.17292128845103968</v>
      </c>
      <c r="AC167" t="s">
        <v>311</v>
      </c>
      <c r="AD167" t="s">
        <v>398</v>
      </c>
      <c r="AE167" t="s">
        <v>399</v>
      </c>
      <c r="AF167">
        <v>0.40873816153089465</v>
      </c>
    </row>
    <row r="168" spans="2:32" x14ac:dyDescent="0.25">
      <c r="B168" t="s">
        <v>379</v>
      </c>
      <c r="C168" t="s">
        <v>31</v>
      </c>
      <c r="D168">
        <v>0.28271238513622765</v>
      </c>
      <c r="E168">
        <v>0.48402303851287587</v>
      </c>
      <c r="F168">
        <v>0.30822761062740228</v>
      </c>
      <c r="G168">
        <v>0.41640575297390853</v>
      </c>
      <c r="W168" t="s">
        <v>379</v>
      </c>
      <c r="X168">
        <v>0.21116330470813735</v>
      </c>
      <c r="Y168">
        <v>8.8238441772781298E-2</v>
      </c>
      <c r="Z168">
        <v>0.20130274264454795</v>
      </c>
      <c r="AA168">
        <v>0.14136154145233118</v>
      </c>
      <c r="AC168" t="s">
        <v>312</v>
      </c>
      <c r="AD168" t="s">
        <v>398</v>
      </c>
      <c r="AE168" t="s">
        <v>399</v>
      </c>
      <c r="AF168">
        <v>0.34558265300985624</v>
      </c>
    </row>
    <row r="169" spans="2:32" x14ac:dyDescent="0.25">
      <c r="B169" t="s">
        <v>380</v>
      </c>
      <c r="C169" t="s">
        <v>31</v>
      </c>
      <c r="D169">
        <v>0.32682502570414479</v>
      </c>
      <c r="E169">
        <v>0.53399223199183565</v>
      </c>
      <c r="F169">
        <v>0.35609312421193268</v>
      </c>
      <c r="G169">
        <v>0.44062688494127522</v>
      </c>
      <c r="W169" t="s">
        <v>380</v>
      </c>
      <c r="X169">
        <v>0.21743703528085073</v>
      </c>
      <c r="Y169">
        <v>0.10837219327763194</v>
      </c>
      <c r="Z169">
        <v>0.16492086332113595</v>
      </c>
      <c r="AA169">
        <v>0.11102559458866043</v>
      </c>
      <c r="AC169" t="s">
        <v>313</v>
      </c>
      <c r="AD169" t="s">
        <v>398</v>
      </c>
      <c r="AE169" t="s">
        <v>399</v>
      </c>
      <c r="AF169">
        <v>0.52729734358472546</v>
      </c>
    </row>
    <row r="170" spans="2:32" x14ac:dyDescent="0.25">
      <c r="B170" t="s">
        <v>381</v>
      </c>
      <c r="C170" t="s">
        <v>31</v>
      </c>
      <c r="D170">
        <v>0.33399615140865996</v>
      </c>
      <c r="E170">
        <v>0.5292572263796046</v>
      </c>
      <c r="F170">
        <v>0.35987765566284025</v>
      </c>
      <c r="G170">
        <v>0.43250923150887277</v>
      </c>
      <c r="W170" t="s">
        <v>381</v>
      </c>
      <c r="X170">
        <v>0.17313251849415637</v>
      </c>
      <c r="Y170">
        <v>7.5296312683661354E-2</v>
      </c>
      <c r="Z170">
        <v>0.1235889010558264</v>
      </c>
      <c r="AA170">
        <v>7.855402133255418E-2</v>
      </c>
      <c r="AC170" t="s">
        <v>314</v>
      </c>
      <c r="AD170" t="s">
        <v>398</v>
      </c>
      <c r="AE170" t="s">
        <v>399</v>
      </c>
      <c r="AF170">
        <v>0.32131318244747503</v>
      </c>
    </row>
    <row r="171" spans="2:32" x14ac:dyDescent="0.25">
      <c r="B171" t="s">
        <v>382</v>
      </c>
      <c r="C171" t="s">
        <v>31</v>
      </c>
      <c r="D171">
        <v>0.36515502304612474</v>
      </c>
      <c r="E171">
        <v>0.51475404199380348</v>
      </c>
      <c r="F171">
        <v>0.42909778799659487</v>
      </c>
      <c r="G171">
        <v>0.52314709703450579</v>
      </c>
      <c r="W171" t="s">
        <v>382</v>
      </c>
      <c r="X171">
        <v>0.12953055037569863</v>
      </c>
      <c r="Y171">
        <v>7.3579315174256643E-2</v>
      </c>
      <c r="Z171">
        <v>0.10220241541883567</v>
      </c>
      <c r="AA171">
        <v>9.0296886527730769E-2</v>
      </c>
      <c r="AC171" t="s">
        <v>315</v>
      </c>
      <c r="AD171" t="s">
        <v>398</v>
      </c>
      <c r="AE171" t="s">
        <v>399</v>
      </c>
      <c r="AF171">
        <v>0.62015616201599744</v>
      </c>
    </row>
    <row r="172" spans="2:32" x14ac:dyDescent="0.25">
      <c r="B172" t="s">
        <v>383</v>
      </c>
      <c r="C172" t="s">
        <v>31</v>
      </c>
      <c r="D172">
        <v>0.34560754837170948</v>
      </c>
      <c r="E172">
        <v>0.53547271705329602</v>
      </c>
      <c r="F172">
        <v>0.38457546555452177</v>
      </c>
      <c r="G172">
        <v>0.47351935108555687</v>
      </c>
      <c r="W172" t="s">
        <v>383</v>
      </c>
      <c r="X172">
        <v>0.14110130681632202</v>
      </c>
      <c r="Y172">
        <v>7.7158285354003375E-2</v>
      </c>
      <c r="Z172">
        <v>0.13448095586345771</v>
      </c>
      <c r="AA172">
        <v>0.11046210638472291</v>
      </c>
      <c r="AC172" t="s">
        <v>316</v>
      </c>
      <c r="AD172" t="s">
        <v>398</v>
      </c>
      <c r="AE172" t="s">
        <v>399</v>
      </c>
      <c r="AF172">
        <v>0.49458570027033527</v>
      </c>
    </row>
    <row r="173" spans="2:32" x14ac:dyDescent="0.25">
      <c r="B173" t="s">
        <v>384</v>
      </c>
      <c r="C173" t="s">
        <v>31</v>
      </c>
      <c r="D173">
        <v>0.36809225826417907</v>
      </c>
      <c r="E173">
        <v>0.50566590045197413</v>
      </c>
      <c r="F173">
        <v>0.35345569732534776</v>
      </c>
      <c r="G173">
        <v>0.49699707517468955</v>
      </c>
      <c r="W173" t="s">
        <v>384</v>
      </c>
      <c r="X173">
        <v>0.15287613286100912</v>
      </c>
      <c r="Y173">
        <v>8.1085481684288058E-2</v>
      </c>
      <c r="Z173">
        <v>9.7057717642544838E-2</v>
      </c>
      <c r="AA173">
        <v>5.7427860119725976E-2</v>
      </c>
      <c r="AC173" t="s">
        <v>317</v>
      </c>
      <c r="AD173" t="s">
        <v>398</v>
      </c>
      <c r="AE173" t="s">
        <v>399</v>
      </c>
      <c r="AF173">
        <v>0.55918606923892467</v>
      </c>
    </row>
    <row r="174" spans="2:32" x14ac:dyDescent="0.25">
      <c r="B174" t="s">
        <v>385</v>
      </c>
      <c r="C174" t="s">
        <v>31</v>
      </c>
      <c r="D174">
        <v>0.39227007402138014</v>
      </c>
      <c r="E174">
        <v>0.52440595602487872</v>
      </c>
      <c r="F174">
        <v>0.43418282196457603</v>
      </c>
      <c r="G174">
        <v>0.49870804726581258</v>
      </c>
      <c r="W174" t="s">
        <v>385</v>
      </c>
      <c r="X174">
        <v>0.15675635024525253</v>
      </c>
      <c r="Y174">
        <v>8.5693337756786961E-2</v>
      </c>
      <c r="Z174">
        <v>0.11446385982397173</v>
      </c>
      <c r="AA174">
        <v>7.0290210493034203E-2</v>
      </c>
      <c r="AC174" t="s">
        <v>318</v>
      </c>
      <c r="AD174" t="s">
        <v>398</v>
      </c>
      <c r="AE174" t="s">
        <v>399</v>
      </c>
      <c r="AF174">
        <v>0.2770725513514567</v>
      </c>
    </row>
    <row r="175" spans="2:32" x14ac:dyDescent="0.25">
      <c r="B175" t="s">
        <v>386</v>
      </c>
      <c r="C175" t="s">
        <v>31</v>
      </c>
      <c r="D175">
        <v>0.39948422798655064</v>
      </c>
      <c r="E175">
        <v>0.51991153742162211</v>
      </c>
      <c r="F175">
        <v>0.35597613292340541</v>
      </c>
      <c r="G175">
        <v>0.4957939782504443</v>
      </c>
      <c r="W175" t="s">
        <v>386</v>
      </c>
      <c r="X175">
        <v>0.17340723265640676</v>
      </c>
      <c r="Y175">
        <v>9.9671371348588958E-2</v>
      </c>
      <c r="Z175">
        <v>0.14295274930187249</v>
      </c>
      <c r="AA175">
        <v>9.0903199275335106E-2</v>
      </c>
      <c r="AC175" t="s">
        <v>319</v>
      </c>
      <c r="AD175" t="s">
        <v>398</v>
      </c>
      <c r="AE175" t="s">
        <v>399</v>
      </c>
      <c r="AF175">
        <v>0.36178202480732097</v>
      </c>
    </row>
    <row r="176" spans="2:32" x14ac:dyDescent="0.25">
      <c r="B176" t="s">
        <v>387</v>
      </c>
      <c r="C176" t="s">
        <v>31</v>
      </c>
      <c r="D176">
        <v>0.31026847959002918</v>
      </c>
      <c r="E176">
        <v>0.43196449002382981</v>
      </c>
      <c r="F176">
        <v>0.33295582802639812</v>
      </c>
      <c r="G176">
        <v>0.44021218182072802</v>
      </c>
      <c r="W176" t="s">
        <v>387</v>
      </c>
      <c r="X176">
        <v>0.28921944722214399</v>
      </c>
      <c r="Y176">
        <v>0.14029580220684235</v>
      </c>
      <c r="Z176">
        <v>0.38294544723289331</v>
      </c>
      <c r="AA176">
        <v>0.24041698947534834</v>
      </c>
      <c r="AC176" t="s">
        <v>320</v>
      </c>
      <c r="AD176" t="s">
        <v>398</v>
      </c>
      <c r="AE176" t="s">
        <v>399</v>
      </c>
      <c r="AF176">
        <v>0.40263136354916229</v>
      </c>
    </row>
    <row r="177" spans="2:32" x14ac:dyDescent="0.25">
      <c r="B177" t="s">
        <v>388</v>
      </c>
      <c r="C177" t="s">
        <v>31</v>
      </c>
      <c r="D177">
        <v>0.37070325677593746</v>
      </c>
      <c r="E177">
        <v>0.52998700028668788</v>
      </c>
      <c r="F177">
        <v>0.34628775150230867</v>
      </c>
      <c r="G177">
        <v>0.47929270061958362</v>
      </c>
      <c r="W177" t="s">
        <v>388</v>
      </c>
      <c r="X177">
        <v>0.1629368678390633</v>
      </c>
      <c r="Y177">
        <v>8.6962023761022175E-2</v>
      </c>
      <c r="Z177">
        <v>0.20286925032181652</v>
      </c>
      <c r="AA177">
        <v>0.12670057753953085</v>
      </c>
      <c r="AC177" t="s">
        <v>321</v>
      </c>
      <c r="AD177" t="s">
        <v>398</v>
      </c>
      <c r="AE177" t="s">
        <v>399</v>
      </c>
      <c r="AF177">
        <v>0.30114593991621608</v>
      </c>
    </row>
    <row r="178" spans="2:32" x14ac:dyDescent="0.25">
      <c r="B178" t="s">
        <v>389</v>
      </c>
      <c r="C178" t="s">
        <v>31</v>
      </c>
      <c r="D178">
        <v>0.35464353806239729</v>
      </c>
      <c r="E178">
        <v>0.50482952930120084</v>
      </c>
      <c r="F178">
        <v>0.38842935517155097</v>
      </c>
      <c r="G178">
        <v>0.4764988234758486</v>
      </c>
      <c r="W178" t="s">
        <v>389</v>
      </c>
      <c r="X178">
        <v>0.20569697030683806</v>
      </c>
      <c r="Y178">
        <v>0.11214039135699709</v>
      </c>
      <c r="Z178">
        <v>0.20779572233309893</v>
      </c>
      <c r="AA178">
        <v>0.12319046774393981</v>
      </c>
      <c r="AC178" t="s">
        <v>322</v>
      </c>
      <c r="AD178" t="s">
        <v>398</v>
      </c>
      <c r="AE178" t="s">
        <v>399</v>
      </c>
      <c r="AF178">
        <v>0.29180630936808288</v>
      </c>
    </row>
    <row r="179" spans="2:32" x14ac:dyDescent="0.25">
      <c r="B179" t="s">
        <v>390</v>
      </c>
      <c r="C179" t="s">
        <v>31</v>
      </c>
      <c r="D179">
        <v>0.3140608665320942</v>
      </c>
      <c r="E179">
        <v>0.48400023474120807</v>
      </c>
      <c r="F179">
        <v>0.33817420003242282</v>
      </c>
      <c r="G179">
        <v>0.44294411367709807</v>
      </c>
      <c r="W179" t="s">
        <v>390</v>
      </c>
      <c r="X179">
        <v>0.24926436440468017</v>
      </c>
      <c r="Y179">
        <v>0.13103478920623235</v>
      </c>
      <c r="Z179">
        <v>0.31283180452975784</v>
      </c>
      <c r="AA179">
        <v>0.18505101093344312</v>
      </c>
      <c r="AC179" t="s">
        <v>323</v>
      </c>
      <c r="AD179" t="s">
        <v>398</v>
      </c>
      <c r="AE179" t="s">
        <v>399</v>
      </c>
      <c r="AF179">
        <v>0.2973274904491085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AE78C-E2B5-462A-99D4-91FAD75A86E6}">
  <dimension ref="A9:S68"/>
  <sheetViews>
    <sheetView tabSelected="1" workbookViewId="0"/>
  </sheetViews>
  <sheetFormatPr defaultRowHeight="15" x14ac:dyDescent="0.25"/>
  <sheetData>
    <row r="9" spans="1:19" x14ac:dyDescent="0.2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25">
      <c r="A10" t="s">
        <v>43</v>
      </c>
      <c r="C10" t="s">
        <v>400</v>
      </c>
      <c r="D10" t="s">
        <v>46</v>
      </c>
      <c r="E10" t="s">
        <v>45</v>
      </c>
      <c r="F10" t="s">
        <v>44</v>
      </c>
      <c r="H10" t="s">
        <v>44</v>
      </c>
      <c r="I10" t="s">
        <v>45</v>
      </c>
      <c r="J10" t="s">
        <v>46</v>
      </c>
      <c r="L10" t="s">
        <v>44</v>
      </c>
      <c r="M10" t="s">
        <v>45</v>
      </c>
      <c r="N10" t="s">
        <v>409</v>
      </c>
      <c r="P10" t="s">
        <v>410</v>
      </c>
      <c r="Q10" t="s">
        <v>45</v>
      </c>
      <c r="R10" t="s">
        <v>411</v>
      </c>
      <c r="S10" t="s">
        <v>412</v>
      </c>
    </row>
    <row r="11" spans="1:19" x14ac:dyDescent="0.25">
      <c r="A11" t="str">
        <f>IFERROR(IF([1]Veda!D5=A10,"ok","x"),"")</f>
        <v/>
      </c>
      <c r="C11">
        <v>0.24931506849315069</v>
      </c>
      <c r="D11">
        <v>0.13646719538572463</v>
      </c>
      <c r="E11" t="s">
        <v>49</v>
      </c>
      <c r="F11" t="s">
        <v>401</v>
      </c>
      <c r="H11" t="s">
        <v>407</v>
      </c>
      <c r="I11" t="s">
        <v>49</v>
      </c>
      <c r="L11" t="s">
        <v>12</v>
      </c>
      <c r="M11" t="s">
        <v>49</v>
      </c>
      <c r="N11">
        <v>0.51449521606882409</v>
      </c>
      <c r="P11">
        <v>2020</v>
      </c>
      <c r="Q11" t="s">
        <v>37</v>
      </c>
      <c r="R11">
        <v>0.3084476368355053</v>
      </c>
      <c r="S11" t="s">
        <v>413</v>
      </c>
    </row>
    <row r="12" spans="1:19" x14ac:dyDescent="0.25">
      <c r="C12">
        <v>0.24931506849315069</v>
      </c>
      <c r="D12">
        <v>0.36216294160057688</v>
      </c>
      <c r="E12" t="s">
        <v>51</v>
      </c>
      <c r="F12" t="s">
        <v>401</v>
      </c>
      <c r="H12" t="s">
        <v>407</v>
      </c>
      <c r="I12" t="s">
        <v>51</v>
      </c>
      <c r="L12" t="s">
        <v>12</v>
      </c>
      <c r="M12" t="s">
        <v>51</v>
      </c>
      <c r="N12">
        <v>0.2494237721381769</v>
      </c>
      <c r="P12">
        <v>2020</v>
      </c>
      <c r="Q12" t="s">
        <v>41</v>
      </c>
      <c r="R12">
        <v>0.49942335065425048</v>
      </c>
      <c r="S12" t="s">
        <v>413</v>
      </c>
    </row>
    <row r="13" spans="1:19" x14ac:dyDescent="0.25">
      <c r="C13">
        <v>0.25068493150684934</v>
      </c>
      <c r="D13">
        <v>0.13721701514059123</v>
      </c>
      <c r="E13" t="s">
        <v>52</v>
      </c>
      <c r="F13" t="s">
        <v>401</v>
      </c>
      <c r="H13" t="s">
        <v>407</v>
      </c>
      <c r="I13" t="s">
        <v>52</v>
      </c>
      <c r="L13" t="s">
        <v>12</v>
      </c>
      <c r="M13" t="s">
        <v>52</v>
      </c>
      <c r="N13">
        <v>0.44389665368404718</v>
      </c>
      <c r="P13">
        <v>2021</v>
      </c>
      <c r="Q13" t="s">
        <v>37</v>
      </c>
      <c r="R13">
        <v>0.26947758574177361</v>
      </c>
      <c r="S13" t="s">
        <v>413</v>
      </c>
    </row>
    <row r="14" spans="1:19" x14ac:dyDescent="0.25">
      <c r="C14">
        <v>0.25068493150684934</v>
      </c>
      <c r="D14">
        <v>0.36415284787310753</v>
      </c>
      <c r="E14" t="s">
        <v>53</v>
      </c>
      <c r="F14" t="s">
        <v>401</v>
      </c>
      <c r="H14" t="s">
        <v>407</v>
      </c>
      <c r="I14" t="s">
        <v>53</v>
      </c>
      <c r="L14" t="s">
        <v>12</v>
      </c>
      <c r="M14" t="s">
        <v>53</v>
      </c>
      <c r="N14">
        <v>0.19621406873660274</v>
      </c>
      <c r="P14">
        <v>2021</v>
      </c>
      <c r="Q14" t="s">
        <v>41</v>
      </c>
      <c r="R14">
        <v>0.51087208586622446</v>
      </c>
      <c r="S14" t="s">
        <v>413</v>
      </c>
    </row>
    <row r="15" spans="1:19" x14ac:dyDescent="0.25">
      <c r="H15" t="s">
        <v>408</v>
      </c>
      <c r="I15" t="s">
        <v>49</v>
      </c>
      <c r="P15">
        <v>2022</v>
      </c>
      <c r="Q15" t="s">
        <v>37</v>
      </c>
      <c r="R15">
        <v>0.30179065442964004</v>
      </c>
      <c r="S15" t="s">
        <v>413</v>
      </c>
    </row>
    <row r="16" spans="1:19" x14ac:dyDescent="0.25">
      <c r="H16" t="s">
        <v>408</v>
      </c>
      <c r="I16" t="s">
        <v>51</v>
      </c>
      <c r="P16">
        <v>2022</v>
      </c>
      <c r="Q16" t="s">
        <v>41</v>
      </c>
      <c r="R16">
        <v>0.54009341110043374</v>
      </c>
      <c r="S16" t="s">
        <v>413</v>
      </c>
    </row>
    <row r="17" spans="8:19" x14ac:dyDescent="0.25">
      <c r="H17" t="s">
        <v>408</v>
      </c>
      <c r="I17" t="s">
        <v>52</v>
      </c>
      <c r="P17">
        <v>2025</v>
      </c>
      <c r="Q17" t="s">
        <v>37</v>
      </c>
      <c r="R17">
        <v>0.33178333333333332</v>
      </c>
      <c r="S17" t="s">
        <v>413</v>
      </c>
    </row>
    <row r="18" spans="8:19" x14ac:dyDescent="0.25">
      <c r="H18" t="s">
        <v>408</v>
      </c>
      <c r="I18" t="s">
        <v>53</v>
      </c>
      <c r="P18">
        <v>2025</v>
      </c>
      <c r="Q18" t="s">
        <v>41</v>
      </c>
      <c r="R18">
        <v>0.58910000000000007</v>
      </c>
      <c r="S18" t="s">
        <v>413</v>
      </c>
    </row>
    <row r="19" spans="8:19" x14ac:dyDescent="0.25">
      <c r="P19">
        <v>2026</v>
      </c>
      <c r="Q19" t="s">
        <v>37</v>
      </c>
      <c r="R19">
        <v>0.31741666666666662</v>
      </c>
      <c r="S19" t="s">
        <v>413</v>
      </c>
    </row>
    <row r="20" spans="8:19" x14ac:dyDescent="0.25">
      <c r="P20">
        <v>2026</v>
      </c>
      <c r="Q20" t="s">
        <v>41</v>
      </c>
      <c r="R20">
        <v>0.57326666666666659</v>
      </c>
      <c r="S20" t="s">
        <v>413</v>
      </c>
    </row>
    <row r="21" spans="8:19" x14ac:dyDescent="0.25">
      <c r="P21">
        <v>2027</v>
      </c>
      <c r="Q21" t="s">
        <v>37</v>
      </c>
      <c r="R21">
        <v>0.33321666666666666</v>
      </c>
      <c r="S21" t="s">
        <v>413</v>
      </c>
    </row>
    <row r="22" spans="8:19" x14ac:dyDescent="0.25">
      <c r="P22">
        <v>2027</v>
      </c>
      <c r="Q22" t="s">
        <v>41</v>
      </c>
      <c r="R22">
        <v>0.5341999999999999</v>
      </c>
      <c r="S22" t="s">
        <v>413</v>
      </c>
    </row>
    <row r="23" spans="8:19" x14ac:dyDescent="0.25">
      <c r="P23">
        <v>2028</v>
      </c>
      <c r="Q23" t="s">
        <v>37</v>
      </c>
      <c r="R23">
        <v>0.28840000000000005</v>
      </c>
      <c r="S23" t="s">
        <v>413</v>
      </c>
    </row>
    <row r="24" spans="8:19" x14ac:dyDescent="0.25">
      <c r="P24">
        <v>2028</v>
      </c>
      <c r="Q24" t="s">
        <v>41</v>
      </c>
      <c r="R24">
        <v>0.51828333333333332</v>
      </c>
      <c r="S24" t="s">
        <v>413</v>
      </c>
    </row>
    <row r="25" spans="8:19" x14ac:dyDescent="0.25">
      <c r="P25">
        <v>2029</v>
      </c>
      <c r="Q25" t="s">
        <v>37</v>
      </c>
      <c r="R25">
        <v>0.27810000000000001</v>
      </c>
      <c r="S25" t="s">
        <v>413</v>
      </c>
    </row>
    <row r="26" spans="8:19" x14ac:dyDescent="0.25">
      <c r="P26">
        <v>2029</v>
      </c>
      <c r="Q26" t="s">
        <v>41</v>
      </c>
      <c r="R26">
        <v>0.48621666666666669</v>
      </c>
      <c r="S26" t="s">
        <v>413</v>
      </c>
    </row>
    <row r="27" spans="8:19" x14ac:dyDescent="0.25">
      <c r="P27">
        <v>2030</v>
      </c>
      <c r="Q27" t="s">
        <v>37</v>
      </c>
      <c r="R27">
        <v>0.29241666666666666</v>
      </c>
      <c r="S27" t="s">
        <v>413</v>
      </c>
    </row>
    <row r="28" spans="8:19" x14ac:dyDescent="0.25">
      <c r="P28">
        <v>2030</v>
      </c>
      <c r="Q28" t="s">
        <v>41</v>
      </c>
      <c r="R28">
        <v>0.49814999999999993</v>
      </c>
      <c r="S28" t="s">
        <v>413</v>
      </c>
    </row>
    <row r="29" spans="8:19" x14ac:dyDescent="0.25">
      <c r="P29">
        <v>2031</v>
      </c>
      <c r="Q29" t="s">
        <v>37</v>
      </c>
      <c r="R29">
        <v>0.29425000000000001</v>
      </c>
      <c r="S29" t="s">
        <v>413</v>
      </c>
    </row>
    <row r="30" spans="8:19" x14ac:dyDescent="0.25">
      <c r="P30">
        <v>2031</v>
      </c>
      <c r="Q30" t="s">
        <v>41</v>
      </c>
      <c r="R30">
        <v>0.49225000000000002</v>
      </c>
      <c r="S30" t="s">
        <v>413</v>
      </c>
    </row>
    <row r="31" spans="8:19" x14ac:dyDescent="0.25">
      <c r="P31">
        <v>2032</v>
      </c>
      <c r="Q31" t="s">
        <v>37</v>
      </c>
      <c r="R31">
        <v>0.28763333333333335</v>
      </c>
      <c r="S31" t="s">
        <v>413</v>
      </c>
    </row>
    <row r="32" spans="8:19" x14ac:dyDescent="0.25">
      <c r="P32">
        <v>2032</v>
      </c>
      <c r="Q32" t="s">
        <v>41</v>
      </c>
      <c r="R32">
        <v>0.48338333333333328</v>
      </c>
      <c r="S32" t="s">
        <v>413</v>
      </c>
    </row>
    <row r="33" spans="16:19" x14ac:dyDescent="0.25">
      <c r="P33">
        <v>2033</v>
      </c>
      <c r="Q33" t="s">
        <v>37</v>
      </c>
      <c r="R33">
        <v>0.29628333333333334</v>
      </c>
      <c r="S33" t="s">
        <v>413</v>
      </c>
    </row>
    <row r="34" spans="16:19" x14ac:dyDescent="0.25">
      <c r="P34">
        <v>2033</v>
      </c>
      <c r="Q34" t="s">
        <v>41</v>
      </c>
      <c r="R34">
        <v>0.5114333333333333</v>
      </c>
      <c r="S34" t="s">
        <v>413</v>
      </c>
    </row>
    <row r="35" spans="16:19" x14ac:dyDescent="0.25">
      <c r="P35">
        <v>2034</v>
      </c>
      <c r="Q35" t="s">
        <v>37</v>
      </c>
      <c r="R35">
        <v>0.29353333333333337</v>
      </c>
      <c r="S35" t="s">
        <v>413</v>
      </c>
    </row>
    <row r="36" spans="16:19" x14ac:dyDescent="0.25">
      <c r="P36">
        <v>2034</v>
      </c>
      <c r="Q36" t="s">
        <v>41</v>
      </c>
      <c r="R36">
        <v>0.49989999999999996</v>
      </c>
      <c r="S36" t="s">
        <v>413</v>
      </c>
    </row>
    <row r="37" spans="16:19" x14ac:dyDescent="0.25">
      <c r="P37">
        <v>2035</v>
      </c>
      <c r="Q37" t="s">
        <v>37</v>
      </c>
      <c r="R37">
        <v>0.28526666666666667</v>
      </c>
      <c r="S37" t="s">
        <v>413</v>
      </c>
    </row>
    <row r="38" spans="16:19" x14ac:dyDescent="0.25">
      <c r="P38">
        <v>2035</v>
      </c>
      <c r="Q38" t="s">
        <v>41</v>
      </c>
      <c r="R38">
        <v>0.49171666666666664</v>
      </c>
      <c r="S38" t="s">
        <v>413</v>
      </c>
    </row>
    <row r="39" spans="16:19" x14ac:dyDescent="0.25">
      <c r="P39">
        <v>2036</v>
      </c>
      <c r="Q39" t="s">
        <v>37</v>
      </c>
      <c r="R39">
        <v>0.27496666666666664</v>
      </c>
      <c r="S39" t="s">
        <v>413</v>
      </c>
    </row>
    <row r="40" spans="16:19" x14ac:dyDescent="0.25">
      <c r="P40">
        <v>2036</v>
      </c>
      <c r="Q40" t="s">
        <v>41</v>
      </c>
      <c r="R40">
        <v>0.49733333333333335</v>
      </c>
      <c r="S40" t="s">
        <v>413</v>
      </c>
    </row>
    <row r="41" spans="16:19" x14ac:dyDescent="0.25">
      <c r="P41">
        <v>2037</v>
      </c>
      <c r="Q41" t="s">
        <v>37</v>
      </c>
      <c r="R41">
        <v>0.29086666666666666</v>
      </c>
      <c r="S41" t="s">
        <v>413</v>
      </c>
    </row>
    <row r="42" spans="16:19" x14ac:dyDescent="0.25">
      <c r="P42">
        <v>2037</v>
      </c>
      <c r="Q42" t="s">
        <v>41</v>
      </c>
      <c r="R42">
        <v>0.49420000000000003</v>
      </c>
      <c r="S42" t="s">
        <v>413</v>
      </c>
    </row>
    <row r="43" spans="16:19" x14ac:dyDescent="0.25">
      <c r="P43">
        <v>2038</v>
      </c>
      <c r="Q43" t="s">
        <v>37</v>
      </c>
      <c r="R43">
        <v>0.29060000000000002</v>
      </c>
      <c r="S43" t="s">
        <v>413</v>
      </c>
    </row>
    <row r="44" spans="16:19" x14ac:dyDescent="0.25">
      <c r="P44">
        <v>2038</v>
      </c>
      <c r="Q44" t="s">
        <v>41</v>
      </c>
      <c r="R44">
        <v>0.53574999999999995</v>
      </c>
      <c r="S44" t="s">
        <v>413</v>
      </c>
    </row>
    <row r="45" spans="16:19" x14ac:dyDescent="0.25">
      <c r="P45">
        <v>2039</v>
      </c>
      <c r="Q45" t="s">
        <v>37</v>
      </c>
      <c r="R45">
        <v>0.2932333333333334</v>
      </c>
      <c r="S45" t="s">
        <v>413</v>
      </c>
    </row>
    <row r="46" spans="16:19" x14ac:dyDescent="0.25">
      <c r="P46">
        <v>2039</v>
      </c>
      <c r="Q46" t="s">
        <v>41</v>
      </c>
      <c r="R46">
        <v>0.47725000000000001</v>
      </c>
      <c r="S46" t="s">
        <v>413</v>
      </c>
    </row>
    <row r="47" spans="16:19" x14ac:dyDescent="0.25">
      <c r="P47">
        <v>2040</v>
      </c>
      <c r="Q47" t="s">
        <v>37</v>
      </c>
      <c r="R47">
        <v>0.2772</v>
      </c>
      <c r="S47" t="s">
        <v>413</v>
      </c>
    </row>
    <row r="48" spans="16:19" x14ac:dyDescent="0.25">
      <c r="P48">
        <v>2040</v>
      </c>
      <c r="Q48" t="s">
        <v>41</v>
      </c>
      <c r="R48">
        <v>0.50746666666666662</v>
      </c>
      <c r="S48" t="s">
        <v>413</v>
      </c>
    </row>
    <row r="49" spans="16:19" x14ac:dyDescent="0.25">
      <c r="P49">
        <v>2041</v>
      </c>
      <c r="Q49" t="s">
        <v>37</v>
      </c>
      <c r="R49">
        <v>0.23878333333333335</v>
      </c>
      <c r="S49" t="s">
        <v>413</v>
      </c>
    </row>
    <row r="50" spans="16:19" x14ac:dyDescent="0.25">
      <c r="P50">
        <v>2041</v>
      </c>
      <c r="Q50" t="s">
        <v>41</v>
      </c>
      <c r="R50">
        <v>0.42483333333333334</v>
      </c>
      <c r="S50" t="s">
        <v>413</v>
      </c>
    </row>
    <row r="51" spans="16:19" x14ac:dyDescent="0.25">
      <c r="P51">
        <v>2042</v>
      </c>
      <c r="Q51" t="s">
        <v>37</v>
      </c>
      <c r="R51">
        <v>0.23616666666666664</v>
      </c>
      <c r="S51" t="s">
        <v>413</v>
      </c>
    </row>
    <row r="52" spans="16:19" x14ac:dyDescent="0.25">
      <c r="P52">
        <v>2042</v>
      </c>
      <c r="Q52" t="s">
        <v>41</v>
      </c>
      <c r="R52">
        <v>0.40984999999999999</v>
      </c>
      <c r="S52" t="s">
        <v>413</v>
      </c>
    </row>
    <row r="53" spans="16:19" x14ac:dyDescent="0.25">
      <c r="P53">
        <v>2043</v>
      </c>
      <c r="Q53" t="s">
        <v>37</v>
      </c>
      <c r="R53">
        <v>0.24790000000000001</v>
      </c>
      <c r="S53" t="s">
        <v>413</v>
      </c>
    </row>
    <row r="54" spans="16:19" x14ac:dyDescent="0.25">
      <c r="P54">
        <v>2043</v>
      </c>
      <c r="Q54" t="s">
        <v>41</v>
      </c>
      <c r="R54">
        <v>0.43111666666666659</v>
      </c>
      <c r="S54" t="s">
        <v>413</v>
      </c>
    </row>
    <row r="55" spans="16:19" x14ac:dyDescent="0.25">
      <c r="P55">
        <v>2044</v>
      </c>
      <c r="Q55" t="s">
        <v>37</v>
      </c>
      <c r="R55">
        <v>0.24703333333333333</v>
      </c>
      <c r="S55" t="s">
        <v>413</v>
      </c>
    </row>
    <row r="56" spans="16:19" x14ac:dyDescent="0.25">
      <c r="P56">
        <v>2044</v>
      </c>
      <c r="Q56" t="s">
        <v>41</v>
      </c>
      <c r="R56">
        <v>0.41776666666666668</v>
      </c>
      <c r="S56" t="s">
        <v>413</v>
      </c>
    </row>
    <row r="57" spans="16:19" x14ac:dyDescent="0.25">
      <c r="P57">
        <v>2045</v>
      </c>
      <c r="Q57" t="s">
        <v>37</v>
      </c>
      <c r="R57">
        <v>0.28704999999999997</v>
      </c>
      <c r="S57" t="s">
        <v>413</v>
      </c>
    </row>
    <row r="58" spans="16:19" x14ac:dyDescent="0.25">
      <c r="P58">
        <v>2045</v>
      </c>
      <c r="Q58" t="s">
        <v>41</v>
      </c>
      <c r="R58">
        <v>0.4977833333333333</v>
      </c>
      <c r="S58" t="s">
        <v>413</v>
      </c>
    </row>
    <row r="59" spans="16:19" x14ac:dyDescent="0.25">
      <c r="P59">
        <v>2046</v>
      </c>
      <c r="Q59" t="s">
        <v>37</v>
      </c>
      <c r="R59">
        <v>0.33666666666666667</v>
      </c>
      <c r="S59" t="s">
        <v>413</v>
      </c>
    </row>
    <row r="60" spans="16:19" x14ac:dyDescent="0.25">
      <c r="P60">
        <v>2046</v>
      </c>
      <c r="Q60" t="s">
        <v>41</v>
      </c>
      <c r="R60">
        <v>0.57271666666666665</v>
      </c>
      <c r="S60" t="s">
        <v>413</v>
      </c>
    </row>
    <row r="61" spans="16:19" x14ac:dyDescent="0.25">
      <c r="P61">
        <v>2047</v>
      </c>
      <c r="Q61" t="s">
        <v>37</v>
      </c>
      <c r="R61">
        <v>0.29496666666666665</v>
      </c>
      <c r="S61" t="s">
        <v>413</v>
      </c>
    </row>
    <row r="62" spans="16:19" x14ac:dyDescent="0.25">
      <c r="P62">
        <v>2047</v>
      </c>
      <c r="Q62" t="s">
        <v>41</v>
      </c>
      <c r="R62">
        <v>0.50286666666666668</v>
      </c>
      <c r="S62" t="s">
        <v>413</v>
      </c>
    </row>
    <row r="63" spans="16:19" x14ac:dyDescent="0.25">
      <c r="P63">
        <v>2048</v>
      </c>
      <c r="Q63" t="s">
        <v>37</v>
      </c>
      <c r="R63">
        <v>0.28906666666666669</v>
      </c>
      <c r="S63" t="s">
        <v>413</v>
      </c>
    </row>
    <row r="64" spans="16:19" x14ac:dyDescent="0.25">
      <c r="P64">
        <v>2048</v>
      </c>
      <c r="Q64" t="s">
        <v>41</v>
      </c>
      <c r="R64">
        <v>0.50609999999999999</v>
      </c>
      <c r="S64" t="s">
        <v>413</v>
      </c>
    </row>
    <row r="65" spans="16:19" x14ac:dyDescent="0.25">
      <c r="P65">
        <v>2049</v>
      </c>
      <c r="Q65" t="s">
        <v>37</v>
      </c>
      <c r="R65">
        <v>0.28531666666666666</v>
      </c>
      <c r="S65" t="s">
        <v>413</v>
      </c>
    </row>
    <row r="66" spans="16:19" x14ac:dyDescent="0.25">
      <c r="P66">
        <v>2049</v>
      </c>
      <c r="Q66" t="s">
        <v>41</v>
      </c>
      <c r="R66">
        <v>0.5074833333333334</v>
      </c>
      <c r="S66" t="s">
        <v>413</v>
      </c>
    </row>
    <row r="67" spans="16:19" x14ac:dyDescent="0.25">
      <c r="P67">
        <v>2050</v>
      </c>
      <c r="Q67" t="s">
        <v>37</v>
      </c>
      <c r="R67">
        <v>0.29196666666666665</v>
      </c>
      <c r="S67" t="s">
        <v>413</v>
      </c>
    </row>
    <row r="68" spans="16:19" x14ac:dyDescent="0.25">
      <c r="P68">
        <v>2050</v>
      </c>
      <c r="Q68" t="s">
        <v>41</v>
      </c>
      <c r="R68">
        <v>0.50366666666666671</v>
      </c>
      <c r="S68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2026-08-25T11:14:33Z</dcterms:modified>
</cp:coreProperties>
</file>