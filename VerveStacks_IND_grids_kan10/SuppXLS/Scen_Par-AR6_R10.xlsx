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3A85491D-413A-46CB-A2B0-D6050C3133F2}" xr6:coauthVersionLast="47" xr6:coauthVersionMax="47" xr10:uidLastSave="{00000000-0000-0000-0000-000000000000}"/>
  <bookViews>
    <workbookView xWindow="1950" yWindow="1950" windowWidth="21600" windowHeight="1129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J50" i="1"/>
  <c r="U24" i="1" l="1"/>
  <c r="U25" i="1"/>
  <c r="P24" i="1"/>
  <c r="P25" i="1"/>
  <c r="T24" i="1"/>
  <c r="R24" i="1"/>
  <c r="R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<sst xmlns="http://schemas.openxmlformats.org/spreadsheetml/2006/main" count="1539" uniqueCount="106">
  <si>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</si>
  <si>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</si>
  <si>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</si>
  <si>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</si>
  <si>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</si>
  <si>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</si>
  <si>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</si>
  <si>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</si>
  <si>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</si>
  <si>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</si>
  <si>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</si>
  <si>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</si>
  <si>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</si>
  <si>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</si>
  <si>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</si>
  <si>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</si>
  <si>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</si>
  <si>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</si>
  <si>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</si>
  <si>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</si>
  <si>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</si>
  <si>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</si>
  <si>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</si>
  <si>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</si>
  <si>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</si>
  <si>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</si>
  <si>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</si>
  <si>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</si>
  <si>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</si>
  <si>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</si>
  <si>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</si>
  <si>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</si>
  <si>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</si>
  <si>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</si>
  <si>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</si>
  <si>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</si>
  <si>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</si>
  <si>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</si>
  <si>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</si>
  <si>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</si>
  <si>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</si>
  <si>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</si>
  <si>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</si>
  <si>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</si>
  <si>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</si>
  <si>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</si>
  <si>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</si>
  <si>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</si>
  <si>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</si>
  <si>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</si>
  <si>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</si>
  <si>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</si>
  <si>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</si>
  <si>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</si>
  <si>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</si>
  <si>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</si>
  <si>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</si>
  <si>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</si>
  <si>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</si>
  <si>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</si>
  <si>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</si>
  <si>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</si>
  <si>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</si>
  <si>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</si>
  <si>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</si>
  <si>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</si>
  <si>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</si>
  <si>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</si>
  <si>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</si>
  <si>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</si>
  <si>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</si>
  <si>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</si>
  <si>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</si>
  <si>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</si>
  <si>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</si>
  <si>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</si>
  <si>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</si>
  <si>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</si>
  <si>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</si>
  <si>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</si>
  <si>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</si>
  <si>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</si>
  <si>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</si>
  <si>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</si>
  <si>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</si>
  <si>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</si>
  <si>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</si>
  <si>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</si>
  <si>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</si>
  <si>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</si>
  <si>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</si>
  <si>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</si>
  <si>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</si>
  <si>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</si>
  <si>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</si>
  <si>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</si>
  <si>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</si>
  <si>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</si>
  <si>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</si>
  <si>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</si>
  <si>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</si>
  <si>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</si>
  <si>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</si>
  <si>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IND</t>
  </si>
  <si>
    <t>R10INDIA+</t>
  </si>
  <si>
    <t>Expensive LNG imports,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</si>
</sst>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1812.0100000000002</c:v>
                </c:pt>
                <c:pt idx="1">
                  <c:v>2265.0125000000003</c:v>
                </c:pt>
                <c:pt idx="2">
                  <c:v>2826.7356000000004</c:v>
                </c:pt>
                <c:pt idx="3">
                  <c:v>3406.5788000000002</c:v>
                </c:pt>
                <c:pt idx="4">
                  <c:v>3950.1818000000007</c:v>
                </c:pt>
                <c:pt idx="5">
                  <c:v>4638.7456000000011</c:v>
                </c:pt>
                <c:pt idx="6">
                  <c:v>5182.3486000000003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5" x14ac:dyDescent="0.25"/>
  <cols>
    <col min="1" max="1" width="6.42578125" bestFit="1" customWidth="1"/>
    <col min="2" max="6" width="10.5703125" customWidth="1"/>
    <col min="7" max="7" width="35.42578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7" x14ac:dyDescent="0.25">
      <c r="G1" s="16" t="s">
        <v>97</v>
      </c>
    </row>
    <row r="2" spans="1:7" x14ac:dyDescent="0.25">
      <c r="D2" s="1" t="str">
        <f>"~Inputcell: "&amp;_xlfn.TEXTJOIN(",",TRUE,B1:DZ1)</f>
        <v>~Inputcell: 1-8</v>
      </c>
    </row>
    <row r="3" spans="1:7" x14ac:dyDescent="0.25">
      <c r="D3" s="9">
        <v>3</v>
      </c>
    </row>
    <row r="5" spans="1:7" x14ac:dyDescent="0.25">
      <c r="D5" s="1" t="str">
        <f>VLOOKUP(D3,$C$9:$E$16,2,FALSE)</f>
        <v>base</v>
      </c>
      <c r="E5" s="1">
        <f>VLOOKUP(D3,$C$9:$E$16,3,FALSE)</f>
        <v>200</v>
      </c>
    </row>
    <row r="7" spans="1:7" x14ac:dyDescent="0.25">
      <c r="B7" s="13" t="s">
        <v>88</v>
      </c>
    </row>
    <row r="8" spans="1:7" ht="15.75" thickBot="1" x14ac:dyDescent="0.3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2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2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2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2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2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2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2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2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25">
      <c r="A17">
        <v>5</v>
      </c>
    </row>
    <row r="24" spans="1:1" ht="14.65" customHeight="1" x14ac:dyDescent="0.25"/>
    <row r="25" spans="1:1" ht="14.65" customHeight="1" x14ac:dyDescent="0.25"/>
    <row r="26" spans="1:1" ht="17.649999999999999" customHeight="1" x14ac:dyDescent="0.25"/>
    <row r="27" spans="1:1" ht="15" customHeight="1" x14ac:dyDescent="0.25"/>
    <row r="28" spans="1:1" ht="14.65" customHeight="1" x14ac:dyDescent="0.25"/>
    <row r="29" spans="1:1" ht="15" customHeight="1" x14ac:dyDescent="0.25"/>
    <row r="30" spans="1:1" ht="14.65" customHeight="1" x14ac:dyDescent="0.2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5" x14ac:dyDescent="0.25"/>
  <cols>
    <col min="1" max="1" width="10.5703125" customWidth="1"/>
    <col min="2" max="2" width="35.42578125" customWidth="1"/>
    <col min="3" max="3" width="9.7109375" bestFit="1" customWidth="1"/>
    <col min="4" max="5" width="5.28515625" bestFit="1" customWidth="1"/>
    <col min="6" max="6" width="7.28515625" bestFit="1" customWidth="1"/>
    <col min="7" max="9" width="5.28515625" bestFit="1" customWidth="1"/>
    <col min="10" max="10" width="6.28515625" bestFit="1" customWidth="1"/>
    <col min="14" max="14" width="14.7109375" bestFit="1" customWidth="1"/>
    <col min="28" max="28" width="2.7109375" bestFit="1" customWidth="1"/>
    <col min="29" max="29" width="9.28515625" bestFit="1" customWidth="1"/>
    <col min="30" max="30" width="6.28515625" bestFit="1" customWidth="1"/>
    <col min="31" max="31" width="2.7109375" bestFit="1" customWidth="1"/>
    <col min="32" max="32" width="3" bestFit="1" customWidth="1"/>
    <col min="33" max="33" width="12.5703125" bestFit="1" customWidth="1"/>
  </cols>
  <sheetData>
    <row r="1" spans="1:34" x14ac:dyDescent="0.25">
      <c r="A1" s="15" t="s">
        <v>103</v>
      </c>
      <c r="B1" s="16"/>
    </row>
    <row r="2" spans="1:34" x14ac:dyDescent="0.2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2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2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25">
      <c r="F5" s="10">
        <v>100</v>
      </c>
      <c r="G5" s="10" t="s">
        <v>7</v>
      </c>
    </row>
    <row r="6" spans="1:34" x14ac:dyDescent="0.25">
      <c r="F6" s="10">
        <v>0</v>
      </c>
      <c r="G6" s="10" t="s">
        <v>9</v>
      </c>
    </row>
    <row r="8" spans="1:34" x14ac:dyDescent="0.25">
      <c r="AH8" s="2" t="s">
        <v>92</v>
      </c>
    </row>
    <row r="9" spans="1:34" x14ac:dyDescent="0.25">
      <c r="N9" t="s">
        <v>4</v>
      </c>
      <c r="AF9" t="s">
        <v>0</v>
      </c>
      <c r="AG9" t="s">
        <v>83</v>
      </c>
      <c r="AH9" s="12">
        <v>5</v>
      </c>
    </row>
    <row r="10" spans="1:34" x14ac:dyDescent="0.25">
      <c r="N10" s="1">
        <v>2022</v>
      </c>
      <c r="AF10" t="s">
        <v>2</v>
      </c>
      <c r="AG10" t="s">
        <v>84</v>
      </c>
      <c r="AH10" s="12">
        <v>4</v>
      </c>
    </row>
    <row r="11" spans="1:34" ht="15.75" thickBot="1" x14ac:dyDescent="0.3">
      <c r="N11" s="17">
        <f>SUMIFS(iea_data!I3:I9999,iea_data!$B$3:$B$9999,$N$10,iea_data!$A$3:A$9999,$A$1)+O30-O31</f>
        <v>1812.0100000000002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3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3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25"/>
    <row r="15" spans="1:34" ht="15.75" thickBot="1" x14ac:dyDescent="0.3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1.25</v>
      </c>
      <c r="F15" s="11">
        <f>SUMIFS(ar6_r10!$F$2:$F$99999,ar6_r10!$A$2:$A$99999,$C$15,ar6_r10!$C$2:$C$99999,F$18,ar6_r10!$M$2:$M$99999,$B15,ar6_r10!$B$2:$B$99999,$A$2)</f>
        <v>1.56</v>
      </c>
      <c r="G15" s="11">
        <f>SUMIFS(ar6_r10!$F$2:$F$99999,ar6_r10!$A$2:$A$99999,$C$15,ar6_r10!$C$2:$C$99999,G$18,ar6_r10!$M$2:$M$99999,$B15,ar6_r10!$B$2:$B$99999,$A$2)</f>
        <v>1.88</v>
      </c>
      <c r="H15" s="11">
        <f>SUMIFS(ar6_r10!$F$2:$F$99999,ar6_r10!$A$2:$A$99999,$C$15,ar6_r10!$C$2:$C$99999,H$18,ar6_r10!$M$2:$M$99999,$B15,ar6_r10!$B$2:$B$99999,$A$2)</f>
        <v>2.1800000000000002</v>
      </c>
      <c r="I15" s="11">
        <f>SUMIFS(ar6_r10!$F$2:$F$99999,ar6_r10!$A$2:$A$99999,$C$15,ar6_r10!$C$2:$C$99999,I$18,ar6_r10!$M$2:$M$99999,$B15,ar6_r10!$B$2:$B$99999,$A$2)</f>
        <v>2.56</v>
      </c>
      <c r="J15" s="11">
        <f>SUMIFS(ar6_r10!$F$2:$F$99999,ar6_r10!$A$2:$A$99999,$C$15,ar6_r10!$C$2:$C$99999,J$18,ar6_r10!$M$2:$M$99999,$B15,ar6_r10!$B$2:$B$99999,$A$2)</f>
        <v>2.86</v>
      </c>
      <c r="O15" s="8">
        <f>N11</f>
        <v>1812.0100000000002</v>
      </c>
      <c r="P15" s="8">
        <f t="shared" ref="P15:U15" si="0">$N$11*E15</f>
        <v>2265.0125000000003</v>
      </c>
      <c r="Q15" s="8">
        <f t="shared" si="0"/>
        <v>2826.7356000000004</v>
      </c>
      <c r="R15" s="8">
        <f t="shared" si="0"/>
        <v>3406.5788000000002</v>
      </c>
      <c r="S15" s="8">
        <f t="shared" si="0"/>
        <v>3950.1818000000007</v>
      </c>
      <c r="T15" s="8">
        <f t="shared" si="0"/>
        <v>4638.7456000000011</v>
      </c>
      <c r="U15" s="8">
        <f t="shared" si="0"/>
        <v>5182.3486000000003</v>
      </c>
    </row>
    <row r="16" spans="1:34" ht="15.75" thickTop="1" x14ac:dyDescent="0.25">
      <c r="B16" t="s">
        <v>93</v>
      </c>
      <c r="D16" s="11">
        <f>SUMIFS(ar6_r10!$F$2:$F$99999,ar6_r10!$A$2:$A$99999,$C$15,ar6_r10!$C$2:$C$99999,D$18,ar6_r10!$M$2:$M$99999,$B16,ar6_r10!$B$2:$B$99999,$A$2)</f>
        <v>0</v>
      </c>
      <c r="E16" s="11">
        <f>SUMIFS(ar6_r10!$F$2:$F$99999,ar6_r10!$A$2:$A$99999,$C$15,ar6_r10!$C$2:$C$99999,E$18,ar6_r10!$M$2:$M$99999,$B16,ar6_r10!$B$2:$B$99999,$A$2)</f>
        <v>0</v>
      </c>
      <c r="F16" s="11">
        <f>SUMIFS(ar6_r10!$F$2:$F$99999,ar6_r10!$A$2:$A$99999,$C$15,ar6_r10!$C$2:$C$99999,F$18,ar6_r10!$M$2:$M$99999,$B16,ar6_r10!$B$2:$B$99999,$A$2)</f>
        <v>0</v>
      </c>
      <c r="G16" s="11">
        <f>SUMIFS(ar6_r10!$F$2:$F$99999,ar6_r10!$A$2:$A$99999,$C$15,ar6_r10!$C$2:$C$99999,G$18,ar6_r10!$M$2:$M$99999,$B16,ar6_r10!$B$2:$B$99999,$A$2)</f>
        <v>0</v>
      </c>
      <c r="H16" s="11">
        <f>SUMIFS(ar6_r10!$F$2:$F$99999,ar6_r10!$A$2:$A$99999,$C$15,ar6_r10!$C$2:$C$99999,H$18,ar6_r10!$M$2:$M$99999,$B16,ar6_r10!$B$2:$B$99999,$A$2)</f>
        <v>0</v>
      </c>
      <c r="I16" s="11">
        <f>SUMIFS(ar6_r10!$F$2:$F$99999,ar6_r10!$A$2:$A$99999,$C$15,ar6_r10!$C$2:$C$99999,I$18,ar6_r10!$M$2:$M$99999,$B16,ar6_r10!$B$2:$B$99999,$A$2)</f>
        <v>0</v>
      </c>
      <c r="J16" s="11">
        <f>SUMIFS(ar6_r10!$F$2:$F$99999,ar6_r10!$A$2:$A$99999,$C$15,ar6_r10!$C$2:$C$99999,J$18,ar6_r10!$M$2:$M$99999,$B16,ar6_r10!$B$2:$B$99999,$A$2)</f>
        <v>0</v>
      </c>
    </row>
    <row r="17" spans="2:24" ht="17.649999999999999" customHeight="1" thickBot="1" x14ac:dyDescent="0.35">
      <c r="N17" s="5" t="str">
        <f>"~TFM_INS-TS: region="&amp;$A$1</f>
        <v>~TFM_INS-TS: region=IND</v>
      </c>
    </row>
    <row r="18" spans="2:24" ht="15" customHeight="1" thickTop="1" thickBot="1" x14ac:dyDescent="0.3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2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0.01</v>
      </c>
      <c r="J19" s="11">
        <f>SUMIFS(ar6_r10!$F$2:$F$99999,ar6_r10!$A$2:$A$99999,$C$15,ar6_r10!$C$2:$C$99999,J$18,ar6_r10!$M$2:$M$99999,$B19,ar6_r10!$B$2:$B$99999,$A$2)</f>
        <v>0.01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46.387456000000014</v>
      </c>
      <c r="U19" s="6">
        <f t="shared" si="2"/>
        <v>51.823486000000003</v>
      </c>
      <c r="V19" t="s">
        <v>16</v>
      </c>
      <c r="X19" s="2"/>
    </row>
    <row r="20" spans="2:24" x14ac:dyDescent="0.25">
      <c r="B20" t="s">
        <v>17</v>
      </c>
      <c r="D20" s="11">
        <f>SUMIFS(ar6_r10!$F$2:$F$99999,ar6_r10!$A$2:$A$99999,$C$15,ar6_r10!$C$2:$C$99999,D$18,ar6_r10!$M$2:$M$99999,$B20,ar6_r10!$B$2:$B$99999,$A$2)</f>
        <v>0.47</v>
      </c>
      <c r="E20" s="11">
        <f>SUMIFS(ar6_r10!$F$2:$F$99999,ar6_r10!$A$2:$A$99999,$C$15,ar6_r10!$C$2:$C$99999,E$18,ar6_r10!$M$2:$M$99999,$B20,ar6_r10!$B$2:$B$99999,$A$2)</f>
        <v>0.46</v>
      </c>
      <c r="F20" s="11">
        <f>SUMIFS(ar6_r10!$F$2:$F$99999,ar6_r10!$A$2:$A$99999,$C$15,ar6_r10!$C$2:$C$99999,F$18,ar6_r10!$M$2:$M$99999,$B20,ar6_r10!$B$2:$B$99999,$A$2)</f>
        <v>0.41</v>
      </c>
      <c r="G20" s="11">
        <f>SUMIFS(ar6_r10!$F$2:$F$99999,ar6_r10!$A$2:$A$99999,$C$15,ar6_r10!$C$2:$C$99999,G$18,ar6_r10!$M$2:$M$99999,$B20,ar6_r10!$B$2:$B$99999,$A$2)</f>
        <v>0.44</v>
      </c>
      <c r="H20" s="11">
        <f>SUMIFS(ar6_r10!$F$2:$F$99999,ar6_r10!$A$2:$A$99999,$C$15,ar6_r10!$C$2:$C$99999,H$18,ar6_r10!$M$2:$M$99999,$B20,ar6_r10!$B$2:$B$99999,$A$2)</f>
        <v>0.42</v>
      </c>
      <c r="I20" s="11">
        <f>SUMIFS(ar6_r10!$F$2:$F$99999,ar6_r10!$A$2:$A$99999,$C$15,ar6_r10!$C$2:$C$99999,I$18,ar6_r10!$M$2:$M$99999,$B20,ar6_r10!$B$2:$B$99999,$A$2)</f>
        <v>0.42</v>
      </c>
      <c r="J20" s="11">
        <f>SUMIFS(ar6_r10!$F$2:$F$99999,ar6_r10!$A$2:$A$99999,$C$15,ar6_r10!$C$2:$C$99999,J$18,ar6_r10!$M$2:$M$99999,$B20,ar6_r10!$B$2:$B$99999,$A$2)</f>
        <v>0.43</v>
      </c>
      <c r="N20" s="10" t="s">
        <v>18</v>
      </c>
      <c r="O20" s="6">
        <f t="shared" si="2"/>
        <v>851.64470000000006</v>
      </c>
      <c r="P20" s="6">
        <f t="shared" si="2"/>
        <v>1041.9057500000001</v>
      </c>
      <c r="Q20" s="6">
        <f t="shared" si="2"/>
        <v>1158.9615960000001</v>
      </c>
      <c r="R20" s="6">
        <f t="shared" si="2"/>
        <v>1498.8946720000001</v>
      </c>
      <c r="S20" s="6">
        <f t="shared" si="2"/>
        <v>1659.0763560000003</v>
      </c>
      <c r="T20" s="6">
        <f t="shared" si="2"/>
        <v>1948.2731520000004</v>
      </c>
      <c r="U20" s="6">
        <f t="shared" si="2"/>
        <v>2228.4098979999999</v>
      </c>
      <c r="V20" t="s">
        <v>16</v>
      </c>
    </row>
    <row r="21" spans="2:24" x14ac:dyDescent="0.25">
      <c r="B21" t="s">
        <v>20</v>
      </c>
      <c r="D21" s="11">
        <f>SUMIFS(ar6_r10!$F$2:$F$99999,ar6_r10!$A$2:$A$99999,$C$15,ar6_r10!$C$2:$C$99999,D$18,ar6_r10!$M$2:$M$99999,$B21,ar6_r10!$B$2:$B$99999,$A$2)</f>
        <v>0.4</v>
      </c>
      <c r="E21" s="11">
        <f>SUMIFS(ar6_r10!$F$2:$F$99999,ar6_r10!$A$2:$A$99999,$C$15,ar6_r10!$C$2:$C$99999,E$18,ar6_r10!$M$2:$M$99999,$B21,ar6_r10!$B$2:$B$99999,$A$2)</f>
        <v>0.46</v>
      </c>
      <c r="F21" s="11">
        <f>SUMIFS(ar6_r10!$F$2:$F$99999,ar6_r10!$A$2:$A$99999,$C$15,ar6_r10!$C$2:$C$99999,F$18,ar6_r10!$M$2:$M$99999,$B21,ar6_r10!$B$2:$B$99999,$A$2)</f>
        <v>0.46</v>
      </c>
      <c r="G21" s="11">
        <f>SUMIFS(ar6_r10!$F$2:$F$99999,ar6_r10!$A$2:$A$99999,$C$15,ar6_r10!$C$2:$C$99999,G$18,ar6_r10!$M$2:$M$99999,$B21,ar6_r10!$B$2:$B$99999,$A$2)</f>
        <v>0.46</v>
      </c>
      <c r="H21" s="11">
        <f>SUMIFS(ar6_r10!$F$2:$F$99999,ar6_r10!$A$2:$A$99999,$C$15,ar6_r10!$C$2:$C$99999,H$18,ar6_r10!$M$2:$M$99999,$B21,ar6_r10!$B$2:$B$99999,$A$2)</f>
        <v>0.48</v>
      </c>
      <c r="I21" s="11">
        <f>SUMIFS(ar6_r10!$F$2:$F$99999,ar6_r10!$A$2:$A$99999,$C$15,ar6_r10!$C$2:$C$99999,I$18,ar6_r10!$M$2:$M$99999,$B21,ar6_r10!$B$2:$B$99999,$A$2)</f>
        <v>0.48</v>
      </c>
      <c r="J21" s="11">
        <f>SUMIFS(ar6_r10!$F$2:$F$99999,ar6_r10!$A$2:$A$99999,$C$15,ar6_r10!$C$2:$C$99999,J$18,ar6_r10!$M$2:$M$99999,$B21,ar6_r10!$B$2:$B$99999,$A$2)</f>
        <v>0.47</v>
      </c>
      <c r="N21" s="10" t="s">
        <v>21</v>
      </c>
      <c r="O21" s="6">
        <f t="shared" si="2"/>
        <v>724.80400000000009</v>
      </c>
      <c r="P21" s="6">
        <f t="shared" si="2"/>
        <v>1041.9057500000001</v>
      </c>
      <c r="Q21" s="6">
        <f t="shared" si="2"/>
        <v>1300.2983760000002</v>
      </c>
      <c r="R21" s="6">
        <f t="shared" si="2"/>
        <v>1567.0262480000001</v>
      </c>
      <c r="S21" s="6">
        <f t="shared" si="2"/>
        <v>1896.0872640000002</v>
      </c>
      <c r="T21" s="6">
        <f t="shared" si="2"/>
        <v>2226.5978880000002</v>
      </c>
      <c r="U21" s="6">
        <f t="shared" si="2"/>
        <v>2435.7038419999999</v>
      </c>
      <c r="V21" t="s">
        <v>16</v>
      </c>
    </row>
    <row r="22" spans="2:24" x14ac:dyDescent="0.2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0.04</v>
      </c>
      <c r="J22" s="11">
        <f>SUMIFS(ar6_r10!$F$2:$F$99999,ar6_r10!$A$2:$A$99999,$C$15,ar6_r10!$C$2:$C$99999,J$18,ar6_r10!$M$2:$M$99999,$B22,ar6_r10!$B$2:$B$99999,$A$2)</f>
        <v>0.05</v>
      </c>
      <c r="N22" s="10" t="s">
        <v>23</v>
      </c>
      <c r="O22" s="6">
        <f>D22*O$15</f>
        <v>36.240200000000009</v>
      </c>
      <c r="P22" s="6">
        <f t="shared" ref="P22:U22" si="3">O22</f>
        <v>36.240200000000009</v>
      </c>
      <c r="Q22" s="6">
        <f t="shared" si="3"/>
        <v>36.240200000000009</v>
      </c>
      <c r="R22" s="6">
        <f t="shared" si="3"/>
        <v>36.240200000000009</v>
      </c>
      <c r="S22" s="6">
        <f t="shared" si="3"/>
        <v>36.240200000000009</v>
      </c>
      <c r="T22" s="6">
        <f t="shared" si="3"/>
        <v>36.240200000000009</v>
      </c>
      <c r="U22" s="6">
        <f t="shared" si="3"/>
        <v>36.240200000000009</v>
      </c>
      <c r="V22" t="s">
        <v>16</v>
      </c>
      <c r="X22" s="2" t="s">
        <v>19</v>
      </c>
    </row>
    <row r="23" spans="2:24" x14ac:dyDescent="0.25">
      <c r="N23" s="10" t="s">
        <v>24</v>
      </c>
      <c r="O23" s="6">
        <f t="shared" ref="O23:U23" si="4">O15-SUM(O20:O22)</f>
        <v>199.32110000000011</v>
      </c>
      <c r="P23" s="6">
        <f t="shared" si="4"/>
        <v>144.96079999999984</v>
      </c>
      <c r="Q23" s="6">
        <f t="shared" si="4"/>
        <v>331.23542799999996</v>
      </c>
      <c r="R23" s="6">
        <f t="shared" si="4"/>
        <v>304.41767999999956</v>
      </c>
      <c r="S23" s="6">
        <f t="shared" si="4"/>
        <v>358.7779800000003</v>
      </c>
      <c r="T23" s="6">
        <f t="shared" si="4"/>
        <v>427.63436000000002</v>
      </c>
      <c r="U23" s="6">
        <f t="shared" si="4"/>
        <v>481.99466000000029</v>
      </c>
      <c r="V23" t="s">
        <v>16</v>
      </c>
    </row>
    <row r="24" spans="2:24" x14ac:dyDescent="0.2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2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3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47.87</v>
      </c>
      <c r="G26" s="8">
        <f>SUMIFS(ar6_r10!$F$2:$F$99999,ar6_r10!$A$2:$A$99999,$C$26,ar6_r10!$C$2:$C$99999,G$18,ar6_r10!$M$2:$M$99999,$B26,ar6_r10!$B$2:$B$99999,$A$2)</f>
        <v>86.21</v>
      </c>
      <c r="H26" s="8">
        <f>SUMIFS(ar6_r10!$F$2:$F$99999,ar6_r10!$A$2:$A$99999,$C$26,ar6_r10!$C$2:$C$99999,H$18,ar6_r10!$M$2:$M$99999,$B26,ar6_r10!$B$2:$B$99999,$A$2)</f>
        <v>123.26</v>
      </c>
      <c r="I26" s="8">
        <f>SUMIFS(ar6_r10!$F$2:$F$99999,ar6_r10!$A$2:$A$99999,$C$26,ar6_r10!$C$2:$C$99999,I$18,ar6_r10!$M$2:$M$99999,$B26,ar6_r10!$B$2:$B$99999,$A$2)</f>
        <v>172.36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4.7869999999999996E-2</v>
      </c>
      <c r="R26" s="23">
        <f>G26/1000</f>
        <v>8.6209999999999995E-2</v>
      </c>
      <c r="S26" s="23">
        <f>H26/1000</f>
        <v>0.12326000000000001</v>
      </c>
      <c r="T26" s="23">
        <f>I26/1000</f>
        <v>0.17236000000000001</v>
      </c>
      <c r="U26" s="23">
        <f>J26/1000</f>
        <v>0.20945</v>
      </c>
      <c r="V26" s="24" t="s">
        <v>27</v>
      </c>
    </row>
    <row r="27" spans="2:24" ht="14.65" customHeight="1" thickTop="1" x14ac:dyDescent="0.25"/>
    <row r="28" spans="2:24" ht="17.649999999999999" customHeight="1" thickBot="1" x14ac:dyDescent="0.35">
      <c r="N28" s="5" t="str">
        <f>"~TFM_INS-TS: region="&amp;$A$1</f>
        <v>~TFM_INS-TS: region=IND</v>
      </c>
    </row>
    <row r="29" spans="2:24" ht="15" customHeight="1" thickTop="1" thickBot="1" x14ac:dyDescent="0.3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3">
      <c r="L30" s="3">
        <f>SUMIFS(iea_data!G3:G9999,iea_data!$B$3:$B$9999,$N$10,iea_data!$A$3:A$9999,$A$1)</f>
        <v>7.64</v>
      </c>
      <c r="N30" t="s">
        <v>30</v>
      </c>
      <c r="O30" s="3">
        <f>L30</f>
        <v>7.64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3">
      <c r="L31" s="3">
        <f>SUMIFS(iea_data!H3:H9999,iea_data!$B$3:$B$9999,$N$10,iea_data!$A$3:A$9999,$A$1)</f>
        <v>13.79</v>
      </c>
      <c r="N31" t="s">
        <v>33</v>
      </c>
      <c r="O31" s="3">
        <f>ABS(L31)</f>
        <v>13.79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25"/>
    <row r="38" spans="2:14" x14ac:dyDescent="0.25">
      <c r="B38" s="2" t="s">
        <v>9</v>
      </c>
    </row>
    <row r="39" spans="2:14" x14ac:dyDescent="0.2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1.1100000000000001</v>
      </c>
      <c r="F39" s="11">
        <f>SUMIFS(ar6_r10!$F$2:$F$99999,ar6_r10!$A$2:$A$99999,$B$38,ar6_r10!$C$2:$C$99999,F$18,ar6_r10!$M$2:$M$99999,$B39,ar6_r10!$B$2:$B$99999,$A$2)</f>
        <v>1.21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1.36</v>
      </c>
      <c r="I39" s="11">
        <f>SUMIFS(ar6_r10!$F$2:$F$99999,ar6_r10!$A$2:$A$99999,$B$38,ar6_r10!$C$2:$C$99999,I$18,ar6_r10!$M$2:$M$99999,$B39,ar6_r10!$B$2:$B$99999,$A$2)</f>
        <v>1.4</v>
      </c>
      <c r="J39" s="11">
        <f>SUMIFS(ar6_r10!$F$2:$F$99999,ar6_r10!$A$2:$A$99999,$B$38,ar6_r10!$C$2:$C$99999,J$18,ar6_r10!$M$2:$M$99999,$B39,ar6_r10!$B$2:$B$99999,$A$2)</f>
        <v>1.44</v>
      </c>
    </row>
    <row r="40" spans="2:14" x14ac:dyDescent="0.2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1.07</v>
      </c>
      <c r="F40" s="11">
        <f>SUMIFS(ar6_r10!$F$2:$F$99999,ar6_r10!$A$2:$A$99999,$B$38,ar6_r10!$C$2:$C$99999,F$18,ar6_r10!$M$2:$M$99999,$B40,ar6_r10!$B$2:$B$99999,$A$2)</f>
        <v>1.17</v>
      </c>
      <c r="G40" s="11">
        <f>SUMIFS(ar6_r10!$F$2:$F$99999,ar6_r10!$A$2:$A$99999,$B$38,ar6_r10!$C$2:$C$99999,G$18,ar6_r10!$M$2:$M$99999,$B40,ar6_r10!$B$2:$B$99999,$A$2)</f>
        <v>1.21</v>
      </c>
      <c r="H40" s="11">
        <f>SUMIFS(ar6_r10!$F$2:$F$99999,ar6_r10!$A$2:$A$99999,$B$38,ar6_r10!$C$2:$C$99999,H$18,ar6_r10!$M$2:$M$99999,$B40,ar6_r10!$B$2:$B$99999,$A$2)</f>
        <v>1.37</v>
      </c>
      <c r="I40" s="11">
        <f>SUMIFS(ar6_r10!$F$2:$F$99999,ar6_r10!$A$2:$A$99999,$B$38,ar6_r10!$C$2:$C$99999,I$18,ar6_r10!$M$2:$M$99999,$B40,ar6_r10!$B$2:$B$99999,$A$2)</f>
        <v>1.33</v>
      </c>
      <c r="J40" s="11">
        <f>SUMIFS(ar6_r10!$F$2:$F$99999,ar6_r10!$A$2:$A$99999,$B$38,ar6_r10!$C$2:$C$99999,J$18,ar6_r10!$M$2:$M$99999,$B40,ar6_r10!$B$2:$B$99999,$A$2)</f>
        <v>1.52</v>
      </c>
    </row>
    <row r="41" spans="2:14" x14ac:dyDescent="0.2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1.43</v>
      </c>
      <c r="F41" s="11">
        <f>SUMIFS(ar6_r10!$F$2:$F$99999,ar6_r10!$A$2:$A$99999,$B$38,ar6_r10!$C$2:$C$99999,F$18,ar6_r10!$M$2:$M$99999,$B41,ar6_r10!$B$2:$B$99999,$A$2)</f>
        <v>1.58</v>
      </c>
      <c r="G41" s="11">
        <f>SUMIFS(ar6_r10!$F$2:$F$99999,ar6_r10!$A$2:$A$99999,$B$38,ar6_r10!$C$2:$C$99999,G$18,ar6_r10!$M$2:$M$99999,$B41,ar6_r10!$B$2:$B$99999,$A$2)</f>
        <v>1.53</v>
      </c>
      <c r="H41" s="11">
        <f>SUMIFS(ar6_r10!$F$2:$F$99999,ar6_r10!$A$2:$A$99999,$B$38,ar6_r10!$C$2:$C$99999,H$18,ar6_r10!$M$2:$M$99999,$B41,ar6_r10!$B$2:$B$99999,$A$2)</f>
        <v>1.74</v>
      </c>
      <c r="I41" s="11">
        <f>SUMIFS(ar6_r10!$F$2:$F$99999,ar6_r10!$A$2:$A$99999,$B$38,ar6_r10!$C$2:$C$99999,I$18,ar6_r10!$M$2:$M$99999,$B41,ar6_r10!$B$2:$B$99999,$A$2)</f>
        <v>1.94</v>
      </c>
      <c r="J41" s="11">
        <f>SUMIFS(ar6_r10!$F$2:$F$99999,ar6_r10!$A$2:$A$99999,$B$38,ar6_r10!$C$2:$C$99999,J$18,ar6_r10!$M$2:$M$99999,$B41,ar6_r10!$B$2:$B$99999,$A$2)</f>
        <v>2.2000000000000002</v>
      </c>
    </row>
    <row r="42" spans="2:14" x14ac:dyDescent="0.2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1.05</v>
      </c>
      <c r="F42" s="11">
        <f>SUMIFS(ar6_r10!$F$2:$F$99999,ar6_r10!$A$2:$A$99999,$B$38,ar6_r10!$C$2:$C$99999,F$18,ar6_r10!$M$2:$M$99999,$B42,ar6_r10!$B$2:$B$99999,$A$2)</f>
        <v>1.06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1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0.93</v>
      </c>
    </row>
    <row r="45" spans="2:14" ht="18" thickBot="1" x14ac:dyDescent="0.35">
      <c r="B45" s="5" t="str">
        <f>"~TFM_INS-TS: region="&amp;$A$1&amp;"; attribute=flo_cost;pset_pn=-IMP*Z"</f>
        <v>~TFM_INS-TS: region=IND; attribute=flo_cost;pset_pn=-IMP*Z</v>
      </c>
    </row>
    <row r="46" spans="2:14" ht="15.75" thickTop="1" x14ac:dyDescent="0.2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25">
      <c r="B47" t="s">
        <v>76</v>
      </c>
      <c r="C47" t="str">
        <f>B47</f>
        <v>Gas</v>
      </c>
      <c r="D47">
        <f t="shared" ref="D47:J50" si="9">AVERAGE($M47:$N47)*D39</f>
        <v>36</v>
      </c>
      <c r="E47">
        <f t="shared" si="9"/>
        <v>39.96</v>
      </c>
      <c r="F47">
        <f t="shared" si="9"/>
        <v>43.56</v>
      </c>
      <c r="G47">
        <f t="shared" si="9"/>
        <v>41.76</v>
      </c>
      <c r="H47">
        <f t="shared" si="9"/>
        <v>48.96</v>
      </c>
      <c r="I47">
        <f t="shared" si="9"/>
        <v>50.4</v>
      </c>
      <c r="J47">
        <f t="shared" si="9"/>
        <v>51.839999999999996</v>
      </c>
      <c r="M47">
        <f>HLOOKUP($B47&amp;"_"&amp;M$46,fuel_prices!$B$10:$I$100,MATCH($A$1,fuel_prices!$A$10:$A$100,0),FALSE)</f>
        <v>30.9</v>
      </c>
      <c r="N47">
        <f>HLOOKUP($B47&amp;"_"&amp;N$46,fuel_prices!$B$10:$I$100,MATCH($A$1,fuel_prices!$A$10:$A$100,0),FALSE)</f>
        <v>41.1</v>
      </c>
    </row>
    <row r="48" spans="2:14" x14ac:dyDescent="0.25">
      <c r="B48" t="s">
        <v>77</v>
      </c>
      <c r="C48" t="str">
        <f t="shared" ref="C48:C50" si="10">B48</f>
        <v>Coal</v>
      </c>
      <c r="D48">
        <f t="shared" si="9"/>
        <v>9.8000000000000007</v>
      </c>
      <c r="E48">
        <f t="shared" si="9"/>
        <v>10.486000000000001</v>
      </c>
      <c r="F48">
        <f t="shared" si="9"/>
        <v>11.465999999999999</v>
      </c>
      <c r="G48">
        <f t="shared" si="9"/>
        <v>11.858000000000001</v>
      </c>
      <c r="H48">
        <f t="shared" si="9"/>
        <v>13.426000000000002</v>
      </c>
      <c r="I48">
        <f t="shared" si="9"/>
        <v>13.034000000000002</v>
      </c>
      <c r="J48">
        <f t="shared" si="9"/>
        <v>14.896000000000001</v>
      </c>
      <c r="M48">
        <f>HLOOKUP($B48&amp;"_"&amp;M$46,fuel_prices!$B$10:$I$100,MATCH($A$1,fuel_prices!$A$10:$A$100,0),FALSE)</f>
        <v>8.6</v>
      </c>
      <c r="N48">
        <f>HLOOKUP($B48&amp;"_"&amp;N$46,fuel_prices!$B$10:$I$100,MATCH($A$1,fuel_prices!$A$10:$A$100,0),FALSE)</f>
        <v>11</v>
      </c>
    </row>
    <row r="49" spans="2:14" x14ac:dyDescent="0.25">
      <c r="B49" t="s">
        <v>78</v>
      </c>
      <c r="C49" t="str">
        <f t="shared" si="10"/>
        <v>Oil</v>
      </c>
      <c r="D49">
        <f t="shared" si="9"/>
        <v>50</v>
      </c>
      <c r="E49">
        <f t="shared" si="9"/>
        <v>71.5</v>
      </c>
      <c r="F49">
        <f t="shared" si="9"/>
        <v>79</v>
      </c>
      <c r="G49">
        <f t="shared" si="9"/>
        <v>76.5</v>
      </c>
      <c r="H49">
        <f t="shared" si="9"/>
        <v>87</v>
      </c>
      <c r="I49">
        <f t="shared" si="9"/>
        <v>97</v>
      </c>
      <c r="J49">
        <f t="shared" si="9"/>
        <v>110.00000000000001</v>
      </c>
      <c r="M49">
        <f>HLOOKUP($B49&amp;"_"&amp;M$46,fuel_prices!$B$10:$I$100,MATCH($A$1,fuel_prices!$A$10:$A$100,0),FALSE)</f>
        <v>45</v>
      </c>
      <c r="N49">
        <f>HLOOKUP($B49&amp;"_"&amp;N$46,fuel_prices!$B$10:$I$100,MATCH($A$1,fuel_prices!$A$10:$A$100,0),FALSE)</f>
        <v>55</v>
      </c>
    </row>
    <row r="50" spans="2:14" x14ac:dyDescent="0.25">
      <c r="B50" t="s">
        <v>79</v>
      </c>
      <c r="C50" t="str">
        <f t="shared" si="10"/>
        <v>Bioenergy</v>
      </c>
      <c r="D50">
        <f t="shared" si="9"/>
        <v>18.5</v>
      </c>
      <c r="J50">
        <f>VLOOKUP($C$15,$AF$9:$AH$16,3,FALSE)*D50</f>
        <v>55.5</v>
      </c>
      <c r="M50">
        <f>HLOOKUP($B50&amp;"_"&amp;M$46,fuel_prices!$B$10:$I$100,MATCH($A$1,fuel_prices!$A$10:$A$100,0),FALSE)</f>
        <v>15</v>
      </c>
      <c r="N50">
        <f>HLOOKUP($B50&amp;"_"&amp;N$46,fuel_prices!$B$10:$I$100,MATCH($A$1,fuel_prices!$A$10:$A$100,0),FALSE)</f>
        <v>22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7109375" bestFit="1" customWidth="1"/>
  </cols>
  <sheetData>
    <row r="1" spans="1:10" ht="22.15" customHeight="1" x14ac:dyDescent="0.25"/>
    <row r="9" spans="1:10" x14ac:dyDescent="0.25">
      <c r="A9" t="s">
        <v>58</v>
      </c>
    </row>
    <row r="10" spans="1:10" x14ac:dyDescent="0.2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25">
      <c r="A11" t="s">
        <v>103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  <col min="10" max="10" width="11.5703125" bestFit="1" customWidth="1"/>
  </cols>
  <sheetData>
    <row r="1" spans="1:13" ht="22.15" customHeight="1" x14ac:dyDescent="0.25"/>
    <row r="9" spans="1:13" x14ac:dyDescent="0.25">
      <c r="A9" t="s">
        <v>56</v>
      </c>
    </row>
    <row r="10" spans="1:13" x14ac:dyDescent="0.2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25">
      <c r="A11" t="s">
        <v>103</v>
      </c>
      <c r="B11">
        <v>2015</v>
      </c>
      <c r="C11">
        <v>680.03</v>
      </c>
      <c r="D11">
        <v>497.88</v>
      </c>
      <c r="E11">
        <v>16.59</v>
      </c>
      <c r="F11">
        <v>0.22</v>
      </c>
      <c r="G11">
        <v>5.24</v>
      </c>
      <c r="H11">
        <v>5.15</v>
      </c>
      <c r="I11">
        <v>1357.62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103</v>
      </c>
      <c r="B12">
        <v>2016</v>
      </c>
      <c r="C12">
        <v>704.65</v>
      </c>
      <c r="D12">
        <v>536.57000000000005</v>
      </c>
      <c r="E12">
        <v>15.68</v>
      </c>
      <c r="F12">
        <v>0.23</v>
      </c>
      <c r="G12">
        <v>5.62</v>
      </c>
      <c r="H12">
        <v>6.71</v>
      </c>
      <c r="I12">
        <v>1432.74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 t="s">
        <v>103</v>
      </c>
      <c r="B13">
        <v>2017</v>
      </c>
      <c r="C13">
        <v>748.88</v>
      </c>
      <c r="D13">
        <v>566.27</v>
      </c>
      <c r="E13">
        <v>17.43</v>
      </c>
      <c r="F13">
        <v>0.27</v>
      </c>
      <c r="G13">
        <v>5.07</v>
      </c>
      <c r="H13">
        <v>7.2</v>
      </c>
      <c r="I13">
        <v>1509.93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 t="s">
        <v>103</v>
      </c>
      <c r="B14">
        <v>2018</v>
      </c>
      <c r="C14">
        <v>831.73</v>
      </c>
      <c r="D14">
        <v>599.55999999999995</v>
      </c>
      <c r="E14">
        <v>18.84</v>
      </c>
      <c r="F14">
        <v>0.32</v>
      </c>
      <c r="G14">
        <v>4.4000000000000004</v>
      </c>
      <c r="H14">
        <v>8.4700000000000006</v>
      </c>
      <c r="I14">
        <v>1608.64</v>
      </c>
      <c r="J14">
        <v>0</v>
      </c>
      <c r="K14">
        <v>0</v>
      </c>
      <c r="L14">
        <v>0</v>
      </c>
      <c r="M14">
        <v>0</v>
      </c>
    </row>
    <row r="15" spans="1:13" x14ac:dyDescent="0.25">
      <c r="A15" t="s">
        <v>103</v>
      </c>
      <c r="B15">
        <v>2019</v>
      </c>
      <c r="C15">
        <v>869.08</v>
      </c>
      <c r="D15">
        <v>625.71</v>
      </c>
      <c r="E15">
        <v>19.149999999999999</v>
      </c>
      <c r="F15">
        <v>0.38</v>
      </c>
      <c r="G15">
        <v>6.35</v>
      </c>
      <c r="H15">
        <v>9.49</v>
      </c>
      <c r="I15">
        <v>1646.41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t="s">
        <v>103</v>
      </c>
      <c r="B16">
        <v>2020</v>
      </c>
      <c r="C16">
        <v>756.88</v>
      </c>
      <c r="D16">
        <v>638.6</v>
      </c>
      <c r="E16">
        <v>14.67</v>
      </c>
      <c r="F16">
        <v>0.46</v>
      </c>
      <c r="G16">
        <v>9.5500000000000007</v>
      </c>
      <c r="H16">
        <v>9.57</v>
      </c>
      <c r="I16">
        <v>1536.67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103</v>
      </c>
      <c r="B17">
        <v>2021</v>
      </c>
      <c r="C17">
        <v>787.59</v>
      </c>
      <c r="D17">
        <v>664.7</v>
      </c>
      <c r="E17">
        <v>21.94</v>
      </c>
      <c r="F17">
        <v>0.66</v>
      </c>
      <c r="G17">
        <v>7.97</v>
      </c>
      <c r="H17">
        <v>9.25</v>
      </c>
      <c r="I17">
        <v>1636.57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103</v>
      </c>
      <c r="B18">
        <v>2022</v>
      </c>
      <c r="C18">
        <v>898.12</v>
      </c>
      <c r="D18">
        <v>713.08</v>
      </c>
      <c r="E18">
        <v>30.03</v>
      </c>
      <c r="F18">
        <v>1.1599999999999999</v>
      </c>
      <c r="G18">
        <v>7.64</v>
      </c>
      <c r="H18">
        <v>13.79</v>
      </c>
      <c r="I18">
        <v>1818.16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103</v>
      </c>
      <c r="B19">
        <v>2023</v>
      </c>
      <c r="C19">
        <v>965.01</v>
      </c>
      <c r="D19">
        <v>771.31</v>
      </c>
      <c r="E19">
        <v>33.92</v>
      </c>
      <c r="F19">
        <v>1.85</v>
      </c>
      <c r="G19">
        <v>6.65</v>
      </c>
      <c r="H19">
        <v>11.36</v>
      </c>
      <c r="I19">
        <v>1961.48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103</v>
      </c>
      <c r="B20">
        <v>2024</v>
      </c>
      <c r="C20">
        <v>1049.42</v>
      </c>
      <c r="D20">
        <v>801.69</v>
      </c>
      <c r="E20">
        <v>34.5</v>
      </c>
      <c r="F20">
        <v>2.2599999999999998</v>
      </c>
      <c r="G20">
        <v>7.46</v>
      </c>
      <c r="H20">
        <v>10.62</v>
      </c>
      <c r="I20">
        <v>2079.7199999999998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activeCell="A14" sqref="A14"/>
    </sheetView>
  </sheetViews>
  <sheetFormatPr defaultRowHeight="15" x14ac:dyDescent="0.25"/>
  <cols>
    <col min="1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57</v>
      </c>
    </row>
    <row r="10" spans="1:13" x14ac:dyDescent="0.2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25">
      <c r="A11" t="s">
        <v>0</v>
      </c>
      <c r="B11" t="s">
        <v>104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25">
      <c r="A12" t="s">
        <v>0</v>
      </c>
      <c r="B12" t="s">
        <v>104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25</v>
      </c>
    </row>
    <row r="13" spans="1:13" x14ac:dyDescent="0.25">
      <c r="A13" t="s">
        <v>0</v>
      </c>
      <c r="B13" t="s">
        <v>104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25</v>
      </c>
    </row>
    <row r="14" spans="1:13" x14ac:dyDescent="0.25">
      <c r="A14" t="s">
        <v>0</v>
      </c>
      <c r="B14" t="s">
        <v>104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25</v>
      </c>
    </row>
    <row r="15" spans="1:13" x14ac:dyDescent="0.25">
      <c r="A15" t="s">
        <v>0</v>
      </c>
      <c r="B15" t="s">
        <v>104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25</v>
      </c>
    </row>
    <row r="16" spans="1:13" x14ac:dyDescent="0.25">
      <c r="A16" t="s">
        <v>0</v>
      </c>
      <c r="B16" t="s">
        <v>104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25</v>
      </c>
    </row>
    <row r="17" spans="1:13" x14ac:dyDescent="0.25">
      <c r="A17" t="s">
        <v>0</v>
      </c>
      <c r="B17" t="s">
        <v>104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25</v>
      </c>
    </row>
    <row r="18" spans="1:13" x14ac:dyDescent="0.25">
      <c r="A18" t="s">
        <v>2</v>
      </c>
      <c r="B18" t="s">
        <v>104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25">
      <c r="A19" t="s">
        <v>2</v>
      </c>
      <c r="B19" t="s">
        <v>104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25</v>
      </c>
    </row>
    <row r="20" spans="1:13" x14ac:dyDescent="0.25">
      <c r="A20" t="s">
        <v>2</v>
      </c>
      <c r="B20" t="s">
        <v>104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25</v>
      </c>
    </row>
    <row r="21" spans="1:13" x14ac:dyDescent="0.25">
      <c r="A21" t="s">
        <v>2</v>
      </c>
      <c r="B21" t="s">
        <v>104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25</v>
      </c>
    </row>
    <row r="22" spans="1:13" x14ac:dyDescent="0.25">
      <c r="A22" t="s">
        <v>2</v>
      </c>
      <c r="B22" t="s">
        <v>104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25</v>
      </c>
    </row>
    <row r="23" spans="1:13" x14ac:dyDescent="0.25">
      <c r="A23" t="s">
        <v>2</v>
      </c>
      <c r="B23" t="s">
        <v>104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25</v>
      </c>
    </row>
    <row r="24" spans="1:13" x14ac:dyDescent="0.25">
      <c r="A24" t="s">
        <v>2</v>
      </c>
      <c r="B24" t="s">
        <v>104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25">
      <c r="A25" t="s">
        <v>5</v>
      </c>
      <c r="B25" t="s">
        <v>104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25">
      <c r="A26" t="s">
        <v>5</v>
      </c>
      <c r="B26" t="s">
        <v>104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25</v>
      </c>
    </row>
    <row r="27" spans="1:13" x14ac:dyDescent="0.25">
      <c r="A27" t="s">
        <v>5</v>
      </c>
      <c r="B27" t="s">
        <v>104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25</v>
      </c>
    </row>
    <row r="28" spans="1:13" x14ac:dyDescent="0.25">
      <c r="A28" t="s">
        <v>5</v>
      </c>
      <c r="B28" t="s">
        <v>104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25</v>
      </c>
    </row>
    <row r="29" spans="1:13" x14ac:dyDescent="0.25">
      <c r="A29" t="s">
        <v>5</v>
      </c>
      <c r="B29" t="s">
        <v>104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25</v>
      </c>
    </row>
    <row r="30" spans="1:13" x14ac:dyDescent="0.25">
      <c r="A30" t="s">
        <v>5</v>
      </c>
      <c r="B30" t="s">
        <v>104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25</v>
      </c>
    </row>
    <row r="31" spans="1:13" x14ac:dyDescent="0.25">
      <c r="A31" t="s">
        <v>5</v>
      </c>
      <c r="B31" t="s">
        <v>104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25">
      <c r="A32" t="s">
        <v>7</v>
      </c>
      <c r="B32" t="s">
        <v>104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25</v>
      </c>
    </row>
    <row r="33" spans="1:13" x14ac:dyDescent="0.25">
      <c r="A33" t="s">
        <v>7</v>
      </c>
      <c r="B33" t="s">
        <v>104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25</v>
      </c>
    </row>
    <row r="34" spans="1:13" x14ac:dyDescent="0.25">
      <c r="A34" t="s">
        <v>7</v>
      </c>
      <c r="B34" t="s">
        <v>104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25</v>
      </c>
    </row>
    <row r="35" spans="1:13" x14ac:dyDescent="0.25">
      <c r="A35" t="s">
        <v>7</v>
      </c>
      <c r="B35" t="s">
        <v>104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25">
      <c r="A36" t="s">
        <v>7</v>
      </c>
      <c r="B36" t="s">
        <v>104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25</v>
      </c>
    </row>
    <row r="37" spans="1:13" x14ac:dyDescent="0.25">
      <c r="A37" t="s">
        <v>7</v>
      </c>
      <c r="B37" t="s">
        <v>104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25">
      <c r="A38" t="s">
        <v>7</v>
      </c>
      <c r="B38" t="s">
        <v>104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25</v>
      </c>
    </row>
    <row r="39" spans="1:13" x14ac:dyDescent="0.25">
      <c r="A39" t="s">
        <v>9</v>
      </c>
      <c r="B39" t="s">
        <v>104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25">
      <c r="A40" t="s">
        <v>9</v>
      </c>
      <c r="B40" t="s">
        <v>104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25</v>
      </c>
    </row>
    <row r="41" spans="1:13" x14ac:dyDescent="0.25">
      <c r="A41" t="s">
        <v>9</v>
      </c>
      <c r="B41" t="s">
        <v>104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25</v>
      </c>
    </row>
    <row r="42" spans="1:13" x14ac:dyDescent="0.25">
      <c r="A42" t="s">
        <v>9</v>
      </c>
      <c r="B42" t="s">
        <v>104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25">
      <c r="A43" t="s">
        <v>9</v>
      </c>
      <c r="B43" t="s">
        <v>104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25</v>
      </c>
    </row>
    <row r="44" spans="1:13" x14ac:dyDescent="0.25">
      <c r="A44" t="s">
        <v>9</v>
      </c>
      <c r="B44" t="s">
        <v>104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25</v>
      </c>
    </row>
    <row r="45" spans="1:13" x14ac:dyDescent="0.25">
      <c r="A45" t="s">
        <v>9</v>
      </c>
      <c r="B45" t="s">
        <v>104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25</v>
      </c>
    </row>
    <row r="46" spans="1:13" x14ac:dyDescent="0.2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104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25">
      <c r="A48" t="s">
        <v>0</v>
      </c>
      <c r="B48" t="s">
        <v>104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25">
      <c r="A49" t="s">
        <v>0</v>
      </c>
      <c r="B49" t="s">
        <v>104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25">
      <c r="A50" t="s">
        <v>0</v>
      </c>
      <c r="B50" t="s">
        <v>104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25">
      <c r="A51" t="s">
        <v>0</v>
      </c>
      <c r="B51" t="s">
        <v>104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25">
      <c r="A52" t="s">
        <v>0</v>
      </c>
      <c r="B52" t="s">
        <v>104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25">
      <c r="A53" t="s">
        <v>2</v>
      </c>
      <c r="B53" t="s">
        <v>104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104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25">
      <c r="A55" t="s">
        <v>2</v>
      </c>
      <c r="B55" t="s">
        <v>104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25">
      <c r="A56" t="s">
        <v>2</v>
      </c>
      <c r="B56" t="s">
        <v>104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25">
      <c r="A57" t="s">
        <v>2</v>
      </c>
      <c r="B57" t="s">
        <v>104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25">
      <c r="A58" t="s">
        <v>2</v>
      </c>
      <c r="B58" t="s">
        <v>104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25">
      <c r="A59" t="s">
        <v>2</v>
      </c>
      <c r="B59" t="s">
        <v>104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25">
      <c r="A60" t="s">
        <v>5</v>
      </c>
      <c r="B60" t="s">
        <v>104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104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25">
      <c r="A62" t="s">
        <v>5</v>
      </c>
      <c r="B62" t="s">
        <v>104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25">
      <c r="A63" t="s">
        <v>5</v>
      </c>
      <c r="B63" t="s">
        <v>104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25">
      <c r="A64" t="s">
        <v>5</v>
      </c>
      <c r="B64" t="s">
        <v>104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25">
      <c r="A65" t="s">
        <v>5</v>
      </c>
      <c r="B65" t="s">
        <v>104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25">
      <c r="A66" t="s">
        <v>5</v>
      </c>
      <c r="B66" t="s">
        <v>104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25">
      <c r="A67" t="s">
        <v>7</v>
      </c>
      <c r="B67" t="s">
        <v>104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104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25">
      <c r="A69" t="s">
        <v>7</v>
      </c>
      <c r="B69" t="s">
        <v>104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25">
      <c r="A70" t="s">
        <v>7</v>
      </c>
      <c r="B70" t="s">
        <v>104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25">
      <c r="A71" t="s">
        <v>7</v>
      </c>
      <c r="B71" t="s">
        <v>104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25">
      <c r="A72" t="s">
        <v>7</v>
      </c>
      <c r="B72" t="s">
        <v>104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25">
      <c r="A73" t="s">
        <v>7</v>
      </c>
      <c r="B73" t="s">
        <v>104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25">
      <c r="A74" t="s">
        <v>9</v>
      </c>
      <c r="B74" t="s">
        <v>104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104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25">
      <c r="A76" t="s">
        <v>9</v>
      </c>
      <c r="B76" t="s">
        <v>104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25">
      <c r="A77" t="s">
        <v>9</v>
      </c>
      <c r="B77" t="s">
        <v>104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25">
      <c r="A78" t="s">
        <v>9</v>
      </c>
      <c r="B78" t="s">
        <v>104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25">
      <c r="A79" t="s">
        <v>9</v>
      </c>
      <c r="B79" t="s">
        <v>104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25">
      <c r="A80" t="s">
        <v>9</v>
      </c>
      <c r="B80" t="s">
        <v>104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25">
      <c r="A81" t="s">
        <v>0</v>
      </c>
      <c r="B81" t="s">
        <v>104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14</v>
      </c>
    </row>
    <row r="82" spans="1:13" x14ac:dyDescent="0.25">
      <c r="A82" t="s">
        <v>0</v>
      </c>
      <c r="B82" t="s">
        <v>104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14</v>
      </c>
    </row>
    <row r="83" spans="1:13" x14ac:dyDescent="0.25">
      <c r="A83" t="s">
        <v>0</v>
      </c>
      <c r="B83" t="s">
        <v>104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14</v>
      </c>
    </row>
    <row r="84" spans="1:13" x14ac:dyDescent="0.25">
      <c r="A84" t="s">
        <v>0</v>
      </c>
      <c r="B84" t="s">
        <v>104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14</v>
      </c>
    </row>
    <row r="85" spans="1:13" x14ac:dyDescent="0.25">
      <c r="A85" t="s">
        <v>0</v>
      </c>
      <c r="B85" t="s">
        <v>104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14</v>
      </c>
    </row>
    <row r="86" spans="1:13" x14ac:dyDescent="0.25">
      <c r="A86" t="s">
        <v>0</v>
      </c>
      <c r="B86" t="s">
        <v>104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14</v>
      </c>
    </row>
    <row r="87" spans="1:13" x14ac:dyDescent="0.25">
      <c r="A87" t="s">
        <v>0</v>
      </c>
      <c r="B87" t="s">
        <v>104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14</v>
      </c>
    </row>
    <row r="88" spans="1:13" x14ac:dyDescent="0.25">
      <c r="A88" t="s">
        <v>2</v>
      </c>
      <c r="B88" t="s">
        <v>104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14</v>
      </c>
    </row>
    <row r="89" spans="1:13" x14ac:dyDescent="0.25">
      <c r="A89" t="s">
        <v>2</v>
      </c>
      <c r="B89" t="s">
        <v>104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14</v>
      </c>
    </row>
    <row r="90" spans="1:13" x14ac:dyDescent="0.25">
      <c r="A90" t="s">
        <v>2</v>
      </c>
      <c r="B90" t="s">
        <v>104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14</v>
      </c>
    </row>
    <row r="91" spans="1:13" x14ac:dyDescent="0.25">
      <c r="A91" t="s">
        <v>2</v>
      </c>
      <c r="B91" t="s">
        <v>104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14</v>
      </c>
    </row>
    <row r="92" spans="1:13" x14ac:dyDescent="0.25">
      <c r="A92" t="s">
        <v>2</v>
      </c>
      <c r="B92" t="s">
        <v>104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14</v>
      </c>
    </row>
    <row r="93" spans="1:13" x14ac:dyDescent="0.25">
      <c r="A93" t="s">
        <v>2</v>
      </c>
      <c r="B93" t="s">
        <v>104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14</v>
      </c>
    </row>
    <row r="94" spans="1:13" x14ac:dyDescent="0.25">
      <c r="A94" t="s">
        <v>2</v>
      </c>
      <c r="B94" t="s">
        <v>104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14</v>
      </c>
    </row>
    <row r="95" spans="1:13" x14ac:dyDescent="0.25">
      <c r="A95" t="s">
        <v>5</v>
      </c>
      <c r="B95" t="s">
        <v>104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14</v>
      </c>
    </row>
    <row r="96" spans="1:13" x14ac:dyDescent="0.25">
      <c r="A96" t="s">
        <v>5</v>
      </c>
      <c r="B96" t="s">
        <v>104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14</v>
      </c>
    </row>
    <row r="97" spans="1:13" x14ac:dyDescent="0.25">
      <c r="A97" t="s">
        <v>5</v>
      </c>
      <c r="B97" t="s">
        <v>104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14</v>
      </c>
    </row>
    <row r="98" spans="1:13" x14ac:dyDescent="0.25">
      <c r="A98" t="s">
        <v>5</v>
      </c>
      <c r="B98" t="s">
        <v>104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14</v>
      </c>
    </row>
    <row r="99" spans="1:13" x14ac:dyDescent="0.25">
      <c r="A99" t="s">
        <v>5</v>
      </c>
      <c r="B99" t="s">
        <v>104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14</v>
      </c>
    </row>
    <row r="100" spans="1:13" x14ac:dyDescent="0.25">
      <c r="A100" t="s">
        <v>5</v>
      </c>
      <c r="B100" t="s">
        <v>104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14</v>
      </c>
    </row>
    <row r="101" spans="1:13" x14ac:dyDescent="0.25">
      <c r="A101" t="s">
        <v>5</v>
      </c>
      <c r="B101" t="s">
        <v>104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14</v>
      </c>
    </row>
    <row r="102" spans="1:13" x14ac:dyDescent="0.25">
      <c r="A102" t="s">
        <v>7</v>
      </c>
      <c r="B102" t="s">
        <v>104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14</v>
      </c>
    </row>
    <row r="103" spans="1:13" x14ac:dyDescent="0.25">
      <c r="A103" t="s">
        <v>7</v>
      </c>
      <c r="B103" t="s">
        <v>104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14</v>
      </c>
    </row>
    <row r="104" spans="1:13" x14ac:dyDescent="0.25">
      <c r="A104" t="s">
        <v>7</v>
      </c>
      <c r="B104" t="s">
        <v>104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14</v>
      </c>
    </row>
    <row r="105" spans="1:13" x14ac:dyDescent="0.25">
      <c r="A105" t="s">
        <v>7</v>
      </c>
      <c r="B105" t="s">
        <v>104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14</v>
      </c>
    </row>
    <row r="106" spans="1:13" x14ac:dyDescent="0.25">
      <c r="A106" t="s">
        <v>7</v>
      </c>
      <c r="B106" t="s">
        <v>104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14</v>
      </c>
    </row>
    <row r="107" spans="1:13" x14ac:dyDescent="0.25">
      <c r="A107" t="s">
        <v>7</v>
      </c>
      <c r="B107" t="s">
        <v>104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14</v>
      </c>
    </row>
    <row r="108" spans="1:13" x14ac:dyDescent="0.25">
      <c r="A108" t="s">
        <v>7</v>
      </c>
      <c r="B108" t="s">
        <v>104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14</v>
      </c>
    </row>
    <row r="109" spans="1:13" x14ac:dyDescent="0.25">
      <c r="A109" t="s">
        <v>9</v>
      </c>
      <c r="B109" t="s">
        <v>104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14</v>
      </c>
    </row>
    <row r="110" spans="1:13" x14ac:dyDescent="0.25">
      <c r="A110" t="s">
        <v>9</v>
      </c>
      <c r="B110" t="s">
        <v>104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14</v>
      </c>
    </row>
    <row r="111" spans="1:13" x14ac:dyDescent="0.25">
      <c r="A111" t="s">
        <v>9</v>
      </c>
      <c r="B111" t="s">
        <v>104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14</v>
      </c>
    </row>
    <row r="112" spans="1:13" x14ac:dyDescent="0.25">
      <c r="A112" t="s">
        <v>9</v>
      </c>
      <c r="B112" t="s">
        <v>104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14</v>
      </c>
    </row>
    <row r="113" spans="1:13" x14ac:dyDescent="0.25">
      <c r="A113" t="s">
        <v>9</v>
      </c>
      <c r="B113" t="s">
        <v>104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14</v>
      </c>
    </row>
    <row r="114" spans="1:13" x14ac:dyDescent="0.25">
      <c r="A114" t="s">
        <v>9</v>
      </c>
      <c r="B114" t="s">
        <v>104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14</v>
      </c>
    </row>
    <row r="115" spans="1:13" x14ac:dyDescent="0.25">
      <c r="A115" t="s">
        <v>9</v>
      </c>
      <c r="B115" t="s">
        <v>104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14</v>
      </c>
    </row>
    <row r="116" spans="1:13" x14ac:dyDescent="0.25">
      <c r="A116" t="s">
        <v>0</v>
      </c>
      <c r="B116" t="s">
        <v>104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17</v>
      </c>
    </row>
    <row r="117" spans="1:13" x14ac:dyDescent="0.25">
      <c r="A117" t="s">
        <v>0</v>
      </c>
      <c r="B117" t="s">
        <v>104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17</v>
      </c>
    </row>
    <row r="118" spans="1:13" x14ac:dyDescent="0.25">
      <c r="A118" t="s">
        <v>0</v>
      </c>
      <c r="B118" t="s">
        <v>104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17</v>
      </c>
    </row>
    <row r="119" spans="1:13" x14ac:dyDescent="0.25">
      <c r="A119" t="s">
        <v>0</v>
      </c>
      <c r="B119" t="s">
        <v>104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17</v>
      </c>
    </row>
    <row r="120" spans="1:13" x14ac:dyDescent="0.25">
      <c r="A120" t="s">
        <v>0</v>
      </c>
      <c r="B120" t="s">
        <v>104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17</v>
      </c>
    </row>
    <row r="121" spans="1:13" x14ac:dyDescent="0.25">
      <c r="A121" t="s">
        <v>0</v>
      </c>
      <c r="B121" t="s">
        <v>104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17</v>
      </c>
    </row>
    <row r="122" spans="1:13" x14ac:dyDescent="0.25">
      <c r="A122" t="s">
        <v>0</v>
      </c>
      <c r="B122" t="s">
        <v>104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17</v>
      </c>
    </row>
    <row r="123" spans="1:13" x14ac:dyDescent="0.25">
      <c r="A123" t="s">
        <v>2</v>
      </c>
      <c r="B123" t="s">
        <v>104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17</v>
      </c>
    </row>
    <row r="124" spans="1:13" x14ac:dyDescent="0.25">
      <c r="A124" t="s">
        <v>2</v>
      </c>
      <c r="B124" t="s">
        <v>104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17</v>
      </c>
    </row>
    <row r="125" spans="1:13" x14ac:dyDescent="0.25">
      <c r="A125" t="s">
        <v>2</v>
      </c>
      <c r="B125" t="s">
        <v>104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17</v>
      </c>
    </row>
    <row r="126" spans="1:13" x14ac:dyDescent="0.25">
      <c r="A126" t="s">
        <v>2</v>
      </c>
      <c r="B126" t="s">
        <v>104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17</v>
      </c>
    </row>
    <row r="127" spans="1:13" x14ac:dyDescent="0.25">
      <c r="A127" t="s">
        <v>2</v>
      </c>
      <c r="B127" t="s">
        <v>104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17</v>
      </c>
    </row>
    <row r="128" spans="1:13" x14ac:dyDescent="0.25">
      <c r="A128" t="s">
        <v>2</v>
      </c>
      <c r="B128" t="s">
        <v>104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17</v>
      </c>
    </row>
    <row r="129" spans="1:13" x14ac:dyDescent="0.25">
      <c r="A129" t="s">
        <v>2</v>
      </c>
      <c r="B129" t="s">
        <v>104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17</v>
      </c>
    </row>
    <row r="130" spans="1:13" x14ac:dyDescent="0.25">
      <c r="A130" t="s">
        <v>5</v>
      </c>
      <c r="B130" t="s">
        <v>104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17</v>
      </c>
    </row>
    <row r="131" spans="1:13" x14ac:dyDescent="0.25">
      <c r="A131" t="s">
        <v>5</v>
      </c>
      <c r="B131" t="s">
        <v>104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17</v>
      </c>
    </row>
    <row r="132" spans="1:13" x14ac:dyDescent="0.25">
      <c r="A132" t="s">
        <v>5</v>
      </c>
      <c r="B132" t="s">
        <v>104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17</v>
      </c>
    </row>
    <row r="133" spans="1:13" x14ac:dyDescent="0.25">
      <c r="A133" t="s">
        <v>5</v>
      </c>
      <c r="B133" t="s">
        <v>104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17</v>
      </c>
    </row>
    <row r="134" spans="1:13" x14ac:dyDescent="0.25">
      <c r="A134" t="s">
        <v>5</v>
      </c>
      <c r="B134" t="s">
        <v>104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17</v>
      </c>
    </row>
    <row r="135" spans="1:13" x14ac:dyDescent="0.25">
      <c r="A135" t="s">
        <v>5</v>
      </c>
      <c r="B135" t="s">
        <v>104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17</v>
      </c>
    </row>
    <row r="136" spans="1:13" x14ac:dyDescent="0.25">
      <c r="A136" t="s">
        <v>5</v>
      </c>
      <c r="B136" t="s">
        <v>104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17</v>
      </c>
    </row>
    <row r="137" spans="1:13" x14ac:dyDescent="0.25">
      <c r="A137" t="s">
        <v>7</v>
      </c>
      <c r="B137" t="s">
        <v>104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17</v>
      </c>
    </row>
    <row r="138" spans="1:13" x14ac:dyDescent="0.25">
      <c r="A138" t="s">
        <v>7</v>
      </c>
      <c r="B138" t="s">
        <v>104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17</v>
      </c>
    </row>
    <row r="139" spans="1:13" x14ac:dyDescent="0.25">
      <c r="A139" t="s">
        <v>7</v>
      </c>
      <c r="B139" t="s">
        <v>104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17</v>
      </c>
    </row>
    <row r="140" spans="1:13" x14ac:dyDescent="0.25">
      <c r="A140" t="s">
        <v>7</v>
      </c>
      <c r="B140" t="s">
        <v>104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17</v>
      </c>
    </row>
    <row r="141" spans="1:13" x14ac:dyDescent="0.25">
      <c r="A141" t="s">
        <v>7</v>
      </c>
      <c r="B141" t="s">
        <v>104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17</v>
      </c>
    </row>
    <row r="142" spans="1:13" x14ac:dyDescent="0.25">
      <c r="A142" t="s">
        <v>7</v>
      </c>
      <c r="B142" t="s">
        <v>104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17</v>
      </c>
    </row>
    <row r="143" spans="1:13" x14ac:dyDescent="0.25">
      <c r="A143" t="s">
        <v>7</v>
      </c>
      <c r="B143" t="s">
        <v>104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17</v>
      </c>
    </row>
    <row r="144" spans="1:13" x14ac:dyDescent="0.25">
      <c r="A144" t="s">
        <v>9</v>
      </c>
      <c r="B144" t="s">
        <v>104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17</v>
      </c>
    </row>
    <row r="145" spans="1:13" x14ac:dyDescent="0.25">
      <c r="A145" t="s">
        <v>9</v>
      </c>
      <c r="B145" t="s">
        <v>104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17</v>
      </c>
    </row>
    <row r="146" spans="1:13" x14ac:dyDescent="0.25">
      <c r="A146" t="s">
        <v>9</v>
      </c>
      <c r="B146" t="s">
        <v>104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17</v>
      </c>
    </row>
    <row r="147" spans="1:13" x14ac:dyDescent="0.25">
      <c r="A147" t="s">
        <v>9</v>
      </c>
      <c r="B147" t="s">
        <v>104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17</v>
      </c>
    </row>
    <row r="148" spans="1:13" x14ac:dyDescent="0.25">
      <c r="A148" t="s">
        <v>9</v>
      </c>
      <c r="B148" t="s">
        <v>104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17</v>
      </c>
    </row>
    <row r="149" spans="1:13" x14ac:dyDescent="0.25">
      <c r="A149" t="s">
        <v>9</v>
      </c>
      <c r="B149" t="s">
        <v>104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17</v>
      </c>
    </row>
    <row r="150" spans="1:13" x14ac:dyDescent="0.25">
      <c r="A150" t="s">
        <v>9</v>
      </c>
      <c r="B150" t="s">
        <v>104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17</v>
      </c>
    </row>
    <row r="151" spans="1:13" x14ac:dyDescent="0.25">
      <c r="A151" t="s">
        <v>0</v>
      </c>
      <c r="B151" t="s">
        <v>104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20</v>
      </c>
    </row>
    <row r="152" spans="1:13" x14ac:dyDescent="0.25">
      <c r="A152" t="s">
        <v>0</v>
      </c>
      <c r="B152" t="s">
        <v>104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20</v>
      </c>
    </row>
    <row r="153" spans="1:13" x14ac:dyDescent="0.25">
      <c r="A153" t="s">
        <v>0</v>
      </c>
      <c r="B153" t="s">
        <v>104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20</v>
      </c>
    </row>
    <row r="154" spans="1:13" x14ac:dyDescent="0.25">
      <c r="A154" t="s">
        <v>0</v>
      </c>
      <c r="B154" t="s">
        <v>104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20</v>
      </c>
    </row>
    <row r="155" spans="1:13" x14ac:dyDescent="0.25">
      <c r="A155" t="s">
        <v>0</v>
      </c>
      <c r="B155" t="s">
        <v>104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20</v>
      </c>
    </row>
    <row r="156" spans="1:13" x14ac:dyDescent="0.25">
      <c r="A156" t="s">
        <v>0</v>
      </c>
      <c r="B156" t="s">
        <v>104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20</v>
      </c>
    </row>
    <row r="157" spans="1:13" x14ac:dyDescent="0.25">
      <c r="A157" t="s">
        <v>0</v>
      </c>
      <c r="B157" t="s">
        <v>104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20</v>
      </c>
    </row>
    <row r="158" spans="1:13" x14ac:dyDescent="0.25">
      <c r="A158" t="s">
        <v>2</v>
      </c>
      <c r="B158" t="s">
        <v>104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20</v>
      </c>
    </row>
    <row r="159" spans="1:13" x14ac:dyDescent="0.25">
      <c r="A159" t="s">
        <v>2</v>
      </c>
      <c r="B159" t="s">
        <v>104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20</v>
      </c>
    </row>
    <row r="160" spans="1:13" x14ac:dyDescent="0.25">
      <c r="A160" t="s">
        <v>2</v>
      </c>
      <c r="B160" t="s">
        <v>104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20</v>
      </c>
    </row>
    <row r="161" spans="1:13" x14ac:dyDescent="0.25">
      <c r="A161" t="s">
        <v>2</v>
      </c>
      <c r="B161" t="s">
        <v>104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20</v>
      </c>
    </row>
    <row r="162" spans="1:13" x14ac:dyDescent="0.25">
      <c r="A162" t="s">
        <v>2</v>
      </c>
      <c r="B162" t="s">
        <v>104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20</v>
      </c>
    </row>
    <row r="163" spans="1:13" x14ac:dyDescent="0.25">
      <c r="A163" t="s">
        <v>2</v>
      </c>
      <c r="B163" t="s">
        <v>104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20</v>
      </c>
    </row>
    <row r="164" spans="1:13" x14ac:dyDescent="0.25">
      <c r="A164" t="s">
        <v>2</v>
      </c>
      <c r="B164" t="s">
        <v>104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20</v>
      </c>
    </row>
    <row r="165" spans="1:13" x14ac:dyDescent="0.25">
      <c r="A165" t="s">
        <v>5</v>
      </c>
      <c r="B165" t="s">
        <v>104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20</v>
      </c>
    </row>
    <row r="166" spans="1:13" x14ac:dyDescent="0.25">
      <c r="A166" t="s">
        <v>5</v>
      </c>
      <c r="B166" t="s">
        <v>104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20</v>
      </c>
    </row>
    <row r="167" spans="1:13" x14ac:dyDescent="0.25">
      <c r="A167" t="s">
        <v>5</v>
      </c>
      <c r="B167" t="s">
        <v>104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20</v>
      </c>
    </row>
    <row r="168" spans="1:13" x14ac:dyDescent="0.25">
      <c r="A168" t="s">
        <v>5</v>
      </c>
      <c r="B168" t="s">
        <v>104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20</v>
      </c>
    </row>
    <row r="169" spans="1:13" x14ac:dyDescent="0.25">
      <c r="A169" t="s">
        <v>5</v>
      </c>
      <c r="B169" t="s">
        <v>104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20</v>
      </c>
    </row>
    <row r="170" spans="1:13" x14ac:dyDescent="0.25">
      <c r="A170" t="s">
        <v>5</v>
      </c>
      <c r="B170" t="s">
        <v>104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20</v>
      </c>
    </row>
    <row r="171" spans="1:13" x14ac:dyDescent="0.25">
      <c r="A171" t="s">
        <v>5</v>
      </c>
      <c r="B171" t="s">
        <v>104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20</v>
      </c>
    </row>
    <row r="172" spans="1:13" x14ac:dyDescent="0.25">
      <c r="A172" t="s">
        <v>7</v>
      </c>
      <c r="B172" t="s">
        <v>104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20</v>
      </c>
    </row>
    <row r="173" spans="1:13" x14ac:dyDescent="0.25">
      <c r="A173" t="s">
        <v>7</v>
      </c>
      <c r="B173" t="s">
        <v>104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20</v>
      </c>
    </row>
    <row r="174" spans="1:13" x14ac:dyDescent="0.25">
      <c r="A174" t="s">
        <v>7</v>
      </c>
      <c r="B174" t="s">
        <v>104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20</v>
      </c>
    </row>
    <row r="175" spans="1:13" x14ac:dyDescent="0.25">
      <c r="A175" t="s">
        <v>7</v>
      </c>
      <c r="B175" t="s">
        <v>104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20</v>
      </c>
    </row>
    <row r="176" spans="1:13" x14ac:dyDescent="0.25">
      <c r="A176" t="s">
        <v>7</v>
      </c>
      <c r="B176" t="s">
        <v>104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20</v>
      </c>
    </row>
    <row r="177" spans="1:13" x14ac:dyDescent="0.25">
      <c r="A177" t="s">
        <v>7</v>
      </c>
      <c r="B177" t="s">
        <v>104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20</v>
      </c>
    </row>
    <row r="178" spans="1:13" x14ac:dyDescent="0.25">
      <c r="A178" t="s">
        <v>7</v>
      </c>
      <c r="B178" t="s">
        <v>104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20</v>
      </c>
    </row>
    <row r="179" spans="1:13" x14ac:dyDescent="0.25">
      <c r="A179" t="s">
        <v>9</v>
      </c>
      <c r="B179" t="s">
        <v>104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20</v>
      </c>
    </row>
    <row r="180" spans="1:13" x14ac:dyDescent="0.25">
      <c r="A180" t="s">
        <v>9</v>
      </c>
      <c r="B180" t="s">
        <v>104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20</v>
      </c>
    </row>
    <row r="181" spans="1:13" x14ac:dyDescent="0.25">
      <c r="A181" t="s">
        <v>9</v>
      </c>
      <c r="B181" t="s">
        <v>104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20</v>
      </c>
    </row>
    <row r="182" spans="1:13" x14ac:dyDescent="0.25">
      <c r="A182" t="s">
        <v>9</v>
      </c>
      <c r="B182" t="s">
        <v>104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20</v>
      </c>
    </row>
    <row r="183" spans="1:13" x14ac:dyDescent="0.25">
      <c r="A183" t="s">
        <v>9</v>
      </c>
      <c r="B183" t="s">
        <v>104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20</v>
      </c>
    </row>
    <row r="184" spans="1:13" x14ac:dyDescent="0.25">
      <c r="A184" t="s">
        <v>9</v>
      </c>
      <c r="B184" t="s">
        <v>104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20</v>
      </c>
    </row>
    <row r="185" spans="1:13" x14ac:dyDescent="0.25">
      <c r="A185" t="s">
        <v>9</v>
      </c>
      <c r="B185" t="s">
        <v>104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20</v>
      </c>
    </row>
    <row r="186" spans="1:13" x14ac:dyDescent="0.25">
      <c r="A186" t="s">
        <v>0</v>
      </c>
      <c r="B186" t="s">
        <v>104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22</v>
      </c>
    </row>
    <row r="187" spans="1:13" x14ac:dyDescent="0.25">
      <c r="A187" t="s">
        <v>0</v>
      </c>
      <c r="B187" t="s">
        <v>104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22</v>
      </c>
    </row>
    <row r="188" spans="1:13" x14ac:dyDescent="0.25">
      <c r="A188" t="s">
        <v>0</v>
      </c>
      <c r="B188" t="s">
        <v>104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22</v>
      </c>
    </row>
    <row r="189" spans="1:13" x14ac:dyDescent="0.25">
      <c r="A189" t="s">
        <v>0</v>
      </c>
      <c r="B189" t="s">
        <v>104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22</v>
      </c>
    </row>
    <row r="190" spans="1:13" x14ac:dyDescent="0.25">
      <c r="A190" t="s">
        <v>0</v>
      </c>
      <c r="B190" t="s">
        <v>104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22</v>
      </c>
    </row>
    <row r="191" spans="1:13" x14ac:dyDescent="0.25">
      <c r="A191" t="s">
        <v>0</v>
      </c>
      <c r="B191" t="s">
        <v>104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22</v>
      </c>
    </row>
    <row r="192" spans="1:13" x14ac:dyDescent="0.25">
      <c r="A192" t="s">
        <v>0</v>
      </c>
      <c r="B192" t="s">
        <v>104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22</v>
      </c>
    </row>
    <row r="193" spans="1:13" x14ac:dyDescent="0.25">
      <c r="A193" t="s">
        <v>2</v>
      </c>
      <c r="B193" t="s">
        <v>104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22</v>
      </c>
    </row>
    <row r="194" spans="1:13" x14ac:dyDescent="0.25">
      <c r="A194" t="s">
        <v>2</v>
      </c>
      <c r="B194" t="s">
        <v>104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22</v>
      </c>
    </row>
    <row r="195" spans="1:13" x14ac:dyDescent="0.25">
      <c r="A195" t="s">
        <v>2</v>
      </c>
      <c r="B195" t="s">
        <v>104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22</v>
      </c>
    </row>
    <row r="196" spans="1:13" x14ac:dyDescent="0.25">
      <c r="A196" t="s">
        <v>2</v>
      </c>
      <c r="B196" t="s">
        <v>104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22</v>
      </c>
    </row>
    <row r="197" spans="1:13" x14ac:dyDescent="0.25">
      <c r="A197" t="s">
        <v>2</v>
      </c>
      <c r="B197" t="s">
        <v>104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22</v>
      </c>
    </row>
    <row r="198" spans="1:13" x14ac:dyDescent="0.25">
      <c r="A198" t="s">
        <v>2</v>
      </c>
      <c r="B198" t="s">
        <v>104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22</v>
      </c>
    </row>
    <row r="199" spans="1:13" x14ac:dyDescent="0.25">
      <c r="A199" t="s">
        <v>2</v>
      </c>
      <c r="B199" t="s">
        <v>104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22</v>
      </c>
    </row>
    <row r="200" spans="1:13" x14ac:dyDescent="0.25">
      <c r="A200" t="s">
        <v>5</v>
      </c>
      <c r="B200" t="s">
        <v>104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22</v>
      </c>
    </row>
    <row r="201" spans="1:13" x14ac:dyDescent="0.25">
      <c r="A201" t="s">
        <v>5</v>
      </c>
      <c r="B201" t="s">
        <v>104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22</v>
      </c>
    </row>
    <row r="202" spans="1:13" x14ac:dyDescent="0.25">
      <c r="A202" t="s">
        <v>5</v>
      </c>
      <c r="B202" t="s">
        <v>104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22</v>
      </c>
    </row>
    <row r="203" spans="1:13" x14ac:dyDescent="0.25">
      <c r="A203" t="s">
        <v>5</v>
      </c>
      <c r="B203" t="s">
        <v>104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22</v>
      </c>
    </row>
    <row r="204" spans="1:13" x14ac:dyDescent="0.25">
      <c r="A204" t="s">
        <v>5</v>
      </c>
      <c r="B204" t="s">
        <v>104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22</v>
      </c>
    </row>
    <row r="205" spans="1:13" x14ac:dyDescent="0.25">
      <c r="A205" t="s">
        <v>5</v>
      </c>
      <c r="B205" t="s">
        <v>104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22</v>
      </c>
    </row>
    <row r="206" spans="1:13" x14ac:dyDescent="0.25">
      <c r="A206" t="s">
        <v>5</v>
      </c>
      <c r="B206" t="s">
        <v>104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22</v>
      </c>
    </row>
    <row r="207" spans="1:13" x14ac:dyDescent="0.25">
      <c r="A207" t="s">
        <v>7</v>
      </c>
      <c r="B207" t="s">
        <v>104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22</v>
      </c>
    </row>
    <row r="208" spans="1:13" x14ac:dyDescent="0.25">
      <c r="A208" t="s">
        <v>7</v>
      </c>
      <c r="B208" t="s">
        <v>104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22</v>
      </c>
    </row>
    <row r="209" spans="1:13" x14ac:dyDescent="0.25">
      <c r="A209" t="s">
        <v>7</v>
      </c>
      <c r="B209" t="s">
        <v>104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22</v>
      </c>
    </row>
    <row r="210" spans="1:13" x14ac:dyDescent="0.25">
      <c r="A210" t="s">
        <v>7</v>
      </c>
      <c r="B210" t="s">
        <v>104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22</v>
      </c>
    </row>
    <row r="211" spans="1:13" x14ac:dyDescent="0.25">
      <c r="A211" t="s">
        <v>7</v>
      </c>
      <c r="B211" t="s">
        <v>104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22</v>
      </c>
    </row>
    <row r="212" spans="1:13" x14ac:dyDescent="0.25">
      <c r="A212" t="s">
        <v>7</v>
      </c>
      <c r="B212" t="s">
        <v>104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22</v>
      </c>
    </row>
    <row r="213" spans="1:13" x14ac:dyDescent="0.25">
      <c r="A213" t="s">
        <v>7</v>
      </c>
      <c r="B213" t="s">
        <v>104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22</v>
      </c>
    </row>
    <row r="214" spans="1:13" x14ac:dyDescent="0.25">
      <c r="A214" t="s">
        <v>9</v>
      </c>
      <c r="B214" t="s">
        <v>104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22</v>
      </c>
    </row>
    <row r="215" spans="1:13" x14ac:dyDescent="0.25">
      <c r="A215" t="s">
        <v>9</v>
      </c>
      <c r="B215" t="s">
        <v>104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22</v>
      </c>
    </row>
    <row r="216" spans="1:13" x14ac:dyDescent="0.25">
      <c r="A216" t="s">
        <v>9</v>
      </c>
      <c r="B216" t="s">
        <v>104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22</v>
      </c>
    </row>
    <row r="217" spans="1:13" x14ac:dyDescent="0.25">
      <c r="A217" t="s">
        <v>9</v>
      </c>
      <c r="B217" t="s">
        <v>104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22</v>
      </c>
    </row>
    <row r="218" spans="1:13" x14ac:dyDescent="0.25">
      <c r="A218" t="s">
        <v>9</v>
      </c>
      <c r="B218" t="s">
        <v>104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22</v>
      </c>
    </row>
    <row r="219" spans="1:13" x14ac:dyDescent="0.25">
      <c r="A219" t="s">
        <v>9</v>
      </c>
      <c r="B219" t="s">
        <v>104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22</v>
      </c>
    </row>
    <row r="220" spans="1:13" x14ac:dyDescent="0.25">
      <c r="A220" t="s">
        <v>9</v>
      </c>
      <c r="B220" t="s">
        <v>104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22</v>
      </c>
    </row>
    <row r="221" spans="1:13" x14ac:dyDescent="0.25">
      <c r="A221" t="s">
        <v>0</v>
      </c>
      <c r="B221" t="s">
        <v>104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68</v>
      </c>
    </row>
    <row r="222" spans="1:13" x14ac:dyDescent="0.25">
      <c r="A222" t="s">
        <v>0</v>
      </c>
      <c r="B222" t="s">
        <v>104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68</v>
      </c>
    </row>
    <row r="223" spans="1:13" x14ac:dyDescent="0.25">
      <c r="A223" t="s">
        <v>0</v>
      </c>
      <c r="B223" t="s">
        <v>104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68</v>
      </c>
    </row>
    <row r="224" spans="1:13" x14ac:dyDescent="0.25">
      <c r="A224" t="s">
        <v>0</v>
      </c>
      <c r="B224" t="s">
        <v>104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68</v>
      </c>
    </row>
    <row r="225" spans="1:13" x14ac:dyDescent="0.25">
      <c r="A225" t="s">
        <v>0</v>
      </c>
      <c r="B225" t="s">
        <v>104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68</v>
      </c>
    </row>
    <row r="226" spans="1:13" x14ac:dyDescent="0.25">
      <c r="A226" t="s">
        <v>0</v>
      </c>
      <c r="B226" t="s">
        <v>104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68</v>
      </c>
    </row>
    <row r="227" spans="1:13" x14ac:dyDescent="0.25">
      <c r="A227" t="s">
        <v>0</v>
      </c>
      <c r="B227" t="s">
        <v>104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68</v>
      </c>
    </row>
    <row r="228" spans="1:13" x14ac:dyDescent="0.25">
      <c r="A228" t="s">
        <v>2</v>
      </c>
      <c r="B228" t="s">
        <v>104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68</v>
      </c>
    </row>
    <row r="229" spans="1:13" x14ac:dyDescent="0.25">
      <c r="A229" t="s">
        <v>2</v>
      </c>
      <c r="B229" t="s">
        <v>104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68</v>
      </c>
    </row>
    <row r="230" spans="1:13" x14ac:dyDescent="0.25">
      <c r="A230" t="s">
        <v>2</v>
      </c>
      <c r="B230" t="s">
        <v>104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68</v>
      </c>
    </row>
    <row r="231" spans="1:13" x14ac:dyDescent="0.25">
      <c r="A231" t="s">
        <v>2</v>
      </c>
      <c r="B231" t="s">
        <v>104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68</v>
      </c>
    </row>
    <row r="232" spans="1:13" x14ac:dyDescent="0.25">
      <c r="A232" t="s">
        <v>2</v>
      </c>
      <c r="B232" t="s">
        <v>104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68</v>
      </c>
    </row>
    <row r="233" spans="1:13" x14ac:dyDescent="0.25">
      <c r="A233" t="s">
        <v>2</v>
      </c>
      <c r="B233" t="s">
        <v>104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68</v>
      </c>
    </row>
    <row r="234" spans="1:13" x14ac:dyDescent="0.25">
      <c r="A234" t="s">
        <v>2</v>
      </c>
      <c r="B234" t="s">
        <v>104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68</v>
      </c>
    </row>
    <row r="235" spans="1:13" x14ac:dyDescent="0.25">
      <c r="A235" t="s">
        <v>5</v>
      </c>
      <c r="B235" t="s">
        <v>104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68</v>
      </c>
    </row>
    <row r="236" spans="1:13" x14ac:dyDescent="0.25">
      <c r="A236" t="s">
        <v>5</v>
      </c>
      <c r="B236" t="s">
        <v>104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68</v>
      </c>
    </row>
    <row r="237" spans="1:13" x14ac:dyDescent="0.25">
      <c r="A237" t="s">
        <v>5</v>
      </c>
      <c r="B237" t="s">
        <v>104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68</v>
      </c>
    </row>
    <row r="238" spans="1:13" x14ac:dyDescent="0.25">
      <c r="A238" t="s">
        <v>5</v>
      </c>
      <c r="B238" t="s">
        <v>104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68</v>
      </c>
    </row>
    <row r="239" spans="1:13" x14ac:dyDescent="0.25">
      <c r="A239" t="s">
        <v>5</v>
      </c>
      <c r="B239" t="s">
        <v>104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68</v>
      </c>
    </row>
    <row r="240" spans="1:13" x14ac:dyDescent="0.25">
      <c r="A240" t="s">
        <v>5</v>
      </c>
      <c r="B240" t="s">
        <v>104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68</v>
      </c>
    </row>
    <row r="241" spans="1:13" x14ac:dyDescent="0.25">
      <c r="A241" t="s">
        <v>5</v>
      </c>
      <c r="B241" t="s">
        <v>104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68</v>
      </c>
    </row>
    <row r="242" spans="1:13" x14ac:dyDescent="0.25">
      <c r="A242" t="s">
        <v>7</v>
      </c>
      <c r="B242" t="s">
        <v>104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68</v>
      </c>
    </row>
    <row r="243" spans="1:13" x14ac:dyDescent="0.25">
      <c r="A243" t="s">
        <v>7</v>
      </c>
      <c r="B243" t="s">
        <v>104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68</v>
      </c>
    </row>
    <row r="244" spans="1:13" x14ac:dyDescent="0.25">
      <c r="A244" t="s">
        <v>7</v>
      </c>
      <c r="B244" t="s">
        <v>104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68</v>
      </c>
    </row>
    <row r="245" spans="1:13" x14ac:dyDescent="0.25">
      <c r="A245" t="s">
        <v>7</v>
      </c>
      <c r="B245" t="s">
        <v>104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68</v>
      </c>
    </row>
    <row r="246" spans="1:13" x14ac:dyDescent="0.25">
      <c r="A246" t="s">
        <v>7</v>
      </c>
      <c r="B246" t="s">
        <v>104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68</v>
      </c>
    </row>
    <row r="247" spans="1:13" x14ac:dyDescent="0.25">
      <c r="A247" t="s">
        <v>7</v>
      </c>
      <c r="B247" t="s">
        <v>104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68</v>
      </c>
    </row>
    <row r="248" spans="1:13" x14ac:dyDescent="0.25">
      <c r="A248" t="s">
        <v>7</v>
      </c>
      <c r="B248" t="s">
        <v>104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68</v>
      </c>
    </row>
    <row r="249" spans="1:13" x14ac:dyDescent="0.25">
      <c r="A249" t="s">
        <v>9</v>
      </c>
      <c r="B249" t="s">
        <v>104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68</v>
      </c>
    </row>
    <row r="250" spans="1:13" x14ac:dyDescent="0.25">
      <c r="A250" t="s">
        <v>9</v>
      </c>
      <c r="B250" t="s">
        <v>104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68</v>
      </c>
    </row>
    <row r="251" spans="1:13" x14ac:dyDescent="0.25">
      <c r="A251" t="s">
        <v>9</v>
      </c>
      <c r="B251" t="s">
        <v>104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68</v>
      </c>
    </row>
    <row r="252" spans="1:13" x14ac:dyDescent="0.25">
      <c r="A252" t="s">
        <v>9</v>
      </c>
      <c r="B252" t="s">
        <v>104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68</v>
      </c>
    </row>
    <row r="253" spans="1:13" x14ac:dyDescent="0.25">
      <c r="A253" t="s">
        <v>9</v>
      </c>
      <c r="B253" t="s">
        <v>104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68</v>
      </c>
    </row>
    <row r="254" spans="1:13" x14ac:dyDescent="0.25">
      <c r="A254" t="s">
        <v>9</v>
      </c>
      <c r="B254" t="s">
        <v>104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68</v>
      </c>
    </row>
    <row r="255" spans="1:13" x14ac:dyDescent="0.25">
      <c r="A255" t="s">
        <v>9</v>
      </c>
      <c r="B255" t="s">
        <v>104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68</v>
      </c>
    </row>
    <row r="256" spans="1:13" x14ac:dyDescent="0.25">
      <c r="A256" t="s">
        <v>0</v>
      </c>
      <c r="B256" t="s">
        <v>104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25">
      <c r="A257" t="s">
        <v>0</v>
      </c>
      <c r="B257" t="s">
        <v>104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69</v>
      </c>
    </row>
    <row r="258" spans="1:13" x14ac:dyDescent="0.25">
      <c r="A258" t="s">
        <v>0</v>
      </c>
      <c r="B258" t="s">
        <v>104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69</v>
      </c>
    </row>
    <row r="259" spans="1:13" x14ac:dyDescent="0.25">
      <c r="A259" t="s">
        <v>0</v>
      </c>
      <c r="B259" t="s">
        <v>104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69</v>
      </c>
    </row>
    <row r="260" spans="1:13" x14ac:dyDescent="0.25">
      <c r="A260" t="s">
        <v>0</v>
      </c>
      <c r="B260" t="s">
        <v>104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69</v>
      </c>
    </row>
    <row r="261" spans="1:13" x14ac:dyDescent="0.25">
      <c r="A261" t="s">
        <v>0</v>
      </c>
      <c r="B261" t="s">
        <v>104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69</v>
      </c>
    </row>
    <row r="262" spans="1:13" x14ac:dyDescent="0.25">
      <c r="A262" t="s">
        <v>0</v>
      </c>
      <c r="B262" t="s">
        <v>104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69</v>
      </c>
    </row>
    <row r="263" spans="1:13" x14ac:dyDescent="0.25">
      <c r="A263" t="s">
        <v>2</v>
      </c>
      <c r="B263" t="s">
        <v>104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25">
      <c r="A264" t="s">
        <v>2</v>
      </c>
      <c r="B264" t="s">
        <v>104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69</v>
      </c>
    </row>
    <row r="265" spans="1:13" x14ac:dyDescent="0.25">
      <c r="A265" t="s">
        <v>2</v>
      </c>
      <c r="B265" t="s">
        <v>104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69</v>
      </c>
    </row>
    <row r="266" spans="1:13" x14ac:dyDescent="0.25">
      <c r="A266" t="s">
        <v>2</v>
      </c>
      <c r="B266" t="s">
        <v>104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69</v>
      </c>
    </row>
    <row r="267" spans="1:13" x14ac:dyDescent="0.25">
      <c r="A267" t="s">
        <v>2</v>
      </c>
      <c r="B267" t="s">
        <v>104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69</v>
      </c>
    </row>
    <row r="268" spans="1:13" x14ac:dyDescent="0.25">
      <c r="A268" t="s">
        <v>2</v>
      </c>
      <c r="B268" t="s">
        <v>104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69</v>
      </c>
    </row>
    <row r="269" spans="1:13" x14ac:dyDescent="0.25">
      <c r="A269" t="s">
        <v>2</v>
      </c>
      <c r="B269" t="s">
        <v>104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69</v>
      </c>
    </row>
    <row r="270" spans="1:13" x14ac:dyDescent="0.25">
      <c r="A270" t="s">
        <v>5</v>
      </c>
      <c r="B270" t="s">
        <v>104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25">
      <c r="A271" t="s">
        <v>5</v>
      </c>
      <c r="B271" t="s">
        <v>104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69</v>
      </c>
    </row>
    <row r="272" spans="1:13" x14ac:dyDescent="0.25">
      <c r="A272" t="s">
        <v>5</v>
      </c>
      <c r="B272" t="s">
        <v>104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69</v>
      </c>
    </row>
    <row r="273" spans="1:13" x14ac:dyDescent="0.25">
      <c r="A273" t="s">
        <v>5</v>
      </c>
      <c r="B273" t="s">
        <v>104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69</v>
      </c>
    </row>
    <row r="274" spans="1:13" x14ac:dyDescent="0.25">
      <c r="A274" t="s">
        <v>5</v>
      </c>
      <c r="B274" t="s">
        <v>104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69</v>
      </c>
    </row>
    <row r="275" spans="1:13" x14ac:dyDescent="0.25">
      <c r="A275" t="s">
        <v>5</v>
      </c>
      <c r="B275" t="s">
        <v>104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69</v>
      </c>
    </row>
    <row r="276" spans="1:13" x14ac:dyDescent="0.25">
      <c r="A276" t="s">
        <v>5</v>
      </c>
      <c r="B276" t="s">
        <v>104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69</v>
      </c>
    </row>
    <row r="277" spans="1:13" x14ac:dyDescent="0.25">
      <c r="A277" t="s">
        <v>7</v>
      </c>
      <c r="B277" t="s">
        <v>104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25">
      <c r="A278" t="s">
        <v>7</v>
      </c>
      <c r="B278" t="s">
        <v>104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69</v>
      </c>
    </row>
    <row r="279" spans="1:13" x14ac:dyDescent="0.25">
      <c r="A279" t="s">
        <v>7</v>
      </c>
      <c r="B279" t="s">
        <v>104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69</v>
      </c>
    </row>
    <row r="280" spans="1:13" x14ac:dyDescent="0.25">
      <c r="A280" t="s">
        <v>7</v>
      </c>
      <c r="B280" t="s">
        <v>104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69</v>
      </c>
    </row>
    <row r="281" spans="1:13" x14ac:dyDescent="0.25">
      <c r="A281" t="s">
        <v>7</v>
      </c>
      <c r="B281" t="s">
        <v>104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69</v>
      </c>
    </row>
    <row r="282" spans="1:13" x14ac:dyDescent="0.25">
      <c r="A282" t="s">
        <v>7</v>
      </c>
      <c r="B282" t="s">
        <v>104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69</v>
      </c>
    </row>
    <row r="283" spans="1:13" x14ac:dyDescent="0.25">
      <c r="A283" t="s">
        <v>7</v>
      </c>
      <c r="B283" t="s">
        <v>104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69</v>
      </c>
    </row>
    <row r="284" spans="1:13" x14ac:dyDescent="0.25">
      <c r="A284" t="s">
        <v>9</v>
      </c>
      <c r="B284" t="s">
        <v>104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25">
      <c r="A285" t="s">
        <v>9</v>
      </c>
      <c r="B285" t="s">
        <v>104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69</v>
      </c>
    </row>
    <row r="286" spans="1:13" x14ac:dyDescent="0.25">
      <c r="A286" t="s">
        <v>9</v>
      </c>
      <c r="B286" t="s">
        <v>104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69</v>
      </c>
    </row>
    <row r="287" spans="1:13" x14ac:dyDescent="0.25">
      <c r="A287" t="s">
        <v>9</v>
      </c>
      <c r="B287" t="s">
        <v>104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69</v>
      </c>
    </row>
    <row r="288" spans="1:13" x14ac:dyDescent="0.25">
      <c r="A288" t="s">
        <v>9</v>
      </c>
      <c r="B288" t="s">
        <v>104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69</v>
      </c>
    </row>
    <row r="289" spans="1:13" x14ac:dyDescent="0.25">
      <c r="A289" t="s">
        <v>9</v>
      </c>
      <c r="B289" t="s">
        <v>104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69</v>
      </c>
    </row>
    <row r="290" spans="1:13" x14ac:dyDescent="0.25">
      <c r="A290" t="s">
        <v>9</v>
      </c>
      <c r="B290" t="s">
        <v>104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69</v>
      </c>
    </row>
    <row r="291" spans="1:13" x14ac:dyDescent="0.25">
      <c r="A291" t="s">
        <v>0</v>
      </c>
      <c r="B291" t="s">
        <v>104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25">
      <c r="A292" t="s">
        <v>0</v>
      </c>
      <c r="B292" t="s">
        <v>104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70</v>
      </c>
    </row>
    <row r="293" spans="1:13" x14ac:dyDescent="0.25">
      <c r="A293" t="s">
        <v>0</v>
      </c>
      <c r="B293" t="s">
        <v>104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70</v>
      </c>
    </row>
    <row r="294" spans="1:13" x14ac:dyDescent="0.25">
      <c r="A294" t="s">
        <v>0</v>
      </c>
      <c r="B294" t="s">
        <v>104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70</v>
      </c>
    </row>
    <row r="295" spans="1:13" x14ac:dyDescent="0.25">
      <c r="A295" t="s">
        <v>0</v>
      </c>
      <c r="B295" t="s">
        <v>104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70</v>
      </c>
    </row>
    <row r="296" spans="1:13" x14ac:dyDescent="0.25">
      <c r="A296" t="s">
        <v>0</v>
      </c>
      <c r="B296" t="s">
        <v>104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70</v>
      </c>
    </row>
    <row r="297" spans="1:13" x14ac:dyDescent="0.25">
      <c r="A297" t="s">
        <v>0</v>
      </c>
      <c r="B297" t="s">
        <v>104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70</v>
      </c>
    </row>
    <row r="298" spans="1:13" x14ac:dyDescent="0.25">
      <c r="A298" t="s">
        <v>2</v>
      </c>
      <c r="B298" t="s">
        <v>104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25">
      <c r="A299" t="s">
        <v>2</v>
      </c>
      <c r="B299" t="s">
        <v>104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70</v>
      </c>
    </row>
    <row r="300" spans="1:13" x14ac:dyDescent="0.25">
      <c r="A300" t="s">
        <v>2</v>
      </c>
      <c r="B300" t="s">
        <v>104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70</v>
      </c>
    </row>
    <row r="301" spans="1:13" x14ac:dyDescent="0.25">
      <c r="A301" t="s">
        <v>2</v>
      </c>
      <c r="B301" t="s">
        <v>104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70</v>
      </c>
    </row>
    <row r="302" spans="1:13" x14ac:dyDescent="0.25">
      <c r="A302" t="s">
        <v>2</v>
      </c>
      <c r="B302" t="s">
        <v>104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70</v>
      </c>
    </row>
    <row r="303" spans="1:13" x14ac:dyDescent="0.25">
      <c r="A303" t="s">
        <v>2</v>
      </c>
      <c r="B303" t="s">
        <v>104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70</v>
      </c>
    </row>
    <row r="304" spans="1:13" x14ac:dyDescent="0.25">
      <c r="A304" t="s">
        <v>2</v>
      </c>
      <c r="B304" t="s">
        <v>104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70</v>
      </c>
    </row>
    <row r="305" spans="1:13" x14ac:dyDescent="0.25">
      <c r="A305" t="s">
        <v>5</v>
      </c>
      <c r="B305" t="s">
        <v>104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25">
      <c r="A306" t="s">
        <v>5</v>
      </c>
      <c r="B306" t="s">
        <v>104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70</v>
      </c>
    </row>
    <row r="307" spans="1:13" x14ac:dyDescent="0.25">
      <c r="A307" t="s">
        <v>5</v>
      </c>
      <c r="B307" t="s">
        <v>104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70</v>
      </c>
    </row>
    <row r="308" spans="1:13" x14ac:dyDescent="0.25">
      <c r="A308" t="s">
        <v>5</v>
      </c>
      <c r="B308" t="s">
        <v>104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70</v>
      </c>
    </row>
    <row r="309" spans="1:13" x14ac:dyDescent="0.25">
      <c r="A309" t="s">
        <v>5</v>
      </c>
      <c r="B309" t="s">
        <v>104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70</v>
      </c>
    </row>
    <row r="310" spans="1:13" x14ac:dyDescent="0.25">
      <c r="A310" t="s">
        <v>5</v>
      </c>
      <c r="B310" t="s">
        <v>104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70</v>
      </c>
    </row>
    <row r="311" spans="1:13" x14ac:dyDescent="0.25">
      <c r="A311" t="s">
        <v>5</v>
      </c>
      <c r="B311" t="s">
        <v>104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70</v>
      </c>
    </row>
    <row r="312" spans="1:13" x14ac:dyDescent="0.25">
      <c r="A312" t="s">
        <v>7</v>
      </c>
      <c r="B312" t="s">
        <v>104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25">
      <c r="A313" t="s">
        <v>7</v>
      </c>
      <c r="B313" t="s">
        <v>104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70</v>
      </c>
    </row>
    <row r="314" spans="1:13" x14ac:dyDescent="0.25">
      <c r="A314" t="s">
        <v>7</v>
      </c>
      <c r="B314" t="s">
        <v>104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70</v>
      </c>
    </row>
    <row r="315" spans="1:13" x14ac:dyDescent="0.25">
      <c r="A315" t="s">
        <v>7</v>
      </c>
      <c r="B315" t="s">
        <v>104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70</v>
      </c>
    </row>
    <row r="316" spans="1:13" x14ac:dyDescent="0.25">
      <c r="A316" t="s">
        <v>7</v>
      </c>
      <c r="B316" t="s">
        <v>104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70</v>
      </c>
    </row>
    <row r="317" spans="1:13" x14ac:dyDescent="0.25">
      <c r="A317" t="s">
        <v>7</v>
      </c>
      <c r="B317" t="s">
        <v>104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70</v>
      </c>
    </row>
    <row r="318" spans="1:13" x14ac:dyDescent="0.25">
      <c r="A318" t="s">
        <v>7</v>
      </c>
      <c r="B318" t="s">
        <v>104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70</v>
      </c>
    </row>
    <row r="319" spans="1:13" x14ac:dyDescent="0.25">
      <c r="A319" t="s">
        <v>9</v>
      </c>
      <c r="B319" t="s">
        <v>104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25">
      <c r="A320" t="s">
        <v>9</v>
      </c>
      <c r="B320" t="s">
        <v>104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70</v>
      </c>
    </row>
    <row r="321" spans="1:13" x14ac:dyDescent="0.25">
      <c r="A321" t="s">
        <v>9</v>
      </c>
      <c r="B321" t="s">
        <v>104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70</v>
      </c>
    </row>
    <row r="322" spans="1:13" x14ac:dyDescent="0.25">
      <c r="A322" t="s">
        <v>9</v>
      </c>
      <c r="B322" t="s">
        <v>104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70</v>
      </c>
    </row>
    <row r="323" spans="1:13" x14ac:dyDescent="0.25">
      <c r="A323" t="s">
        <v>9</v>
      </c>
      <c r="B323" t="s">
        <v>104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70</v>
      </c>
    </row>
    <row r="324" spans="1:13" x14ac:dyDescent="0.25">
      <c r="A324" t="s">
        <v>9</v>
      </c>
      <c r="B324" t="s">
        <v>104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70</v>
      </c>
    </row>
    <row r="325" spans="1:13" x14ac:dyDescent="0.25">
      <c r="A325" t="s">
        <v>9</v>
      </c>
      <c r="B325" t="s">
        <v>104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70</v>
      </c>
    </row>
    <row r="326" spans="1:13" x14ac:dyDescent="0.25">
      <c r="A326" t="s">
        <v>0</v>
      </c>
      <c r="B326" t="s">
        <v>104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25">
      <c r="A327" t="s">
        <v>0</v>
      </c>
      <c r="B327" t="s">
        <v>104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71</v>
      </c>
    </row>
    <row r="328" spans="1:13" x14ac:dyDescent="0.25">
      <c r="A328" t="s">
        <v>0</v>
      </c>
      <c r="B328" t="s">
        <v>104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71</v>
      </c>
    </row>
    <row r="329" spans="1:13" x14ac:dyDescent="0.25">
      <c r="A329" t="s">
        <v>0</v>
      </c>
      <c r="B329" t="s">
        <v>104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71</v>
      </c>
    </row>
    <row r="330" spans="1:13" x14ac:dyDescent="0.25">
      <c r="A330" t="s">
        <v>0</v>
      </c>
      <c r="B330" t="s">
        <v>104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71</v>
      </c>
    </row>
    <row r="331" spans="1:13" x14ac:dyDescent="0.25">
      <c r="A331" t="s">
        <v>0</v>
      </c>
      <c r="B331" t="s">
        <v>104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71</v>
      </c>
    </row>
    <row r="332" spans="1:13" x14ac:dyDescent="0.25">
      <c r="A332" t="s">
        <v>0</v>
      </c>
      <c r="B332" t="s">
        <v>104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71</v>
      </c>
    </row>
    <row r="333" spans="1:13" x14ac:dyDescent="0.25">
      <c r="A333" t="s">
        <v>2</v>
      </c>
      <c r="B333" t="s">
        <v>104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25">
      <c r="A334" t="s">
        <v>2</v>
      </c>
      <c r="B334" t="s">
        <v>104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71</v>
      </c>
    </row>
    <row r="335" spans="1:13" x14ac:dyDescent="0.25">
      <c r="A335" t="s">
        <v>2</v>
      </c>
      <c r="B335" t="s">
        <v>104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71</v>
      </c>
    </row>
    <row r="336" spans="1:13" x14ac:dyDescent="0.25">
      <c r="A336" t="s">
        <v>2</v>
      </c>
      <c r="B336" t="s">
        <v>104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71</v>
      </c>
    </row>
    <row r="337" spans="1:13" x14ac:dyDescent="0.25">
      <c r="A337" t="s">
        <v>2</v>
      </c>
      <c r="B337" t="s">
        <v>104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71</v>
      </c>
    </row>
    <row r="338" spans="1:13" x14ac:dyDescent="0.25">
      <c r="A338" t="s">
        <v>2</v>
      </c>
      <c r="B338" t="s">
        <v>104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71</v>
      </c>
    </row>
    <row r="339" spans="1:13" x14ac:dyDescent="0.25">
      <c r="A339" t="s">
        <v>2</v>
      </c>
      <c r="B339" t="s">
        <v>104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71</v>
      </c>
    </row>
    <row r="340" spans="1:13" x14ac:dyDescent="0.25">
      <c r="A340" t="s">
        <v>5</v>
      </c>
      <c r="B340" t="s">
        <v>104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25">
      <c r="A341" t="s">
        <v>5</v>
      </c>
      <c r="B341" t="s">
        <v>104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71</v>
      </c>
    </row>
    <row r="342" spans="1:13" x14ac:dyDescent="0.25">
      <c r="A342" t="s">
        <v>5</v>
      </c>
      <c r="B342" t="s">
        <v>104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71</v>
      </c>
    </row>
    <row r="343" spans="1:13" x14ac:dyDescent="0.25">
      <c r="A343" t="s">
        <v>5</v>
      </c>
      <c r="B343" t="s">
        <v>104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71</v>
      </c>
    </row>
    <row r="344" spans="1:13" x14ac:dyDescent="0.25">
      <c r="A344" t="s">
        <v>5</v>
      </c>
      <c r="B344" t="s">
        <v>104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71</v>
      </c>
    </row>
    <row r="345" spans="1:13" x14ac:dyDescent="0.25">
      <c r="A345" t="s">
        <v>5</v>
      </c>
      <c r="B345" t="s">
        <v>104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71</v>
      </c>
    </row>
    <row r="346" spans="1:13" x14ac:dyDescent="0.25">
      <c r="A346" t="s">
        <v>5</v>
      </c>
      <c r="B346" t="s">
        <v>104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71</v>
      </c>
    </row>
    <row r="347" spans="1:13" x14ac:dyDescent="0.25">
      <c r="A347" t="s">
        <v>7</v>
      </c>
      <c r="B347" t="s">
        <v>104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25">
      <c r="A348" t="s">
        <v>7</v>
      </c>
      <c r="B348" t="s">
        <v>104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71</v>
      </c>
    </row>
    <row r="349" spans="1:13" x14ac:dyDescent="0.25">
      <c r="A349" t="s">
        <v>7</v>
      </c>
      <c r="B349" t="s">
        <v>104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71</v>
      </c>
    </row>
    <row r="350" spans="1:13" x14ac:dyDescent="0.25">
      <c r="A350" t="s">
        <v>7</v>
      </c>
      <c r="B350" t="s">
        <v>104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71</v>
      </c>
    </row>
    <row r="351" spans="1:13" x14ac:dyDescent="0.25">
      <c r="A351" t="s">
        <v>7</v>
      </c>
      <c r="B351" t="s">
        <v>104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71</v>
      </c>
    </row>
    <row r="352" spans="1:13" x14ac:dyDescent="0.25">
      <c r="A352" t="s">
        <v>7</v>
      </c>
      <c r="B352" t="s">
        <v>104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71</v>
      </c>
    </row>
    <row r="353" spans="1:13" x14ac:dyDescent="0.25">
      <c r="A353" t="s">
        <v>7</v>
      </c>
      <c r="B353" t="s">
        <v>104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71</v>
      </c>
    </row>
    <row r="354" spans="1:13" x14ac:dyDescent="0.25">
      <c r="A354" t="s">
        <v>9</v>
      </c>
      <c r="B354" t="s">
        <v>104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25">
      <c r="A355" t="s">
        <v>9</v>
      </c>
      <c r="B355" t="s">
        <v>104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71</v>
      </c>
    </row>
    <row r="356" spans="1:13" x14ac:dyDescent="0.25">
      <c r="A356" t="s">
        <v>9</v>
      </c>
      <c r="B356" t="s">
        <v>104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71</v>
      </c>
    </row>
    <row r="357" spans="1:13" x14ac:dyDescent="0.25">
      <c r="A357" t="s">
        <v>9</v>
      </c>
      <c r="B357" t="s">
        <v>104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71</v>
      </c>
    </row>
    <row r="358" spans="1:13" x14ac:dyDescent="0.25">
      <c r="A358" t="s">
        <v>9</v>
      </c>
      <c r="B358" t="s">
        <v>104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71</v>
      </c>
    </row>
    <row r="359" spans="1:13" x14ac:dyDescent="0.25">
      <c r="A359" t="s">
        <v>9</v>
      </c>
      <c r="B359" t="s">
        <v>104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71</v>
      </c>
    </row>
    <row r="360" spans="1:13" x14ac:dyDescent="0.25">
      <c r="A360" t="s">
        <v>9</v>
      </c>
      <c r="B360" t="s">
        <v>104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2026-08-31T11:18:03Z</dcterms:modified>
</cp:coreProperties>
</file>