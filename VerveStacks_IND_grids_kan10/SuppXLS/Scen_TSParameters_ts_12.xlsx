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IND_grids_kan10\SuppXLS\"/>
    </mc:Choice>
  </mc:AlternateContent>
  <xr:revisionPtr revIDLastSave="0" documentId="8_{8590E5F7-F537-462B-9C79-43EEAA244341}" xr6:coauthVersionLast="47" xr6:coauthVersionMax="47" xr10:uidLastSave="{00000000-0000-0000-0000-000000000000}"/>
  <bookViews>
    <workbookView xWindow="-120" yWindow="-120" windowWidth="29040" windowHeight="15720" firstSheet="4" activeTab="4" xr2:uid="{00000000-000D-0000-FFFF-FFFF00000000}"/>
  </bookViews>
  <sheets>
    <sheet name="ev_charging_uc" sheetId="6" r:id="rId1"/>
    <sheet name="timeslice_def" sheetId="7" r:id="rId2"/>
    <sheet name="resource_profiles" sheetId="8" r:id="rId3"/>
    <sheet name="firmness" sheetId="9" r:id="rId4"/>
    <sheet name="load_demand_peak_hydro" sheetId="10" r:id="rId5"/>
  </sheets>
  <externalReferences>
    <externalReference r:id="rId6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9" i="10" l="1"/>
  <c r="A11" i="10"/>
  <c r="L9" i="10" s="1"/>
  <c r="A10" i="6"/>
  <c r="H24" i="6" s="1"/>
  <c r="BI9" i="9"/>
  <c r="AU9" i="9"/>
  <c r="AF9" i="9"/>
  <c r="Q9" i="9"/>
  <c r="B9" i="9"/>
  <c r="L9" i="8"/>
  <c r="G9" i="8"/>
  <c r="B9" i="8"/>
  <c r="A11" i="7"/>
  <c r="C9" i="7" s="1"/>
  <c r="H23" i="6"/>
  <c r="H9" i="10" l="1"/>
  <c r="C9" i="10"/>
  <c r="H21" i="6"/>
  <c r="I24" i="6"/>
  <c r="I23" i="6" s="1"/>
  <c r="E24" i="6"/>
  <c r="E23" i="6"/>
</calcChain>
</file>

<file path=xl/sharedStrings.xml><?xml version="1.0" encoding="utf-8"?>
<sst xmlns="http://schemas.openxmlformats.org/spreadsheetml/2006/main" count="7588" uniqueCount="425">
  <si>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</si>
  <si>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</si>
  <si>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</si>
  <si>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</si>
  <si>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</si>
  <si>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</si>
  <si>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</si>
  <si>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</si>
  <si>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</si>
  <si>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</si>
  <si>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</si>
  <si>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</si>
  <si>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</si>
  <si>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</si>
  <si>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</si>
  <si>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</si>
  <si>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</si>
  <si>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</si>
  <si>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</si>
  <si>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</si>
  <si>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</si>
  <si>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</si>
  <si>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</si>
  <si>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</si>
  <si>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</si>
  <si>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</si>
  <si>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</si>
  <si>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</si>
  <si>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</si>
  <si>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</si>
  <si>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</si>
  <si>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DEF_E</t>
  </si>
  <si>
    <t>season</t>
  </si>
  <si>
    <t>weekly</t>
  </si>
  <si>
    <t>daynite</t>
  </si>
  <si>
    <t>wparent</t>
  </si>
  <si>
    <t>dparent</t>
  </si>
  <si>
    <t>S1</t>
  </si>
  <si>
    <t>a</t>
  </si>
  <si>
    <t>H1</t>
  </si>
  <si>
    <t>S1,S2,S3,S4</t>
  </si>
  <si>
    <t>S2</t>
  </si>
  <si>
    <t>H2</t>
  </si>
  <si>
    <t>S3</t>
  </si>
  <si>
    <t>H3</t>
  </si>
  <si>
    <t>S4</t>
  </si>
  <si>
    <t>ts_12</t>
  </si>
  <si>
    <t>commodity</t>
  </si>
  <si>
    <t>timeslice</t>
  </si>
  <si>
    <t>com_fr</t>
  </si>
  <si>
    <t>process</t>
  </si>
  <si>
    <t>elc_spv_IND_001</t>
  </si>
  <si>
    <t>S1aH1</t>
  </si>
  <si>
    <t>IMPNRGZ</t>
  </si>
  <si>
    <t>S1aH2</t>
  </si>
  <si>
    <t>S1aH3</t>
  </si>
  <si>
    <t>S2aH1</t>
  </si>
  <si>
    <t>S2aH2</t>
  </si>
  <si>
    <t>S2aH3</t>
  </si>
  <si>
    <t>S3aH1</t>
  </si>
  <si>
    <t>S3aH2</t>
  </si>
  <si>
    <t>S3aH3</t>
  </si>
  <si>
    <t>S4aH1</t>
  </si>
  <si>
    <t>S4aH2</t>
  </si>
  <si>
    <t>S4aH3</t>
  </si>
  <si>
    <t>elc_spv_IND_002</t>
  </si>
  <si>
    <t>elc_spv_IND_003</t>
  </si>
  <si>
    <t>elc_spv_IND_004</t>
  </si>
  <si>
    <t>elc_spv_IND_005</t>
  </si>
  <si>
    <t>elc_spv_IND_006</t>
  </si>
  <si>
    <t>elc_spv_IND_007</t>
  </si>
  <si>
    <t>elc_spv_IND_008</t>
  </si>
  <si>
    <t>elc_spv_IND_009</t>
  </si>
  <si>
    <t>elc_spv_IND_010</t>
  </si>
  <si>
    <t>elc_spv_IND_011</t>
  </si>
  <si>
    <t>elc_spv_IND_012</t>
  </si>
  <si>
    <t>elc_spv_IND_013</t>
  </si>
  <si>
    <t>elc_spv_IND_014</t>
  </si>
  <si>
    <t>elc_spv_IND_015</t>
  </si>
  <si>
    <t>elc_spv_IND_016</t>
  </si>
  <si>
    <t>elc_spv_IND_017</t>
  </si>
  <si>
    <t>elc_spv_IND_018</t>
  </si>
  <si>
    <t>elc_spv_IND_019</t>
  </si>
  <si>
    <t>elc_spv_IND_020</t>
  </si>
  <si>
    <t>elc_spv_IND_021</t>
  </si>
  <si>
    <t>elc_spv_IND_022</t>
  </si>
  <si>
    <t>elc_spv_IND_023</t>
  </si>
  <si>
    <t>elc_spv_IND_024</t>
  </si>
  <si>
    <t>elc_spv_IND_025</t>
  </si>
  <si>
    <t>elc_spv_IND_026</t>
  </si>
  <si>
    <t>elc_spv_IND_027</t>
  </si>
  <si>
    <t>elc_spv_IND_028</t>
  </si>
  <si>
    <t>elc_spv_IND_029</t>
  </si>
  <si>
    <t>elc_spv_IND_030</t>
  </si>
  <si>
    <t>elc_spv_IND_031</t>
  </si>
  <si>
    <t>elc_spv_IND_032</t>
  </si>
  <si>
    <t>elc_spv_IND_033</t>
  </si>
  <si>
    <t>elc_spv_IND_034</t>
  </si>
  <si>
    <t>elc_spv_IND_035</t>
  </si>
  <si>
    <t>elc_spv_IND_036</t>
  </si>
  <si>
    <t>elc_spv_IND_037</t>
  </si>
  <si>
    <t>elc_spv_IND_038</t>
  </si>
  <si>
    <t>elc_spv_IND_039</t>
  </si>
  <si>
    <t>elc_spv_IND_040</t>
  </si>
  <si>
    <t>elc_spv_IND_041</t>
  </si>
  <si>
    <t>elc_spv_IND_042</t>
  </si>
  <si>
    <t>elc_spv_IND_043</t>
  </si>
  <si>
    <t>elc_spv_IND_044</t>
  </si>
  <si>
    <t>elc_spv_IND_045</t>
  </si>
  <si>
    <t>elc_spv_IND_046</t>
  </si>
  <si>
    <t>elc_spv_IND_047</t>
  </si>
  <si>
    <t>elc_spv_IND_048</t>
  </si>
  <si>
    <t>elc_spv_IND_049</t>
  </si>
  <si>
    <t>elc_spv_IND_050</t>
  </si>
  <si>
    <t>elc_spv_IND_051</t>
  </si>
  <si>
    <t>elc_spv_IND_052</t>
  </si>
  <si>
    <t>elc_spv_IND_053</t>
  </si>
  <si>
    <t>elc_spv_IND_054</t>
  </si>
  <si>
    <t>elc_spv_IND_055</t>
  </si>
  <si>
    <t>elc_spv_IND_056</t>
  </si>
  <si>
    <t>elc_spv_IND_057</t>
  </si>
  <si>
    <t>elc_spv_IND_058</t>
  </si>
  <si>
    <t>elc_spv_IND_059</t>
  </si>
  <si>
    <t>elc_spv_IND_060</t>
  </si>
  <si>
    <t>elc_spv_IND_061</t>
  </si>
  <si>
    <t>elc_spv_IND_062</t>
  </si>
  <si>
    <t>elc_spv_IND_063</t>
  </si>
  <si>
    <t>elc_spv_IND_064</t>
  </si>
  <si>
    <t>elc_spv_IND_065</t>
  </si>
  <si>
    <t>elc_spv_IND_066</t>
  </si>
  <si>
    <t>elc_spv_IND_067</t>
  </si>
  <si>
    <t>elc_spv_IND_068</t>
  </si>
  <si>
    <t>elc_spv_IND_069</t>
  </si>
  <si>
    <t>elc_spv_IND_070</t>
  </si>
  <si>
    <t>elc_spv_IND_071</t>
  </si>
  <si>
    <t>elc_spv_IND_072</t>
  </si>
  <si>
    <t>elc_spv_IND_073</t>
  </si>
  <si>
    <t>elc_spv_IND_074</t>
  </si>
  <si>
    <t>elc_spv_IND_075</t>
  </si>
  <si>
    <t>elc_spv_IND_076</t>
  </si>
  <si>
    <t>elc_spv_IND_077</t>
  </si>
  <si>
    <t>elc_spv_IND_078</t>
  </si>
  <si>
    <t>elc_won_IND_001</t>
  </si>
  <si>
    <t>elc_won_IND_002</t>
  </si>
  <si>
    <t>elc_won_IND_003</t>
  </si>
  <si>
    <t>elc_won_IND_004</t>
  </si>
  <si>
    <t>elc_won_IND_005</t>
  </si>
  <si>
    <t>elc_won_IND_006</t>
  </si>
  <si>
    <t>elc_won_IND_007</t>
  </si>
  <si>
    <t>elc_won_IND_008</t>
  </si>
  <si>
    <t>elc_won_IND_009</t>
  </si>
  <si>
    <t>elc_won_IND_010</t>
  </si>
  <si>
    <t>elc_won_IND_011</t>
  </si>
  <si>
    <t>elc_won_IND_012</t>
  </si>
  <si>
    <t>elc_won_IND_013</t>
  </si>
  <si>
    <t>elc_won_IND_014</t>
  </si>
  <si>
    <t>elc_won_IND_015</t>
  </si>
  <si>
    <t>elc_won_IND_016</t>
  </si>
  <si>
    <t>elc_won_IND_017</t>
  </si>
  <si>
    <t>elc_won_IND_018</t>
  </si>
  <si>
    <t>elc_won_IND_019</t>
  </si>
  <si>
    <t>elc_won_IND_020</t>
  </si>
  <si>
    <t>elc_won_IND_021</t>
  </si>
  <si>
    <t>elc_won_IND_022</t>
  </si>
  <si>
    <t>elc_won_IND_023</t>
  </si>
  <si>
    <t>elc_won_IND_024</t>
  </si>
  <si>
    <t>elc_won_IND_025</t>
  </si>
  <si>
    <t>elc_won_IND_026</t>
  </si>
  <si>
    <t>elc_won_IND_027</t>
  </si>
  <si>
    <t>elc_won_IND_028</t>
  </si>
  <si>
    <t>elc_won_IND_029</t>
  </si>
  <si>
    <t>elc_won_IND_030</t>
  </si>
  <si>
    <t>elc_won_IND_031</t>
  </si>
  <si>
    <t>elc_won_IND_032</t>
  </si>
  <si>
    <t>elc_won_IND_033</t>
  </si>
  <si>
    <t>elc_won_IND_034</t>
  </si>
  <si>
    <t>elc_won_IND_035</t>
  </si>
  <si>
    <t>elc_won_IND_036</t>
  </si>
  <si>
    <t>elc_won_IND_037</t>
  </si>
  <si>
    <t>elc_won_IND_038</t>
  </si>
  <si>
    <t>elc_won_IND_039</t>
  </si>
  <si>
    <t>elc_won_IND_040</t>
  </si>
  <si>
    <t>elc_won_IND_041</t>
  </si>
  <si>
    <t>elc_won_IND_042</t>
  </si>
  <si>
    <t>elc_won_IND_043</t>
  </si>
  <si>
    <t>elc_won_IND_044</t>
  </si>
  <si>
    <t>elc_won_IND_045</t>
  </si>
  <si>
    <t>elc_won_IND_046</t>
  </si>
  <si>
    <t>elc_won_IND_047</t>
  </si>
  <si>
    <t>elc_won_IND_048</t>
  </si>
  <si>
    <t>elc_won_IND_049</t>
  </si>
  <si>
    <t>elc_won_IND_050</t>
  </si>
  <si>
    <t>elc_won_IND_051</t>
  </si>
  <si>
    <t>elc_won_IND_052</t>
  </si>
  <si>
    <t>elc_won_IND_053</t>
  </si>
  <si>
    <t>elc_won_IND_054</t>
  </si>
  <si>
    <t>elc_won_IND_055</t>
  </si>
  <si>
    <t>elc_won_IND_056</t>
  </si>
  <si>
    <t>elc_won_IND_057</t>
  </si>
  <si>
    <t>elc_won_IND_058</t>
  </si>
  <si>
    <t>elc_won_IND_059</t>
  </si>
  <si>
    <t>elc_won_IND_060</t>
  </si>
  <si>
    <t>elc_won_IND_061</t>
  </si>
  <si>
    <t>elc_won_IND_062</t>
  </si>
  <si>
    <t>elc_won_IND_063</t>
  </si>
  <si>
    <t>elc_won_IND_064</t>
  </si>
  <si>
    <t>elc_won_IND_065</t>
  </si>
  <si>
    <t>elc_won_IND_066</t>
  </si>
  <si>
    <t>elc_won_IND_067</t>
  </si>
  <si>
    <t>elc_wof_IND_001</t>
  </si>
  <si>
    <t>elc_wof_IND_002</t>
  </si>
  <si>
    <t>elc_wof_IND_003</t>
  </si>
  <si>
    <t>elc_wof_IND_004</t>
  </si>
  <si>
    <t>elc_wof_IND_005</t>
  </si>
  <si>
    <t>elc_wof_IND_006</t>
  </si>
  <si>
    <t>elc_wof_IND_007</t>
  </si>
  <si>
    <t>elc_wof_IND_008</t>
  </si>
  <si>
    <t>elc_wof_IND_009</t>
  </si>
  <si>
    <t>elc_wof_IND_010</t>
  </si>
  <si>
    <t>elc_wof_IND_011</t>
  </si>
  <si>
    <t>elc_wof_IND_012</t>
  </si>
  <si>
    <t>elc_wof_IND_013</t>
  </si>
  <si>
    <t>elc_wof_IND_014</t>
  </si>
  <si>
    <t>elc_wof_IND_015</t>
  </si>
  <si>
    <t>elc_wof_IND_016</t>
  </si>
  <si>
    <t>elc_wof_IND_017</t>
  </si>
  <si>
    <t>elc_wof_IND_018</t>
  </si>
  <si>
    <t>elc_wof_IND_019</t>
  </si>
  <si>
    <t>elc_wof_IND_020</t>
  </si>
  <si>
    <t>elc_wof_IND_021</t>
  </si>
  <si>
    <t>elc_wof_IND_022</t>
  </si>
  <si>
    <t>elc_wof_IND_023</t>
  </si>
  <si>
    <t>elc_wof_IND_024</t>
  </si>
  <si>
    <t>distr_solelc_spv_IND_001</t>
  </si>
  <si>
    <t>distr_solelc_spv_IND_002</t>
  </si>
  <si>
    <t>distr_solelc_spv_IND_003</t>
  </si>
  <si>
    <t>distr_solelc_spv_IND_004</t>
  </si>
  <si>
    <t>distr_solelc_spv_IND_005</t>
  </si>
  <si>
    <t>distr_solelc_spv_IND_006</t>
  </si>
  <si>
    <t>distr_solelc_spv_IND_007</t>
  </si>
  <si>
    <t>distr_solelc_spv_IND_008</t>
  </si>
  <si>
    <t>distr_solelc_spv_IND_009</t>
  </si>
  <si>
    <t>distr_solelc_spv_IND_010</t>
  </si>
  <si>
    <t>distr_solelc_spv_IND_011</t>
  </si>
  <si>
    <t>distr_solelc_spv_IND_012</t>
  </si>
  <si>
    <t>distr_solelc_spv_IND_013</t>
  </si>
  <si>
    <t>distr_solelc_spv_IND_014</t>
  </si>
  <si>
    <t>distr_solelc_spv_IND_015</t>
  </si>
  <si>
    <t>distr_solelc_spv_IND_016</t>
  </si>
  <si>
    <t>distr_solelc_spv_IND_017</t>
  </si>
  <si>
    <t>distr_solelc_spv_IND_018</t>
  </si>
  <si>
    <t>distr_solelc_spv_IND_019</t>
  </si>
  <si>
    <t>distr_solelc_spv_IND_020</t>
  </si>
  <si>
    <t>distr_solelc_spv_IND_021</t>
  </si>
  <si>
    <t>distr_solelc_spv_IND_022</t>
  </si>
  <si>
    <t>distr_solelc_spv_IND_023</t>
  </si>
  <si>
    <t>distr_solelc_spv_IND_024</t>
  </si>
  <si>
    <t>distr_solelc_spv_IND_025</t>
  </si>
  <si>
    <t>distr_solelc_spv_IND_026</t>
  </si>
  <si>
    <t>distr_solelc_spv_IND_027</t>
  </si>
  <si>
    <t>distr_solelc_spv_IND_028</t>
  </si>
  <si>
    <t>distr_solelc_spv_IND_029</t>
  </si>
  <si>
    <t>distr_solelc_spv_IND_030</t>
  </si>
  <si>
    <t>distr_solelc_spv_IND_031</t>
  </si>
  <si>
    <t>distr_solelc_spv_IND_032</t>
  </si>
  <si>
    <t>distr_solelc_spv_IND_033</t>
  </si>
  <si>
    <t>distr_solelc_spv_IND_034</t>
  </si>
  <si>
    <t>distr_solelc_spv_IND_035</t>
  </si>
  <si>
    <t>distr_solelc_spv_IND_036</t>
  </si>
  <si>
    <t>distr_solelc_spv_IND_037</t>
  </si>
  <si>
    <t>distr_solelc_spv_IND_038</t>
  </si>
  <si>
    <t>distr_solelc_spv_IND_039</t>
  </si>
  <si>
    <t>distr_solelc_spv_IND_040</t>
  </si>
  <si>
    <t>distr_solelc_spv_IND_041</t>
  </si>
  <si>
    <t>distr_solelc_spv_IND_042</t>
  </si>
  <si>
    <t>distr_solelc_spv_IND_043</t>
  </si>
  <si>
    <t>distr_solelc_spv_IND_044</t>
  </si>
  <si>
    <t>distr_solelc_spv_IND_045</t>
  </si>
  <si>
    <t>distr_solelc_spv_IND_046</t>
  </si>
  <si>
    <t>distr_solelc_spv_IND_047</t>
  </si>
  <si>
    <t>distr_solelc_spv_IND_048</t>
  </si>
  <si>
    <t>distr_solelc_spv_IND_049</t>
  </si>
  <si>
    <t>distr_solelc_spv_IND_050</t>
  </si>
  <si>
    <t>distr_solelc_spv_IND_051</t>
  </si>
  <si>
    <t>distr_solelc_spv_IND_052</t>
  </si>
  <si>
    <t>distr_solelc_spv_IND_053</t>
  </si>
  <si>
    <t>distr_solelc_spv_IND_054</t>
  </si>
  <si>
    <t>distr_solelc_spv_IND_055</t>
  </si>
  <si>
    <t>distr_solelc_spv_IND_056</t>
  </si>
  <si>
    <t>distr_solelc_spv_IND_057</t>
  </si>
  <si>
    <t>distr_solelc_spv_IND_058</t>
  </si>
  <si>
    <t>distr_solelc_spv_IND_059</t>
  </si>
  <si>
    <t>distr_solelc_spv_IND_060</t>
  </si>
  <si>
    <t>distr_solelc_spv_IND_061</t>
  </si>
  <si>
    <t>distr_solelc_spv_IND_062</t>
  </si>
  <si>
    <t>distr_solelc_spv_IND_063</t>
  </si>
  <si>
    <t>distr_solelc_spv_IND_064</t>
  </si>
  <si>
    <t>distr_solelc_spv_IND_065</t>
  </si>
  <si>
    <t>distr_solelc_spv_IND_066</t>
  </si>
  <si>
    <t>distr_solelc_spv_IND_067</t>
  </si>
  <si>
    <t>distr_solelc_spv_IND_068</t>
  </si>
  <si>
    <t>distr_solelc_spv_IND_069</t>
  </si>
  <si>
    <t>distr_solelc_spv_IND_070</t>
  </si>
  <si>
    <t>distr_solelc_spv_IND_071</t>
  </si>
  <si>
    <t>distr_solelc_spv_IND_072</t>
  </si>
  <si>
    <t>distr_solelc_spv_IND_073</t>
  </si>
  <si>
    <t>distr_solelc_spv_IND_074</t>
  </si>
  <si>
    <t>distr_solelc_spv_IND_075</t>
  </si>
  <si>
    <t>distr_solelc_spv_IND_076</t>
  </si>
  <si>
    <t>distr_solelc_spv_IND_077</t>
  </si>
  <si>
    <t>distr_solelc_spv_IND_078</t>
  </si>
  <si>
    <t>distr_wofelc_wof_IND_001</t>
  </si>
  <si>
    <t>distr_wofelc_wof_IND_002</t>
  </si>
  <si>
    <t>distr_wofelc_wof_IND_003</t>
  </si>
  <si>
    <t>distr_wofelc_wof_IND_004</t>
  </si>
  <si>
    <t>distr_wofelc_wof_IND_005</t>
  </si>
  <si>
    <t>distr_wofelc_wof_IND_006</t>
  </si>
  <si>
    <t>distr_wofelc_wof_IND_007</t>
  </si>
  <si>
    <t>distr_wofelc_wof_IND_008</t>
  </si>
  <si>
    <t>distr_wofelc_wof_IND_009</t>
  </si>
  <si>
    <t>distr_wofelc_wof_IND_010</t>
  </si>
  <si>
    <t>distr_wofelc_wof_IND_011</t>
  </si>
  <si>
    <t>distr_wofelc_wof_IND_012</t>
  </si>
  <si>
    <t>distr_wofelc_wof_IND_013</t>
  </si>
  <si>
    <t>distr_wofelc_wof_IND_014</t>
  </si>
  <si>
    <t>distr_wofelc_wof_IND_015</t>
  </si>
  <si>
    <t>distr_wofelc_wof_IND_016</t>
  </si>
  <si>
    <t>distr_wofelc_wof_IND_017</t>
  </si>
  <si>
    <t>distr_wofelc_wof_IND_018</t>
  </si>
  <si>
    <t>distr_wofelc_wof_IND_019</t>
  </si>
  <si>
    <t>distr_wofelc_wof_IND_020</t>
  </si>
  <si>
    <t>distr_wofelc_wof_IND_021</t>
  </si>
  <si>
    <t>distr_wofelc_wof_IND_022</t>
  </si>
  <si>
    <t>distr_wofelc_wof_IND_023</t>
  </si>
  <si>
    <t>distr_wofelc_wof_IND_024</t>
  </si>
  <si>
    <t>distr_wonelc_won_IND_001</t>
  </si>
  <si>
    <t>distr_wonelc_won_IND_002</t>
  </si>
  <si>
    <t>distr_wonelc_won_IND_003</t>
  </si>
  <si>
    <t>distr_wonelc_won_IND_004</t>
  </si>
  <si>
    <t>distr_wonelc_won_IND_005</t>
  </si>
  <si>
    <t>distr_wonelc_won_IND_006</t>
  </si>
  <si>
    <t>distr_wonelc_won_IND_007</t>
  </si>
  <si>
    <t>distr_wonelc_won_IND_008</t>
  </si>
  <si>
    <t>distr_wonelc_won_IND_009</t>
  </si>
  <si>
    <t>distr_wonelc_won_IND_010</t>
  </si>
  <si>
    <t>distr_wonelc_won_IND_011</t>
  </si>
  <si>
    <t>distr_wonelc_won_IND_012</t>
  </si>
  <si>
    <t>distr_wonelc_won_IND_013</t>
  </si>
  <si>
    <t>distr_wonelc_won_IND_014</t>
  </si>
  <si>
    <t>distr_wonelc_won_IND_015</t>
  </si>
  <si>
    <t>distr_wonelc_won_IND_016</t>
  </si>
  <si>
    <t>distr_wonelc_won_IND_017</t>
  </si>
  <si>
    <t>distr_wonelc_won_IND_018</t>
  </si>
  <si>
    <t>distr_wonelc_won_IND_019</t>
  </si>
  <si>
    <t>distr_wonelc_won_IND_020</t>
  </si>
  <si>
    <t>distr_wonelc_won_IND_021</t>
  </si>
  <si>
    <t>distr_wonelc_won_IND_022</t>
  </si>
  <si>
    <t>distr_wonelc_won_IND_023</t>
  </si>
  <si>
    <t>distr_wonelc_won_IND_024</t>
  </si>
  <si>
    <t>distr_wonelc_won_IND_025</t>
  </si>
  <si>
    <t>distr_wonelc_won_IND_026</t>
  </si>
  <si>
    <t>distr_wonelc_won_IND_027</t>
  </si>
  <si>
    <t>distr_wonelc_won_IND_028</t>
  </si>
  <si>
    <t>distr_wonelc_won_IND_029</t>
  </si>
  <si>
    <t>distr_wonelc_won_IND_030</t>
  </si>
  <si>
    <t>distr_wonelc_won_IND_031</t>
  </si>
  <si>
    <t>distr_wonelc_won_IND_032</t>
  </si>
  <si>
    <t>distr_wonelc_won_IND_033</t>
  </si>
  <si>
    <t>distr_wonelc_won_IND_034</t>
  </si>
  <si>
    <t>distr_wonelc_won_IND_035</t>
  </si>
  <si>
    <t>distr_wonelc_won_IND_036</t>
  </si>
  <si>
    <t>distr_wonelc_won_IND_037</t>
  </si>
  <si>
    <t>distr_wonelc_won_IND_038</t>
  </si>
  <si>
    <t>distr_wonelc_won_IND_039</t>
  </si>
  <si>
    <t>distr_wonelc_won_IND_040</t>
  </si>
  <si>
    <t>distr_wonelc_won_IND_041</t>
  </si>
  <si>
    <t>distr_wonelc_won_IND_042</t>
  </si>
  <si>
    <t>distr_wonelc_won_IND_043</t>
  </si>
  <si>
    <t>distr_wonelc_won_IND_044</t>
  </si>
  <si>
    <t>distr_wonelc_won_IND_045</t>
  </si>
  <si>
    <t>distr_wonelc_won_IND_046</t>
  </si>
  <si>
    <t>distr_wonelc_won_IND_047</t>
  </si>
  <si>
    <t>distr_wonelc_won_IND_048</t>
  </si>
  <si>
    <t>distr_wonelc_won_IND_049</t>
  </si>
  <si>
    <t>distr_wonelc_won_IND_050</t>
  </si>
  <si>
    <t>distr_wonelc_won_IND_051</t>
  </si>
  <si>
    <t>distr_wonelc_won_IND_052</t>
  </si>
  <si>
    <t>distr_wonelc_won_IND_053</t>
  </si>
  <si>
    <t>distr_wonelc_won_IND_054</t>
  </si>
  <si>
    <t>distr_wonelc_won_IND_055</t>
  </si>
  <si>
    <t>distr_wonelc_won_IND_056</t>
  </si>
  <si>
    <t>distr_wonelc_won_IND_057</t>
  </si>
  <si>
    <t>distr_wonelc_won_IND_058</t>
  </si>
  <si>
    <t>distr_wonelc_won_IND_059</t>
  </si>
  <si>
    <t>distr_wonelc_won_IND_060</t>
  </si>
  <si>
    <t>distr_wonelc_won_IND_061</t>
  </si>
  <si>
    <t>distr_wonelc_won_IND_062</t>
  </si>
  <si>
    <t>distr_wonelc_won_IND_063</t>
  </si>
  <si>
    <t>distr_wonelc_won_IND_064</t>
  </si>
  <si>
    <t>distr_wonelc_won_IND_065</t>
  </si>
  <si>
    <t>distr_wonelc_won_IND_066</t>
  </si>
  <si>
    <t>distr_wonelc_won_IND_067</t>
  </si>
  <si>
    <t>distr_sol*</t>
  </si>
  <si>
    <t>ELC4H</t>
  </si>
  <si>
    <t>distr_won*</t>
  </si>
  <si>
    <t>distr_wof*</t>
  </si>
  <si>
    <t>ELC8H</t>
  </si>
  <si>
    <t>other_indexes</t>
  </si>
  <si>
    <t>ncap_com</t>
  </si>
  <si>
    <t>DEF_C</t>
  </si>
  <si>
    <t>OUT</t>
  </si>
  <si>
    <t>g_yrfr</t>
  </si>
  <si>
    <t>elc_roadtransport</t>
  </si>
  <si>
    <t>day_night</t>
  </si>
  <si>
    <t>D</t>
  </si>
  <si>
    <t>S2aH2,S4aH2,S3aH2,S1aH2</t>
  </si>
  <si>
    <t>N</t>
  </si>
  <si>
    <t>S2aH3,S3aH3,S4aH1,S2aH1,S3aH1,S1aH1,S4aH3,S1aH3</t>
  </si>
  <si>
    <t>elc_buildings</t>
  </si>
  <si>
    <t>elc_industry</t>
  </si>
  <si>
    <t>com_pkflx</t>
  </si>
  <si>
    <t>Year</t>
  </si>
  <si>
    <t>ncap_afs</t>
  </si>
  <si>
    <t>pset_ci</t>
  </si>
  <si>
    <t>hydro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</si>
</sst>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2" borderId="3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6">
    <xf numFmtId="0" fontId="0" fillId="0" borderId="0" xfId="0"/>
    <xf numFmtId="0" fontId="1" fillId="0" borderId="0" xfId="0" applyFont="1"/>
    <xf numFmtId="0" fontId="4" fillId="2" borderId="3" xfId="1"/>
    <xf numFmtId="0" fontId="2" fillId="0" borderId="1" xfId="2"/>
    <xf numFmtId="0" fontId="3" fillId="0" borderId="2" xfId="3"/>
    <xf numFmtId="0" fontId="0" fillId="3" borderId="0" xfId="0" applyFill="1"/>
  </cellXfs>
  <cellStyles count="4">
    <cellStyle name="Heading 2 2" xfId="2" xr:uid="{A6AB1C46-4E7B-4C21-A104-E4DF3FE4CE4A}"/>
    <cellStyle name="Heading 3 2" xfId="3" xr:uid="{F2503A68-FC7E-4C35-8B5A-10334C80FC2A}"/>
    <cellStyle name="Input 2" xfId="1" xr:uid="{08B5D232-691F-4F66-AEAC-8298A30D4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ed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d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N32"/>
  <sheetViews>
    <sheetView workbookViewId="0">
      <selection activeCell="C29" sqref="C29"/>
    </sheetView>
  </sheetViews>
  <sheetFormatPr defaultRowHeight="15" x14ac:dyDescent="0.25"/>
  <sheetData>
    <row r="10" spans="1:4" x14ac:dyDescent="0.25">
      <c r="A10" t="str">
        <f>IFERROR([1]Veda!D5,"ts_12")</f>
        <v>ts_12</v>
      </c>
      <c r="B10" s="5"/>
      <c r="C10" s="5" t="s">
        <v>413</v>
      </c>
      <c r="D10" t="s">
        <v>46</v>
      </c>
    </row>
    <row r="11" spans="1:4" x14ac:dyDescent="0.25">
      <c r="B11" s="5"/>
      <c r="C11" s="5" t="s">
        <v>414</v>
      </c>
      <c r="D11" t="s">
        <v>415</v>
      </c>
    </row>
    <row r="12" spans="1:4" x14ac:dyDescent="0.25">
      <c r="B12" s="5"/>
      <c r="C12" s="5" t="s">
        <v>416</v>
      </c>
      <c r="D12" t="s">
        <v>417</v>
      </c>
    </row>
    <row r="17" spans="3:14" x14ac:dyDescent="0.25">
      <c r="I17" s="2">
        <v>0.75</v>
      </c>
      <c r="K17" s="1" t="s">
        <v>0</v>
      </c>
    </row>
    <row r="18" spans="3:14" ht="18" thickBot="1" x14ac:dyDescent="0.35">
      <c r="C18" s="3" t="s">
        <v>1</v>
      </c>
    </row>
    <row r="19" spans="3:14" ht="15.75" thickTop="1" x14ac:dyDescent="0.25"/>
    <row r="21" spans="3:14" ht="18" thickBot="1" x14ac:dyDescent="0.35">
      <c r="H21" s="3" t="str">
        <f>IF(H23=H24,"Not Required!","~UC_T: LO")</f>
        <v>~UC_T: LO</v>
      </c>
    </row>
    <row r="22" spans="3:14" ht="16.5" thickTop="1" thickBot="1" x14ac:dyDescent="0.3"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spans="3:14" x14ac:dyDescent="0.25">
      <c r="C23" t="s">
        <v>11</v>
      </c>
      <c r="D23" t="s">
        <v>12</v>
      </c>
      <c r="E23" t="str">
        <f>G23</f>
        <v>AuxStoIN</v>
      </c>
      <c r="F23" t="s">
        <v>13</v>
      </c>
      <c r="G23" t="s">
        <v>14</v>
      </c>
      <c r="H23" t="str">
        <f>HLOOKUP($A$10,$D$10:$CU$12,3,FALSE)</f>
        <v>S2aH3,S3aH3,S4aH1,S2aH1,S3aH1,S1aH1,S4aH3,S1aH3</v>
      </c>
      <c r="I23">
        <f>1+I24</f>
        <v>0.25</v>
      </c>
      <c r="J23">
        <v>0</v>
      </c>
      <c r="K23">
        <v>3</v>
      </c>
      <c r="M23" t="s">
        <v>15</v>
      </c>
    </row>
    <row r="24" spans="3:14" x14ac:dyDescent="0.25">
      <c r="D24" t="s">
        <v>12</v>
      </c>
      <c r="E24" t="str">
        <f>G24</f>
        <v>AuxStoIN</v>
      </c>
      <c r="F24" t="s">
        <v>13</v>
      </c>
      <c r="G24" t="s">
        <v>14</v>
      </c>
      <c r="H24" t="str">
        <f>HLOOKUP($A$10,$D$10:$CU$12,2,FALSE)</f>
        <v>S2aH2,S4aH2,S3aH2,S1aH2</v>
      </c>
      <c r="I24">
        <f>-$I$17</f>
        <v>-0.75</v>
      </c>
      <c r="M24" t="s">
        <v>16</v>
      </c>
    </row>
    <row r="29" spans="3:14" ht="18" thickBot="1" x14ac:dyDescent="0.35">
      <c r="I29" s="3" t="s">
        <v>17</v>
      </c>
    </row>
    <row r="30" spans="3:14" ht="16.5" thickTop="1" thickBot="1" x14ac:dyDescent="0.3">
      <c r="C30" s="4" t="s">
        <v>2</v>
      </c>
      <c r="D30" s="4" t="s">
        <v>18</v>
      </c>
      <c r="E30" s="4" t="s">
        <v>19</v>
      </c>
      <c r="F30" s="4" t="s">
        <v>3</v>
      </c>
      <c r="G30" s="4" t="s">
        <v>20</v>
      </c>
      <c r="H30" s="4" t="s">
        <v>6</v>
      </c>
      <c r="I30" s="4" t="s">
        <v>7</v>
      </c>
      <c r="J30" s="4" t="s">
        <v>21</v>
      </c>
      <c r="K30" s="4" t="s">
        <v>22</v>
      </c>
      <c r="L30" s="4" t="s">
        <v>23</v>
      </c>
      <c r="M30" s="4" t="s">
        <v>24</v>
      </c>
      <c r="N30" s="4" t="s">
        <v>25</v>
      </c>
    </row>
    <row r="31" spans="3:14" x14ac:dyDescent="0.25">
      <c r="C31" t="s">
        <v>26</v>
      </c>
      <c r="D31" t="s">
        <v>27</v>
      </c>
      <c r="F31" t="s">
        <v>28</v>
      </c>
      <c r="I31" t="s">
        <v>29</v>
      </c>
      <c r="J31">
        <v>1</v>
      </c>
      <c r="L31">
        <v>0</v>
      </c>
      <c r="M31">
        <v>5</v>
      </c>
      <c r="N31" t="s">
        <v>30</v>
      </c>
    </row>
    <row r="32" spans="3:14" x14ac:dyDescent="0.25">
      <c r="H32" t="s">
        <v>31</v>
      </c>
      <c r="I32" t="s">
        <v>29</v>
      </c>
      <c r="K32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37E74-6F50-414F-9627-9296F5C22213}">
  <dimension ref="A9:G14"/>
  <sheetViews>
    <sheetView workbookViewId="0"/>
  </sheetViews>
  <sheetFormatPr defaultRowHeight="15" x14ac:dyDescent="0.25"/>
  <sheetData>
    <row r="9" spans="1:7" x14ac:dyDescent="0.25">
      <c r="C9" t="str">
        <f>IF(A11="x","DeActivated","~TimeSlices")</f>
        <v>~TimeSlices</v>
      </c>
    </row>
    <row r="10" spans="1:7" x14ac:dyDescent="0.25">
      <c r="A10" t="s">
        <v>46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</row>
    <row r="11" spans="1:7" x14ac:dyDescent="0.25">
      <c r="A11" t="str">
        <f>IFERROR(IF([1]Veda!D5=A10,"ok","x"),"")</f>
        <v/>
      </c>
      <c r="C11" t="s">
        <v>37</v>
      </c>
      <c r="D11" t="s">
        <v>38</v>
      </c>
      <c r="E11" t="s">
        <v>39</v>
      </c>
      <c r="F11" t="s">
        <v>40</v>
      </c>
      <c r="G11" t="s">
        <v>38</v>
      </c>
    </row>
    <row r="12" spans="1:7" x14ac:dyDescent="0.25">
      <c r="C12" t="s">
        <v>41</v>
      </c>
      <c r="E12" t="s">
        <v>42</v>
      </c>
      <c r="G12" t="s">
        <v>38</v>
      </c>
    </row>
    <row r="13" spans="1:7" x14ac:dyDescent="0.25">
      <c r="C13" t="s">
        <v>43</v>
      </c>
      <c r="E13" t="s">
        <v>44</v>
      </c>
      <c r="G13" t="s">
        <v>38</v>
      </c>
    </row>
    <row r="14" spans="1:7" x14ac:dyDescent="0.25">
      <c r="C14" t="s">
        <v>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41965-2E96-4D54-A492-AA02DEB0FCA7}">
  <dimension ref="B9:O946"/>
  <sheetViews>
    <sheetView workbookViewId="0"/>
  </sheetViews>
  <sheetFormatPr defaultRowHeight="15" x14ac:dyDescent="0.25"/>
  <sheetData>
    <row r="9" spans="2:15" x14ac:dyDescent="0.25">
      <c r="B9" t="str">
        <f>IF(A11="x","DeActivated","~TFM_DINS-AT")</f>
        <v>~TFM_DINS-AT</v>
      </c>
      <c r="G9" t="str">
        <f>IF(A11="x","DeActivated","~TFM_DINS-AT")</f>
        <v>~TFM_DINS-AT</v>
      </c>
      <c r="L9" t="str">
        <f>IF(A11="x","DeActivated","~TFM_DINS-AT")</f>
        <v>~TFM_DINS-AT</v>
      </c>
    </row>
    <row r="10" spans="2:15" x14ac:dyDescent="0.25">
      <c r="B10" t="s">
        <v>47</v>
      </c>
      <c r="C10" t="s">
        <v>48</v>
      </c>
      <c r="D10" t="s">
        <v>49</v>
      </c>
      <c r="E10" t="s">
        <v>50</v>
      </c>
      <c r="G10" t="s">
        <v>47</v>
      </c>
      <c r="H10" t="s">
        <v>48</v>
      </c>
      <c r="I10" t="s">
        <v>49</v>
      </c>
      <c r="J10" t="s">
        <v>50</v>
      </c>
      <c r="L10" t="s">
        <v>47</v>
      </c>
      <c r="M10" t="s">
        <v>48</v>
      </c>
      <c r="N10" t="s">
        <v>49</v>
      </c>
      <c r="O10" t="s">
        <v>50</v>
      </c>
    </row>
    <row r="11" spans="2:15" x14ac:dyDescent="0.25">
      <c r="B11" t="s">
        <v>51</v>
      </c>
      <c r="C11" t="s">
        <v>52</v>
      </c>
      <c r="D11">
        <v>0</v>
      </c>
      <c r="E11" t="s">
        <v>53</v>
      </c>
      <c r="G11" t="s">
        <v>142</v>
      </c>
      <c r="H11" t="s">
        <v>52</v>
      </c>
      <c r="I11">
        <v>9.0564344019763418E-2</v>
      </c>
      <c r="J11" t="s">
        <v>53</v>
      </c>
      <c r="L11" t="s">
        <v>209</v>
      </c>
      <c r="M11" t="s">
        <v>52</v>
      </c>
      <c r="N11">
        <v>2.6864953523612768E-2</v>
      </c>
      <c r="O11" t="s">
        <v>53</v>
      </c>
    </row>
    <row r="12" spans="2:15" x14ac:dyDescent="0.25">
      <c r="B12" t="s">
        <v>51</v>
      </c>
      <c r="C12" t="s">
        <v>54</v>
      </c>
      <c r="D12">
        <v>0.26931836682356752</v>
      </c>
      <c r="E12" t="s">
        <v>53</v>
      </c>
      <c r="G12" t="s">
        <v>142</v>
      </c>
      <c r="H12" t="s">
        <v>54</v>
      </c>
      <c r="I12">
        <v>5.2991154435006918E-2</v>
      </c>
      <c r="J12" t="s">
        <v>53</v>
      </c>
      <c r="L12" t="s">
        <v>209</v>
      </c>
      <c r="M12" t="s">
        <v>54</v>
      </c>
      <c r="N12">
        <v>4.3141704217939565E-2</v>
      </c>
      <c r="O12" t="s">
        <v>53</v>
      </c>
    </row>
    <row r="13" spans="2:15" x14ac:dyDescent="0.25">
      <c r="B13" t="s">
        <v>51</v>
      </c>
      <c r="C13" t="s">
        <v>55</v>
      </c>
      <c r="D13">
        <v>8.5098266183818855E-3</v>
      </c>
      <c r="E13" t="s">
        <v>53</v>
      </c>
      <c r="G13" t="s">
        <v>142</v>
      </c>
      <c r="H13" t="s">
        <v>55</v>
      </c>
      <c r="I13">
        <v>7.2218923491529308E-2</v>
      </c>
      <c r="J13" t="s">
        <v>53</v>
      </c>
      <c r="L13" t="s">
        <v>209</v>
      </c>
      <c r="M13" t="s">
        <v>55</v>
      </c>
      <c r="N13">
        <v>2.3193706057956027E-2</v>
      </c>
      <c r="O13" t="s">
        <v>53</v>
      </c>
    </row>
    <row r="14" spans="2:15" x14ac:dyDescent="0.25">
      <c r="B14" t="s">
        <v>51</v>
      </c>
      <c r="C14" t="s">
        <v>56</v>
      </c>
      <c r="D14">
        <v>1.0123905218397917E-2</v>
      </c>
      <c r="E14" t="s">
        <v>53</v>
      </c>
      <c r="G14" t="s">
        <v>142</v>
      </c>
      <c r="H14" t="s">
        <v>56</v>
      </c>
      <c r="I14">
        <v>0.15735523530311635</v>
      </c>
      <c r="J14" t="s">
        <v>53</v>
      </c>
      <c r="L14" t="s">
        <v>209</v>
      </c>
      <c r="M14" t="s">
        <v>56</v>
      </c>
      <c r="N14">
        <v>2.6616530107698582E-2</v>
      </c>
      <c r="O14" t="s">
        <v>53</v>
      </c>
    </row>
    <row r="15" spans="2:15" x14ac:dyDescent="0.25">
      <c r="B15" t="s">
        <v>51</v>
      </c>
      <c r="C15" t="s">
        <v>57</v>
      </c>
      <c r="D15">
        <v>0.28867205624364445</v>
      </c>
      <c r="E15" t="s">
        <v>53</v>
      </c>
      <c r="G15" t="s">
        <v>142</v>
      </c>
      <c r="H15" t="s">
        <v>57</v>
      </c>
      <c r="I15">
        <v>0.112982002260584</v>
      </c>
      <c r="J15" t="s">
        <v>53</v>
      </c>
      <c r="L15" t="s">
        <v>209</v>
      </c>
      <c r="M15" t="s">
        <v>57</v>
      </c>
      <c r="N15">
        <v>3.1272165827006614E-2</v>
      </c>
      <c r="O15" t="s">
        <v>53</v>
      </c>
    </row>
    <row r="16" spans="2:15" x14ac:dyDescent="0.25">
      <c r="B16" t="s">
        <v>51</v>
      </c>
      <c r="C16" t="s">
        <v>58</v>
      </c>
      <c r="D16">
        <v>1.8063684181184817E-2</v>
      </c>
      <c r="E16" t="s">
        <v>53</v>
      </c>
      <c r="G16" t="s">
        <v>142</v>
      </c>
      <c r="H16" t="s">
        <v>58</v>
      </c>
      <c r="I16">
        <v>0.11838420182605931</v>
      </c>
      <c r="J16" t="s">
        <v>53</v>
      </c>
      <c r="L16" t="s">
        <v>209</v>
      </c>
      <c r="M16" t="s">
        <v>58</v>
      </c>
      <c r="N16">
        <v>2.1023215339605866E-2</v>
      </c>
      <c r="O16" t="s">
        <v>53</v>
      </c>
    </row>
    <row r="17" spans="2:15" x14ac:dyDescent="0.25">
      <c r="B17" t="s">
        <v>51</v>
      </c>
      <c r="C17" t="s">
        <v>59</v>
      </c>
      <c r="D17">
        <v>3.2732826714893062E-3</v>
      </c>
      <c r="E17" t="s">
        <v>53</v>
      </c>
      <c r="G17" t="s">
        <v>142</v>
      </c>
      <c r="H17" t="s">
        <v>59</v>
      </c>
      <c r="I17">
        <v>9.8916345925687071E-2</v>
      </c>
      <c r="J17" t="s">
        <v>53</v>
      </c>
      <c r="L17" t="s">
        <v>209</v>
      </c>
      <c r="M17" t="s">
        <v>59</v>
      </c>
      <c r="N17">
        <v>0.21436592302722804</v>
      </c>
      <c r="O17" t="s">
        <v>53</v>
      </c>
    </row>
    <row r="18" spans="2:15" x14ac:dyDescent="0.25">
      <c r="B18" t="s">
        <v>51</v>
      </c>
      <c r="C18" t="s">
        <v>60</v>
      </c>
      <c r="D18">
        <v>0.15116487832257405</v>
      </c>
      <c r="E18" t="s">
        <v>53</v>
      </c>
      <c r="G18" t="s">
        <v>142</v>
      </c>
      <c r="H18" t="s">
        <v>60</v>
      </c>
      <c r="I18">
        <v>9.7830472247793968E-2</v>
      </c>
      <c r="J18" t="s">
        <v>53</v>
      </c>
      <c r="L18" t="s">
        <v>209</v>
      </c>
      <c r="M18" t="s">
        <v>60</v>
      </c>
      <c r="N18">
        <v>0.27092881393455376</v>
      </c>
      <c r="O18" t="s">
        <v>53</v>
      </c>
    </row>
    <row r="19" spans="2:15" x14ac:dyDescent="0.25">
      <c r="B19" t="s">
        <v>51</v>
      </c>
      <c r="C19" t="s">
        <v>61</v>
      </c>
      <c r="D19">
        <v>7.2233253972373906E-3</v>
      </c>
      <c r="E19" t="s">
        <v>53</v>
      </c>
      <c r="G19" t="s">
        <v>142</v>
      </c>
      <c r="H19" t="s">
        <v>61</v>
      </c>
      <c r="I19">
        <v>5.4773284618571692E-2</v>
      </c>
      <c r="J19" t="s">
        <v>53</v>
      </c>
      <c r="L19" t="s">
        <v>209</v>
      </c>
      <c r="M19" t="s">
        <v>61</v>
      </c>
      <c r="N19">
        <v>0.16132304282508278</v>
      </c>
      <c r="O19" t="s">
        <v>53</v>
      </c>
    </row>
    <row r="20" spans="2:15" x14ac:dyDescent="0.25">
      <c r="B20" t="s">
        <v>51</v>
      </c>
      <c r="C20" t="s">
        <v>62</v>
      </c>
      <c r="D20">
        <v>5.562591773771516E-3</v>
      </c>
      <c r="E20" t="s">
        <v>53</v>
      </c>
      <c r="G20" t="s">
        <v>142</v>
      </c>
      <c r="H20" t="s">
        <v>62</v>
      </c>
      <c r="I20">
        <v>5.5044658807628953E-2</v>
      </c>
      <c r="J20" t="s">
        <v>53</v>
      </c>
      <c r="L20" t="s">
        <v>209</v>
      </c>
      <c r="M20" t="s">
        <v>62</v>
      </c>
      <c r="N20">
        <v>5.6107135318447007E-2</v>
      </c>
      <c r="O20" t="s">
        <v>53</v>
      </c>
    </row>
    <row r="21" spans="2:15" x14ac:dyDescent="0.25">
      <c r="B21" t="s">
        <v>51</v>
      </c>
      <c r="C21" t="s">
        <v>63</v>
      </c>
      <c r="D21">
        <v>0.23394760292163932</v>
      </c>
      <c r="E21" t="s">
        <v>53</v>
      </c>
      <c r="G21" t="s">
        <v>142</v>
      </c>
      <c r="H21" t="s">
        <v>63</v>
      </c>
      <c r="I21">
        <v>4.8863947851847424E-2</v>
      </c>
      <c r="J21" t="s">
        <v>53</v>
      </c>
      <c r="L21" t="s">
        <v>209</v>
      </c>
      <c r="M21" t="s">
        <v>63</v>
      </c>
      <c r="N21">
        <v>7.7283797461950562E-2</v>
      </c>
      <c r="O21" t="s">
        <v>53</v>
      </c>
    </row>
    <row r="22" spans="2:15" x14ac:dyDescent="0.25">
      <c r="B22" t="s">
        <v>51</v>
      </c>
      <c r="C22" t="s">
        <v>64</v>
      </c>
      <c r="D22">
        <v>4.1404798281159038E-3</v>
      </c>
      <c r="E22" t="s">
        <v>53</v>
      </c>
      <c r="G22" t="s">
        <v>142</v>
      </c>
      <c r="H22" t="s">
        <v>64</v>
      </c>
      <c r="I22">
        <v>4.0075429212409974E-2</v>
      </c>
      <c r="J22" t="s">
        <v>53</v>
      </c>
      <c r="L22" t="s">
        <v>209</v>
      </c>
      <c r="M22" t="s">
        <v>64</v>
      </c>
      <c r="N22">
        <v>4.7879012358918047E-2</v>
      </c>
      <c r="O22" t="s">
        <v>53</v>
      </c>
    </row>
    <row r="23" spans="2:15" x14ac:dyDescent="0.25">
      <c r="B23" t="s">
        <v>65</v>
      </c>
      <c r="C23" t="s">
        <v>52</v>
      </c>
      <c r="D23">
        <v>0</v>
      </c>
      <c r="E23" t="s">
        <v>53</v>
      </c>
      <c r="G23" t="s">
        <v>143</v>
      </c>
      <c r="H23" t="s">
        <v>52</v>
      </c>
      <c r="I23">
        <v>6.3536062947579491E-2</v>
      </c>
      <c r="J23" t="s">
        <v>53</v>
      </c>
      <c r="L23" t="s">
        <v>210</v>
      </c>
      <c r="M23" t="s">
        <v>52</v>
      </c>
      <c r="N23">
        <v>4.3137238723288014E-2</v>
      </c>
      <c r="O23" t="s">
        <v>53</v>
      </c>
    </row>
    <row r="24" spans="2:15" x14ac:dyDescent="0.25">
      <c r="B24" t="s">
        <v>65</v>
      </c>
      <c r="C24" t="s">
        <v>54</v>
      </c>
      <c r="D24">
        <v>0.25523908240557663</v>
      </c>
      <c r="E24" t="s">
        <v>53</v>
      </c>
      <c r="G24" t="s">
        <v>143</v>
      </c>
      <c r="H24" t="s">
        <v>54</v>
      </c>
      <c r="I24">
        <v>3.7602300446509633E-2</v>
      </c>
      <c r="J24" t="s">
        <v>53</v>
      </c>
      <c r="L24" t="s">
        <v>210</v>
      </c>
      <c r="M24" t="s">
        <v>54</v>
      </c>
      <c r="N24">
        <v>4.805498577570122E-2</v>
      </c>
      <c r="O24" t="s">
        <v>53</v>
      </c>
    </row>
    <row r="25" spans="2:15" x14ac:dyDescent="0.25">
      <c r="B25" t="s">
        <v>65</v>
      </c>
      <c r="C25" t="s">
        <v>55</v>
      </c>
      <c r="D25">
        <v>6.7858646977280793E-3</v>
      </c>
      <c r="E25" t="s">
        <v>53</v>
      </c>
      <c r="G25" t="s">
        <v>143</v>
      </c>
      <c r="H25" t="s">
        <v>55</v>
      </c>
      <c r="I25">
        <v>5.7688565482590735E-2</v>
      </c>
      <c r="J25" t="s">
        <v>53</v>
      </c>
      <c r="L25" t="s">
        <v>210</v>
      </c>
      <c r="M25" t="s">
        <v>55</v>
      </c>
      <c r="N25">
        <v>2.9209892659607977E-2</v>
      </c>
      <c r="O25" t="s">
        <v>53</v>
      </c>
    </row>
    <row r="26" spans="2:15" x14ac:dyDescent="0.25">
      <c r="B26" t="s">
        <v>65</v>
      </c>
      <c r="C26" t="s">
        <v>56</v>
      </c>
      <c r="D26">
        <v>1.0774413828890253E-2</v>
      </c>
      <c r="E26" t="s">
        <v>53</v>
      </c>
      <c r="G26" t="s">
        <v>143</v>
      </c>
      <c r="H26" t="s">
        <v>56</v>
      </c>
      <c r="I26">
        <v>0.13648420223070759</v>
      </c>
      <c r="J26" t="s">
        <v>53</v>
      </c>
      <c r="L26" t="s">
        <v>210</v>
      </c>
      <c r="M26" t="s">
        <v>56</v>
      </c>
      <c r="N26">
        <v>3.0745852931776344E-2</v>
      </c>
      <c r="O26" t="s">
        <v>53</v>
      </c>
    </row>
    <row r="27" spans="2:15" x14ac:dyDescent="0.25">
      <c r="B27" t="s">
        <v>65</v>
      </c>
      <c r="C27" t="s">
        <v>57</v>
      </c>
      <c r="D27">
        <v>0.2792496189128636</v>
      </c>
      <c r="E27" t="s">
        <v>53</v>
      </c>
      <c r="G27" t="s">
        <v>143</v>
      </c>
      <c r="H27" t="s">
        <v>57</v>
      </c>
      <c r="I27">
        <v>0.11532713715975891</v>
      </c>
      <c r="J27" t="s">
        <v>53</v>
      </c>
      <c r="L27" t="s">
        <v>210</v>
      </c>
      <c r="M27" t="s">
        <v>57</v>
      </c>
      <c r="N27">
        <v>2.7929661924504721E-2</v>
      </c>
      <c r="O27" t="s">
        <v>53</v>
      </c>
    </row>
    <row r="28" spans="2:15" x14ac:dyDescent="0.25">
      <c r="B28" t="s">
        <v>65</v>
      </c>
      <c r="C28" t="s">
        <v>58</v>
      </c>
      <c r="D28">
        <v>1.7021889835034654E-2</v>
      </c>
      <c r="E28" t="s">
        <v>53</v>
      </c>
      <c r="G28" t="s">
        <v>143</v>
      </c>
      <c r="H28" t="s">
        <v>58</v>
      </c>
      <c r="I28">
        <v>0.10659040066994689</v>
      </c>
      <c r="J28" t="s">
        <v>53</v>
      </c>
      <c r="L28" t="s">
        <v>210</v>
      </c>
      <c r="M28" t="s">
        <v>58</v>
      </c>
      <c r="N28">
        <v>2.3818044760166194E-2</v>
      </c>
      <c r="O28" t="s">
        <v>53</v>
      </c>
    </row>
    <row r="29" spans="2:15" x14ac:dyDescent="0.25">
      <c r="B29" t="s">
        <v>65</v>
      </c>
      <c r="C29" t="s">
        <v>59</v>
      </c>
      <c r="D29">
        <v>4.9034567561598548E-3</v>
      </c>
      <c r="E29" t="s">
        <v>53</v>
      </c>
      <c r="G29" t="s">
        <v>143</v>
      </c>
      <c r="H29" t="s">
        <v>59</v>
      </c>
      <c r="I29">
        <v>0.13758574659616649</v>
      </c>
      <c r="J29" t="s">
        <v>53</v>
      </c>
      <c r="L29" t="s">
        <v>210</v>
      </c>
      <c r="M29" t="s">
        <v>59</v>
      </c>
      <c r="N29">
        <v>0.21665995205681596</v>
      </c>
      <c r="O29" t="s">
        <v>53</v>
      </c>
    </row>
    <row r="30" spans="2:15" x14ac:dyDescent="0.25">
      <c r="B30" t="s">
        <v>65</v>
      </c>
      <c r="C30" t="s">
        <v>60</v>
      </c>
      <c r="D30">
        <v>0.17115070009183195</v>
      </c>
      <c r="E30" t="s">
        <v>53</v>
      </c>
      <c r="G30" t="s">
        <v>143</v>
      </c>
      <c r="H30" t="s">
        <v>60</v>
      </c>
      <c r="I30">
        <v>0.13936198634445696</v>
      </c>
      <c r="J30" t="s">
        <v>53</v>
      </c>
      <c r="L30" t="s">
        <v>210</v>
      </c>
      <c r="M30" t="s">
        <v>60</v>
      </c>
      <c r="N30">
        <v>0.26899008679671549</v>
      </c>
      <c r="O30" t="s">
        <v>53</v>
      </c>
    </row>
    <row r="31" spans="2:15" x14ac:dyDescent="0.25">
      <c r="B31" t="s">
        <v>65</v>
      </c>
      <c r="C31" t="s">
        <v>61</v>
      </c>
      <c r="D31">
        <v>9.0842660670363874E-3</v>
      </c>
      <c r="E31" t="s">
        <v>53</v>
      </c>
      <c r="G31" t="s">
        <v>143</v>
      </c>
      <c r="H31" t="s">
        <v>61</v>
      </c>
      <c r="I31">
        <v>7.4386819875478474E-2</v>
      </c>
      <c r="J31" t="s">
        <v>53</v>
      </c>
      <c r="L31" t="s">
        <v>210</v>
      </c>
      <c r="M31" t="s">
        <v>61</v>
      </c>
      <c r="N31">
        <v>0.16215053381787417</v>
      </c>
      <c r="O31" t="s">
        <v>53</v>
      </c>
    </row>
    <row r="32" spans="2:15" x14ac:dyDescent="0.25">
      <c r="B32" t="s">
        <v>65</v>
      </c>
      <c r="C32" t="s">
        <v>62</v>
      </c>
      <c r="D32">
        <v>5.8971387501435338E-3</v>
      </c>
      <c r="E32" t="s">
        <v>53</v>
      </c>
      <c r="G32" t="s">
        <v>143</v>
      </c>
      <c r="H32" t="s">
        <v>62</v>
      </c>
      <c r="I32">
        <v>4.8988894884699118E-2</v>
      </c>
      <c r="J32" t="s">
        <v>53</v>
      </c>
      <c r="L32" t="s">
        <v>210</v>
      </c>
      <c r="M32" t="s">
        <v>62</v>
      </c>
      <c r="N32">
        <v>4.5889101486142454E-2</v>
      </c>
      <c r="O32" t="s">
        <v>53</v>
      </c>
    </row>
    <row r="33" spans="2:15" x14ac:dyDescent="0.25">
      <c r="B33" t="s">
        <v>65</v>
      </c>
      <c r="C33" t="s">
        <v>63</v>
      </c>
      <c r="D33">
        <v>0.23584236457411994</v>
      </c>
      <c r="E33" t="s">
        <v>53</v>
      </c>
      <c r="G33" t="s">
        <v>143</v>
      </c>
      <c r="H33" t="s">
        <v>63</v>
      </c>
      <c r="I33">
        <v>5.3511788637494881E-2</v>
      </c>
      <c r="J33" t="s">
        <v>53</v>
      </c>
      <c r="L33" t="s">
        <v>210</v>
      </c>
      <c r="M33" t="s">
        <v>63</v>
      </c>
      <c r="N33">
        <v>6.4985465870715881E-2</v>
      </c>
      <c r="O33" t="s">
        <v>53</v>
      </c>
    </row>
    <row r="34" spans="2:15" x14ac:dyDescent="0.25">
      <c r="B34" t="s">
        <v>65</v>
      </c>
      <c r="C34" t="s">
        <v>64</v>
      </c>
      <c r="D34">
        <v>4.0512040806125029E-3</v>
      </c>
      <c r="E34" t="s">
        <v>53</v>
      </c>
      <c r="G34" t="s">
        <v>143</v>
      </c>
      <c r="H34" t="s">
        <v>64</v>
      </c>
      <c r="I34">
        <v>2.8936094724612078E-2</v>
      </c>
      <c r="J34" t="s">
        <v>53</v>
      </c>
      <c r="L34" t="s">
        <v>210</v>
      </c>
      <c r="M34" t="s">
        <v>64</v>
      </c>
      <c r="N34">
        <v>3.8429183196693036E-2</v>
      </c>
      <c r="O34" t="s">
        <v>53</v>
      </c>
    </row>
    <row r="35" spans="2:15" x14ac:dyDescent="0.25">
      <c r="B35" t="s">
        <v>66</v>
      </c>
      <c r="C35" t="s">
        <v>52</v>
      </c>
      <c r="D35">
        <v>1.3070731733957365E-4</v>
      </c>
      <c r="E35" t="s">
        <v>53</v>
      </c>
      <c r="G35" t="s">
        <v>144</v>
      </c>
      <c r="H35" t="s">
        <v>52</v>
      </c>
      <c r="I35">
        <v>8.1654878049063392E-2</v>
      </c>
      <c r="J35" t="s">
        <v>53</v>
      </c>
      <c r="L35" t="s">
        <v>211</v>
      </c>
      <c r="M35" t="s">
        <v>52</v>
      </c>
      <c r="N35">
        <v>6.9003625310975897E-2</v>
      </c>
      <c r="O35" t="s">
        <v>53</v>
      </c>
    </row>
    <row r="36" spans="2:15" x14ac:dyDescent="0.25">
      <c r="B36" t="s">
        <v>66</v>
      </c>
      <c r="C36" t="s">
        <v>54</v>
      </c>
      <c r="D36">
        <v>0.26624831928178994</v>
      </c>
      <c r="E36" t="s">
        <v>53</v>
      </c>
      <c r="G36" t="s">
        <v>144</v>
      </c>
      <c r="H36" t="s">
        <v>54</v>
      </c>
      <c r="I36">
        <v>4.5516922986377523E-2</v>
      </c>
      <c r="J36" t="s">
        <v>53</v>
      </c>
      <c r="L36" t="s">
        <v>211</v>
      </c>
      <c r="M36" t="s">
        <v>54</v>
      </c>
      <c r="N36">
        <v>5.1124112927442969E-2</v>
      </c>
      <c r="O36" t="s">
        <v>53</v>
      </c>
    </row>
    <row r="37" spans="2:15" x14ac:dyDescent="0.25">
      <c r="B37" t="s">
        <v>66</v>
      </c>
      <c r="C37" t="s">
        <v>55</v>
      </c>
      <c r="D37">
        <v>4.8491821294809516E-3</v>
      </c>
      <c r="E37" t="s">
        <v>53</v>
      </c>
      <c r="G37" t="s">
        <v>144</v>
      </c>
      <c r="H37" t="s">
        <v>55</v>
      </c>
      <c r="I37">
        <v>6.3980235549456421E-2</v>
      </c>
      <c r="J37" t="s">
        <v>53</v>
      </c>
      <c r="L37" t="s">
        <v>211</v>
      </c>
      <c r="M37" t="s">
        <v>55</v>
      </c>
      <c r="N37">
        <v>5.316898088658082E-2</v>
      </c>
      <c r="O37" t="s">
        <v>53</v>
      </c>
    </row>
    <row r="38" spans="2:15" x14ac:dyDescent="0.25">
      <c r="B38" t="s">
        <v>66</v>
      </c>
      <c r="C38" t="s">
        <v>56</v>
      </c>
      <c r="D38">
        <v>1.6172031008230142E-2</v>
      </c>
      <c r="E38" t="s">
        <v>53</v>
      </c>
      <c r="G38" t="s">
        <v>144</v>
      </c>
      <c r="H38" t="s">
        <v>56</v>
      </c>
      <c r="I38">
        <v>0.12265493379702566</v>
      </c>
      <c r="J38" t="s">
        <v>53</v>
      </c>
      <c r="L38" t="s">
        <v>211</v>
      </c>
      <c r="M38" t="s">
        <v>56</v>
      </c>
      <c r="N38">
        <v>4.2876988407876564E-2</v>
      </c>
      <c r="O38" t="s">
        <v>53</v>
      </c>
    </row>
    <row r="39" spans="2:15" x14ac:dyDescent="0.25">
      <c r="B39" t="s">
        <v>66</v>
      </c>
      <c r="C39" t="s">
        <v>57</v>
      </c>
      <c r="D39">
        <v>0.29076432606567382</v>
      </c>
      <c r="E39" t="s">
        <v>53</v>
      </c>
      <c r="G39" t="s">
        <v>144</v>
      </c>
      <c r="H39" t="s">
        <v>57</v>
      </c>
      <c r="I39">
        <v>0.10720246850932114</v>
      </c>
      <c r="J39" t="s">
        <v>53</v>
      </c>
      <c r="L39" t="s">
        <v>211</v>
      </c>
      <c r="M39" t="s">
        <v>57</v>
      </c>
      <c r="N39">
        <v>4.2039320351343737E-2</v>
      </c>
      <c r="O39" t="s">
        <v>53</v>
      </c>
    </row>
    <row r="40" spans="2:15" x14ac:dyDescent="0.25">
      <c r="B40" t="s">
        <v>66</v>
      </c>
      <c r="C40" t="s">
        <v>58</v>
      </c>
      <c r="D40">
        <v>1.4002988119707144E-2</v>
      </c>
      <c r="E40" t="s">
        <v>53</v>
      </c>
      <c r="G40" t="s">
        <v>144</v>
      </c>
      <c r="H40" t="s">
        <v>58</v>
      </c>
      <c r="I40">
        <v>0.10746058540938219</v>
      </c>
      <c r="J40" t="s">
        <v>53</v>
      </c>
      <c r="L40" t="s">
        <v>211</v>
      </c>
      <c r="M40" t="s">
        <v>58</v>
      </c>
      <c r="N40">
        <v>4.3119891118301085E-2</v>
      </c>
      <c r="O40" t="s">
        <v>53</v>
      </c>
    </row>
    <row r="41" spans="2:15" x14ac:dyDescent="0.25">
      <c r="B41" t="s">
        <v>66</v>
      </c>
      <c r="C41" t="s">
        <v>59</v>
      </c>
      <c r="D41">
        <v>5.0689711334313747E-3</v>
      </c>
      <c r="E41" t="s">
        <v>53</v>
      </c>
      <c r="G41" t="s">
        <v>144</v>
      </c>
      <c r="H41" t="s">
        <v>59</v>
      </c>
      <c r="I41">
        <v>0.10967415509767084</v>
      </c>
      <c r="J41" t="s">
        <v>53</v>
      </c>
      <c r="L41" t="s">
        <v>211</v>
      </c>
      <c r="M41" t="s">
        <v>59</v>
      </c>
      <c r="N41">
        <v>0.19116175604669408</v>
      </c>
      <c r="O41" t="s">
        <v>53</v>
      </c>
    </row>
    <row r="42" spans="2:15" x14ac:dyDescent="0.25">
      <c r="B42" t="s">
        <v>66</v>
      </c>
      <c r="C42" t="s">
        <v>60</v>
      </c>
      <c r="D42">
        <v>0.14648002473203561</v>
      </c>
      <c r="E42" t="s">
        <v>53</v>
      </c>
      <c r="G42" t="s">
        <v>144</v>
      </c>
      <c r="H42" t="s">
        <v>60</v>
      </c>
      <c r="I42">
        <v>0.11394196516564642</v>
      </c>
      <c r="J42" t="s">
        <v>53</v>
      </c>
      <c r="L42" t="s">
        <v>211</v>
      </c>
      <c r="M42" t="s">
        <v>60</v>
      </c>
      <c r="N42">
        <v>0.23989335395701428</v>
      </c>
      <c r="O42" t="s">
        <v>53</v>
      </c>
    </row>
    <row r="43" spans="2:15" x14ac:dyDescent="0.25">
      <c r="B43" t="s">
        <v>66</v>
      </c>
      <c r="C43" t="s">
        <v>61</v>
      </c>
      <c r="D43">
        <v>5.4572618042780571E-3</v>
      </c>
      <c r="E43" t="s">
        <v>53</v>
      </c>
      <c r="G43" t="s">
        <v>144</v>
      </c>
      <c r="H43" t="s">
        <v>61</v>
      </c>
      <c r="I43">
        <v>6.7745539398072832E-2</v>
      </c>
      <c r="J43" t="s">
        <v>53</v>
      </c>
      <c r="L43" t="s">
        <v>211</v>
      </c>
      <c r="M43" t="s">
        <v>61</v>
      </c>
      <c r="N43">
        <v>0.14875655697458157</v>
      </c>
      <c r="O43" t="s">
        <v>53</v>
      </c>
    </row>
    <row r="44" spans="2:15" x14ac:dyDescent="0.25">
      <c r="B44" t="s">
        <v>66</v>
      </c>
      <c r="C44" t="s">
        <v>62</v>
      </c>
      <c r="D44">
        <v>8.8622580041246568E-3</v>
      </c>
      <c r="E44" t="s">
        <v>53</v>
      </c>
      <c r="G44" t="s">
        <v>144</v>
      </c>
      <c r="H44" t="s">
        <v>62</v>
      </c>
      <c r="I44">
        <v>6.9799944629929014E-2</v>
      </c>
      <c r="J44" t="s">
        <v>53</v>
      </c>
      <c r="L44" t="s">
        <v>211</v>
      </c>
      <c r="M44" t="s">
        <v>62</v>
      </c>
      <c r="N44">
        <v>3.9847684202866954E-2</v>
      </c>
      <c r="O44" t="s">
        <v>53</v>
      </c>
    </row>
    <row r="45" spans="2:15" x14ac:dyDescent="0.25">
      <c r="B45" t="s">
        <v>66</v>
      </c>
      <c r="C45" t="s">
        <v>63</v>
      </c>
      <c r="D45">
        <v>0.23940959144061102</v>
      </c>
      <c r="E45" t="s">
        <v>53</v>
      </c>
      <c r="G45" t="s">
        <v>144</v>
      </c>
      <c r="H45" t="s">
        <v>63</v>
      </c>
      <c r="I45">
        <v>6.3830373557499057E-2</v>
      </c>
      <c r="J45" t="s">
        <v>53</v>
      </c>
      <c r="L45" t="s">
        <v>211</v>
      </c>
      <c r="M45" t="s">
        <v>63</v>
      </c>
      <c r="N45">
        <v>4.9554636623264786E-2</v>
      </c>
      <c r="O45" t="s">
        <v>53</v>
      </c>
    </row>
    <row r="46" spans="2:15" x14ac:dyDescent="0.25">
      <c r="B46" t="s">
        <v>66</v>
      </c>
      <c r="C46" t="s">
        <v>64</v>
      </c>
      <c r="D46">
        <v>2.554338963297033E-3</v>
      </c>
      <c r="E46" t="s">
        <v>53</v>
      </c>
      <c r="G46" t="s">
        <v>144</v>
      </c>
      <c r="H46" t="s">
        <v>64</v>
      </c>
      <c r="I46">
        <v>4.653799785055189E-2</v>
      </c>
      <c r="J46" t="s">
        <v>53</v>
      </c>
      <c r="L46" t="s">
        <v>211</v>
      </c>
      <c r="M46" t="s">
        <v>64</v>
      </c>
      <c r="N46">
        <v>2.9453093193060446E-2</v>
      </c>
      <c r="O46" t="s">
        <v>53</v>
      </c>
    </row>
    <row r="47" spans="2:15" x14ac:dyDescent="0.25">
      <c r="B47" t="s">
        <v>67</v>
      </c>
      <c r="C47" t="s">
        <v>52</v>
      </c>
      <c r="D47">
        <v>0</v>
      </c>
      <c r="E47" t="s">
        <v>53</v>
      </c>
      <c r="G47" t="s">
        <v>145</v>
      </c>
      <c r="H47" t="s">
        <v>52</v>
      </c>
      <c r="I47">
        <v>0.11237563403323467</v>
      </c>
      <c r="J47" t="s">
        <v>53</v>
      </c>
      <c r="L47" t="s">
        <v>212</v>
      </c>
      <c r="M47" t="s">
        <v>52</v>
      </c>
      <c r="N47">
        <v>6.3719835436046146E-2</v>
      </c>
      <c r="O47" t="s">
        <v>53</v>
      </c>
    </row>
    <row r="48" spans="2:15" x14ac:dyDescent="0.25">
      <c r="B48" t="s">
        <v>67</v>
      </c>
      <c r="C48" t="s">
        <v>54</v>
      </c>
      <c r="D48">
        <v>0.27628933461252481</v>
      </c>
      <c r="E48" t="s">
        <v>53</v>
      </c>
      <c r="G48" t="s">
        <v>145</v>
      </c>
      <c r="H48" t="s">
        <v>54</v>
      </c>
      <c r="I48">
        <v>7.821789512601407E-2</v>
      </c>
      <c r="J48" t="s">
        <v>53</v>
      </c>
      <c r="L48" t="s">
        <v>212</v>
      </c>
      <c r="M48" t="s">
        <v>54</v>
      </c>
      <c r="N48">
        <v>5.7361067347443805E-2</v>
      </c>
      <c r="O48" t="s">
        <v>53</v>
      </c>
    </row>
    <row r="49" spans="2:15" x14ac:dyDescent="0.25">
      <c r="B49" t="s">
        <v>67</v>
      </c>
      <c r="C49" t="s">
        <v>55</v>
      </c>
      <c r="D49">
        <v>9.7922365261937042E-3</v>
      </c>
      <c r="E49" t="s">
        <v>53</v>
      </c>
      <c r="G49" t="s">
        <v>145</v>
      </c>
      <c r="H49" t="s">
        <v>55</v>
      </c>
      <c r="I49">
        <v>9.3651844608128004E-2</v>
      </c>
      <c r="J49" t="s">
        <v>53</v>
      </c>
      <c r="L49" t="s">
        <v>212</v>
      </c>
      <c r="M49" t="s">
        <v>55</v>
      </c>
      <c r="N49">
        <v>5.5890349634123884E-2</v>
      </c>
      <c r="O49" t="s">
        <v>53</v>
      </c>
    </row>
    <row r="50" spans="2:15" x14ac:dyDescent="0.25">
      <c r="B50" t="s">
        <v>67</v>
      </c>
      <c r="C50" t="s">
        <v>56</v>
      </c>
      <c r="D50">
        <v>1.0075486132320084E-2</v>
      </c>
      <c r="E50" t="s">
        <v>53</v>
      </c>
      <c r="G50" t="s">
        <v>145</v>
      </c>
      <c r="H50" t="s">
        <v>56</v>
      </c>
      <c r="I50">
        <v>0.13751443605810637</v>
      </c>
      <c r="J50" t="s">
        <v>53</v>
      </c>
      <c r="L50" t="s">
        <v>212</v>
      </c>
      <c r="M50" t="s">
        <v>56</v>
      </c>
      <c r="N50">
        <v>4.8565538621519987E-2</v>
      </c>
      <c r="O50" t="s">
        <v>53</v>
      </c>
    </row>
    <row r="51" spans="2:15" x14ac:dyDescent="0.25">
      <c r="B51" t="s">
        <v>67</v>
      </c>
      <c r="C51" t="s">
        <v>57</v>
      </c>
      <c r="D51">
        <v>0.29438639936960503</v>
      </c>
      <c r="E51" t="s">
        <v>53</v>
      </c>
      <c r="G51" t="s">
        <v>145</v>
      </c>
      <c r="H51" t="s">
        <v>57</v>
      </c>
      <c r="I51">
        <v>0.13544330702744364</v>
      </c>
      <c r="J51" t="s">
        <v>53</v>
      </c>
      <c r="L51" t="s">
        <v>212</v>
      </c>
      <c r="M51" t="s">
        <v>57</v>
      </c>
      <c r="N51">
        <v>5.95124167949602E-2</v>
      </c>
      <c r="O51" t="s">
        <v>53</v>
      </c>
    </row>
    <row r="52" spans="2:15" x14ac:dyDescent="0.25">
      <c r="B52" t="s">
        <v>67</v>
      </c>
      <c r="C52" t="s">
        <v>58</v>
      </c>
      <c r="D52">
        <v>1.8010566613459223E-2</v>
      </c>
      <c r="E52" t="s">
        <v>53</v>
      </c>
      <c r="G52" t="s">
        <v>145</v>
      </c>
      <c r="H52" t="s">
        <v>58</v>
      </c>
      <c r="I52">
        <v>0.13554681694235401</v>
      </c>
      <c r="J52" t="s">
        <v>53</v>
      </c>
      <c r="L52" t="s">
        <v>212</v>
      </c>
      <c r="M52" t="s">
        <v>58</v>
      </c>
      <c r="N52">
        <v>4.4251506365273779E-2</v>
      </c>
      <c r="O52" t="s">
        <v>53</v>
      </c>
    </row>
    <row r="53" spans="2:15" x14ac:dyDescent="0.25">
      <c r="B53" t="s">
        <v>67</v>
      </c>
      <c r="C53" t="s">
        <v>59</v>
      </c>
      <c r="D53">
        <v>2.9989088894681634E-3</v>
      </c>
      <c r="E53" t="s">
        <v>53</v>
      </c>
      <c r="G53" t="s">
        <v>145</v>
      </c>
      <c r="H53" t="s">
        <v>59</v>
      </c>
      <c r="I53">
        <v>7.4987743554357528E-2</v>
      </c>
      <c r="J53" t="s">
        <v>53</v>
      </c>
      <c r="L53" t="s">
        <v>212</v>
      </c>
      <c r="M53" t="s">
        <v>59</v>
      </c>
      <c r="N53">
        <v>0.18437824069129824</v>
      </c>
      <c r="O53" t="s">
        <v>53</v>
      </c>
    </row>
    <row r="54" spans="2:15" x14ac:dyDescent="0.25">
      <c r="B54" t="s">
        <v>67</v>
      </c>
      <c r="C54" t="s">
        <v>60</v>
      </c>
      <c r="D54">
        <v>0.1415936330035043</v>
      </c>
      <c r="E54" t="s">
        <v>53</v>
      </c>
      <c r="G54" t="s">
        <v>145</v>
      </c>
      <c r="H54" t="s">
        <v>60</v>
      </c>
      <c r="I54">
        <v>6.3970581524426265E-2</v>
      </c>
      <c r="J54" t="s">
        <v>53</v>
      </c>
      <c r="L54" t="s">
        <v>212</v>
      </c>
      <c r="M54" t="s">
        <v>60</v>
      </c>
      <c r="N54">
        <v>0.23463430601307755</v>
      </c>
      <c r="O54" t="s">
        <v>53</v>
      </c>
    </row>
    <row r="55" spans="2:15" x14ac:dyDescent="0.25">
      <c r="B55" t="s">
        <v>67</v>
      </c>
      <c r="C55" t="s">
        <v>61</v>
      </c>
      <c r="D55">
        <v>5.6904882733210555E-3</v>
      </c>
      <c r="E55" t="s">
        <v>53</v>
      </c>
      <c r="G55" t="s">
        <v>145</v>
      </c>
      <c r="H55" t="s">
        <v>61</v>
      </c>
      <c r="I55">
        <v>3.9502958744575538E-2</v>
      </c>
      <c r="J55" t="s">
        <v>53</v>
      </c>
      <c r="L55" t="s">
        <v>212</v>
      </c>
      <c r="M55" t="s">
        <v>61</v>
      </c>
      <c r="N55">
        <v>0.13996549953786572</v>
      </c>
      <c r="O55" t="s">
        <v>53</v>
      </c>
    </row>
    <row r="56" spans="2:15" x14ac:dyDescent="0.25">
      <c r="B56" t="s">
        <v>67</v>
      </c>
      <c r="C56" t="s">
        <v>62</v>
      </c>
      <c r="D56">
        <v>5.502964204482267E-3</v>
      </c>
      <c r="E56" t="s">
        <v>53</v>
      </c>
      <c r="G56" t="s">
        <v>145</v>
      </c>
      <c r="H56" t="s">
        <v>62</v>
      </c>
      <c r="I56">
        <v>5.0331660325423966E-2</v>
      </c>
      <c r="J56" t="s">
        <v>53</v>
      </c>
      <c r="L56" t="s">
        <v>212</v>
      </c>
      <c r="M56" t="s">
        <v>62</v>
      </c>
      <c r="N56">
        <v>3.8454395230952385E-2</v>
      </c>
      <c r="O56" t="s">
        <v>53</v>
      </c>
    </row>
    <row r="57" spans="2:15" x14ac:dyDescent="0.25">
      <c r="B57" t="s">
        <v>67</v>
      </c>
      <c r="C57" t="s">
        <v>63</v>
      </c>
      <c r="D57">
        <v>0.23142384177811637</v>
      </c>
      <c r="E57" t="s">
        <v>53</v>
      </c>
      <c r="G57" t="s">
        <v>145</v>
      </c>
      <c r="H57" t="s">
        <v>63</v>
      </c>
      <c r="I57">
        <v>3.9518729808541986E-2</v>
      </c>
      <c r="J57" t="s">
        <v>53</v>
      </c>
      <c r="L57" t="s">
        <v>212</v>
      </c>
      <c r="M57" t="s">
        <v>63</v>
      </c>
      <c r="N57">
        <v>4.3323206192968693E-2</v>
      </c>
      <c r="O57" t="s">
        <v>53</v>
      </c>
    </row>
    <row r="58" spans="2:15" x14ac:dyDescent="0.25">
      <c r="B58" t="s">
        <v>67</v>
      </c>
      <c r="C58" t="s">
        <v>64</v>
      </c>
      <c r="D58">
        <v>4.2361405970041278E-3</v>
      </c>
      <c r="E58" t="s">
        <v>53</v>
      </c>
      <c r="G58" t="s">
        <v>145</v>
      </c>
      <c r="H58" t="s">
        <v>64</v>
      </c>
      <c r="I58">
        <v>3.8938392247390576E-2</v>
      </c>
      <c r="J58" t="s">
        <v>53</v>
      </c>
      <c r="L58" t="s">
        <v>212</v>
      </c>
      <c r="M58" t="s">
        <v>64</v>
      </c>
      <c r="N58">
        <v>2.9943638134475158E-2</v>
      </c>
      <c r="O58" t="s">
        <v>53</v>
      </c>
    </row>
    <row r="59" spans="2:15" x14ac:dyDescent="0.25">
      <c r="B59" t="s">
        <v>68</v>
      </c>
      <c r="C59" t="s">
        <v>52</v>
      </c>
      <c r="D59">
        <v>0</v>
      </c>
      <c r="E59" t="s">
        <v>53</v>
      </c>
      <c r="G59" t="s">
        <v>146</v>
      </c>
      <c r="H59" t="s">
        <v>52</v>
      </c>
      <c r="I59">
        <v>0.12497437751454876</v>
      </c>
      <c r="J59" t="s">
        <v>53</v>
      </c>
      <c r="L59" t="s">
        <v>213</v>
      </c>
      <c r="M59" t="s">
        <v>52</v>
      </c>
      <c r="N59">
        <v>6.9750878223345761E-2</v>
      </c>
      <c r="O59" t="s">
        <v>53</v>
      </c>
    </row>
    <row r="60" spans="2:15" x14ac:dyDescent="0.25">
      <c r="B60" t="s">
        <v>68</v>
      </c>
      <c r="C60" t="s">
        <v>54</v>
      </c>
      <c r="D60">
        <v>0.27640129936862862</v>
      </c>
      <c r="E60" t="s">
        <v>53</v>
      </c>
      <c r="G60" t="s">
        <v>146</v>
      </c>
      <c r="H60" t="s">
        <v>54</v>
      </c>
      <c r="I60">
        <v>9.7819240566822951E-2</v>
      </c>
      <c r="J60" t="s">
        <v>53</v>
      </c>
      <c r="L60" t="s">
        <v>213</v>
      </c>
      <c r="M60" t="s">
        <v>54</v>
      </c>
      <c r="N60">
        <v>5.1579232034629746E-2</v>
      </c>
      <c r="O60" t="s">
        <v>53</v>
      </c>
    </row>
    <row r="61" spans="2:15" x14ac:dyDescent="0.25">
      <c r="B61" t="s">
        <v>68</v>
      </c>
      <c r="C61" t="s">
        <v>55</v>
      </c>
      <c r="D61">
        <v>7.1719262494430698E-3</v>
      </c>
      <c r="E61" t="s">
        <v>53</v>
      </c>
      <c r="G61" t="s">
        <v>146</v>
      </c>
      <c r="H61" t="s">
        <v>55</v>
      </c>
      <c r="I61">
        <v>0.10340040267465314</v>
      </c>
      <c r="J61" t="s">
        <v>53</v>
      </c>
      <c r="L61" t="s">
        <v>213</v>
      </c>
      <c r="M61" t="s">
        <v>55</v>
      </c>
      <c r="N61">
        <v>5.7602053862640744E-2</v>
      </c>
      <c r="O61" t="s">
        <v>53</v>
      </c>
    </row>
    <row r="62" spans="2:15" x14ac:dyDescent="0.25">
      <c r="B62" t="s">
        <v>68</v>
      </c>
      <c r="C62" t="s">
        <v>56</v>
      </c>
      <c r="D62">
        <v>1.3499079895930573E-2</v>
      </c>
      <c r="E62" t="s">
        <v>53</v>
      </c>
      <c r="G62" t="s">
        <v>146</v>
      </c>
      <c r="H62" t="s">
        <v>56</v>
      </c>
      <c r="I62">
        <v>0.13040878812840748</v>
      </c>
      <c r="J62" t="s">
        <v>53</v>
      </c>
      <c r="L62" t="s">
        <v>213</v>
      </c>
      <c r="M62" t="s">
        <v>56</v>
      </c>
      <c r="N62">
        <v>4.905604750344307E-2</v>
      </c>
      <c r="O62" t="s">
        <v>53</v>
      </c>
    </row>
    <row r="63" spans="2:15" x14ac:dyDescent="0.25">
      <c r="B63" t="s">
        <v>68</v>
      </c>
      <c r="C63" t="s">
        <v>57</v>
      </c>
      <c r="D63">
        <v>0.30016498232954131</v>
      </c>
      <c r="E63" t="s">
        <v>53</v>
      </c>
      <c r="G63" t="s">
        <v>146</v>
      </c>
      <c r="H63" t="s">
        <v>57</v>
      </c>
      <c r="I63">
        <v>0.10631782998363019</v>
      </c>
      <c r="J63" t="s">
        <v>53</v>
      </c>
      <c r="L63" t="s">
        <v>213</v>
      </c>
      <c r="M63" t="s">
        <v>57</v>
      </c>
      <c r="N63">
        <v>5.247480059316998E-2</v>
      </c>
      <c r="O63" t="s">
        <v>53</v>
      </c>
    </row>
    <row r="64" spans="2:15" x14ac:dyDescent="0.25">
      <c r="B64" t="s">
        <v>68</v>
      </c>
      <c r="C64" t="s">
        <v>58</v>
      </c>
      <c r="D64">
        <v>1.606587569688666E-2</v>
      </c>
      <c r="E64" t="s">
        <v>53</v>
      </c>
      <c r="G64" t="s">
        <v>146</v>
      </c>
      <c r="H64" t="s">
        <v>58</v>
      </c>
      <c r="I64">
        <v>0.11455681893421553</v>
      </c>
      <c r="J64" t="s">
        <v>53</v>
      </c>
      <c r="L64" t="s">
        <v>213</v>
      </c>
      <c r="M64" t="s">
        <v>58</v>
      </c>
      <c r="N64">
        <v>4.6000757055471575E-2</v>
      </c>
      <c r="O64" t="s">
        <v>53</v>
      </c>
    </row>
    <row r="65" spans="2:15" x14ac:dyDescent="0.25">
      <c r="B65" t="s">
        <v>68</v>
      </c>
      <c r="C65" t="s">
        <v>59</v>
      </c>
      <c r="D65">
        <v>2.8260884775249857E-3</v>
      </c>
      <c r="E65" t="s">
        <v>53</v>
      </c>
      <c r="G65" t="s">
        <v>146</v>
      </c>
      <c r="H65" t="s">
        <v>59</v>
      </c>
      <c r="I65">
        <v>8.0167884902866998E-2</v>
      </c>
      <c r="J65" t="s">
        <v>53</v>
      </c>
      <c r="L65" t="s">
        <v>213</v>
      </c>
      <c r="M65" t="s">
        <v>59</v>
      </c>
      <c r="N65">
        <v>0.18558366052932854</v>
      </c>
      <c r="O65" t="s">
        <v>53</v>
      </c>
    </row>
    <row r="66" spans="2:15" x14ac:dyDescent="0.25">
      <c r="B66" t="s">
        <v>68</v>
      </c>
      <c r="C66" t="s">
        <v>60</v>
      </c>
      <c r="D66">
        <v>0.13322193117395356</v>
      </c>
      <c r="E66" t="s">
        <v>53</v>
      </c>
      <c r="G66" t="s">
        <v>146</v>
      </c>
      <c r="H66" t="s">
        <v>60</v>
      </c>
      <c r="I66">
        <v>6.5066083527518997E-2</v>
      </c>
      <c r="J66" t="s">
        <v>53</v>
      </c>
      <c r="L66" t="s">
        <v>213</v>
      </c>
      <c r="M66" t="s">
        <v>60</v>
      </c>
      <c r="N66">
        <v>0.23219871864165584</v>
      </c>
      <c r="O66" t="s">
        <v>53</v>
      </c>
    </row>
    <row r="67" spans="2:15" x14ac:dyDescent="0.25">
      <c r="B67" t="s">
        <v>68</v>
      </c>
      <c r="C67" t="s">
        <v>61</v>
      </c>
      <c r="D67">
        <v>5.05429202022424E-3</v>
      </c>
      <c r="E67" t="s">
        <v>53</v>
      </c>
      <c r="G67" t="s">
        <v>146</v>
      </c>
      <c r="H67" t="s">
        <v>61</v>
      </c>
      <c r="I67">
        <v>4.2554416705818651E-2</v>
      </c>
      <c r="J67" t="s">
        <v>53</v>
      </c>
      <c r="L67" t="s">
        <v>213</v>
      </c>
      <c r="M67" t="s">
        <v>61</v>
      </c>
      <c r="N67">
        <v>0.14164884324587279</v>
      </c>
      <c r="O67" t="s">
        <v>53</v>
      </c>
    </row>
    <row r="68" spans="2:15" x14ac:dyDescent="0.25">
      <c r="B68" t="s">
        <v>68</v>
      </c>
      <c r="C68" t="s">
        <v>62</v>
      </c>
      <c r="D68">
        <v>7.3278195483222003E-3</v>
      </c>
      <c r="E68" t="s">
        <v>53</v>
      </c>
      <c r="G68" t="s">
        <v>146</v>
      </c>
      <c r="H68" t="s">
        <v>62</v>
      </c>
      <c r="I68">
        <v>5.2301459584609376E-2</v>
      </c>
      <c r="J68" t="s">
        <v>53</v>
      </c>
      <c r="L68" t="s">
        <v>213</v>
      </c>
      <c r="M68" t="s">
        <v>62</v>
      </c>
      <c r="N68">
        <v>3.8631619839076654E-2</v>
      </c>
      <c r="O68" t="s">
        <v>53</v>
      </c>
    </row>
    <row r="69" spans="2:15" x14ac:dyDescent="0.25">
      <c r="B69" t="s">
        <v>68</v>
      </c>
      <c r="C69" t="s">
        <v>63</v>
      </c>
      <c r="D69">
        <v>0.23531805790471222</v>
      </c>
      <c r="E69" t="s">
        <v>53</v>
      </c>
      <c r="G69" t="s">
        <v>146</v>
      </c>
      <c r="H69" t="s">
        <v>63</v>
      </c>
      <c r="I69">
        <v>3.6718269728537867E-2</v>
      </c>
      <c r="J69" t="s">
        <v>53</v>
      </c>
      <c r="L69" t="s">
        <v>213</v>
      </c>
      <c r="M69" t="s">
        <v>63</v>
      </c>
      <c r="N69">
        <v>4.5063198685218978E-2</v>
      </c>
      <c r="O69" t="s">
        <v>53</v>
      </c>
    </row>
    <row r="70" spans="2:15" x14ac:dyDescent="0.25">
      <c r="B70" t="s">
        <v>68</v>
      </c>
      <c r="C70" t="s">
        <v>64</v>
      </c>
      <c r="D70">
        <v>2.9486473348342593E-3</v>
      </c>
      <c r="E70" t="s">
        <v>53</v>
      </c>
      <c r="G70" t="s">
        <v>146</v>
      </c>
      <c r="H70" t="s">
        <v>64</v>
      </c>
      <c r="I70">
        <v>4.5714427748369778E-2</v>
      </c>
      <c r="J70" t="s">
        <v>53</v>
      </c>
      <c r="L70" t="s">
        <v>213</v>
      </c>
      <c r="M70" t="s">
        <v>64</v>
      </c>
      <c r="N70">
        <v>3.0410189786144085E-2</v>
      </c>
      <c r="O70" t="s">
        <v>53</v>
      </c>
    </row>
    <row r="71" spans="2:15" x14ac:dyDescent="0.25">
      <c r="B71" t="s">
        <v>69</v>
      </c>
      <c r="C71" t="s">
        <v>52</v>
      </c>
      <c r="D71">
        <v>7.6644843103966572E-6</v>
      </c>
      <c r="E71" t="s">
        <v>53</v>
      </c>
      <c r="G71" t="s">
        <v>147</v>
      </c>
      <c r="H71" t="s">
        <v>52</v>
      </c>
      <c r="I71">
        <v>0.1117799799785219</v>
      </c>
      <c r="J71" t="s">
        <v>53</v>
      </c>
      <c r="L71" t="s">
        <v>214</v>
      </c>
      <c r="M71" t="s">
        <v>52</v>
      </c>
      <c r="N71">
        <v>6.0997472274827297E-2</v>
      </c>
      <c r="O71" t="s">
        <v>53</v>
      </c>
    </row>
    <row r="72" spans="2:15" x14ac:dyDescent="0.25">
      <c r="B72" t="s">
        <v>69</v>
      </c>
      <c r="C72" t="s">
        <v>54</v>
      </c>
      <c r="D72">
        <v>0.29223600426585256</v>
      </c>
      <c r="E72" t="s">
        <v>53</v>
      </c>
      <c r="G72" t="s">
        <v>147</v>
      </c>
      <c r="H72" t="s">
        <v>54</v>
      </c>
      <c r="I72">
        <v>6.5809839628126171E-2</v>
      </c>
      <c r="J72" t="s">
        <v>53</v>
      </c>
      <c r="L72" t="s">
        <v>214</v>
      </c>
      <c r="M72" t="s">
        <v>54</v>
      </c>
      <c r="N72">
        <v>5.4524656034620034E-2</v>
      </c>
      <c r="O72" t="s">
        <v>53</v>
      </c>
    </row>
    <row r="73" spans="2:15" x14ac:dyDescent="0.25">
      <c r="B73" t="s">
        <v>69</v>
      </c>
      <c r="C73" t="s">
        <v>55</v>
      </c>
      <c r="D73">
        <v>1.0018538370144872E-2</v>
      </c>
      <c r="E73" t="s">
        <v>53</v>
      </c>
      <c r="G73" t="s">
        <v>147</v>
      </c>
      <c r="H73" t="s">
        <v>55</v>
      </c>
      <c r="I73">
        <v>8.0133699867242267E-2</v>
      </c>
      <c r="J73" t="s">
        <v>53</v>
      </c>
      <c r="L73" t="s">
        <v>214</v>
      </c>
      <c r="M73" t="s">
        <v>55</v>
      </c>
      <c r="N73">
        <v>3.3537553651040046E-2</v>
      </c>
      <c r="O73" t="s">
        <v>53</v>
      </c>
    </row>
    <row r="74" spans="2:15" x14ac:dyDescent="0.25">
      <c r="B74" t="s">
        <v>69</v>
      </c>
      <c r="C74" t="s">
        <v>56</v>
      </c>
      <c r="D74">
        <v>1.0894420659875035E-2</v>
      </c>
      <c r="E74" t="s">
        <v>53</v>
      </c>
      <c r="G74" t="s">
        <v>147</v>
      </c>
      <c r="H74" t="s">
        <v>56</v>
      </c>
      <c r="I74">
        <v>0.1316723807802653</v>
      </c>
      <c r="J74" t="s">
        <v>53</v>
      </c>
      <c r="L74" t="s">
        <v>214</v>
      </c>
      <c r="M74" t="s">
        <v>56</v>
      </c>
      <c r="N74">
        <v>8.9584889183688773E-2</v>
      </c>
      <c r="O74" t="s">
        <v>53</v>
      </c>
    </row>
    <row r="75" spans="2:15" x14ac:dyDescent="0.25">
      <c r="B75" t="s">
        <v>69</v>
      </c>
      <c r="C75" t="s">
        <v>57</v>
      </c>
      <c r="D75">
        <v>0.31283235374144081</v>
      </c>
      <c r="E75" t="s">
        <v>53</v>
      </c>
      <c r="G75" t="s">
        <v>147</v>
      </c>
      <c r="H75" t="s">
        <v>57</v>
      </c>
      <c r="I75">
        <v>9.9289969141510032E-2</v>
      </c>
      <c r="J75" t="s">
        <v>53</v>
      </c>
      <c r="L75" t="s">
        <v>214</v>
      </c>
      <c r="M75" t="s">
        <v>57</v>
      </c>
      <c r="N75">
        <v>9.8127289231063439E-2</v>
      </c>
      <c r="O75" t="s">
        <v>53</v>
      </c>
    </row>
    <row r="76" spans="2:15" x14ac:dyDescent="0.25">
      <c r="B76" t="s">
        <v>69</v>
      </c>
      <c r="C76" t="s">
        <v>58</v>
      </c>
      <c r="D76">
        <v>1.6708999102910866E-2</v>
      </c>
      <c r="E76" t="s">
        <v>53</v>
      </c>
      <c r="G76" t="s">
        <v>147</v>
      </c>
      <c r="H76" t="s">
        <v>58</v>
      </c>
      <c r="I76">
        <v>0.10983862332254297</v>
      </c>
      <c r="J76" t="s">
        <v>53</v>
      </c>
      <c r="L76" t="s">
        <v>214</v>
      </c>
      <c r="M76" t="s">
        <v>58</v>
      </c>
      <c r="N76">
        <v>6.867257266472214E-2</v>
      </c>
      <c r="O76" t="s">
        <v>53</v>
      </c>
    </row>
    <row r="77" spans="2:15" x14ac:dyDescent="0.25">
      <c r="B77" t="s">
        <v>69</v>
      </c>
      <c r="C77" t="s">
        <v>59</v>
      </c>
      <c r="D77">
        <v>1.4895796327067906E-3</v>
      </c>
      <c r="E77" t="s">
        <v>53</v>
      </c>
      <c r="G77" t="s">
        <v>147</v>
      </c>
      <c r="H77" t="s">
        <v>59</v>
      </c>
      <c r="I77">
        <v>8.3532419241852035E-2</v>
      </c>
      <c r="J77" t="s">
        <v>53</v>
      </c>
      <c r="L77" t="s">
        <v>214</v>
      </c>
      <c r="M77" t="s">
        <v>59</v>
      </c>
      <c r="N77">
        <v>0.14870993052863188</v>
      </c>
      <c r="O77" t="s">
        <v>53</v>
      </c>
    </row>
    <row r="78" spans="2:15" x14ac:dyDescent="0.25">
      <c r="B78" t="s">
        <v>69</v>
      </c>
      <c r="C78" t="s">
        <v>60</v>
      </c>
      <c r="D78">
        <v>0.11884070601956551</v>
      </c>
      <c r="E78" t="s">
        <v>53</v>
      </c>
      <c r="G78" t="s">
        <v>147</v>
      </c>
      <c r="H78" t="s">
        <v>60</v>
      </c>
      <c r="I78">
        <v>8.1576823385318992E-2</v>
      </c>
      <c r="J78" t="s">
        <v>53</v>
      </c>
      <c r="L78" t="s">
        <v>214</v>
      </c>
      <c r="M78" t="s">
        <v>60</v>
      </c>
      <c r="N78">
        <v>0.16499761779913055</v>
      </c>
      <c r="O78" t="s">
        <v>53</v>
      </c>
    </row>
    <row r="79" spans="2:15" x14ac:dyDescent="0.25">
      <c r="B79" t="s">
        <v>69</v>
      </c>
      <c r="C79" t="s">
        <v>61</v>
      </c>
      <c r="D79">
        <v>3.5804633642331448E-3</v>
      </c>
      <c r="E79" t="s">
        <v>53</v>
      </c>
      <c r="G79" t="s">
        <v>147</v>
      </c>
      <c r="H79" t="s">
        <v>61</v>
      </c>
      <c r="I79">
        <v>5.1844990307281145E-2</v>
      </c>
      <c r="J79" t="s">
        <v>53</v>
      </c>
      <c r="L79" t="s">
        <v>214</v>
      </c>
      <c r="M79" t="s">
        <v>61</v>
      </c>
      <c r="N79">
        <v>0.1121808915521427</v>
      </c>
      <c r="O79" t="s">
        <v>53</v>
      </c>
    </row>
    <row r="80" spans="2:15" x14ac:dyDescent="0.25">
      <c r="B80" t="s">
        <v>69</v>
      </c>
      <c r="C80" t="s">
        <v>62</v>
      </c>
      <c r="D80">
        <v>6.4176839386242343E-3</v>
      </c>
      <c r="E80" t="s">
        <v>53</v>
      </c>
      <c r="G80" t="s">
        <v>147</v>
      </c>
      <c r="H80" t="s">
        <v>62</v>
      </c>
      <c r="I80">
        <v>7.384040039068257E-2</v>
      </c>
      <c r="J80" t="s">
        <v>53</v>
      </c>
      <c r="L80" t="s">
        <v>214</v>
      </c>
      <c r="M80" t="s">
        <v>62</v>
      </c>
      <c r="N80">
        <v>6.1317282449786632E-2</v>
      </c>
      <c r="O80" t="s">
        <v>53</v>
      </c>
    </row>
    <row r="81" spans="2:15" x14ac:dyDescent="0.25">
      <c r="B81" t="s">
        <v>69</v>
      </c>
      <c r="C81" t="s">
        <v>63</v>
      </c>
      <c r="D81">
        <v>0.22413192842965851</v>
      </c>
      <c r="E81" t="s">
        <v>53</v>
      </c>
      <c r="G81" t="s">
        <v>147</v>
      </c>
      <c r="H81" t="s">
        <v>63</v>
      </c>
      <c r="I81">
        <v>6.1356377625134448E-2</v>
      </c>
      <c r="J81" t="s">
        <v>53</v>
      </c>
      <c r="L81" t="s">
        <v>214</v>
      </c>
      <c r="M81" t="s">
        <v>63</v>
      </c>
      <c r="N81">
        <v>6.8215978451641623E-2</v>
      </c>
      <c r="O81" t="s">
        <v>53</v>
      </c>
    </row>
    <row r="82" spans="2:15" x14ac:dyDescent="0.25">
      <c r="B82" t="s">
        <v>69</v>
      </c>
      <c r="C82" t="s">
        <v>64</v>
      </c>
      <c r="D82">
        <v>2.8416579906780618E-3</v>
      </c>
      <c r="E82" t="s">
        <v>53</v>
      </c>
      <c r="G82" t="s">
        <v>147</v>
      </c>
      <c r="H82" t="s">
        <v>64</v>
      </c>
      <c r="I82">
        <v>4.9324496331523339E-2</v>
      </c>
      <c r="J82" t="s">
        <v>53</v>
      </c>
      <c r="L82" t="s">
        <v>214</v>
      </c>
      <c r="M82" t="s">
        <v>64</v>
      </c>
      <c r="N82">
        <v>3.913386617870817E-2</v>
      </c>
      <c r="O82" t="s">
        <v>53</v>
      </c>
    </row>
    <row r="83" spans="2:15" x14ac:dyDescent="0.25">
      <c r="B83" t="s">
        <v>70</v>
      </c>
      <c r="C83" t="s">
        <v>52</v>
      </c>
      <c r="D83">
        <v>4.9911443694952403E-4</v>
      </c>
      <c r="E83" t="s">
        <v>53</v>
      </c>
      <c r="G83" t="s">
        <v>148</v>
      </c>
      <c r="H83" t="s">
        <v>52</v>
      </c>
      <c r="I83">
        <v>0.11135939004893546</v>
      </c>
      <c r="J83" t="s">
        <v>53</v>
      </c>
      <c r="L83" t="s">
        <v>215</v>
      </c>
      <c r="M83" t="s">
        <v>52</v>
      </c>
      <c r="N83">
        <v>6.6793762459620584E-2</v>
      </c>
      <c r="O83" t="s">
        <v>53</v>
      </c>
    </row>
    <row r="84" spans="2:15" x14ac:dyDescent="0.25">
      <c r="B84" t="s">
        <v>70</v>
      </c>
      <c r="C84" t="s">
        <v>54</v>
      </c>
      <c r="D84">
        <v>0.28389711954165581</v>
      </c>
      <c r="E84" t="s">
        <v>53</v>
      </c>
      <c r="G84" t="s">
        <v>148</v>
      </c>
      <c r="H84" t="s">
        <v>54</v>
      </c>
      <c r="I84">
        <v>6.3244276099197111E-2</v>
      </c>
      <c r="J84" t="s">
        <v>53</v>
      </c>
      <c r="L84" t="s">
        <v>215</v>
      </c>
      <c r="M84" t="s">
        <v>54</v>
      </c>
      <c r="N84">
        <v>5.6160072664032647E-2</v>
      </c>
      <c r="O84" t="s">
        <v>53</v>
      </c>
    </row>
    <row r="85" spans="2:15" x14ac:dyDescent="0.25">
      <c r="B85" t="s">
        <v>70</v>
      </c>
      <c r="C85" t="s">
        <v>55</v>
      </c>
      <c r="D85">
        <v>7.0023099983966266E-3</v>
      </c>
      <c r="E85" t="s">
        <v>53</v>
      </c>
      <c r="G85" t="s">
        <v>148</v>
      </c>
      <c r="H85" t="s">
        <v>55</v>
      </c>
      <c r="I85">
        <v>7.1337559739934678E-2</v>
      </c>
      <c r="J85" t="s">
        <v>53</v>
      </c>
      <c r="L85" t="s">
        <v>215</v>
      </c>
      <c r="M85" t="s">
        <v>55</v>
      </c>
      <c r="N85">
        <v>4.3046302368773062E-2</v>
      </c>
      <c r="O85" t="s">
        <v>53</v>
      </c>
    </row>
    <row r="86" spans="2:15" x14ac:dyDescent="0.25">
      <c r="B86" t="s">
        <v>70</v>
      </c>
      <c r="C86" t="s">
        <v>56</v>
      </c>
      <c r="D86">
        <v>1.4920659631616246E-2</v>
      </c>
      <c r="E86" t="s">
        <v>53</v>
      </c>
      <c r="G86" t="s">
        <v>148</v>
      </c>
      <c r="H86" t="s">
        <v>56</v>
      </c>
      <c r="I86">
        <v>0.1370710372141479</v>
      </c>
      <c r="J86" t="s">
        <v>53</v>
      </c>
      <c r="L86" t="s">
        <v>215</v>
      </c>
      <c r="M86" t="s">
        <v>56</v>
      </c>
      <c r="N86">
        <v>7.2460845460490628E-2</v>
      </c>
      <c r="O86" t="s">
        <v>53</v>
      </c>
    </row>
    <row r="87" spans="2:15" x14ac:dyDescent="0.25">
      <c r="B87" t="s">
        <v>70</v>
      </c>
      <c r="C87" t="s">
        <v>57</v>
      </c>
      <c r="D87">
        <v>0.30945407960372356</v>
      </c>
      <c r="E87" t="s">
        <v>53</v>
      </c>
      <c r="G87" t="s">
        <v>148</v>
      </c>
      <c r="H87" t="s">
        <v>57</v>
      </c>
      <c r="I87">
        <v>9.7974970897527811E-2</v>
      </c>
      <c r="J87" t="s">
        <v>53</v>
      </c>
      <c r="L87" t="s">
        <v>215</v>
      </c>
      <c r="M87" t="s">
        <v>57</v>
      </c>
      <c r="N87">
        <v>7.8451610485748183E-2</v>
      </c>
      <c r="O87" t="s">
        <v>53</v>
      </c>
    </row>
    <row r="88" spans="2:15" x14ac:dyDescent="0.25">
      <c r="B88" t="s">
        <v>70</v>
      </c>
      <c r="C88" t="s">
        <v>58</v>
      </c>
      <c r="D88">
        <v>1.4272873588452735E-2</v>
      </c>
      <c r="E88" t="s">
        <v>53</v>
      </c>
      <c r="G88" t="s">
        <v>148</v>
      </c>
      <c r="H88" t="s">
        <v>58</v>
      </c>
      <c r="I88">
        <v>0.11739372690687701</v>
      </c>
      <c r="J88" t="s">
        <v>53</v>
      </c>
      <c r="L88" t="s">
        <v>215</v>
      </c>
      <c r="M88" t="s">
        <v>58</v>
      </c>
      <c r="N88">
        <v>5.807146167687674E-2</v>
      </c>
      <c r="O88" t="s">
        <v>53</v>
      </c>
    </row>
    <row r="89" spans="2:15" x14ac:dyDescent="0.25">
      <c r="B89" t="s">
        <v>70</v>
      </c>
      <c r="C89" t="s">
        <v>59</v>
      </c>
      <c r="D89">
        <v>2.4724497372775231E-3</v>
      </c>
      <c r="E89" t="s">
        <v>53</v>
      </c>
      <c r="G89" t="s">
        <v>148</v>
      </c>
      <c r="H89" t="s">
        <v>59</v>
      </c>
      <c r="I89">
        <v>9.0982546937069114E-2</v>
      </c>
      <c r="J89" t="s">
        <v>53</v>
      </c>
      <c r="L89" t="s">
        <v>215</v>
      </c>
      <c r="M89" t="s">
        <v>59</v>
      </c>
      <c r="N89">
        <v>0.15696629146711424</v>
      </c>
      <c r="O89" t="s">
        <v>53</v>
      </c>
    </row>
    <row r="90" spans="2:15" x14ac:dyDescent="0.25">
      <c r="B90" t="s">
        <v>70</v>
      </c>
      <c r="C90" t="s">
        <v>60</v>
      </c>
      <c r="D90">
        <v>0.12305849502556693</v>
      </c>
      <c r="E90" t="s">
        <v>53</v>
      </c>
      <c r="G90" t="s">
        <v>148</v>
      </c>
      <c r="H90" t="s">
        <v>60</v>
      </c>
      <c r="I90">
        <v>7.3516517629555231E-2</v>
      </c>
      <c r="J90" t="s">
        <v>53</v>
      </c>
      <c r="L90" t="s">
        <v>215</v>
      </c>
      <c r="M90" t="s">
        <v>60</v>
      </c>
      <c r="N90">
        <v>0.18261094422733803</v>
      </c>
      <c r="O90" t="s">
        <v>53</v>
      </c>
    </row>
    <row r="91" spans="2:15" x14ac:dyDescent="0.25">
      <c r="B91" t="s">
        <v>70</v>
      </c>
      <c r="C91" t="s">
        <v>61</v>
      </c>
      <c r="D91">
        <v>3.6806766740465971E-3</v>
      </c>
      <c r="E91" t="s">
        <v>53</v>
      </c>
      <c r="G91" t="s">
        <v>148</v>
      </c>
      <c r="H91" t="s">
        <v>61</v>
      </c>
      <c r="I91">
        <v>5.1787384090858021E-2</v>
      </c>
      <c r="J91" t="s">
        <v>53</v>
      </c>
      <c r="L91" t="s">
        <v>215</v>
      </c>
      <c r="M91" t="s">
        <v>61</v>
      </c>
      <c r="N91">
        <v>0.11780269725036822</v>
      </c>
      <c r="O91" t="s">
        <v>53</v>
      </c>
    </row>
    <row r="92" spans="2:15" x14ac:dyDescent="0.25">
      <c r="B92" t="s">
        <v>70</v>
      </c>
      <c r="C92" t="s">
        <v>62</v>
      </c>
      <c r="D92">
        <v>8.1186989087043554E-3</v>
      </c>
      <c r="E92" t="s">
        <v>53</v>
      </c>
      <c r="G92" t="s">
        <v>148</v>
      </c>
      <c r="H92" t="s">
        <v>62</v>
      </c>
      <c r="I92">
        <v>7.8356173658175862E-2</v>
      </c>
      <c r="J92" t="s">
        <v>53</v>
      </c>
      <c r="L92" t="s">
        <v>215</v>
      </c>
      <c r="M92" t="s">
        <v>62</v>
      </c>
      <c r="N92">
        <v>5.874574815544506E-2</v>
      </c>
      <c r="O92" t="s">
        <v>53</v>
      </c>
    </row>
    <row r="93" spans="2:15" x14ac:dyDescent="0.25">
      <c r="B93" t="s">
        <v>70</v>
      </c>
      <c r="C93" t="s">
        <v>63</v>
      </c>
      <c r="D93">
        <v>0.23036662787448348</v>
      </c>
      <c r="E93" t="s">
        <v>53</v>
      </c>
      <c r="G93" t="s">
        <v>148</v>
      </c>
      <c r="H93" t="s">
        <v>63</v>
      </c>
      <c r="I93">
        <v>5.6231983129605145E-2</v>
      </c>
      <c r="J93" t="s">
        <v>53</v>
      </c>
      <c r="L93" t="s">
        <v>215</v>
      </c>
      <c r="M93" t="s">
        <v>63</v>
      </c>
      <c r="N93">
        <v>6.7600630395692043E-2</v>
      </c>
      <c r="O93" t="s">
        <v>53</v>
      </c>
    </row>
    <row r="94" spans="2:15" x14ac:dyDescent="0.25">
      <c r="B94" t="s">
        <v>70</v>
      </c>
      <c r="C94" t="s">
        <v>64</v>
      </c>
      <c r="D94">
        <v>2.2568949791234773E-3</v>
      </c>
      <c r="E94" t="s">
        <v>53</v>
      </c>
      <c r="G94" t="s">
        <v>148</v>
      </c>
      <c r="H94" t="s">
        <v>64</v>
      </c>
      <c r="I94">
        <v>5.0744433648118231E-2</v>
      </c>
      <c r="J94" t="s">
        <v>53</v>
      </c>
      <c r="L94" t="s">
        <v>215</v>
      </c>
      <c r="M94" t="s">
        <v>64</v>
      </c>
      <c r="N94">
        <v>4.1289633388503347E-2</v>
      </c>
      <c r="O94" t="s">
        <v>53</v>
      </c>
    </row>
    <row r="95" spans="2:15" x14ac:dyDescent="0.25">
      <c r="B95" t="s">
        <v>71</v>
      </c>
      <c r="C95" t="s">
        <v>52</v>
      </c>
      <c r="D95">
        <v>6.8375388589906431E-3</v>
      </c>
      <c r="E95" t="s">
        <v>53</v>
      </c>
      <c r="G95" t="s">
        <v>149</v>
      </c>
      <c r="H95" t="s">
        <v>52</v>
      </c>
      <c r="I95">
        <v>0.12484183828861879</v>
      </c>
      <c r="J95" t="s">
        <v>53</v>
      </c>
      <c r="L95" t="s">
        <v>216</v>
      </c>
      <c r="M95" t="s">
        <v>52</v>
      </c>
      <c r="N95">
        <v>6.3033738243050461E-2</v>
      </c>
      <c r="O95" t="s">
        <v>53</v>
      </c>
    </row>
    <row r="96" spans="2:15" x14ac:dyDescent="0.25">
      <c r="B96" t="s">
        <v>71</v>
      </c>
      <c r="C96" t="s">
        <v>54</v>
      </c>
      <c r="D96">
        <v>0.28469210872057515</v>
      </c>
      <c r="E96" t="s">
        <v>53</v>
      </c>
      <c r="G96" t="s">
        <v>149</v>
      </c>
      <c r="H96" t="s">
        <v>54</v>
      </c>
      <c r="I96">
        <v>8.3568173179198291E-2</v>
      </c>
      <c r="J96" t="s">
        <v>53</v>
      </c>
      <c r="L96" t="s">
        <v>216</v>
      </c>
      <c r="M96" t="s">
        <v>54</v>
      </c>
      <c r="N96">
        <v>6.4744018789066715E-2</v>
      </c>
      <c r="O96" t="s">
        <v>53</v>
      </c>
    </row>
    <row r="97" spans="2:15" x14ac:dyDescent="0.25">
      <c r="B97" t="s">
        <v>71</v>
      </c>
      <c r="C97" t="s">
        <v>55</v>
      </c>
      <c r="D97">
        <v>3.4255645667453328E-3</v>
      </c>
      <c r="E97" t="s">
        <v>53</v>
      </c>
      <c r="G97" t="s">
        <v>149</v>
      </c>
      <c r="H97" t="s">
        <v>55</v>
      </c>
      <c r="I97">
        <v>8.8843005542838083E-2</v>
      </c>
      <c r="J97" t="s">
        <v>53</v>
      </c>
      <c r="L97" t="s">
        <v>216</v>
      </c>
      <c r="M97" t="s">
        <v>55</v>
      </c>
      <c r="N97">
        <v>4.235408773760993E-2</v>
      </c>
      <c r="O97" t="s">
        <v>53</v>
      </c>
    </row>
    <row r="98" spans="2:15" x14ac:dyDescent="0.25">
      <c r="B98" t="s">
        <v>71</v>
      </c>
      <c r="C98" t="s">
        <v>56</v>
      </c>
      <c r="D98">
        <v>2.056781516155563E-2</v>
      </c>
      <c r="E98" t="s">
        <v>53</v>
      </c>
      <c r="G98" t="s">
        <v>149</v>
      </c>
      <c r="H98" t="s">
        <v>56</v>
      </c>
      <c r="I98">
        <v>0.13993882885007686</v>
      </c>
      <c r="J98" t="s">
        <v>53</v>
      </c>
      <c r="L98" t="s">
        <v>216</v>
      </c>
      <c r="M98" t="s">
        <v>56</v>
      </c>
      <c r="N98">
        <v>5.6050467293608637E-2</v>
      </c>
      <c r="O98" t="s">
        <v>53</v>
      </c>
    </row>
    <row r="99" spans="2:15" x14ac:dyDescent="0.25">
      <c r="B99" t="s">
        <v>71</v>
      </c>
      <c r="C99" t="s">
        <v>57</v>
      </c>
      <c r="D99">
        <v>0.30613092063044356</v>
      </c>
      <c r="E99" t="s">
        <v>53</v>
      </c>
      <c r="G99" t="s">
        <v>149</v>
      </c>
      <c r="H99" t="s">
        <v>57</v>
      </c>
      <c r="I99">
        <v>0.10765260096773682</v>
      </c>
      <c r="J99" t="s">
        <v>53</v>
      </c>
      <c r="L99" t="s">
        <v>216</v>
      </c>
      <c r="M99" t="s">
        <v>57</v>
      </c>
      <c r="N99">
        <v>4.6715028059320894E-2</v>
      </c>
      <c r="O99" t="s">
        <v>53</v>
      </c>
    </row>
    <row r="100" spans="2:15" x14ac:dyDescent="0.25">
      <c r="B100" t="s">
        <v>71</v>
      </c>
      <c r="C100" t="s">
        <v>58</v>
      </c>
      <c r="D100">
        <v>1.1058482027924185E-2</v>
      </c>
      <c r="E100" t="s">
        <v>53</v>
      </c>
      <c r="G100" t="s">
        <v>149</v>
      </c>
      <c r="H100" t="s">
        <v>58</v>
      </c>
      <c r="I100">
        <v>0.11044355103125937</v>
      </c>
      <c r="J100" t="s">
        <v>53</v>
      </c>
      <c r="L100" t="s">
        <v>216</v>
      </c>
      <c r="M100" t="s">
        <v>58</v>
      </c>
      <c r="N100">
        <v>4.3860136994462229E-2</v>
      </c>
      <c r="O100" t="s">
        <v>53</v>
      </c>
    </row>
    <row r="101" spans="2:15" x14ac:dyDescent="0.25">
      <c r="B101" t="s">
        <v>71</v>
      </c>
      <c r="C101" t="s">
        <v>59</v>
      </c>
      <c r="D101">
        <v>3.9480200831462382E-3</v>
      </c>
      <c r="E101" t="s">
        <v>53</v>
      </c>
      <c r="G101" t="s">
        <v>149</v>
      </c>
      <c r="H101" t="s">
        <v>59</v>
      </c>
      <c r="I101">
        <v>7.5666271965948009E-2</v>
      </c>
      <c r="J101" t="s">
        <v>53</v>
      </c>
      <c r="L101" t="s">
        <v>216</v>
      </c>
      <c r="M101" t="s">
        <v>59</v>
      </c>
      <c r="N101">
        <v>0.18508220701036493</v>
      </c>
      <c r="O101" t="s">
        <v>53</v>
      </c>
    </row>
    <row r="102" spans="2:15" x14ac:dyDescent="0.25">
      <c r="B102" t="s">
        <v>71</v>
      </c>
      <c r="C102" t="s">
        <v>60</v>
      </c>
      <c r="D102">
        <v>0.11650929110595498</v>
      </c>
      <c r="E102" t="s">
        <v>53</v>
      </c>
      <c r="G102" t="s">
        <v>149</v>
      </c>
      <c r="H102" t="s">
        <v>60</v>
      </c>
      <c r="I102">
        <v>6.471592558680142E-2</v>
      </c>
      <c r="J102" t="s">
        <v>53</v>
      </c>
      <c r="L102" t="s">
        <v>216</v>
      </c>
      <c r="M102" t="s">
        <v>60</v>
      </c>
      <c r="N102">
        <v>0.23164703876271253</v>
      </c>
      <c r="O102" t="s">
        <v>53</v>
      </c>
    </row>
    <row r="103" spans="2:15" x14ac:dyDescent="0.25">
      <c r="B103" t="s">
        <v>71</v>
      </c>
      <c r="C103" t="s">
        <v>61</v>
      </c>
      <c r="D103">
        <v>2.4762491961712761E-3</v>
      </c>
      <c r="E103" t="s">
        <v>53</v>
      </c>
      <c r="G103" t="s">
        <v>149</v>
      </c>
      <c r="H103" t="s">
        <v>61</v>
      </c>
      <c r="I103">
        <v>4.7754452955056856E-2</v>
      </c>
      <c r="J103" t="s">
        <v>53</v>
      </c>
      <c r="L103" t="s">
        <v>216</v>
      </c>
      <c r="M103" t="s">
        <v>61</v>
      </c>
      <c r="N103">
        <v>0.13983036894673129</v>
      </c>
      <c r="O103" t="s">
        <v>53</v>
      </c>
    </row>
    <row r="104" spans="2:15" x14ac:dyDescent="0.25">
      <c r="B104" t="s">
        <v>71</v>
      </c>
      <c r="C104" t="s">
        <v>62</v>
      </c>
      <c r="D104">
        <v>1.0069582333139458E-2</v>
      </c>
      <c r="E104" t="s">
        <v>53</v>
      </c>
      <c r="G104" t="s">
        <v>149</v>
      </c>
      <c r="H104" t="s">
        <v>62</v>
      </c>
      <c r="I104">
        <v>6.7583397068121193E-2</v>
      </c>
      <c r="J104" t="s">
        <v>53</v>
      </c>
      <c r="L104" t="s">
        <v>216</v>
      </c>
      <c r="M104" t="s">
        <v>62</v>
      </c>
      <c r="N104">
        <v>4.4031008852236785E-2</v>
      </c>
      <c r="O104" t="s">
        <v>53</v>
      </c>
    </row>
    <row r="105" spans="2:15" x14ac:dyDescent="0.25">
      <c r="B105" t="s">
        <v>71</v>
      </c>
      <c r="C105" t="s">
        <v>63</v>
      </c>
      <c r="D105">
        <v>0.23308371632674474</v>
      </c>
      <c r="E105" t="s">
        <v>53</v>
      </c>
      <c r="G105" t="s">
        <v>149</v>
      </c>
      <c r="H105" t="s">
        <v>63</v>
      </c>
      <c r="I105">
        <v>4.441208670929072E-2</v>
      </c>
      <c r="J105" t="s">
        <v>53</v>
      </c>
      <c r="L105" t="s">
        <v>216</v>
      </c>
      <c r="M105" t="s">
        <v>63</v>
      </c>
      <c r="N105">
        <v>5.0742251223641975E-2</v>
      </c>
      <c r="O105" t="s">
        <v>53</v>
      </c>
    </row>
    <row r="106" spans="2:15" x14ac:dyDescent="0.25">
      <c r="B106" t="s">
        <v>71</v>
      </c>
      <c r="C106" t="s">
        <v>64</v>
      </c>
      <c r="D106">
        <v>1.2007109886078571E-3</v>
      </c>
      <c r="E106" t="s">
        <v>53</v>
      </c>
      <c r="G106" t="s">
        <v>149</v>
      </c>
      <c r="H106" t="s">
        <v>64</v>
      </c>
      <c r="I106">
        <v>4.4579867855048763E-2</v>
      </c>
      <c r="J106" t="s">
        <v>53</v>
      </c>
      <c r="L106" t="s">
        <v>216</v>
      </c>
      <c r="M106" t="s">
        <v>64</v>
      </c>
      <c r="N106">
        <v>3.1909648087191399E-2</v>
      </c>
      <c r="O106" t="s">
        <v>53</v>
      </c>
    </row>
    <row r="107" spans="2:15" x14ac:dyDescent="0.25">
      <c r="B107" t="s">
        <v>72</v>
      </c>
      <c r="C107" t="s">
        <v>52</v>
      </c>
      <c r="D107">
        <v>3.3308948455103298E-3</v>
      </c>
      <c r="E107" t="s">
        <v>53</v>
      </c>
      <c r="G107" t="s">
        <v>150</v>
      </c>
      <c r="H107" t="s">
        <v>52</v>
      </c>
      <c r="I107">
        <v>6.2690896905719676E-2</v>
      </c>
      <c r="J107" t="s">
        <v>53</v>
      </c>
      <c r="L107" t="s">
        <v>217</v>
      </c>
      <c r="M107" t="s">
        <v>52</v>
      </c>
      <c r="N107">
        <v>6.9329144022544795E-2</v>
      </c>
      <c r="O107" t="s">
        <v>53</v>
      </c>
    </row>
    <row r="108" spans="2:15" x14ac:dyDescent="0.25">
      <c r="B108" t="s">
        <v>72</v>
      </c>
      <c r="C108" t="s">
        <v>54</v>
      </c>
      <c r="D108">
        <v>0.28219615989946306</v>
      </c>
      <c r="E108" t="s">
        <v>53</v>
      </c>
      <c r="G108" t="s">
        <v>150</v>
      </c>
      <c r="H108" t="s">
        <v>54</v>
      </c>
      <c r="I108">
        <v>3.5820087310262941E-2</v>
      </c>
      <c r="J108" t="s">
        <v>53</v>
      </c>
      <c r="L108" t="s">
        <v>217</v>
      </c>
      <c r="M108" t="s">
        <v>54</v>
      </c>
      <c r="N108">
        <v>5.1055174284311708E-2</v>
      </c>
      <c r="O108" t="s">
        <v>53</v>
      </c>
    </row>
    <row r="109" spans="2:15" x14ac:dyDescent="0.25">
      <c r="B109" t="s">
        <v>72</v>
      </c>
      <c r="C109" t="s">
        <v>55</v>
      </c>
      <c r="D109">
        <v>4.9652046429436332E-3</v>
      </c>
      <c r="E109" t="s">
        <v>53</v>
      </c>
      <c r="G109" t="s">
        <v>150</v>
      </c>
      <c r="H109" t="s">
        <v>55</v>
      </c>
      <c r="I109">
        <v>6.9047644318976309E-2</v>
      </c>
      <c r="J109" t="s">
        <v>53</v>
      </c>
      <c r="L109" t="s">
        <v>217</v>
      </c>
      <c r="M109" t="s">
        <v>55</v>
      </c>
      <c r="N109">
        <v>4.6835084016992913E-2</v>
      </c>
      <c r="O109" t="s">
        <v>53</v>
      </c>
    </row>
    <row r="110" spans="2:15" x14ac:dyDescent="0.25">
      <c r="B110" t="s">
        <v>72</v>
      </c>
      <c r="C110" t="s">
        <v>56</v>
      </c>
      <c r="D110">
        <v>1.7824545222011115E-2</v>
      </c>
      <c r="E110" t="s">
        <v>53</v>
      </c>
      <c r="G110" t="s">
        <v>150</v>
      </c>
      <c r="H110" t="s">
        <v>56</v>
      </c>
      <c r="I110">
        <v>8.679775495425214E-2</v>
      </c>
      <c r="J110" t="s">
        <v>53</v>
      </c>
      <c r="L110" t="s">
        <v>217</v>
      </c>
      <c r="M110" t="s">
        <v>56</v>
      </c>
      <c r="N110">
        <v>5.9281547430534876E-2</v>
      </c>
      <c r="O110" t="s">
        <v>53</v>
      </c>
    </row>
    <row r="111" spans="2:15" x14ac:dyDescent="0.25">
      <c r="B111" t="s">
        <v>72</v>
      </c>
      <c r="C111" t="s">
        <v>57</v>
      </c>
      <c r="D111">
        <v>0.30739984254682612</v>
      </c>
      <c r="E111" t="s">
        <v>53</v>
      </c>
      <c r="G111" t="s">
        <v>150</v>
      </c>
      <c r="H111" t="s">
        <v>57</v>
      </c>
      <c r="I111">
        <v>9.4073050410642761E-2</v>
      </c>
      <c r="J111" t="s">
        <v>53</v>
      </c>
      <c r="L111" t="s">
        <v>217</v>
      </c>
      <c r="M111" t="s">
        <v>57</v>
      </c>
      <c r="N111">
        <v>6.4159212459810044E-2</v>
      </c>
      <c r="O111" t="s">
        <v>53</v>
      </c>
    </row>
    <row r="112" spans="2:15" x14ac:dyDescent="0.25">
      <c r="B112" t="s">
        <v>72</v>
      </c>
      <c r="C112" t="s">
        <v>58</v>
      </c>
      <c r="D112">
        <v>1.2520522383393953E-2</v>
      </c>
      <c r="E112" t="s">
        <v>53</v>
      </c>
      <c r="G112" t="s">
        <v>150</v>
      </c>
      <c r="H112" t="s">
        <v>58</v>
      </c>
      <c r="I112">
        <v>7.8913619716580508E-2</v>
      </c>
      <c r="J112" t="s">
        <v>53</v>
      </c>
      <c r="L112" t="s">
        <v>217</v>
      </c>
      <c r="M112" t="s">
        <v>58</v>
      </c>
      <c r="N112">
        <v>5.3164324460197018E-2</v>
      </c>
      <c r="O112" t="s">
        <v>53</v>
      </c>
    </row>
    <row r="113" spans="2:15" x14ac:dyDescent="0.25">
      <c r="B113" t="s">
        <v>72</v>
      </c>
      <c r="C113" t="s">
        <v>59</v>
      </c>
      <c r="D113">
        <v>3.4734635067819476E-3</v>
      </c>
      <c r="E113" t="s">
        <v>53</v>
      </c>
      <c r="G113" t="s">
        <v>150</v>
      </c>
      <c r="H113" t="s">
        <v>59</v>
      </c>
      <c r="I113">
        <v>0.14188554109526377</v>
      </c>
      <c r="J113" t="s">
        <v>53</v>
      </c>
      <c r="L113" t="s">
        <v>217</v>
      </c>
      <c r="M113" t="s">
        <v>59</v>
      </c>
      <c r="N113">
        <v>0.16808739282295485</v>
      </c>
      <c r="O113" t="s">
        <v>53</v>
      </c>
    </row>
    <row r="114" spans="2:15" x14ac:dyDescent="0.25">
      <c r="B114" t="s">
        <v>72</v>
      </c>
      <c r="C114" t="s">
        <v>60</v>
      </c>
      <c r="D114">
        <v>0.12119661617960324</v>
      </c>
      <c r="E114" t="s">
        <v>53</v>
      </c>
      <c r="G114" t="s">
        <v>150</v>
      </c>
      <c r="H114" t="s">
        <v>60</v>
      </c>
      <c r="I114">
        <v>0.17779178494197614</v>
      </c>
      <c r="J114" t="s">
        <v>53</v>
      </c>
      <c r="L114" t="s">
        <v>217</v>
      </c>
      <c r="M114" t="s">
        <v>60</v>
      </c>
      <c r="N114">
        <v>0.20346678847460012</v>
      </c>
      <c r="O114" t="s">
        <v>53</v>
      </c>
    </row>
    <row r="115" spans="2:15" x14ac:dyDescent="0.25">
      <c r="B115" t="s">
        <v>72</v>
      </c>
      <c r="C115" t="s">
        <v>61</v>
      </c>
      <c r="D115">
        <v>3.2301625709017967E-3</v>
      </c>
      <c r="E115" t="s">
        <v>53</v>
      </c>
      <c r="G115" t="s">
        <v>150</v>
      </c>
      <c r="H115" t="s">
        <v>61</v>
      </c>
      <c r="I115">
        <v>9.1729659464330121E-2</v>
      </c>
      <c r="J115" t="s">
        <v>53</v>
      </c>
      <c r="L115" t="s">
        <v>217</v>
      </c>
      <c r="M115" t="s">
        <v>61</v>
      </c>
      <c r="N115">
        <v>0.12415976582116983</v>
      </c>
      <c r="O115" t="s">
        <v>53</v>
      </c>
    </row>
    <row r="116" spans="2:15" x14ac:dyDescent="0.25">
      <c r="B116" t="s">
        <v>72</v>
      </c>
      <c r="C116" t="s">
        <v>62</v>
      </c>
      <c r="D116">
        <v>9.3307525233077126E-3</v>
      </c>
      <c r="E116" t="s">
        <v>53</v>
      </c>
      <c r="G116" t="s">
        <v>150</v>
      </c>
      <c r="H116" t="s">
        <v>62</v>
      </c>
      <c r="I116">
        <v>5.9477403973919575E-2</v>
      </c>
      <c r="J116" t="s">
        <v>53</v>
      </c>
      <c r="L116" t="s">
        <v>217</v>
      </c>
      <c r="M116" t="s">
        <v>62</v>
      </c>
      <c r="N116">
        <v>5.6548334785362225E-2</v>
      </c>
      <c r="O116" t="s">
        <v>53</v>
      </c>
    </row>
    <row r="117" spans="2:15" x14ac:dyDescent="0.25">
      <c r="B117" t="s">
        <v>72</v>
      </c>
      <c r="C117" t="s">
        <v>63</v>
      </c>
      <c r="D117">
        <v>0.23276926831086364</v>
      </c>
      <c r="E117" t="s">
        <v>53</v>
      </c>
      <c r="G117" t="s">
        <v>150</v>
      </c>
      <c r="H117" t="s">
        <v>63</v>
      </c>
      <c r="I117">
        <v>5.4482941927598651E-2</v>
      </c>
      <c r="J117" t="s">
        <v>53</v>
      </c>
      <c r="L117" t="s">
        <v>217</v>
      </c>
      <c r="M117" t="s">
        <v>63</v>
      </c>
      <c r="N117">
        <v>6.4629385990372962E-2</v>
      </c>
      <c r="O117" t="s">
        <v>53</v>
      </c>
    </row>
    <row r="118" spans="2:15" x14ac:dyDescent="0.25">
      <c r="B118" t="s">
        <v>72</v>
      </c>
      <c r="C118" t="s">
        <v>64</v>
      </c>
      <c r="D118">
        <v>1.7625673683955773E-3</v>
      </c>
      <c r="E118" t="s">
        <v>53</v>
      </c>
      <c r="G118" t="s">
        <v>150</v>
      </c>
      <c r="H118" t="s">
        <v>64</v>
      </c>
      <c r="I118">
        <v>4.7289614980475757E-2</v>
      </c>
      <c r="J118" t="s">
        <v>53</v>
      </c>
      <c r="L118" t="s">
        <v>217</v>
      </c>
      <c r="M118" t="s">
        <v>64</v>
      </c>
      <c r="N118">
        <v>3.928384543114348E-2</v>
      </c>
      <c r="O118" t="s">
        <v>53</v>
      </c>
    </row>
    <row r="119" spans="2:15" x14ac:dyDescent="0.25">
      <c r="B119" t="s">
        <v>73</v>
      </c>
      <c r="C119" t="s">
        <v>52</v>
      </c>
      <c r="D119">
        <v>8.9097374458894203E-4</v>
      </c>
      <c r="E119" t="s">
        <v>53</v>
      </c>
      <c r="G119" t="s">
        <v>151</v>
      </c>
      <c r="H119" t="s">
        <v>52</v>
      </c>
      <c r="I119">
        <v>4.4612930726057078E-2</v>
      </c>
      <c r="J119" t="s">
        <v>53</v>
      </c>
      <c r="L119" t="s">
        <v>218</v>
      </c>
      <c r="M119" t="s">
        <v>52</v>
      </c>
      <c r="N119">
        <v>6.153990770886128E-2</v>
      </c>
      <c r="O119" t="s">
        <v>53</v>
      </c>
    </row>
    <row r="120" spans="2:15" x14ac:dyDescent="0.25">
      <c r="B120" t="s">
        <v>73</v>
      </c>
      <c r="C120" t="s">
        <v>54</v>
      </c>
      <c r="D120">
        <v>0.27833941155057329</v>
      </c>
      <c r="E120" t="s">
        <v>53</v>
      </c>
      <c r="G120" t="s">
        <v>151</v>
      </c>
      <c r="H120" t="s">
        <v>54</v>
      </c>
      <c r="I120">
        <v>4.5304661314536074E-2</v>
      </c>
      <c r="J120" t="s">
        <v>53</v>
      </c>
      <c r="L120" t="s">
        <v>218</v>
      </c>
      <c r="M120" t="s">
        <v>54</v>
      </c>
      <c r="N120">
        <v>5.6235528532925523E-2</v>
      </c>
      <c r="O120" t="s">
        <v>53</v>
      </c>
    </row>
    <row r="121" spans="2:15" x14ac:dyDescent="0.25">
      <c r="B121" t="s">
        <v>73</v>
      </c>
      <c r="C121" t="s">
        <v>55</v>
      </c>
      <c r="D121">
        <v>5.1204776821295456E-3</v>
      </c>
      <c r="E121" t="s">
        <v>53</v>
      </c>
      <c r="G121" t="s">
        <v>151</v>
      </c>
      <c r="H121" t="s">
        <v>55</v>
      </c>
      <c r="I121">
        <v>5.6443837016596402E-2</v>
      </c>
      <c r="J121" t="s">
        <v>53</v>
      </c>
      <c r="L121" t="s">
        <v>218</v>
      </c>
      <c r="M121" t="s">
        <v>55</v>
      </c>
      <c r="N121">
        <v>2.6439835842090163E-2</v>
      </c>
      <c r="O121" t="s">
        <v>53</v>
      </c>
    </row>
    <row r="122" spans="2:15" x14ac:dyDescent="0.25">
      <c r="B122" t="s">
        <v>73</v>
      </c>
      <c r="C122" t="s">
        <v>56</v>
      </c>
      <c r="D122">
        <v>1.7974834507771049E-2</v>
      </c>
      <c r="E122" t="s">
        <v>53</v>
      </c>
      <c r="G122" t="s">
        <v>151</v>
      </c>
      <c r="H122" t="s">
        <v>56</v>
      </c>
      <c r="I122">
        <v>6.7860532599474888E-2</v>
      </c>
      <c r="J122" t="s">
        <v>53</v>
      </c>
      <c r="L122" t="s">
        <v>218</v>
      </c>
      <c r="M122" t="s">
        <v>56</v>
      </c>
      <c r="N122">
        <v>6.3274063820103574E-2</v>
      </c>
      <c r="O122" t="s">
        <v>53</v>
      </c>
    </row>
    <row r="123" spans="2:15" x14ac:dyDescent="0.25">
      <c r="B123" t="s">
        <v>73</v>
      </c>
      <c r="C123" t="s">
        <v>57</v>
      </c>
      <c r="D123">
        <v>0.30725397067796434</v>
      </c>
      <c r="E123" t="s">
        <v>53</v>
      </c>
      <c r="G123" t="s">
        <v>151</v>
      </c>
      <c r="H123" t="s">
        <v>57</v>
      </c>
      <c r="I123">
        <v>0.12217269579068152</v>
      </c>
      <c r="J123" t="s">
        <v>53</v>
      </c>
      <c r="L123" t="s">
        <v>218</v>
      </c>
      <c r="M123" t="s">
        <v>57</v>
      </c>
      <c r="N123">
        <v>5.0561283472948138E-2</v>
      </c>
      <c r="O123" t="s">
        <v>53</v>
      </c>
    </row>
    <row r="124" spans="2:15" x14ac:dyDescent="0.25">
      <c r="B124" t="s">
        <v>73</v>
      </c>
      <c r="C124" t="s">
        <v>58</v>
      </c>
      <c r="D124">
        <v>1.3255168517782577E-2</v>
      </c>
      <c r="E124" t="s">
        <v>53</v>
      </c>
      <c r="G124" t="s">
        <v>151</v>
      </c>
      <c r="H124" t="s">
        <v>58</v>
      </c>
      <c r="I124">
        <v>7.148376718301773E-2</v>
      </c>
      <c r="J124" t="s">
        <v>53</v>
      </c>
      <c r="L124" t="s">
        <v>218</v>
      </c>
      <c r="M124" t="s">
        <v>58</v>
      </c>
      <c r="N124">
        <v>4.6185920228330631E-2</v>
      </c>
      <c r="O124" t="s">
        <v>53</v>
      </c>
    </row>
    <row r="125" spans="2:15" x14ac:dyDescent="0.25">
      <c r="B125" t="s">
        <v>73</v>
      </c>
      <c r="C125" t="s">
        <v>59</v>
      </c>
      <c r="D125">
        <v>2.5283670847140787E-3</v>
      </c>
      <c r="E125" t="s">
        <v>53</v>
      </c>
      <c r="G125" t="s">
        <v>151</v>
      </c>
      <c r="H125" t="s">
        <v>59</v>
      </c>
      <c r="I125">
        <v>0.14116554075182489</v>
      </c>
      <c r="J125" t="s">
        <v>53</v>
      </c>
      <c r="L125" t="s">
        <v>218</v>
      </c>
      <c r="M125" t="s">
        <v>59</v>
      </c>
      <c r="N125">
        <v>0.18026247860991049</v>
      </c>
      <c r="O125" t="s">
        <v>53</v>
      </c>
    </row>
    <row r="126" spans="2:15" x14ac:dyDescent="0.25">
      <c r="B126" t="s">
        <v>73</v>
      </c>
      <c r="C126" t="s">
        <v>60</v>
      </c>
      <c r="D126">
        <v>0.11632036289602944</v>
      </c>
      <c r="E126" t="s">
        <v>53</v>
      </c>
      <c r="G126" t="s">
        <v>151</v>
      </c>
      <c r="H126" t="s">
        <v>60</v>
      </c>
      <c r="I126">
        <v>0.18151856375021966</v>
      </c>
      <c r="J126" t="s">
        <v>53</v>
      </c>
      <c r="L126" t="s">
        <v>218</v>
      </c>
      <c r="M126" t="s">
        <v>60</v>
      </c>
      <c r="N126">
        <v>0.22225763120539538</v>
      </c>
      <c r="O126" t="s">
        <v>53</v>
      </c>
    </row>
    <row r="127" spans="2:15" x14ac:dyDescent="0.25">
      <c r="B127" t="s">
        <v>73</v>
      </c>
      <c r="C127" t="s">
        <v>61</v>
      </c>
      <c r="D127">
        <v>3.9576183483139692E-3</v>
      </c>
      <c r="E127" t="s">
        <v>53</v>
      </c>
      <c r="G127" t="s">
        <v>151</v>
      </c>
      <c r="H127" t="s">
        <v>61</v>
      </c>
      <c r="I127">
        <v>9.1222177176510752E-2</v>
      </c>
      <c r="J127" t="s">
        <v>53</v>
      </c>
      <c r="L127" t="s">
        <v>218</v>
      </c>
      <c r="M127" t="s">
        <v>61</v>
      </c>
      <c r="N127">
        <v>0.13371852117748079</v>
      </c>
      <c r="O127" t="s">
        <v>53</v>
      </c>
    </row>
    <row r="128" spans="2:15" x14ac:dyDescent="0.25">
      <c r="B128" t="s">
        <v>73</v>
      </c>
      <c r="C128" t="s">
        <v>62</v>
      </c>
      <c r="D128">
        <v>9.9391439976616071E-3</v>
      </c>
      <c r="E128" t="s">
        <v>53</v>
      </c>
      <c r="G128" t="s">
        <v>151</v>
      </c>
      <c r="H128" t="s">
        <v>62</v>
      </c>
      <c r="I128">
        <v>6.3118770788938558E-2</v>
      </c>
      <c r="J128" t="s">
        <v>53</v>
      </c>
      <c r="L128" t="s">
        <v>218</v>
      </c>
      <c r="M128" t="s">
        <v>62</v>
      </c>
      <c r="N128">
        <v>5.7889544245693716E-2</v>
      </c>
      <c r="O128" t="s">
        <v>53</v>
      </c>
    </row>
    <row r="129" spans="2:15" x14ac:dyDescent="0.25">
      <c r="B129" t="s">
        <v>73</v>
      </c>
      <c r="C129" t="s">
        <v>63</v>
      </c>
      <c r="D129">
        <v>0.24234257145992968</v>
      </c>
      <c r="E129" t="s">
        <v>53</v>
      </c>
      <c r="G129" t="s">
        <v>151</v>
      </c>
      <c r="H129" t="s">
        <v>63</v>
      </c>
      <c r="I129">
        <v>7.1384508859511628E-2</v>
      </c>
      <c r="J129" t="s">
        <v>53</v>
      </c>
      <c r="L129" t="s">
        <v>218</v>
      </c>
      <c r="M129" t="s">
        <v>63</v>
      </c>
      <c r="N129">
        <v>6.6824115013489352E-2</v>
      </c>
      <c r="O129" t="s">
        <v>53</v>
      </c>
    </row>
    <row r="130" spans="2:15" x14ac:dyDescent="0.25">
      <c r="B130" t="s">
        <v>73</v>
      </c>
      <c r="C130" t="s">
        <v>64</v>
      </c>
      <c r="D130">
        <v>2.0770995325391319E-3</v>
      </c>
      <c r="E130" t="s">
        <v>53</v>
      </c>
      <c r="G130" t="s">
        <v>151</v>
      </c>
      <c r="H130" t="s">
        <v>64</v>
      </c>
      <c r="I130">
        <v>4.3712014042627284E-2</v>
      </c>
      <c r="J130" t="s">
        <v>53</v>
      </c>
      <c r="L130" t="s">
        <v>218</v>
      </c>
      <c r="M130" t="s">
        <v>64</v>
      </c>
      <c r="N130">
        <v>3.4811170142774635E-2</v>
      </c>
      <c r="O130" t="s">
        <v>53</v>
      </c>
    </row>
    <row r="131" spans="2:15" x14ac:dyDescent="0.25">
      <c r="B131" t="s">
        <v>74</v>
      </c>
      <c r="C131" t="s">
        <v>52</v>
      </c>
      <c r="D131">
        <v>3.6322524622348536E-3</v>
      </c>
      <c r="E131" t="s">
        <v>53</v>
      </c>
      <c r="G131" t="s">
        <v>152</v>
      </c>
      <c r="H131" t="s">
        <v>52</v>
      </c>
      <c r="I131">
        <v>5.3592776805795113E-2</v>
      </c>
      <c r="J131" t="s">
        <v>53</v>
      </c>
      <c r="L131" t="s">
        <v>219</v>
      </c>
      <c r="M131" t="s">
        <v>52</v>
      </c>
      <c r="N131">
        <v>6.4625506269104682E-2</v>
      </c>
      <c r="O131" t="s">
        <v>53</v>
      </c>
    </row>
    <row r="132" spans="2:15" x14ac:dyDescent="0.25">
      <c r="B132" t="s">
        <v>74</v>
      </c>
      <c r="C132" t="s">
        <v>54</v>
      </c>
      <c r="D132">
        <v>0.27561263845964845</v>
      </c>
      <c r="E132" t="s">
        <v>53</v>
      </c>
      <c r="G132" t="s">
        <v>152</v>
      </c>
      <c r="H132" t="s">
        <v>54</v>
      </c>
      <c r="I132">
        <v>3.8810373259095518E-2</v>
      </c>
      <c r="J132" t="s">
        <v>53</v>
      </c>
      <c r="L132" t="s">
        <v>219</v>
      </c>
      <c r="M132" t="s">
        <v>54</v>
      </c>
      <c r="N132">
        <v>3.5697482240284698E-2</v>
      </c>
      <c r="O132" t="s">
        <v>53</v>
      </c>
    </row>
    <row r="133" spans="2:15" x14ac:dyDescent="0.25">
      <c r="B133" t="s">
        <v>74</v>
      </c>
      <c r="C133" t="s">
        <v>55</v>
      </c>
      <c r="D133">
        <v>3.293051335560758E-3</v>
      </c>
      <c r="E133" t="s">
        <v>53</v>
      </c>
      <c r="G133" t="s">
        <v>152</v>
      </c>
      <c r="H133" t="s">
        <v>55</v>
      </c>
      <c r="I133">
        <v>6.631939885643616E-2</v>
      </c>
      <c r="J133" t="s">
        <v>53</v>
      </c>
      <c r="L133" t="s">
        <v>219</v>
      </c>
      <c r="M133" t="s">
        <v>55</v>
      </c>
      <c r="N133">
        <v>2.7636492723353299E-2</v>
      </c>
      <c r="O133" t="s">
        <v>53</v>
      </c>
    </row>
    <row r="134" spans="2:15" x14ac:dyDescent="0.25">
      <c r="B134" t="s">
        <v>74</v>
      </c>
      <c r="C134" t="s">
        <v>56</v>
      </c>
      <c r="D134">
        <v>2.0316719144996786E-2</v>
      </c>
      <c r="E134" t="s">
        <v>53</v>
      </c>
      <c r="G134" t="s">
        <v>152</v>
      </c>
      <c r="H134" t="s">
        <v>56</v>
      </c>
      <c r="I134">
        <v>7.0465545347091166E-2</v>
      </c>
      <c r="J134" t="s">
        <v>53</v>
      </c>
      <c r="L134" t="s">
        <v>219</v>
      </c>
      <c r="M134" t="s">
        <v>56</v>
      </c>
      <c r="N134">
        <v>7.3102028215853029E-2</v>
      </c>
      <c r="O134" t="s">
        <v>53</v>
      </c>
    </row>
    <row r="135" spans="2:15" x14ac:dyDescent="0.25">
      <c r="B135" t="s">
        <v>74</v>
      </c>
      <c r="C135" t="s">
        <v>57</v>
      </c>
      <c r="D135">
        <v>0.30662111477360848</v>
      </c>
      <c r="E135" t="s">
        <v>53</v>
      </c>
      <c r="G135" t="s">
        <v>152</v>
      </c>
      <c r="H135" t="s">
        <v>57</v>
      </c>
      <c r="I135">
        <v>0.11932900781059888</v>
      </c>
      <c r="J135" t="s">
        <v>53</v>
      </c>
      <c r="L135" t="s">
        <v>219</v>
      </c>
      <c r="M135" t="s">
        <v>57</v>
      </c>
      <c r="N135">
        <v>8.8619539734841032E-2</v>
      </c>
      <c r="O135" t="s">
        <v>53</v>
      </c>
    </row>
    <row r="136" spans="2:15" x14ac:dyDescent="0.25">
      <c r="B136" t="s">
        <v>74</v>
      </c>
      <c r="C136" t="s">
        <v>58</v>
      </c>
      <c r="D136">
        <v>1.1784383828733097E-2</v>
      </c>
      <c r="E136" t="s">
        <v>53</v>
      </c>
      <c r="G136" t="s">
        <v>152</v>
      </c>
      <c r="H136" t="s">
        <v>58</v>
      </c>
      <c r="I136">
        <v>9.4477369008779219E-2</v>
      </c>
      <c r="J136" t="s">
        <v>53</v>
      </c>
      <c r="L136" t="s">
        <v>219</v>
      </c>
      <c r="M136" t="s">
        <v>58</v>
      </c>
      <c r="N136">
        <v>7.862316053994392E-2</v>
      </c>
      <c r="O136" t="s">
        <v>53</v>
      </c>
    </row>
    <row r="137" spans="2:15" x14ac:dyDescent="0.25">
      <c r="B137" t="s">
        <v>74</v>
      </c>
      <c r="C137" t="s">
        <v>59</v>
      </c>
      <c r="D137">
        <v>3.5279597976551817E-3</v>
      </c>
      <c r="E137" t="s">
        <v>53</v>
      </c>
      <c r="G137" t="s">
        <v>152</v>
      </c>
      <c r="H137" t="s">
        <v>59</v>
      </c>
      <c r="I137">
        <v>0.13067249500099692</v>
      </c>
      <c r="J137" t="s">
        <v>53</v>
      </c>
      <c r="L137" t="s">
        <v>219</v>
      </c>
      <c r="M137" t="s">
        <v>59</v>
      </c>
      <c r="N137">
        <v>0.15043631962471177</v>
      </c>
      <c r="O137" t="s">
        <v>53</v>
      </c>
    </row>
    <row r="138" spans="2:15" x14ac:dyDescent="0.25">
      <c r="B138" t="s">
        <v>74</v>
      </c>
      <c r="C138" t="s">
        <v>60</v>
      </c>
      <c r="D138">
        <v>0.11751844964328162</v>
      </c>
      <c r="E138" t="s">
        <v>53</v>
      </c>
      <c r="G138" t="s">
        <v>152</v>
      </c>
      <c r="H138" t="s">
        <v>60</v>
      </c>
      <c r="I138">
        <v>0.15865404324415924</v>
      </c>
      <c r="J138" t="s">
        <v>53</v>
      </c>
      <c r="L138" t="s">
        <v>219</v>
      </c>
      <c r="M138" t="s">
        <v>60</v>
      </c>
      <c r="N138">
        <v>0.19293249445318658</v>
      </c>
      <c r="O138" t="s">
        <v>53</v>
      </c>
    </row>
    <row r="139" spans="2:15" x14ac:dyDescent="0.25">
      <c r="B139" t="s">
        <v>74</v>
      </c>
      <c r="C139" t="s">
        <v>61</v>
      </c>
      <c r="D139">
        <v>3.1850611266279129E-3</v>
      </c>
      <c r="E139" t="s">
        <v>53</v>
      </c>
      <c r="G139" t="s">
        <v>152</v>
      </c>
      <c r="H139" t="s">
        <v>61</v>
      </c>
      <c r="I139">
        <v>8.5201958253565857E-2</v>
      </c>
      <c r="J139" t="s">
        <v>53</v>
      </c>
      <c r="L139" t="s">
        <v>219</v>
      </c>
      <c r="M139" t="s">
        <v>61</v>
      </c>
      <c r="N139">
        <v>0.11696788944282914</v>
      </c>
      <c r="O139" t="s">
        <v>53</v>
      </c>
    </row>
    <row r="140" spans="2:15" x14ac:dyDescent="0.25">
      <c r="B140" t="s">
        <v>74</v>
      </c>
      <c r="C140" t="s">
        <v>62</v>
      </c>
      <c r="D140">
        <v>1.1017564322779146E-2</v>
      </c>
      <c r="E140" t="s">
        <v>53</v>
      </c>
      <c r="G140" t="s">
        <v>152</v>
      </c>
      <c r="H140" t="s">
        <v>62</v>
      </c>
      <c r="I140">
        <v>6.8049786944004362E-2</v>
      </c>
      <c r="J140" t="s">
        <v>53</v>
      </c>
      <c r="L140" t="s">
        <v>219</v>
      </c>
      <c r="M140" t="s">
        <v>62</v>
      </c>
      <c r="N140">
        <v>6.4460593602605074E-2</v>
      </c>
      <c r="O140" t="s">
        <v>53</v>
      </c>
    </row>
    <row r="141" spans="2:15" x14ac:dyDescent="0.25">
      <c r="B141" t="s">
        <v>74</v>
      </c>
      <c r="C141" t="s">
        <v>63</v>
      </c>
      <c r="D141">
        <v>0.2417951806873776</v>
      </c>
      <c r="E141" t="s">
        <v>53</v>
      </c>
      <c r="G141" t="s">
        <v>152</v>
      </c>
      <c r="H141" t="s">
        <v>63</v>
      </c>
      <c r="I141">
        <v>6.9063651298839027E-2</v>
      </c>
      <c r="J141" t="s">
        <v>53</v>
      </c>
      <c r="L141" t="s">
        <v>219</v>
      </c>
      <c r="M141" t="s">
        <v>63</v>
      </c>
      <c r="N141">
        <v>6.8531783256402579E-2</v>
      </c>
      <c r="O141" t="s">
        <v>53</v>
      </c>
    </row>
    <row r="142" spans="2:15" x14ac:dyDescent="0.25">
      <c r="B142" t="s">
        <v>74</v>
      </c>
      <c r="C142" t="s">
        <v>64</v>
      </c>
      <c r="D142">
        <v>1.6956244174955437E-3</v>
      </c>
      <c r="E142" t="s">
        <v>53</v>
      </c>
      <c r="G142" t="s">
        <v>152</v>
      </c>
      <c r="H142" t="s">
        <v>64</v>
      </c>
      <c r="I142">
        <v>4.5363594170636332E-2</v>
      </c>
      <c r="J142" t="s">
        <v>53</v>
      </c>
      <c r="L142" t="s">
        <v>219</v>
      </c>
      <c r="M142" t="s">
        <v>64</v>
      </c>
      <c r="N142">
        <v>3.836670989688324E-2</v>
      </c>
      <c r="O142" t="s">
        <v>53</v>
      </c>
    </row>
    <row r="143" spans="2:15" x14ac:dyDescent="0.25">
      <c r="B143" t="s">
        <v>75</v>
      </c>
      <c r="C143" t="s">
        <v>52</v>
      </c>
      <c r="D143">
        <v>0</v>
      </c>
      <c r="E143" t="s">
        <v>53</v>
      </c>
      <c r="G143" t="s">
        <v>153</v>
      </c>
      <c r="H143" t="s">
        <v>52</v>
      </c>
      <c r="I143">
        <v>8.4450075291966964E-2</v>
      </c>
      <c r="J143" t="s">
        <v>53</v>
      </c>
      <c r="L143" t="s">
        <v>220</v>
      </c>
      <c r="M143" t="s">
        <v>52</v>
      </c>
      <c r="N143">
        <v>7.6129353942752651E-2</v>
      </c>
      <c r="O143" t="s">
        <v>53</v>
      </c>
    </row>
    <row r="144" spans="2:15" x14ac:dyDescent="0.25">
      <c r="B144" t="s">
        <v>75</v>
      </c>
      <c r="C144" t="s">
        <v>54</v>
      </c>
      <c r="D144">
        <v>0.22728220087993739</v>
      </c>
      <c r="E144" t="s">
        <v>53</v>
      </c>
      <c r="G144" t="s">
        <v>153</v>
      </c>
      <c r="H144" t="s">
        <v>54</v>
      </c>
      <c r="I144">
        <v>2.6643824196077255E-2</v>
      </c>
      <c r="J144" t="s">
        <v>53</v>
      </c>
      <c r="L144" t="s">
        <v>220</v>
      </c>
      <c r="M144" t="s">
        <v>54</v>
      </c>
      <c r="N144">
        <v>6.9900998979847376E-2</v>
      </c>
      <c r="O144" t="s">
        <v>53</v>
      </c>
    </row>
    <row r="145" spans="2:15" x14ac:dyDescent="0.25">
      <c r="B145" t="s">
        <v>75</v>
      </c>
      <c r="C145" t="s">
        <v>55</v>
      </c>
      <c r="D145">
        <v>3.5268564014334244E-3</v>
      </c>
      <c r="E145" t="s">
        <v>53</v>
      </c>
      <c r="G145" t="s">
        <v>153</v>
      </c>
      <c r="H145" t="s">
        <v>55</v>
      </c>
      <c r="I145">
        <v>5.5355075915104822E-2</v>
      </c>
      <c r="J145" t="s">
        <v>53</v>
      </c>
      <c r="L145" t="s">
        <v>220</v>
      </c>
      <c r="M145" t="s">
        <v>55</v>
      </c>
      <c r="N145">
        <v>3.4058508086563022E-2</v>
      </c>
      <c r="O145" t="s">
        <v>53</v>
      </c>
    </row>
    <row r="146" spans="2:15" x14ac:dyDescent="0.25">
      <c r="B146" t="s">
        <v>75</v>
      </c>
      <c r="C146" t="s">
        <v>56</v>
      </c>
      <c r="D146">
        <v>1.4077387160705276E-2</v>
      </c>
      <c r="E146" t="s">
        <v>53</v>
      </c>
      <c r="G146" t="s">
        <v>153</v>
      </c>
      <c r="H146" t="s">
        <v>56</v>
      </c>
      <c r="I146">
        <v>0.14285089293741776</v>
      </c>
      <c r="J146" t="s">
        <v>53</v>
      </c>
      <c r="L146" t="s">
        <v>220</v>
      </c>
      <c r="M146" t="s">
        <v>56</v>
      </c>
      <c r="N146">
        <v>7.6126687206293356E-2</v>
      </c>
      <c r="O146" t="s">
        <v>53</v>
      </c>
    </row>
    <row r="147" spans="2:15" x14ac:dyDescent="0.25">
      <c r="B147" t="s">
        <v>75</v>
      </c>
      <c r="C147" t="s">
        <v>57</v>
      </c>
      <c r="D147">
        <v>0.26836930381854662</v>
      </c>
      <c r="E147" t="s">
        <v>53</v>
      </c>
      <c r="G147" t="s">
        <v>153</v>
      </c>
      <c r="H147" t="s">
        <v>57</v>
      </c>
      <c r="I147">
        <v>6.7119416593305684E-2</v>
      </c>
      <c r="J147" t="s">
        <v>53</v>
      </c>
      <c r="L147" t="s">
        <v>220</v>
      </c>
      <c r="M147" t="s">
        <v>57</v>
      </c>
      <c r="N147">
        <v>4.0213744418134745E-2</v>
      </c>
      <c r="O147" t="s">
        <v>53</v>
      </c>
    </row>
    <row r="148" spans="2:15" x14ac:dyDescent="0.25">
      <c r="B148" t="s">
        <v>75</v>
      </c>
      <c r="C148" t="s">
        <v>58</v>
      </c>
      <c r="D148">
        <v>1.4500406506624137E-2</v>
      </c>
      <c r="E148" t="s">
        <v>53</v>
      </c>
      <c r="G148" t="s">
        <v>153</v>
      </c>
      <c r="H148" t="s">
        <v>58</v>
      </c>
      <c r="I148">
        <v>8.2872800712705363E-2</v>
      </c>
      <c r="J148" t="s">
        <v>53</v>
      </c>
      <c r="L148" t="s">
        <v>220</v>
      </c>
      <c r="M148" t="s">
        <v>58</v>
      </c>
      <c r="N148">
        <v>5.3268396344121831E-2</v>
      </c>
      <c r="O148" t="s">
        <v>53</v>
      </c>
    </row>
    <row r="149" spans="2:15" x14ac:dyDescent="0.25">
      <c r="B149" t="s">
        <v>75</v>
      </c>
      <c r="C149" t="s">
        <v>59</v>
      </c>
      <c r="D149">
        <v>9.8767849086356992E-3</v>
      </c>
      <c r="E149" t="s">
        <v>53</v>
      </c>
      <c r="G149" t="s">
        <v>153</v>
      </c>
      <c r="H149" t="s">
        <v>59</v>
      </c>
      <c r="I149">
        <v>0.14286844536095766</v>
      </c>
      <c r="J149" t="s">
        <v>53</v>
      </c>
      <c r="L149" t="s">
        <v>220</v>
      </c>
      <c r="M149" t="s">
        <v>59</v>
      </c>
      <c r="N149">
        <v>0.16213798884047601</v>
      </c>
      <c r="O149" t="s">
        <v>53</v>
      </c>
    </row>
    <row r="150" spans="2:15" x14ac:dyDescent="0.25">
      <c r="B150" t="s">
        <v>75</v>
      </c>
      <c r="C150" t="s">
        <v>60</v>
      </c>
      <c r="D150">
        <v>0.20880883625024654</v>
      </c>
      <c r="E150" t="s">
        <v>53</v>
      </c>
      <c r="G150" t="s">
        <v>153</v>
      </c>
      <c r="H150" t="s">
        <v>60</v>
      </c>
      <c r="I150">
        <v>0.17066075903326969</v>
      </c>
      <c r="J150" t="s">
        <v>53</v>
      </c>
      <c r="L150" t="s">
        <v>220</v>
      </c>
      <c r="M150" t="s">
        <v>60</v>
      </c>
      <c r="N150">
        <v>0.19819934320930693</v>
      </c>
      <c r="O150" t="s">
        <v>53</v>
      </c>
    </row>
    <row r="151" spans="2:15" x14ac:dyDescent="0.25">
      <c r="B151" t="s">
        <v>75</v>
      </c>
      <c r="C151" t="s">
        <v>61</v>
      </c>
      <c r="D151">
        <v>1.2263005740742437E-2</v>
      </c>
      <c r="E151" t="s">
        <v>53</v>
      </c>
      <c r="G151" t="s">
        <v>153</v>
      </c>
      <c r="H151" t="s">
        <v>61</v>
      </c>
      <c r="I151">
        <v>8.6741320394029528E-2</v>
      </c>
      <c r="J151" t="s">
        <v>53</v>
      </c>
      <c r="L151" t="s">
        <v>220</v>
      </c>
      <c r="M151" t="s">
        <v>61</v>
      </c>
      <c r="N151">
        <v>0.12248806373207909</v>
      </c>
      <c r="O151" t="s">
        <v>53</v>
      </c>
    </row>
    <row r="152" spans="2:15" x14ac:dyDescent="0.25">
      <c r="B152" t="s">
        <v>75</v>
      </c>
      <c r="C152" t="s">
        <v>62</v>
      </c>
      <c r="D152">
        <v>6.5316345827697367E-3</v>
      </c>
      <c r="E152" t="s">
        <v>53</v>
      </c>
      <c r="G152" t="s">
        <v>153</v>
      </c>
      <c r="H152" t="s">
        <v>62</v>
      </c>
      <c r="I152">
        <v>6.1338959353911073E-2</v>
      </c>
      <c r="J152" t="s">
        <v>53</v>
      </c>
      <c r="L152" t="s">
        <v>220</v>
      </c>
      <c r="M152" t="s">
        <v>62</v>
      </c>
      <c r="N152">
        <v>6.1593080542369574E-2</v>
      </c>
      <c r="O152" t="s">
        <v>53</v>
      </c>
    </row>
    <row r="153" spans="2:15" x14ac:dyDescent="0.25">
      <c r="B153" t="s">
        <v>75</v>
      </c>
      <c r="C153" t="s">
        <v>63</v>
      </c>
      <c r="D153">
        <v>0.23173326362030089</v>
      </c>
      <c r="E153" t="s">
        <v>53</v>
      </c>
      <c r="G153" t="s">
        <v>153</v>
      </c>
      <c r="H153" t="s">
        <v>63</v>
      </c>
      <c r="I153">
        <v>4.3723413412651034E-2</v>
      </c>
      <c r="J153" t="s">
        <v>53</v>
      </c>
      <c r="L153" t="s">
        <v>220</v>
      </c>
      <c r="M153" t="s">
        <v>63</v>
      </c>
      <c r="N153">
        <v>6.5591379938633648E-2</v>
      </c>
      <c r="O153" t="s">
        <v>53</v>
      </c>
    </row>
    <row r="154" spans="2:15" x14ac:dyDescent="0.25">
      <c r="B154" t="s">
        <v>75</v>
      </c>
      <c r="C154" t="s">
        <v>64</v>
      </c>
      <c r="D154">
        <v>3.0303201300586526E-3</v>
      </c>
      <c r="E154" t="s">
        <v>53</v>
      </c>
      <c r="G154" t="s">
        <v>153</v>
      </c>
      <c r="H154" t="s">
        <v>64</v>
      </c>
      <c r="I154">
        <v>3.537501679860474E-2</v>
      </c>
      <c r="J154" t="s">
        <v>53</v>
      </c>
      <c r="L154" t="s">
        <v>220</v>
      </c>
      <c r="M154" t="s">
        <v>64</v>
      </c>
      <c r="N154">
        <v>4.029245475942618E-2</v>
      </c>
      <c r="O154" t="s">
        <v>53</v>
      </c>
    </row>
    <row r="155" spans="2:15" x14ac:dyDescent="0.25">
      <c r="B155" t="s">
        <v>76</v>
      </c>
      <c r="C155" t="s">
        <v>52</v>
      </c>
      <c r="D155">
        <v>0</v>
      </c>
      <c r="E155" t="s">
        <v>53</v>
      </c>
      <c r="G155" t="s">
        <v>154</v>
      </c>
      <c r="H155" t="s">
        <v>52</v>
      </c>
      <c r="I155">
        <v>4.9839730412001057E-2</v>
      </c>
      <c r="J155" t="s">
        <v>53</v>
      </c>
      <c r="L155" t="s">
        <v>221</v>
      </c>
      <c r="M155" t="s">
        <v>52</v>
      </c>
      <c r="N155">
        <v>5.9317044563400319E-2</v>
      </c>
      <c r="O155" t="s">
        <v>53</v>
      </c>
    </row>
    <row r="156" spans="2:15" x14ac:dyDescent="0.25">
      <c r="B156" t="s">
        <v>76</v>
      </c>
      <c r="C156" t="s">
        <v>54</v>
      </c>
      <c r="D156">
        <v>0.21900772518007741</v>
      </c>
      <c r="E156" t="s">
        <v>53</v>
      </c>
      <c r="G156" t="s">
        <v>154</v>
      </c>
      <c r="H156" t="s">
        <v>54</v>
      </c>
      <c r="I156">
        <v>1.5602616676030611E-2</v>
      </c>
      <c r="J156" t="s">
        <v>53</v>
      </c>
      <c r="L156" t="s">
        <v>221</v>
      </c>
      <c r="M156" t="s">
        <v>54</v>
      </c>
      <c r="N156">
        <v>8.3109647126117514E-2</v>
      </c>
      <c r="O156" t="s">
        <v>53</v>
      </c>
    </row>
    <row r="157" spans="2:15" x14ac:dyDescent="0.25">
      <c r="B157" t="s">
        <v>76</v>
      </c>
      <c r="C157" t="s">
        <v>55</v>
      </c>
      <c r="D157">
        <v>2.5164735731755786E-3</v>
      </c>
      <c r="E157" t="s">
        <v>53</v>
      </c>
      <c r="G157" t="s">
        <v>154</v>
      </c>
      <c r="H157" t="s">
        <v>55</v>
      </c>
      <c r="I157">
        <v>3.42703919686006E-2</v>
      </c>
      <c r="J157" t="s">
        <v>53</v>
      </c>
      <c r="L157" t="s">
        <v>221</v>
      </c>
      <c r="M157" t="s">
        <v>55</v>
      </c>
      <c r="N157">
        <v>5.7898053733955533E-2</v>
      </c>
      <c r="O157" t="s">
        <v>53</v>
      </c>
    </row>
    <row r="158" spans="2:15" x14ac:dyDescent="0.25">
      <c r="B158" t="s">
        <v>76</v>
      </c>
      <c r="C158" t="s">
        <v>56</v>
      </c>
      <c r="D158">
        <v>1.6919437266736642E-2</v>
      </c>
      <c r="E158" t="s">
        <v>53</v>
      </c>
      <c r="G158" t="s">
        <v>154</v>
      </c>
      <c r="H158" t="s">
        <v>56</v>
      </c>
      <c r="I158">
        <v>0.11055636468071012</v>
      </c>
      <c r="J158" t="s">
        <v>53</v>
      </c>
      <c r="L158" t="s">
        <v>221</v>
      </c>
      <c r="M158" t="s">
        <v>56</v>
      </c>
      <c r="N158">
        <v>8.7342696680589055E-2</v>
      </c>
      <c r="O158" t="s">
        <v>53</v>
      </c>
    </row>
    <row r="159" spans="2:15" x14ac:dyDescent="0.25">
      <c r="B159" t="s">
        <v>76</v>
      </c>
      <c r="C159" t="s">
        <v>57</v>
      </c>
      <c r="D159">
        <v>0.2774473029489718</v>
      </c>
      <c r="E159" t="s">
        <v>53</v>
      </c>
      <c r="G159" t="s">
        <v>154</v>
      </c>
      <c r="H159" t="s">
        <v>57</v>
      </c>
      <c r="I159">
        <v>6.3352392330298005E-2</v>
      </c>
      <c r="J159" t="s">
        <v>53</v>
      </c>
      <c r="L159" t="s">
        <v>221</v>
      </c>
      <c r="M159" t="s">
        <v>57</v>
      </c>
      <c r="N159">
        <v>7.9499409106134192E-2</v>
      </c>
      <c r="O159" t="s">
        <v>53</v>
      </c>
    </row>
    <row r="160" spans="2:15" x14ac:dyDescent="0.25">
      <c r="B160" t="s">
        <v>76</v>
      </c>
      <c r="C160" t="s">
        <v>58</v>
      </c>
      <c r="D160">
        <v>1.342834551819015E-2</v>
      </c>
      <c r="E160" t="s">
        <v>53</v>
      </c>
      <c r="G160" t="s">
        <v>154</v>
      </c>
      <c r="H160" t="s">
        <v>58</v>
      </c>
      <c r="I160">
        <v>8.2872876526112832E-2</v>
      </c>
      <c r="J160" t="s">
        <v>53</v>
      </c>
      <c r="L160" t="s">
        <v>221</v>
      </c>
      <c r="M160" t="s">
        <v>58</v>
      </c>
      <c r="N160">
        <v>7.9882670010961346E-2</v>
      </c>
      <c r="O160" t="s">
        <v>53</v>
      </c>
    </row>
    <row r="161" spans="2:15" x14ac:dyDescent="0.25">
      <c r="B161" t="s">
        <v>76</v>
      </c>
      <c r="C161" t="s">
        <v>59</v>
      </c>
      <c r="D161">
        <v>1.0212107096193138E-2</v>
      </c>
      <c r="E161" t="s">
        <v>53</v>
      </c>
      <c r="G161" t="s">
        <v>154</v>
      </c>
      <c r="H161" t="s">
        <v>59</v>
      </c>
      <c r="I161">
        <v>0.17344891518180203</v>
      </c>
      <c r="J161" t="s">
        <v>53</v>
      </c>
      <c r="L161" t="s">
        <v>221</v>
      </c>
      <c r="M161" t="s">
        <v>59</v>
      </c>
      <c r="N161">
        <v>0.12617820361204166</v>
      </c>
      <c r="O161" t="s">
        <v>53</v>
      </c>
    </row>
    <row r="162" spans="2:15" x14ac:dyDescent="0.25">
      <c r="B162" t="s">
        <v>76</v>
      </c>
      <c r="C162" t="s">
        <v>60</v>
      </c>
      <c r="D162">
        <v>0.2025416257294492</v>
      </c>
      <c r="E162" t="s">
        <v>53</v>
      </c>
      <c r="G162" t="s">
        <v>154</v>
      </c>
      <c r="H162" t="s">
        <v>60</v>
      </c>
      <c r="I162">
        <v>0.2009706491782115</v>
      </c>
      <c r="J162" t="s">
        <v>53</v>
      </c>
      <c r="L162" t="s">
        <v>221</v>
      </c>
      <c r="M162" t="s">
        <v>60</v>
      </c>
      <c r="N162">
        <v>0.10057089012186551</v>
      </c>
      <c r="O162" t="s">
        <v>53</v>
      </c>
    </row>
    <row r="163" spans="2:15" x14ac:dyDescent="0.25">
      <c r="B163" t="s">
        <v>76</v>
      </c>
      <c r="C163" t="s">
        <v>61</v>
      </c>
      <c r="D163">
        <v>1.1527217752032594E-2</v>
      </c>
      <c r="E163" t="s">
        <v>53</v>
      </c>
      <c r="G163" t="s">
        <v>154</v>
      </c>
      <c r="H163" t="s">
        <v>61</v>
      </c>
      <c r="I163">
        <v>0.12157171850645429</v>
      </c>
      <c r="J163" t="s">
        <v>53</v>
      </c>
      <c r="L163" t="s">
        <v>221</v>
      </c>
      <c r="M163" t="s">
        <v>61</v>
      </c>
      <c r="N163">
        <v>0.11165448967271543</v>
      </c>
      <c r="O163" t="s">
        <v>53</v>
      </c>
    </row>
    <row r="164" spans="2:15" x14ac:dyDescent="0.25">
      <c r="B164" t="s">
        <v>76</v>
      </c>
      <c r="C164" t="s">
        <v>62</v>
      </c>
      <c r="D164">
        <v>7.1096890917203975E-3</v>
      </c>
      <c r="E164" t="s">
        <v>53</v>
      </c>
      <c r="G164" t="s">
        <v>154</v>
      </c>
      <c r="H164" t="s">
        <v>62</v>
      </c>
      <c r="I164">
        <v>5.5741717147954326E-2</v>
      </c>
      <c r="J164" t="s">
        <v>53</v>
      </c>
      <c r="L164" t="s">
        <v>221</v>
      </c>
      <c r="M164" t="s">
        <v>62</v>
      </c>
      <c r="N164">
        <v>7.9005706831611511E-2</v>
      </c>
      <c r="O164" t="s">
        <v>53</v>
      </c>
    </row>
    <row r="165" spans="2:15" x14ac:dyDescent="0.25">
      <c r="B165" t="s">
        <v>76</v>
      </c>
      <c r="C165" t="s">
        <v>63</v>
      </c>
      <c r="D165">
        <v>0.23664189610903713</v>
      </c>
      <c r="E165" t="s">
        <v>53</v>
      </c>
      <c r="G165" t="s">
        <v>154</v>
      </c>
      <c r="H165" t="s">
        <v>63</v>
      </c>
      <c r="I165">
        <v>5.3314318109912592E-2</v>
      </c>
      <c r="J165" t="s">
        <v>53</v>
      </c>
      <c r="L165" t="s">
        <v>221</v>
      </c>
      <c r="M165" t="s">
        <v>63</v>
      </c>
      <c r="N165">
        <v>7.4584821599104845E-2</v>
      </c>
      <c r="O165" t="s">
        <v>53</v>
      </c>
    </row>
    <row r="166" spans="2:15" x14ac:dyDescent="0.25">
      <c r="B166" t="s">
        <v>76</v>
      </c>
      <c r="C166" t="s">
        <v>64</v>
      </c>
      <c r="D166">
        <v>2.6481797344171569E-3</v>
      </c>
      <c r="E166" t="s">
        <v>53</v>
      </c>
      <c r="G166" t="s">
        <v>154</v>
      </c>
      <c r="H166" t="s">
        <v>64</v>
      </c>
      <c r="I166">
        <v>3.8458309281910304E-2</v>
      </c>
      <c r="J166" t="s">
        <v>53</v>
      </c>
      <c r="L166" t="s">
        <v>221</v>
      </c>
      <c r="M166" t="s">
        <v>64</v>
      </c>
      <c r="N166">
        <v>6.0956366941501305E-2</v>
      </c>
      <c r="O166" t="s">
        <v>53</v>
      </c>
    </row>
    <row r="167" spans="2:15" x14ac:dyDescent="0.25">
      <c r="B167" t="s">
        <v>77</v>
      </c>
      <c r="C167" t="s">
        <v>52</v>
      </c>
      <c r="D167">
        <v>0</v>
      </c>
      <c r="E167" t="s">
        <v>53</v>
      </c>
      <c r="G167" t="s">
        <v>155</v>
      </c>
      <c r="H167" t="s">
        <v>52</v>
      </c>
      <c r="I167">
        <v>6.4661978275682278E-2</v>
      </c>
      <c r="J167" t="s">
        <v>53</v>
      </c>
      <c r="L167" t="s">
        <v>222</v>
      </c>
      <c r="M167" t="s">
        <v>52</v>
      </c>
      <c r="N167">
        <v>6.5533280643492078E-2</v>
      </c>
      <c r="O167" t="s">
        <v>53</v>
      </c>
    </row>
    <row r="168" spans="2:15" x14ac:dyDescent="0.25">
      <c r="B168" t="s">
        <v>77</v>
      </c>
      <c r="C168" t="s">
        <v>54</v>
      </c>
      <c r="D168">
        <v>0.23590262132624121</v>
      </c>
      <c r="E168" t="s">
        <v>53</v>
      </c>
      <c r="G168" t="s">
        <v>155</v>
      </c>
      <c r="H168" t="s">
        <v>54</v>
      </c>
      <c r="I168">
        <v>2.2174386502527559E-2</v>
      </c>
      <c r="J168" t="s">
        <v>53</v>
      </c>
      <c r="L168" t="s">
        <v>222</v>
      </c>
      <c r="M168" t="s">
        <v>54</v>
      </c>
      <c r="N168">
        <v>8.1069848167045169E-2</v>
      </c>
      <c r="O168" t="s">
        <v>53</v>
      </c>
    </row>
    <row r="169" spans="2:15" x14ac:dyDescent="0.25">
      <c r="B169" t="s">
        <v>77</v>
      </c>
      <c r="C169" t="s">
        <v>55</v>
      </c>
      <c r="D169">
        <v>5.578635577968275E-3</v>
      </c>
      <c r="E169" t="s">
        <v>53</v>
      </c>
      <c r="G169" t="s">
        <v>155</v>
      </c>
      <c r="H169" t="s">
        <v>55</v>
      </c>
      <c r="I169">
        <v>4.9151253388938519E-2</v>
      </c>
      <c r="J169" t="s">
        <v>53</v>
      </c>
      <c r="L169" t="s">
        <v>222</v>
      </c>
      <c r="M169" t="s">
        <v>55</v>
      </c>
      <c r="N169">
        <v>5.6723652173025461E-2</v>
      </c>
      <c r="O169" t="s">
        <v>53</v>
      </c>
    </row>
    <row r="170" spans="2:15" x14ac:dyDescent="0.25">
      <c r="B170" t="s">
        <v>77</v>
      </c>
      <c r="C170" t="s">
        <v>56</v>
      </c>
      <c r="D170">
        <v>1.0852955080487487E-2</v>
      </c>
      <c r="E170" t="s">
        <v>53</v>
      </c>
      <c r="G170" t="s">
        <v>155</v>
      </c>
      <c r="H170" t="s">
        <v>56</v>
      </c>
      <c r="I170">
        <v>0.1270480728978626</v>
      </c>
      <c r="J170" t="s">
        <v>53</v>
      </c>
      <c r="L170" t="s">
        <v>222</v>
      </c>
      <c r="M170" t="s">
        <v>56</v>
      </c>
      <c r="N170">
        <v>7.1852594164032141E-2</v>
      </c>
      <c r="O170" t="s">
        <v>53</v>
      </c>
    </row>
    <row r="171" spans="2:15" x14ac:dyDescent="0.25">
      <c r="B171" t="s">
        <v>77</v>
      </c>
      <c r="C171" t="s">
        <v>57</v>
      </c>
      <c r="D171">
        <v>0.26457205522667548</v>
      </c>
      <c r="E171" t="s">
        <v>53</v>
      </c>
      <c r="G171" t="s">
        <v>155</v>
      </c>
      <c r="H171" t="s">
        <v>57</v>
      </c>
      <c r="I171">
        <v>5.7195746419852353E-2</v>
      </c>
      <c r="J171" t="s">
        <v>53</v>
      </c>
      <c r="L171" t="s">
        <v>222</v>
      </c>
      <c r="M171" t="s">
        <v>57</v>
      </c>
      <c r="N171">
        <v>6.3280297759904097E-2</v>
      </c>
      <c r="O171" t="s">
        <v>53</v>
      </c>
    </row>
    <row r="172" spans="2:15" x14ac:dyDescent="0.25">
      <c r="B172" t="s">
        <v>77</v>
      </c>
      <c r="C172" t="s">
        <v>58</v>
      </c>
      <c r="D172">
        <v>1.6383758035905777E-2</v>
      </c>
      <c r="E172" t="s">
        <v>53</v>
      </c>
      <c r="G172" t="s">
        <v>155</v>
      </c>
      <c r="H172" t="s">
        <v>58</v>
      </c>
      <c r="I172">
        <v>7.8572704875051733E-2</v>
      </c>
      <c r="J172" t="s">
        <v>53</v>
      </c>
      <c r="L172" t="s">
        <v>222</v>
      </c>
      <c r="M172" t="s">
        <v>58</v>
      </c>
      <c r="N172">
        <v>5.7799444683432011E-2</v>
      </c>
      <c r="O172" t="s">
        <v>53</v>
      </c>
    </row>
    <row r="173" spans="2:15" x14ac:dyDescent="0.25">
      <c r="B173" t="s">
        <v>77</v>
      </c>
      <c r="C173" t="s">
        <v>59</v>
      </c>
      <c r="D173">
        <v>7.6764230934843747E-3</v>
      </c>
      <c r="E173" t="s">
        <v>53</v>
      </c>
      <c r="G173" t="s">
        <v>155</v>
      </c>
      <c r="H173" t="s">
        <v>59</v>
      </c>
      <c r="I173">
        <v>0.15416822384705497</v>
      </c>
      <c r="J173" t="s">
        <v>53</v>
      </c>
      <c r="L173" t="s">
        <v>222</v>
      </c>
      <c r="M173" t="s">
        <v>59</v>
      </c>
      <c r="N173">
        <v>0.11940714729701801</v>
      </c>
      <c r="O173" t="s">
        <v>53</v>
      </c>
    </row>
    <row r="174" spans="2:15" x14ac:dyDescent="0.25">
      <c r="B174" t="s">
        <v>77</v>
      </c>
      <c r="C174" t="s">
        <v>60</v>
      </c>
      <c r="D174">
        <v>0.20621270316876747</v>
      </c>
      <c r="E174" t="s">
        <v>53</v>
      </c>
      <c r="G174" t="s">
        <v>155</v>
      </c>
      <c r="H174" t="s">
        <v>60</v>
      </c>
      <c r="I174">
        <v>0.18891397426957179</v>
      </c>
      <c r="J174" t="s">
        <v>53</v>
      </c>
      <c r="L174" t="s">
        <v>222</v>
      </c>
      <c r="M174" t="s">
        <v>60</v>
      </c>
      <c r="N174">
        <v>0.12370447697753464</v>
      </c>
      <c r="O174" t="s">
        <v>53</v>
      </c>
    </row>
    <row r="175" spans="2:15" x14ac:dyDescent="0.25">
      <c r="B175" t="s">
        <v>77</v>
      </c>
      <c r="C175" t="s">
        <v>61</v>
      </c>
      <c r="D175">
        <v>1.235290969602972E-2</v>
      </c>
      <c r="E175" t="s">
        <v>53</v>
      </c>
      <c r="G175" t="s">
        <v>155</v>
      </c>
      <c r="H175" t="s">
        <v>61</v>
      </c>
      <c r="I175">
        <v>0.10449078568912436</v>
      </c>
      <c r="J175" t="s">
        <v>53</v>
      </c>
      <c r="L175" t="s">
        <v>222</v>
      </c>
      <c r="M175" t="s">
        <v>61</v>
      </c>
      <c r="N175">
        <v>0.11559016481762656</v>
      </c>
      <c r="O175" t="s">
        <v>53</v>
      </c>
    </row>
    <row r="176" spans="2:15" x14ac:dyDescent="0.25">
      <c r="B176" t="s">
        <v>77</v>
      </c>
      <c r="C176" t="s">
        <v>62</v>
      </c>
      <c r="D176">
        <v>5.3559913859696374E-3</v>
      </c>
      <c r="E176" t="s">
        <v>53</v>
      </c>
      <c r="G176" t="s">
        <v>155</v>
      </c>
      <c r="H176" t="s">
        <v>62</v>
      </c>
      <c r="I176">
        <v>6.2617767759324344E-2</v>
      </c>
      <c r="J176" t="s">
        <v>53</v>
      </c>
      <c r="L176" t="s">
        <v>222</v>
      </c>
      <c r="M176" t="s">
        <v>62</v>
      </c>
      <c r="N176">
        <v>8.5504207581927602E-2</v>
      </c>
      <c r="O176" t="s">
        <v>53</v>
      </c>
    </row>
    <row r="177" spans="2:15" x14ac:dyDescent="0.25">
      <c r="B177" t="s">
        <v>77</v>
      </c>
      <c r="C177" t="s">
        <v>63</v>
      </c>
      <c r="D177">
        <v>0.23106001179804619</v>
      </c>
      <c r="E177" t="s">
        <v>53</v>
      </c>
      <c r="G177" t="s">
        <v>155</v>
      </c>
      <c r="H177" t="s">
        <v>63</v>
      </c>
      <c r="I177">
        <v>4.7004205989944411E-2</v>
      </c>
      <c r="J177" t="s">
        <v>53</v>
      </c>
      <c r="L177" t="s">
        <v>222</v>
      </c>
      <c r="M177" t="s">
        <v>63</v>
      </c>
      <c r="N177">
        <v>8.7403460728604818E-2</v>
      </c>
      <c r="O177" t="s">
        <v>53</v>
      </c>
    </row>
    <row r="178" spans="2:15" x14ac:dyDescent="0.25">
      <c r="B178" t="s">
        <v>77</v>
      </c>
      <c r="C178" t="s">
        <v>64</v>
      </c>
      <c r="D178">
        <v>4.0519356104226642E-3</v>
      </c>
      <c r="E178" t="s">
        <v>53</v>
      </c>
      <c r="G178" t="s">
        <v>155</v>
      </c>
      <c r="H178" t="s">
        <v>64</v>
      </c>
      <c r="I178">
        <v>4.400090008506604E-2</v>
      </c>
      <c r="J178" t="s">
        <v>53</v>
      </c>
      <c r="L178" t="s">
        <v>222</v>
      </c>
      <c r="M178" t="s">
        <v>64</v>
      </c>
      <c r="N178">
        <v>7.2131425006356081E-2</v>
      </c>
      <c r="O178" t="s">
        <v>53</v>
      </c>
    </row>
    <row r="179" spans="2:15" x14ac:dyDescent="0.25">
      <c r="B179" t="s">
        <v>78</v>
      </c>
      <c r="C179" t="s">
        <v>52</v>
      </c>
      <c r="D179">
        <v>1.6699684887325432E-5</v>
      </c>
      <c r="E179" t="s">
        <v>53</v>
      </c>
      <c r="G179" t="s">
        <v>156</v>
      </c>
      <c r="H179" t="s">
        <v>52</v>
      </c>
      <c r="I179">
        <v>2.9079392087716122E-2</v>
      </c>
      <c r="J179" t="s">
        <v>53</v>
      </c>
      <c r="L179" t="s">
        <v>223</v>
      </c>
      <c r="M179" t="s">
        <v>52</v>
      </c>
      <c r="N179">
        <v>7.2083677437203675E-2</v>
      </c>
      <c r="O179" t="s">
        <v>53</v>
      </c>
    </row>
    <row r="180" spans="2:15" x14ac:dyDescent="0.25">
      <c r="B180" t="s">
        <v>78</v>
      </c>
      <c r="C180" t="s">
        <v>54</v>
      </c>
      <c r="D180">
        <v>0.23975628544998651</v>
      </c>
      <c r="E180" t="s">
        <v>53</v>
      </c>
      <c r="G180" t="s">
        <v>156</v>
      </c>
      <c r="H180" t="s">
        <v>54</v>
      </c>
      <c r="I180">
        <v>2.0229108045526922E-2</v>
      </c>
      <c r="J180" t="s">
        <v>53</v>
      </c>
      <c r="L180" t="s">
        <v>223</v>
      </c>
      <c r="M180" t="s">
        <v>54</v>
      </c>
      <c r="N180">
        <v>9.8490361096743639E-2</v>
      </c>
      <c r="O180" t="s">
        <v>53</v>
      </c>
    </row>
    <row r="181" spans="2:15" x14ac:dyDescent="0.25">
      <c r="B181" t="s">
        <v>78</v>
      </c>
      <c r="C181" t="s">
        <v>55</v>
      </c>
      <c r="D181">
        <v>3.6212545108534767E-3</v>
      </c>
      <c r="E181" t="s">
        <v>53</v>
      </c>
      <c r="G181" t="s">
        <v>156</v>
      </c>
      <c r="H181" t="s">
        <v>55</v>
      </c>
      <c r="I181">
        <v>3.6142873969794695E-2</v>
      </c>
      <c r="J181" t="s">
        <v>53</v>
      </c>
      <c r="L181" t="s">
        <v>223</v>
      </c>
      <c r="M181" t="s">
        <v>55</v>
      </c>
      <c r="N181">
        <v>7.0206127879959543E-2</v>
      </c>
      <c r="O181" t="s">
        <v>53</v>
      </c>
    </row>
    <row r="182" spans="2:15" x14ac:dyDescent="0.25">
      <c r="B182" t="s">
        <v>78</v>
      </c>
      <c r="C182" t="s">
        <v>56</v>
      </c>
      <c r="D182">
        <v>1.5760500423903399E-2</v>
      </c>
      <c r="E182" t="s">
        <v>53</v>
      </c>
      <c r="G182" t="s">
        <v>156</v>
      </c>
      <c r="H182" t="s">
        <v>56</v>
      </c>
      <c r="I182">
        <v>0.12080177316721399</v>
      </c>
      <c r="J182" t="s">
        <v>53</v>
      </c>
      <c r="L182" t="s">
        <v>223</v>
      </c>
      <c r="M182" t="s">
        <v>56</v>
      </c>
      <c r="N182">
        <v>7.5718106033590235E-2</v>
      </c>
      <c r="O182" t="s">
        <v>53</v>
      </c>
    </row>
    <row r="183" spans="2:15" x14ac:dyDescent="0.25">
      <c r="B183" t="s">
        <v>78</v>
      </c>
      <c r="C183" t="s">
        <v>57</v>
      </c>
      <c r="D183">
        <v>0.27740350011085696</v>
      </c>
      <c r="E183" t="s">
        <v>53</v>
      </c>
      <c r="G183" t="s">
        <v>156</v>
      </c>
      <c r="H183" t="s">
        <v>57</v>
      </c>
      <c r="I183">
        <v>5.9098085915891919E-2</v>
      </c>
      <c r="J183" t="s">
        <v>53</v>
      </c>
      <c r="L183" t="s">
        <v>223</v>
      </c>
      <c r="M183" t="s">
        <v>57</v>
      </c>
      <c r="N183">
        <v>9.0320772033689531E-2</v>
      </c>
      <c r="O183" t="s">
        <v>53</v>
      </c>
    </row>
    <row r="184" spans="2:15" x14ac:dyDescent="0.25">
      <c r="B184" t="s">
        <v>78</v>
      </c>
      <c r="C184" t="s">
        <v>58</v>
      </c>
      <c r="D184">
        <v>1.4098980701443144E-2</v>
      </c>
      <c r="E184" t="s">
        <v>53</v>
      </c>
      <c r="G184" t="s">
        <v>156</v>
      </c>
      <c r="H184" t="s">
        <v>58</v>
      </c>
      <c r="I184">
        <v>7.0764360604494342E-2</v>
      </c>
      <c r="J184" t="s">
        <v>53</v>
      </c>
      <c r="L184" t="s">
        <v>223</v>
      </c>
      <c r="M184" t="s">
        <v>58</v>
      </c>
      <c r="N184">
        <v>9.0304475757469041E-2</v>
      </c>
      <c r="O184" t="s">
        <v>53</v>
      </c>
    </row>
    <row r="185" spans="2:15" x14ac:dyDescent="0.25">
      <c r="B185" t="s">
        <v>78</v>
      </c>
      <c r="C185" t="s">
        <v>59</v>
      </c>
      <c r="D185">
        <v>8.3985651236018685E-3</v>
      </c>
      <c r="E185" t="s">
        <v>53</v>
      </c>
      <c r="G185" t="s">
        <v>156</v>
      </c>
      <c r="H185" t="s">
        <v>59</v>
      </c>
      <c r="I185">
        <v>0.18063564881384764</v>
      </c>
      <c r="J185" t="s">
        <v>53</v>
      </c>
      <c r="L185" t="s">
        <v>223</v>
      </c>
      <c r="M185" t="s">
        <v>59</v>
      </c>
      <c r="N185">
        <v>9.2885871131026934E-2</v>
      </c>
      <c r="O185" t="s">
        <v>53</v>
      </c>
    </row>
    <row r="186" spans="2:15" x14ac:dyDescent="0.25">
      <c r="B186" t="s">
        <v>78</v>
      </c>
      <c r="C186" t="s">
        <v>60</v>
      </c>
      <c r="D186">
        <v>0.18835498132707501</v>
      </c>
      <c r="E186" t="s">
        <v>53</v>
      </c>
      <c r="G186" t="s">
        <v>156</v>
      </c>
      <c r="H186" t="s">
        <v>60</v>
      </c>
      <c r="I186">
        <v>0.22371529076061061</v>
      </c>
      <c r="J186" t="s">
        <v>53</v>
      </c>
      <c r="L186" t="s">
        <v>223</v>
      </c>
      <c r="M186" t="s">
        <v>60</v>
      </c>
      <c r="N186">
        <v>8.493256582402163E-2</v>
      </c>
      <c r="O186" t="s">
        <v>53</v>
      </c>
    </row>
    <row r="187" spans="2:15" x14ac:dyDescent="0.25">
      <c r="B187" t="s">
        <v>78</v>
      </c>
      <c r="C187" t="s">
        <v>61</v>
      </c>
      <c r="D187">
        <v>8.8484497996168376E-3</v>
      </c>
      <c r="E187" t="s">
        <v>53</v>
      </c>
      <c r="G187" t="s">
        <v>156</v>
      </c>
      <c r="H187" t="s">
        <v>61</v>
      </c>
      <c r="I187">
        <v>0.12127913757167247</v>
      </c>
      <c r="J187" t="s">
        <v>53</v>
      </c>
      <c r="L187" t="s">
        <v>223</v>
      </c>
      <c r="M187" t="s">
        <v>61</v>
      </c>
      <c r="N187">
        <v>0.10894432451605557</v>
      </c>
      <c r="O187" t="s">
        <v>53</v>
      </c>
    </row>
    <row r="188" spans="2:15" x14ac:dyDescent="0.25">
      <c r="B188" t="s">
        <v>78</v>
      </c>
      <c r="C188" t="s">
        <v>62</v>
      </c>
      <c r="D188">
        <v>7.6371988162501963E-3</v>
      </c>
      <c r="E188" t="s">
        <v>53</v>
      </c>
      <c r="G188" t="s">
        <v>156</v>
      </c>
      <c r="H188" t="s">
        <v>62</v>
      </c>
      <c r="I188">
        <v>4.757023579783462E-2</v>
      </c>
      <c r="J188" t="s">
        <v>53</v>
      </c>
      <c r="L188" t="s">
        <v>223</v>
      </c>
      <c r="M188" t="s">
        <v>62</v>
      </c>
      <c r="N188">
        <v>6.6993233590575976E-2</v>
      </c>
      <c r="O188" t="s">
        <v>53</v>
      </c>
    </row>
    <row r="189" spans="2:15" x14ac:dyDescent="0.25">
      <c r="B189" t="s">
        <v>78</v>
      </c>
      <c r="C189" t="s">
        <v>63</v>
      </c>
      <c r="D189">
        <v>0.23347973113939954</v>
      </c>
      <c r="E189" t="s">
        <v>53</v>
      </c>
      <c r="G189" t="s">
        <v>156</v>
      </c>
      <c r="H189" t="s">
        <v>63</v>
      </c>
      <c r="I189">
        <v>5.2637238468816488E-2</v>
      </c>
      <c r="J189" t="s">
        <v>53</v>
      </c>
      <c r="L189" t="s">
        <v>223</v>
      </c>
      <c r="M189" t="s">
        <v>63</v>
      </c>
      <c r="N189">
        <v>7.2210807801203897E-2</v>
      </c>
      <c r="O189" t="s">
        <v>53</v>
      </c>
    </row>
    <row r="190" spans="2:15" x14ac:dyDescent="0.25">
      <c r="B190" t="s">
        <v>78</v>
      </c>
      <c r="C190" t="s">
        <v>64</v>
      </c>
      <c r="D190">
        <v>2.6238529121276354E-3</v>
      </c>
      <c r="E190" t="s">
        <v>53</v>
      </c>
      <c r="G190" t="s">
        <v>156</v>
      </c>
      <c r="H190" t="s">
        <v>64</v>
      </c>
      <c r="I190">
        <v>3.8046854796581292E-2</v>
      </c>
      <c r="J190" t="s">
        <v>53</v>
      </c>
      <c r="L190" t="s">
        <v>223</v>
      </c>
      <c r="M190" t="s">
        <v>64</v>
      </c>
      <c r="N190">
        <v>7.6909676898459817E-2</v>
      </c>
      <c r="O190" t="s">
        <v>53</v>
      </c>
    </row>
    <row r="191" spans="2:15" x14ac:dyDescent="0.25">
      <c r="B191" t="s">
        <v>79</v>
      </c>
      <c r="C191" t="s">
        <v>52</v>
      </c>
      <c r="D191">
        <v>0</v>
      </c>
      <c r="E191" t="s">
        <v>53</v>
      </c>
      <c r="G191" t="s">
        <v>157</v>
      </c>
      <c r="H191" t="s">
        <v>52</v>
      </c>
      <c r="I191">
        <v>5.1717116589860709E-2</v>
      </c>
      <c r="J191" t="s">
        <v>53</v>
      </c>
      <c r="L191" t="s">
        <v>224</v>
      </c>
      <c r="M191" t="s">
        <v>52</v>
      </c>
      <c r="N191">
        <v>7.0139592090840377E-2</v>
      </c>
      <c r="O191" t="s">
        <v>53</v>
      </c>
    </row>
    <row r="192" spans="2:15" x14ac:dyDescent="0.25">
      <c r="B192" t="s">
        <v>79</v>
      </c>
      <c r="C192" t="s">
        <v>54</v>
      </c>
      <c r="D192">
        <v>0.2160052859608303</v>
      </c>
      <c r="E192" t="s">
        <v>53</v>
      </c>
      <c r="G192" t="s">
        <v>157</v>
      </c>
      <c r="H192" t="s">
        <v>54</v>
      </c>
      <c r="I192">
        <v>3.2614742942395955E-2</v>
      </c>
      <c r="J192" t="s">
        <v>53</v>
      </c>
      <c r="L192" t="s">
        <v>224</v>
      </c>
      <c r="M192" t="s">
        <v>54</v>
      </c>
      <c r="N192">
        <v>9.6110804403808162E-2</v>
      </c>
      <c r="O192" t="s">
        <v>53</v>
      </c>
    </row>
    <row r="193" spans="2:15" x14ac:dyDescent="0.25">
      <c r="B193" t="s">
        <v>79</v>
      </c>
      <c r="C193" t="s">
        <v>55</v>
      </c>
      <c r="D193">
        <v>1.9882948519811682E-3</v>
      </c>
      <c r="E193" t="s">
        <v>53</v>
      </c>
      <c r="G193" t="s">
        <v>157</v>
      </c>
      <c r="H193" t="s">
        <v>55</v>
      </c>
      <c r="I193">
        <v>5.44683385530772E-2</v>
      </c>
      <c r="J193" t="s">
        <v>53</v>
      </c>
      <c r="L193" t="s">
        <v>224</v>
      </c>
      <c r="M193" t="s">
        <v>55</v>
      </c>
      <c r="N193">
        <v>7.3203589615263812E-2</v>
      </c>
      <c r="O193" t="s">
        <v>53</v>
      </c>
    </row>
    <row r="194" spans="2:15" x14ac:dyDescent="0.25">
      <c r="B194" t="s">
        <v>79</v>
      </c>
      <c r="C194" t="s">
        <v>56</v>
      </c>
      <c r="D194">
        <v>1.7959174771109459E-2</v>
      </c>
      <c r="E194" t="s">
        <v>53</v>
      </c>
      <c r="G194" t="s">
        <v>157</v>
      </c>
      <c r="H194" t="s">
        <v>56</v>
      </c>
      <c r="I194">
        <v>0.13446979473433229</v>
      </c>
      <c r="J194" t="s">
        <v>53</v>
      </c>
      <c r="L194" t="s">
        <v>224</v>
      </c>
      <c r="M194" t="s">
        <v>56</v>
      </c>
      <c r="N194">
        <v>5.8459921923780897E-2</v>
      </c>
      <c r="O194" t="s">
        <v>53</v>
      </c>
    </row>
    <row r="195" spans="2:15" x14ac:dyDescent="0.25">
      <c r="B195" t="s">
        <v>79</v>
      </c>
      <c r="C195" t="s">
        <v>57</v>
      </c>
      <c r="D195">
        <v>0.27858500362108035</v>
      </c>
      <c r="E195" t="s">
        <v>53</v>
      </c>
      <c r="G195" t="s">
        <v>157</v>
      </c>
      <c r="H195" t="s">
        <v>57</v>
      </c>
      <c r="I195">
        <v>0.10477620684871747</v>
      </c>
      <c r="J195" t="s">
        <v>53</v>
      </c>
      <c r="L195" t="s">
        <v>224</v>
      </c>
      <c r="M195" t="s">
        <v>57</v>
      </c>
      <c r="N195">
        <v>6.5552000185094536E-2</v>
      </c>
      <c r="O195" t="s">
        <v>53</v>
      </c>
    </row>
    <row r="196" spans="2:15" x14ac:dyDescent="0.25">
      <c r="B196" t="s">
        <v>79</v>
      </c>
      <c r="C196" t="s">
        <v>58</v>
      </c>
      <c r="D196">
        <v>1.3719133103389219E-2</v>
      </c>
      <c r="E196" t="s">
        <v>53</v>
      </c>
      <c r="G196" t="s">
        <v>157</v>
      </c>
      <c r="H196" t="s">
        <v>58</v>
      </c>
      <c r="I196">
        <v>0.10484085761232596</v>
      </c>
      <c r="J196" t="s">
        <v>53</v>
      </c>
      <c r="L196" t="s">
        <v>224</v>
      </c>
      <c r="M196" t="s">
        <v>58</v>
      </c>
      <c r="N196">
        <v>5.9021811895883028E-2</v>
      </c>
      <c r="O196" t="s">
        <v>53</v>
      </c>
    </row>
    <row r="197" spans="2:15" x14ac:dyDescent="0.25">
      <c r="B197" t="s">
        <v>79</v>
      </c>
      <c r="C197" t="s">
        <v>59</v>
      </c>
      <c r="D197">
        <v>1.0953409587879138E-2</v>
      </c>
      <c r="E197" t="s">
        <v>53</v>
      </c>
      <c r="G197" t="s">
        <v>157</v>
      </c>
      <c r="H197" t="s">
        <v>59</v>
      </c>
      <c r="I197">
        <v>0.14124330133999652</v>
      </c>
      <c r="J197" t="s">
        <v>53</v>
      </c>
      <c r="L197" t="s">
        <v>224</v>
      </c>
      <c r="M197" t="s">
        <v>59</v>
      </c>
      <c r="N197">
        <v>0.11231117724799222</v>
      </c>
      <c r="O197" t="s">
        <v>53</v>
      </c>
    </row>
    <row r="198" spans="2:15" x14ac:dyDescent="0.25">
      <c r="B198" t="s">
        <v>79</v>
      </c>
      <c r="C198" t="s">
        <v>60</v>
      </c>
      <c r="D198">
        <v>0.19876252426846414</v>
      </c>
      <c r="E198" t="s">
        <v>53</v>
      </c>
      <c r="G198" t="s">
        <v>157</v>
      </c>
      <c r="H198" t="s">
        <v>60</v>
      </c>
      <c r="I198">
        <v>0.14848983980439703</v>
      </c>
      <c r="J198" t="s">
        <v>53</v>
      </c>
      <c r="L198" t="s">
        <v>224</v>
      </c>
      <c r="M198" t="s">
        <v>60</v>
      </c>
      <c r="N198">
        <v>0.13806146964001348</v>
      </c>
      <c r="O198" t="s">
        <v>53</v>
      </c>
    </row>
    <row r="199" spans="2:15" x14ac:dyDescent="0.25">
      <c r="B199" t="s">
        <v>79</v>
      </c>
      <c r="C199" t="s">
        <v>61</v>
      </c>
      <c r="D199">
        <v>1.2389605029322241E-2</v>
      </c>
      <c r="E199" t="s">
        <v>53</v>
      </c>
      <c r="G199" t="s">
        <v>157</v>
      </c>
      <c r="H199" t="s">
        <v>61</v>
      </c>
      <c r="I199">
        <v>9.370807853155308E-2</v>
      </c>
      <c r="J199" t="s">
        <v>53</v>
      </c>
      <c r="L199" t="s">
        <v>224</v>
      </c>
      <c r="M199" t="s">
        <v>61</v>
      </c>
      <c r="N199">
        <v>9.9284312642128128E-2</v>
      </c>
      <c r="O199" t="s">
        <v>53</v>
      </c>
    </row>
    <row r="200" spans="2:15" x14ac:dyDescent="0.25">
      <c r="B200" t="s">
        <v>79</v>
      </c>
      <c r="C200" t="s">
        <v>62</v>
      </c>
      <c r="D200">
        <v>7.2897220528100248E-3</v>
      </c>
      <c r="E200" t="s">
        <v>53</v>
      </c>
      <c r="G200" t="s">
        <v>157</v>
      </c>
      <c r="H200" t="s">
        <v>62</v>
      </c>
      <c r="I200">
        <v>4.7944522468784147E-2</v>
      </c>
      <c r="J200" t="s">
        <v>53</v>
      </c>
      <c r="L200" t="s">
        <v>224</v>
      </c>
      <c r="M200" t="s">
        <v>62</v>
      </c>
      <c r="N200">
        <v>7.014309309891141E-2</v>
      </c>
      <c r="O200" t="s">
        <v>53</v>
      </c>
    </row>
    <row r="201" spans="2:15" x14ac:dyDescent="0.25">
      <c r="B201" t="s">
        <v>79</v>
      </c>
      <c r="C201" t="s">
        <v>63</v>
      </c>
      <c r="D201">
        <v>0.23965188216045241</v>
      </c>
      <c r="E201" t="s">
        <v>53</v>
      </c>
      <c r="G201" t="s">
        <v>157</v>
      </c>
      <c r="H201" t="s">
        <v>63</v>
      </c>
      <c r="I201">
        <v>5.1265610521476872E-2</v>
      </c>
      <c r="J201" t="s">
        <v>53</v>
      </c>
      <c r="L201" t="s">
        <v>224</v>
      </c>
      <c r="M201" t="s">
        <v>63</v>
      </c>
      <c r="N201">
        <v>8.6755275962073122E-2</v>
      </c>
      <c r="O201" t="s">
        <v>53</v>
      </c>
    </row>
    <row r="202" spans="2:15" x14ac:dyDescent="0.25">
      <c r="B202" t="s">
        <v>79</v>
      </c>
      <c r="C202" t="s">
        <v>64</v>
      </c>
      <c r="D202">
        <v>2.6959645926795429E-3</v>
      </c>
      <c r="E202" t="s">
        <v>53</v>
      </c>
      <c r="G202" t="s">
        <v>157</v>
      </c>
      <c r="H202" t="s">
        <v>64</v>
      </c>
      <c r="I202">
        <v>3.4461590053086764E-2</v>
      </c>
      <c r="J202" t="s">
        <v>53</v>
      </c>
      <c r="L202" t="s">
        <v>224</v>
      </c>
      <c r="M202" t="s">
        <v>64</v>
      </c>
      <c r="N202">
        <v>7.0956951294209605E-2</v>
      </c>
      <c r="O202" t="s">
        <v>53</v>
      </c>
    </row>
    <row r="203" spans="2:15" x14ac:dyDescent="0.25">
      <c r="B203" t="s">
        <v>80</v>
      </c>
      <c r="C203" t="s">
        <v>52</v>
      </c>
      <c r="D203">
        <v>4.6093866580796213E-4</v>
      </c>
      <c r="E203" t="s">
        <v>53</v>
      </c>
      <c r="G203" t="s">
        <v>158</v>
      </c>
      <c r="H203" t="s">
        <v>52</v>
      </c>
      <c r="I203">
        <v>6.2276647135634793E-2</v>
      </c>
      <c r="J203" t="s">
        <v>53</v>
      </c>
      <c r="L203" t="s">
        <v>225</v>
      </c>
      <c r="M203" t="s">
        <v>52</v>
      </c>
      <c r="N203">
        <v>5.5865192809265329E-2</v>
      </c>
      <c r="O203" t="s">
        <v>53</v>
      </c>
    </row>
    <row r="204" spans="2:15" x14ac:dyDescent="0.25">
      <c r="B204" t="s">
        <v>80</v>
      </c>
      <c r="C204" t="s">
        <v>54</v>
      </c>
      <c r="D204">
        <v>0.22972914426926819</v>
      </c>
      <c r="E204" t="s">
        <v>53</v>
      </c>
      <c r="G204" t="s">
        <v>158</v>
      </c>
      <c r="H204" t="s">
        <v>54</v>
      </c>
      <c r="I204">
        <v>3.6492027211678747E-2</v>
      </c>
      <c r="J204" t="s">
        <v>53</v>
      </c>
      <c r="L204" t="s">
        <v>225</v>
      </c>
      <c r="M204" t="s">
        <v>54</v>
      </c>
      <c r="N204">
        <v>6.0742638251305305E-2</v>
      </c>
      <c r="O204" t="s">
        <v>53</v>
      </c>
    </row>
    <row r="205" spans="2:15" x14ac:dyDescent="0.25">
      <c r="B205" t="s">
        <v>80</v>
      </c>
      <c r="C205" t="s">
        <v>55</v>
      </c>
      <c r="D205">
        <v>1.6633270888640921E-3</v>
      </c>
      <c r="E205" t="s">
        <v>53</v>
      </c>
      <c r="G205" t="s">
        <v>158</v>
      </c>
      <c r="H205" t="s">
        <v>55</v>
      </c>
      <c r="I205">
        <v>5.4820169843098891E-2</v>
      </c>
      <c r="J205" t="s">
        <v>53</v>
      </c>
      <c r="L205" t="s">
        <v>225</v>
      </c>
      <c r="M205" t="s">
        <v>55</v>
      </c>
      <c r="N205">
        <v>4.4107813959956978E-2</v>
      </c>
      <c r="O205" t="s">
        <v>53</v>
      </c>
    </row>
    <row r="206" spans="2:15" x14ac:dyDescent="0.25">
      <c r="B206" t="s">
        <v>80</v>
      </c>
      <c r="C206" t="s">
        <v>56</v>
      </c>
      <c r="D206">
        <v>2.0940468369201059E-2</v>
      </c>
      <c r="E206" t="s">
        <v>53</v>
      </c>
      <c r="G206" t="s">
        <v>158</v>
      </c>
      <c r="H206" t="s">
        <v>56</v>
      </c>
      <c r="I206">
        <v>0.13141871831322977</v>
      </c>
      <c r="J206" t="s">
        <v>53</v>
      </c>
      <c r="L206" t="s">
        <v>225</v>
      </c>
      <c r="M206" t="s">
        <v>56</v>
      </c>
      <c r="N206">
        <v>5.8102367950971442E-2</v>
      </c>
      <c r="O206" t="s">
        <v>53</v>
      </c>
    </row>
    <row r="207" spans="2:15" x14ac:dyDescent="0.25">
      <c r="B207" t="s">
        <v>80</v>
      </c>
      <c r="C207" t="s">
        <v>57</v>
      </c>
      <c r="D207">
        <v>0.28686239312856193</v>
      </c>
      <c r="E207" t="s">
        <v>53</v>
      </c>
      <c r="G207" t="s">
        <v>158</v>
      </c>
      <c r="H207" t="s">
        <v>57</v>
      </c>
      <c r="I207">
        <v>0.11357949882493722</v>
      </c>
      <c r="J207" t="s">
        <v>53</v>
      </c>
      <c r="L207" t="s">
        <v>225</v>
      </c>
      <c r="M207" t="s">
        <v>57</v>
      </c>
      <c r="N207">
        <v>7.9137823667301113E-2</v>
      </c>
      <c r="O207" t="s">
        <v>53</v>
      </c>
    </row>
    <row r="208" spans="2:15" x14ac:dyDescent="0.25">
      <c r="B208" t="s">
        <v>80</v>
      </c>
      <c r="C208" t="s">
        <v>58</v>
      </c>
      <c r="D208">
        <v>1.2574391164794998E-2</v>
      </c>
      <c r="E208" t="s">
        <v>53</v>
      </c>
      <c r="G208" t="s">
        <v>158</v>
      </c>
      <c r="H208" t="s">
        <v>58</v>
      </c>
      <c r="I208">
        <v>0.11179419773338373</v>
      </c>
      <c r="J208" t="s">
        <v>53</v>
      </c>
      <c r="L208" t="s">
        <v>225</v>
      </c>
      <c r="M208" t="s">
        <v>58</v>
      </c>
      <c r="N208">
        <v>4.9670574638363871E-2</v>
      </c>
      <c r="O208" t="s">
        <v>53</v>
      </c>
    </row>
    <row r="209" spans="2:15" x14ac:dyDescent="0.25">
      <c r="B209" t="s">
        <v>80</v>
      </c>
      <c r="C209" t="s">
        <v>59</v>
      </c>
      <c r="D209">
        <v>9.5575408093692953E-3</v>
      </c>
      <c r="E209" t="s">
        <v>53</v>
      </c>
      <c r="G209" t="s">
        <v>158</v>
      </c>
      <c r="H209" t="s">
        <v>59</v>
      </c>
      <c r="I209">
        <v>0.11442489826902562</v>
      </c>
      <c r="J209" t="s">
        <v>53</v>
      </c>
      <c r="L209" t="s">
        <v>225</v>
      </c>
      <c r="M209" t="s">
        <v>59</v>
      </c>
      <c r="N209">
        <v>0.15047243877848979</v>
      </c>
      <c r="O209" t="s">
        <v>53</v>
      </c>
    </row>
    <row r="210" spans="2:15" x14ac:dyDescent="0.25">
      <c r="B210" t="s">
        <v>80</v>
      </c>
      <c r="C210" t="s">
        <v>60</v>
      </c>
      <c r="D210">
        <v>0.18120004702022893</v>
      </c>
      <c r="E210" t="s">
        <v>53</v>
      </c>
      <c r="G210" t="s">
        <v>158</v>
      </c>
      <c r="H210" t="s">
        <v>60</v>
      </c>
      <c r="I210">
        <v>0.13229225225766486</v>
      </c>
      <c r="J210" t="s">
        <v>53</v>
      </c>
      <c r="L210" t="s">
        <v>225</v>
      </c>
      <c r="M210" t="s">
        <v>60</v>
      </c>
      <c r="N210">
        <v>0.1843085762649731</v>
      </c>
      <c r="O210" t="s">
        <v>53</v>
      </c>
    </row>
    <row r="211" spans="2:15" x14ac:dyDescent="0.25">
      <c r="B211" t="s">
        <v>80</v>
      </c>
      <c r="C211" t="s">
        <v>61</v>
      </c>
      <c r="D211">
        <v>8.3971419564214632E-3</v>
      </c>
      <c r="E211" t="s">
        <v>53</v>
      </c>
      <c r="G211" t="s">
        <v>158</v>
      </c>
      <c r="H211" t="s">
        <v>61</v>
      </c>
      <c r="I211">
        <v>8.537531392107986E-2</v>
      </c>
      <c r="J211" t="s">
        <v>53</v>
      </c>
      <c r="L211" t="s">
        <v>225</v>
      </c>
      <c r="M211" t="s">
        <v>61</v>
      </c>
      <c r="N211">
        <v>0.11643781615267486</v>
      </c>
      <c r="O211" t="s">
        <v>53</v>
      </c>
    </row>
    <row r="212" spans="2:15" x14ac:dyDescent="0.25">
      <c r="B212" t="s">
        <v>80</v>
      </c>
      <c r="C212" t="s">
        <v>62</v>
      </c>
      <c r="D212">
        <v>9.4068450578016459E-3</v>
      </c>
      <c r="E212" t="s">
        <v>53</v>
      </c>
      <c r="G212" t="s">
        <v>158</v>
      </c>
      <c r="H212" t="s">
        <v>62</v>
      </c>
      <c r="I212">
        <v>5.7536197783119677E-2</v>
      </c>
      <c r="J212" t="s">
        <v>53</v>
      </c>
      <c r="L212" t="s">
        <v>225</v>
      </c>
      <c r="M212" t="s">
        <v>62</v>
      </c>
      <c r="N212">
        <v>6.6450303054583645E-2</v>
      </c>
      <c r="O212" t="s">
        <v>53</v>
      </c>
    </row>
    <row r="213" spans="2:15" x14ac:dyDescent="0.25">
      <c r="B213" t="s">
        <v>80</v>
      </c>
      <c r="C213" t="s">
        <v>63</v>
      </c>
      <c r="D213">
        <v>0.23732944990264335</v>
      </c>
      <c r="E213" t="s">
        <v>53</v>
      </c>
      <c r="G213" t="s">
        <v>158</v>
      </c>
      <c r="H213" t="s">
        <v>63</v>
      </c>
      <c r="I213">
        <v>5.8809923304679622E-2</v>
      </c>
      <c r="J213" t="s">
        <v>53</v>
      </c>
      <c r="L213" t="s">
        <v>225</v>
      </c>
      <c r="M213" t="s">
        <v>63</v>
      </c>
      <c r="N213">
        <v>8.175017807008142E-2</v>
      </c>
      <c r="O213" t="s">
        <v>53</v>
      </c>
    </row>
    <row r="214" spans="2:15" x14ac:dyDescent="0.25">
      <c r="B214" t="s">
        <v>80</v>
      </c>
      <c r="C214" t="s">
        <v>64</v>
      </c>
      <c r="D214">
        <v>1.8783125670332318E-3</v>
      </c>
      <c r="E214" t="s">
        <v>53</v>
      </c>
      <c r="G214" t="s">
        <v>158</v>
      </c>
      <c r="H214" t="s">
        <v>64</v>
      </c>
      <c r="I214">
        <v>4.1180155402464204E-2</v>
      </c>
      <c r="J214" t="s">
        <v>53</v>
      </c>
      <c r="L214" t="s">
        <v>225</v>
      </c>
      <c r="M214" t="s">
        <v>64</v>
      </c>
      <c r="N214">
        <v>5.2954276402038397E-2</v>
      </c>
      <c r="O214" t="s">
        <v>53</v>
      </c>
    </row>
    <row r="215" spans="2:15" x14ac:dyDescent="0.25">
      <c r="B215" t="s">
        <v>81</v>
      </c>
      <c r="C215" t="s">
        <v>52</v>
      </c>
      <c r="D215">
        <v>2.3781429447261807E-3</v>
      </c>
      <c r="E215" t="s">
        <v>53</v>
      </c>
      <c r="G215" t="s">
        <v>159</v>
      </c>
      <c r="H215" t="s">
        <v>52</v>
      </c>
      <c r="I215">
        <v>5.8226318871972174E-2</v>
      </c>
      <c r="J215" t="s">
        <v>53</v>
      </c>
      <c r="L215" t="s">
        <v>226</v>
      </c>
      <c r="M215" t="s">
        <v>52</v>
      </c>
      <c r="N215">
        <v>8.7704666711176354E-2</v>
      </c>
      <c r="O215" t="s">
        <v>53</v>
      </c>
    </row>
    <row r="216" spans="2:15" x14ac:dyDescent="0.25">
      <c r="B216" t="s">
        <v>81</v>
      </c>
      <c r="C216" t="s">
        <v>54</v>
      </c>
      <c r="D216">
        <v>0.26284340964861647</v>
      </c>
      <c r="E216" t="s">
        <v>53</v>
      </c>
      <c r="G216" t="s">
        <v>159</v>
      </c>
      <c r="H216" t="s">
        <v>54</v>
      </c>
      <c r="I216">
        <v>4.1876297832664409E-2</v>
      </c>
      <c r="J216" t="s">
        <v>53</v>
      </c>
      <c r="L216" t="s">
        <v>226</v>
      </c>
      <c r="M216" t="s">
        <v>54</v>
      </c>
      <c r="N216">
        <v>0.10722005904062132</v>
      </c>
      <c r="O216" t="s">
        <v>53</v>
      </c>
    </row>
    <row r="217" spans="2:15" x14ac:dyDescent="0.25">
      <c r="B217" t="s">
        <v>81</v>
      </c>
      <c r="C217" t="s">
        <v>55</v>
      </c>
      <c r="D217">
        <v>2.5665247001254872E-3</v>
      </c>
      <c r="E217" t="s">
        <v>53</v>
      </c>
      <c r="G217" t="s">
        <v>159</v>
      </c>
      <c r="H217" t="s">
        <v>55</v>
      </c>
      <c r="I217">
        <v>5.4935547539096824E-2</v>
      </c>
      <c r="J217" t="s">
        <v>53</v>
      </c>
      <c r="L217" t="s">
        <v>226</v>
      </c>
      <c r="M217" t="s">
        <v>55</v>
      </c>
      <c r="N217">
        <v>6.4218122942799327E-2</v>
      </c>
      <c r="O217" t="s">
        <v>53</v>
      </c>
    </row>
    <row r="218" spans="2:15" x14ac:dyDescent="0.25">
      <c r="B218" t="s">
        <v>81</v>
      </c>
      <c r="C218" t="s">
        <v>56</v>
      </c>
      <c r="D218">
        <v>2.0181688268385845E-2</v>
      </c>
      <c r="E218" t="s">
        <v>53</v>
      </c>
      <c r="G218" t="s">
        <v>159</v>
      </c>
      <c r="H218" t="s">
        <v>56</v>
      </c>
      <c r="I218">
        <v>0.10197591235667491</v>
      </c>
      <c r="J218" t="s">
        <v>53</v>
      </c>
      <c r="L218" t="s">
        <v>226</v>
      </c>
      <c r="M218" t="s">
        <v>56</v>
      </c>
      <c r="N218">
        <v>5.7962759024869186E-2</v>
      </c>
      <c r="O218" t="s">
        <v>53</v>
      </c>
    </row>
    <row r="219" spans="2:15" x14ac:dyDescent="0.25">
      <c r="B219" t="s">
        <v>81</v>
      </c>
      <c r="C219" t="s">
        <v>57</v>
      </c>
      <c r="D219">
        <v>0.29672795452400808</v>
      </c>
      <c r="E219" t="s">
        <v>53</v>
      </c>
      <c r="G219" t="s">
        <v>159</v>
      </c>
      <c r="H219" t="s">
        <v>57</v>
      </c>
      <c r="I219">
        <v>0.13753091481753146</v>
      </c>
      <c r="J219" t="s">
        <v>53</v>
      </c>
      <c r="L219" t="s">
        <v>226</v>
      </c>
      <c r="M219" t="s">
        <v>57</v>
      </c>
      <c r="N219">
        <v>7.1652942133589345E-2</v>
      </c>
      <c r="O219" t="s">
        <v>53</v>
      </c>
    </row>
    <row r="220" spans="2:15" x14ac:dyDescent="0.25">
      <c r="B220" t="s">
        <v>81</v>
      </c>
      <c r="C220" t="s">
        <v>58</v>
      </c>
      <c r="D220">
        <v>1.1360222062893976E-2</v>
      </c>
      <c r="E220" t="s">
        <v>53</v>
      </c>
      <c r="G220" t="s">
        <v>159</v>
      </c>
      <c r="H220" t="s">
        <v>58</v>
      </c>
      <c r="I220">
        <v>0.11329559970598124</v>
      </c>
      <c r="J220" t="s">
        <v>53</v>
      </c>
      <c r="L220" t="s">
        <v>226</v>
      </c>
      <c r="M220" t="s">
        <v>58</v>
      </c>
      <c r="N220">
        <v>4.6203439525986219E-2</v>
      </c>
      <c r="O220" t="s">
        <v>53</v>
      </c>
    </row>
    <row r="221" spans="2:15" x14ac:dyDescent="0.25">
      <c r="B221" t="s">
        <v>81</v>
      </c>
      <c r="C221" t="s">
        <v>59</v>
      </c>
      <c r="D221">
        <v>5.4044901128329024E-3</v>
      </c>
      <c r="E221" t="s">
        <v>53</v>
      </c>
      <c r="G221" t="s">
        <v>159</v>
      </c>
      <c r="H221" t="s">
        <v>59</v>
      </c>
      <c r="I221">
        <v>9.7972562306077648E-2</v>
      </c>
      <c r="J221" t="s">
        <v>53</v>
      </c>
      <c r="L221" t="s">
        <v>226</v>
      </c>
      <c r="M221" t="s">
        <v>59</v>
      </c>
      <c r="N221">
        <v>0.1231756771540258</v>
      </c>
      <c r="O221" t="s">
        <v>53</v>
      </c>
    </row>
    <row r="222" spans="2:15" x14ac:dyDescent="0.25">
      <c r="B222" t="s">
        <v>81</v>
      </c>
      <c r="C222" t="s">
        <v>60</v>
      </c>
      <c r="D222">
        <v>0.14178811281661358</v>
      </c>
      <c r="E222" t="s">
        <v>53</v>
      </c>
      <c r="G222" t="s">
        <v>159</v>
      </c>
      <c r="H222" t="s">
        <v>60</v>
      </c>
      <c r="I222">
        <v>0.13075605322448408</v>
      </c>
      <c r="J222" t="s">
        <v>53</v>
      </c>
      <c r="L222" t="s">
        <v>226</v>
      </c>
      <c r="M222" t="s">
        <v>60</v>
      </c>
      <c r="N222">
        <v>0.15094282233336553</v>
      </c>
      <c r="O222" t="s">
        <v>53</v>
      </c>
    </row>
    <row r="223" spans="2:15" x14ac:dyDescent="0.25">
      <c r="B223" t="s">
        <v>81</v>
      </c>
      <c r="C223" t="s">
        <v>61</v>
      </c>
      <c r="D223">
        <v>4.2280581592979739E-3</v>
      </c>
      <c r="E223" t="s">
        <v>53</v>
      </c>
      <c r="G223" t="s">
        <v>159</v>
      </c>
      <c r="H223" t="s">
        <v>61</v>
      </c>
      <c r="I223">
        <v>8.3846302348198162E-2</v>
      </c>
      <c r="J223" t="s">
        <v>53</v>
      </c>
      <c r="L223" t="s">
        <v>226</v>
      </c>
      <c r="M223" t="s">
        <v>61</v>
      </c>
      <c r="N223">
        <v>9.4934432580511166E-2</v>
      </c>
      <c r="O223" t="s">
        <v>53</v>
      </c>
    </row>
    <row r="224" spans="2:15" x14ac:dyDescent="0.25">
      <c r="B224" t="s">
        <v>81</v>
      </c>
      <c r="C224" t="s">
        <v>62</v>
      </c>
      <c r="D224">
        <v>1.1052445540622898E-2</v>
      </c>
      <c r="E224" t="s">
        <v>53</v>
      </c>
      <c r="G224" t="s">
        <v>159</v>
      </c>
      <c r="H224" t="s">
        <v>62</v>
      </c>
      <c r="I224">
        <v>6.6952058595482811E-2</v>
      </c>
      <c r="J224" t="s">
        <v>53</v>
      </c>
      <c r="L224" t="s">
        <v>226</v>
      </c>
      <c r="M224" t="s">
        <v>62</v>
      </c>
      <c r="N224">
        <v>6.5490524562287322E-2</v>
      </c>
      <c r="O224" t="s">
        <v>53</v>
      </c>
    </row>
    <row r="225" spans="2:15" x14ac:dyDescent="0.25">
      <c r="B225" t="s">
        <v>81</v>
      </c>
      <c r="C225" t="s">
        <v>63</v>
      </c>
      <c r="D225">
        <v>0.23965675190170474</v>
      </c>
      <c r="E225" t="s">
        <v>53</v>
      </c>
      <c r="G225" t="s">
        <v>159</v>
      </c>
      <c r="H225" t="s">
        <v>63</v>
      </c>
      <c r="I225">
        <v>6.8208125072294873E-2</v>
      </c>
      <c r="J225" t="s">
        <v>53</v>
      </c>
      <c r="L225" t="s">
        <v>226</v>
      </c>
      <c r="M225" t="s">
        <v>63</v>
      </c>
      <c r="N225">
        <v>7.9366325403870064E-2</v>
      </c>
      <c r="O225" t="s">
        <v>53</v>
      </c>
    </row>
    <row r="226" spans="2:15" x14ac:dyDescent="0.25">
      <c r="B226" t="s">
        <v>81</v>
      </c>
      <c r="C226" t="s">
        <v>64</v>
      </c>
      <c r="D226">
        <v>1.8121993201713224E-3</v>
      </c>
      <c r="E226" t="s">
        <v>53</v>
      </c>
      <c r="G226" t="s">
        <v>159</v>
      </c>
      <c r="H226" t="s">
        <v>64</v>
      </c>
      <c r="I226">
        <v>4.4424307329541675E-2</v>
      </c>
      <c r="J226" t="s">
        <v>53</v>
      </c>
      <c r="L226" t="s">
        <v>226</v>
      </c>
      <c r="M226" t="s">
        <v>64</v>
      </c>
      <c r="N226">
        <v>5.1128228586897841E-2</v>
      </c>
      <c r="O226" t="s">
        <v>53</v>
      </c>
    </row>
    <row r="227" spans="2:15" x14ac:dyDescent="0.25">
      <c r="B227" t="s">
        <v>82</v>
      </c>
      <c r="C227" t="s">
        <v>52</v>
      </c>
      <c r="D227">
        <v>7.1021403520508692E-3</v>
      </c>
      <c r="E227" t="s">
        <v>53</v>
      </c>
      <c r="G227" t="s">
        <v>160</v>
      </c>
      <c r="H227" t="s">
        <v>52</v>
      </c>
      <c r="I227">
        <v>7.2189213622012319E-2</v>
      </c>
      <c r="J227" t="s">
        <v>53</v>
      </c>
      <c r="L227" t="s">
        <v>227</v>
      </c>
      <c r="M227" t="s">
        <v>52</v>
      </c>
      <c r="N227">
        <v>3.6504835595736009E-2</v>
      </c>
      <c r="O227" t="s">
        <v>53</v>
      </c>
    </row>
    <row r="228" spans="2:15" x14ac:dyDescent="0.25">
      <c r="B228" t="s">
        <v>82</v>
      </c>
      <c r="C228" t="s">
        <v>54</v>
      </c>
      <c r="D228">
        <v>0.26356910869879252</v>
      </c>
      <c r="E228" t="s">
        <v>53</v>
      </c>
      <c r="G228" t="s">
        <v>160</v>
      </c>
      <c r="H228" t="s">
        <v>54</v>
      </c>
      <c r="I228">
        <v>4.4763146585289286E-2</v>
      </c>
      <c r="J228" t="s">
        <v>53</v>
      </c>
      <c r="L228" t="s">
        <v>227</v>
      </c>
      <c r="M228" t="s">
        <v>54</v>
      </c>
      <c r="N228">
        <v>4.5342346307240482E-2</v>
      </c>
      <c r="O228" t="s">
        <v>53</v>
      </c>
    </row>
    <row r="229" spans="2:15" x14ac:dyDescent="0.25">
      <c r="B229" t="s">
        <v>82</v>
      </c>
      <c r="C229" t="s">
        <v>55</v>
      </c>
      <c r="D229">
        <v>1.1040374590206253E-3</v>
      </c>
      <c r="E229" t="s">
        <v>53</v>
      </c>
      <c r="G229" t="s">
        <v>160</v>
      </c>
      <c r="H229" t="s">
        <v>55</v>
      </c>
      <c r="I229">
        <v>6.7267703612815796E-2</v>
      </c>
      <c r="J229" t="s">
        <v>53</v>
      </c>
      <c r="L229" t="s">
        <v>227</v>
      </c>
      <c r="M229" t="s">
        <v>55</v>
      </c>
      <c r="N229">
        <v>3.7956574436078576E-2</v>
      </c>
      <c r="O229" t="s">
        <v>53</v>
      </c>
    </row>
    <row r="230" spans="2:15" x14ac:dyDescent="0.25">
      <c r="B230" t="s">
        <v>82</v>
      </c>
      <c r="C230" t="s">
        <v>56</v>
      </c>
      <c r="D230">
        <v>2.312962030990454E-2</v>
      </c>
      <c r="E230" t="s">
        <v>53</v>
      </c>
      <c r="G230" t="s">
        <v>160</v>
      </c>
      <c r="H230" t="s">
        <v>56</v>
      </c>
      <c r="I230">
        <v>9.8970396191386742E-2</v>
      </c>
      <c r="J230" t="s">
        <v>53</v>
      </c>
      <c r="L230" t="s">
        <v>227</v>
      </c>
      <c r="M230" t="s">
        <v>56</v>
      </c>
      <c r="N230">
        <v>0.11014874589597878</v>
      </c>
      <c r="O230" t="s">
        <v>53</v>
      </c>
    </row>
    <row r="231" spans="2:15" x14ac:dyDescent="0.25">
      <c r="B231" t="s">
        <v>82</v>
      </c>
      <c r="C231" t="s">
        <v>57</v>
      </c>
      <c r="D231">
        <v>0.2959708241152163</v>
      </c>
      <c r="E231" t="s">
        <v>53</v>
      </c>
      <c r="G231" t="s">
        <v>160</v>
      </c>
      <c r="H231" t="s">
        <v>57</v>
      </c>
      <c r="I231">
        <v>0.11057360080060154</v>
      </c>
      <c r="J231" t="s">
        <v>53</v>
      </c>
      <c r="L231" t="s">
        <v>227</v>
      </c>
      <c r="M231" t="s">
        <v>57</v>
      </c>
      <c r="N231">
        <v>9.1401265734987303E-2</v>
      </c>
      <c r="O231" t="s">
        <v>53</v>
      </c>
    </row>
    <row r="232" spans="2:15" x14ac:dyDescent="0.25">
      <c r="B232" t="s">
        <v>82</v>
      </c>
      <c r="C232" t="s">
        <v>58</v>
      </c>
      <c r="D232">
        <v>1.0346365259686461E-2</v>
      </c>
      <c r="E232" t="s">
        <v>53</v>
      </c>
      <c r="G232" t="s">
        <v>160</v>
      </c>
      <c r="H232" t="s">
        <v>58</v>
      </c>
      <c r="I232">
        <v>0.11173931140728161</v>
      </c>
      <c r="J232" t="s">
        <v>53</v>
      </c>
      <c r="L232" t="s">
        <v>227</v>
      </c>
      <c r="M232" t="s">
        <v>58</v>
      </c>
      <c r="N232">
        <v>0.10060842681085748</v>
      </c>
      <c r="O232" t="s">
        <v>53</v>
      </c>
    </row>
    <row r="233" spans="2:15" x14ac:dyDescent="0.25">
      <c r="B233" t="s">
        <v>82</v>
      </c>
      <c r="C233" t="s">
        <v>59</v>
      </c>
      <c r="D233">
        <v>6.6242667938573108E-3</v>
      </c>
      <c r="E233" t="s">
        <v>53</v>
      </c>
      <c r="G233" t="s">
        <v>160</v>
      </c>
      <c r="H233" t="s">
        <v>59</v>
      </c>
      <c r="I233">
        <v>0.10205778721252745</v>
      </c>
      <c r="J233" t="s">
        <v>53</v>
      </c>
      <c r="L233" t="s">
        <v>227</v>
      </c>
      <c r="M233" t="s">
        <v>59</v>
      </c>
      <c r="N233">
        <v>0.16068956536003334</v>
      </c>
      <c r="O233" t="s">
        <v>53</v>
      </c>
    </row>
    <row r="234" spans="2:15" x14ac:dyDescent="0.25">
      <c r="B234" t="s">
        <v>82</v>
      </c>
      <c r="C234" t="s">
        <v>60</v>
      </c>
      <c r="D234">
        <v>0.14413814958717291</v>
      </c>
      <c r="E234" t="s">
        <v>53</v>
      </c>
      <c r="G234" t="s">
        <v>160</v>
      </c>
      <c r="H234" t="s">
        <v>60</v>
      </c>
      <c r="I234">
        <v>0.1182644742716303</v>
      </c>
      <c r="J234" t="s">
        <v>53</v>
      </c>
      <c r="L234" t="s">
        <v>227</v>
      </c>
      <c r="M234" t="s">
        <v>60</v>
      </c>
      <c r="N234">
        <v>0.15958083346549665</v>
      </c>
      <c r="O234" t="s">
        <v>53</v>
      </c>
    </row>
    <row r="235" spans="2:15" x14ac:dyDescent="0.25">
      <c r="B235" t="s">
        <v>82</v>
      </c>
      <c r="C235" t="s">
        <v>61</v>
      </c>
      <c r="D235">
        <v>3.175565046727973E-3</v>
      </c>
      <c r="E235" t="s">
        <v>53</v>
      </c>
      <c r="G235" t="s">
        <v>160</v>
      </c>
      <c r="H235" t="s">
        <v>61</v>
      </c>
      <c r="I235">
        <v>7.4008024500994404E-2</v>
      </c>
      <c r="J235" t="s">
        <v>53</v>
      </c>
      <c r="L235" t="s">
        <v>227</v>
      </c>
      <c r="M235" t="s">
        <v>61</v>
      </c>
      <c r="N235">
        <v>9.3743942780434436E-2</v>
      </c>
      <c r="O235" t="s">
        <v>53</v>
      </c>
    </row>
    <row r="236" spans="2:15" x14ac:dyDescent="0.25">
      <c r="B236" t="s">
        <v>82</v>
      </c>
      <c r="C236" t="s">
        <v>62</v>
      </c>
      <c r="D236">
        <v>1.1787765422432003E-2</v>
      </c>
      <c r="E236" t="s">
        <v>53</v>
      </c>
      <c r="G236" t="s">
        <v>160</v>
      </c>
      <c r="H236" t="s">
        <v>62</v>
      </c>
      <c r="I236">
        <v>7.537852700143885E-2</v>
      </c>
      <c r="J236" t="s">
        <v>53</v>
      </c>
      <c r="L236" t="s">
        <v>227</v>
      </c>
      <c r="M236" t="s">
        <v>62</v>
      </c>
      <c r="N236">
        <v>6.2463188241099504E-2</v>
      </c>
      <c r="O236" t="s">
        <v>53</v>
      </c>
    </row>
    <row r="237" spans="2:15" x14ac:dyDescent="0.25">
      <c r="B237" t="s">
        <v>82</v>
      </c>
      <c r="C237" t="s">
        <v>63</v>
      </c>
      <c r="D237">
        <v>0.23194403930410612</v>
      </c>
      <c r="E237" t="s">
        <v>53</v>
      </c>
      <c r="G237" t="s">
        <v>160</v>
      </c>
      <c r="H237" t="s">
        <v>63</v>
      </c>
      <c r="I237">
        <v>7.4467850587407097E-2</v>
      </c>
      <c r="J237" t="s">
        <v>53</v>
      </c>
      <c r="L237" t="s">
        <v>227</v>
      </c>
      <c r="M237" t="s">
        <v>63</v>
      </c>
      <c r="N237">
        <v>6.3851287333379997E-2</v>
      </c>
      <c r="O237" t="s">
        <v>53</v>
      </c>
    </row>
    <row r="238" spans="2:15" x14ac:dyDescent="0.25">
      <c r="B238" t="s">
        <v>82</v>
      </c>
      <c r="C238" t="s">
        <v>64</v>
      </c>
      <c r="D238">
        <v>1.1081176510307747E-3</v>
      </c>
      <c r="E238" t="s">
        <v>53</v>
      </c>
      <c r="G238" t="s">
        <v>160</v>
      </c>
      <c r="H238" t="s">
        <v>64</v>
      </c>
      <c r="I238">
        <v>5.0319964206611285E-2</v>
      </c>
      <c r="J238" t="s">
        <v>53</v>
      </c>
      <c r="L238" t="s">
        <v>227</v>
      </c>
      <c r="M238" t="s">
        <v>64</v>
      </c>
      <c r="N238">
        <v>3.7708988038676429E-2</v>
      </c>
      <c r="O238" t="s">
        <v>53</v>
      </c>
    </row>
    <row r="239" spans="2:15" x14ac:dyDescent="0.25">
      <c r="B239" t="s">
        <v>83</v>
      </c>
      <c r="C239" t="s">
        <v>52</v>
      </c>
      <c r="D239">
        <v>4.6945833859721601E-3</v>
      </c>
      <c r="E239" t="s">
        <v>53</v>
      </c>
      <c r="G239" t="s">
        <v>161</v>
      </c>
      <c r="H239" t="s">
        <v>52</v>
      </c>
      <c r="I239">
        <v>5.8910714703999549E-2</v>
      </c>
      <c r="J239" t="s">
        <v>53</v>
      </c>
      <c r="L239" t="s">
        <v>228</v>
      </c>
      <c r="M239" t="s">
        <v>52</v>
      </c>
      <c r="N239">
        <v>2.2953279841909056E-2</v>
      </c>
      <c r="O239" t="s">
        <v>53</v>
      </c>
    </row>
    <row r="240" spans="2:15" x14ac:dyDescent="0.25">
      <c r="B240" t="s">
        <v>83</v>
      </c>
      <c r="C240" t="s">
        <v>54</v>
      </c>
      <c r="D240">
        <v>0.25166400132721639</v>
      </c>
      <c r="E240" t="s">
        <v>53</v>
      </c>
      <c r="G240" t="s">
        <v>161</v>
      </c>
      <c r="H240" t="s">
        <v>54</v>
      </c>
      <c r="I240">
        <v>2.8260449476719494E-2</v>
      </c>
      <c r="J240" t="s">
        <v>53</v>
      </c>
      <c r="L240" t="s">
        <v>228</v>
      </c>
      <c r="M240" t="s">
        <v>54</v>
      </c>
      <c r="N240">
        <v>4.1057455224885422E-2</v>
      </c>
      <c r="O240" t="s">
        <v>53</v>
      </c>
    </row>
    <row r="241" spans="2:15" x14ac:dyDescent="0.25">
      <c r="B241" t="s">
        <v>83</v>
      </c>
      <c r="C241" t="s">
        <v>55</v>
      </c>
      <c r="D241">
        <v>9.156406868066954E-4</v>
      </c>
      <c r="E241" t="s">
        <v>53</v>
      </c>
      <c r="G241" t="s">
        <v>161</v>
      </c>
      <c r="H241" t="s">
        <v>55</v>
      </c>
      <c r="I241">
        <v>5.5085089060242877E-2</v>
      </c>
      <c r="J241" t="s">
        <v>53</v>
      </c>
      <c r="L241" t="s">
        <v>228</v>
      </c>
      <c r="M241" t="s">
        <v>55</v>
      </c>
      <c r="N241">
        <v>2.6681861531736611E-2</v>
      </c>
      <c r="O241" t="s">
        <v>53</v>
      </c>
    </row>
    <row r="242" spans="2:15" x14ac:dyDescent="0.25">
      <c r="B242" t="s">
        <v>83</v>
      </c>
      <c r="C242" t="s">
        <v>56</v>
      </c>
      <c r="D242">
        <v>2.2667077503288426E-2</v>
      </c>
      <c r="E242" t="s">
        <v>53</v>
      </c>
      <c r="G242" t="s">
        <v>161</v>
      </c>
      <c r="H242" t="s">
        <v>56</v>
      </c>
      <c r="I242">
        <v>8.2272360156390778E-2</v>
      </c>
      <c r="J242" t="s">
        <v>53</v>
      </c>
      <c r="L242" t="s">
        <v>228</v>
      </c>
      <c r="M242" t="s">
        <v>56</v>
      </c>
      <c r="N242">
        <v>9.273679288834398E-2</v>
      </c>
      <c r="O242" t="s">
        <v>53</v>
      </c>
    </row>
    <row r="243" spans="2:15" x14ac:dyDescent="0.25">
      <c r="B243" t="s">
        <v>83</v>
      </c>
      <c r="C243" t="s">
        <v>57</v>
      </c>
      <c r="D243">
        <v>0.29132297647898642</v>
      </c>
      <c r="E243" t="s">
        <v>53</v>
      </c>
      <c r="G243" t="s">
        <v>161</v>
      </c>
      <c r="H243" t="s">
        <v>57</v>
      </c>
      <c r="I243">
        <v>0.1002117131845357</v>
      </c>
      <c r="J243" t="s">
        <v>53</v>
      </c>
      <c r="L243" t="s">
        <v>228</v>
      </c>
      <c r="M243" t="s">
        <v>57</v>
      </c>
      <c r="N243">
        <v>0.13072406816095092</v>
      </c>
      <c r="O243" t="s">
        <v>53</v>
      </c>
    </row>
    <row r="244" spans="2:15" x14ac:dyDescent="0.25">
      <c r="B244" t="s">
        <v>83</v>
      </c>
      <c r="C244" t="s">
        <v>58</v>
      </c>
      <c r="D244">
        <v>1.0574592552921423E-2</v>
      </c>
      <c r="E244" t="s">
        <v>53</v>
      </c>
      <c r="G244" t="s">
        <v>161</v>
      </c>
      <c r="H244" t="s">
        <v>58</v>
      </c>
      <c r="I244">
        <v>8.8713783460985449E-2</v>
      </c>
      <c r="J244" t="s">
        <v>53</v>
      </c>
      <c r="L244" t="s">
        <v>228</v>
      </c>
      <c r="M244" t="s">
        <v>58</v>
      </c>
      <c r="N244">
        <v>8.8735052534114248E-2</v>
      </c>
      <c r="O244" t="s">
        <v>53</v>
      </c>
    </row>
    <row r="245" spans="2:15" x14ac:dyDescent="0.25">
      <c r="B245" t="s">
        <v>83</v>
      </c>
      <c r="C245" t="s">
        <v>59</v>
      </c>
      <c r="D245">
        <v>8.2780942447863333E-3</v>
      </c>
      <c r="E245" t="s">
        <v>53</v>
      </c>
      <c r="G245" t="s">
        <v>161</v>
      </c>
      <c r="H245" t="s">
        <v>59</v>
      </c>
      <c r="I245">
        <v>0.12623214289491305</v>
      </c>
      <c r="J245" t="s">
        <v>53</v>
      </c>
      <c r="L245" t="s">
        <v>228</v>
      </c>
      <c r="M245" t="s">
        <v>59</v>
      </c>
      <c r="N245">
        <v>0.14393110285095734</v>
      </c>
      <c r="O245" t="s">
        <v>53</v>
      </c>
    </row>
    <row r="246" spans="2:15" x14ac:dyDescent="0.25">
      <c r="B246" t="s">
        <v>83</v>
      </c>
      <c r="C246" t="s">
        <v>60</v>
      </c>
      <c r="D246">
        <v>0.16156757830148802</v>
      </c>
      <c r="E246" t="s">
        <v>53</v>
      </c>
      <c r="G246" t="s">
        <v>161</v>
      </c>
      <c r="H246" t="s">
        <v>60</v>
      </c>
      <c r="I246">
        <v>0.15479903547909768</v>
      </c>
      <c r="J246" t="s">
        <v>53</v>
      </c>
      <c r="L246" t="s">
        <v>228</v>
      </c>
      <c r="M246" t="s">
        <v>60</v>
      </c>
      <c r="N246">
        <v>0.16261601598248743</v>
      </c>
      <c r="O246" t="s">
        <v>53</v>
      </c>
    </row>
    <row r="247" spans="2:15" x14ac:dyDescent="0.25">
      <c r="B247" t="s">
        <v>83</v>
      </c>
      <c r="C247" t="s">
        <v>61</v>
      </c>
      <c r="D247">
        <v>4.2892790352703483E-3</v>
      </c>
      <c r="E247" t="s">
        <v>53</v>
      </c>
      <c r="G247" t="s">
        <v>161</v>
      </c>
      <c r="H247" t="s">
        <v>61</v>
      </c>
      <c r="I247">
        <v>8.3107374416101318E-2</v>
      </c>
      <c r="J247" t="s">
        <v>53</v>
      </c>
      <c r="L247" t="s">
        <v>228</v>
      </c>
      <c r="M247" t="s">
        <v>61</v>
      </c>
      <c r="N247">
        <v>0.11131417316347694</v>
      </c>
      <c r="O247" t="s">
        <v>53</v>
      </c>
    </row>
    <row r="248" spans="2:15" x14ac:dyDescent="0.25">
      <c r="B248" t="s">
        <v>83</v>
      </c>
      <c r="C248" t="s">
        <v>62</v>
      </c>
      <c r="D248">
        <v>1.1743577564812596E-2</v>
      </c>
      <c r="E248" t="s">
        <v>53</v>
      </c>
      <c r="G248" t="s">
        <v>161</v>
      </c>
      <c r="H248" t="s">
        <v>62</v>
      </c>
      <c r="I248">
        <v>8.4644845655108297E-2</v>
      </c>
      <c r="J248" t="s">
        <v>53</v>
      </c>
      <c r="L248" t="s">
        <v>228</v>
      </c>
      <c r="M248" t="s">
        <v>62</v>
      </c>
      <c r="N248">
        <v>5.7165648751695032E-2</v>
      </c>
      <c r="O248" t="s">
        <v>53</v>
      </c>
    </row>
    <row r="249" spans="2:15" x14ac:dyDescent="0.25">
      <c r="B249" t="s">
        <v>83</v>
      </c>
      <c r="C249" t="s">
        <v>63</v>
      </c>
      <c r="D249">
        <v>0.23105442062174575</v>
      </c>
      <c r="E249" t="s">
        <v>53</v>
      </c>
      <c r="G249" t="s">
        <v>161</v>
      </c>
      <c r="H249" t="s">
        <v>63</v>
      </c>
      <c r="I249">
        <v>8.258665744432965E-2</v>
      </c>
      <c r="J249" t="s">
        <v>53</v>
      </c>
      <c r="L249" t="s">
        <v>228</v>
      </c>
      <c r="M249" t="s">
        <v>63</v>
      </c>
      <c r="N249">
        <v>7.6672219402311406E-2</v>
      </c>
      <c r="O249" t="s">
        <v>53</v>
      </c>
    </row>
    <row r="250" spans="2:15" x14ac:dyDescent="0.25">
      <c r="B250" t="s">
        <v>83</v>
      </c>
      <c r="C250" t="s">
        <v>64</v>
      </c>
      <c r="D250">
        <v>1.2281782967057996E-3</v>
      </c>
      <c r="E250" t="s">
        <v>53</v>
      </c>
      <c r="G250" t="s">
        <v>161</v>
      </c>
      <c r="H250" t="s">
        <v>64</v>
      </c>
      <c r="I250">
        <v>5.5175834067576125E-2</v>
      </c>
      <c r="J250" t="s">
        <v>53</v>
      </c>
      <c r="L250" t="s">
        <v>228</v>
      </c>
      <c r="M250" t="s">
        <v>64</v>
      </c>
      <c r="N250">
        <v>4.5412329667127514E-2</v>
      </c>
      <c r="O250" t="s">
        <v>53</v>
      </c>
    </row>
    <row r="251" spans="2:15" x14ac:dyDescent="0.25">
      <c r="B251" t="s">
        <v>84</v>
      </c>
      <c r="C251" t="s">
        <v>52</v>
      </c>
      <c r="D251">
        <v>4.7034975898181143E-4</v>
      </c>
      <c r="E251" t="s">
        <v>53</v>
      </c>
      <c r="G251" t="s">
        <v>162</v>
      </c>
      <c r="H251" t="s">
        <v>52</v>
      </c>
      <c r="I251">
        <v>6.2544762672303952E-2</v>
      </c>
      <c r="J251" t="s">
        <v>53</v>
      </c>
      <c r="L251" t="s">
        <v>229</v>
      </c>
      <c r="M251" t="s">
        <v>52</v>
      </c>
      <c r="N251">
        <v>3.4586757385806056E-2</v>
      </c>
      <c r="O251" t="s">
        <v>53</v>
      </c>
    </row>
    <row r="252" spans="2:15" x14ac:dyDescent="0.25">
      <c r="B252" t="s">
        <v>84</v>
      </c>
      <c r="C252" t="s">
        <v>54</v>
      </c>
      <c r="D252">
        <v>0.25086718964589555</v>
      </c>
      <c r="E252" t="s">
        <v>53</v>
      </c>
      <c r="G252" t="s">
        <v>162</v>
      </c>
      <c r="H252" t="s">
        <v>54</v>
      </c>
      <c r="I252">
        <v>4.4547475365996542E-2</v>
      </c>
      <c r="J252" t="s">
        <v>53</v>
      </c>
      <c r="L252" t="s">
        <v>229</v>
      </c>
      <c r="M252" t="s">
        <v>54</v>
      </c>
      <c r="N252">
        <v>5.0037338644211442E-2</v>
      </c>
      <c r="O252" t="s">
        <v>53</v>
      </c>
    </row>
    <row r="253" spans="2:15" x14ac:dyDescent="0.25">
      <c r="B253" t="s">
        <v>84</v>
      </c>
      <c r="C253" t="s">
        <v>55</v>
      </c>
      <c r="D253">
        <v>3.0433427869690278E-3</v>
      </c>
      <c r="E253" t="s">
        <v>53</v>
      </c>
      <c r="G253" t="s">
        <v>162</v>
      </c>
      <c r="H253" t="s">
        <v>55</v>
      </c>
      <c r="I253">
        <v>5.2293551505184818E-2</v>
      </c>
      <c r="J253" t="s">
        <v>53</v>
      </c>
      <c r="L253" t="s">
        <v>229</v>
      </c>
      <c r="M253" t="s">
        <v>55</v>
      </c>
      <c r="N253">
        <v>3.259720670033292E-2</v>
      </c>
      <c r="O253" t="s">
        <v>53</v>
      </c>
    </row>
    <row r="254" spans="2:15" x14ac:dyDescent="0.25">
      <c r="B254" t="s">
        <v>84</v>
      </c>
      <c r="C254" t="s">
        <v>56</v>
      </c>
      <c r="D254">
        <v>1.8431805325538481E-2</v>
      </c>
      <c r="E254" t="s">
        <v>53</v>
      </c>
      <c r="G254" t="s">
        <v>162</v>
      </c>
      <c r="H254" t="s">
        <v>56</v>
      </c>
      <c r="I254">
        <v>0.10635993594490008</v>
      </c>
      <c r="J254" t="s">
        <v>53</v>
      </c>
      <c r="L254" t="s">
        <v>229</v>
      </c>
      <c r="M254" t="s">
        <v>56</v>
      </c>
      <c r="N254">
        <v>6.5733120107372575E-2</v>
      </c>
      <c r="O254" t="s">
        <v>53</v>
      </c>
    </row>
    <row r="255" spans="2:15" x14ac:dyDescent="0.25">
      <c r="B255" t="s">
        <v>84</v>
      </c>
      <c r="C255" t="s">
        <v>57</v>
      </c>
      <c r="D255">
        <v>0.28640675609213229</v>
      </c>
      <c r="E255" t="s">
        <v>53</v>
      </c>
      <c r="G255" t="s">
        <v>162</v>
      </c>
      <c r="H255" t="s">
        <v>57</v>
      </c>
      <c r="I255">
        <v>0.11846524453469211</v>
      </c>
      <c r="J255" t="s">
        <v>53</v>
      </c>
      <c r="L255" t="s">
        <v>229</v>
      </c>
      <c r="M255" t="s">
        <v>57</v>
      </c>
      <c r="N255">
        <v>8.2955441163478125E-2</v>
      </c>
      <c r="O255" t="s">
        <v>53</v>
      </c>
    </row>
    <row r="256" spans="2:15" x14ac:dyDescent="0.25">
      <c r="B256" t="s">
        <v>84</v>
      </c>
      <c r="C256" t="s">
        <v>58</v>
      </c>
      <c r="D256">
        <v>1.2276558393007161E-2</v>
      </c>
      <c r="E256" t="s">
        <v>53</v>
      </c>
      <c r="G256" t="s">
        <v>162</v>
      </c>
      <c r="H256" t="s">
        <v>58</v>
      </c>
      <c r="I256">
        <v>9.7154030903544311E-2</v>
      </c>
      <c r="J256" t="s">
        <v>53</v>
      </c>
      <c r="L256" t="s">
        <v>229</v>
      </c>
      <c r="M256" t="s">
        <v>58</v>
      </c>
      <c r="N256">
        <v>6.7207902422757482E-2</v>
      </c>
      <c r="O256" t="s">
        <v>53</v>
      </c>
    </row>
    <row r="257" spans="2:15" x14ac:dyDescent="0.25">
      <c r="B257" t="s">
        <v>84</v>
      </c>
      <c r="C257" t="s">
        <v>59</v>
      </c>
      <c r="D257">
        <v>7.0116411427839833E-3</v>
      </c>
      <c r="E257" t="s">
        <v>53</v>
      </c>
      <c r="G257" t="s">
        <v>162</v>
      </c>
      <c r="H257" t="s">
        <v>59</v>
      </c>
      <c r="I257">
        <v>0.10688896459012344</v>
      </c>
      <c r="J257" t="s">
        <v>53</v>
      </c>
      <c r="L257" t="s">
        <v>229</v>
      </c>
      <c r="M257" t="s">
        <v>59</v>
      </c>
      <c r="N257">
        <v>0.16568630996170663</v>
      </c>
      <c r="O257" t="s">
        <v>53</v>
      </c>
    </row>
    <row r="258" spans="2:15" x14ac:dyDescent="0.25">
      <c r="B258" t="s">
        <v>84</v>
      </c>
      <c r="C258" t="s">
        <v>60</v>
      </c>
      <c r="D258">
        <v>0.16561687516595833</v>
      </c>
      <c r="E258" t="s">
        <v>53</v>
      </c>
      <c r="G258" t="s">
        <v>162</v>
      </c>
      <c r="H258" t="s">
        <v>60</v>
      </c>
      <c r="I258">
        <v>0.13579216122336785</v>
      </c>
      <c r="J258" t="s">
        <v>53</v>
      </c>
      <c r="L258" t="s">
        <v>229</v>
      </c>
      <c r="M258" t="s">
        <v>60</v>
      </c>
      <c r="N258">
        <v>0.18922616838790884</v>
      </c>
      <c r="O258" t="s">
        <v>53</v>
      </c>
    </row>
    <row r="259" spans="2:15" x14ac:dyDescent="0.25">
      <c r="B259" t="s">
        <v>84</v>
      </c>
      <c r="C259" t="s">
        <v>61</v>
      </c>
      <c r="D259">
        <v>6.2618586366827511E-3</v>
      </c>
      <c r="E259" t="s">
        <v>53</v>
      </c>
      <c r="G259" t="s">
        <v>162</v>
      </c>
      <c r="H259" t="s">
        <v>61</v>
      </c>
      <c r="I259">
        <v>8.287246941359766E-2</v>
      </c>
      <c r="J259" t="s">
        <v>53</v>
      </c>
      <c r="L259" t="s">
        <v>229</v>
      </c>
      <c r="M259" t="s">
        <v>61</v>
      </c>
      <c r="N259">
        <v>0.11405765705408438</v>
      </c>
      <c r="O259" t="s">
        <v>53</v>
      </c>
    </row>
    <row r="260" spans="2:15" x14ac:dyDescent="0.25">
      <c r="B260" t="s">
        <v>84</v>
      </c>
      <c r="C260" t="s">
        <v>62</v>
      </c>
      <c r="D260">
        <v>9.7422868012563037E-3</v>
      </c>
      <c r="E260" t="s">
        <v>53</v>
      </c>
      <c r="G260" t="s">
        <v>162</v>
      </c>
      <c r="H260" t="s">
        <v>62</v>
      </c>
      <c r="I260">
        <v>6.9049946096965339E-2</v>
      </c>
      <c r="J260" t="s">
        <v>53</v>
      </c>
      <c r="L260" t="s">
        <v>229</v>
      </c>
      <c r="M260" t="s">
        <v>62</v>
      </c>
      <c r="N260">
        <v>6.5593346999422375E-2</v>
      </c>
      <c r="O260" t="s">
        <v>53</v>
      </c>
    </row>
    <row r="261" spans="2:15" x14ac:dyDescent="0.25">
      <c r="B261" t="s">
        <v>84</v>
      </c>
      <c r="C261" t="s">
        <v>63</v>
      </c>
      <c r="D261">
        <v>0.23774717273476734</v>
      </c>
      <c r="E261" t="s">
        <v>53</v>
      </c>
      <c r="G261" t="s">
        <v>162</v>
      </c>
      <c r="H261" t="s">
        <v>63</v>
      </c>
      <c r="I261">
        <v>7.5076072592195925E-2</v>
      </c>
      <c r="J261" t="s">
        <v>53</v>
      </c>
      <c r="L261" t="s">
        <v>229</v>
      </c>
      <c r="M261" t="s">
        <v>63</v>
      </c>
      <c r="N261">
        <v>8.3446444202658052E-2</v>
      </c>
      <c r="O261" t="s">
        <v>53</v>
      </c>
    </row>
    <row r="262" spans="2:15" x14ac:dyDescent="0.25">
      <c r="B262" t="s">
        <v>84</v>
      </c>
      <c r="C262" t="s">
        <v>64</v>
      </c>
      <c r="D262">
        <v>2.1241635160275207E-3</v>
      </c>
      <c r="E262" t="s">
        <v>53</v>
      </c>
      <c r="G262" t="s">
        <v>162</v>
      </c>
      <c r="H262" t="s">
        <v>64</v>
      </c>
      <c r="I262">
        <v>4.8955385157126143E-2</v>
      </c>
      <c r="J262" t="s">
        <v>53</v>
      </c>
      <c r="L262" t="s">
        <v>229</v>
      </c>
      <c r="M262" t="s">
        <v>64</v>
      </c>
      <c r="N262">
        <v>4.8872306970261174E-2</v>
      </c>
      <c r="O262" t="s">
        <v>53</v>
      </c>
    </row>
    <row r="263" spans="2:15" x14ac:dyDescent="0.25">
      <c r="B263" t="s">
        <v>85</v>
      </c>
      <c r="C263" t="s">
        <v>52</v>
      </c>
      <c r="D263">
        <v>9.154671884517427E-4</v>
      </c>
      <c r="E263" t="s">
        <v>53</v>
      </c>
      <c r="G263" t="s">
        <v>163</v>
      </c>
      <c r="H263" t="s">
        <v>52</v>
      </c>
      <c r="I263">
        <v>6.211457380856153E-2</v>
      </c>
      <c r="J263" t="s">
        <v>53</v>
      </c>
      <c r="L263" t="s">
        <v>230</v>
      </c>
      <c r="M263" t="s">
        <v>52</v>
      </c>
      <c r="N263">
        <v>3.2247977780175636E-2</v>
      </c>
      <c r="O263" t="s">
        <v>53</v>
      </c>
    </row>
    <row r="264" spans="2:15" x14ac:dyDescent="0.25">
      <c r="B264" t="s">
        <v>85</v>
      </c>
      <c r="C264" t="s">
        <v>54</v>
      </c>
      <c r="D264">
        <v>0.23854539723216778</v>
      </c>
      <c r="E264" t="s">
        <v>53</v>
      </c>
      <c r="G264" t="s">
        <v>163</v>
      </c>
      <c r="H264" t="s">
        <v>54</v>
      </c>
      <c r="I264">
        <v>2.1563423262848685E-2</v>
      </c>
      <c r="J264" t="s">
        <v>53</v>
      </c>
      <c r="L264" t="s">
        <v>230</v>
      </c>
      <c r="M264" t="s">
        <v>54</v>
      </c>
      <c r="N264">
        <v>4.5150182916732479E-2</v>
      </c>
      <c r="O264" t="s">
        <v>53</v>
      </c>
    </row>
    <row r="265" spans="2:15" x14ac:dyDescent="0.25">
      <c r="B265" t="s">
        <v>85</v>
      </c>
      <c r="C265" t="s">
        <v>55</v>
      </c>
      <c r="D265">
        <v>1.889436561353282E-3</v>
      </c>
      <c r="E265" t="s">
        <v>53</v>
      </c>
      <c r="G265" t="s">
        <v>163</v>
      </c>
      <c r="H265" t="s">
        <v>55</v>
      </c>
      <c r="I265">
        <v>5.0821310564123999E-2</v>
      </c>
      <c r="J265" t="s">
        <v>53</v>
      </c>
      <c r="L265" t="s">
        <v>230</v>
      </c>
      <c r="M265" t="s">
        <v>55</v>
      </c>
      <c r="N265">
        <v>1.1656209622318827E-2</v>
      </c>
      <c r="O265" t="s">
        <v>53</v>
      </c>
    </row>
    <row r="266" spans="2:15" x14ac:dyDescent="0.25">
      <c r="B266" t="s">
        <v>85</v>
      </c>
      <c r="C266" t="s">
        <v>56</v>
      </c>
      <c r="D266">
        <v>2.0300194071901426E-2</v>
      </c>
      <c r="E266" t="s">
        <v>53</v>
      </c>
      <c r="G266" t="s">
        <v>163</v>
      </c>
      <c r="H266" t="s">
        <v>56</v>
      </c>
      <c r="I266">
        <v>9.9186263507629796E-2</v>
      </c>
      <c r="J266" t="s">
        <v>53</v>
      </c>
      <c r="L266" t="s">
        <v>230</v>
      </c>
      <c r="M266" t="s">
        <v>56</v>
      </c>
      <c r="N266">
        <v>0.12925106071591597</v>
      </c>
      <c r="O266" t="s">
        <v>53</v>
      </c>
    </row>
    <row r="267" spans="2:15" x14ac:dyDescent="0.25">
      <c r="B267" t="s">
        <v>85</v>
      </c>
      <c r="C267" t="s">
        <v>57</v>
      </c>
      <c r="D267">
        <v>0.28906925942908951</v>
      </c>
      <c r="E267" t="s">
        <v>53</v>
      </c>
      <c r="G267" t="s">
        <v>163</v>
      </c>
      <c r="H267" t="s">
        <v>57</v>
      </c>
      <c r="I267">
        <v>0.11975547603877554</v>
      </c>
      <c r="J267" t="s">
        <v>53</v>
      </c>
      <c r="L267" t="s">
        <v>230</v>
      </c>
      <c r="M267" t="s">
        <v>57</v>
      </c>
      <c r="N267">
        <v>0.12594110473420844</v>
      </c>
      <c r="O267" t="s">
        <v>53</v>
      </c>
    </row>
    <row r="268" spans="2:15" x14ac:dyDescent="0.25">
      <c r="B268" t="s">
        <v>85</v>
      </c>
      <c r="C268" t="s">
        <v>58</v>
      </c>
      <c r="D268">
        <v>1.1798563022454581E-2</v>
      </c>
      <c r="E268" t="s">
        <v>53</v>
      </c>
      <c r="G268" t="s">
        <v>163</v>
      </c>
      <c r="H268" t="s">
        <v>58</v>
      </c>
      <c r="I268">
        <v>9.8420096402235591E-2</v>
      </c>
      <c r="J268" t="s">
        <v>53</v>
      </c>
      <c r="L268" t="s">
        <v>230</v>
      </c>
      <c r="M268" t="s">
        <v>58</v>
      </c>
      <c r="N268">
        <v>9.2986071984977617E-2</v>
      </c>
      <c r="O268" t="s">
        <v>53</v>
      </c>
    </row>
    <row r="269" spans="2:15" x14ac:dyDescent="0.25">
      <c r="B269" t="s">
        <v>85</v>
      </c>
      <c r="C269" t="s">
        <v>59</v>
      </c>
      <c r="D269">
        <v>8.3568986562525382E-3</v>
      </c>
      <c r="E269" t="s">
        <v>53</v>
      </c>
      <c r="G269" t="s">
        <v>163</v>
      </c>
      <c r="H269" t="s">
        <v>59</v>
      </c>
      <c r="I269">
        <v>0.13843821456658353</v>
      </c>
      <c r="J269" t="s">
        <v>53</v>
      </c>
      <c r="L269" t="s">
        <v>230</v>
      </c>
      <c r="M269" t="s">
        <v>59</v>
      </c>
      <c r="N269">
        <v>0.13993790661439126</v>
      </c>
      <c r="O269" t="s">
        <v>53</v>
      </c>
    </row>
    <row r="270" spans="2:15" x14ac:dyDescent="0.25">
      <c r="B270" t="s">
        <v>85</v>
      </c>
      <c r="C270" t="s">
        <v>60</v>
      </c>
      <c r="D270">
        <v>0.17303581362644516</v>
      </c>
      <c r="E270" t="s">
        <v>53</v>
      </c>
      <c r="G270" t="s">
        <v>163</v>
      </c>
      <c r="H270" t="s">
        <v>60</v>
      </c>
      <c r="I270">
        <v>0.17266768601250557</v>
      </c>
      <c r="J270" t="s">
        <v>53</v>
      </c>
      <c r="L270" t="s">
        <v>230</v>
      </c>
      <c r="M270" t="s">
        <v>60</v>
      </c>
      <c r="N270">
        <v>0.15373430792081683</v>
      </c>
      <c r="O270" t="s">
        <v>53</v>
      </c>
    </row>
    <row r="271" spans="2:15" x14ac:dyDescent="0.25">
      <c r="B271" t="s">
        <v>85</v>
      </c>
      <c r="C271" t="s">
        <v>61</v>
      </c>
      <c r="D271">
        <v>6.884591682894509E-3</v>
      </c>
      <c r="E271" t="s">
        <v>53</v>
      </c>
      <c r="G271" t="s">
        <v>163</v>
      </c>
      <c r="H271" t="s">
        <v>61</v>
      </c>
      <c r="I271">
        <v>0.12052661502333821</v>
      </c>
      <c r="J271" t="s">
        <v>53</v>
      </c>
      <c r="L271" t="s">
        <v>230</v>
      </c>
      <c r="M271" t="s">
        <v>61</v>
      </c>
      <c r="N271">
        <v>0.10734492874679308</v>
      </c>
      <c r="O271" t="s">
        <v>53</v>
      </c>
    </row>
    <row r="272" spans="2:15" x14ac:dyDescent="0.25">
      <c r="B272" t="s">
        <v>85</v>
      </c>
      <c r="C272" t="s">
        <v>62</v>
      </c>
      <c r="D272">
        <v>1.0307058373870479E-2</v>
      </c>
      <c r="E272" t="s">
        <v>53</v>
      </c>
      <c r="G272" t="s">
        <v>163</v>
      </c>
      <c r="H272" t="s">
        <v>62</v>
      </c>
      <c r="I272">
        <v>4.9287960047005475E-2</v>
      </c>
      <c r="J272" t="s">
        <v>53</v>
      </c>
      <c r="L272" t="s">
        <v>230</v>
      </c>
      <c r="M272" t="s">
        <v>62</v>
      </c>
      <c r="N272">
        <v>5.9052574291017852E-2</v>
      </c>
      <c r="O272" t="s">
        <v>53</v>
      </c>
    </row>
    <row r="273" spans="2:15" x14ac:dyDescent="0.25">
      <c r="B273" t="s">
        <v>85</v>
      </c>
      <c r="C273" t="s">
        <v>63</v>
      </c>
      <c r="D273">
        <v>0.23715671868255903</v>
      </c>
      <c r="E273" t="s">
        <v>53</v>
      </c>
      <c r="G273" t="s">
        <v>163</v>
      </c>
      <c r="H273" t="s">
        <v>63</v>
      </c>
      <c r="I273">
        <v>2.9902813629738283E-2</v>
      </c>
      <c r="J273" t="s">
        <v>53</v>
      </c>
      <c r="L273" t="s">
        <v>230</v>
      </c>
      <c r="M273" t="s">
        <v>63</v>
      </c>
      <c r="N273">
        <v>6.7482616262931533E-2</v>
      </c>
      <c r="O273" t="s">
        <v>53</v>
      </c>
    </row>
    <row r="274" spans="2:15" x14ac:dyDescent="0.25">
      <c r="B274" t="s">
        <v>85</v>
      </c>
      <c r="C274" t="s">
        <v>64</v>
      </c>
      <c r="D274">
        <v>1.7406014725596826E-3</v>
      </c>
      <c r="E274" t="s">
        <v>53</v>
      </c>
      <c r="G274" t="s">
        <v>163</v>
      </c>
      <c r="H274" t="s">
        <v>64</v>
      </c>
      <c r="I274">
        <v>3.7315567136654806E-2</v>
      </c>
      <c r="J274" t="s">
        <v>53</v>
      </c>
      <c r="L274" t="s">
        <v>230</v>
      </c>
      <c r="M274" t="s">
        <v>64</v>
      </c>
      <c r="N274">
        <v>3.5215058409723082E-2</v>
      </c>
      <c r="O274" t="s">
        <v>53</v>
      </c>
    </row>
    <row r="275" spans="2:15" x14ac:dyDescent="0.25">
      <c r="B275" t="s">
        <v>86</v>
      </c>
      <c r="C275" t="s">
        <v>52</v>
      </c>
      <c r="D275">
        <v>2.6259196660998545E-3</v>
      </c>
      <c r="E275" t="s">
        <v>53</v>
      </c>
      <c r="G275" t="s">
        <v>164</v>
      </c>
      <c r="H275" t="s">
        <v>52</v>
      </c>
      <c r="I275">
        <v>5.8164455244578972E-2</v>
      </c>
      <c r="J275" t="s">
        <v>53</v>
      </c>
      <c r="L275" t="s">
        <v>231</v>
      </c>
      <c r="M275" t="s">
        <v>52</v>
      </c>
      <c r="N275">
        <v>1.7846331381730422E-2</v>
      </c>
      <c r="O275" t="s">
        <v>53</v>
      </c>
    </row>
    <row r="276" spans="2:15" x14ac:dyDescent="0.25">
      <c r="B276" t="s">
        <v>86</v>
      </c>
      <c r="C276" t="s">
        <v>54</v>
      </c>
      <c r="D276">
        <v>0.25024056325977323</v>
      </c>
      <c r="E276" t="s">
        <v>53</v>
      </c>
      <c r="G276" t="s">
        <v>164</v>
      </c>
      <c r="H276" t="s">
        <v>54</v>
      </c>
      <c r="I276">
        <v>2.8016725201778919E-2</v>
      </c>
      <c r="J276" t="s">
        <v>53</v>
      </c>
      <c r="L276" t="s">
        <v>231</v>
      </c>
      <c r="M276" t="s">
        <v>54</v>
      </c>
      <c r="N276">
        <v>4.1492822974646473E-2</v>
      </c>
      <c r="O276" t="s">
        <v>53</v>
      </c>
    </row>
    <row r="277" spans="2:15" x14ac:dyDescent="0.25">
      <c r="B277" t="s">
        <v>86</v>
      </c>
      <c r="C277" t="s">
        <v>55</v>
      </c>
      <c r="D277">
        <v>5.3638971622678206E-4</v>
      </c>
      <c r="E277" t="s">
        <v>53</v>
      </c>
      <c r="G277" t="s">
        <v>164</v>
      </c>
      <c r="H277" t="s">
        <v>55</v>
      </c>
      <c r="I277">
        <v>2.6855380184124686E-2</v>
      </c>
      <c r="J277" t="s">
        <v>53</v>
      </c>
      <c r="L277" t="s">
        <v>231</v>
      </c>
      <c r="M277" t="s">
        <v>55</v>
      </c>
      <c r="N277">
        <v>1.2361051150596051E-2</v>
      </c>
      <c r="O277" t="s">
        <v>53</v>
      </c>
    </row>
    <row r="278" spans="2:15" x14ac:dyDescent="0.25">
      <c r="B278" t="s">
        <v>86</v>
      </c>
      <c r="C278" t="s">
        <v>56</v>
      </c>
      <c r="D278">
        <v>2.5661663126415612E-2</v>
      </c>
      <c r="E278" t="s">
        <v>53</v>
      </c>
      <c r="G278" t="s">
        <v>164</v>
      </c>
      <c r="H278" t="s">
        <v>56</v>
      </c>
      <c r="I278">
        <v>0.1491780570236439</v>
      </c>
      <c r="J278" t="s">
        <v>53</v>
      </c>
      <c r="L278" t="s">
        <v>231</v>
      </c>
      <c r="M278" t="s">
        <v>56</v>
      </c>
      <c r="N278">
        <v>0.14119496881780358</v>
      </c>
      <c r="O278" t="s">
        <v>53</v>
      </c>
    </row>
    <row r="279" spans="2:15" x14ac:dyDescent="0.25">
      <c r="B279" t="s">
        <v>86</v>
      </c>
      <c r="C279" t="s">
        <v>57</v>
      </c>
      <c r="D279">
        <v>0.29773131842511041</v>
      </c>
      <c r="E279" t="s">
        <v>53</v>
      </c>
      <c r="G279" t="s">
        <v>164</v>
      </c>
      <c r="H279" t="s">
        <v>57</v>
      </c>
      <c r="I279">
        <v>0.12501571916973164</v>
      </c>
      <c r="J279" t="s">
        <v>53</v>
      </c>
      <c r="L279" t="s">
        <v>231</v>
      </c>
      <c r="M279" t="s">
        <v>57</v>
      </c>
      <c r="N279">
        <v>0.15441434899696657</v>
      </c>
      <c r="O279" t="s">
        <v>53</v>
      </c>
    </row>
    <row r="280" spans="2:15" x14ac:dyDescent="0.25">
      <c r="B280" t="s">
        <v>86</v>
      </c>
      <c r="C280" t="s">
        <v>58</v>
      </c>
      <c r="D280">
        <v>1.1246132731644579E-2</v>
      </c>
      <c r="E280" t="s">
        <v>53</v>
      </c>
      <c r="G280" t="s">
        <v>164</v>
      </c>
      <c r="H280" t="s">
        <v>58</v>
      </c>
      <c r="I280">
        <v>0.13721400345932322</v>
      </c>
      <c r="J280" t="s">
        <v>53</v>
      </c>
      <c r="L280" t="s">
        <v>231</v>
      </c>
      <c r="M280" t="s">
        <v>58</v>
      </c>
      <c r="N280">
        <v>0.11553085561539055</v>
      </c>
      <c r="O280" t="s">
        <v>53</v>
      </c>
    </row>
    <row r="281" spans="2:15" x14ac:dyDescent="0.25">
      <c r="B281" t="s">
        <v>86</v>
      </c>
      <c r="C281" t="s">
        <v>59</v>
      </c>
      <c r="D281">
        <v>7.4578993420098619E-3</v>
      </c>
      <c r="E281" t="s">
        <v>53</v>
      </c>
      <c r="G281" t="s">
        <v>164</v>
      </c>
      <c r="H281" t="s">
        <v>59</v>
      </c>
      <c r="I281">
        <v>9.931813565292838E-2</v>
      </c>
      <c r="J281" t="s">
        <v>53</v>
      </c>
      <c r="L281" t="s">
        <v>231</v>
      </c>
      <c r="M281" t="s">
        <v>59</v>
      </c>
      <c r="N281">
        <v>0.12260751139085722</v>
      </c>
      <c r="O281" t="s">
        <v>53</v>
      </c>
    </row>
    <row r="282" spans="2:15" x14ac:dyDescent="0.25">
      <c r="B282" t="s">
        <v>86</v>
      </c>
      <c r="C282" t="s">
        <v>60</v>
      </c>
      <c r="D282">
        <v>0.14549661702501068</v>
      </c>
      <c r="E282" t="s">
        <v>53</v>
      </c>
      <c r="G282" t="s">
        <v>164</v>
      </c>
      <c r="H282" t="s">
        <v>60</v>
      </c>
      <c r="I282">
        <v>0.12608720401290907</v>
      </c>
      <c r="J282" t="s">
        <v>53</v>
      </c>
      <c r="L282" t="s">
        <v>231</v>
      </c>
      <c r="M282" t="s">
        <v>60</v>
      </c>
      <c r="N282">
        <v>0.12839995674191662</v>
      </c>
      <c r="O282" t="s">
        <v>53</v>
      </c>
    </row>
    <row r="283" spans="2:15" x14ac:dyDescent="0.25">
      <c r="B283" t="s">
        <v>86</v>
      </c>
      <c r="C283" t="s">
        <v>61</v>
      </c>
      <c r="D283">
        <v>4.8160277728128307E-3</v>
      </c>
      <c r="E283" t="s">
        <v>53</v>
      </c>
      <c r="G283" t="s">
        <v>164</v>
      </c>
      <c r="H283" t="s">
        <v>61</v>
      </c>
      <c r="I283">
        <v>9.1025657980302141E-2</v>
      </c>
      <c r="J283" t="s">
        <v>53</v>
      </c>
      <c r="L283" t="s">
        <v>231</v>
      </c>
      <c r="M283" t="s">
        <v>61</v>
      </c>
      <c r="N283">
        <v>9.5551259577096689E-2</v>
      </c>
      <c r="O283" t="s">
        <v>53</v>
      </c>
    </row>
    <row r="284" spans="2:15" x14ac:dyDescent="0.25">
      <c r="B284" t="s">
        <v>86</v>
      </c>
      <c r="C284" t="s">
        <v>62</v>
      </c>
      <c r="D284">
        <v>1.2712380358138349E-2</v>
      </c>
      <c r="E284" t="s">
        <v>53</v>
      </c>
      <c r="G284" t="s">
        <v>164</v>
      </c>
      <c r="H284" t="s">
        <v>62</v>
      </c>
      <c r="I284">
        <v>6.5293710055217072E-2</v>
      </c>
      <c r="J284" t="s">
        <v>53</v>
      </c>
      <c r="L284" t="s">
        <v>231</v>
      </c>
      <c r="M284" t="s">
        <v>62</v>
      </c>
      <c r="N284">
        <v>5.8537919282304902E-2</v>
      </c>
      <c r="O284" t="s">
        <v>53</v>
      </c>
    </row>
    <row r="285" spans="2:15" x14ac:dyDescent="0.25">
      <c r="B285" t="s">
        <v>86</v>
      </c>
      <c r="C285" t="s">
        <v>63</v>
      </c>
      <c r="D285">
        <v>0.24017644003080726</v>
      </c>
      <c r="E285" t="s">
        <v>53</v>
      </c>
      <c r="G285" t="s">
        <v>164</v>
      </c>
      <c r="H285" t="s">
        <v>63</v>
      </c>
      <c r="I285">
        <v>5.204051681898636E-2</v>
      </c>
      <c r="J285" t="s">
        <v>53</v>
      </c>
      <c r="L285" t="s">
        <v>231</v>
      </c>
      <c r="M285" t="s">
        <v>63</v>
      </c>
      <c r="N285">
        <v>7.3953136559723284E-2</v>
      </c>
      <c r="O285" t="s">
        <v>53</v>
      </c>
    </row>
    <row r="286" spans="2:15" x14ac:dyDescent="0.25">
      <c r="B286" t="s">
        <v>86</v>
      </c>
      <c r="C286" t="s">
        <v>64</v>
      </c>
      <c r="D286">
        <v>1.2986485459462631E-3</v>
      </c>
      <c r="E286" t="s">
        <v>53</v>
      </c>
      <c r="G286" t="s">
        <v>164</v>
      </c>
      <c r="H286" t="s">
        <v>64</v>
      </c>
      <c r="I286">
        <v>4.1790435196475247E-2</v>
      </c>
      <c r="J286" t="s">
        <v>53</v>
      </c>
      <c r="L286" t="s">
        <v>231</v>
      </c>
      <c r="M286" t="s">
        <v>64</v>
      </c>
      <c r="N286">
        <v>3.8109837510968747E-2</v>
      </c>
      <c r="O286" t="s">
        <v>53</v>
      </c>
    </row>
    <row r="287" spans="2:15" x14ac:dyDescent="0.25">
      <c r="B287" t="s">
        <v>87</v>
      </c>
      <c r="C287" t="s">
        <v>52</v>
      </c>
      <c r="D287">
        <v>3.5080027139881413E-3</v>
      </c>
      <c r="E287" t="s">
        <v>53</v>
      </c>
      <c r="G287" t="s">
        <v>165</v>
      </c>
      <c r="H287" t="s">
        <v>52</v>
      </c>
      <c r="I287">
        <v>2.2554815675423209E-2</v>
      </c>
      <c r="J287" t="s">
        <v>53</v>
      </c>
      <c r="L287" t="s">
        <v>232</v>
      </c>
      <c r="M287" t="s">
        <v>52</v>
      </c>
      <c r="N287">
        <v>1.6436361309088716E-2</v>
      </c>
      <c r="O287" t="s">
        <v>53</v>
      </c>
    </row>
    <row r="288" spans="2:15" x14ac:dyDescent="0.25">
      <c r="B288" t="s">
        <v>87</v>
      </c>
      <c r="C288" t="s">
        <v>54</v>
      </c>
      <c r="D288">
        <v>0.24488097978754148</v>
      </c>
      <c r="E288" t="s">
        <v>53</v>
      </c>
      <c r="G288" t="s">
        <v>165</v>
      </c>
      <c r="H288" t="s">
        <v>54</v>
      </c>
      <c r="I288">
        <v>3.1623270158984647E-2</v>
      </c>
      <c r="J288" t="s">
        <v>53</v>
      </c>
      <c r="L288" t="s">
        <v>232</v>
      </c>
      <c r="M288" t="s">
        <v>54</v>
      </c>
      <c r="N288">
        <v>3.1893493168533689E-2</v>
      </c>
      <c r="O288" t="s">
        <v>53</v>
      </c>
    </row>
    <row r="289" spans="2:15" x14ac:dyDescent="0.25">
      <c r="B289" t="s">
        <v>87</v>
      </c>
      <c r="C289" t="s">
        <v>55</v>
      </c>
      <c r="D289">
        <v>5.8817213746499737E-4</v>
      </c>
      <c r="E289" t="s">
        <v>53</v>
      </c>
      <c r="G289" t="s">
        <v>165</v>
      </c>
      <c r="H289" t="s">
        <v>55</v>
      </c>
      <c r="I289">
        <v>2.5901224684427109E-2</v>
      </c>
      <c r="J289" t="s">
        <v>53</v>
      </c>
      <c r="L289" t="s">
        <v>232</v>
      </c>
      <c r="M289" t="s">
        <v>55</v>
      </c>
      <c r="N289">
        <v>1.7939321258297964E-2</v>
      </c>
      <c r="O289" t="s">
        <v>53</v>
      </c>
    </row>
    <row r="290" spans="2:15" x14ac:dyDescent="0.25">
      <c r="B290" t="s">
        <v>87</v>
      </c>
      <c r="C290" t="s">
        <v>56</v>
      </c>
      <c r="D290">
        <v>2.4135654212638274E-2</v>
      </c>
      <c r="E290" t="s">
        <v>53</v>
      </c>
      <c r="G290" t="s">
        <v>165</v>
      </c>
      <c r="H290" t="s">
        <v>56</v>
      </c>
      <c r="I290">
        <v>0.13685016807773365</v>
      </c>
      <c r="J290" t="s">
        <v>53</v>
      </c>
      <c r="L290" t="s">
        <v>232</v>
      </c>
      <c r="M290" t="s">
        <v>56</v>
      </c>
      <c r="N290">
        <v>0.13925350514898024</v>
      </c>
      <c r="O290" t="s">
        <v>53</v>
      </c>
    </row>
    <row r="291" spans="2:15" x14ac:dyDescent="0.25">
      <c r="B291" t="s">
        <v>87</v>
      </c>
      <c r="C291" t="s">
        <v>57</v>
      </c>
      <c r="D291">
        <v>0.29366325293479101</v>
      </c>
      <c r="E291" t="s">
        <v>53</v>
      </c>
      <c r="G291" t="s">
        <v>165</v>
      </c>
      <c r="H291" t="s">
        <v>57</v>
      </c>
      <c r="I291">
        <v>0.1603658731584213</v>
      </c>
      <c r="J291" t="s">
        <v>53</v>
      </c>
      <c r="L291" t="s">
        <v>232</v>
      </c>
      <c r="M291" t="s">
        <v>57</v>
      </c>
      <c r="N291">
        <v>0.17295620882022164</v>
      </c>
      <c r="O291" t="s">
        <v>53</v>
      </c>
    </row>
    <row r="292" spans="2:15" x14ac:dyDescent="0.25">
      <c r="B292" t="s">
        <v>87</v>
      </c>
      <c r="C292" t="s">
        <v>58</v>
      </c>
      <c r="D292">
        <v>1.0833501120370138E-2</v>
      </c>
      <c r="E292" t="s">
        <v>53</v>
      </c>
      <c r="G292" t="s">
        <v>165</v>
      </c>
      <c r="H292" t="s">
        <v>58</v>
      </c>
      <c r="I292">
        <v>0.1423014358661569</v>
      </c>
      <c r="J292" t="s">
        <v>53</v>
      </c>
      <c r="L292" t="s">
        <v>232</v>
      </c>
      <c r="M292" t="s">
        <v>58</v>
      </c>
      <c r="N292">
        <v>0.12029606694565091</v>
      </c>
      <c r="O292" t="s">
        <v>53</v>
      </c>
    </row>
    <row r="293" spans="2:15" x14ac:dyDescent="0.25">
      <c r="B293" t="s">
        <v>87</v>
      </c>
      <c r="C293" t="s">
        <v>59</v>
      </c>
      <c r="D293">
        <v>8.3512249281861625E-3</v>
      </c>
      <c r="E293" t="s">
        <v>53</v>
      </c>
      <c r="G293" t="s">
        <v>165</v>
      </c>
      <c r="H293" t="s">
        <v>59</v>
      </c>
      <c r="I293">
        <v>0.10586478313410798</v>
      </c>
      <c r="J293" t="s">
        <v>53</v>
      </c>
      <c r="L293" t="s">
        <v>232</v>
      </c>
      <c r="M293" t="s">
        <v>59</v>
      </c>
      <c r="N293">
        <v>0.11942124334440565</v>
      </c>
      <c r="O293" t="s">
        <v>53</v>
      </c>
    </row>
    <row r="294" spans="2:15" x14ac:dyDescent="0.25">
      <c r="B294" t="s">
        <v>87</v>
      </c>
      <c r="C294" t="s">
        <v>60</v>
      </c>
      <c r="D294">
        <v>0.15926602911611207</v>
      </c>
      <c r="E294" t="s">
        <v>53</v>
      </c>
      <c r="G294" t="s">
        <v>165</v>
      </c>
      <c r="H294" t="s">
        <v>60</v>
      </c>
      <c r="I294">
        <v>0.12042561947969808</v>
      </c>
      <c r="J294" t="s">
        <v>53</v>
      </c>
      <c r="L294" t="s">
        <v>232</v>
      </c>
      <c r="M294" t="s">
        <v>60</v>
      </c>
      <c r="N294">
        <v>0.12962414924167082</v>
      </c>
      <c r="O294" t="s">
        <v>53</v>
      </c>
    </row>
    <row r="295" spans="2:15" x14ac:dyDescent="0.25">
      <c r="B295" t="s">
        <v>87</v>
      </c>
      <c r="C295" t="s">
        <v>61</v>
      </c>
      <c r="D295">
        <v>4.6438410431414254E-3</v>
      </c>
      <c r="E295" t="s">
        <v>53</v>
      </c>
      <c r="G295" t="s">
        <v>165</v>
      </c>
      <c r="H295" t="s">
        <v>61</v>
      </c>
      <c r="I295">
        <v>9.22202403884297E-2</v>
      </c>
      <c r="J295" t="s">
        <v>53</v>
      </c>
      <c r="L295" t="s">
        <v>232</v>
      </c>
      <c r="M295" t="s">
        <v>61</v>
      </c>
      <c r="N295">
        <v>9.6713943537227995E-2</v>
      </c>
      <c r="O295" t="s">
        <v>53</v>
      </c>
    </row>
    <row r="296" spans="2:15" x14ac:dyDescent="0.25">
      <c r="B296" t="s">
        <v>87</v>
      </c>
      <c r="C296" t="s">
        <v>62</v>
      </c>
      <c r="D296">
        <v>1.2313638074530068E-2</v>
      </c>
      <c r="E296" t="s">
        <v>53</v>
      </c>
      <c r="G296" t="s">
        <v>165</v>
      </c>
      <c r="H296" t="s">
        <v>62</v>
      </c>
      <c r="I296">
        <v>5.5536682113584888E-2</v>
      </c>
      <c r="J296" t="s">
        <v>53</v>
      </c>
      <c r="L296" t="s">
        <v>232</v>
      </c>
      <c r="M296" t="s">
        <v>62</v>
      </c>
      <c r="N296">
        <v>5.1817744506723815E-2</v>
      </c>
      <c r="O296" t="s">
        <v>53</v>
      </c>
    </row>
    <row r="297" spans="2:15" x14ac:dyDescent="0.25">
      <c r="B297" t="s">
        <v>87</v>
      </c>
      <c r="C297" t="s">
        <v>63</v>
      </c>
      <c r="D297">
        <v>0.2366548192006887</v>
      </c>
      <c r="E297" t="s">
        <v>53</v>
      </c>
      <c r="G297" t="s">
        <v>165</v>
      </c>
      <c r="H297" t="s">
        <v>63</v>
      </c>
      <c r="I297">
        <v>6.6898770503683896E-2</v>
      </c>
      <c r="J297" t="s">
        <v>53</v>
      </c>
      <c r="L297" t="s">
        <v>232</v>
      </c>
      <c r="M297" t="s">
        <v>63</v>
      </c>
      <c r="N297">
        <v>6.7162657478167284E-2</v>
      </c>
      <c r="O297" t="s">
        <v>53</v>
      </c>
    </row>
    <row r="298" spans="2:15" x14ac:dyDescent="0.25">
      <c r="B298" t="s">
        <v>87</v>
      </c>
      <c r="C298" t="s">
        <v>64</v>
      </c>
      <c r="D298">
        <v>1.1608847305476198E-3</v>
      </c>
      <c r="E298" t="s">
        <v>53</v>
      </c>
      <c r="G298" t="s">
        <v>165</v>
      </c>
      <c r="H298" t="s">
        <v>64</v>
      </c>
      <c r="I298">
        <v>3.9457116759344213E-2</v>
      </c>
      <c r="J298" t="s">
        <v>53</v>
      </c>
      <c r="L298" t="s">
        <v>232</v>
      </c>
      <c r="M298" t="s">
        <v>64</v>
      </c>
      <c r="N298">
        <v>3.6485305241033994E-2</v>
      </c>
      <c r="O298" t="s">
        <v>53</v>
      </c>
    </row>
    <row r="299" spans="2:15" x14ac:dyDescent="0.25">
      <c r="B299" t="s">
        <v>88</v>
      </c>
      <c r="C299" t="s">
        <v>52</v>
      </c>
      <c r="D299">
        <v>1.3329894211681648E-2</v>
      </c>
      <c r="E299" t="s">
        <v>53</v>
      </c>
      <c r="G299" t="s">
        <v>166</v>
      </c>
      <c r="H299" t="s">
        <v>52</v>
      </c>
      <c r="I299">
        <v>8.3362460427040028E-2</v>
      </c>
      <c r="J299" t="s">
        <v>53</v>
      </c>
    </row>
    <row r="300" spans="2:15" x14ac:dyDescent="0.25">
      <c r="B300" t="s">
        <v>88</v>
      </c>
      <c r="C300" t="s">
        <v>54</v>
      </c>
      <c r="D300">
        <v>0.25329510331273525</v>
      </c>
      <c r="E300" t="s">
        <v>53</v>
      </c>
      <c r="G300" t="s">
        <v>166</v>
      </c>
      <c r="H300" t="s">
        <v>54</v>
      </c>
      <c r="I300">
        <v>2.6109610495981737E-2</v>
      </c>
      <c r="J300" t="s">
        <v>53</v>
      </c>
    </row>
    <row r="301" spans="2:15" x14ac:dyDescent="0.25">
      <c r="B301" t="s">
        <v>88</v>
      </c>
      <c r="C301" t="s">
        <v>55</v>
      </c>
      <c r="D301">
        <v>0</v>
      </c>
      <c r="E301" t="s">
        <v>53</v>
      </c>
      <c r="G301" t="s">
        <v>166</v>
      </c>
      <c r="H301" t="s">
        <v>55</v>
      </c>
      <c r="I301">
        <v>4.0919640800342896E-2</v>
      </c>
      <c r="J301" t="s">
        <v>53</v>
      </c>
    </row>
    <row r="302" spans="2:15" x14ac:dyDescent="0.25">
      <c r="B302" t="s">
        <v>88</v>
      </c>
      <c r="C302" t="s">
        <v>56</v>
      </c>
      <c r="D302">
        <v>2.8347568608333224E-2</v>
      </c>
      <c r="E302" t="s">
        <v>53</v>
      </c>
      <c r="G302" t="s">
        <v>166</v>
      </c>
      <c r="H302" t="s">
        <v>56</v>
      </c>
      <c r="I302">
        <v>0.10980444692579409</v>
      </c>
      <c r="J302" t="s">
        <v>53</v>
      </c>
    </row>
    <row r="303" spans="2:15" x14ac:dyDescent="0.25">
      <c r="B303" t="s">
        <v>88</v>
      </c>
      <c r="C303" t="s">
        <v>57</v>
      </c>
      <c r="D303">
        <v>0.282203478550209</v>
      </c>
      <c r="E303" t="s">
        <v>53</v>
      </c>
      <c r="G303" t="s">
        <v>166</v>
      </c>
      <c r="H303" t="s">
        <v>57</v>
      </c>
      <c r="I303">
        <v>7.0025428123364319E-2</v>
      </c>
      <c r="J303" t="s">
        <v>53</v>
      </c>
    </row>
    <row r="304" spans="2:15" x14ac:dyDescent="0.25">
      <c r="B304" t="s">
        <v>88</v>
      </c>
      <c r="C304" t="s">
        <v>58</v>
      </c>
      <c r="D304">
        <v>5.0022751601391073E-3</v>
      </c>
      <c r="E304" t="s">
        <v>53</v>
      </c>
      <c r="G304" t="s">
        <v>166</v>
      </c>
      <c r="H304" t="s">
        <v>58</v>
      </c>
      <c r="I304">
        <v>0.12515214820811496</v>
      </c>
      <c r="J304" t="s">
        <v>53</v>
      </c>
    </row>
    <row r="305" spans="2:10" x14ac:dyDescent="0.25">
      <c r="B305" t="s">
        <v>88</v>
      </c>
      <c r="C305" t="s">
        <v>59</v>
      </c>
      <c r="D305">
        <v>1.171101609991616E-2</v>
      </c>
      <c r="E305" t="s">
        <v>53</v>
      </c>
      <c r="G305" t="s">
        <v>166</v>
      </c>
      <c r="H305" t="s">
        <v>59</v>
      </c>
      <c r="I305">
        <v>0.11151362545626484</v>
      </c>
      <c r="J305" t="s">
        <v>53</v>
      </c>
    </row>
    <row r="306" spans="2:10" x14ac:dyDescent="0.25">
      <c r="B306" t="s">
        <v>88</v>
      </c>
      <c r="C306" t="s">
        <v>60</v>
      </c>
      <c r="D306">
        <v>0.17285612198972575</v>
      </c>
      <c r="E306" t="s">
        <v>53</v>
      </c>
      <c r="G306" t="s">
        <v>166</v>
      </c>
      <c r="H306" t="s">
        <v>60</v>
      </c>
      <c r="I306">
        <v>0.13308570572340273</v>
      </c>
      <c r="J306" t="s">
        <v>53</v>
      </c>
    </row>
    <row r="307" spans="2:10" x14ac:dyDescent="0.25">
      <c r="B307" t="s">
        <v>88</v>
      </c>
      <c r="C307" t="s">
        <v>61</v>
      </c>
      <c r="D307">
        <v>2.9778858883850287E-3</v>
      </c>
      <c r="E307" t="s">
        <v>53</v>
      </c>
      <c r="G307" t="s">
        <v>166</v>
      </c>
      <c r="H307" t="s">
        <v>61</v>
      </c>
      <c r="I307">
        <v>9.4267035745384059E-2</v>
      </c>
      <c r="J307" t="s">
        <v>53</v>
      </c>
    </row>
    <row r="308" spans="2:10" x14ac:dyDescent="0.25">
      <c r="B308" t="s">
        <v>88</v>
      </c>
      <c r="C308" t="s">
        <v>62</v>
      </c>
      <c r="D308">
        <v>1.6156285571003817E-2</v>
      </c>
      <c r="E308" t="s">
        <v>53</v>
      </c>
      <c r="G308" t="s">
        <v>166</v>
      </c>
      <c r="H308" t="s">
        <v>62</v>
      </c>
      <c r="I308">
        <v>8.5848324888432401E-2</v>
      </c>
      <c r="J308" t="s">
        <v>53</v>
      </c>
    </row>
    <row r="309" spans="2:10" x14ac:dyDescent="0.25">
      <c r="B309" t="s">
        <v>88</v>
      </c>
      <c r="C309" t="s">
        <v>63</v>
      </c>
      <c r="D309">
        <v>0.21401477514802453</v>
      </c>
      <c r="E309" t="s">
        <v>53</v>
      </c>
      <c r="G309" t="s">
        <v>166</v>
      </c>
      <c r="H309" t="s">
        <v>63</v>
      </c>
      <c r="I309">
        <v>6.9203717903715115E-2</v>
      </c>
      <c r="J309" t="s">
        <v>53</v>
      </c>
    </row>
    <row r="310" spans="2:10" x14ac:dyDescent="0.25">
      <c r="B310" t="s">
        <v>88</v>
      </c>
      <c r="C310" t="s">
        <v>64</v>
      </c>
      <c r="D310">
        <v>1.0559545984619455E-4</v>
      </c>
      <c r="E310" t="s">
        <v>53</v>
      </c>
      <c r="G310" t="s">
        <v>166</v>
      </c>
      <c r="H310" t="s">
        <v>64</v>
      </c>
      <c r="I310">
        <v>5.0707855302161015E-2</v>
      </c>
      <c r="J310" t="s">
        <v>53</v>
      </c>
    </row>
    <row r="311" spans="2:10" x14ac:dyDescent="0.25">
      <c r="B311" t="s">
        <v>89</v>
      </c>
      <c r="C311" t="s">
        <v>52</v>
      </c>
      <c r="D311">
        <v>9.0555015044495521E-3</v>
      </c>
      <c r="E311" t="s">
        <v>53</v>
      </c>
      <c r="G311" t="s">
        <v>167</v>
      </c>
      <c r="H311" t="s">
        <v>52</v>
      </c>
      <c r="I311">
        <v>7.879029125886311E-2</v>
      </c>
      <c r="J311" t="s">
        <v>53</v>
      </c>
    </row>
    <row r="312" spans="2:10" x14ac:dyDescent="0.25">
      <c r="B312" t="s">
        <v>89</v>
      </c>
      <c r="C312" t="s">
        <v>54</v>
      </c>
      <c r="D312">
        <v>0.24655793930452904</v>
      </c>
      <c r="E312" t="s">
        <v>53</v>
      </c>
      <c r="G312" t="s">
        <v>167</v>
      </c>
      <c r="H312" t="s">
        <v>54</v>
      </c>
      <c r="I312">
        <v>3.3306396856718525E-2</v>
      </c>
      <c r="J312" t="s">
        <v>53</v>
      </c>
    </row>
    <row r="313" spans="2:10" x14ac:dyDescent="0.25">
      <c r="B313" t="s">
        <v>89</v>
      </c>
      <c r="C313" t="s">
        <v>55</v>
      </c>
      <c r="D313">
        <v>0</v>
      </c>
      <c r="E313" t="s">
        <v>53</v>
      </c>
      <c r="G313" t="s">
        <v>167</v>
      </c>
      <c r="H313" t="s">
        <v>55</v>
      </c>
      <c r="I313">
        <v>4.701586909463517E-2</v>
      </c>
      <c r="J313" t="s">
        <v>53</v>
      </c>
    </row>
    <row r="314" spans="2:10" x14ac:dyDescent="0.25">
      <c r="B314" t="s">
        <v>89</v>
      </c>
      <c r="C314" t="s">
        <v>56</v>
      </c>
      <c r="D314">
        <v>2.663493356296455E-2</v>
      </c>
      <c r="E314" t="s">
        <v>53</v>
      </c>
      <c r="G314" t="s">
        <v>167</v>
      </c>
      <c r="H314" t="s">
        <v>56</v>
      </c>
      <c r="I314">
        <v>0.13022953178128241</v>
      </c>
      <c r="J314" t="s">
        <v>53</v>
      </c>
    </row>
    <row r="315" spans="2:10" x14ac:dyDescent="0.25">
      <c r="B315" t="s">
        <v>89</v>
      </c>
      <c r="C315" t="s">
        <v>57</v>
      </c>
      <c r="D315">
        <v>0.29368764534249253</v>
      </c>
      <c r="E315" t="s">
        <v>53</v>
      </c>
      <c r="G315" t="s">
        <v>167</v>
      </c>
      <c r="H315" t="s">
        <v>57</v>
      </c>
      <c r="I315">
        <v>9.9921967486171256E-2</v>
      </c>
      <c r="J315" t="s">
        <v>53</v>
      </c>
    </row>
    <row r="316" spans="2:10" x14ac:dyDescent="0.25">
      <c r="B316" t="s">
        <v>89</v>
      </c>
      <c r="C316" t="s">
        <v>58</v>
      </c>
      <c r="D316">
        <v>8.9375383669503001E-3</v>
      </c>
      <c r="E316" t="s">
        <v>53</v>
      </c>
      <c r="G316" t="s">
        <v>167</v>
      </c>
      <c r="H316" t="s">
        <v>58</v>
      </c>
      <c r="I316">
        <v>0.10272172318905544</v>
      </c>
      <c r="J316" t="s">
        <v>53</v>
      </c>
    </row>
    <row r="317" spans="2:10" x14ac:dyDescent="0.25">
      <c r="B317" t="s">
        <v>89</v>
      </c>
      <c r="C317" t="s">
        <v>59</v>
      </c>
      <c r="D317">
        <v>9.9742040297678362E-3</v>
      </c>
      <c r="E317" t="s">
        <v>53</v>
      </c>
      <c r="G317" t="s">
        <v>167</v>
      </c>
      <c r="H317" t="s">
        <v>59</v>
      </c>
      <c r="I317">
        <v>0.11440904994138408</v>
      </c>
      <c r="J317" t="s">
        <v>53</v>
      </c>
    </row>
    <row r="318" spans="2:10" x14ac:dyDescent="0.25">
      <c r="B318" t="s">
        <v>89</v>
      </c>
      <c r="C318" t="s">
        <v>60</v>
      </c>
      <c r="D318">
        <v>0.16226815526860852</v>
      </c>
      <c r="E318" t="s">
        <v>53</v>
      </c>
      <c r="G318" t="s">
        <v>167</v>
      </c>
      <c r="H318" t="s">
        <v>60</v>
      </c>
      <c r="I318">
        <v>0.14065809241919258</v>
      </c>
      <c r="J318" t="s">
        <v>53</v>
      </c>
    </row>
    <row r="319" spans="2:10" x14ac:dyDescent="0.25">
      <c r="B319" t="s">
        <v>89</v>
      </c>
      <c r="C319" t="s">
        <v>61</v>
      </c>
      <c r="D319">
        <v>3.6182895025557381E-3</v>
      </c>
      <c r="E319" t="s">
        <v>53</v>
      </c>
      <c r="G319" t="s">
        <v>167</v>
      </c>
      <c r="H319" t="s">
        <v>61</v>
      </c>
      <c r="I319">
        <v>8.6619605584920545E-2</v>
      </c>
      <c r="J319" t="s">
        <v>53</v>
      </c>
    </row>
    <row r="320" spans="2:10" x14ac:dyDescent="0.25">
      <c r="B320" t="s">
        <v>89</v>
      </c>
      <c r="C320" t="s">
        <v>62</v>
      </c>
      <c r="D320">
        <v>1.3895842428611537E-2</v>
      </c>
      <c r="E320" t="s">
        <v>53</v>
      </c>
      <c r="G320" t="s">
        <v>167</v>
      </c>
      <c r="H320" t="s">
        <v>62</v>
      </c>
      <c r="I320">
        <v>6.5944546149483141E-2</v>
      </c>
      <c r="J320" t="s">
        <v>53</v>
      </c>
    </row>
    <row r="321" spans="2:10" x14ac:dyDescent="0.25">
      <c r="B321" t="s">
        <v>89</v>
      </c>
      <c r="C321" t="s">
        <v>63</v>
      </c>
      <c r="D321">
        <v>0.22464999869496219</v>
      </c>
      <c r="E321" t="s">
        <v>53</v>
      </c>
      <c r="G321" t="s">
        <v>167</v>
      </c>
      <c r="H321" t="s">
        <v>63</v>
      </c>
      <c r="I321">
        <v>5.5358531198463345E-2</v>
      </c>
      <c r="J321" t="s">
        <v>53</v>
      </c>
    </row>
    <row r="322" spans="2:10" x14ac:dyDescent="0.25">
      <c r="B322" t="s">
        <v>89</v>
      </c>
      <c r="C322" t="s">
        <v>64</v>
      </c>
      <c r="D322">
        <v>7.1995199410690317E-4</v>
      </c>
      <c r="E322" t="s">
        <v>53</v>
      </c>
      <c r="G322" t="s">
        <v>167</v>
      </c>
      <c r="H322" t="s">
        <v>64</v>
      </c>
      <c r="I322">
        <v>4.5024395039833284E-2</v>
      </c>
      <c r="J322" t="s">
        <v>53</v>
      </c>
    </row>
    <row r="323" spans="2:10" x14ac:dyDescent="0.25">
      <c r="B323" t="s">
        <v>90</v>
      </c>
      <c r="C323" t="s">
        <v>52</v>
      </c>
      <c r="D323">
        <v>1.2412310641067745E-2</v>
      </c>
      <c r="E323" t="s">
        <v>53</v>
      </c>
      <c r="G323" t="s">
        <v>168</v>
      </c>
      <c r="H323" t="s">
        <v>52</v>
      </c>
      <c r="I323">
        <v>5.2786668506689782E-2</v>
      </c>
      <c r="J323" t="s">
        <v>53</v>
      </c>
    </row>
    <row r="324" spans="2:10" x14ac:dyDescent="0.25">
      <c r="B324" t="s">
        <v>90</v>
      </c>
      <c r="C324" t="s">
        <v>54</v>
      </c>
      <c r="D324">
        <v>0.25869885608796817</v>
      </c>
      <c r="E324" t="s">
        <v>53</v>
      </c>
      <c r="G324" t="s">
        <v>168</v>
      </c>
      <c r="H324" t="s">
        <v>54</v>
      </c>
      <c r="I324">
        <v>3.1438510155557715E-2</v>
      </c>
      <c r="J324" t="s">
        <v>53</v>
      </c>
    </row>
    <row r="325" spans="2:10" x14ac:dyDescent="0.25">
      <c r="B325" t="s">
        <v>90</v>
      </c>
      <c r="C325" t="s">
        <v>55</v>
      </c>
      <c r="D325">
        <v>2.7972801643192284E-6</v>
      </c>
      <c r="E325" t="s">
        <v>53</v>
      </c>
      <c r="G325" t="s">
        <v>168</v>
      </c>
      <c r="H325" t="s">
        <v>55</v>
      </c>
      <c r="I325">
        <v>5.2543493459849322E-2</v>
      </c>
      <c r="J325" t="s">
        <v>53</v>
      </c>
    </row>
    <row r="326" spans="2:10" x14ac:dyDescent="0.25">
      <c r="B326" t="s">
        <v>90</v>
      </c>
      <c r="C326" t="s">
        <v>56</v>
      </c>
      <c r="D326">
        <v>2.5607935998927602E-2</v>
      </c>
      <c r="E326" t="s">
        <v>53</v>
      </c>
      <c r="G326" t="s">
        <v>168</v>
      </c>
      <c r="H326" t="s">
        <v>56</v>
      </c>
      <c r="I326">
        <v>0.13906581393363707</v>
      </c>
      <c r="J326" t="s">
        <v>53</v>
      </c>
    </row>
    <row r="327" spans="2:10" x14ac:dyDescent="0.25">
      <c r="B327" t="s">
        <v>90</v>
      </c>
      <c r="C327" t="s">
        <v>57</v>
      </c>
      <c r="D327">
        <v>0.28872380912840734</v>
      </c>
      <c r="E327" t="s">
        <v>53</v>
      </c>
      <c r="G327" t="s">
        <v>168</v>
      </c>
      <c r="H327" t="s">
        <v>57</v>
      </c>
      <c r="I327">
        <v>0.11689440950191897</v>
      </c>
      <c r="J327" t="s">
        <v>53</v>
      </c>
    </row>
    <row r="328" spans="2:10" x14ac:dyDescent="0.25">
      <c r="B328" t="s">
        <v>90</v>
      </c>
      <c r="C328" t="s">
        <v>58</v>
      </c>
      <c r="D328">
        <v>8.2889616261092036E-3</v>
      </c>
      <c r="E328" t="s">
        <v>53</v>
      </c>
      <c r="G328" t="s">
        <v>168</v>
      </c>
      <c r="H328" t="s">
        <v>58</v>
      </c>
      <c r="I328">
        <v>0.11625714092343963</v>
      </c>
      <c r="J328" t="s">
        <v>53</v>
      </c>
    </row>
    <row r="329" spans="2:10" x14ac:dyDescent="0.25">
      <c r="B329" t="s">
        <v>90</v>
      </c>
      <c r="C329" t="s">
        <v>59</v>
      </c>
      <c r="D329">
        <v>9.9400138154896109E-3</v>
      </c>
      <c r="E329" t="s">
        <v>53</v>
      </c>
      <c r="G329" t="s">
        <v>168</v>
      </c>
      <c r="H329" t="s">
        <v>59</v>
      </c>
      <c r="I329">
        <v>0.12358084708248065</v>
      </c>
      <c r="J329" t="s">
        <v>53</v>
      </c>
    </row>
    <row r="330" spans="2:10" x14ac:dyDescent="0.25">
      <c r="B330" t="s">
        <v>90</v>
      </c>
      <c r="C330" t="s">
        <v>60</v>
      </c>
      <c r="D330">
        <v>0.16326225671339842</v>
      </c>
      <c r="E330" t="s">
        <v>53</v>
      </c>
      <c r="G330" t="s">
        <v>168</v>
      </c>
      <c r="H330" t="s">
        <v>60</v>
      </c>
      <c r="I330">
        <v>0.14160153784777327</v>
      </c>
      <c r="J330" t="s">
        <v>53</v>
      </c>
    </row>
    <row r="331" spans="2:10" x14ac:dyDescent="0.25">
      <c r="B331" t="s">
        <v>90</v>
      </c>
      <c r="C331" t="s">
        <v>61</v>
      </c>
      <c r="D331">
        <v>3.1753350133429175E-3</v>
      </c>
      <c r="E331" t="s">
        <v>53</v>
      </c>
      <c r="G331" t="s">
        <v>168</v>
      </c>
      <c r="H331" t="s">
        <v>61</v>
      </c>
      <c r="I331">
        <v>9.1045259951760049E-2</v>
      </c>
      <c r="J331" t="s">
        <v>53</v>
      </c>
    </row>
    <row r="332" spans="2:10" x14ac:dyDescent="0.25">
      <c r="B332" t="s">
        <v>90</v>
      </c>
      <c r="C332" t="s">
        <v>62</v>
      </c>
      <c r="D332">
        <v>1.2830089748910192E-2</v>
      </c>
      <c r="E332" t="s">
        <v>53</v>
      </c>
      <c r="G332" t="s">
        <v>168</v>
      </c>
      <c r="H332" t="s">
        <v>62</v>
      </c>
      <c r="I332">
        <v>4.857232759407186E-2</v>
      </c>
      <c r="J332" t="s">
        <v>53</v>
      </c>
    </row>
    <row r="333" spans="2:10" x14ac:dyDescent="0.25">
      <c r="B333" t="s">
        <v>90</v>
      </c>
      <c r="C333" t="s">
        <v>63</v>
      </c>
      <c r="D333">
        <v>0.21639968413261981</v>
      </c>
      <c r="E333" t="s">
        <v>53</v>
      </c>
      <c r="G333" t="s">
        <v>168</v>
      </c>
      <c r="H333" t="s">
        <v>63</v>
      </c>
      <c r="I333">
        <v>4.9339313071818817E-2</v>
      </c>
      <c r="J333" t="s">
        <v>53</v>
      </c>
    </row>
    <row r="334" spans="2:10" x14ac:dyDescent="0.25">
      <c r="B334" t="s">
        <v>90</v>
      </c>
      <c r="C334" t="s">
        <v>64</v>
      </c>
      <c r="D334">
        <v>6.5794981359458516E-4</v>
      </c>
      <c r="E334" t="s">
        <v>53</v>
      </c>
      <c r="G334" t="s">
        <v>168</v>
      </c>
      <c r="H334" t="s">
        <v>64</v>
      </c>
      <c r="I334">
        <v>3.687467797100185E-2</v>
      </c>
      <c r="J334" t="s">
        <v>53</v>
      </c>
    </row>
    <row r="335" spans="2:10" x14ac:dyDescent="0.25">
      <c r="B335" t="s">
        <v>91</v>
      </c>
      <c r="C335" t="s">
        <v>52</v>
      </c>
      <c r="D335">
        <v>1.2719451938472267E-2</v>
      </c>
      <c r="E335" t="s">
        <v>53</v>
      </c>
      <c r="G335" t="s">
        <v>169</v>
      </c>
      <c r="H335" t="s">
        <v>52</v>
      </c>
      <c r="I335">
        <v>8.6638874955091358E-2</v>
      </c>
      <c r="J335" t="s">
        <v>53</v>
      </c>
    </row>
    <row r="336" spans="2:10" x14ac:dyDescent="0.25">
      <c r="B336" t="s">
        <v>91</v>
      </c>
      <c r="C336" t="s">
        <v>54</v>
      </c>
      <c r="D336">
        <v>0.2554413323429342</v>
      </c>
      <c r="E336" t="s">
        <v>53</v>
      </c>
      <c r="G336" t="s">
        <v>169</v>
      </c>
      <c r="H336" t="s">
        <v>54</v>
      </c>
      <c r="I336">
        <v>2.7660993434525653E-2</v>
      </c>
      <c r="J336" t="s">
        <v>53</v>
      </c>
    </row>
    <row r="337" spans="2:10" x14ac:dyDescent="0.25">
      <c r="B337" t="s">
        <v>91</v>
      </c>
      <c r="C337" t="s">
        <v>55</v>
      </c>
      <c r="D337">
        <v>0</v>
      </c>
      <c r="E337" t="s">
        <v>53</v>
      </c>
      <c r="G337" t="s">
        <v>169</v>
      </c>
      <c r="H337" t="s">
        <v>55</v>
      </c>
      <c r="I337">
        <v>5.8988181276114771E-2</v>
      </c>
      <c r="J337" t="s">
        <v>53</v>
      </c>
    </row>
    <row r="338" spans="2:10" x14ac:dyDescent="0.25">
      <c r="B338" t="s">
        <v>91</v>
      </c>
      <c r="C338" t="s">
        <v>56</v>
      </c>
      <c r="D338">
        <v>2.7424023139365688E-2</v>
      </c>
      <c r="E338" t="s">
        <v>53</v>
      </c>
      <c r="G338" t="s">
        <v>169</v>
      </c>
      <c r="H338" t="s">
        <v>56</v>
      </c>
      <c r="I338">
        <v>0.14868427003274345</v>
      </c>
      <c r="J338" t="s">
        <v>53</v>
      </c>
    </row>
    <row r="339" spans="2:10" x14ac:dyDescent="0.25">
      <c r="B339" t="s">
        <v>91</v>
      </c>
      <c r="C339" t="s">
        <v>57</v>
      </c>
      <c r="D339">
        <v>0.28643982352741115</v>
      </c>
      <c r="E339" t="s">
        <v>53</v>
      </c>
      <c r="G339" t="s">
        <v>169</v>
      </c>
      <c r="H339" t="s">
        <v>57</v>
      </c>
      <c r="I339">
        <v>0.11381785446739218</v>
      </c>
      <c r="J339" t="s">
        <v>53</v>
      </c>
    </row>
    <row r="340" spans="2:10" x14ac:dyDescent="0.25">
      <c r="B340" t="s">
        <v>91</v>
      </c>
      <c r="C340" t="s">
        <v>58</v>
      </c>
      <c r="D340">
        <v>6.3796969833058567E-3</v>
      </c>
      <c r="E340" t="s">
        <v>53</v>
      </c>
      <c r="G340" t="s">
        <v>169</v>
      </c>
      <c r="H340" t="s">
        <v>58</v>
      </c>
      <c r="I340">
        <v>0.11548051467950626</v>
      </c>
      <c r="J340" t="s">
        <v>53</v>
      </c>
    </row>
    <row r="341" spans="2:10" x14ac:dyDescent="0.25">
      <c r="B341" t="s">
        <v>91</v>
      </c>
      <c r="C341" t="s">
        <v>59</v>
      </c>
      <c r="D341">
        <v>1.1877013291272243E-2</v>
      </c>
      <c r="E341" t="s">
        <v>53</v>
      </c>
      <c r="G341" t="s">
        <v>169</v>
      </c>
      <c r="H341" t="s">
        <v>59</v>
      </c>
      <c r="I341">
        <v>0.11359234946060591</v>
      </c>
      <c r="J341" t="s">
        <v>53</v>
      </c>
    </row>
    <row r="342" spans="2:10" x14ac:dyDescent="0.25">
      <c r="B342" t="s">
        <v>91</v>
      </c>
      <c r="C342" t="s">
        <v>60</v>
      </c>
      <c r="D342">
        <v>0.1721522600524259</v>
      </c>
      <c r="E342" t="s">
        <v>53</v>
      </c>
      <c r="G342" t="s">
        <v>169</v>
      </c>
      <c r="H342" t="s">
        <v>60</v>
      </c>
      <c r="I342">
        <v>0.12110359809477984</v>
      </c>
      <c r="J342" t="s">
        <v>53</v>
      </c>
    </row>
    <row r="343" spans="2:10" x14ac:dyDescent="0.25">
      <c r="B343" t="s">
        <v>91</v>
      </c>
      <c r="C343" t="s">
        <v>61</v>
      </c>
      <c r="D343">
        <v>3.1178522541149513E-3</v>
      </c>
      <c r="E343" t="s">
        <v>53</v>
      </c>
      <c r="G343" t="s">
        <v>169</v>
      </c>
      <c r="H343" t="s">
        <v>61</v>
      </c>
      <c r="I343">
        <v>7.9464800535923044E-2</v>
      </c>
      <c r="J343" t="s">
        <v>53</v>
      </c>
    </row>
    <row r="344" spans="2:10" x14ac:dyDescent="0.25">
      <c r="B344" t="s">
        <v>91</v>
      </c>
      <c r="C344" t="s">
        <v>62</v>
      </c>
      <c r="D344">
        <v>1.3912626335721651E-2</v>
      </c>
      <c r="E344" t="s">
        <v>53</v>
      </c>
      <c r="G344" t="s">
        <v>169</v>
      </c>
      <c r="H344" t="s">
        <v>62</v>
      </c>
      <c r="I344">
        <v>5.6137280025640474E-2</v>
      </c>
      <c r="J344" t="s">
        <v>53</v>
      </c>
    </row>
    <row r="345" spans="2:10" x14ac:dyDescent="0.25">
      <c r="B345" t="s">
        <v>91</v>
      </c>
      <c r="C345" t="s">
        <v>63</v>
      </c>
      <c r="D345">
        <v>0.21023854188331934</v>
      </c>
      <c r="E345" t="s">
        <v>53</v>
      </c>
      <c r="G345" t="s">
        <v>169</v>
      </c>
      <c r="H345" t="s">
        <v>63</v>
      </c>
      <c r="I345">
        <v>4.0379210235929455E-2</v>
      </c>
      <c r="J345" t="s">
        <v>53</v>
      </c>
    </row>
    <row r="346" spans="2:10" x14ac:dyDescent="0.25">
      <c r="B346" t="s">
        <v>91</v>
      </c>
      <c r="C346" t="s">
        <v>64</v>
      </c>
      <c r="D346">
        <v>2.9737825165590526E-4</v>
      </c>
      <c r="E346" t="s">
        <v>53</v>
      </c>
      <c r="G346" t="s">
        <v>169</v>
      </c>
      <c r="H346" t="s">
        <v>64</v>
      </c>
      <c r="I346">
        <v>3.8052072801742998E-2</v>
      </c>
      <c r="J346" t="s">
        <v>53</v>
      </c>
    </row>
    <row r="347" spans="2:10" x14ac:dyDescent="0.25">
      <c r="B347" t="s">
        <v>92</v>
      </c>
      <c r="C347" t="s">
        <v>52</v>
      </c>
      <c r="D347">
        <v>1.2860603063065789E-2</v>
      </c>
      <c r="E347" t="s">
        <v>53</v>
      </c>
      <c r="G347" t="s">
        <v>170</v>
      </c>
      <c r="H347" t="s">
        <v>52</v>
      </c>
      <c r="I347">
        <v>4.5627050184289232E-2</v>
      </c>
      <c r="J347" t="s">
        <v>53</v>
      </c>
    </row>
    <row r="348" spans="2:10" x14ac:dyDescent="0.25">
      <c r="B348" t="s">
        <v>92</v>
      </c>
      <c r="C348" t="s">
        <v>54</v>
      </c>
      <c r="D348">
        <v>0.23306419482912666</v>
      </c>
      <c r="E348" t="s">
        <v>53</v>
      </c>
      <c r="G348" t="s">
        <v>170</v>
      </c>
      <c r="H348" t="s">
        <v>54</v>
      </c>
      <c r="I348">
        <v>2.6054353073000674E-2</v>
      </c>
      <c r="J348" t="s">
        <v>53</v>
      </c>
    </row>
    <row r="349" spans="2:10" x14ac:dyDescent="0.25">
      <c r="B349" t="s">
        <v>92</v>
      </c>
      <c r="C349" t="s">
        <v>55</v>
      </c>
      <c r="D349">
        <v>0</v>
      </c>
      <c r="E349" t="s">
        <v>53</v>
      </c>
      <c r="G349" t="s">
        <v>170</v>
      </c>
      <c r="H349" t="s">
        <v>55</v>
      </c>
      <c r="I349">
        <v>5.6880884972978864E-2</v>
      </c>
      <c r="J349" t="s">
        <v>53</v>
      </c>
    </row>
    <row r="350" spans="2:10" x14ac:dyDescent="0.25">
      <c r="B350" t="s">
        <v>92</v>
      </c>
      <c r="C350" t="s">
        <v>56</v>
      </c>
      <c r="D350">
        <v>2.6615318123231067E-2</v>
      </c>
      <c r="E350" t="s">
        <v>53</v>
      </c>
      <c r="G350" t="s">
        <v>170</v>
      </c>
      <c r="H350" t="s">
        <v>56</v>
      </c>
      <c r="I350">
        <v>8.3633147651829567E-2</v>
      </c>
      <c r="J350" t="s">
        <v>53</v>
      </c>
    </row>
    <row r="351" spans="2:10" x14ac:dyDescent="0.25">
      <c r="B351" t="s">
        <v>92</v>
      </c>
      <c r="C351" t="s">
        <v>57</v>
      </c>
      <c r="D351">
        <v>0.25770490620402259</v>
      </c>
      <c r="E351" t="s">
        <v>53</v>
      </c>
      <c r="G351" t="s">
        <v>170</v>
      </c>
      <c r="H351" t="s">
        <v>57</v>
      </c>
      <c r="I351">
        <v>5.6678867471499673E-2</v>
      </c>
      <c r="J351" t="s">
        <v>53</v>
      </c>
    </row>
    <row r="352" spans="2:10" x14ac:dyDescent="0.25">
      <c r="B352" t="s">
        <v>92</v>
      </c>
      <c r="C352" t="s">
        <v>58</v>
      </c>
      <c r="D352">
        <v>4.169188344037655E-3</v>
      </c>
      <c r="E352" t="s">
        <v>53</v>
      </c>
      <c r="G352" t="s">
        <v>170</v>
      </c>
      <c r="H352" t="s">
        <v>58</v>
      </c>
      <c r="I352">
        <v>0.1061390910726538</v>
      </c>
      <c r="J352" t="s">
        <v>53</v>
      </c>
    </row>
    <row r="353" spans="2:10" x14ac:dyDescent="0.25">
      <c r="B353" t="s">
        <v>92</v>
      </c>
      <c r="C353" t="s">
        <v>59</v>
      </c>
      <c r="D353">
        <v>1.8025980152577215E-2</v>
      </c>
      <c r="E353" t="s">
        <v>53</v>
      </c>
      <c r="G353" t="s">
        <v>170</v>
      </c>
      <c r="H353" t="s">
        <v>59</v>
      </c>
      <c r="I353">
        <v>0.16471648359975116</v>
      </c>
      <c r="J353" t="s">
        <v>53</v>
      </c>
    </row>
    <row r="354" spans="2:10" x14ac:dyDescent="0.25">
      <c r="B354" t="s">
        <v>92</v>
      </c>
      <c r="C354" t="s">
        <v>60</v>
      </c>
      <c r="D354">
        <v>0.20348573981224335</v>
      </c>
      <c r="E354" t="s">
        <v>53</v>
      </c>
      <c r="G354" t="s">
        <v>170</v>
      </c>
      <c r="H354" t="s">
        <v>60</v>
      </c>
      <c r="I354">
        <v>0.21404047036572224</v>
      </c>
      <c r="J354" t="s">
        <v>53</v>
      </c>
    </row>
    <row r="355" spans="2:10" x14ac:dyDescent="0.25">
      <c r="B355" t="s">
        <v>92</v>
      </c>
      <c r="C355" t="s">
        <v>61</v>
      </c>
      <c r="D355">
        <v>3.8169457873198152E-3</v>
      </c>
      <c r="E355" t="s">
        <v>53</v>
      </c>
      <c r="G355" t="s">
        <v>170</v>
      </c>
      <c r="H355" t="s">
        <v>61</v>
      </c>
      <c r="I355">
        <v>9.9822926850985649E-2</v>
      </c>
      <c r="J355" t="s">
        <v>53</v>
      </c>
    </row>
    <row r="356" spans="2:10" x14ac:dyDescent="0.25">
      <c r="B356" t="s">
        <v>92</v>
      </c>
      <c r="C356" t="s">
        <v>62</v>
      </c>
      <c r="D356">
        <v>1.9325465427316939E-2</v>
      </c>
      <c r="E356" t="s">
        <v>53</v>
      </c>
      <c r="G356" t="s">
        <v>170</v>
      </c>
      <c r="H356" t="s">
        <v>62</v>
      </c>
      <c r="I356">
        <v>5.3927462532126873E-2</v>
      </c>
      <c r="J356" t="s">
        <v>53</v>
      </c>
    </row>
    <row r="357" spans="2:10" x14ac:dyDescent="0.25">
      <c r="B357" t="s">
        <v>92</v>
      </c>
      <c r="C357" t="s">
        <v>63</v>
      </c>
      <c r="D357">
        <v>0.22085323641143481</v>
      </c>
      <c r="E357" t="s">
        <v>53</v>
      </c>
      <c r="G357" t="s">
        <v>170</v>
      </c>
      <c r="H357" t="s">
        <v>63</v>
      </c>
      <c r="I357">
        <v>5.1763674411469195E-2</v>
      </c>
      <c r="J357" t="s">
        <v>53</v>
      </c>
    </row>
    <row r="358" spans="2:10" x14ac:dyDescent="0.25">
      <c r="B358" t="s">
        <v>92</v>
      </c>
      <c r="C358" t="s">
        <v>64</v>
      </c>
      <c r="D358">
        <v>7.8421845621605562E-5</v>
      </c>
      <c r="E358" t="s">
        <v>53</v>
      </c>
      <c r="G358" t="s">
        <v>170</v>
      </c>
      <c r="H358" t="s">
        <v>64</v>
      </c>
      <c r="I358">
        <v>4.0715587813697676E-2</v>
      </c>
      <c r="J358" t="s">
        <v>53</v>
      </c>
    </row>
    <row r="359" spans="2:10" x14ac:dyDescent="0.25">
      <c r="B359" t="s">
        <v>93</v>
      </c>
      <c r="C359" t="s">
        <v>52</v>
      </c>
      <c r="D359">
        <v>1.4139851650992437E-2</v>
      </c>
      <c r="E359" t="s">
        <v>53</v>
      </c>
      <c r="G359" t="s">
        <v>171</v>
      </c>
      <c r="H359" t="s">
        <v>52</v>
      </c>
      <c r="I359">
        <v>2.8906797741286381E-2</v>
      </c>
      <c r="J359" t="s">
        <v>53</v>
      </c>
    </row>
    <row r="360" spans="2:10" x14ac:dyDescent="0.25">
      <c r="B360" t="s">
        <v>93</v>
      </c>
      <c r="C360" t="s">
        <v>54</v>
      </c>
      <c r="D360">
        <v>0.25617242533649293</v>
      </c>
      <c r="E360" t="s">
        <v>53</v>
      </c>
      <c r="G360" t="s">
        <v>171</v>
      </c>
      <c r="H360" t="s">
        <v>54</v>
      </c>
      <c r="I360">
        <v>4.5467123070786188E-2</v>
      </c>
      <c r="J360" t="s">
        <v>53</v>
      </c>
    </row>
    <row r="361" spans="2:10" x14ac:dyDescent="0.25">
      <c r="B361" t="s">
        <v>93</v>
      </c>
      <c r="C361" t="s">
        <v>55</v>
      </c>
      <c r="D361">
        <v>0</v>
      </c>
      <c r="E361" t="s">
        <v>53</v>
      </c>
      <c r="G361" t="s">
        <v>171</v>
      </c>
      <c r="H361" t="s">
        <v>55</v>
      </c>
      <c r="I361">
        <v>4.4298877729623494E-2</v>
      </c>
      <c r="J361" t="s">
        <v>53</v>
      </c>
    </row>
    <row r="362" spans="2:10" x14ac:dyDescent="0.25">
      <c r="B362" t="s">
        <v>93</v>
      </c>
      <c r="C362" t="s">
        <v>56</v>
      </c>
      <c r="D362">
        <v>2.5832053960088825E-2</v>
      </c>
      <c r="E362" t="s">
        <v>53</v>
      </c>
      <c r="G362" t="s">
        <v>171</v>
      </c>
      <c r="H362" t="s">
        <v>56</v>
      </c>
      <c r="I362">
        <v>8.6101618747399342E-2</v>
      </c>
      <c r="J362" t="s">
        <v>53</v>
      </c>
    </row>
    <row r="363" spans="2:10" x14ac:dyDescent="0.25">
      <c r="B363" t="s">
        <v>93</v>
      </c>
      <c r="C363" t="s">
        <v>57</v>
      </c>
      <c r="D363">
        <v>0.27374532218860126</v>
      </c>
      <c r="E363" t="s">
        <v>53</v>
      </c>
      <c r="G363" t="s">
        <v>171</v>
      </c>
      <c r="H363" t="s">
        <v>57</v>
      </c>
      <c r="I363">
        <v>8.7225763455472616E-2</v>
      </c>
      <c r="J363" t="s">
        <v>53</v>
      </c>
    </row>
    <row r="364" spans="2:10" x14ac:dyDescent="0.25">
      <c r="B364" t="s">
        <v>93</v>
      </c>
      <c r="C364" t="s">
        <v>58</v>
      </c>
      <c r="D364">
        <v>4.8056021308410185E-3</v>
      </c>
      <c r="E364" t="s">
        <v>53</v>
      </c>
      <c r="G364" t="s">
        <v>171</v>
      </c>
      <c r="H364" t="s">
        <v>58</v>
      </c>
      <c r="I364">
        <v>9.8362184949765272E-2</v>
      </c>
      <c r="J364" t="s">
        <v>53</v>
      </c>
    </row>
    <row r="365" spans="2:10" x14ac:dyDescent="0.25">
      <c r="B365" t="s">
        <v>93</v>
      </c>
      <c r="C365" t="s">
        <v>59</v>
      </c>
      <c r="D365">
        <v>1.2602113629688603E-2</v>
      </c>
      <c r="E365" t="s">
        <v>53</v>
      </c>
      <c r="G365" t="s">
        <v>171</v>
      </c>
      <c r="H365" t="s">
        <v>59</v>
      </c>
      <c r="I365">
        <v>0.16361683372750094</v>
      </c>
      <c r="J365" t="s">
        <v>53</v>
      </c>
    </row>
    <row r="366" spans="2:10" x14ac:dyDescent="0.25">
      <c r="B366" t="s">
        <v>93</v>
      </c>
      <c r="C366" t="s">
        <v>60</v>
      </c>
      <c r="D366">
        <v>0.16627311624132782</v>
      </c>
      <c r="E366" t="s">
        <v>53</v>
      </c>
      <c r="G366" t="s">
        <v>171</v>
      </c>
      <c r="H366" t="s">
        <v>60</v>
      </c>
      <c r="I366">
        <v>0.19438462116548944</v>
      </c>
      <c r="J366" t="s">
        <v>53</v>
      </c>
    </row>
    <row r="367" spans="2:10" x14ac:dyDescent="0.25">
      <c r="B367" t="s">
        <v>93</v>
      </c>
      <c r="C367" t="s">
        <v>61</v>
      </c>
      <c r="D367">
        <v>2.5714001041642768E-3</v>
      </c>
      <c r="E367" t="s">
        <v>53</v>
      </c>
      <c r="G367" t="s">
        <v>171</v>
      </c>
      <c r="H367" t="s">
        <v>61</v>
      </c>
      <c r="I367">
        <v>9.8319887571019879E-2</v>
      </c>
      <c r="J367" t="s">
        <v>53</v>
      </c>
    </row>
    <row r="368" spans="2:10" x14ac:dyDescent="0.25">
      <c r="B368" t="s">
        <v>93</v>
      </c>
      <c r="C368" t="s">
        <v>62</v>
      </c>
      <c r="D368">
        <v>1.7755846182182917E-2</v>
      </c>
      <c r="E368" t="s">
        <v>53</v>
      </c>
      <c r="G368" t="s">
        <v>171</v>
      </c>
      <c r="H368" t="s">
        <v>62</v>
      </c>
      <c r="I368">
        <v>5.3837982301947883E-2</v>
      </c>
      <c r="J368" t="s">
        <v>53</v>
      </c>
    </row>
    <row r="369" spans="2:10" x14ac:dyDescent="0.25">
      <c r="B369" t="s">
        <v>93</v>
      </c>
      <c r="C369" t="s">
        <v>63</v>
      </c>
      <c r="D369">
        <v>0.22604208977412002</v>
      </c>
      <c r="E369" t="s">
        <v>53</v>
      </c>
      <c r="G369" t="s">
        <v>171</v>
      </c>
      <c r="H369" t="s">
        <v>63</v>
      </c>
      <c r="I369">
        <v>6.205140048878581E-2</v>
      </c>
      <c r="J369" t="s">
        <v>53</v>
      </c>
    </row>
    <row r="370" spans="2:10" x14ac:dyDescent="0.25">
      <c r="B370" t="s">
        <v>93</v>
      </c>
      <c r="C370" t="s">
        <v>64</v>
      </c>
      <c r="D370">
        <v>6.0178801500995191E-5</v>
      </c>
      <c r="E370" t="s">
        <v>53</v>
      </c>
      <c r="G370" t="s">
        <v>171</v>
      </c>
      <c r="H370" t="s">
        <v>64</v>
      </c>
      <c r="I370">
        <v>3.7426909050924037E-2</v>
      </c>
      <c r="J370" t="s">
        <v>53</v>
      </c>
    </row>
    <row r="371" spans="2:10" x14ac:dyDescent="0.25">
      <c r="B371" t="s">
        <v>94</v>
      </c>
      <c r="C371" t="s">
        <v>52</v>
      </c>
      <c r="D371">
        <v>1.4995055644180263E-2</v>
      </c>
      <c r="E371" t="s">
        <v>53</v>
      </c>
      <c r="G371" t="s">
        <v>172</v>
      </c>
      <c r="H371" t="s">
        <v>52</v>
      </c>
      <c r="I371">
        <v>5.2882135837848995E-2</v>
      </c>
      <c r="J371" t="s">
        <v>53</v>
      </c>
    </row>
    <row r="372" spans="2:10" x14ac:dyDescent="0.25">
      <c r="B372" t="s">
        <v>94</v>
      </c>
      <c r="C372" t="s">
        <v>54</v>
      </c>
      <c r="D372">
        <v>0.26880899430913247</v>
      </c>
      <c r="E372" t="s">
        <v>53</v>
      </c>
      <c r="G372" t="s">
        <v>172</v>
      </c>
      <c r="H372" t="s">
        <v>54</v>
      </c>
      <c r="I372">
        <v>2.0548803436090314E-2</v>
      </c>
      <c r="J372" t="s">
        <v>53</v>
      </c>
    </row>
    <row r="373" spans="2:10" x14ac:dyDescent="0.25">
      <c r="B373" t="s">
        <v>94</v>
      </c>
      <c r="C373" t="s">
        <v>55</v>
      </c>
      <c r="D373">
        <v>0</v>
      </c>
      <c r="E373" t="s">
        <v>53</v>
      </c>
      <c r="G373" t="s">
        <v>172</v>
      </c>
      <c r="H373" t="s">
        <v>55</v>
      </c>
      <c r="I373">
        <v>4.2753025647399003E-2</v>
      </c>
      <c r="J373" t="s">
        <v>53</v>
      </c>
    </row>
    <row r="374" spans="2:10" x14ac:dyDescent="0.25">
      <c r="B374" t="s">
        <v>94</v>
      </c>
      <c r="C374" t="s">
        <v>56</v>
      </c>
      <c r="D374">
        <v>2.6194522896294821E-2</v>
      </c>
      <c r="E374" t="s">
        <v>53</v>
      </c>
      <c r="G374" t="s">
        <v>172</v>
      </c>
      <c r="H374" t="s">
        <v>56</v>
      </c>
      <c r="I374">
        <v>0.12223896010992619</v>
      </c>
      <c r="J374" t="s">
        <v>53</v>
      </c>
    </row>
    <row r="375" spans="2:10" x14ac:dyDescent="0.25">
      <c r="B375" t="s">
        <v>94</v>
      </c>
      <c r="C375" t="s">
        <v>57</v>
      </c>
      <c r="D375">
        <v>0.28481277732301991</v>
      </c>
      <c r="E375" t="s">
        <v>53</v>
      </c>
      <c r="G375" t="s">
        <v>172</v>
      </c>
      <c r="H375" t="s">
        <v>57</v>
      </c>
      <c r="I375">
        <v>4.5999356528558077E-2</v>
      </c>
      <c r="J375" t="s">
        <v>53</v>
      </c>
    </row>
    <row r="376" spans="2:10" x14ac:dyDescent="0.25">
      <c r="B376" t="s">
        <v>94</v>
      </c>
      <c r="C376" t="s">
        <v>58</v>
      </c>
      <c r="D376">
        <v>4.573539421955165E-3</v>
      </c>
      <c r="E376" t="s">
        <v>53</v>
      </c>
      <c r="G376" t="s">
        <v>172</v>
      </c>
      <c r="H376" t="s">
        <v>58</v>
      </c>
      <c r="I376">
        <v>7.7209064029657867E-2</v>
      </c>
      <c r="J376" t="s">
        <v>53</v>
      </c>
    </row>
    <row r="377" spans="2:10" x14ac:dyDescent="0.25">
      <c r="B377" t="s">
        <v>94</v>
      </c>
      <c r="C377" t="s">
        <v>59</v>
      </c>
      <c r="D377">
        <v>1.0429079920189569E-2</v>
      </c>
      <c r="E377" t="s">
        <v>53</v>
      </c>
      <c r="G377" t="s">
        <v>172</v>
      </c>
      <c r="H377" t="s">
        <v>59</v>
      </c>
      <c r="I377">
        <v>0.18862277513635659</v>
      </c>
      <c r="J377" t="s">
        <v>53</v>
      </c>
    </row>
    <row r="378" spans="2:10" x14ac:dyDescent="0.25">
      <c r="B378" t="s">
        <v>94</v>
      </c>
      <c r="C378" t="s">
        <v>60</v>
      </c>
      <c r="D378">
        <v>0.14825611773391534</v>
      </c>
      <c r="E378" t="s">
        <v>53</v>
      </c>
      <c r="G378" t="s">
        <v>172</v>
      </c>
      <c r="H378" t="s">
        <v>60</v>
      </c>
      <c r="I378">
        <v>0.22401411722816489</v>
      </c>
      <c r="J378" t="s">
        <v>53</v>
      </c>
    </row>
    <row r="379" spans="2:10" x14ac:dyDescent="0.25">
      <c r="B379" t="s">
        <v>94</v>
      </c>
      <c r="C379" t="s">
        <v>61</v>
      </c>
      <c r="D379">
        <v>1.7864488923247665E-3</v>
      </c>
      <c r="E379" t="s">
        <v>53</v>
      </c>
      <c r="G379" t="s">
        <v>172</v>
      </c>
      <c r="H379" t="s">
        <v>61</v>
      </c>
      <c r="I379">
        <v>0.11362007496937519</v>
      </c>
      <c r="J379" t="s">
        <v>53</v>
      </c>
    </row>
    <row r="380" spans="2:10" x14ac:dyDescent="0.25">
      <c r="B380" t="s">
        <v>94</v>
      </c>
      <c r="C380" t="s">
        <v>62</v>
      </c>
      <c r="D380">
        <v>1.74329205068154E-2</v>
      </c>
      <c r="E380" t="s">
        <v>53</v>
      </c>
      <c r="G380" t="s">
        <v>172</v>
      </c>
      <c r="H380" t="s">
        <v>62</v>
      </c>
      <c r="I380">
        <v>4.5702011592668554E-2</v>
      </c>
      <c r="J380" t="s">
        <v>53</v>
      </c>
    </row>
    <row r="381" spans="2:10" x14ac:dyDescent="0.25">
      <c r="B381" t="s">
        <v>94</v>
      </c>
      <c r="C381" t="s">
        <v>63</v>
      </c>
      <c r="D381">
        <v>0.22269950244259193</v>
      </c>
      <c r="E381" t="s">
        <v>53</v>
      </c>
      <c r="G381" t="s">
        <v>172</v>
      </c>
      <c r="H381" t="s">
        <v>63</v>
      </c>
      <c r="I381">
        <v>3.5986482731742674E-2</v>
      </c>
      <c r="J381" t="s">
        <v>53</v>
      </c>
    </row>
    <row r="382" spans="2:10" x14ac:dyDescent="0.25">
      <c r="B382" t="s">
        <v>94</v>
      </c>
      <c r="C382" t="s">
        <v>64</v>
      </c>
      <c r="D382">
        <v>1.104090957841044E-5</v>
      </c>
      <c r="E382" t="s">
        <v>53</v>
      </c>
      <c r="G382" t="s">
        <v>172</v>
      </c>
      <c r="H382" t="s">
        <v>64</v>
      </c>
      <c r="I382">
        <v>3.0423192752211271E-2</v>
      </c>
      <c r="J382" t="s">
        <v>53</v>
      </c>
    </row>
    <row r="383" spans="2:10" x14ac:dyDescent="0.25">
      <c r="B383" t="s">
        <v>95</v>
      </c>
      <c r="C383" t="s">
        <v>52</v>
      </c>
      <c r="D383">
        <v>0</v>
      </c>
      <c r="E383" t="s">
        <v>53</v>
      </c>
      <c r="G383" t="s">
        <v>173</v>
      </c>
      <c r="H383" t="s">
        <v>52</v>
      </c>
      <c r="I383">
        <v>2.4302324723014294E-2</v>
      </c>
      <c r="J383" t="s">
        <v>53</v>
      </c>
    </row>
    <row r="384" spans="2:10" x14ac:dyDescent="0.25">
      <c r="B384" t="s">
        <v>95</v>
      </c>
      <c r="C384" t="s">
        <v>54</v>
      </c>
      <c r="D384">
        <v>0.27683191155882841</v>
      </c>
      <c r="E384" t="s">
        <v>53</v>
      </c>
      <c r="G384" t="s">
        <v>173</v>
      </c>
      <c r="H384" t="s">
        <v>54</v>
      </c>
      <c r="I384">
        <v>2.828593806606548E-2</v>
      </c>
      <c r="J384" t="s">
        <v>53</v>
      </c>
    </row>
    <row r="385" spans="2:10" x14ac:dyDescent="0.25">
      <c r="B385" t="s">
        <v>95</v>
      </c>
      <c r="C385" t="s">
        <v>55</v>
      </c>
      <c r="D385">
        <v>8.1846914104037917E-3</v>
      </c>
      <c r="E385" t="s">
        <v>53</v>
      </c>
      <c r="G385" t="s">
        <v>173</v>
      </c>
      <c r="H385" t="s">
        <v>55</v>
      </c>
      <c r="I385">
        <v>2.7510467715386802E-2</v>
      </c>
      <c r="J385" t="s">
        <v>53</v>
      </c>
    </row>
    <row r="386" spans="2:10" x14ac:dyDescent="0.25">
      <c r="B386" t="s">
        <v>95</v>
      </c>
      <c r="C386" t="s">
        <v>56</v>
      </c>
      <c r="D386">
        <v>8.8523641814992147E-3</v>
      </c>
      <c r="E386" t="s">
        <v>53</v>
      </c>
      <c r="G386" t="s">
        <v>173</v>
      </c>
      <c r="H386" t="s">
        <v>56</v>
      </c>
      <c r="I386">
        <v>6.2927764733029384E-2</v>
      </c>
      <c r="J386" t="s">
        <v>53</v>
      </c>
    </row>
    <row r="387" spans="2:10" x14ac:dyDescent="0.25">
      <c r="B387" t="s">
        <v>95</v>
      </c>
      <c r="C387" t="s">
        <v>57</v>
      </c>
      <c r="D387">
        <v>0.28165434808098677</v>
      </c>
      <c r="E387" t="s">
        <v>53</v>
      </c>
      <c r="G387" t="s">
        <v>173</v>
      </c>
      <c r="H387" t="s">
        <v>57</v>
      </c>
      <c r="I387">
        <v>6.4685065653944052E-2</v>
      </c>
      <c r="J387" t="s">
        <v>53</v>
      </c>
    </row>
    <row r="388" spans="2:10" x14ac:dyDescent="0.25">
      <c r="B388" t="s">
        <v>95</v>
      </c>
      <c r="C388" t="s">
        <v>58</v>
      </c>
      <c r="D388">
        <v>1.309150491176563E-2</v>
      </c>
      <c r="E388" t="s">
        <v>53</v>
      </c>
      <c r="G388" t="s">
        <v>173</v>
      </c>
      <c r="H388" t="s">
        <v>58</v>
      </c>
      <c r="I388">
        <v>5.0142369060047071E-2</v>
      </c>
      <c r="J388" t="s">
        <v>53</v>
      </c>
    </row>
    <row r="389" spans="2:10" x14ac:dyDescent="0.25">
      <c r="B389" t="s">
        <v>95</v>
      </c>
      <c r="C389" t="s">
        <v>59</v>
      </c>
      <c r="D389">
        <v>4.715434196706292E-3</v>
      </c>
      <c r="E389" t="s">
        <v>53</v>
      </c>
      <c r="G389" t="s">
        <v>173</v>
      </c>
      <c r="H389" t="s">
        <v>59</v>
      </c>
      <c r="I389">
        <v>0.19357908694066139</v>
      </c>
      <c r="J389" t="s">
        <v>53</v>
      </c>
    </row>
    <row r="390" spans="2:10" x14ac:dyDescent="0.25">
      <c r="B390" t="s">
        <v>95</v>
      </c>
      <c r="C390" t="s">
        <v>60</v>
      </c>
      <c r="D390">
        <v>0.18323441659834669</v>
      </c>
      <c r="E390" t="s">
        <v>53</v>
      </c>
      <c r="G390" t="s">
        <v>173</v>
      </c>
      <c r="H390" t="s">
        <v>60</v>
      </c>
      <c r="I390">
        <v>0.25686957522874815</v>
      </c>
      <c r="J390" t="s">
        <v>53</v>
      </c>
    </row>
    <row r="391" spans="2:10" x14ac:dyDescent="0.25">
      <c r="B391" t="s">
        <v>95</v>
      </c>
      <c r="C391" t="s">
        <v>61</v>
      </c>
      <c r="D391">
        <v>8.7743144327589503E-3</v>
      </c>
      <c r="E391" t="s">
        <v>53</v>
      </c>
      <c r="G391" t="s">
        <v>173</v>
      </c>
      <c r="H391" t="s">
        <v>61</v>
      </c>
      <c r="I391">
        <v>0.12797903805185129</v>
      </c>
      <c r="J391" t="s">
        <v>53</v>
      </c>
    </row>
    <row r="392" spans="2:10" x14ac:dyDescent="0.25">
      <c r="B392" t="s">
        <v>95</v>
      </c>
      <c r="C392" t="s">
        <v>62</v>
      </c>
      <c r="D392">
        <v>4.4857744012646297E-3</v>
      </c>
      <c r="E392" t="s">
        <v>53</v>
      </c>
      <c r="G392" t="s">
        <v>173</v>
      </c>
      <c r="H392" t="s">
        <v>62</v>
      </c>
      <c r="I392">
        <v>5.5886122432860889E-2</v>
      </c>
      <c r="J392" t="s">
        <v>53</v>
      </c>
    </row>
    <row r="393" spans="2:10" x14ac:dyDescent="0.25">
      <c r="B393" t="s">
        <v>95</v>
      </c>
      <c r="C393" t="s">
        <v>63</v>
      </c>
      <c r="D393">
        <v>0.20786543540588934</v>
      </c>
      <c r="E393" t="s">
        <v>53</v>
      </c>
      <c r="G393" t="s">
        <v>173</v>
      </c>
      <c r="H393" t="s">
        <v>63</v>
      </c>
      <c r="I393">
        <v>6.700166490316338E-2</v>
      </c>
      <c r="J393" t="s">
        <v>53</v>
      </c>
    </row>
    <row r="394" spans="2:10" x14ac:dyDescent="0.25">
      <c r="B394" t="s">
        <v>95</v>
      </c>
      <c r="C394" t="s">
        <v>64</v>
      </c>
      <c r="D394">
        <v>2.3098048215492743E-3</v>
      </c>
      <c r="E394" t="s">
        <v>53</v>
      </c>
      <c r="G394" t="s">
        <v>173</v>
      </c>
      <c r="H394" t="s">
        <v>64</v>
      </c>
      <c r="I394">
        <v>4.0830582491227944E-2</v>
      </c>
      <c r="J394" t="s">
        <v>53</v>
      </c>
    </row>
    <row r="395" spans="2:10" x14ac:dyDescent="0.25">
      <c r="B395" t="s">
        <v>96</v>
      </c>
      <c r="C395" t="s">
        <v>52</v>
      </c>
      <c r="D395">
        <v>0</v>
      </c>
      <c r="E395" t="s">
        <v>53</v>
      </c>
      <c r="G395" t="s">
        <v>174</v>
      </c>
      <c r="H395" t="s">
        <v>52</v>
      </c>
      <c r="I395">
        <v>5.6474142114694328E-2</v>
      </c>
      <c r="J395" t="s">
        <v>53</v>
      </c>
    </row>
    <row r="396" spans="2:10" x14ac:dyDescent="0.25">
      <c r="B396" t="s">
        <v>96</v>
      </c>
      <c r="C396" t="s">
        <v>54</v>
      </c>
      <c r="D396">
        <v>0.27288711209526356</v>
      </c>
      <c r="E396" t="s">
        <v>53</v>
      </c>
      <c r="G396" t="s">
        <v>174</v>
      </c>
      <c r="H396" t="s">
        <v>54</v>
      </c>
      <c r="I396">
        <v>1.9159674024932866E-2</v>
      </c>
      <c r="J396" t="s">
        <v>53</v>
      </c>
    </row>
    <row r="397" spans="2:10" x14ac:dyDescent="0.25">
      <c r="B397" t="s">
        <v>96</v>
      </c>
      <c r="C397" t="s">
        <v>55</v>
      </c>
      <c r="D397">
        <v>7.1847774354346569E-3</v>
      </c>
      <c r="E397" t="s">
        <v>53</v>
      </c>
      <c r="G397" t="s">
        <v>174</v>
      </c>
      <c r="H397" t="s">
        <v>55</v>
      </c>
      <c r="I397">
        <v>3.7830924066670567E-2</v>
      </c>
      <c r="J397" t="s">
        <v>53</v>
      </c>
    </row>
    <row r="398" spans="2:10" x14ac:dyDescent="0.25">
      <c r="B398" t="s">
        <v>96</v>
      </c>
      <c r="C398" t="s">
        <v>56</v>
      </c>
      <c r="D398">
        <v>9.1890635935277538E-3</v>
      </c>
      <c r="E398" t="s">
        <v>53</v>
      </c>
      <c r="G398" t="s">
        <v>174</v>
      </c>
      <c r="H398" t="s">
        <v>56</v>
      </c>
      <c r="I398">
        <v>0.12840564297755741</v>
      </c>
      <c r="J398" t="s">
        <v>53</v>
      </c>
    </row>
    <row r="399" spans="2:10" x14ac:dyDescent="0.25">
      <c r="B399" t="s">
        <v>96</v>
      </c>
      <c r="C399" t="s">
        <v>57</v>
      </c>
      <c r="D399">
        <v>0.26992902418399534</v>
      </c>
      <c r="E399" t="s">
        <v>53</v>
      </c>
      <c r="G399" t="s">
        <v>174</v>
      </c>
      <c r="H399" t="s">
        <v>57</v>
      </c>
      <c r="I399">
        <v>5.9805042659671355E-2</v>
      </c>
      <c r="J399" t="s">
        <v>53</v>
      </c>
    </row>
    <row r="400" spans="2:10" x14ac:dyDescent="0.25">
      <c r="B400" t="s">
        <v>96</v>
      </c>
      <c r="C400" t="s">
        <v>58</v>
      </c>
      <c r="D400">
        <v>1.5495648865462728E-2</v>
      </c>
      <c r="E400" t="s">
        <v>53</v>
      </c>
      <c r="G400" t="s">
        <v>174</v>
      </c>
      <c r="H400" t="s">
        <v>58</v>
      </c>
      <c r="I400">
        <v>7.6679242506232634E-2</v>
      </c>
      <c r="J400" t="s">
        <v>53</v>
      </c>
    </row>
    <row r="401" spans="2:10" x14ac:dyDescent="0.25">
      <c r="B401" t="s">
        <v>96</v>
      </c>
      <c r="C401" t="s">
        <v>59</v>
      </c>
      <c r="D401">
        <v>4.0008690758523936E-3</v>
      </c>
      <c r="E401" t="s">
        <v>53</v>
      </c>
      <c r="G401" t="s">
        <v>174</v>
      </c>
      <c r="H401" t="s">
        <v>59</v>
      </c>
      <c r="I401">
        <v>0.18378816780821963</v>
      </c>
      <c r="J401" t="s">
        <v>53</v>
      </c>
    </row>
    <row r="402" spans="2:10" x14ac:dyDescent="0.25">
      <c r="B402" t="s">
        <v>96</v>
      </c>
      <c r="C402" t="s">
        <v>60</v>
      </c>
      <c r="D402">
        <v>0.17559165824837034</v>
      </c>
      <c r="E402" t="s">
        <v>53</v>
      </c>
      <c r="G402" t="s">
        <v>174</v>
      </c>
      <c r="H402" t="s">
        <v>60</v>
      </c>
      <c r="I402">
        <v>0.22330190255658106</v>
      </c>
      <c r="J402" t="s">
        <v>53</v>
      </c>
    </row>
    <row r="403" spans="2:10" x14ac:dyDescent="0.25">
      <c r="B403" t="s">
        <v>96</v>
      </c>
      <c r="C403" t="s">
        <v>61</v>
      </c>
      <c r="D403">
        <v>9.0769451827014333E-3</v>
      </c>
      <c r="E403" t="s">
        <v>53</v>
      </c>
      <c r="G403" t="s">
        <v>174</v>
      </c>
      <c r="H403" t="s">
        <v>61</v>
      </c>
      <c r="I403">
        <v>0.11599719213975668</v>
      </c>
      <c r="J403" t="s">
        <v>53</v>
      </c>
    </row>
    <row r="404" spans="2:10" x14ac:dyDescent="0.25">
      <c r="B404" t="s">
        <v>96</v>
      </c>
      <c r="C404" t="s">
        <v>62</v>
      </c>
      <c r="D404">
        <v>4.595578608596689E-3</v>
      </c>
      <c r="E404" t="s">
        <v>53</v>
      </c>
      <c r="G404" t="s">
        <v>174</v>
      </c>
      <c r="H404" t="s">
        <v>62</v>
      </c>
      <c r="I404">
        <v>4.1278776550335815E-2</v>
      </c>
      <c r="J404" t="s">
        <v>53</v>
      </c>
    </row>
    <row r="405" spans="2:10" x14ac:dyDescent="0.25">
      <c r="B405" t="s">
        <v>96</v>
      </c>
      <c r="C405" t="s">
        <v>63</v>
      </c>
      <c r="D405">
        <v>0.2285987785829294</v>
      </c>
      <c r="E405" t="s">
        <v>53</v>
      </c>
      <c r="G405" t="s">
        <v>174</v>
      </c>
      <c r="H405" t="s">
        <v>63</v>
      </c>
      <c r="I405">
        <v>3.3116118004524707E-2</v>
      </c>
      <c r="J405" t="s">
        <v>53</v>
      </c>
    </row>
    <row r="406" spans="2:10" x14ac:dyDescent="0.25">
      <c r="B406" t="s">
        <v>96</v>
      </c>
      <c r="C406" t="s">
        <v>64</v>
      </c>
      <c r="D406">
        <v>3.4505441278671919E-3</v>
      </c>
      <c r="E406" t="s">
        <v>53</v>
      </c>
      <c r="G406" t="s">
        <v>174</v>
      </c>
      <c r="H406" t="s">
        <v>64</v>
      </c>
      <c r="I406">
        <v>2.4163174590821367E-2</v>
      </c>
      <c r="J406" t="s">
        <v>53</v>
      </c>
    </row>
    <row r="407" spans="2:10" x14ac:dyDescent="0.25">
      <c r="B407" t="s">
        <v>97</v>
      </c>
      <c r="C407" t="s">
        <v>52</v>
      </c>
      <c r="D407">
        <v>0</v>
      </c>
      <c r="E407" t="s">
        <v>53</v>
      </c>
      <c r="G407" t="s">
        <v>175</v>
      </c>
      <c r="H407" t="s">
        <v>52</v>
      </c>
      <c r="I407">
        <v>3.4582369624424285E-2</v>
      </c>
      <c r="J407" t="s">
        <v>53</v>
      </c>
    </row>
    <row r="408" spans="2:10" x14ac:dyDescent="0.25">
      <c r="B408" t="s">
        <v>97</v>
      </c>
      <c r="C408" t="s">
        <v>54</v>
      </c>
      <c r="D408">
        <v>0.27292320072003895</v>
      </c>
      <c r="E408" t="s">
        <v>53</v>
      </c>
      <c r="G408" t="s">
        <v>175</v>
      </c>
      <c r="H408" t="s">
        <v>54</v>
      </c>
      <c r="I408">
        <v>2.3158951442614754E-2</v>
      </c>
      <c r="J408" t="s">
        <v>53</v>
      </c>
    </row>
    <row r="409" spans="2:10" x14ac:dyDescent="0.25">
      <c r="B409" t="s">
        <v>97</v>
      </c>
      <c r="C409" t="s">
        <v>55</v>
      </c>
      <c r="D409">
        <v>7.4710478091547742E-3</v>
      </c>
      <c r="E409" t="s">
        <v>53</v>
      </c>
      <c r="G409" t="s">
        <v>175</v>
      </c>
      <c r="H409" t="s">
        <v>55</v>
      </c>
      <c r="I409">
        <v>4.0118909400977523E-2</v>
      </c>
      <c r="J409" t="s">
        <v>53</v>
      </c>
    </row>
    <row r="410" spans="2:10" x14ac:dyDescent="0.25">
      <c r="B410" t="s">
        <v>97</v>
      </c>
      <c r="C410" t="s">
        <v>56</v>
      </c>
      <c r="D410">
        <v>8.6752700644417858E-3</v>
      </c>
      <c r="E410" t="s">
        <v>53</v>
      </c>
      <c r="G410" t="s">
        <v>175</v>
      </c>
      <c r="H410" t="s">
        <v>56</v>
      </c>
      <c r="I410">
        <v>7.8300377289826362E-2</v>
      </c>
      <c r="J410" t="s">
        <v>53</v>
      </c>
    </row>
    <row r="411" spans="2:10" x14ac:dyDescent="0.25">
      <c r="B411" t="s">
        <v>97</v>
      </c>
      <c r="C411" t="s">
        <v>57</v>
      </c>
      <c r="D411">
        <v>0.26977203204338412</v>
      </c>
      <c r="E411" t="s">
        <v>53</v>
      </c>
      <c r="G411" t="s">
        <v>175</v>
      </c>
      <c r="H411" t="s">
        <v>57</v>
      </c>
      <c r="I411">
        <v>5.7790261643942541E-2</v>
      </c>
      <c r="J411" t="s">
        <v>53</v>
      </c>
    </row>
    <row r="412" spans="2:10" x14ac:dyDescent="0.25">
      <c r="B412" t="s">
        <v>97</v>
      </c>
      <c r="C412" t="s">
        <v>58</v>
      </c>
      <c r="D412">
        <v>1.5809143619897208E-2</v>
      </c>
      <c r="E412" t="s">
        <v>53</v>
      </c>
      <c r="G412" t="s">
        <v>175</v>
      </c>
      <c r="H412" t="s">
        <v>58</v>
      </c>
      <c r="I412">
        <v>0.1053363874339657</v>
      </c>
      <c r="J412" t="s">
        <v>53</v>
      </c>
    </row>
    <row r="413" spans="2:10" x14ac:dyDescent="0.25">
      <c r="B413" t="s">
        <v>97</v>
      </c>
      <c r="C413" t="s">
        <v>59</v>
      </c>
      <c r="D413">
        <v>4.6274996132810945E-3</v>
      </c>
      <c r="E413" t="s">
        <v>53</v>
      </c>
      <c r="G413" t="s">
        <v>175</v>
      </c>
      <c r="H413" t="s">
        <v>59</v>
      </c>
      <c r="I413">
        <v>0.14340682409321726</v>
      </c>
      <c r="J413" t="s">
        <v>53</v>
      </c>
    </row>
    <row r="414" spans="2:10" x14ac:dyDescent="0.25">
      <c r="B414" t="s">
        <v>97</v>
      </c>
      <c r="C414" t="s">
        <v>60</v>
      </c>
      <c r="D414">
        <v>0.18226735391927304</v>
      </c>
      <c r="E414" t="s">
        <v>53</v>
      </c>
      <c r="G414" t="s">
        <v>175</v>
      </c>
      <c r="H414" t="s">
        <v>60</v>
      </c>
      <c r="I414">
        <v>0.24255622277553987</v>
      </c>
      <c r="J414" t="s">
        <v>53</v>
      </c>
    </row>
    <row r="415" spans="2:10" x14ac:dyDescent="0.25">
      <c r="B415" t="s">
        <v>97</v>
      </c>
      <c r="C415" t="s">
        <v>61</v>
      </c>
      <c r="D415">
        <v>9.2696076918345211E-3</v>
      </c>
      <c r="E415" t="s">
        <v>53</v>
      </c>
      <c r="G415" t="s">
        <v>175</v>
      </c>
      <c r="H415" t="s">
        <v>61</v>
      </c>
      <c r="I415">
        <v>0.12447028619689314</v>
      </c>
      <c r="J415" t="s">
        <v>53</v>
      </c>
    </row>
    <row r="416" spans="2:10" x14ac:dyDescent="0.25">
      <c r="B416" t="s">
        <v>97</v>
      </c>
      <c r="C416" t="s">
        <v>62</v>
      </c>
      <c r="D416">
        <v>4.4970733428840058E-3</v>
      </c>
      <c r="E416" t="s">
        <v>53</v>
      </c>
      <c r="G416" t="s">
        <v>175</v>
      </c>
      <c r="H416" t="s">
        <v>62</v>
      </c>
      <c r="I416">
        <v>4.5445048263525717E-2</v>
      </c>
      <c r="J416" t="s">
        <v>53</v>
      </c>
    </row>
    <row r="417" spans="2:10" x14ac:dyDescent="0.25">
      <c r="B417" t="s">
        <v>97</v>
      </c>
      <c r="C417" t="s">
        <v>63</v>
      </c>
      <c r="D417">
        <v>0.22171632915034048</v>
      </c>
      <c r="E417" t="s">
        <v>53</v>
      </c>
      <c r="G417" t="s">
        <v>175</v>
      </c>
      <c r="H417" t="s">
        <v>63</v>
      </c>
      <c r="I417">
        <v>5.7375309925579002E-2</v>
      </c>
      <c r="J417" t="s">
        <v>53</v>
      </c>
    </row>
    <row r="418" spans="2:10" x14ac:dyDescent="0.25">
      <c r="B418" t="s">
        <v>97</v>
      </c>
      <c r="C418" t="s">
        <v>64</v>
      </c>
      <c r="D418">
        <v>2.9714420254685686E-3</v>
      </c>
      <c r="E418" t="s">
        <v>53</v>
      </c>
      <c r="G418" t="s">
        <v>175</v>
      </c>
      <c r="H418" t="s">
        <v>64</v>
      </c>
      <c r="I418">
        <v>4.7459051909498159E-2</v>
      </c>
      <c r="J418" t="s">
        <v>53</v>
      </c>
    </row>
    <row r="419" spans="2:10" x14ac:dyDescent="0.25">
      <c r="B419" t="s">
        <v>98</v>
      </c>
      <c r="C419" t="s">
        <v>52</v>
      </c>
      <c r="D419">
        <v>0</v>
      </c>
      <c r="E419" t="s">
        <v>53</v>
      </c>
      <c r="G419" t="s">
        <v>176</v>
      </c>
      <c r="H419" t="s">
        <v>52</v>
      </c>
      <c r="I419">
        <v>5.3183023920210945E-2</v>
      </c>
      <c r="J419" t="s">
        <v>53</v>
      </c>
    </row>
    <row r="420" spans="2:10" x14ac:dyDescent="0.25">
      <c r="B420" t="s">
        <v>98</v>
      </c>
      <c r="C420" t="s">
        <v>54</v>
      </c>
      <c r="D420">
        <v>0.27412505732807707</v>
      </c>
      <c r="E420" t="s">
        <v>53</v>
      </c>
      <c r="G420" t="s">
        <v>176</v>
      </c>
      <c r="H420" t="s">
        <v>54</v>
      </c>
      <c r="I420">
        <v>2.3546868745078837E-2</v>
      </c>
      <c r="J420" t="s">
        <v>53</v>
      </c>
    </row>
    <row r="421" spans="2:10" x14ac:dyDescent="0.25">
      <c r="B421" t="s">
        <v>98</v>
      </c>
      <c r="C421" t="s">
        <v>55</v>
      </c>
      <c r="D421">
        <v>7.8833487549248744E-3</v>
      </c>
      <c r="E421" t="s">
        <v>53</v>
      </c>
      <c r="G421" t="s">
        <v>176</v>
      </c>
      <c r="H421" t="s">
        <v>55</v>
      </c>
      <c r="I421">
        <v>4.8874469921395984E-2</v>
      </c>
      <c r="J421" t="s">
        <v>53</v>
      </c>
    </row>
    <row r="422" spans="2:10" x14ac:dyDescent="0.25">
      <c r="B422" t="s">
        <v>98</v>
      </c>
      <c r="C422" t="s">
        <v>56</v>
      </c>
      <c r="D422">
        <v>8.7854928063936712E-3</v>
      </c>
      <c r="E422" t="s">
        <v>53</v>
      </c>
      <c r="G422" t="s">
        <v>176</v>
      </c>
      <c r="H422" t="s">
        <v>56</v>
      </c>
      <c r="I422">
        <v>0.11921056155512844</v>
      </c>
      <c r="J422" t="s">
        <v>53</v>
      </c>
    </row>
    <row r="423" spans="2:10" x14ac:dyDescent="0.25">
      <c r="B423" t="s">
        <v>98</v>
      </c>
      <c r="C423" t="s">
        <v>57</v>
      </c>
      <c r="D423">
        <v>0.27883873603336085</v>
      </c>
      <c r="E423" t="s">
        <v>53</v>
      </c>
      <c r="G423" t="s">
        <v>176</v>
      </c>
      <c r="H423" t="s">
        <v>57</v>
      </c>
      <c r="I423">
        <v>6.0736176471394045E-2</v>
      </c>
      <c r="J423" t="s">
        <v>53</v>
      </c>
    </row>
    <row r="424" spans="2:10" x14ac:dyDescent="0.25">
      <c r="B424" t="s">
        <v>98</v>
      </c>
      <c r="C424" t="s">
        <v>58</v>
      </c>
      <c r="D424">
        <v>1.4814839479927632E-2</v>
      </c>
      <c r="E424" t="s">
        <v>53</v>
      </c>
      <c r="G424" t="s">
        <v>176</v>
      </c>
      <c r="H424" t="s">
        <v>58</v>
      </c>
      <c r="I424">
        <v>0.10286268054455551</v>
      </c>
      <c r="J424" t="s">
        <v>53</v>
      </c>
    </row>
    <row r="425" spans="2:10" x14ac:dyDescent="0.25">
      <c r="B425" t="s">
        <v>98</v>
      </c>
      <c r="C425" t="s">
        <v>59</v>
      </c>
      <c r="D425">
        <v>4.458479094222121E-3</v>
      </c>
      <c r="E425" t="s">
        <v>53</v>
      </c>
      <c r="G425" t="s">
        <v>176</v>
      </c>
      <c r="H425" t="s">
        <v>59</v>
      </c>
      <c r="I425">
        <v>0.15277177905938757</v>
      </c>
      <c r="J425" t="s">
        <v>53</v>
      </c>
    </row>
    <row r="426" spans="2:10" x14ac:dyDescent="0.25">
      <c r="B426" t="s">
        <v>98</v>
      </c>
      <c r="C426" t="s">
        <v>60</v>
      </c>
      <c r="D426">
        <v>0.18050700282331647</v>
      </c>
      <c r="E426" t="s">
        <v>53</v>
      </c>
      <c r="G426" t="s">
        <v>176</v>
      </c>
      <c r="H426" t="s">
        <v>60</v>
      </c>
      <c r="I426">
        <v>0.20136913625882022</v>
      </c>
      <c r="J426" t="s">
        <v>53</v>
      </c>
    </row>
    <row r="427" spans="2:10" x14ac:dyDescent="0.25">
      <c r="B427" t="s">
        <v>98</v>
      </c>
      <c r="C427" t="s">
        <v>61</v>
      </c>
      <c r="D427">
        <v>8.5610736045112785E-3</v>
      </c>
      <c r="E427" t="s">
        <v>53</v>
      </c>
      <c r="G427" t="s">
        <v>176</v>
      </c>
      <c r="H427" t="s">
        <v>61</v>
      </c>
      <c r="I427">
        <v>0.11495206916169155</v>
      </c>
      <c r="J427" t="s">
        <v>53</v>
      </c>
    </row>
    <row r="428" spans="2:10" x14ac:dyDescent="0.25">
      <c r="B428" t="s">
        <v>98</v>
      </c>
      <c r="C428" t="s">
        <v>62</v>
      </c>
      <c r="D428">
        <v>4.1983017568962434E-3</v>
      </c>
      <c r="E428" t="s">
        <v>53</v>
      </c>
      <c r="G428" t="s">
        <v>176</v>
      </c>
      <c r="H428" t="s">
        <v>62</v>
      </c>
      <c r="I428">
        <v>4.5848275711817071E-2</v>
      </c>
      <c r="J428" t="s">
        <v>53</v>
      </c>
    </row>
    <row r="429" spans="2:10" x14ac:dyDescent="0.25">
      <c r="B429" t="s">
        <v>98</v>
      </c>
      <c r="C429" t="s">
        <v>63</v>
      </c>
      <c r="D429">
        <v>0.2153001075026669</v>
      </c>
      <c r="E429" t="s">
        <v>53</v>
      </c>
      <c r="G429" t="s">
        <v>176</v>
      </c>
      <c r="H429" t="s">
        <v>63</v>
      </c>
      <c r="I429">
        <v>4.2325871514697182E-2</v>
      </c>
      <c r="J429" t="s">
        <v>53</v>
      </c>
    </row>
    <row r="430" spans="2:10" x14ac:dyDescent="0.25">
      <c r="B430" t="s">
        <v>98</v>
      </c>
      <c r="C430" t="s">
        <v>64</v>
      </c>
      <c r="D430">
        <v>2.5275608157040619E-3</v>
      </c>
      <c r="E430" t="s">
        <v>53</v>
      </c>
      <c r="G430" t="s">
        <v>176</v>
      </c>
      <c r="H430" t="s">
        <v>64</v>
      </c>
      <c r="I430">
        <v>3.4319087135818972E-2</v>
      </c>
      <c r="J430" t="s">
        <v>53</v>
      </c>
    </row>
    <row r="431" spans="2:10" x14ac:dyDescent="0.25">
      <c r="B431" t="s">
        <v>99</v>
      </c>
      <c r="C431" t="s">
        <v>52</v>
      </c>
      <c r="D431">
        <v>5.8664876444271073E-3</v>
      </c>
      <c r="E431" t="s">
        <v>53</v>
      </c>
      <c r="G431" t="s">
        <v>177</v>
      </c>
      <c r="H431" t="s">
        <v>52</v>
      </c>
      <c r="I431">
        <v>8.0591429512989643E-2</v>
      </c>
      <c r="J431" t="s">
        <v>53</v>
      </c>
    </row>
    <row r="432" spans="2:10" x14ac:dyDescent="0.25">
      <c r="B432" t="s">
        <v>99</v>
      </c>
      <c r="C432" t="s">
        <v>54</v>
      </c>
      <c r="D432">
        <v>0.28373016998375578</v>
      </c>
      <c r="E432" t="s">
        <v>53</v>
      </c>
      <c r="G432" t="s">
        <v>177</v>
      </c>
      <c r="H432" t="s">
        <v>54</v>
      </c>
      <c r="I432">
        <v>0.11991385760138089</v>
      </c>
      <c r="J432" t="s">
        <v>53</v>
      </c>
    </row>
    <row r="433" spans="2:10" x14ac:dyDescent="0.25">
      <c r="B433" t="s">
        <v>99</v>
      </c>
      <c r="C433" t="s">
        <v>55</v>
      </c>
      <c r="D433">
        <v>2.1687118192335801E-3</v>
      </c>
      <c r="E433" t="s">
        <v>53</v>
      </c>
      <c r="G433" t="s">
        <v>177</v>
      </c>
      <c r="H433" t="s">
        <v>55</v>
      </c>
      <c r="I433">
        <v>0.10105381714920572</v>
      </c>
      <c r="J433" t="s">
        <v>53</v>
      </c>
    </row>
    <row r="434" spans="2:10" x14ac:dyDescent="0.25">
      <c r="B434" t="s">
        <v>99</v>
      </c>
      <c r="C434" t="s">
        <v>56</v>
      </c>
      <c r="D434">
        <v>1.6015042490677995E-2</v>
      </c>
      <c r="E434" t="s">
        <v>53</v>
      </c>
      <c r="G434" t="s">
        <v>177</v>
      </c>
      <c r="H434" t="s">
        <v>56</v>
      </c>
      <c r="I434">
        <v>4.9125989176156765E-2</v>
      </c>
      <c r="J434" t="s">
        <v>53</v>
      </c>
    </row>
    <row r="435" spans="2:10" x14ac:dyDescent="0.25">
      <c r="B435" t="s">
        <v>99</v>
      </c>
      <c r="C435" t="s">
        <v>57</v>
      </c>
      <c r="D435">
        <v>0.26675194268775942</v>
      </c>
      <c r="E435" t="s">
        <v>53</v>
      </c>
      <c r="G435" t="s">
        <v>177</v>
      </c>
      <c r="H435" t="s">
        <v>57</v>
      </c>
      <c r="I435">
        <v>7.9052688246467925E-2</v>
      </c>
      <c r="J435" t="s">
        <v>53</v>
      </c>
    </row>
    <row r="436" spans="2:10" x14ac:dyDescent="0.25">
      <c r="B436" t="s">
        <v>99</v>
      </c>
      <c r="C436" t="s">
        <v>58</v>
      </c>
      <c r="D436">
        <v>9.7197212591253832E-3</v>
      </c>
      <c r="E436" t="s">
        <v>53</v>
      </c>
      <c r="G436" t="s">
        <v>177</v>
      </c>
      <c r="H436" t="s">
        <v>58</v>
      </c>
      <c r="I436">
        <v>7.8018441506922415E-2</v>
      </c>
      <c r="J436" t="s">
        <v>53</v>
      </c>
    </row>
    <row r="437" spans="2:10" x14ac:dyDescent="0.25">
      <c r="B437" t="s">
        <v>99</v>
      </c>
      <c r="C437" t="s">
        <v>59</v>
      </c>
      <c r="D437">
        <v>8.7396012801244493E-3</v>
      </c>
      <c r="E437" t="s">
        <v>53</v>
      </c>
      <c r="G437" t="s">
        <v>177</v>
      </c>
      <c r="H437" t="s">
        <v>59</v>
      </c>
      <c r="I437">
        <v>8.0364947873856923E-2</v>
      </c>
      <c r="J437" t="s">
        <v>53</v>
      </c>
    </row>
    <row r="438" spans="2:10" x14ac:dyDescent="0.25">
      <c r="B438" t="s">
        <v>99</v>
      </c>
      <c r="C438" t="s">
        <v>60</v>
      </c>
      <c r="D438">
        <v>0.1762800555474977</v>
      </c>
      <c r="E438" t="s">
        <v>53</v>
      </c>
      <c r="G438" t="s">
        <v>177</v>
      </c>
      <c r="H438" t="s">
        <v>60</v>
      </c>
      <c r="I438">
        <v>0.11621629934515972</v>
      </c>
      <c r="J438" t="s">
        <v>53</v>
      </c>
    </row>
    <row r="439" spans="2:10" x14ac:dyDescent="0.25">
      <c r="B439" t="s">
        <v>99</v>
      </c>
      <c r="C439" t="s">
        <v>61</v>
      </c>
      <c r="D439">
        <v>4.4826253581289471E-3</v>
      </c>
      <c r="E439" t="s">
        <v>53</v>
      </c>
      <c r="G439" t="s">
        <v>177</v>
      </c>
      <c r="H439" t="s">
        <v>61</v>
      </c>
      <c r="I439">
        <v>9.3757425414503229E-2</v>
      </c>
      <c r="J439" t="s">
        <v>53</v>
      </c>
    </row>
    <row r="440" spans="2:10" x14ac:dyDescent="0.25">
      <c r="B440" t="s">
        <v>99</v>
      </c>
      <c r="C440" t="s">
        <v>62</v>
      </c>
      <c r="D440">
        <v>8.9794417339022128E-3</v>
      </c>
      <c r="E440" t="s">
        <v>53</v>
      </c>
      <c r="G440" t="s">
        <v>177</v>
      </c>
      <c r="H440" t="s">
        <v>62</v>
      </c>
      <c r="I440">
        <v>5.248053469285803E-2</v>
      </c>
      <c r="J440" t="s">
        <v>53</v>
      </c>
    </row>
    <row r="441" spans="2:10" x14ac:dyDescent="0.25">
      <c r="B441" t="s">
        <v>99</v>
      </c>
      <c r="C441" t="s">
        <v>63</v>
      </c>
      <c r="D441">
        <v>0.21617910320918435</v>
      </c>
      <c r="E441" t="s">
        <v>53</v>
      </c>
      <c r="G441" t="s">
        <v>177</v>
      </c>
      <c r="H441" t="s">
        <v>63</v>
      </c>
      <c r="I441">
        <v>7.7467095339306569E-2</v>
      </c>
      <c r="J441" t="s">
        <v>53</v>
      </c>
    </row>
    <row r="442" spans="2:10" x14ac:dyDescent="0.25">
      <c r="B442" t="s">
        <v>99</v>
      </c>
      <c r="C442" t="s">
        <v>64</v>
      </c>
      <c r="D442">
        <v>1.0870969861815152E-3</v>
      </c>
      <c r="E442" t="s">
        <v>53</v>
      </c>
      <c r="G442" t="s">
        <v>177</v>
      </c>
      <c r="H442" t="s">
        <v>64</v>
      </c>
      <c r="I442">
        <v>7.1957474141193328E-2</v>
      </c>
      <c r="J442" t="s">
        <v>53</v>
      </c>
    </row>
    <row r="443" spans="2:10" x14ac:dyDescent="0.25">
      <c r="B443" t="s">
        <v>100</v>
      </c>
      <c r="C443" t="s">
        <v>52</v>
      </c>
      <c r="D443">
        <v>4.74058886285044E-3</v>
      </c>
      <c r="E443" t="s">
        <v>53</v>
      </c>
      <c r="G443" t="s">
        <v>178</v>
      </c>
      <c r="H443" t="s">
        <v>52</v>
      </c>
      <c r="I443">
        <v>6.2194332065225233E-2</v>
      </c>
      <c r="J443" t="s">
        <v>53</v>
      </c>
    </row>
    <row r="444" spans="2:10" x14ac:dyDescent="0.25">
      <c r="B444" t="s">
        <v>100</v>
      </c>
      <c r="C444" t="s">
        <v>54</v>
      </c>
      <c r="D444">
        <v>0.27590927917294544</v>
      </c>
      <c r="E444" t="s">
        <v>53</v>
      </c>
      <c r="G444" t="s">
        <v>178</v>
      </c>
      <c r="H444" t="s">
        <v>54</v>
      </c>
      <c r="I444">
        <v>0.10278181319734751</v>
      </c>
      <c r="J444" t="s">
        <v>53</v>
      </c>
    </row>
    <row r="445" spans="2:10" x14ac:dyDescent="0.25">
      <c r="B445" t="s">
        <v>100</v>
      </c>
      <c r="C445" t="s">
        <v>55</v>
      </c>
      <c r="D445">
        <v>1.5898643365434429E-3</v>
      </c>
      <c r="E445" t="s">
        <v>53</v>
      </c>
      <c r="G445" t="s">
        <v>178</v>
      </c>
      <c r="H445" t="s">
        <v>55</v>
      </c>
      <c r="I445">
        <v>8.1842211247900948E-2</v>
      </c>
      <c r="J445" t="s">
        <v>53</v>
      </c>
    </row>
    <row r="446" spans="2:10" x14ac:dyDescent="0.25">
      <c r="B446" t="s">
        <v>100</v>
      </c>
      <c r="C446" t="s">
        <v>56</v>
      </c>
      <c r="D446">
        <v>1.5156876130977406E-2</v>
      </c>
      <c r="E446" t="s">
        <v>53</v>
      </c>
      <c r="G446" t="s">
        <v>178</v>
      </c>
      <c r="H446" t="s">
        <v>56</v>
      </c>
      <c r="I446">
        <v>6.2834457976370398E-2</v>
      </c>
      <c r="J446" t="s">
        <v>53</v>
      </c>
    </row>
    <row r="447" spans="2:10" x14ac:dyDescent="0.25">
      <c r="B447" t="s">
        <v>100</v>
      </c>
      <c r="C447" t="s">
        <v>57</v>
      </c>
      <c r="D447">
        <v>0.25599405428359767</v>
      </c>
      <c r="E447" t="s">
        <v>53</v>
      </c>
      <c r="G447" t="s">
        <v>178</v>
      </c>
      <c r="H447" t="s">
        <v>57</v>
      </c>
      <c r="I447">
        <v>7.5164522828306837E-2</v>
      </c>
      <c r="J447" t="s">
        <v>53</v>
      </c>
    </row>
    <row r="448" spans="2:10" x14ac:dyDescent="0.25">
      <c r="B448" t="s">
        <v>100</v>
      </c>
      <c r="C448" t="s">
        <v>58</v>
      </c>
      <c r="D448">
        <v>8.5706034359242615E-3</v>
      </c>
      <c r="E448" t="s">
        <v>53</v>
      </c>
      <c r="G448" t="s">
        <v>178</v>
      </c>
      <c r="H448" t="s">
        <v>58</v>
      </c>
      <c r="I448">
        <v>9.6964895465788389E-2</v>
      </c>
      <c r="J448" t="s">
        <v>53</v>
      </c>
    </row>
    <row r="449" spans="2:10" x14ac:dyDescent="0.25">
      <c r="B449" t="s">
        <v>100</v>
      </c>
      <c r="C449" t="s">
        <v>59</v>
      </c>
      <c r="D449">
        <v>9.6190229539088335E-3</v>
      </c>
      <c r="E449" t="s">
        <v>53</v>
      </c>
      <c r="G449" t="s">
        <v>178</v>
      </c>
      <c r="H449" t="s">
        <v>59</v>
      </c>
      <c r="I449">
        <v>0.10374714260679639</v>
      </c>
      <c r="J449" t="s">
        <v>53</v>
      </c>
    </row>
    <row r="450" spans="2:10" x14ac:dyDescent="0.25">
      <c r="B450" t="s">
        <v>100</v>
      </c>
      <c r="C450" t="s">
        <v>60</v>
      </c>
      <c r="D450">
        <v>0.18345085116663018</v>
      </c>
      <c r="E450" t="s">
        <v>53</v>
      </c>
      <c r="G450" t="s">
        <v>178</v>
      </c>
      <c r="H450" t="s">
        <v>60</v>
      </c>
      <c r="I450">
        <v>0.13835635425632803</v>
      </c>
      <c r="J450" t="s">
        <v>53</v>
      </c>
    </row>
    <row r="451" spans="2:10" x14ac:dyDescent="0.25">
      <c r="B451" t="s">
        <v>100</v>
      </c>
      <c r="C451" t="s">
        <v>61</v>
      </c>
      <c r="D451">
        <v>4.8324072489026359E-3</v>
      </c>
      <c r="E451" t="s">
        <v>53</v>
      </c>
      <c r="G451" t="s">
        <v>178</v>
      </c>
      <c r="H451" t="s">
        <v>61</v>
      </c>
      <c r="I451">
        <v>9.9586348339246872E-2</v>
      </c>
      <c r="J451" t="s">
        <v>53</v>
      </c>
    </row>
    <row r="452" spans="2:10" x14ac:dyDescent="0.25">
      <c r="B452" t="s">
        <v>100</v>
      </c>
      <c r="C452" t="s">
        <v>62</v>
      </c>
      <c r="D452">
        <v>1.0241107075524541E-2</v>
      </c>
      <c r="E452" t="s">
        <v>53</v>
      </c>
      <c r="G452" t="s">
        <v>178</v>
      </c>
      <c r="H452" t="s">
        <v>62</v>
      </c>
      <c r="I452">
        <v>5.499580424634215E-2</v>
      </c>
      <c r="J452" t="s">
        <v>53</v>
      </c>
    </row>
    <row r="453" spans="2:10" x14ac:dyDescent="0.25">
      <c r="B453" t="s">
        <v>100</v>
      </c>
      <c r="C453" t="s">
        <v>63</v>
      </c>
      <c r="D453">
        <v>0.22900102777560485</v>
      </c>
      <c r="E453" t="s">
        <v>53</v>
      </c>
      <c r="G453" t="s">
        <v>178</v>
      </c>
      <c r="H453" t="s">
        <v>63</v>
      </c>
      <c r="I453">
        <v>6.5775607938646785E-2</v>
      </c>
      <c r="J453" t="s">
        <v>53</v>
      </c>
    </row>
    <row r="454" spans="2:10" x14ac:dyDescent="0.25">
      <c r="B454" t="s">
        <v>100</v>
      </c>
      <c r="C454" t="s">
        <v>64</v>
      </c>
      <c r="D454">
        <v>8.9431755659064634E-4</v>
      </c>
      <c r="E454" t="s">
        <v>53</v>
      </c>
      <c r="G454" t="s">
        <v>178</v>
      </c>
      <c r="H454" t="s">
        <v>64</v>
      </c>
      <c r="I454">
        <v>5.5756509831701745E-2</v>
      </c>
      <c r="J454" t="s">
        <v>53</v>
      </c>
    </row>
    <row r="455" spans="2:10" x14ac:dyDescent="0.25">
      <c r="B455" t="s">
        <v>101</v>
      </c>
      <c r="C455" t="s">
        <v>52</v>
      </c>
      <c r="D455">
        <v>2.4711931958266917E-3</v>
      </c>
      <c r="E455" t="s">
        <v>53</v>
      </c>
      <c r="G455" t="s">
        <v>179</v>
      </c>
      <c r="H455" t="s">
        <v>52</v>
      </c>
      <c r="I455">
        <v>1.1787844347841301E-2</v>
      </c>
      <c r="J455" t="s">
        <v>53</v>
      </c>
    </row>
    <row r="456" spans="2:10" x14ac:dyDescent="0.25">
      <c r="B456" t="s">
        <v>101</v>
      </c>
      <c r="C456" t="s">
        <v>54</v>
      </c>
      <c r="D456">
        <v>0.27807457683027187</v>
      </c>
      <c r="E456" t="s">
        <v>53</v>
      </c>
      <c r="G456" t="s">
        <v>179</v>
      </c>
      <c r="H456" t="s">
        <v>54</v>
      </c>
      <c r="I456">
        <v>3.8038501369736244E-2</v>
      </c>
      <c r="J456" t="s">
        <v>53</v>
      </c>
    </row>
    <row r="457" spans="2:10" x14ac:dyDescent="0.25">
      <c r="B457" t="s">
        <v>101</v>
      </c>
      <c r="C457" t="s">
        <v>55</v>
      </c>
      <c r="D457">
        <v>2.9795755628876982E-3</v>
      </c>
      <c r="E457" t="s">
        <v>53</v>
      </c>
      <c r="G457" t="s">
        <v>179</v>
      </c>
      <c r="H457" t="s">
        <v>55</v>
      </c>
      <c r="I457">
        <v>4.3865974448197981E-2</v>
      </c>
      <c r="J457" t="s">
        <v>53</v>
      </c>
    </row>
    <row r="458" spans="2:10" x14ac:dyDescent="0.25">
      <c r="B458" t="s">
        <v>101</v>
      </c>
      <c r="C458" t="s">
        <v>56</v>
      </c>
      <c r="D458">
        <v>1.2191273719845803E-2</v>
      </c>
      <c r="E458" t="s">
        <v>53</v>
      </c>
      <c r="G458" t="s">
        <v>179</v>
      </c>
      <c r="H458" t="s">
        <v>56</v>
      </c>
      <c r="I458">
        <v>5.8910750933287195E-2</v>
      </c>
      <c r="J458" t="s">
        <v>53</v>
      </c>
    </row>
    <row r="459" spans="2:10" x14ac:dyDescent="0.25">
      <c r="B459" t="s">
        <v>101</v>
      </c>
      <c r="C459" t="s">
        <v>57</v>
      </c>
      <c r="D459">
        <v>0.25429559226937348</v>
      </c>
      <c r="E459" t="s">
        <v>53</v>
      </c>
      <c r="G459" t="s">
        <v>179</v>
      </c>
      <c r="H459" t="s">
        <v>57</v>
      </c>
      <c r="I459">
        <v>4.9945631183479548E-2</v>
      </c>
      <c r="J459" t="s">
        <v>53</v>
      </c>
    </row>
    <row r="460" spans="2:10" x14ac:dyDescent="0.25">
      <c r="B460" t="s">
        <v>101</v>
      </c>
      <c r="C460" t="s">
        <v>58</v>
      </c>
      <c r="D460">
        <v>9.0206620260201292E-3</v>
      </c>
      <c r="E460" t="s">
        <v>53</v>
      </c>
      <c r="G460" t="s">
        <v>179</v>
      </c>
      <c r="H460" t="s">
        <v>58</v>
      </c>
      <c r="I460">
        <v>6.6916558910013399E-2</v>
      </c>
      <c r="J460" t="s">
        <v>53</v>
      </c>
    </row>
    <row r="461" spans="2:10" x14ac:dyDescent="0.25">
      <c r="B461" t="s">
        <v>101</v>
      </c>
      <c r="C461" t="s">
        <v>59</v>
      </c>
      <c r="D461">
        <v>7.7204919152715394E-3</v>
      </c>
      <c r="E461" t="s">
        <v>53</v>
      </c>
      <c r="G461" t="s">
        <v>179</v>
      </c>
      <c r="H461" t="s">
        <v>59</v>
      </c>
      <c r="I461">
        <v>0.21801172138289557</v>
      </c>
      <c r="J461" t="s">
        <v>53</v>
      </c>
    </row>
    <row r="462" spans="2:10" x14ac:dyDescent="0.25">
      <c r="B462" t="s">
        <v>101</v>
      </c>
      <c r="C462" t="s">
        <v>60</v>
      </c>
      <c r="D462">
        <v>0.1852919113841853</v>
      </c>
      <c r="E462" t="s">
        <v>53</v>
      </c>
      <c r="G462" t="s">
        <v>179</v>
      </c>
      <c r="H462" t="s">
        <v>60</v>
      </c>
      <c r="I462">
        <v>0.27116940558427743</v>
      </c>
      <c r="J462" t="s">
        <v>53</v>
      </c>
    </row>
    <row r="463" spans="2:10" x14ac:dyDescent="0.25">
      <c r="B463" t="s">
        <v>101</v>
      </c>
      <c r="C463" t="s">
        <v>61</v>
      </c>
      <c r="D463">
        <v>6.2444472461869235E-3</v>
      </c>
      <c r="E463" t="s">
        <v>53</v>
      </c>
      <c r="G463" t="s">
        <v>179</v>
      </c>
      <c r="H463" t="s">
        <v>61</v>
      </c>
      <c r="I463">
        <v>0.12205239302938881</v>
      </c>
      <c r="J463" t="s">
        <v>53</v>
      </c>
    </row>
    <row r="464" spans="2:10" x14ac:dyDescent="0.25">
      <c r="B464" t="s">
        <v>101</v>
      </c>
      <c r="C464" t="s">
        <v>62</v>
      </c>
      <c r="D464">
        <v>8.8044509198992194E-3</v>
      </c>
      <c r="E464" t="s">
        <v>53</v>
      </c>
      <c r="G464" t="s">
        <v>179</v>
      </c>
      <c r="H464" t="s">
        <v>62</v>
      </c>
      <c r="I464">
        <v>4.129958140419325E-2</v>
      </c>
      <c r="J464" t="s">
        <v>53</v>
      </c>
    </row>
    <row r="465" spans="2:10" x14ac:dyDescent="0.25">
      <c r="B465" t="s">
        <v>101</v>
      </c>
      <c r="C465" t="s">
        <v>63</v>
      </c>
      <c r="D465">
        <v>0.23146725330718904</v>
      </c>
      <c r="E465" t="s">
        <v>53</v>
      </c>
      <c r="G465" t="s">
        <v>179</v>
      </c>
      <c r="H465" t="s">
        <v>63</v>
      </c>
      <c r="I465">
        <v>5.6545611398733778E-2</v>
      </c>
      <c r="J465" t="s">
        <v>53</v>
      </c>
    </row>
    <row r="466" spans="2:10" x14ac:dyDescent="0.25">
      <c r="B466" t="s">
        <v>101</v>
      </c>
      <c r="C466" t="s">
        <v>64</v>
      </c>
      <c r="D466">
        <v>1.4385716230365399E-3</v>
      </c>
      <c r="E466" t="s">
        <v>53</v>
      </c>
      <c r="G466" t="s">
        <v>179</v>
      </c>
      <c r="H466" t="s">
        <v>64</v>
      </c>
      <c r="I466">
        <v>2.1456026007953228E-2</v>
      </c>
      <c r="J466" t="s">
        <v>53</v>
      </c>
    </row>
    <row r="467" spans="2:10" x14ac:dyDescent="0.25">
      <c r="B467" t="s">
        <v>102</v>
      </c>
      <c r="C467" t="s">
        <v>52</v>
      </c>
      <c r="D467">
        <v>3.6620089529409592E-3</v>
      </c>
      <c r="E467" t="s">
        <v>53</v>
      </c>
      <c r="G467" t="s">
        <v>180</v>
      </c>
      <c r="H467" t="s">
        <v>52</v>
      </c>
      <c r="I467">
        <v>2.1877636499903215E-2</v>
      </c>
      <c r="J467" t="s">
        <v>53</v>
      </c>
    </row>
    <row r="468" spans="2:10" x14ac:dyDescent="0.25">
      <c r="B468" t="s">
        <v>102</v>
      </c>
      <c r="C468" t="s">
        <v>54</v>
      </c>
      <c r="D468">
        <v>0.29457280553413073</v>
      </c>
      <c r="E468" t="s">
        <v>53</v>
      </c>
      <c r="G468" t="s">
        <v>180</v>
      </c>
      <c r="H468" t="s">
        <v>54</v>
      </c>
      <c r="I468">
        <v>6.2150133249715925E-2</v>
      </c>
      <c r="J468" t="s">
        <v>53</v>
      </c>
    </row>
    <row r="469" spans="2:10" x14ac:dyDescent="0.25">
      <c r="B469" t="s">
        <v>102</v>
      </c>
      <c r="C469" t="s">
        <v>55</v>
      </c>
      <c r="D469">
        <v>3.8706244401061321E-3</v>
      </c>
      <c r="E469" t="s">
        <v>53</v>
      </c>
      <c r="G469" t="s">
        <v>180</v>
      </c>
      <c r="H469" t="s">
        <v>55</v>
      </c>
      <c r="I469">
        <v>6.6674262422994512E-2</v>
      </c>
      <c r="J469" t="s">
        <v>53</v>
      </c>
    </row>
    <row r="470" spans="2:10" x14ac:dyDescent="0.25">
      <c r="B470" t="s">
        <v>102</v>
      </c>
      <c r="C470" t="s">
        <v>56</v>
      </c>
      <c r="D470">
        <v>1.4330865322997714E-2</v>
      </c>
      <c r="E470" t="s">
        <v>53</v>
      </c>
      <c r="G470" t="s">
        <v>180</v>
      </c>
      <c r="H470" t="s">
        <v>56</v>
      </c>
      <c r="I470">
        <v>3.6289505743365036E-2</v>
      </c>
      <c r="J470" t="s">
        <v>53</v>
      </c>
    </row>
    <row r="471" spans="2:10" x14ac:dyDescent="0.25">
      <c r="B471" t="s">
        <v>102</v>
      </c>
      <c r="C471" t="s">
        <v>57</v>
      </c>
      <c r="D471">
        <v>0.26982345838297345</v>
      </c>
      <c r="E471" t="s">
        <v>53</v>
      </c>
      <c r="G471" t="s">
        <v>180</v>
      </c>
      <c r="H471" t="s">
        <v>57</v>
      </c>
      <c r="I471">
        <v>4.76199969332783E-2</v>
      </c>
      <c r="J471" t="s">
        <v>53</v>
      </c>
    </row>
    <row r="472" spans="2:10" x14ac:dyDescent="0.25">
      <c r="B472" t="s">
        <v>102</v>
      </c>
      <c r="C472" t="s">
        <v>58</v>
      </c>
      <c r="D472">
        <v>1.0686664171223938E-2</v>
      </c>
      <c r="E472" t="s">
        <v>53</v>
      </c>
      <c r="G472" t="s">
        <v>180</v>
      </c>
      <c r="H472" t="s">
        <v>58</v>
      </c>
      <c r="I472">
        <v>6.967510800993551E-2</v>
      </c>
      <c r="J472" t="s">
        <v>53</v>
      </c>
    </row>
    <row r="473" spans="2:10" x14ac:dyDescent="0.25">
      <c r="B473" t="s">
        <v>102</v>
      </c>
      <c r="C473" t="s">
        <v>59</v>
      </c>
      <c r="D473">
        <v>8.1751995751030305E-3</v>
      </c>
      <c r="E473" t="s">
        <v>53</v>
      </c>
      <c r="G473" t="s">
        <v>180</v>
      </c>
      <c r="H473" t="s">
        <v>59</v>
      </c>
      <c r="I473">
        <v>0.15183934048391906</v>
      </c>
      <c r="J473" t="s">
        <v>53</v>
      </c>
    </row>
    <row r="474" spans="2:10" x14ac:dyDescent="0.25">
      <c r="B474" t="s">
        <v>102</v>
      </c>
      <c r="C474" t="s">
        <v>60</v>
      </c>
      <c r="D474">
        <v>0.17059955121304357</v>
      </c>
      <c r="E474" t="s">
        <v>53</v>
      </c>
      <c r="G474" t="s">
        <v>180</v>
      </c>
      <c r="H474" t="s">
        <v>60</v>
      </c>
      <c r="I474">
        <v>0.28464978347016123</v>
      </c>
      <c r="J474" t="s">
        <v>53</v>
      </c>
    </row>
    <row r="475" spans="2:10" x14ac:dyDescent="0.25">
      <c r="B475" t="s">
        <v>102</v>
      </c>
      <c r="C475" t="s">
        <v>61</v>
      </c>
      <c r="D475">
        <v>3.3020432368248125E-3</v>
      </c>
      <c r="E475" t="s">
        <v>53</v>
      </c>
      <c r="G475" t="s">
        <v>180</v>
      </c>
      <c r="H475" t="s">
        <v>61</v>
      </c>
      <c r="I475">
        <v>0.12715045347182488</v>
      </c>
      <c r="J475" t="s">
        <v>53</v>
      </c>
    </row>
    <row r="476" spans="2:10" x14ac:dyDescent="0.25">
      <c r="B476" t="s">
        <v>102</v>
      </c>
      <c r="C476" t="s">
        <v>62</v>
      </c>
      <c r="D476">
        <v>6.9161391923901801E-3</v>
      </c>
      <c r="E476" t="s">
        <v>53</v>
      </c>
      <c r="G476" t="s">
        <v>180</v>
      </c>
      <c r="H476" t="s">
        <v>62</v>
      </c>
      <c r="I476">
        <v>3.6256746505310848E-2</v>
      </c>
      <c r="J476" t="s">
        <v>53</v>
      </c>
    </row>
    <row r="477" spans="2:10" x14ac:dyDescent="0.25">
      <c r="B477" t="s">
        <v>102</v>
      </c>
      <c r="C477" t="s">
        <v>63</v>
      </c>
      <c r="D477">
        <v>0.21330292103592186</v>
      </c>
      <c r="E477" t="s">
        <v>53</v>
      </c>
      <c r="G477" t="s">
        <v>180</v>
      </c>
      <c r="H477" t="s">
        <v>63</v>
      </c>
      <c r="I477">
        <v>6.2542577271604741E-2</v>
      </c>
      <c r="J477" t="s">
        <v>53</v>
      </c>
    </row>
    <row r="478" spans="2:10" x14ac:dyDescent="0.25">
      <c r="B478" t="s">
        <v>102</v>
      </c>
      <c r="C478" t="s">
        <v>64</v>
      </c>
      <c r="D478">
        <v>7.5771894234466356E-4</v>
      </c>
      <c r="E478" t="s">
        <v>53</v>
      </c>
      <c r="G478" t="s">
        <v>180</v>
      </c>
      <c r="H478" t="s">
        <v>64</v>
      </c>
      <c r="I478">
        <v>3.3274455937986794E-2</v>
      </c>
      <c r="J478" t="s">
        <v>53</v>
      </c>
    </row>
    <row r="479" spans="2:10" x14ac:dyDescent="0.25">
      <c r="B479" t="s">
        <v>103</v>
      </c>
      <c r="C479" t="s">
        <v>52</v>
      </c>
      <c r="D479">
        <v>2.0172956358783301E-3</v>
      </c>
      <c r="E479" t="s">
        <v>53</v>
      </c>
      <c r="G479" t="s">
        <v>181</v>
      </c>
      <c r="H479" t="s">
        <v>52</v>
      </c>
      <c r="I479">
        <v>6.0212977686913173E-2</v>
      </c>
      <c r="J479" t="s">
        <v>53</v>
      </c>
    </row>
    <row r="480" spans="2:10" x14ac:dyDescent="0.25">
      <c r="B480" t="s">
        <v>103</v>
      </c>
      <c r="C480" t="s">
        <v>54</v>
      </c>
      <c r="D480">
        <v>0.28979832837375624</v>
      </c>
      <c r="E480" t="s">
        <v>53</v>
      </c>
      <c r="G480" t="s">
        <v>181</v>
      </c>
      <c r="H480" t="s">
        <v>54</v>
      </c>
      <c r="I480">
        <v>2.3342779424744484E-2</v>
      </c>
      <c r="J480" t="s">
        <v>53</v>
      </c>
    </row>
    <row r="481" spans="2:10" x14ac:dyDescent="0.25">
      <c r="B481" t="s">
        <v>103</v>
      </c>
      <c r="C481" t="s">
        <v>55</v>
      </c>
      <c r="D481">
        <v>4.3379520972923599E-3</v>
      </c>
      <c r="E481" t="s">
        <v>53</v>
      </c>
      <c r="G481" t="s">
        <v>181</v>
      </c>
      <c r="H481" t="s">
        <v>55</v>
      </c>
      <c r="I481">
        <v>5.4985879089412604E-2</v>
      </c>
      <c r="J481" t="s">
        <v>53</v>
      </c>
    </row>
    <row r="482" spans="2:10" x14ac:dyDescent="0.25">
      <c r="B482" t="s">
        <v>103</v>
      </c>
      <c r="C482" t="s">
        <v>56</v>
      </c>
      <c r="D482">
        <v>1.0015973247355396E-2</v>
      </c>
      <c r="E482" t="s">
        <v>53</v>
      </c>
      <c r="G482" t="s">
        <v>181</v>
      </c>
      <c r="H482" t="s">
        <v>56</v>
      </c>
      <c r="I482">
        <v>9.8912416588864113E-2</v>
      </c>
      <c r="J482" t="s">
        <v>53</v>
      </c>
    </row>
    <row r="483" spans="2:10" x14ac:dyDescent="0.25">
      <c r="B483" t="s">
        <v>103</v>
      </c>
      <c r="C483" t="s">
        <v>57</v>
      </c>
      <c r="D483">
        <v>0.25362294738944086</v>
      </c>
      <c r="E483" t="s">
        <v>53</v>
      </c>
      <c r="G483" t="s">
        <v>181</v>
      </c>
      <c r="H483" t="s">
        <v>57</v>
      </c>
      <c r="I483">
        <v>3.8567958223457086E-2</v>
      </c>
      <c r="J483" t="s">
        <v>53</v>
      </c>
    </row>
    <row r="484" spans="2:10" x14ac:dyDescent="0.25">
      <c r="B484" t="s">
        <v>103</v>
      </c>
      <c r="C484" t="s">
        <v>58</v>
      </c>
      <c r="D484">
        <v>9.7239060368677407E-3</v>
      </c>
      <c r="E484" t="s">
        <v>53</v>
      </c>
      <c r="G484" t="s">
        <v>181</v>
      </c>
      <c r="H484" t="s">
        <v>58</v>
      </c>
      <c r="I484">
        <v>6.5621865661545459E-2</v>
      </c>
      <c r="J484" t="s">
        <v>53</v>
      </c>
    </row>
    <row r="485" spans="2:10" x14ac:dyDescent="0.25">
      <c r="B485" t="s">
        <v>103</v>
      </c>
      <c r="C485" t="s">
        <v>59</v>
      </c>
      <c r="D485">
        <v>6.9326016100109931E-3</v>
      </c>
      <c r="E485" t="s">
        <v>53</v>
      </c>
      <c r="G485" t="s">
        <v>181</v>
      </c>
      <c r="H485" t="s">
        <v>59</v>
      </c>
      <c r="I485">
        <v>0.19101857321604368</v>
      </c>
      <c r="J485" t="s">
        <v>53</v>
      </c>
    </row>
    <row r="486" spans="2:10" x14ac:dyDescent="0.25">
      <c r="B486" t="s">
        <v>103</v>
      </c>
      <c r="C486" t="s">
        <v>60</v>
      </c>
      <c r="D486">
        <v>0.18254022403192549</v>
      </c>
      <c r="E486" t="s">
        <v>53</v>
      </c>
      <c r="G486" t="s">
        <v>181</v>
      </c>
      <c r="H486" t="s">
        <v>60</v>
      </c>
      <c r="I486">
        <v>0.22327897367601049</v>
      </c>
      <c r="J486" t="s">
        <v>53</v>
      </c>
    </row>
    <row r="487" spans="2:10" x14ac:dyDescent="0.25">
      <c r="B487" t="s">
        <v>103</v>
      </c>
      <c r="C487" t="s">
        <v>61</v>
      </c>
      <c r="D487">
        <v>6.0760929491347933E-3</v>
      </c>
      <c r="E487" t="s">
        <v>53</v>
      </c>
      <c r="G487" t="s">
        <v>181</v>
      </c>
      <c r="H487" t="s">
        <v>61</v>
      </c>
      <c r="I487">
        <v>0.11727862652755079</v>
      </c>
      <c r="J487" t="s">
        <v>53</v>
      </c>
    </row>
    <row r="488" spans="2:10" x14ac:dyDescent="0.25">
      <c r="B488" t="s">
        <v>103</v>
      </c>
      <c r="C488" t="s">
        <v>62</v>
      </c>
      <c r="D488">
        <v>7.4747431295126903E-3</v>
      </c>
      <c r="E488" t="s">
        <v>53</v>
      </c>
      <c r="G488" t="s">
        <v>181</v>
      </c>
      <c r="H488" t="s">
        <v>62</v>
      </c>
      <c r="I488">
        <v>5.0447237788336909E-2</v>
      </c>
      <c r="J488" t="s">
        <v>53</v>
      </c>
    </row>
    <row r="489" spans="2:10" x14ac:dyDescent="0.25">
      <c r="B489" t="s">
        <v>103</v>
      </c>
      <c r="C489" t="s">
        <v>63</v>
      </c>
      <c r="D489">
        <v>0.22592317619940805</v>
      </c>
      <c r="E489" t="s">
        <v>53</v>
      </c>
      <c r="G489" t="s">
        <v>181</v>
      </c>
      <c r="H489" t="s">
        <v>63</v>
      </c>
      <c r="I489">
        <v>4.341165221948378E-2</v>
      </c>
      <c r="J489" t="s">
        <v>53</v>
      </c>
    </row>
    <row r="490" spans="2:10" x14ac:dyDescent="0.25">
      <c r="B490" t="s">
        <v>103</v>
      </c>
      <c r="C490" t="s">
        <v>64</v>
      </c>
      <c r="D490">
        <v>1.5367592994167429E-3</v>
      </c>
      <c r="E490" t="s">
        <v>53</v>
      </c>
      <c r="G490" t="s">
        <v>181</v>
      </c>
      <c r="H490" t="s">
        <v>64</v>
      </c>
      <c r="I490">
        <v>3.2921059897638973E-2</v>
      </c>
      <c r="J490" t="s">
        <v>53</v>
      </c>
    </row>
    <row r="491" spans="2:10" x14ac:dyDescent="0.25">
      <c r="B491" t="s">
        <v>104</v>
      </c>
      <c r="C491" t="s">
        <v>52</v>
      </c>
      <c r="D491">
        <v>3.0790047134520121E-3</v>
      </c>
      <c r="E491" t="s">
        <v>53</v>
      </c>
      <c r="G491" t="s">
        <v>182</v>
      </c>
      <c r="H491" t="s">
        <v>52</v>
      </c>
      <c r="I491">
        <v>7.7801355225183486E-2</v>
      </c>
      <c r="J491" t="s">
        <v>53</v>
      </c>
    </row>
    <row r="492" spans="2:10" x14ac:dyDescent="0.25">
      <c r="B492" t="s">
        <v>104</v>
      </c>
      <c r="C492" t="s">
        <v>54</v>
      </c>
      <c r="D492">
        <v>0.26664338432251516</v>
      </c>
      <c r="E492" t="s">
        <v>53</v>
      </c>
      <c r="G492" t="s">
        <v>182</v>
      </c>
      <c r="H492" t="s">
        <v>54</v>
      </c>
      <c r="I492">
        <v>2.7969716874242604E-2</v>
      </c>
      <c r="J492" t="s">
        <v>53</v>
      </c>
    </row>
    <row r="493" spans="2:10" x14ac:dyDescent="0.25">
      <c r="B493" t="s">
        <v>104</v>
      </c>
      <c r="C493" t="s">
        <v>55</v>
      </c>
      <c r="D493">
        <v>2.0094514384526138E-3</v>
      </c>
      <c r="E493" t="s">
        <v>53</v>
      </c>
      <c r="G493" t="s">
        <v>182</v>
      </c>
      <c r="H493" t="s">
        <v>55</v>
      </c>
      <c r="I493">
        <v>4.9190700872784605E-2</v>
      </c>
      <c r="J493" t="s">
        <v>53</v>
      </c>
    </row>
    <row r="494" spans="2:10" x14ac:dyDescent="0.25">
      <c r="B494" t="s">
        <v>104</v>
      </c>
      <c r="C494" t="s">
        <v>56</v>
      </c>
      <c r="D494">
        <v>1.2895321183114651E-2</v>
      </c>
      <c r="E494" t="s">
        <v>53</v>
      </c>
      <c r="G494" t="s">
        <v>182</v>
      </c>
      <c r="H494" t="s">
        <v>56</v>
      </c>
      <c r="I494">
        <v>0.10331984087164839</v>
      </c>
      <c r="J494" t="s">
        <v>53</v>
      </c>
    </row>
    <row r="495" spans="2:10" x14ac:dyDescent="0.25">
      <c r="B495" t="s">
        <v>104</v>
      </c>
      <c r="C495" t="s">
        <v>57</v>
      </c>
      <c r="D495">
        <v>0.24534617217182916</v>
      </c>
      <c r="E495" t="s">
        <v>53</v>
      </c>
      <c r="G495" t="s">
        <v>182</v>
      </c>
      <c r="H495" t="s">
        <v>57</v>
      </c>
      <c r="I495">
        <v>3.8568429280271557E-2</v>
      </c>
      <c r="J495" t="s">
        <v>53</v>
      </c>
    </row>
    <row r="496" spans="2:10" x14ac:dyDescent="0.25">
      <c r="B496" t="s">
        <v>104</v>
      </c>
      <c r="C496" t="s">
        <v>58</v>
      </c>
      <c r="D496">
        <v>8.4467710675955841E-3</v>
      </c>
      <c r="E496" t="s">
        <v>53</v>
      </c>
      <c r="G496" t="s">
        <v>182</v>
      </c>
      <c r="H496" t="s">
        <v>58</v>
      </c>
      <c r="I496">
        <v>6.8040583285305906E-2</v>
      </c>
      <c r="J496" t="s">
        <v>53</v>
      </c>
    </row>
    <row r="497" spans="2:10" x14ac:dyDescent="0.25">
      <c r="B497" t="s">
        <v>104</v>
      </c>
      <c r="C497" t="s">
        <v>59</v>
      </c>
      <c r="D497">
        <v>8.5989833849546317E-3</v>
      </c>
      <c r="E497" t="s">
        <v>53</v>
      </c>
      <c r="G497" t="s">
        <v>182</v>
      </c>
      <c r="H497" t="s">
        <v>59</v>
      </c>
      <c r="I497">
        <v>0.14448966885139103</v>
      </c>
      <c r="J497" t="s">
        <v>53</v>
      </c>
    </row>
    <row r="498" spans="2:10" x14ac:dyDescent="0.25">
      <c r="B498" t="s">
        <v>104</v>
      </c>
      <c r="C498" t="s">
        <v>60</v>
      </c>
      <c r="D498">
        <v>0.18985691764385021</v>
      </c>
      <c r="E498" t="s">
        <v>53</v>
      </c>
      <c r="G498" t="s">
        <v>182</v>
      </c>
      <c r="H498" t="s">
        <v>60</v>
      </c>
      <c r="I498">
        <v>0.21454220916969646</v>
      </c>
      <c r="J498" t="s">
        <v>53</v>
      </c>
    </row>
    <row r="499" spans="2:10" x14ac:dyDescent="0.25">
      <c r="B499" t="s">
        <v>104</v>
      </c>
      <c r="C499" t="s">
        <v>61</v>
      </c>
      <c r="D499">
        <v>7.2280616170390553E-3</v>
      </c>
      <c r="E499" t="s">
        <v>53</v>
      </c>
      <c r="G499" t="s">
        <v>182</v>
      </c>
      <c r="H499" t="s">
        <v>61</v>
      </c>
      <c r="I499">
        <v>0.12734895549932984</v>
      </c>
      <c r="J499" t="s">
        <v>53</v>
      </c>
    </row>
    <row r="500" spans="2:10" x14ac:dyDescent="0.25">
      <c r="B500" t="s">
        <v>104</v>
      </c>
      <c r="C500" t="s">
        <v>62</v>
      </c>
      <c r="D500">
        <v>1.0125674683918727E-2</v>
      </c>
      <c r="E500" t="s">
        <v>53</v>
      </c>
      <c r="G500" t="s">
        <v>182</v>
      </c>
      <c r="H500" t="s">
        <v>62</v>
      </c>
      <c r="I500">
        <v>5.1765412224253897E-2</v>
      </c>
      <c r="J500" t="s">
        <v>53</v>
      </c>
    </row>
    <row r="501" spans="2:10" x14ac:dyDescent="0.25">
      <c r="B501" t="s">
        <v>104</v>
      </c>
      <c r="C501" t="s">
        <v>63</v>
      </c>
      <c r="D501">
        <v>0.24420544083238874</v>
      </c>
      <c r="E501" t="s">
        <v>53</v>
      </c>
      <c r="G501" t="s">
        <v>182</v>
      </c>
      <c r="H501" t="s">
        <v>63</v>
      </c>
      <c r="I501">
        <v>4.9712957177921339E-2</v>
      </c>
      <c r="J501" t="s">
        <v>53</v>
      </c>
    </row>
    <row r="502" spans="2:10" x14ac:dyDescent="0.25">
      <c r="B502" t="s">
        <v>104</v>
      </c>
      <c r="C502" t="s">
        <v>64</v>
      </c>
      <c r="D502">
        <v>1.564816940888232E-3</v>
      </c>
      <c r="E502" t="s">
        <v>53</v>
      </c>
      <c r="G502" t="s">
        <v>182</v>
      </c>
      <c r="H502" t="s">
        <v>64</v>
      </c>
      <c r="I502">
        <v>4.7250170667969695E-2</v>
      </c>
      <c r="J502" t="s">
        <v>53</v>
      </c>
    </row>
    <row r="503" spans="2:10" x14ac:dyDescent="0.25">
      <c r="B503" t="s">
        <v>105</v>
      </c>
      <c r="C503" t="s">
        <v>52</v>
      </c>
      <c r="D503">
        <v>5.5656969701172072E-3</v>
      </c>
      <c r="E503" t="s">
        <v>53</v>
      </c>
      <c r="G503" t="s">
        <v>183</v>
      </c>
      <c r="H503" t="s">
        <v>52</v>
      </c>
      <c r="I503">
        <v>4.3176097892485991E-2</v>
      </c>
      <c r="J503" t="s">
        <v>53</v>
      </c>
    </row>
    <row r="504" spans="2:10" x14ac:dyDescent="0.25">
      <c r="B504" t="s">
        <v>105</v>
      </c>
      <c r="C504" t="s">
        <v>54</v>
      </c>
      <c r="D504">
        <v>0.26452135320174003</v>
      </c>
      <c r="E504" t="s">
        <v>53</v>
      </c>
      <c r="G504" t="s">
        <v>183</v>
      </c>
      <c r="H504" t="s">
        <v>54</v>
      </c>
      <c r="I504">
        <v>3.147142295761414E-2</v>
      </c>
      <c r="J504" t="s">
        <v>53</v>
      </c>
    </row>
    <row r="505" spans="2:10" x14ac:dyDescent="0.25">
      <c r="B505" t="s">
        <v>105</v>
      </c>
      <c r="C505" t="s">
        <v>55</v>
      </c>
      <c r="D505">
        <v>1.2072844376105065E-4</v>
      </c>
      <c r="E505" t="s">
        <v>53</v>
      </c>
      <c r="G505" t="s">
        <v>183</v>
      </c>
      <c r="H505" t="s">
        <v>55</v>
      </c>
      <c r="I505">
        <v>6.1532057629768863E-2</v>
      </c>
      <c r="J505" t="s">
        <v>53</v>
      </c>
    </row>
    <row r="506" spans="2:10" x14ac:dyDescent="0.25">
      <c r="B506" t="s">
        <v>105</v>
      </c>
      <c r="C506" t="s">
        <v>56</v>
      </c>
      <c r="D506">
        <v>1.5267750908284696E-2</v>
      </c>
      <c r="E506" t="s">
        <v>53</v>
      </c>
      <c r="G506" t="s">
        <v>183</v>
      </c>
      <c r="H506" t="s">
        <v>56</v>
      </c>
      <c r="I506">
        <v>7.3905693851739368E-2</v>
      </c>
      <c r="J506" t="s">
        <v>53</v>
      </c>
    </row>
    <row r="507" spans="2:10" x14ac:dyDescent="0.25">
      <c r="B507" t="s">
        <v>105</v>
      </c>
      <c r="C507" t="s">
        <v>57</v>
      </c>
      <c r="D507">
        <v>0.24171099233588034</v>
      </c>
      <c r="E507" t="s">
        <v>53</v>
      </c>
      <c r="G507" t="s">
        <v>183</v>
      </c>
      <c r="H507" t="s">
        <v>57</v>
      </c>
      <c r="I507">
        <v>3.6807017446028267E-2</v>
      </c>
      <c r="J507" t="s">
        <v>53</v>
      </c>
    </row>
    <row r="508" spans="2:10" x14ac:dyDescent="0.25">
      <c r="B508" t="s">
        <v>105</v>
      </c>
      <c r="C508" t="s">
        <v>58</v>
      </c>
      <c r="D508">
        <v>8.1822487193365257E-3</v>
      </c>
      <c r="E508" t="s">
        <v>53</v>
      </c>
      <c r="G508" t="s">
        <v>183</v>
      </c>
      <c r="H508" t="s">
        <v>58</v>
      </c>
      <c r="I508">
        <v>6.3880853950606317E-2</v>
      </c>
      <c r="J508" t="s">
        <v>53</v>
      </c>
    </row>
    <row r="509" spans="2:10" x14ac:dyDescent="0.25">
      <c r="B509" t="s">
        <v>105</v>
      </c>
      <c r="C509" t="s">
        <v>59</v>
      </c>
      <c r="D509">
        <v>1.14227699098379E-2</v>
      </c>
      <c r="E509" t="s">
        <v>53</v>
      </c>
      <c r="G509" t="s">
        <v>183</v>
      </c>
      <c r="H509" t="s">
        <v>59</v>
      </c>
      <c r="I509">
        <v>0.17504914368220484</v>
      </c>
      <c r="J509" t="s">
        <v>53</v>
      </c>
    </row>
    <row r="510" spans="2:10" x14ac:dyDescent="0.25">
      <c r="B510" t="s">
        <v>105</v>
      </c>
      <c r="C510" t="s">
        <v>60</v>
      </c>
      <c r="D510">
        <v>0.18768105699202059</v>
      </c>
      <c r="E510" t="s">
        <v>53</v>
      </c>
      <c r="G510" t="s">
        <v>183</v>
      </c>
      <c r="H510" t="s">
        <v>60</v>
      </c>
      <c r="I510">
        <v>0.24059411973504413</v>
      </c>
      <c r="J510" t="s">
        <v>53</v>
      </c>
    </row>
    <row r="511" spans="2:10" x14ac:dyDescent="0.25">
      <c r="B511" t="s">
        <v>105</v>
      </c>
      <c r="C511" t="s">
        <v>61</v>
      </c>
      <c r="D511">
        <v>5.5135628513553808E-3</v>
      </c>
      <c r="E511" t="s">
        <v>53</v>
      </c>
      <c r="G511" t="s">
        <v>183</v>
      </c>
      <c r="H511" t="s">
        <v>61</v>
      </c>
      <c r="I511">
        <v>0.13289182063010765</v>
      </c>
      <c r="J511" t="s">
        <v>53</v>
      </c>
    </row>
    <row r="512" spans="2:10" x14ac:dyDescent="0.25">
      <c r="B512" t="s">
        <v>105</v>
      </c>
      <c r="C512" t="s">
        <v>62</v>
      </c>
      <c r="D512">
        <v>1.2663378363191896E-2</v>
      </c>
      <c r="E512" t="s">
        <v>53</v>
      </c>
      <c r="G512" t="s">
        <v>183</v>
      </c>
      <c r="H512" t="s">
        <v>62</v>
      </c>
      <c r="I512">
        <v>4.9281642817321843E-2</v>
      </c>
      <c r="J512" t="s">
        <v>53</v>
      </c>
    </row>
    <row r="513" spans="2:10" x14ac:dyDescent="0.25">
      <c r="B513" t="s">
        <v>105</v>
      </c>
      <c r="C513" t="s">
        <v>63</v>
      </c>
      <c r="D513">
        <v>0.24615118159480745</v>
      </c>
      <c r="E513" t="s">
        <v>53</v>
      </c>
      <c r="G513" t="s">
        <v>183</v>
      </c>
      <c r="H513" t="s">
        <v>63</v>
      </c>
      <c r="I513">
        <v>5.1713238234728003E-2</v>
      </c>
      <c r="J513" t="s">
        <v>53</v>
      </c>
    </row>
    <row r="514" spans="2:10" x14ac:dyDescent="0.25">
      <c r="B514" t="s">
        <v>105</v>
      </c>
      <c r="C514" t="s">
        <v>64</v>
      </c>
      <c r="D514">
        <v>1.1992797096654949E-3</v>
      </c>
      <c r="E514" t="s">
        <v>53</v>
      </c>
      <c r="G514" t="s">
        <v>183</v>
      </c>
      <c r="H514" t="s">
        <v>64</v>
      </c>
      <c r="I514">
        <v>3.9696891172347606E-2</v>
      </c>
      <c r="J514" t="s">
        <v>53</v>
      </c>
    </row>
    <row r="515" spans="2:10" x14ac:dyDescent="0.25">
      <c r="B515" t="s">
        <v>106</v>
      </c>
      <c r="C515" t="s">
        <v>52</v>
      </c>
      <c r="D515">
        <v>5.0115572922896767E-3</v>
      </c>
      <c r="E515" t="s">
        <v>53</v>
      </c>
      <c r="G515" t="s">
        <v>184</v>
      </c>
      <c r="H515" t="s">
        <v>52</v>
      </c>
      <c r="I515">
        <v>4.0529633425979518E-2</v>
      </c>
      <c r="J515" t="s">
        <v>53</v>
      </c>
    </row>
    <row r="516" spans="2:10" x14ac:dyDescent="0.25">
      <c r="B516" t="s">
        <v>106</v>
      </c>
      <c r="C516" t="s">
        <v>54</v>
      </c>
      <c r="D516">
        <v>0.26807704336750865</v>
      </c>
      <c r="E516" t="s">
        <v>53</v>
      </c>
      <c r="G516" t="s">
        <v>184</v>
      </c>
      <c r="H516" t="s">
        <v>54</v>
      </c>
      <c r="I516">
        <v>5.9541536616487478E-2</v>
      </c>
      <c r="J516" t="s">
        <v>53</v>
      </c>
    </row>
    <row r="517" spans="2:10" x14ac:dyDescent="0.25">
      <c r="B517" t="s">
        <v>106</v>
      </c>
      <c r="C517" t="s">
        <v>55</v>
      </c>
      <c r="D517">
        <v>2.4447087929990236E-4</v>
      </c>
      <c r="E517" t="s">
        <v>53</v>
      </c>
      <c r="G517" t="s">
        <v>184</v>
      </c>
      <c r="H517" t="s">
        <v>55</v>
      </c>
      <c r="I517">
        <v>7.2245067239849289E-2</v>
      </c>
      <c r="J517" t="s">
        <v>53</v>
      </c>
    </row>
    <row r="518" spans="2:10" x14ac:dyDescent="0.25">
      <c r="B518" t="s">
        <v>106</v>
      </c>
      <c r="C518" t="s">
        <v>56</v>
      </c>
      <c r="D518">
        <v>1.5266491369013971E-2</v>
      </c>
      <c r="E518" t="s">
        <v>53</v>
      </c>
      <c r="G518" t="s">
        <v>184</v>
      </c>
      <c r="H518" t="s">
        <v>56</v>
      </c>
      <c r="I518">
        <v>3.5041513835966744E-2</v>
      </c>
      <c r="J518" t="s">
        <v>53</v>
      </c>
    </row>
    <row r="519" spans="2:10" x14ac:dyDescent="0.25">
      <c r="B519" t="s">
        <v>106</v>
      </c>
      <c r="C519" t="s">
        <v>57</v>
      </c>
      <c r="D519">
        <v>0.2345948344343616</v>
      </c>
      <c r="E519" t="s">
        <v>53</v>
      </c>
      <c r="G519" t="s">
        <v>184</v>
      </c>
      <c r="H519" t="s">
        <v>57</v>
      </c>
      <c r="I519">
        <v>0.10043350289043909</v>
      </c>
      <c r="J519" t="s">
        <v>53</v>
      </c>
    </row>
    <row r="520" spans="2:10" x14ac:dyDescent="0.25">
      <c r="B520" t="s">
        <v>106</v>
      </c>
      <c r="C520" t="s">
        <v>58</v>
      </c>
      <c r="D520">
        <v>7.7857842290620293E-3</v>
      </c>
      <c r="E520" t="s">
        <v>53</v>
      </c>
      <c r="G520" t="s">
        <v>184</v>
      </c>
      <c r="H520" t="s">
        <v>58</v>
      </c>
      <c r="I520">
        <v>5.6396626609025613E-2</v>
      </c>
      <c r="J520" t="s">
        <v>53</v>
      </c>
    </row>
    <row r="521" spans="2:10" x14ac:dyDescent="0.25">
      <c r="B521" t="s">
        <v>106</v>
      </c>
      <c r="C521" t="s">
        <v>59</v>
      </c>
      <c r="D521">
        <v>1.129061630813016E-2</v>
      </c>
      <c r="E521" t="s">
        <v>53</v>
      </c>
      <c r="G521" t="s">
        <v>184</v>
      </c>
      <c r="H521" t="s">
        <v>59</v>
      </c>
      <c r="I521">
        <v>0.15992773068971658</v>
      </c>
      <c r="J521" t="s">
        <v>53</v>
      </c>
    </row>
    <row r="522" spans="2:10" x14ac:dyDescent="0.25">
      <c r="B522" t="s">
        <v>106</v>
      </c>
      <c r="C522" t="s">
        <v>60</v>
      </c>
      <c r="D522">
        <v>0.18628722372658846</v>
      </c>
      <c r="E522" t="s">
        <v>53</v>
      </c>
      <c r="G522" t="s">
        <v>184</v>
      </c>
      <c r="H522" t="s">
        <v>60</v>
      </c>
      <c r="I522">
        <v>0.22846664305870831</v>
      </c>
      <c r="J522" t="s">
        <v>53</v>
      </c>
    </row>
    <row r="523" spans="2:10" x14ac:dyDescent="0.25">
      <c r="B523" t="s">
        <v>106</v>
      </c>
      <c r="C523" t="s">
        <v>61</v>
      </c>
      <c r="D523">
        <v>5.6657918494802898E-3</v>
      </c>
      <c r="E523" t="s">
        <v>53</v>
      </c>
      <c r="G523" t="s">
        <v>184</v>
      </c>
      <c r="H523" t="s">
        <v>61</v>
      </c>
      <c r="I523">
        <v>0.12648778268460081</v>
      </c>
      <c r="J523" t="s">
        <v>53</v>
      </c>
    </row>
    <row r="524" spans="2:10" x14ac:dyDescent="0.25">
      <c r="B524" t="s">
        <v>106</v>
      </c>
      <c r="C524" t="s">
        <v>62</v>
      </c>
      <c r="D524">
        <v>1.3111695858801578E-2</v>
      </c>
      <c r="E524" t="s">
        <v>53</v>
      </c>
      <c r="G524" t="s">
        <v>184</v>
      </c>
      <c r="H524" t="s">
        <v>62</v>
      </c>
      <c r="I524">
        <v>2.8220769672308965E-2</v>
      </c>
      <c r="J524" t="s">
        <v>53</v>
      </c>
    </row>
    <row r="525" spans="2:10" x14ac:dyDescent="0.25">
      <c r="B525" t="s">
        <v>106</v>
      </c>
      <c r="C525" t="s">
        <v>63</v>
      </c>
      <c r="D525">
        <v>0.25133404821511512</v>
      </c>
      <c r="E525" t="s">
        <v>53</v>
      </c>
      <c r="G525" t="s">
        <v>184</v>
      </c>
      <c r="H525" t="s">
        <v>63</v>
      </c>
      <c r="I525">
        <v>5.5831797501761676E-2</v>
      </c>
      <c r="J525" t="s">
        <v>53</v>
      </c>
    </row>
    <row r="526" spans="2:10" x14ac:dyDescent="0.25">
      <c r="B526" t="s">
        <v>106</v>
      </c>
      <c r="C526" t="s">
        <v>64</v>
      </c>
      <c r="D526">
        <v>1.3304424703483721E-3</v>
      </c>
      <c r="E526" t="s">
        <v>53</v>
      </c>
      <c r="G526" t="s">
        <v>184</v>
      </c>
      <c r="H526" t="s">
        <v>64</v>
      </c>
      <c r="I526">
        <v>3.6877395775159257E-2</v>
      </c>
      <c r="J526" t="s">
        <v>53</v>
      </c>
    </row>
    <row r="527" spans="2:10" x14ac:dyDescent="0.25">
      <c r="B527" t="s">
        <v>107</v>
      </c>
      <c r="C527" t="s">
        <v>52</v>
      </c>
      <c r="D527">
        <v>3.1240722703766607E-4</v>
      </c>
      <c r="E527" t="s">
        <v>53</v>
      </c>
      <c r="G527" t="s">
        <v>185</v>
      </c>
      <c r="H527" t="s">
        <v>52</v>
      </c>
      <c r="I527">
        <v>4.0316681534285193E-2</v>
      </c>
      <c r="J527" t="s">
        <v>53</v>
      </c>
    </row>
    <row r="528" spans="2:10" x14ac:dyDescent="0.25">
      <c r="B528" t="s">
        <v>107</v>
      </c>
      <c r="C528" t="s">
        <v>54</v>
      </c>
      <c r="D528">
        <v>0.27900240407208554</v>
      </c>
      <c r="E528" t="s">
        <v>53</v>
      </c>
      <c r="G528" t="s">
        <v>185</v>
      </c>
      <c r="H528" t="s">
        <v>54</v>
      </c>
      <c r="I528">
        <v>4.8039078308606251E-2</v>
      </c>
      <c r="J528" t="s">
        <v>53</v>
      </c>
    </row>
    <row r="529" spans="2:10" x14ac:dyDescent="0.25">
      <c r="B529" t="s">
        <v>107</v>
      </c>
      <c r="C529" t="s">
        <v>55</v>
      </c>
      <c r="D529">
        <v>4.6299902514046806E-3</v>
      </c>
      <c r="E529" t="s">
        <v>53</v>
      </c>
      <c r="G529" t="s">
        <v>185</v>
      </c>
      <c r="H529" t="s">
        <v>55</v>
      </c>
      <c r="I529">
        <v>2.7395192933064014E-2</v>
      </c>
      <c r="J529" t="s">
        <v>53</v>
      </c>
    </row>
    <row r="530" spans="2:10" x14ac:dyDescent="0.25">
      <c r="B530" t="s">
        <v>107</v>
      </c>
      <c r="C530" t="s">
        <v>56</v>
      </c>
      <c r="D530">
        <v>1.1281211062767285E-2</v>
      </c>
      <c r="E530" t="s">
        <v>53</v>
      </c>
      <c r="G530" t="s">
        <v>185</v>
      </c>
      <c r="H530" t="s">
        <v>56</v>
      </c>
      <c r="I530">
        <v>2.2907643501079822E-2</v>
      </c>
      <c r="J530" t="s">
        <v>53</v>
      </c>
    </row>
    <row r="531" spans="2:10" x14ac:dyDescent="0.25">
      <c r="B531" t="s">
        <v>107</v>
      </c>
      <c r="C531" t="s">
        <v>57</v>
      </c>
      <c r="D531">
        <v>0.26128371247946053</v>
      </c>
      <c r="E531" t="s">
        <v>53</v>
      </c>
      <c r="G531" t="s">
        <v>185</v>
      </c>
      <c r="H531" t="s">
        <v>57</v>
      </c>
      <c r="I531">
        <v>7.6735763135812401E-2</v>
      </c>
      <c r="J531" t="s">
        <v>53</v>
      </c>
    </row>
    <row r="532" spans="2:10" x14ac:dyDescent="0.25">
      <c r="B532" t="s">
        <v>107</v>
      </c>
      <c r="C532" t="s">
        <v>58</v>
      </c>
      <c r="D532">
        <v>1.0712785572987807E-2</v>
      </c>
      <c r="E532" t="s">
        <v>53</v>
      </c>
      <c r="G532" t="s">
        <v>185</v>
      </c>
      <c r="H532" t="s">
        <v>58</v>
      </c>
      <c r="I532">
        <v>4.2498078657939219E-2</v>
      </c>
      <c r="J532" t="s">
        <v>53</v>
      </c>
    </row>
    <row r="533" spans="2:10" x14ac:dyDescent="0.25">
      <c r="B533" t="s">
        <v>107</v>
      </c>
      <c r="C533" t="s">
        <v>59</v>
      </c>
      <c r="D533">
        <v>5.340246895541377E-3</v>
      </c>
      <c r="E533" t="s">
        <v>53</v>
      </c>
      <c r="G533" t="s">
        <v>185</v>
      </c>
      <c r="H533" t="s">
        <v>59</v>
      </c>
      <c r="I533">
        <v>0.16910132210469853</v>
      </c>
      <c r="J533" t="s">
        <v>53</v>
      </c>
    </row>
    <row r="534" spans="2:10" x14ac:dyDescent="0.25">
      <c r="B534" t="s">
        <v>107</v>
      </c>
      <c r="C534" t="s">
        <v>60</v>
      </c>
      <c r="D534">
        <v>0.17502551222966298</v>
      </c>
      <c r="E534" t="s">
        <v>53</v>
      </c>
      <c r="G534" t="s">
        <v>185</v>
      </c>
      <c r="H534" t="s">
        <v>60</v>
      </c>
      <c r="I534">
        <v>0.30639417623823034</v>
      </c>
      <c r="J534" t="s">
        <v>53</v>
      </c>
    </row>
    <row r="535" spans="2:10" x14ac:dyDescent="0.25">
      <c r="B535" t="s">
        <v>107</v>
      </c>
      <c r="C535" t="s">
        <v>61</v>
      </c>
      <c r="D535">
        <v>7.125439091926246E-3</v>
      </c>
      <c r="E535" t="s">
        <v>53</v>
      </c>
      <c r="G535" t="s">
        <v>185</v>
      </c>
      <c r="H535" t="s">
        <v>61</v>
      </c>
      <c r="I535">
        <v>0.13579024140700474</v>
      </c>
      <c r="J535" t="s">
        <v>53</v>
      </c>
    </row>
    <row r="536" spans="2:10" x14ac:dyDescent="0.25">
      <c r="B536" t="s">
        <v>107</v>
      </c>
      <c r="C536" t="s">
        <v>62</v>
      </c>
      <c r="D536">
        <v>7.6070529824246325E-3</v>
      </c>
      <c r="E536" t="s">
        <v>53</v>
      </c>
      <c r="G536" t="s">
        <v>185</v>
      </c>
      <c r="H536" t="s">
        <v>62</v>
      </c>
      <c r="I536">
        <v>3.4602378140933303E-2</v>
      </c>
      <c r="J536" t="s">
        <v>53</v>
      </c>
    </row>
    <row r="537" spans="2:10" x14ac:dyDescent="0.25">
      <c r="B537" t="s">
        <v>107</v>
      </c>
      <c r="C537" t="s">
        <v>63</v>
      </c>
      <c r="D537">
        <v>0.23554174724347704</v>
      </c>
      <c r="E537" t="s">
        <v>53</v>
      </c>
      <c r="G537" t="s">
        <v>185</v>
      </c>
      <c r="H537" t="s">
        <v>63</v>
      </c>
      <c r="I537">
        <v>7.3231187635737563E-2</v>
      </c>
      <c r="J537" t="s">
        <v>53</v>
      </c>
    </row>
    <row r="538" spans="2:10" x14ac:dyDescent="0.25">
      <c r="B538" t="s">
        <v>107</v>
      </c>
      <c r="C538" t="s">
        <v>64</v>
      </c>
      <c r="D538">
        <v>2.137490891227192E-3</v>
      </c>
      <c r="E538" t="s">
        <v>53</v>
      </c>
      <c r="G538" t="s">
        <v>185</v>
      </c>
      <c r="H538" t="s">
        <v>64</v>
      </c>
      <c r="I538">
        <v>2.298825640261155E-2</v>
      </c>
      <c r="J538" t="s">
        <v>53</v>
      </c>
    </row>
    <row r="539" spans="2:10" x14ac:dyDescent="0.25">
      <c r="B539" t="s">
        <v>108</v>
      </c>
      <c r="C539" t="s">
        <v>52</v>
      </c>
      <c r="D539">
        <v>0</v>
      </c>
      <c r="E539" t="s">
        <v>53</v>
      </c>
      <c r="G539" t="s">
        <v>186</v>
      </c>
      <c r="H539" t="s">
        <v>52</v>
      </c>
      <c r="I539">
        <v>3.1623222250723587E-2</v>
      </c>
      <c r="J539" t="s">
        <v>53</v>
      </c>
    </row>
    <row r="540" spans="2:10" x14ac:dyDescent="0.25">
      <c r="B540" t="s">
        <v>108</v>
      </c>
      <c r="C540" t="s">
        <v>54</v>
      </c>
      <c r="D540">
        <v>0.27257331703961957</v>
      </c>
      <c r="E540" t="s">
        <v>53</v>
      </c>
      <c r="G540" t="s">
        <v>186</v>
      </c>
      <c r="H540" t="s">
        <v>54</v>
      </c>
      <c r="I540">
        <v>5.2302882721839777E-2</v>
      </c>
      <c r="J540" t="s">
        <v>53</v>
      </c>
    </row>
    <row r="541" spans="2:10" x14ac:dyDescent="0.25">
      <c r="B541" t="s">
        <v>108</v>
      </c>
      <c r="C541" t="s">
        <v>55</v>
      </c>
      <c r="D541">
        <v>5.9988886320252411E-3</v>
      </c>
      <c r="E541" t="s">
        <v>53</v>
      </c>
      <c r="G541" t="s">
        <v>186</v>
      </c>
      <c r="H541" t="s">
        <v>55</v>
      </c>
      <c r="I541">
        <v>4.5106373060434544E-2</v>
      </c>
      <c r="J541" t="s">
        <v>53</v>
      </c>
    </row>
    <row r="542" spans="2:10" x14ac:dyDescent="0.25">
      <c r="B542" t="s">
        <v>108</v>
      </c>
      <c r="C542" t="s">
        <v>56</v>
      </c>
      <c r="D542">
        <v>1.0985751543108968E-2</v>
      </c>
      <c r="E542" t="s">
        <v>53</v>
      </c>
      <c r="G542" t="s">
        <v>186</v>
      </c>
      <c r="H542" t="s">
        <v>56</v>
      </c>
      <c r="I542">
        <v>4.5847114492458013E-2</v>
      </c>
      <c r="J542" t="s">
        <v>53</v>
      </c>
    </row>
    <row r="543" spans="2:10" x14ac:dyDescent="0.25">
      <c r="B543" t="s">
        <v>108</v>
      </c>
      <c r="C543" t="s">
        <v>57</v>
      </c>
      <c r="D543">
        <v>0.27105268677655364</v>
      </c>
      <c r="E543" t="s">
        <v>53</v>
      </c>
      <c r="G543" t="s">
        <v>186</v>
      </c>
      <c r="H543" t="s">
        <v>57</v>
      </c>
      <c r="I543">
        <v>6.9940789594547192E-2</v>
      </c>
      <c r="J543" t="s">
        <v>53</v>
      </c>
    </row>
    <row r="544" spans="2:10" x14ac:dyDescent="0.25">
      <c r="B544" t="s">
        <v>108</v>
      </c>
      <c r="C544" t="s">
        <v>58</v>
      </c>
      <c r="D544">
        <v>1.2865218770348104E-2</v>
      </c>
      <c r="E544" t="s">
        <v>53</v>
      </c>
      <c r="G544" t="s">
        <v>186</v>
      </c>
      <c r="H544" t="s">
        <v>58</v>
      </c>
      <c r="I544">
        <v>6.2410291114790496E-2</v>
      </c>
      <c r="J544" t="s">
        <v>53</v>
      </c>
    </row>
    <row r="545" spans="2:10" x14ac:dyDescent="0.25">
      <c r="B545" t="s">
        <v>108</v>
      </c>
      <c r="C545" t="s">
        <v>59</v>
      </c>
      <c r="D545">
        <v>4.0394827445464059E-3</v>
      </c>
      <c r="E545" t="s">
        <v>53</v>
      </c>
      <c r="G545" t="s">
        <v>186</v>
      </c>
      <c r="H545" t="s">
        <v>59</v>
      </c>
      <c r="I545">
        <v>0.14381923201747668</v>
      </c>
      <c r="J545" t="s">
        <v>53</v>
      </c>
    </row>
    <row r="546" spans="2:10" x14ac:dyDescent="0.25">
      <c r="B546" t="s">
        <v>108</v>
      </c>
      <c r="C546" t="s">
        <v>60</v>
      </c>
      <c r="D546">
        <v>0.16055815775843787</v>
      </c>
      <c r="E546" t="s">
        <v>53</v>
      </c>
      <c r="G546" t="s">
        <v>186</v>
      </c>
      <c r="H546" t="s">
        <v>60</v>
      </c>
      <c r="I546">
        <v>0.23214118649958987</v>
      </c>
      <c r="J546" t="s">
        <v>53</v>
      </c>
    </row>
    <row r="547" spans="2:10" x14ac:dyDescent="0.25">
      <c r="B547" t="s">
        <v>108</v>
      </c>
      <c r="C547" t="s">
        <v>61</v>
      </c>
      <c r="D547">
        <v>8.0843228916439528E-3</v>
      </c>
      <c r="E547" t="s">
        <v>53</v>
      </c>
      <c r="G547" t="s">
        <v>186</v>
      </c>
      <c r="H547" t="s">
        <v>61</v>
      </c>
      <c r="I547">
        <v>0.13075016685488522</v>
      </c>
      <c r="J547" t="s">
        <v>53</v>
      </c>
    </row>
    <row r="548" spans="2:10" x14ac:dyDescent="0.25">
      <c r="B548" t="s">
        <v>108</v>
      </c>
      <c r="C548" t="s">
        <v>62</v>
      </c>
      <c r="D548">
        <v>6.7474108144908113E-3</v>
      </c>
      <c r="E548" t="s">
        <v>53</v>
      </c>
      <c r="G548" t="s">
        <v>186</v>
      </c>
      <c r="H548" t="s">
        <v>62</v>
      </c>
      <c r="I548">
        <v>4.8864573169056305E-2</v>
      </c>
      <c r="J548" t="s">
        <v>53</v>
      </c>
    </row>
    <row r="549" spans="2:10" x14ac:dyDescent="0.25">
      <c r="B549" t="s">
        <v>108</v>
      </c>
      <c r="C549" t="s">
        <v>63</v>
      </c>
      <c r="D549">
        <v>0.24370906894235214</v>
      </c>
      <c r="E549" t="s">
        <v>53</v>
      </c>
      <c r="G549" t="s">
        <v>186</v>
      </c>
      <c r="H549" t="s">
        <v>63</v>
      </c>
      <c r="I549">
        <v>8.1594351084920691E-2</v>
      </c>
      <c r="J549" t="s">
        <v>53</v>
      </c>
    </row>
    <row r="550" spans="2:10" x14ac:dyDescent="0.25">
      <c r="B550" t="s">
        <v>108</v>
      </c>
      <c r="C550" t="s">
        <v>64</v>
      </c>
      <c r="D550">
        <v>3.3856940868734597E-3</v>
      </c>
      <c r="E550" t="s">
        <v>53</v>
      </c>
      <c r="G550" t="s">
        <v>186</v>
      </c>
      <c r="H550" t="s">
        <v>64</v>
      </c>
      <c r="I550">
        <v>5.5599817139279466E-2</v>
      </c>
      <c r="J550" t="s">
        <v>53</v>
      </c>
    </row>
    <row r="551" spans="2:10" x14ac:dyDescent="0.25">
      <c r="B551" t="s">
        <v>109</v>
      </c>
      <c r="C551" t="s">
        <v>52</v>
      </c>
      <c r="D551">
        <v>4.7818198409062246E-4</v>
      </c>
      <c r="E551" t="s">
        <v>53</v>
      </c>
      <c r="G551" t="s">
        <v>187</v>
      </c>
      <c r="H551" t="s">
        <v>52</v>
      </c>
      <c r="I551">
        <v>5.5249477620892835E-2</v>
      </c>
      <c r="J551" t="s">
        <v>53</v>
      </c>
    </row>
    <row r="552" spans="2:10" x14ac:dyDescent="0.25">
      <c r="B552" t="s">
        <v>109</v>
      </c>
      <c r="C552" t="s">
        <v>54</v>
      </c>
      <c r="D552">
        <v>0.26347865296450956</v>
      </c>
      <c r="E552" t="s">
        <v>53</v>
      </c>
      <c r="G552" t="s">
        <v>187</v>
      </c>
      <c r="H552" t="s">
        <v>54</v>
      </c>
      <c r="I552">
        <v>3.7173841150334938E-2</v>
      </c>
      <c r="J552" t="s">
        <v>53</v>
      </c>
    </row>
    <row r="553" spans="2:10" x14ac:dyDescent="0.25">
      <c r="B553" t="s">
        <v>109</v>
      </c>
      <c r="C553" t="s">
        <v>55</v>
      </c>
      <c r="D553">
        <v>4.0996017317609431E-3</v>
      </c>
      <c r="E553" t="s">
        <v>53</v>
      </c>
      <c r="G553" t="s">
        <v>187</v>
      </c>
      <c r="H553" t="s">
        <v>55</v>
      </c>
      <c r="I553">
        <v>5.8113066528676399E-2</v>
      </c>
      <c r="J553" t="s">
        <v>53</v>
      </c>
    </row>
    <row r="554" spans="2:10" x14ac:dyDescent="0.25">
      <c r="B554" t="s">
        <v>109</v>
      </c>
      <c r="C554" t="s">
        <v>56</v>
      </c>
      <c r="D554">
        <v>1.2442712157026381E-2</v>
      </c>
      <c r="E554" t="s">
        <v>53</v>
      </c>
      <c r="G554" t="s">
        <v>187</v>
      </c>
      <c r="H554" t="s">
        <v>56</v>
      </c>
      <c r="I554">
        <v>3.947140765455133E-2</v>
      </c>
      <c r="J554" t="s">
        <v>53</v>
      </c>
    </row>
    <row r="555" spans="2:10" x14ac:dyDescent="0.25">
      <c r="B555" t="s">
        <v>109</v>
      </c>
      <c r="C555" t="s">
        <v>57</v>
      </c>
      <c r="D555">
        <v>0.25846757323396014</v>
      </c>
      <c r="E555" t="s">
        <v>53</v>
      </c>
      <c r="G555" t="s">
        <v>187</v>
      </c>
      <c r="H555" t="s">
        <v>57</v>
      </c>
      <c r="I555">
        <v>3.3431668817840883E-2</v>
      </c>
      <c r="J555" t="s">
        <v>53</v>
      </c>
    </row>
    <row r="556" spans="2:10" x14ac:dyDescent="0.25">
      <c r="B556" t="s">
        <v>109</v>
      </c>
      <c r="C556" t="s">
        <v>58</v>
      </c>
      <c r="D556">
        <v>1.0275302297185688E-2</v>
      </c>
      <c r="E556" t="s">
        <v>53</v>
      </c>
      <c r="G556" t="s">
        <v>187</v>
      </c>
      <c r="H556" t="s">
        <v>58</v>
      </c>
      <c r="I556">
        <v>4.8437049049389669E-2</v>
      </c>
      <c r="J556" t="s">
        <v>53</v>
      </c>
    </row>
    <row r="557" spans="2:10" x14ac:dyDescent="0.25">
      <c r="B557" t="s">
        <v>109</v>
      </c>
      <c r="C557" t="s">
        <v>59</v>
      </c>
      <c r="D557">
        <v>6.6690910545270776E-3</v>
      </c>
      <c r="E557" t="s">
        <v>53</v>
      </c>
      <c r="G557" t="s">
        <v>187</v>
      </c>
      <c r="H557" t="s">
        <v>59</v>
      </c>
      <c r="I557">
        <v>0.16152790476226836</v>
      </c>
      <c r="J557" t="s">
        <v>53</v>
      </c>
    </row>
    <row r="558" spans="2:10" x14ac:dyDescent="0.25">
      <c r="B558" t="s">
        <v>109</v>
      </c>
      <c r="C558" t="s">
        <v>60</v>
      </c>
      <c r="D558">
        <v>0.1782729868902056</v>
      </c>
      <c r="E558" t="s">
        <v>53</v>
      </c>
      <c r="G558" t="s">
        <v>187</v>
      </c>
      <c r="H558" t="s">
        <v>60</v>
      </c>
      <c r="I558">
        <v>0.28882563845078107</v>
      </c>
      <c r="J558" t="s">
        <v>53</v>
      </c>
    </row>
    <row r="559" spans="2:10" x14ac:dyDescent="0.25">
      <c r="B559" t="s">
        <v>109</v>
      </c>
      <c r="C559" t="s">
        <v>61</v>
      </c>
      <c r="D559">
        <v>7.6229781212185351E-3</v>
      </c>
      <c r="E559" t="s">
        <v>53</v>
      </c>
      <c r="G559" t="s">
        <v>187</v>
      </c>
      <c r="H559" t="s">
        <v>61</v>
      </c>
      <c r="I559">
        <v>0.12897949929608124</v>
      </c>
      <c r="J559" t="s">
        <v>53</v>
      </c>
    </row>
    <row r="560" spans="2:10" x14ac:dyDescent="0.25">
      <c r="B560" t="s">
        <v>109</v>
      </c>
      <c r="C560" t="s">
        <v>62</v>
      </c>
      <c r="D560">
        <v>8.9564914633923666E-3</v>
      </c>
      <c r="E560" t="s">
        <v>53</v>
      </c>
      <c r="G560" t="s">
        <v>187</v>
      </c>
      <c r="H560" t="s">
        <v>62</v>
      </c>
      <c r="I560">
        <v>4.1939525440679255E-2</v>
      </c>
      <c r="J560" t="s">
        <v>53</v>
      </c>
    </row>
    <row r="561" spans="2:10" x14ac:dyDescent="0.25">
      <c r="B561" t="s">
        <v>109</v>
      </c>
      <c r="C561" t="s">
        <v>63</v>
      </c>
      <c r="D561">
        <v>0.24682574447266964</v>
      </c>
      <c r="E561" t="s">
        <v>53</v>
      </c>
      <c r="G561" t="s">
        <v>187</v>
      </c>
      <c r="H561" t="s">
        <v>63</v>
      </c>
      <c r="I561">
        <v>6.6818322309537284E-2</v>
      </c>
      <c r="J561" t="s">
        <v>53</v>
      </c>
    </row>
    <row r="562" spans="2:10" x14ac:dyDescent="0.25">
      <c r="B562" t="s">
        <v>109</v>
      </c>
      <c r="C562" t="s">
        <v>64</v>
      </c>
      <c r="D562">
        <v>2.4106836294507067E-3</v>
      </c>
      <c r="E562" t="s">
        <v>53</v>
      </c>
      <c r="G562" t="s">
        <v>187</v>
      </c>
      <c r="H562" t="s">
        <v>64</v>
      </c>
      <c r="I562">
        <v>4.0032598918967169E-2</v>
      </c>
      <c r="J562" t="s">
        <v>53</v>
      </c>
    </row>
    <row r="563" spans="2:10" x14ac:dyDescent="0.25">
      <c r="B563" t="s">
        <v>110</v>
      </c>
      <c r="C563" t="s">
        <v>52</v>
      </c>
      <c r="D563">
        <v>1.1569493433524876E-2</v>
      </c>
      <c r="E563" t="s">
        <v>53</v>
      </c>
      <c r="G563" t="s">
        <v>188</v>
      </c>
      <c r="H563" t="s">
        <v>52</v>
      </c>
      <c r="I563">
        <v>5.9767271575750715E-2</v>
      </c>
      <c r="J563" t="s">
        <v>53</v>
      </c>
    </row>
    <row r="564" spans="2:10" x14ac:dyDescent="0.25">
      <c r="B564" t="s">
        <v>110</v>
      </c>
      <c r="C564" t="s">
        <v>54</v>
      </c>
      <c r="D564">
        <v>0.26976000689636898</v>
      </c>
      <c r="E564" t="s">
        <v>53</v>
      </c>
      <c r="G564" t="s">
        <v>188</v>
      </c>
      <c r="H564" t="s">
        <v>54</v>
      </c>
      <c r="I564">
        <v>3.3463831613953485E-2</v>
      </c>
      <c r="J564" t="s">
        <v>53</v>
      </c>
    </row>
    <row r="565" spans="2:10" x14ac:dyDescent="0.25">
      <c r="B565" t="s">
        <v>110</v>
      </c>
      <c r="C565" t="s">
        <v>55</v>
      </c>
      <c r="D565">
        <v>0</v>
      </c>
      <c r="E565" t="s">
        <v>53</v>
      </c>
      <c r="G565" t="s">
        <v>188</v>
      </c>
      <c r="H565" t="s">
        <v>55</v>
      </c>
      <c r="I565">
        <v>4.2334339922849122E-2</v>
      </c>
      <c r="J565" t="s">
        <v>53</v>
      </c>
    </row>
    <row r="566" spans="2:10" x14ac:dyDescent="0.25">
      <c r="B566" t="s">
        <v>110</v>
      </c>
      <c r="C566" t="s">
        <v>56</v>
      </c>
      <c r="D566">
        <v>2.2304875631819154E-2</v>
      </c>
      <c r="E566" t="s">
        <v>53</v>
      </c>
      <c r="G566" t="s">
        <v>188</v>
      </c>
      <c r="H566" t="s">
        <v>56</v>
      </c>
      <c r="I566">
        <v>5.4076266374388317E-2</v>
      </c>
      <c r="J566" t="s">
        <v>53</v>
      </c>
    </row>
    <row r="567" spans="2:10" x14ac:dyDescent="0.25">
      <c r="B567" t="s">
        <v>110</v>
      </c>
      <c r="C567" t="s">
        <v>57</v>
      </c>
      <c r="D567">
        <v>0.28509978539147834</v>
      </c>
      <c r="E567" t="s">
        <v>53</v>
      </c>
      <c r="G567" t="s">
        <v>188</v>
      </c>
      <c r="H567" t="s">
        <v>57</v>
      </c>
      <c r="I567">
        <v>3.6329240170689218E-2</v>
      </c>
      <c r="J567" t="s">
        <v>53</v>
      </c>
    </row>
    <row r="568" spans="2:10" x14ac:dyDescent="0.25">
      <c r="B568" t="s">
        <v>110</v>
      </c>
      <c r="C568" t="s">
        <v>58</v>
      </c>
      <c r="D568">
        <v>4.6198775733037973E-3</v>
      </c>
      <c r="E568" t="s">
        <v>53</v>
      </c>
      <c r="G568" t="s">
        <v>188</v>
      </c>
      <c r="H568" t="s">
        <v>58</v>
      </c>
      <c r="I568">
        <v>7.1424769227407911E-2</v>
      </c>
      <c r="J568" t="s">
        <v>53</v>
      </c>
    </row>
    <row r="569" spans="2:10" x14ac:dyDescent="0.25">
      <c r="B569" t="s">
        <v>110</v>
      </c>
      <c r="C569" t="s">
        <v>59</v>
      </c>
      <c r="D569">
        <v>1.0152938400663438E-2</v>
      </c>
      <c r="E569" t="s">
        <v>53</v>
      </c>
      <c r="G569" t="s">
        <v>188</v>
      </c>
      <c r="H569" t="s">
        <v>59</v>
      </c>
      <c r="I569">
        <v>0.15661577707551441</v>
      </c>
      <c r="J569" t="s">
        <v>53</v>
      </c>
    </row>
    <row r="570" spans="2:10" x14ac:dyDescent="0.25">
      <c r="B570" t="s">
        <v>110</v>
      </c>
      <c r="C570" t="s">
        <v>60</v>
      </c>
      <c r="D570">
        <v>0.17720097818719494</v>
      </c>
      <c r="E570" t="s">
        <v>53</v>
      </c>
      <c r="G570" t="s">
        <v>188</v>
      </c>
      <c r="H570" t="s">
        <v>60</v>
      </c>
      <c r="I570">
        <v>0.25609285395459364</v>
      </c>
      <c r="J570" t="s">
        <v>53</v>
      </c>
    </row>
    <row r="571" spans="2:10" x14ac:dyDescent="0.25">
      <c r="B571" t="s">
        <v>110</v>
      </c>
      <c r="C571" t="s">
        <v>61</v>
      </c>
      <c r="D571">
        <v>2.5696605085675393E-3</v>
      </c>
      <c r="E571" t="s">
        <v>53</v>
      </c>
      <c r="G571" t="s">
        <v>188</v>
      </c>
      <c r="H571" t="s">
        <v>61</v>
      </c>
      <c r="I571">
        <v>0.13473030800248703</v>
      </c>
      <c r="J571" t="s">
        <v>53</v>
      </c>
    </row>
    <row r="572" spans="2:10" x14ac:dyDescent="0.25">
      <c r="B572" t="s">
        <v>110</v>
      </c>
      <c r="C572" t="s">
        <v>62</v>
      </c>
      <c r="D572">
        <v>1.3178536470943168E-2</v>
      </c>
      <c r="E572" t="s">
        <v>53</v>
      </c>
      <c r="G572" t="s">
        <v>188</v>
      </c>
      <c r="H572" t="s">
        <v>62</v>
      </c>
      <c r="I572">
        <v>4.7271222266332555E-2</v>
      </c>
      <c r="J572" t="s">
        <v>53</v>
      </c>
    </row>
    <row r="573" spans="2:10" x14ac:dyDescent="0.25">
      <c r="B573" t="s">
        <v>110</v>
      </c>
      <c r="C573" t="s">
        <v>63</v>
      </c>
      <c r="D573">
        <v>0.20343240087717104</v>
      </c>
      <c r="E573" t="s">
        <v>53</v>
      </c>
      <c r="G573" t="s">
        <v>188</v>
      </c>
      <c r="H573" t="s">
        <v>63</v>
      </c>
      <c r="I573">
        <v>6.225040802416449E-2</v>
      </c>
      <c r="J573" t="s">
        <v>53</v>
      </c>
    </row>
    <row r="574" spans="2:10" x14ac:dyDescent="0.25">
      <c r="B574" t="s">
        <v>110</v>
      </c>
      <c r="C574" t="s">
        <v>64</v>
      </c>
      <c r="D574">
        <v>1.1144662896300653E-4</v>
      </c>
      <c r="E574" t="s">
        <v>53</v>
      </c>
      <c r="G574" t="s">
        <v>188</v>
      </c>
      <c r="H574" t="s">
        <v>64</v>
      </c>
      <c r="I574">
        <v>4.5643711791873154E-2</v>
      </c>
      <c r="J574" t="s">
        <v>53</v>
      </c>
    </row>
    <row r="575" spans="2:10" x14ac:dyDescent="0.25">
      <c r="B575" t="s">
        <v>111</v>
      </c>
      <c r="C575" t="s">
        <v>52</v>
      </c>
      <c r="D575">
        <v>1.279699993275924E-2</v>
      </c>
      <c r="E575" t="s">
        <v>53</v>
      </c>
      <c r="G575" t="s">
        <v>189</v>
      </c>
      <c r="H575" t="s">
        <v>52</v>
      </c>
      <c r="I575">
        <v>6.0906614264181175E-2</v>
      </c>
      <c r="J575" t="s">
        <v>53</v>
      </c>
    </row>
    <row r="576" spans="2:10" x14ac:dyDescent="0.25">
      <c r="B576" t="s">
        <v>111</v>
      </c>
      <c r="C576" t="s">
        <v>54</v>
      </c>
      <c r="D576">
        <v>0.27585690044100952</v>
      </c>
      <c r="E576" t="s">
        <v>53</v>
      </c>
      <c r="G576" t="s">
        <v>189</v>
      </c>
      <c r="H576" t="s">
        <v>54</v>
      </c>
      <c r="I576">
        <v>3.3286567270053136E-2</v>
      </c>
      <c r="J576" t="s">
        <v>53</v>
      </c>
    </row>
    <row r="577" spans="2:10" x14ac:dyDescent="0.25">
      <c r="B577" t="s">
        <v>111</v>
      </c>
      <c r="C577" t="s">
        <v>55</v>
      </c>
      <c r="D577">
        <v>0</v>
      </c>
      <c r="E577" t="s">
        <v>53</v>
      </c>
      <c r="G577" t="s">
        <v>189</v>
      </c>
      <c r="H577" t="s">
        <v>55</v>
      </c>
      <c r="I577">
        <v>5.1860395102026904E-2</v>
      </c>
      <c r="J577" t="s">
        <v>53</v>
      </c>
    </row>
    <row r="578" spans="2:10" x14ac:dyDescent="0.25">
      <c r="B578" t="s">
        <v>111</v>
      </c>
      <c r="C578" t="s">
        <v>56</v>
      </c>
      <c r="D578">
        <v>2.5691727349288734E-2</v>
      </c>
      <c r="E578" t="s">
        <v>53</v>
      </c>
      <c r="G578" t="s">
        <v>189</v>
      </c>
      <c r="H578" t="s">
        <v>56</v>
      </c>
      <c r="I578">
        <v>0.10640183142164641</v>
      </c>
      <c r="J578" t="s">
        <v>53</v>
      </c>
    </row>
    <row r="579" spans="2:10" x14ac:dyDescent="0.25">
      <c r="B579" t="s">
        <v>111</v>
      </c>
      <c r="C579" t="s">
        <v>57</v>
      </c>
      <c r="D579">
        <v>0.28811992116754886</v>
      </c>
      <c r="E579" t="s">
        <v>53</v>
      </c>
      <c r="G579" t="s">
        <v>189</v>
      </c>
      <c r="H579" t="s">
        <v>57</v>
      </c>
      <c r="I579">
        <v>0.11919021103030882</v>
      </c>
      <c r="J579" t="s">
        <v>53</v>
      </c>
    </row>
    <row r="580" spans="2:10" x14ac:dyDescent="0.25">
      <c r="B580" t="s">
        <v>111</v>
      </c>
      <c r="C580" t="s">
        <v>58</v>
      </c>
      <c r="D580">
        <v>2.9796838923808319E-3</v>
      </c>
      <c r="E580" t="s">
        <v>53</v>
      </c>
      <c r="G580" t="s">
        <v>189</v>
      </c>
      <c r="H580" t="s">
        <v>58</v>
      </c>
      <c r="I580">
        <v>0.11390086353858936</v>
      </c>
      <c r="J580" t="s">
        <v>53</v>
      </c>
    </row>
    <row r="581" spans="2:10" x14ac:dyDescent="0.25">
      <c r="B581" t="s">
        <v>111</v>
      </c>
      <c r="C581" t="s">
        <v>59</v>
      </c>
      <c r="D581">
        <v>1.1133339034677146E-2</v>
      </c>
      <c r="E581" t="s">
        <v>53</v>
      </c>
      <c r="G581" t="s">
        <v>189</v>
      </c>
      <c r="H581" t="s">
        <v>59</v>
      </c>
      <c r="I581">
        <v>9.7356008778769432E-2</v>
      </c>
      <c r="J581" t="s">
        <v>53</v>
      </c>
    </row>
    <row r="582" spans="2:10" x14ac:dyDescent="0.25">
      <c r="B582" t="s">
        <v>111</v>
      </c>
      <c r="C582" t="s">
        <v>60</v>
      </c>
      <c r="D582">
        <v>0.16899205836322009</v>
      </c>
      <c r="E582" t="s">
        <v>53</v>
      </c>
      <c r="G582" t="s">
        <v>189</v>
      </c>
      <c r="H582" t="s">
        <v>60</v>
      </c>
      <c r="I582">
        <v>0.14964512516306502</v>
      </c>
      <c r="J582" t="s">
        <v>53</v>
      </c>
    </row>
    <row r="583" spans="2:10" x14ac:dyDescent="0.25">
      <c r="B583" t="s">
        <v>111</v>
      </c>
      <c r="C583" t="s">
        <v>61</v>
      </c>
      <c r="D583">
        <v>2.1177606414284253E-3</v>
      </c>
      <c r="E583" t="s">
        <v>53</v>
      </c>
      <c r="G583" t="s">
        <v>189</v>
      </c>
      <c r="H583" t="s">
        <v>61</v>
      </c>
      <c r="I583">
        <v>0.1133413895580387</v>
      </c>
      <c r="J583" t="s">
        <v>53</v>
      </c>
    </row>
    <row r="584" spans="2:10" x14ac:dyDescent="0.25">
      <c r="B584" t="s">
        <v>111</v>
      </c>
      <c r="C584" t="s">
        <v>62</v>
      </c>
      <c r="D584">
        <v>1.4222421266406016E-2</v>
      </c>
      <c r="E584" t="s">
        <v>53</v>
      </c>
      <c r="G584" t="s">
        <v>189</v>
      </c>
      <c r="H584" t="s">
        <v>62</v>
      </c>
      <c r="I584">
        <v>5.4046599188994938E-2</v>
      </c>
      <c r="J584" t="s">
        <v>53</v>
      </c>
    </row>
    <row r="585" spans="2:10" x14ac:dyDescent="0.25">
      <c r="B585" t="s">
        <v>111</v>
      </c>
      <c r="C585" t="s">
        <v>63</v>
      </c>
      <c r="D585">
        <v>0.19807371731480936</v>
      </c>
      <c r="E585" t="s">
        <v>53</v>
      </c>
      <c r="G585" t="s">
        <v>189</v>
      </c>
      <c r="H585" t="s">
        <v>63</v>
      </c>
      <c r="I585">
        <v>4.8231124550370645E-2</v>
      </c>
      <c r="J585" t="s">
        <v>53</v>
      </c>
    </row>
    <row r="586" spans="2:10" x14ac:dyDescent="0.25">
      <c r="B586" t="s">
        <v>111</v>
      </c>
      <c r="C586" t="s">
        <v>64</v>
      </c>
      <c r="D586">
        <v>1.5470596473857501E-5</v>
      </c>
      <c r="E586" t="s">
        <v>53</v>
      </c>
      <c r="G586" t="s">
        <v>189</v>
      </c>
      <c r="H586" t="s">
        <v>64</v>
      </c>
      <c r="I586">
        <v>5.1833270133958026E-2</v>
      </c>
      <c r="J586" t="s">
        <v>53</v>
      </c>
    </row>
    <row r="587" spans="2:10" x14ac:dyDescent="0.25">
      <c r="B587" t="s">
        <v>112</v>
      </c>
      <c r="C587" t="s">
        <v>52</v>
      </c>
      <c r="D587">
        <v>1.2513719808342377E-2</v>
      </c>
      <c r="E587" t="s">
        <v>53</v>
      </c>
      <c r="G587" t="s">
        <v>190</v>
      </c>
      <c r="H587" t="s">
        <v>52</v>
      </c>
      <c r="I587">
        <v>6.3963880815790561E-2</v>
      </c>
      <c r="J587" t="s">
        <v>53</v>
      </c>
    </row>
    <row r="588" spans="2:10" x14ac:dyDescent="0.25">
      <c r="B588" t="s">
        <v>112</v>
      </c>
      <c r="C588" t="s">
        <v>54</v>
      </c>
      <c r="D588">
        <v>0.28475049977160999</v>
      </c>
      <c r="E588" t="s">
        <v>53</v>
      </c>
      <c r="G588" t="s">
        <v>190</v>
      </c>
      <c r="H588" t="s">
        <v>54</v>
      </c>
      <c r="I588">
        <v>3.7592871740473398E-2</v>
      </c>
      <c r="J588" t="s">
        <v>53</v>
      </c>
    </row>
    <row r="589" spans="2:10" x14ac:dyDescent="0.25">
      <c r="B589" t="s">
        <v>112</v>
      </c>
      <c r="C589" t="s">
        <v>55</v>
      </c>
      <c r="D589">
        <v>2.1651723152813457E-3</v>
      </c>
      <c r="E589" t="s">
        <v>53</v>
      </c>
      <c r="G589" t="s">
        <v>190</v>
      </c>
      <c r="H589" t="s">
        <v>55</v>
      </c>
      <c r="I589">
        <v>4.785742124092978E-2</v>
      </c>
      <c r="J589" t="s">
        <v>53</v>
      </c>
    </row>
    <row r="590" spans="2:10" x14ac:dyDescent="0.25">
      <c r="B590" t="s">
        <v>112</v>
      </c>
      <c r="C590" t="s">
        <v>56</v>
      </c>
      <c r="D590">
        <v>2.0984533936988251E-2</v>
      </c>
      <c r="E590" t="s">
        <v>53</v>
      </c>
      <c r="G590" t="s">
        <v>190</v>
      </c>
      <c r="H590" t="s">
        <v>56</v>
      </c>
      <c r="I590">
        <v>3.8265594029564622E-2</v>
      </c>
      <c r="J590" t="s">
        <v>53</v>
      </c>
    </row>
    <row r="591" spans="2:10" x14ac:dyDescent="0.25">
      <c r="B591" t="s">
        <v>112</v>
      </c>
      <c r="C591" t="s">
        <v>57</v>
      </c>
      <c r="D591">
        <v>0.3007737911094942</v>
      </c>
      <c r="E591" t="s">
        <v>53</v>
      </c>
      <c r="G591" t="s">
        <v>190</v>
      </c>
      <c r="H591" t="s">
        <v>57</v>
      </c>
      <c r="I591">
        <v>6.4199926095160106E-2</v>
      </c>
      <c r="J591" t="s">
        <v>53</v>
      </c>
    </row>
    <row r="592" spans="2:10" x14ac:dyDescent="0.25">
      <c r="B592" t="s">
        <v>112</v>
      </c>
      <c r="C592" t="s">
        <v>58</v>
      </c>
      <c r="D592">
        <v>9.4123818362935683E-3</v>
      </c>
      <c r="E592" t="s">
        <v>53</v>
      </c>
      <c r="G592" t="s">
        <v>190</v>
      </c>
      <c r="H592" t="s">
        <v>58</v>
      </c>
      <c r="I592">
        <v>5.489344252989882E-2</v>
      </c>
      <c r="J592" t="s">
        <v>53</v>
      </c>
    </row>
    <row r="593" spans="2:10" x14ac:dyDescent="0.25">
      <c r="B593" t="s">
        <v>112</v>
      </c>
      <c r="C593" t="s">
        <v>59</v>
      </c>
      <c r="D593">
        <v>5.5922328731474701E-3</v>
      </c>
      <c r="E593" t="s">
        <v>53</v>
      </c>
      <c r="G593" t="s">
        <v>190</v>
      </c>
      <c r="H593" t="s">
        <v>59</v>
      </c>
      <c r="I593">
        <v>0.15274935129399977</v>
      </c>
      <c r="J593" t="s">
        <v>53</v>
      </c>
    </row>
    <row r="594" spans="2:10" x14ac:dyDescent="0.25">
      <c r="B594" t="s">
        <v>112</v>
      </c>
      <c r="C594" t="s">
        <v>60</v>
      </c>
      <c r="D594">
        <v>0.13448416067210575</v>
      </c>
      <c r="E594" t="s">
        <v>53</v>
      </c>
      <c r="G594" t="s">
        <v>190</v>
      </c>
      <c r="H594" t="s">
        <v>60</v>
      </c>
      <c r="I594">
        <v>0.21304333559873567</v>
      </c>
      <c r="J594" t="s">
        <v>53</v>
      </c>
    </row>
    <row r="595" spans="2:10" x14ac:dyDescent="0.25">
      <c r="B595" t="s">
        <v>112</v>
      </c>
      <c r="C595" t="s">
        <v>61</v>
      </c>
      <c r="D595">
        <v>2.0577111074478968E-3</v>
      </c>
      <c r="E595" t="s">
        <v>53</v>
      </c>
      <c r="G595" t="s">
        <v>190</v>
      </c>
      <c r="H595" t="s">
        <v>61</v>
      </c>
      <c r="I595">
        <v>0.13069092241567903</v>
      </c>
      <c r="J595" t="s">
        <v>53</v>
      </c>
    </row>
    <row r="596" spans="2:10" x14ac:dyDescent="0.25">
      <c r="B596" t="s">
        <v>112</v>
      </c>
      <c r="C596" t="s">
        <v>62</v>
      </c>
      <c r="D596">
        <v>9.9210843693128513E-3</v>
      </c>
      <c r="E596" t="s">
        <v>53</v>
      </c>
      <c r="G596" t="s">
        <v>190</v>
      </c>
      <c r="H596" t="s">
        <v>62</v>
      </c>
      <c r="I596">
        <v>7.2417991619619079E-2</v>
      </c>
      <c r="J596" t="s">
        <v>53</v>
      </c>
    </row>
    <row r="597" spans="2:10" x14ac:dyDescent="0.25">
      <c r="B597" t="s">
        <v>112</v>
      </c>
      <c r="C597" t="s">
        <v>63</v>
      </c>
      <c r="D597">
        <v>0.21690511077822811</v>
      </c>
      <c r="E597" t="s">
        <v>53</v>
      </c>
      <c r="G597" t="s">
        <v>190</v>
      </c>
      <c r="H597" t="s">
        <v>63</v>
      </c>
      <c r="I597">
        <v>7.0584132433898286E-2</v>
      </c>
      <c r="J597" t="s">
        <v>53</v>
      </c>
    </row>
    <row r="598" spans="2:10" x14ac:dyDescent="0.25">
      <c r="B598" t="s">
        <v>112</v>
      </c>
      <c r="C598" t="s">
        <v>64</v>
      </c>
      <c r="D598">
        <v>4.3960142174502342E-4</v>
      </c>
      <c r="E598" t="s">
        <v>53</v>
      </c>
      <c r="G598" t="s">
        <v>190</v>
      </c>
      <c r="H598" t="s">
        <v>64</v>
      </c>
      <c r="I598">
        <v>5.3741130186251811E-2</v>
      </c>
      <c r="J598" t="s">
        <v>53</v>
      </c>
    </row>
    <row r="599" spans="2:10" x14ac:dyDescent="0.25">
      <c r="B599" t="s">
        <v>113</v>
      </c>
      <c r="C599" t="s">
        <v>52</v>
      </c>
      <c r="D599">
        <v>1.3415122345229635E-2</v>
      </c>
      <c r="E599" t="s">
        <v>53</v>
      </c>
      <c r="G599" t="s">
        <v>191</v>
      </c>
      <c r="H599" t="s">
        <v>52</v>
      </c>
      <c r="I599">
        <v>8.8012362653509105E-2</v>
      </c>
      <c r="J599" t="s">
        <v>53</v>
      </c>
    </row>
    <row r="600" spans="2:10" x14ac:dyDescent="0.25">
      <c r="B600" t="s">
        <v>113</v>
      </c>
      <c r="C600" t="s">
        <v>54</v>
      </c>
      <c r="D600">
        <v>0.29345777223601244</v>
      </c>
      <c r="E600" t="s">
        <v>53</v>
      </c>
      <c r="G600" t="s">
        <v>191</v>
      </c>
      <c r="H600" t="s">
        <v>54</v>
      </c>
      <c r="I600">
        <v>4.086701621074279E-2</v>
      </c>
      <c r="J600" t="s">
        <v>53</v>
      </c>
    </row>
    <row r="601" spans="2:10" x14ac:dyDescent="0.25">
      <c r="B601" t="s">
        <v>113</v>
      </c>
      <c r="C601" t="s">
        <v>55</v>
      </c>
      <c r="D601">
        <v>2.6662502949694811E-4</v>
      </c>
      <c r="E601" t="s">
        <v>53</v>
      </c>
      <c r="G601" t="s">
        <v>191</v>
      </c>
      <c r="H601" t="s">
        <v>55</v>
      </c>
      <c r="I601">
        <v>6.4650483023597938E-2</v>
      </c>
      <c r="J601" t="s">
        <v>53</v>
      </c>
    </row>
    <row r="602" spans="2:10" x14ac:dyDescent="0.25">
      <c r="B602" t="s">
        <v>113</v>
      </c>
      <c r="C602" t="s">
        <v>56</v>
      </c>
      <c r="D602">
        <v>2.4432026442488007E-2</v>
      </c>
      <c r="E602" t="s">
        <v>53</v>
      </c>
      <c r="G602" t="s">
        <v>191</v>
      </c>
      <c r="H602" t="s">
        <v>56</v>
      </c>
      <c r="I602">
        <v>8.903349175306545E-2</v>
      </c>
      <c r="J602" t="s">
        <v>53</v>
      </c>
    </row>
    <row r="603" spans="2:10" x14ac:dyDescent="0.25">
      <c r="B603" t="s">
        <v>113</v>
      </c>
      <c r="C603" t="s">
        <v>57</v>
      </c>
      <c r="D603">
        <v>0.29976525854662983</v>
      </c>
      <c r="E603" t="s">
        <v>53</v>
      </c>
      <c r="G603" t="s">
        <v>191</v>
      </c>
      <c r="H603" t="s">
        <v>57</v>
      </c>
      <c r="I603">
        <v>6.8590952712971873E-2</v>
      </c>
      <c r="J603" t="s">
        <v>53</v>
      </c>
    </row>
    <row r="604" spans="2:10" x14ac:dyDescent="0.25">
      <c r="B604" t="s">
        <v>113</v>
      </c>
      <c r="C604" t="s">
        <v>58</v>
      </c>
      <c r="D604">
        <v>8.239747225101542E-3</v>
      </c>
      <c r="E604" t="s">
        <v>53</v>
      </c>
      <c r="G604" t="s">
        <v>191</v>
      </c>
      <c r="H604" t="s">
        <v>58</v>
      </c>
      <c r="I604">
        <v>9.5349255925540027E-2</v>
      </c>
      <c r="J604" t="s">
        <v>53</v>
      </c>
    </row>
    <row r="605" spans="2:10" x14ac:dyDescent="0.25">
      <c r="B605" t="s">
        <v>113</v>
      </c>
      <c r="C605" t="s">
        <v>59</v>
      </c>
      <c r="D605">
        <v>6.0371002371068412E-3</v>
      </c>
      <c r="E605" t="s">
        <v>53</v>
      </c>
      <c r="G605" t="s">
        <v>191</v>
      </c>
      <c r="H605" t="s">
        <v>59</v>
      </c>
      <c r="I605">
        <v>0.11089253106957897</v>
      </c>
      <c r="J605" t="s">
        <v>53</v>
      </c>
    </row>
    <row r="606" spans="2:10" x14ac:dyDescent="0.25">
      <c r="B606" t="s">
        <v>113</v>
      </c>
      <c r="C606" t="s">
        <v>60</v>
      </c>
      <c r="D606">
        <v>0.135029848670013</v>
      </c>
      <c r="E606" t="s">
        <v>53</v>
      </c>
      <c r="G606" t="s">
        <v>191</v>
      </c>
      <c r="H606" t="s">
        <v>60</v>
      </c>
      <c r="I606">
        <v>0.1519935960276719</v>
      </c>
      <c r="J606" t="s">
        <v>53</v>
      </c>
    </row>
    <row r="607" spans="2:10" x14ac:dyDescent="0.25">
      <c r="B607" t="s">
        <v>113</v>
      </c>
      <c r="C607" t="s">
        <v>61</v>
      </c>
      <c r="D607">
        <v>1.5641485001666022E-3</v>
      </c>
      <c r="E607" t="s">
        <v>53</v>
      </c>
      <c r="G607" t="s">
        <v>191</v>
      </c>
      <c r="H607" t="s">
        <v>61</v>
      </c>
      <c r="I607">
        <v>0.10701636988079337</v>
      </c>
      <c r="J607" t="s">
        <v>53</v>
      </c>
    </row>
    <row r="608" spans="2:10" x14ac:dyDescent="0.25">
      <c r="B608" t="s">
        <v>113</v>
      </c>
      <c r="C608" t="s">
        <v>62</v>
      </c>
      <c r="D608">
        <v>1.1753782108714606E-2</v>
      </c>
      <c r="E608" t="s">
        <v>53</v>
      </c>
      <c r="G608" t="s">
        <v>191</v>
      </c>
      <c r="H608" t="s">
        <v>62</v>
      </c>
      <c r="I608">
        <v>7.11493543896171E-2</v>
      </c>
      <c r="J608" t="s">
        <v>53</v>
      </c>
    </row>
    <row r="609" spans="2:10" x14ac:dyDescent="0.25">
      <c r="B609" t="s">
        <v>113</v>
      </c>
      <c r="C609" t="s">
        <v>63</v>
      </c>
      <c r="D609">
        <v>0.20574290388366639</v>
      </c>
      <c r="E609" t="s">
        <v>53</v>
      </c>
      <c r="G609" t="s">
        <v>191</v>
      </c>
      <c r="H609" t="s">
        <v>63</v>
      </c>
      <c r="I609">
        <v>5.698438261877712E-2</v>
      </c>
      <c r="J609" t="s">
        <v>53</v>
      </c>
    </row>
    <row r="610" spans="2:10" x14ac:dyDescent="0.25">
      <c r="B610" t="s">
        <v>113</v>
      </c>
      <c r="C610" t="s">
        <v>64</v>
      </c>
      <c r="D610">
        <v>2.9566477537045063E-4</v>
      </c>
      <c r="E610" t="s">
        <v>53</v>
      </c>
      <c r="G610" t="s">
        <v>191</v>
      </c>
      <c r="H610" t="s">
        <v>64</v>
      </c>
      <c r="I610">
        <v>5.5460203734134933E-2</v>
      </c>
      <c r="J610" t="s">
        <v>53</v>
      </c>
    </row>
    <row r="611" spans="2:10" x14ac:dyDescent="0.25">
      <c r="B611" t="s">
        <v>114</v>
      </c>
      <c r="C611" t="s">
        <v>52</v>
      </c>
      <c r="D611">
        <v>1.368009467077968E-2</v>
      </c>
      <c r="E611" t="s">
        <v>53</v>
      </c>
      <c r="G611" t="s">
        <v>192</v>
      </c>
      <c r="H611" t="s">
        <v>52</v>
      </c>
      <c r="I611">
        <v>0.12164545486723245</v>
      </c>
      <c r="J611" t="s">
        <v>53</v>
      </c>
    </row>
    <row r="612" spans="2:10" x14ac:dyDescent="0.25">
      <c r="B612" t="s">
        <v>114</v>
      </c>
      <c r="C612" t="s">
        <v>54</v>
      </c>
      <c r="D612">
        <v>0.29098312572558732</v>
      </c>
      <c r="E612" t="s">
        <v>53</v>
      </c>
      <c r="G612" t="s">
        <v>192</v>
      </c>
      <c r="H612" t="s">
        <v>54</v>
      </c>
      <c r="I612">
        <v>4.5122528528916857E-2</v>
      </c>
      <c r="J612" t="s">
        <v>53</v>
      </c>
    </row>
    <row r="613" spans="2:10" x14ac:dyDescent="0.25">
      <c r="B613" t="s">
        <v>114</v>
      </c>
      <c r="C613" t="s">
        <v>55</v>
      </c>
      <c r="D613">
        <v>2.0197534658635534E-4</v>
      </c>
      <c r="E613" t="s">
        <v>53</v>
      </c>
      <c r="G613" t="s">
        <v>192</v>
      </c>
      <c r="H613" t="s">
        <v>55</v>
      </c>
      <c r="I613">
        <v>6.2593364534285975E-2</v>
      </c>
      <c r="J613" t="s">
        <v>53</v>
      </c>
    </row>
    <row r="614" spans="2:10" x14ac:dyDescent="0.25">
      <c r="B614" t="s">
        <v>114</v>
      </c>
      <c r="C614" t="s">
        <v>56</v>
      </c>
      <c r="D614">
        <v>2.5264480793396965E-2</v>
      </c>
      <c r="E614" t="s">
        <v>53</v>
      </c>
      <c r="G614" t="s">
        <v>192</v>
      </c>
      <c r="H614" t="s">
        <v>56</v>
      </c>
      <c r="I614">
        <v>0.1048532264772105</v>
      </c>
      <c r="J614" t="s">
        <v>53</v>
      </c>
    </row>
    <row r="615" spans="2:10" x14ac:dyDescent="0.25">
      <c r="B615" t="s">
        <v>114</v>
      </c>
      <c r="C615" t="s">
        <v>57</v>
      </c>
      <c r="D615">
        <v>0.29774467260264009</v>
      </c>
      <c r="E615" t="s">
        <v>53</v>
      </c>
      <c r="G615" t="s">
        <v>192</v>
      </c>
      <c r="H615" t="s">
        <v>57</v>
      </c>
      <c r="I615">
        <v>6.5247207830278972E-2</v>
      </c>
      <c r="J615" t="s">
        <v>53</v>
      </c>
    </row>
    <row r="616" spans="2:10" x14ac:dyDescent="0.25">
      <c r="B616" t="s">
        <v>114</v>
      </c>
      <c r="C616" t="s">
        <v>58</v>
      </c>
      <c r="D616">
        <v>7.7467516230169285E-3</v>
      </c>
      <c r="E616" t="s">
        <v>53</v>
      </c>
      <c r="G616" t="s">
        <v>192</v>
      </c>
      <c r="H616" t="s">
        <v>58</v>
      </c>
      <c r="I616">
        <v>9.2920761069815838E-2</v>
      </c>
      <c r="J616" t="s">
        <v>53</v>
      </c>
    </row>
    <row r="617" spans="2:10" x14ac:dyDescent="0.25">
      <c r="B617" t="s">
        <v>114</v>
      </c>
      <c r="C617" t="s">
        <v>59</v>
      </c>
      <c r="D617">
        <v>6.3752716904244729E-3</v>
      </c>
      <c r="E617" t="s">
        <v>53</v>
      </c>
      <c r="G617" t="s">
        <v>192</v>
      </c>
      <c r="H617" t="s">
        <v>59</v>
      </c>
      <c r="I617">
        <v>0.11685444812145529</v>
      </c>
      <c r="J617" t="s">
        <v>53</v>
      </c>
    </row>
    <row r="618" spans="2:10" x14ac:dyDescent="0.25">
      <c r="B618" t="s">
        <v>114</v>
      </c>
      <c r="C618" t="s">
        <v>60</v>
      </c>
      <c r="D618">
        <v>0.13482893552444</v>
      </c>
      <c r="E618" t="s">
        <v>53</v>
      </c>
      <c r="G618" t="s">
        <v>192</v>
      </c>
      <c r="H618" t="s">
        <v>60</v>
      </c>
      <c r="I618">
        <v>0.11490388030915509</v>
      </c>
      <c r="J618" t="s">
        <v>53</v>
      </c>
    </row>
    <row r="619" spans="2:10" x14ac:dyDescent="0.25">
      <c r="B619" t="s">
        <v>114</v>
      </c>
      <c r="C619" t="s">
        <v>61</v>
      </c>
      <c r="D619">
        <v>1.6383533464545009E-3</v>
      </c>
      <c r="E619" t="s">
        <v>53</v>
      </c>
      <c r="G619" t="s">
        <v>192</v>
      </c>
      <c r="H619" t="s">
        <v>61</v>
      </c>
      <c r="I619">
        <v>9.8555532382488611E-2</v>
      </c>
      <c r="J619" t="s">
        <v>53</v>
      </c>
    </row>
    <row r="620" spans="2:10" x14ac:dyDescent="0.25">
      <c r="B620" t="s">
        <v>114</v>
      </c>
      <c r="C620" t="s">
        <v>62</v>
      </c>
      <c r="D620">
        <v>1.1981927684248574E-2</v>
      </c>
      <c r="E620" t="s">
        <v>53</v>
      </c>
      <c r="G620" t="s">
        <v>192</v>
      </c>
      <c r="H620" t="s">
        <v>62</v>
      </c>
      <c r="I620">
        <v>8.5785991150786001E-2</v>
      </c>
      <c r="J620" t="s">
        <v>53</v>
      </c>
    </row>
    <row r="621" spans="2:10" x14ac:dyDescent="0.25">
      <c r="B621" t="s">
        <v>114</v>
      </c>
      <c r="C621" t="s">
        <v>63</v>
      </c>
      <c r="D621">
        <v>0.20936205896215579</v>
      </c>
      <c r="E621" t="s">
        <v>53</v>
      </c>
      <c r="G621" t="s">
        <v>192</v>
      </c>
      <c r="H621" t="s">
        <v>63</v>
      </c>
      <c r="I621">
        <v>4.422715302941152E-2</v>
      </c>
      <c r="J621" t="s">
        <v>53</v>
      </c>
    </row>
    <row r="622" spans="2:10" x14ac:dyDescent="0.25">
      <c r="B622" t="s">
        <v>114</v>
      </c>
      <c r="C622" t="s">
        <v>64</v>
      </c>
      <c r="D622">
        <v>1.9235203026804541E-4</v>
      </c>
      <c r="E622" t="s">
        <v>53</v>
      </c>
      <c r="G622" t="s">
        <v>192</v>
      </c>
      <c r="H622" t="s">
        <v>64</v>
      </c>
      <c r="I622">
        <v>4.7290451698965695E-2</v>
      </c>
      <c r="J622" t="s">
        <v>53</v>
      </c>
    </row>
    <row r="623" spans="2:10" x14ac:dyDescent="0.25">
      <c r="B623" t="s">
        <v>115</v>
      </c>
      <c r="C623" t="s">
        <v>52</v>
      </c>
      <c r="D623">
        <v>1.1486587512732134E-2</v>
      </c>
      <c r="E623" t="s">
        <v>53</v>
      </c>
      <c r="G623" t="s">
        <v>193</v>
      </c>
      <c r="H623" t="s">
        <v>52</v>
      </c>
      <c r="I623">
        <v>8.5178521368944868E-2</v>
      </c>
      <c r="J623" t="s">
        <v>53</v>
      </c>
    </row>
    <row r="624" spans="2:10" x14ac:dyDescent="0.25">
      <c r="B624" t="s">
        <v>115</v>
      </c>
      <c r="C624" t="s">
        <v>54</v>
      </c>
      <c r="D624">
        <v>0.27858345966620573</v>
      </c>
      <c r="E624" t="s">
        <v>53</v>
      </c>
      <c r="G624" t="s">
        <v>193</v>
      </c>
      <c r="H624" t="s">
        <v>54</v>
      </c>
      <c r="I624">
        <v>3.5665015181253201E-2</v>
      </c>
      <c r="J624" t="s">
        <v>53</v>
      </c>
    </row>
    <row r="625" spans="2:10" x14ac:dyDescent="0.25">
      <c r="B625" t="s">
        <v>115</v>
      </c>
      <c r="C625" t="s">
        <v>55</v>
      </c>
      <c r="D625">
        <v>1.428746922784161E-3</v>
      </c>
      <c r="E625" t="s">
        <v>53</v>
      </c>
      <c r="G625" t="s">
        <v>193</v>
      </c>
      <c r="H625" t="s">
        <v>55</v>
      </c>
      <c r="I625">
        <v>5.8425626033852089E-2</v>
      </c>
      <c r="J625" t="s">
        <v>53</v>
      </c>
    </row>
    <row r="626" spans="2:10" x14ac:dyDescent="0.25">
      <c r="B626" t="s">
        <v>115</v>
      </c>
      <c r="C626" t="s">
        <v>56</v>
      </c>
      <c r="D626">
        <v>2.3625524187804132E-2</v>
      </c>
      <c r="E626" t="s">
        <v>53</v>
      </c>
      <c r="G626" t="s">
        <v>193</v>
      </c>
      <c r="H626" t="s">
        <v>56</v>
      </c>
      <c r="I626">
        <v>0.12667612748069029</v>
      </c>
      <c r="J626" t="s">
        <v>53</v>
      </c>
    </row>
    <row r="627" spans="2:10" x14ac:dyDescent="0.25">
      <c r="B627" t="s">
        <v>115</v>
      </c>
      <c r="C627" t="s">
        <v>57</v>
      </c>
      <c r="D627">
        <v>0.30106006775061261</v>
      </c>
      <c r="E627" t="s">
        <v>53</v>
      </c>
      <c r="G627" t="s">
        <v>193</v>
      </c>
      <c r="H627" t="s">
        <v>57</v>
      </c>
      <c r="I627">
        <v>7.4772049025350673E-2</v>
      </c>
      <c r="J627" t="s">
        <v>53</v>
      </c>
    </row>
    <row r="628" spans="2:10" x14ac:dyDescent="0.25">
      <c r="B628" t="s">
        <v>115</v>
      </c>
      <c r="C628" t="s">
        <v>58</v>
      </c>
      <c r="D628">
        <v>9.8971313637348009E-3</v>
      </c>
      <c r="E628" t="s">
        <v>53</v>
      </c>
      <c r="G628" t="s">
        <v>193</v>
      </c>
      <c r="H628" t="s">
        <v>58</v>
      </c>
      <c r="I628">
        <v>7.937160153514522E-2</v>
      </c>
      <c r="J628" t="s">
        <v>53</v>
      </c>
    </row>
    <row r="629" spans="2:10" x14ac:dyDescent="0.25">
      <c r="B629" t="s">
        <v>115</v>
      </c>
      <c r="C629" t="s">
        <v>59</v>
      </c>
      <c r="D629">
        <v>5.1544303696882329E-3</v>
      </c>
      <c r="E629" t="s">
        <v>53</v>
      </c>
      <c r="G629" t="s">
        <v>193</v>
      </c>
      <c r="H629" t="s">
        <v>59</v>
      </c>
      <c r="I629">
        <v>0.15236387742752525</v>
      </c>
      <c r="J629" t="s">
        <v>53</v>
      </c>
    </row>
    <row r="630" spans="2:10" x14ac:dyDescent="0.25">
      <c r="B630" t="s">
        <v>115</v>
      </c>
      <c r="C630" t="s">
        <v>60</v>
      </c>
      <c r="D630">
        <v>0.12669127064146529</v>
      </c>
      <c r="E630" t="s">
        <v>53</v>
      </c>
      <c r="G630" t="s">
        <v>193</v>
      </c>
      <c r="H630" t="s">
        <v>60</v>
      </c>
      <c r="I630">
        <v>0.12062603511165013</v>
      </c>
      <c r="J630" t="s">
        <v>53</v>
      </c>
    </row>
    <row r="631" spans="2:10" x14ac:dyDescent="0.25">
      <c r="B631" t="s">
        <v>115</v>
      </c>
      <c r="C631" t="s">
        <v>61</v>
      </c>
      <c r="D631">
        <v>2.2795614003661975E-3</v>
      </c>
      <c r="E631" t="s">
        <v>53</v>
      </c>
      <c r="G631" t="s">
        <v>193</v>
      </c>
      <c r="H631" t="s">
        <v>61</v>
      </c>
      <c r="I631">
        <v>0.10347352145294843</v>
      </c>
      <c r="J631" t="s">
        <v>53</v>
      </c>
    </row>
    <row r="632" spans="2:10" x14ac:dyDescent="0.25">
      <c r="B632" t="s">
        <v>115</v>
      </c>
      <c r="C632" t="s">
        <v>62</v>
      </c>
      <c r="D632">
        <v>1.1476774671849738E-2</v>
      </c>
      <c r="E632" t="s">
        <v>53</v>
      </c>
      <c r="G632" t="s">
        <v>193</v>
      </c>
      <c r="H632" t="s">
        <v>62</v>
      </c>
      <c r="I632">
        <v>6.9687945484321737E-2</v>
      </c>
      <c r="J632" t="s">
        <v>53</v>
      </c>
    </row>
    <row r="633" spans="2:10" x14ac:dyDescent="0.25">
      <c r="B633" t="s">
        <v>115</v>
      </c>
      <c r="C633" t="s">
        <v>63</v>
      </c>
      <c r="D633">
        <v>0.22758794987654668</v>
      </c>
      <c r="E633" t="s">
        <v>53</v>
      </c>
      <c r="G633" t="s">
        <v>193</v>
      </c>
      <c r="H633" t="s">
        <v>63</v>
      </c>
      <c r="I633">
        <v>4.387161890958273E-2</v>
      </c>
      <c r="J633" t="s">
        <v>53</v>
      </c>
    </row>
    <row r="634" spans="2:10" x14ac:dyDescent="0.25">
      <c r="B634" t="s">
        <v>115</v>
      </c>
      <c r="C634" t="s">
        <v>64</v>
      </c>
      <c r="D634">
        <v>7.2849563621089561E-4</v>
      </c>
      <c r="E634" t="s">
        <v>53</v>
      </c>
      <c r="G634" t="s">
        <v>193</v>
      </c>
      <c r="H634" t="s">
        <v>64</v>
      </c>
      <c r="I634">
        <v>4.9888060988737985E-2</v>
      </c>
      <c r="J634" t="s">
        <v>53</v>
      </c>
    </row>
    <row r="635" spans="2:10" x14ac:dyDescent="0.25">
      <c r="B635" t="s">
        <v>116</v>
      </c>
      <c r="C635" t="s">
        <v>52</v>
      </c>
      <c r="D635">
        <v>1.3140000017655744E-2</v>
      </c>
      <c r="E635" t="s">
        <v>53</v>
      </c>
      <c r="G635" t="s">
        <v>194</v>
      </c>
      <c r="H635" t="s">
        <v>52</v>
      </c>
      <c r="I635">
        <v>8.4935080090568826E-2</v>
      </c>
      <c r="J635" t="s">
        <v>53</v>
      </c>
    </row>
    <row r="636" spans="2:10" x14ac:dyDescent="0.25">
      <c r="B636" t="s">
        <v>116</v>
      </c>
      <c r="C636" t="s">
        <v>54</v>
      </c>
      <c r="D636">
        <v>0.28808604966934115</v>
      </c>
      <c r="E636" t="s">
        <v>53</v>
      </c>
      <c r="G636" t="s">
        <v>194</v>
      </c>
      <c r="H636" t="s">
        <v>54</v>
      </c>
      <c r="I636">
        <v>3.4434495158394439E-2</v>
      </c>
      <c r="J636" t="s">
        <v>53</v>
      </c>
    </row>
    <row r="637" spans="2:10" x14ac:dyDescent="0.25">
      <c r="B637" t="s">
        <v>116</v>
      </c>
      <c r="C637" t="s">
        <v>55</v>
      </c>
      <c r="D637">
        <v>2.3539862825074551E-3</v>
      </c>
      <c r="E637" t="s">
        <v>53</v>
      </c>
      <c r="G637" t="s">
        <v>194</v>
      </c>
      <c r="H637" t="s">
        <v>55</v>
      </c>
      <c r="I637">
        <v>5.9009689397357117E-2</v>
      </c>
      <c r="J637" t="s">
        <v>53</v>
      </c>
    </row>
    <row r="638" spans="2:10" x14ac:dyDescent="0.25">
      <c r="B638" t="s">
        <v>116</v>
      </c>
      <c r="C638" t="s">
        <v>56</v>
      </c>
      <c r="D638">
        <v>2.1880045035566918E-2</v>
      </c>
      <c r="E638" t="s">
        <v>53</v>
      </c>
      <c r="G638" t="s">
        <v>194</v>
      </c>
      <c r="H638" t="s">
        <v>56</v>
      </c>
      <c r="I638">
        <v>0.12338506296897424</v>
      </c>
      <c r="J638" t="s">
        <v>53</v>
      </c>
    </row>
    <row r="639" spans="2:10" x14ac:dyDescent="0.25">
      <c r="B639" t="s">
        <v>116</v>
      </c>
      <c r="C639" t="s">
        <v>57</v>
      </c>
      <c r="D639">
        <v>0.30383505910996939</v>
      </c>
      <c r="E639" t="s">
        <v>53</v>
      </c>
      <c r="G639" t="s">
        <v>194</v>
      </c>
      <c r="H639" t="s">
        <v>57</v>
      </c>
      <c r="I639">
        <v>8.1111887112626568E-2</v>
      </c>
      <c r="J639" t="s">
        <v>53</v>
      </c>
    </row>
    <row r="640" spans="2:10" x14ac:dyDescent="0.25">
      <c r="B640" t="s">
        <v>116</v>
      </c>
      <c r="C640" t="s">
        <v>58</v>
      </c>
      <c r="D640">
        <v>9.8025340540469647E-3</v>
      </c>
      <c r="E640" t="s">
        <v>53</v>
      </c>
      <c r="G640" t="s">
        <v>194</v>
      </c>
      <c r="H640" t="s">
        <v>58</v>
      </c>
      <c r="I640">
        <v>9.8257857324544937E-2</v>
      </c>
      <c r="J640" t="s">
        <v>53</v>
      </c>
    </row>
    <row r="641" spans="2:10" x14ac:dyDescent="0.25">
      <c r="B641" t="s">
        <v>116</v>
      </c>
      <c r="C641" t="s">
        <v>59</v>
      </c>
      <c r="D641">
        <v>4.7808090292912426E-3</v>
      </c>
      <c r="E641" t="s">
        <v>53</v>
      </c>
      <c r="G641" t="s">
        <v>194</v>
      </c>
      <c r="H641" t="s">
        <v>59</v>
      </c>
      <c r="I641">
        <v>0.13022170786223752</v>
      </c>
      <c r="J641" t="s">
        <v>53</v>
      </c>
    </row>
    <row r="642" spans="2:10" x14ac:dyDescent="0.25">
      <c r="B642" t="s">
        <v>116</v>
      </c>
      <c r="C642" t="s">
        <v>60</v>
      </c>
      <c r="D642">
        <v>0.12112735122341178</v>
      </c>
      <c r="E642" t="s">
        <v>53</v>
      </c>
      <c r="G642" t="s">
        <v>194</v>
      </c>
      <c r="H642" t="s">
        <v>60</v>
      </c>
      <c r="I642">
        <v>0.11733996861764008</v>
      </c>
      <c r="J642" t="s">
        <v>53</v>
      </c>
    </row>
    <row r="643" spans="2:10" x14ac:dyDescent="0.25">
      <c r="B643" t="s">
        <v>116</v>
      </c>
      <c r="C643" t="s">
        <v>61</v>
      </c>
      <c r="D643">
        <v>2.1408590432378028E-3</v>
      </c>
      <c r="E643" t="s">
        <v>53</v>
      </c>
      <c r="G643" t="s">
        <v>194</v>
      </c>
      <c r="H643" t="s">
        <v>61</v>
      </c>
      <c r="I643">
        <v>0.11543448177650603</v>
      </c>
      <c r="J643" t="s">
        <v>53</v>
      </c>
    </row>
    <row r="644" spans="2:10" x14ac:dyDescent="0.25">
      <c r="B644" t="s">
        <v>116</v>
      </c>
      <c r="C644" t="s">
        <v>62</v>
      </c>
      <c r="D644">
        <v>9.9585772343091846E-3</v>
      </c>
      <c r="E644" t="s">
        <v>53</v>
      </c>
      <c r="G644" t="s">
        <v>194</v>
      </c>
      <c r="H644" t="s">
        <v>62</v>
      </c>
      <c r="I644">
        <v>6.4468099198109904E-2</v>
      </c>
      <c r="J644" t="s">
        <v>53</v>
      </c>
    </row>
    <row r="645" spans="2:10" x14ac:dyDescent="0.25">
      <c r="B645" t="s">
        <v>116</v>
      </c>
      <c r="C645" t="s">
        <v>63</v>
      </c>
      <c r="D645">
        <v>0.22235791611830069</v>
      </c>
      <c r="E645" t="s">
        <v>53</v>
      </c>
      <c r="G645" t="s">
        <v>194</v>
      </c>
      <c r="H645" t="s">
        <v>63</v>
      </c>
      <c r="I645">
        <v>4.225989440122481E-2</v>
      </c>
      <c r="J645" t="s">
        <v>53</v>
      </c>
    </row>
    <row r="646" spans="2:10" x14ac:dyDescent="0.25">
      <c r="B646" t="s">
        <v>116</v>
      </c>
      <c r="C646" t="s">
        <v>64</v>
      </c>
      <c r="D646">
        <v>5.3681318236473315E-4</v>
      </c>
      <c r="E646" t="s">
        <v>53</v>
      </c>
      <c r="G646" t="s">
        <v>194</v>
      </c>
      <c r="H646" t="s">
        <v>64</v>
      </c>
      <c r="I646">
        <v>4.9141776091815553E-2</v>
      </c>
      <c r="J646" t="s">
        <v>53</v>
      </c>
    </row>
    <row r="647" spans="2:10" x14ac:dyDescent="0.25">
      <c r="B647" t="s">
        <v>117</v>
      </c>
      <c r="C647" t="s">
        <v>52</v>
      </c>
      <c r="D647">
        <v>1.3193670092746017E-2</v>
      </c>
      <c r="E647" t="s">
        <v>53</v>
      </c>
      <c r="G647" t="s">
        <v>195</v>
      </c>
      <c r="H647" t="s">
        <v>52</v>
      </c>
      <c r="I647">
        <v>6.8367327877497927E-2</v>
      </c>
      <c r="J647" t="s">
        <v>53</v>
      </c>
    </row>
    <row r="648" spans="2:10" x14ac:dyDescent="0.25">
      <c r="B648" t="s">
        <v>117</v>
      </c>
      <c r="C648" t="s">
        <v>54</v>
      </c>
      <c r="D648">
        <v>0.28451570532613174</v>
      </c>
      <c r="E648" t="s">
        <v>53</v>
      </c>
      <c r="G648" t="s">
        <v>195</v>
      </c>
      <c r="H648" t="s">
        <v>54</v>
      </c>
      <c r="I648">
        <v>3.0152648782796478E-2</v>
      </c>
      <c r="J648" t="s">
        <v>53</v>
      </c>
    </row>
    <row r="649" spans="2:10" x14ac:dyDescent="0.25">
      <c r="B649" t="s">
        <v>117</v>
      </c>
      <c r="C649" t="s">
        <v>55</v>
      </c>
      <c r="D649">
        <v>3.8249424670312656E-4</v>
      </c>
      <c r="E649" t="s">
        <v>53</v>
      </c>
      <c r="G649" t="s">
        <v>195</v>
      </c>
      <c r="H649" t="s">
        <v>55</v>
      </c>
      <c r="I649">
        <v>5.9160933097894317E-2</v>
      </c>
      <c r="J649" t="s">
        <v>53</v>
      </c>
    </row>
    <row r="650" spans="2:10" x14ac:dyDescent="0.25">
      <c r="B650" t="s">
        <v>117</v>
      </c>
      <c r="C650" t="s">
        <v>56</v>
      </c>
      <c r="D650">
        <v>2.4694253742850478E-2</v>
      </c>
      <c r="E650" t="s">
        <v>53</v>
      </c>
      <c r="G650" t="s">
        <v>195</v>
      </c>
      <c r="H650" t="s">
        <v>56</v>
      </c>
      <c r="I650">
        <v>0.11802981783673377</v>
      </c>
      <c r="J650" t="s">
        <v>53</v>
      </c>
    </row>
    <row r="651" spans="2:10" x14ac:dyDescent="0.25">
      <c r="B651" t="s">
        <v>117</v>
      </c>
      <c r="C651" t="s">
        <v>57</v>
      </c>
      <c r="D651">
        <v>0.29853857789810745</v>
      </c>
      <c r="E651" t="s">
        <v>53</v>
      </c>
      <c r="G651" t="s">
        <v>195</v>
      </c>
      <c r="H651" t="s">
        <v>57</v>
      </c>
      <c r="I651">
        <v>6.896567193815871E-2</v>
      </c>
      <c r="J651" t="s">
        <v>53</v>
      </c>
    </row>
    <row r="652" spans="2:10" x14ac:dyDescent="0.25">
      <c r="B652" t="s">
        <v>117</v>
      </c>
      <c r="C652" t="s">
        <v>58</v>
      </c>
      <c r="D652">
        <v>8.7801352191568659E-3</v>
      </c>
      <c r="E652" t="s">
        <v>53</v>
      </c>
      <c r="G652" t="s">
        <v>195</v>
      </c>
      <c r="H652" t="s">
        <v>58</v>
      </c>
      <c r="I652">
        <v>7.0321514173898592E-2</v>
      </c>
      <c r="J652" t="s">
        <v>53</v>
      </c>
    </row>
    <row r="653" spans="2:10" x14ac:dyDescent="0.25">
      <c r="B653" t="s">
        <v>117</v>
      </c>
      <c r="C653" t="s">
        <v>59</v>
      </c>
      <c r="D653">
        <v>6.117351722957823E-3</v>
      </c>
      <c r="E653" t="s">
        <v>53</v>
      </c>
      <c r="G653" t="s">
        <v>195</v>
      </c>
      <c r="H653" t="s">
        <v>59</v>
      </c>
      <c r="I653">
        <v>0.16506358724358292</v>
      </c>
      <c r="J653" t="s">
        <v>53</v>
      </c>
    </row>
    <row r="654" spans="2:10" x14ac:dyDescent="0.25">
      <c r="B654" t="s">
        <v>117</v>
      </c>
      <c r="C654" t="s">
        <v>60</v>
      </c>
      <c r="D654">
        <v>0.13438420402584089</v>
      </c>
      <c r="E654" t="s">
        <v>53</v>
      </c>
      <c r="G654" t="s">
        <v>195</v>
      </c>
      <c r="H654" t="s">
        <v>60</v>
      </c>
      <c r="I654">
        <v>0.18721278856861195</v>
      </c>
      <c r="J654" t="s">
        <v>53</v>
      </c>
    </row>
    <row r="655" spans="2:10" x14ac:dyDescent="0.25">
      <c r="B655" t="s">
        <v>117</v>
      </c>
      <c r="C655" t="s">
        <v>61</v>
      </c>
      <c r="D655">
        <v>2.1304269476398281E-3</v>
      </c>
      <c r="E655" t="s">
        <v>53</v>
      </c>
      <c r="G655" t="s">
        <v>195</v>
      </c>
      <c r="H655" t="s">
        <v>61</v>
      </c>
      <c r="I655">
        <v>9.7609745985388852E-2</v>
      </c>
      <c r="J655" t="s">
        <v>53</v>
      </c>
    </row>
    <row r="656" spans="2:10" x14ac:dyDescent="0.25">
      <c r="B656" t="s">
        <v>117</v>
      </c>
      <c r="C656" t="s">
        <v>62</v>
      </c>
      <c r="D656">
        <v>1.0761427998674324E-2</v>
      </c>
      <c r="E656" t="s">
        <v>53</v>
      </c>
      <c r="G656" t="s">
        <v>195</v>
      </c>
      <c r="H656" t="s">
        <v>62</v>
      </c>
      <c r="I656">
        <v>4.9808389815778606E-2</v>
      </c>
      <c r="J656" t="s">
        <v>53</v>
      </c>
    </row>
    <row r="657" spans="2:10" x14ac:dyDescent="0.25">
      <c r="B657" t="s">
        <v>117</v>
      </c>
      <c r="C657" t="s">
        <v>63</v>
      </c>
      <c r="D657">
        <v>0.21615578356290244</v>
      </c>
      <c r="E657" t="s">
        <v>53</v>
      </c>
      <c r="G657" t="s">
        <v>195</v>
      </c>
      <c r="H657" t="s">
        <v>63</v>
      </c>
      <c r="I657">
        <v>3.9355427396567097E-2</v>
      </c>
      <c r="J657" t="s">
        <v>53</v>
      </c>
    </row>
    <row r="658" spans="2:10" x14ac:dyDescent="0.25">
      <c r="B658" t="s">
        <v>117</v>
      </c>
      <c r="C658" t="s">
        <v>64</v>
      </c>
      <c r="D658">
        <v>3.4596921628553967E-4</v>
      </c>
      <c r="E658" t="s">
        <v>53</v>
      </c>
      <c r="G658" t="s">
        <v>195</v>
      </c>
      <c r="H658" t="s">
        <v>64</v>
      </c>
      <c r="I658">
        <v>4.5952147283092208E-2</v>
      </c>
      <c r="J658" t="s">
        <v>53</v>
      </c>
    </row>
    <row r="659" spans="2:10" x14ac:dyDescent="0.25">
      <c r="B659" t="s">
        <v>118</v>
      </c>
      <c r="C659" t="s">
        <v>52</v>
      </c>
      <c r="D659">
        <v>1.330969413050264E-2</v>
      </c>
      <c r="E659" t="s">
        <v>53</v>
      </c>
      <c r="G659" t="s">
        <v>196</v>
      </c>
      <c r="H659" t="s">
        <v>52</v>
      </c>
      <c r="I659">
        <v>8.3043347085876809E-2</v>
      </c>
      <c r="J659" t="s">
        <v>53</v>
      </c>
    </row>
    <row r="660" spans="2:10" x14ac:dyDescent="0.25">
      <c r="B660" t="s">
        <v>118</v>
      </c>
      <c r="C660" t="s">
        <v>54</v>
      </c>
      <c r="D660">
        <v>0.27920898404331462</v>
      </c>
      <c r="E660" t="s">
        <v>53</v>
      </c>
      <c r="G660" t="s">
        <v>196</v>
      </c>
      <c r="H660" t="s">
        <v>54</v>
      </c>
      <c r="I660">
        <v>3.2514996955246123E-2</v>
      </c>
      <c r="J660" t="s">
        <v>53</v>
      </c>
    </row>
    <row r="661" spans="2:10" x14ac:dyDescent="0.25">
      <c r="B661" t="s">
        <v>118</v>
      </c>
      <c r="C661" t="s">
        <v>55</v>
      </c>
      <c r="D661">
        <v>0</v>
      </c>
      <c r="E661" t="s">
        <v>53</v>
      </c>
      <c r="G661" t="s">
        <v>196</v>
      </c>
      <c r="H661" t="s">
        <v>55</v>
      </c>
      <c r="I661">
        <v>5.0664434334884517E-2</v>
      </c>
      <c r="J661" t="s">
        <v>53</v>
      </c>
    </row>
    <row r="662" spans="2:10" x14ac:dyDescent="0.25">
      <c r="B662" t="s">
        <v>118</v>
      </c>
      <c r="C662" t="s">
        <v>56</v>
      </c>
      <c r="D662">
        <v>2.6596258462743834E-2</v>
      </c>
      <c r="E662" t="s">
        <v>53</v>
      </c>
      <c r="G662" t="s">
        <v>196</v>
      </c>
      <c r="H662" t="s">
        <v>56</v>
      </c>
      <c r="I662">
        <v>0.14029825400314822</v>
      </c>
      <c r="J662" t="s">
        <v>53</v>
      </c>
    </row>
    <row r="663" spans="2:10" x14ac:dyDescent="0.25">
      <c r="B663" t="s">
        <v>118</v>
      </c>
      <c r="C663" t="s">
        <v>57</v>
      </c>
      <c r="D663">
        <v>0.29412968952519125</v>
      </c>
      <c r="E663" t="s">
        <v>53</v>
      </c>
      <c r="G663" t="s">
        <v>196</v>
      </c>
      <c r="H663" t="s">
        <v>57</v>
      </c>
      <c r="I663">
        <v>6.4699418068009634E-2</v>
      </c>
      <c r="J663" t="s">
        <v>53</v>
      </c>
    </row>
    <row r="664" spans="2:10" x14ac:dyDescent="0.25">
      <c r="B664" t="s">
        <v>118</v>
      </c>
      <c r="C664" t="s">
        <v>58</v>
      </c>
      <c r="D664">
        <v>5.8633901783394643E-3</v>
      </c>
      <c r="E664" t="s">
        <v>53</v>
      </c>
      <c r="G664" t="s">
        <v>196</v>
      </c>
      <c r="H664" t="s">
        <v>58</v>
      </c>
      <c r="I664">
        <v>9.7144755485509784E-2</v>
      </c>
      <c r="J664" t="s">
        <v>53</v>
      </c>
    </row>
    <row r="665" spans="2:10" x14ac:dyDescent="0.25">
      <c r="B665" t="s">
        <v>118</v>
      </c>
      <c r="C665" t="s">
        <v>59</v>
      </c>
      <c r="D665">
        <v>7.8870260234792291E-3</v>
      </c>
      <c r="E665" t="s">
        <v>53</v>
      </c>
      <c r="G665" t="s">
        <v>196</v>
      </c>
      <c r="H665" t="s">
        <v>59</v>
      </c>
      <c r="I665">
        <v>0.15156321676674059</v>
      </c>
      <c r="J665" t="s">
        <v>53</v>
      </c>
    </row>
    <row r="666" spans="2:10" x14ac:dyDescent="0.25">
      <c r="B666" t="s">
        <v>118</v>
      </c>
      <c r="C666" t="s">
        <v>60</v>
      </c>
      <c r="D666">
        <v>0.15010028757722188</v>
      </c>
      <c r="E666" t="s">
        <v>53</v>
      </c>
      <c r="G666" t="s">
        <v>196</v>
      </c>
      <c r="H666" t="s">
        <v>60</v>
      </c>
      <c r="I666">
        <v>0.1622723862154144</v>
      </c>
      <c r="J666" t="s">
        <v>53</v>
      </c>
    </row>
    <row r="667" spans="2:10" x14ac:dyDescent="0.25">
      <c r="B667" t="s">
        <v>118</v>
      </c>
      <c r="C667" t="s">
        <v>61</v>
      </c>
      <c r="D667">
        <v>2.1172197564584918E-3</v>
      </c>
      <c r="E667" t="s">
        <v>53</v>
      </c>
      <c r="G667" t="s">
        <v>196</v>
      </c>
      <c r="H667" t="s">
        <v>61</v>
      </c>
      <c r="I667">
        <v>9.851464454765621E-2</v>
      </c>
      <c r="J667" t="s">
        <v>53</v>
      </c>
    </row>
    <row r="668" spans="2:10" x14ac:dyDescent="0.25">
      <c r="B668" t="s">
        <v>118</v>
      </c>
      <c r="C668" t="s">
        <v>62</v>
      </c>
      <c r="D668">
        <v>1.2221908849094956E-2</v>
      </c>
      <c r="E668" t="s">
        <v>53</v>
      </c>
      <c r="G668" t="s">
        <v>196</v>
      </c>
      <c r="H668" t="s">
        <v>62</v>
      </c>
      <c r="I668">
        <v>5.4600338204048485E-2</v>
      </c>
      <c r="J668" t="s">
        <v>53</v>
      </c>
    </row>
    <row r="669" spans="2:10" x14ac:dyDescent="0.25">
      <c r="B669" t="s">
        <v>118</v>
      </c>
      <c r="C669" t="s">
        <v>63</v>
      </c>
      <c r="D669">
        <v>0.20850977126065803</v>
      </c>
      <c r="E669" t="s">
        <v>53</v>
      </c>
      <c r="G669" t="s">
        <v>196</v>
      </c>
      <c r="H669" t="s">
        <v>63</v>
      </c>
      <c r="I669">
        <v>3.108367738362304E-2</v>
      </c>
      <c r="J669" t="s">
        <v>53</v>
      </c>
    </row>
    <row r="670" spans="2:10" x14ac:dyDescent="0.25">
      <c r="B670" t="s">
        <v>118</v>
      </c>
      <c r="C670" t="s">
        <v>64</v>
      </c>
      <c r="D670">
        <v>5.5770192997738521E-5</v>
      </c>
      <c r="E670" t="s">
        <v>53</v>
      </c>
      <c r="G670" t="s">
        <v>196</v>
      </c>
      <c r="H670" t="s">
        <v>64</v>
      </c>
      <c r="I670">
        <v>3.3600530949846379E-2</v>
      </c>
      <c r="J670" t="s">
        <v>53</v>
      </c>
    </row>
    <row r="671" spans="2:10" x14ac:dyDescent="0.25">
      <c r="B671" t="s">
        <v>119</v>
      </c>
      <c r="C671" t="s">
        <v>52</v>
      </c>
      <c r="D671">
        <v>1.4233359423032116E-2</v>
      </c>
      <c r="E671" t="s">
        <v>53</v>
      </c>
      <c r="G671" t="s">
        <v>197</v>
      </c>
      <c r="H671" t="s">
        <v>52</v>
      </c>
      <c r="I671">
        <v>7.4392425604565049E-2</v>
      </c>
      <c r="J671" t="s">
        <v>53</v>
      </c>
    </row>
    <row r="672" spans="2:10" x14ac:dyDescent="0.25">
      <c r="B672" t="s">
        <v>119</v>
      </c>
      <c r="C672" t="s">
        <v>54</v>
      </c>
      <c r="D672">
        <v>0.27261842523027513</v>
      </c>
      <c r="E672" t="s">
        <v>53</v>
      </c>
      <c r="G672" t="s">
        <v>197</v>
      </c>
      <c r="H672" t="s">
        <v>54</v>
      </c>
      <c r="I672">
        <v>3.0078025738967205E-2</v>
      </c>
      <c r="J672" t="s">
        <v>53</v>
      </c>
    </row>
    <row r="673" spans="2:10" x14ac:dyDescent="0.25">
      <c r="B673" t="s">
        <v>119</v>
      </c>
      <c r="C673" t="s">
        <v>55</v>
      </c>
      <c r="D673">
        <v>0</v>
      </c>
      <c r="E673" t="s">
        <v>53</v>
      </c>
      <c r="G673" t="s">
        <v>197</v>
      </c>
      <c r="H673" t="s">
        <v>55</v>
      </c>
      <c r="I673">
        <v>6.1502286989262175E-2</v>
      </c>
      <c r="J673" t="s">
        <v>53</v>
      </c>
    </row>
    <row r="674" spans="2:10" x14ac:dyDescent="0.25">
      <c r="B674" t="s">
        <v>119</v>
      </c>
      <c r="C674" t="s">
        <v>56</v>
      </c>
      <c r="D674">
        <v>2.8640446841395148E-2</v>
      </c>
      <c r="E674" t="s">
        <v>53</v>
      </c>
      <c r="G674" t="s">
        <v>197</v>
      </c>
      <c r="H674" t="s">
        <v>56</v>
      </c>
      <c r="I674">
        <v>0.14266276130487263</v>
      </c>
      <c r="J674" t="s">
        <v>53</v>
      </c>
    </row>
    <row r="675" spans="2:10" x14ac:dyDescent="0.25">
      <c r="B675" t="s">
        <v>119</v>
      </c>
      <c r="C675" t="s">
        <v>57</v>
      </c>
      <c r="D675">
        <v>0.28705542566287312</v>
      </c>
      <c r="E675" t="s">
        <v>53</v>
      </c>
      <c r="G675" t="s">
        <v>197</v>
      </c>
      <c r="H675" t="s">
        <v>57</v>
      </c>
      <c r="I675">
        <v>6.5400116164315916E-2</v>
      </c>
      <c r="J675" t="s">
        <v>53</v>
      </c>
    </row>
    <row r="676" spans="2:10" x14ac:dyDescent="0.25">
      <c r="B676" t="s">
        <v>119</v>
      </c>
      <c r="C676" t="s">
        <v>58</v>
      </c>
      <c r="D676">
        <v>2.9832819878778043E-3</v>
      </c>
      <c r="E676" t="s">
        <v>53</v>
      </c>
      <c r="G676" t="s">
        <v>197</v>
      </c>
      <c r="H676" t="s">
        <v>58</v>
      </c>
      <c r="I676">
        <v>9.0910892125599191E-2</v>
      </c>
      <c r="J676" t="s">
        <v>53</v>
      </c>
    </row>
    <row r="677" spans="2:10" x14ac:dyDescent="0.25">
      <c r="B677" t="s">
        <v>119</v>
      </c>
      <c r="C677" t="s">
        <v>59</v>
      </c>
      <c r="D677">
        <v>1.178643097855326E-2</v>
      </c>
      <c r="E677" t="s">
        <v>53</v>
      </c>
      <c r="G677" t="s">
        <v>197</v>
      </c>
      <c r="H677" t="s">
        <v>59</v>
      </c>
      <c r="I677">
        <v>0.15934119040945569</v>
      </c>
      <c r="J677" t="s">
        <v>53</v>
      </c>
    </row>
    <row r="678" spans="2:10" x14ac:dyDescent="0.25">
      <c r="B678" t="s">
        <v>119</v>
      </c>
      <c r="C678" t="s">
        <v>60</v>
      </c>
      <c r="D678">
        <v>0.16816678999865986</v>
      </c>
      <c r="E678" t="s">
        <v>53</v>
      </c>
      <c r="G678" t="s">
        <v>197</v>
      </c>
      <c r="H678" t="s">
        <v>60</v>
      </c>
      <c r="I678">
        <v>0.13721923004108258</v>
      </c>
      <c r="J678" t="s">
        <v>53</v>
      </c>
    </row>
    <row r="679" spans="2:10" x14ac:dyDescent="0.25">
      <c r="B679" t="s">
        <v>119</v>
      </c>
      <c r="C679" t="s">
        <v>61</v>
      </c>
      <c r="D679">
        <v>2.0562015058864938E-3</v>
      </c>
      <c r="E679" t="s">
        <v>53</v>
      </c>
      <c r="G679" t="s">
        <v>197</v>
      </c>
      <c r="H679" t="s">
        <v>61</v>
      </c>
      <c r="I679">
        <v>9.5758513602365786E-2</v>
      </c>
      <c r="J679" t="s">
        <v>53</v>
      </c>
    </row>
    <row r="680" spans="2:10" x14ac:dyDescent="0.25">
      <c r="B680" t="s">
        <v>119</v>
      </c>
      <c r="C680" t="s">
        <v>62</v>
      </c>
      <c r="D680">
        <v>1.4155148358034454E-2</v>
      </c>
      <c r="E680" t="s">
        <v>53</v>
      </c>
      <c r="G680" t="s">
        <v>197</v>
      </c>
      <c r="H680" t="s">
        <v>62</v>
      </c>
      <c r="I680">
        <v>5.3779689289692539E-2</v>
      </c>
      <c r="J680" t="s">
        <v>53</v>
      </c>
    </row>
    <row r="681" spans="2:10" x14ac:dyDescent="0.25">
      <c r="B681" t="s">
        <v>119</v>
      </c>
      <c r="C681" t="s">
        <v>63</v>
      </c>
      <c r="D681">
        <v>0.19830411873952897</v>
      </c>
      <c r="E681" t="s">
        <v>53</v>
      </c>
      <c r="G681" t="s">
        <v>197</v>
      </c>
      <c r="H681" t="s">
        <v>63</v>
      </c>
      <c r="I681">
        <v>3.6249926406276466E-2</v>
      </c>
      <c r="J681" t="s">
        <v>53</v>
      </c>
    </row>
    <row r="682" spans="2:10" x14ac:dyDescent="0.25">
      <c r="B682" t="s">
        <v>119</v>
      </c>
      <c r="C682" t="s">
        <v>64</v>
      </c>
      <c r="D682">
        <v>3.7127388271256939E-7</v>
      </c>
      <c r="E682" t="s">
        <v>53</v>
      </c>
      <c r="G682" t="s">
        <v>197</v>
      </c>
      <c r="H682" t="s">
        <v>64</v>
      </c>
      <c r="I682">
        <v>5.2704942323547145E-2</v>
      </c>
      <c r="J682" t="s">
        <v>53</v>
      </c>
    </row>
    <row r="683" spans="2:10" x14ac:dyDescent="0.25">
      <c r="B683" t="s">
        <v>120</v>
      </c>
      <c r="C683" t="s">
        <v>52</v>
      </c>
      <c r="D683">
        <v>1.3348674337271937E-2</v>
      </c>
      <c r="E683" t="s">
        <v>53</v>
      </c>
      <c r="G683" t="s">
        <v>198</v>
      </c>
      <c r="H683" t="s">
        <v>52</v>
      </c>
      <c r="I683">
        <v>6.5060208631907271E-2</v>
      </c>
      <c r="J683" t="s">
        <v>53</v>
      </c>
    </row>
    <row r="684" spans="2:10" x14ac:dyDescent="0.25">
      <c r="B684" t="s">
        <v>120</v>
      </c>
      <c r="C684" t="s">
        <v>54</v>
      </c>
      <c r="D684">
        <v>0.2747517869593708</v>
      </c>
      <c r="E684" t="s">
        <v>53</v>
      </c>
      <c r="G684" t="s">
        <v>198</v>
      </c>
      <c r="H684" t="s">
        <v>54</v>
      </c>
      <c r="I684">
        <v>3.6194100064357332E-2</v>
      </c>
      <c r="J684" t="s">
        <v>53</v>
      </c>
    </row>
    <row r="685" spans="2:10" x14ac:dyDescent="0.25">
      <c r="B685" t="s">
        <v>120</v>
      </c>
      <c r="C685" t="s">
        <v>55</v>
      </c>
      <c r="D685">
        <v>0</v>
      </c>
      <c r="E685" t="s">
        <v>53</v>
      </c>
      <c r="G685" t="s">
        <v>198</v>
      </c>
      <c r="H685" t="s">
        <v>55</v>
      </c>
      <c r="I685">
        <v>6.6652663181219179E-2</v>
      </c>
      <c r="J685" t="s">
        <v>53</v>
      </c>
    </row>
    <row r="686" spans="2:10" x14ac:dyDescent="0.25">
      <c r="B686" t="s">
        <v>120</v>
      </c>
      <c r="C686" t="s">
        <v>56</v>
      </c>
      <c r="D686">
        <v>2.7472309429509602E-2</v>
      </c>
      <c r="E686" t="s">
        <v>53</v>
      </c>
      <c r="G686" t="s">
        <v>198</v>
      </c>
      <c r="H686" t="s">
        <v>56</v>
      </c>
      <c r="I686">
        <v>0.15771953977529818</v>
      </c>
      <c r="J686" t="s">
        <v>53</v>
      </c>
    </row>
    <row r="687" spans="2:10" x14ac:dyDescent="0.25">
      <c r="B687" t="s">
        <v>120</v>
      </c>
      <c r="C687" t="s">
        <v>57</v>
      </c>
      <c r="D687">
        <v>0.29279819092848131</v>
      </c>
      <c r="E687" t="s">
        <v>53</v>
      </c>
      <c r="G687" t="s">
        <v>198</v>
      </c>
      <c r="H687" t="s">
        <v>57</v>
      </c>
      <c r="I687">
        <v>9.9799799278414147E-2</v>
      </c>
      <c r="J687" t="s">
        <v>53</v>
      </c>
    </row>
    <row r="688" spans="2:10" x14ac:dyDescent="0.25">
      <c r="B688" t="s">
        <v>120</v>
      </c>
      <c r="C688" t="s">
        <v>58</v>
      </c>
      <c r="D688">
        <v>6.9644118603550435E-3</v>
      </c>
      <c r="E688" t="s">
        <v>53</v>
      </c>
      <c r="G688" t="s">
        <v>198</v>
      </c>
      <c r="H688" t="s">
        <v>58</v>
      </c>
      <c r="I688">
        <v>0.11464399837636215</v>
      </c>
      <c r="J688" t="s">
        <v>53</v>
      </c>
    </row>
    <row r="689" spans="2:10" x14ac:dyDescent="0.25">
      <c r="B689" t="s">
        <v>120</v>
      </c>
      <c r="C689" t="s">
        <v>59</v>
      </c>
      <c r="D689">
        <v>8.857678681733443E-3</v>
      </c>
      <c r="E689" t="s">
        <v>53</v>
      </c>
      <c r="G689" t="s">
        <v>198</v>
      </c>
      <c r="H689" t="s">
        <v>59</v>
      </c>
      <c r="I689">
        <v>0.1448747752106416</v>
      </c>
      <c r="J689" t="s">
        <v>53</v>
      </c>
    </row>
    <row r="690" spans="2:10" x14ac:dyDescent="0.25">
      <c r="B690" t="s">
        <v>120</v>
      </c>
      <c r="C690" t="s">
        <v>60</v>
      </c>
      <c r="D690">
        <v>0.15036773928818944</v>
      </c>
      <c r="E690" t="s">
        <v>53</v>
      </c>
      <c r="G690" t="s">
        <v>198</v>
      </c>
      <c r="H690" t="s">
        <v>60</v>
      </c>
      <c r="I690">
        <v>0.10274229603225053</v>
      </c>
      <c r="J690" t="s">
        <v>53</v>
      </c>
    </row>
    <row r="691" spans="2:10" x14ac:dyDescent="0.25">
      <c r="B691" t="s">
        <v>120</v>
      </c>
      <c r="C691" t="s">
        <v>61</v>
      </c>
      <c r="D691">
        <v>2.2563975044854003E-3</v>
      </c>
      <c r="E691" t="s">
        <v>53</v>
      </c>
      <c r="G691" t="s">
        <v>198</v>
      </c>
      <c r="H691" t="s">
        <v>61</v>
      </c>
      <c r="I691">
        <v>7.5274872300622964E-2</v>
      </c>
      <c r="J691" t="s">
        <v>53</v>
      </c>
    </row>
    <row r="692" spans="2:10" x14ac:dyDescent="0.25">
      <c r="B692" t="s">
        <v>120</v>
      </c>
      <c r="C692" t="s">
        <v>62</v>
      </c>
      <c r="D692">
        <v>1.2391270646646245E-2</v>
      </c>
      <c r="E692" t="s">
        <v>53</v>
      </c>
      <c r="G692" t="s">
        <v>198</v>
      </c>
      <c r="H692" t="s">
        <v>62</v>
      </c>
      <c r="I692">
        <v>5.4309013419523593E-2</v>
      </c>
      <c r="J692" t="s">
        <v>53</v>
      </c>
    </row>
    <row r="693" spans="2:10" x14ac:dyDescent="0.25">
      <c r="B693" t="s">
        <v>120</v>
      </c>
      <c r="C693" t="s">
        <v>63</v>
      </c>
      <c r="D693">
        <v>0.21047208612701943</v>
      </c>
      <c r="E693" t="s">
        <v>53</v>
      </c>
      <c r="G693" t="s">
        <v>198</v>
      </c>
      <c r="H693" t="s">
        <v>63</v>
      </c>
      <c r="I693">
        <v>3.7458663646370939E-2</v>
      </c>
      <c r="J693" t="s">
        <v>53</v>
      </c>
    </row>
    <row r="694" spans="2:10" x14ac:dyDescent="0.25">
      <c r="B694" t="s">
        <v>120</v>
      </c>
      <c r="C694" t="s">
        <v>64</v>
      </c>
      <c r="D694">
        <v>3.1945423693545156E-4</v>
      </c>
      <c r="E694" t="s">
        <v>53</v>
      </c>
      <c r="G694" t="s">
        <v>198</v>
      </c>
      <c r="H694" t="s">
        <v>64</v>
      </c>
      <c r="I694">
        <v>4.5270070083029253E-2</v>
      </c>
      <c r="J694" t="s">
        <v>53</v>
      </c>
    </row>
    <row r="695" spans="2:10" x14ac:dyDescent="0.25">
      <c r="B695" t="s">
        <v>121</v>
      </c>
      <c r="C695" t="s">
        <v>52</v>
      </c>
      <c r="D695">
        <v>1.35470951966767E-2</v>
      </c>
      <c r="E695" t="s">
        <v>53</v>
      </c>
      <c r="G695" t="s">
        <v>199</v>
      </c>
      <c r="H695" t="s">
        <v>52</v>
      </c>
      <c r="I695">
        <v>7.9880745841398107E-2</v>
      </c>
      <c r="J695" t="s">
        <v>53</v>
      </c>
    </row>
    <row r="696" spans="2:10" x14ac:dyDescent="0.25">
      <c r="B696" t="s">
        <v>121</v>
      </c>
      <c r="C696" t="s">
        <v>54</v>
      </c>
      <c r="D696">
        <v>0.26342268303041078</v>
      </c>
      <c r="E696" t="s">
        <v>53</v>
      </c>
      <c r="G696" t="s">
        <v>199</v>
      </c>
      <c r="H696" t="s">
        <v>54</v>
      </c>
      <c r="I696">
        <v>3.4224100812692074E-2</v>
      </c>
      <c r="J696" t="s">
        <v>53</v>
      </c>
    </row>
    <row r="697" spans="2:10" x14ac:dyDescent="0.25">
      <c r="B697" t="s">
        <v>121</v>
      </c>
      <c r="C697" t="s">
        <v>55</v>
      </c>
      <c r="D697">
        <v>0</v>
      </c>
      <c r="E697" t="s">
        <v>53</v>
      </c>
      <c r="G697" t="s">
        <v>199</v>
      </c>
      <c r="H697" t="s">
        <v>55</v>
      </c>
      <c r="I697">
        <v>7.387182541929857E-2</v>
      </c>
      <c r="J697" t="s">
        <v>53</v>
      </c>
    </row>
    <row r="698" spans="2:10" x14ac:dyDescent="0.25">
      <c r="B698" t="s">
        <v>121</v>
      </c>
      <c r="C698" t="s">
        <v>56</v>
      </c>
      <c r="D698">
        <v>2.8935571571656236E-2</v>
      </c>
      <c r="E698" t="s">
        <v>53</v>
      </c>
      <c r="G698" t="s">
        <v>199</v>
      </c>
      <c r="H698" t="s">
        <v>56</v>
      </c>
      <c r="I698">
        <v>0.1563536718270058</v>
      </c>
      <c r="J698" t="s">
        <v>53</v>
      </c>
    </row>
    <row r="699" spans="2:10" x14ac:dyDescent="0.25">
      <c r="B699" t="s">
        <v>121</v>
      </c>
      <c r="C699" t="s">
        <v>57</v>
      </c>
      <c r="D699">
        <v>0.28405916517017116</v>
      </c>
      <c r="E699" t="s">
        <v>53</v>
      </c>
      <c r="G699" t="s">
        <v>199</v>
      </c>
      <c r="H699" t="s">
        <v>57</v>
      </c>
      <c r="I699">
        <v>8.9953188235738349E-2</v>
      </c>
      <c r="J699" t="s">
        <v>53</v>
      </c>
    </row>
    <row r="700" spans="2:10" x14ac:dyDescent="0.25">
      <c r="B700" t="s">
        <v>121</v>
      </c>
      <c r="C700" t="s">
        <v>58</v>
      </c>
      <c r="D700">
        <v>4.5847067577271146E-3</v>
      </c>
      <c r="E700" t="s">
        <v>53</v>
      </c>
      <c r="G700" t="s">
        <v>199</v>
      </c>
      <c r="H700" t="s">
        <v>58</v>
      </c>
      <c r="I700">
        <v>0.11572420614950278</v>
      </c>
      <c r="J700" t="s">
        <v>53</v>
      </c>
    </row>
    <row r="701" spans="2:10" x14ac:dyDescent="0.25">
      <c r="B701" t="s">
        <v>121</v>
      </c>
      <c r="C701" t="s">
        <v>59</v>
      </c>
      <c r="D701">
        <v>1.2900688400825101E-2</v>
      </c>
      <c r="E701" t="s">
        <v>53</v>
      </c>
      <c r="G701" t="s">
        <v>199</v>
      </c>
      <c r="H701" t="s">
        <v>59</v>
      </c>
      <c r="I701">
        <v>0.13029394314294379</v>
      </c>
      <c r="J701" t="s">
        <v>53</v>
      </c>
    </row>
    <row r="702" spans="2:10" x14ac:dyDescent="0.25">
      <c r="B702" t="s">
        <v>121</v>
      </c>
      <c r="C702" t="s">
        <v>60</v>
      </c>
      <c r="D702">
        <v>0.17089052390192444</v>
      </c>
      <c r="E702" t="s">
        <v>53</v>
      </c>
      <c r="G702" t="s">
        <v>199</v>
      </c>
      <c r="H702" t="s">
        <v>60</v>
      </c>
      <c r="I702">
        <v>9.4352374774767558E-2</v>
      </c>
      <c r="J702" t="s">
        <v>53</v>
      </c>
    </row>
    <row r="703" spans="2:10" x14ac:dyDescent="0.25">
      <c r="B703" t="s">
        <v>121</v>
      </c>
      <c r="C703" t="s">
        <v>61</v>
      </c>
      <c r="D703">
        <v>2.4138939559644654E-3</v>
      </c>
      <c r="E703" t="s">
        <v>53</v>
      </c>
      <c r="G703" t="s">
        <v>199</v>
      </c>
      <c r="H703" t="s">
        <v>61</v>
      </c>
      <c r="I703">
        <v>7.3993084159400715E-2</v>
      </c>
      <c r="J703" t="s">
        <v>53</v>
      </c>
    </row>
    <row r="704" spans="2:10" x14ac:dyDescent="0.25">
      <c r="B704" t="s">
        <v>121</v>
      </c>
      <c r="C704" t="s">
        <v>62</v>
      </c>
      <c r="D704">
        <v>1.4547616591474875E-2</v>
      </c>
      <c r="E704" t="s">
        <v>53</v>
      </c>
      <c r="G704" t="s">
        <v>199</v>
      </c>
      <c r="H704" t="s">
        <v>62</v>
      </c>
      <c r="I704">
        <v>5.8116367111401758E-2</v>
      </c>
      <c r="J704" t="s">
        <v>53</v>
      </c>
    </row>
    <row r="705" spans="2:10" x14ac:dyDescent="0.25">
      <c r="B705" t="s">
        <v>121</v>
      </c>
      <c r="C705" t="s">
        <v>63</v>
      </c>
      <c r="D705">
        <v>0.20464830866049014</v>
      </c>
      <c r="E705" t="s">
        <v>53</v>
      </c>
      <c r="G705" t="s">
        <v>199</v>
      </c>
      <c r="H705" t="s">
        <v>63</v>
      </c>
      <c r="I705">
        <v>4.144861897235267E-2</v>
      </c>
      <c r="J705" t="s">
        <v>53</v>
      </c>
    </row>
    <row r="706" spans="2:10" x14ac:dyDescent="0.25">
      <c r="B706" t="s">
        <v>121</v>
      </c>
      <c r="C706" t="s">
        <v>64</v>
      </c>
      <c r="D706">
        <v>4.9746762679035088E-5</v>
      </c>
      <c r="E706" t="s">
        <v>53</v>
      </c>
      <c r="G706" t="s">
        <v>199</v>
      </c>
      <c r="H706" t="s">
        <v>64</v>
      </c>
      <c r="I706">
        <v>5.1787873553495394E-2</v>
      </c>
      <c r="J706" t="s">
        <v>53</v>
      </c>
    </row>
    <row r="707" spans="2:10" x14ac:dyDescent="0.25">
      <c r="B707" t="s">
        <v>122</v>
      </c>
      <c r="C707" t="s">
        <v>52</v>
      </c>
      <c r="D707">
        <v>8.3159813298524978E-3</v>
      </c>
      <c r="E707" t="s">
        <v>53</v>
      </c>
      <c r="G707" t="s">
        <v>200</v>
      </c>
      <c r="H707" t="s">
        <v>52</v>
      </c>
      <c r="I707">
        <v>8.0344169647087932E-2</v>
      </c>
      <c r="J707" t="s">
        <v>53</v>
      </c>
    </row>
    <row r="708" spans="2:10" x14ac:dyDescent="0.25">
      <c r="B708" t="s">
        <v>122</v>
      </c>
      <c r="C708" t="s">
        <v>54</v>
      </c>
      <c r="D708">
        <v>0.28921250117649799</v>
      </c>
      <c r="E708" t="s">
        <v>53</v>
      </c>
      <c r="G708" t="s">
        <v>200</v>
      </c>
      <c r="H708" t="s">
        <v>54</v>
      </c>
      <c r="I708">
        <v>4.2101325652321477E-2</v>
      </c>
      <c r="J708" t="s">
        <v>53</v>
      </c>
    </row>
    <row r="709" spans="2:10" x14ac:dyDescent="0.25">
      <c r="B709" t="s">
        <v>122</v>
      </c>
      <c r="C709" t="s">
        <v>55</v>
      </c>
      <c r="D709">
        <v>6.1971460632577391E-3</v>
      </c>
      <c r="E709" t="s">
        <v>53</v>
      </c>
      <c r="G709" t="s">
        <v>200</v>
      </c>
      <c r="H709" t="s">
        <v>55</v>
      </c>
      <c r="I709">
        <v>7.0085805232742604E-2</v>
      </c>
      <c r="J709" t="s">
        <v>53</v>
      </c>
    </row>
    <row r="710" spans="2:10" x14ac:dyDescent="0.25">
      <c r="B710" t="s">
        <v>122</v>
      </c>
      <c r="C710" t="s">
        <v>56</v>
      </c>
      <c r="D710">
        <v>1.6023161204916783E-2</v>
      </c>
      <c r="E710" t="s">
        <v>53</v>
      </c>
      <c r="G710" t="s">
        <v>200</v>
      </c>
      <c r="H710" t="s">
        <v>56</v>
      </c>
      <c r="I710">
        <v>0.11116910585736153</v>
      </c>
      <c r="J710" t="s">
        <v>53</v>
      </c>
    </row>
    <row r="711" spans="2:10" x14ac:dyDescent="0.25">
      <c r="B711" t="s">
        <v>122</v>
      </c>
      <c r="C711" t="s">
        <v>57</v>
      </c>
      <c r="D711">
        <v>0.28920672681315496</v>
      </c>
      <c r="E711" t="s">
        <v>53</v>
      </c>
      <c r="G711" t="s">
        <v>200</v>
      </c>
      <c r="H711" t="s">
        <v>57</v>
      </c>
      <c r="I711">
        <v>0.10242332992535924</v>
      </c>
      <c r="J711" t="s">
        <v>53</v>
      </c>
    </row>
    <row r="712" spans="2:10" x14ac:dyDescent="0.25">
      <c r="B712" t="s">
        <v>122</v>
      </c>
      <c r="C712" t="s">
        <v>58</v>
      </c>
      <c r="D712">
        <v>1.0405632898400026E-2</v>
      </c>
      <c r="E712" t="s">
        <v>53</v>
      </c>
      <c r="G712" t="s">
        <v>200</v>
      </c>
      <c r="H712" t="s">
        <v>58</v>
      </c>
      <c r="I712">
        <v>0.10591769717951882</v>
      </c>
      <c r="J712" t="s">
        <v>53</v>
      </c>
    </row>
    <row r="713" spans="2:10" x14ac:dyDescent="0.25">
      <c r="B713" t="s">
        <v>122</v>
      </c>
      <c r="C713" t="s">
        <v>59</v>
      </c>
      <c r="D713">
        <v>4.4416619091235546E-3</v>
      </c>
      <c r="E713" t="s">
        <v>53</v>
      </c>
      <c r="G713" t="s">
        <v>200</v>
      </c>
      <c r="H713" t="s">
        <v>59</v>
      </c>
      <c r="I713">
        <v>0.11319291871557037</v>
      </c>
      <c r="J713" t="s">
        <v>53</v>
      </c>
    </row>
    <row r="714" spans="2:10" x14ac:dyDescent="0.25">
      <c r="B714" t="s">
        <v>122</v>
      </c>
      <c r="C714" t="s">
        <v>60</v>
      </c>
      <c r="D714">
        <v>0.14779457676917432</v>
      </c>
      <c r="E714" t="s">
        <v>53</v>
      </c>
      <c r="G714" t="s">
        <v>200</v>
      </c>
      <c r="H714" t="s">
        <v>60</v>
      </c>
      <c r="I714">
        <v>0.12267260177922094</v>
      </c>
      <c r="J714" t="s">
        <v>53</v>
      </c>
    </row>
    <row r="715" spans="2:10" x14ac:dyDescent="0.25">
      <c r="B715" t="s">
        <v>122</v>
      </c>
      <c r="C715" t="s">
        <v>61</v>
      </c>
      <c r="D715">
        <v>3.1229407949630527E-3</v>
      </c>
      <c r="E715" t="s">
        <v>53</v>
      </c>
      <c r="G715" t="s">
        <v>200</v>
      </c>
      <c r="H715" t="s">
        <v>61</v>
      </c>
      <c r="I715">
        <v>6.8249558493460566E-2</v>
      </c>
      <c r="J715" t="s">
        <v>53</v>
      </c>
    </row>
    <row r="716" spans="2:10" x14ac:dyDescent="0.25">
      <c r="B716" t="s">
        <v>122</v>
      </c>
      <c r="C716" t="s">
        <v>62</v>
      </c>
      <c r="D716">
        <v>8.1243323706201957E-3</v>
      </c>
      <c r="E716" t="s">
        <v>53</v>
      </c>
      <c r="G716" t="s">
        <v>200</v>
      </c>
      <c r="H716" t="s">
        <v>62</v>
      </c>
      <c r="I716">
        <v>7.0480998945273529E-2</v>
      </c>
      <c r="J716" t="s">
        <v>53</v>
      </c>
    </row>
    <row r="717" spans="2:10" x14ac:dyDescent="0.25">
      <c r="B717" t="s">
        <v>122</v>
      </c>
      <c r="C717" t="s">
        <v>63</v>
      </c>
      <c r="D717">
        <v>0.21552500389155402</v>
      </c>
      <c r="E717" t="s">
        <v>53</v>
      </c>
      <c r="G717" t="s">
        <v>200</v>
      </c>
      <c r="H717" t="s">
        <v>63</v>
      </c>
      <c r="I717">
        <v>6.2778292693096552E-2</v>
      </c>
      <c r="J717" t="s">
        <v>53</v>
      </c>
    </row>
    <row r="718" spans="2:10" x14ac:dyDescent="0.25">
      <c r="B718" t="s">
        <v>122</v>
      </c>
      <c r="C718" t="s">
        <v>64</v>
      </c>
      <c r="D718">
        <v>1.6303347784863641E-3</v>
      </c>
      <c r="E718" t="s">
        <v>53</v>
      </c>
      <c r="G718" t="s">
        <v>200</v>
      </c>
      <c r="H718" t="s">
        <v>64</v>
      </c>
      <c r="I718">
        <v>5.0584195878985001E-2</v>
      </c>
      <c r="J718" t="s">
        <v>53</v>
      </c>
    </row>
    <row r="719" spans="2:10" x14ac:dyDescent="0.25">
      <c r="B719" t="s">
        <v>123</v>
      </c>
      <c r="C719" t="s">
        <v>52</v>
      </c>
      <c r="D719">
        <v>1.0840480081787977E-2</v>
      </c>
      <c r="E719" t="s">
        <v>53</v>
      </c>
      <c r="G719" t="s">
        <v>201</v>
      </c>
      <c r="H719" t="s">
        <v>52</v>
      </c>
      <c r="I719">
        <v>6.5314122834142577E-2</v>
      </c>
      <c r="J719" t="s">
        <v>53</v>
      </c>
    </row>
    <row r="720" spans="2:10" x14ac:dyDescent="0.25">
      <c r="B720" t="s">
        <v>123</v>
      </c>
      <c r="C720" t="s">
        <v>54</v>
      </c>
      <c r="D720">
        <v>0.2832575978351905</v>
      </c>
      <c r="E720" t="s">
        <v>53</v>
      </c>
      <c r="G720" t="s">
        <v>201</v>
      </c>
      <c r="H720" t="s">
        <v>54</v>
      </c>
      <c r="I720">
        <v>3.2203491795893366E-2</v>
      </c>
      <c r="J720" t="s">
        <v>53</v>
      </c>
    </row>
    <row r="721" spans="2:10" x14ac:dyDescent="0.25">
      <c r="B721" t="s">
        <v>123</v>
      </c>
      <c r="C721" t="s">
        <v>55</v>
      </c>
      <c r="D721">
        <v>3.8405091336005935E-3</v>
      </c>
      <c r="E721" t="s">
        <v>53</v>
      </c>
      <c r="G721" t="s">
        <v>201</v>
      </c>
      <c r="H721" t="s">
        <v>55</v>
      </c>
      <c r="I721">
        <v>6.4765502726796834E-2</v>
      </c>
      <c r="J721" t="s">
        <v>53</v>
      </c>
    </row>
    <row r="722" spans="2:10" x14ac:dyDescent="0.25">
      <c r="B722" t="s">
        <v>123</v>
      </c>
      <c r="C722" t="s">
        <v>56</v>
      </c>
      <c r="D722">
        <v>1.8454069800169753E-2</v>
      </c>
      <c r="E722" t="s">
        <v>53</v>
      </c>
      <c r="G722" t="s">
        <v>201</v>
      </c>
      <c r="H722" t="s">
        <v>56</v>
      </c>
      <c r="I722">
        <v>0.13379305851793399</v>
      </c>
      <c r="J722" t="s">
        <v>53</v>
      </c>
    </row>
    <row r="723" spans="2:10" x14ac:dyDescent="0.25">
      <c r="B723" t="s">
        <v>123</v>
      </c>
      <c r="C723" t="s">
        <v>57</v>
      </c>
      <c r="D723">
        <v>0.29163107983424624</v>
      </c>
      <c r="E723" t="s">
        <v>53</v>
      </c>
      <c r="G723" t="s">
        <v>201</v>
      </c>
      <c r="H723" t="s">
        <v>57</v>
      </c>
      <c r="I723">
        <v>8.8973939482018399E-2</v>
      </c>
      <c r="J723" t="s">
        <v>53</v>
      </c>
    </row>
    <row r="724" spans="2:10" x14ac:dyDescent="0.25">
      <c r="B724" t="s">
        <v>123</v>
      </c>
      <c r="C724" t="s">
        <v>58</v>
      </c>
      <c r="D724">
        <v>9.8616656515662215E-3</v>
      </c>
      <c r="E724" t="s">
        <v>53</v>
      </c>
      <c r="G724" t="s">
        <v>201</v>
      </c>
      <c r="H724" t="s">
        <v>58</v>
      </c>
      <c r="I724">
        <v>8.4781547692853274E-2</v>
      </c>
      <c r="J724" t="s">
        <v>53</v>
      </c>
    </row>
    <row r="725" spans="2:10" x14ac:dyDescent="0.25">
      <c r="B725" t="s">
        <v>123</v>
      </c>
      <c r="C725" t="s">
        <v>59</v>
      </c>
      <c r="D725">
        <v>5.4317097433333739E-3</v>
      </c>
      <c r="E725" t="s">
        <v>53</v>
      </c>
      <c r="G725" t="s">
        <v>201</v>
      </c>
      <c r="H725" t="s">
        <v>59</v>
      </c>
      <c r="I725">
        <v>0.14907012172920017</v>
      </c>
      <c r="J725" t="s">
        <v>53</v>
      </c>
    </row>
    <row r="726" spans="2:10" x14ac:dyDescent="0.25">
      <c r="B726" t="s">
        <v>123</v>
      </c>
      <c r="C726" t="s">
        <v>60</v>
      </c>
      <c r="D726">
        <v>0.14270298150896135</v>
      </c>
      <c r="E726" t="s">
        <v>53</v>
      </c>
      <c r="G726" t="s">
        <v>201</v>
      </c>
      <c r="H726" t="s">
        <v>60</v>
      </c>
      <c r="I726">
        <v>0.14460343911593274</v>
      </c>
      <c r="J726" t="s">
        <v>53</v>
      </c>
    </row>
    <row r="727" spans="2:10" x14ac:dyDescent="0.25">
      <c r="B727" t="s">
        <v>123</v>
      </c>
      <c r="C727" t="s">
        <v>61</v>
      </c>
      <c r="D727">
        <v>2.9234270469947602E-3</v>
      </c>
      <c r="E727" t="s">
        <v>53</v>
      </c>
      <c r="G727" t="s">
        <v>201</v>
      </c>
      <c r="H727" t="s">
        <v>61</v>
      </c>
      <c r="I727">
        <v>8.6189059497299866E-2</v>
      </c>
      <c r="J727" t="s">
        <v>53</v>
      </c>
    </row>
    <row r="728" spans="2:10" x14ac:dyDescent="0.25">
      <c r="B728" t="s">
        <v>123</v>
      </c>
      <c r="C728" t="s">
        <v>62</v>
      </c>
      <c r="D728">
        <v>9.6189588796124978E-3</v>
      </c>
      <c r="E728" t="s">
        <v>53</v>
      </c>
      <c r="G728" t="s">
        <v>201</v>
      </c>
      <c r="H728" t="s">
        <v>62</v>
      </c>
      <c r="I728">
        <v>5.8558231351953628E-2</v>
      </c>
      <c r="J728" t="s">
        <v>53</v>
      </c>
    </row>
    <row r="729" spans="2:10" x14ac:dyDescent="0.25">
      <c r="B729" t="s">
        <v>123</v>
      </c>
      <c r="C729" t="s">
        <v>63</v>
      </c>
      <c r="D729">
        <v>0.22040462179632822</v>
      </c>
      <c r="E729" t="s">
        <v>53</v>
      </c>
      <c r="G729" t="s">
        <v>201</v>
      </c>
      <c r="H729" t="s">
        <v>63</v>
      </c>
      <c r="I729">
        <v>4.5124325868548032E-2</v>
      </c>
      <c r="J729" t="s">
        <v>53</v>
      </c>
    </row>
    <row r="730" spans="2:10" x14ac:dyDescent="0.25">
      <c r="B730" t="s">
        <v>123</v>
      </c>
      <c r="C730" t="s">
        <v>64</v>
      </c>
      <c r="D730">
        <v>1.0328986882089373E-3</v>
      </c>
      <c r="E730" t="s">
        <v>53</v>
      </c>
      <c r="G730" t="s">
        <v>201</v>
      </c>
      <c r="H730" t="s">
        <v>64</v>
      </c>
      <c r="I730">
        <v>4.6623159387423944E-2</v>
      </c>
      <c r="J730" t="s">
        <v>53</v>
      </c>
    </row>
    <row r="731" spans="2:10" x14ac:dyDescent="0.25">
      <c r="B731" t="s">
        <v>124</v>
      </c>
      <c r="C731" t="s">
        <v>52</v>
      </c>
      <c r="D731">
        <v>7.1453772348233947E-3</v>
      </c>
      <c r="E731" t="s">
        <v>53</v>
      </c>
      <c r="G731" t="s">
        <v>202</v>
      </c>
      <c r="H731" t="s">
        <v>52</v>
      </c>
      <c r="I731">
        <v>0.11062502193526237</v>
      </c>
      <c r="J731" t="s">
        <v>53</v>
      </c>
    </row>
    <row r="732" spans="2:10" x14ac:dyDescent="0.25">
      <c r="B732" t="s">
        <v>124</v>
      </c>
      <c r="C732" t="s">
        <v>54</v>
      </c>
      <c r="D732">
        <v>0.28395726132924265</v>
      </c>
      <c r="E732" t="s">
        <v>53</v>
      </c>
      <c r="G732" t="s">
        <v>202</v>
      </c>
      <c r="H732" t="s">
        <v>54</v>
      </c>
      <c r="I732">
        <v>7.2068315151707557E-2</v>
      </c>
      <c r="J732" t="s">
        <v>53</v>
      </c>
    </row>
    <row r="733" spans="2:10" x14ac:dyDescent="0.25">
      <c r="B733" t="s">
        <v>124</v>
      </c>
      <c r="C733" t="s">
        <v>55</v>
      </c>
      <c r="D733">
        <v>4.2301520212802753E-3</v>
      </c>
      <c r="E733" t="s">
        <v>53</v>
      </c>
      <c r="G733" t="s">
        <v>202</v>
      </c>
      <c r="H733" t="s">
        <v>55</v>
      </c>
      <c r="I733">
        <v>8.6327786923168115E-2</v>
      </c>
      <c r="J733" t="s">
        <v>53</v>
      </c>
    </row>
    <row r="734" spans="2:10" x14ac:dyDescent="0.25">
      <c r="B734" t="s">
        <v>124</v>
      </c>
      <c r="C734" t="s">
        <v>56</v>
      </c>
      <c r="D734">
        <v>1.82857696669728E-2</v>
      </c>
      <c r="E734" t="s">
        <v>53</v>
      </c>
      <c r="G734" t="s">
        <v>202</v>
      </c>
      <c r="H734" t="s">
        <v>56</v>
      </c>
      <c r="I734">
        <v>0.13487749798674337</v>
      </c>
      <c r="J734" t="s">
        <v>53</v>
      </c>
    </row>
    <row r="735" spans="2:10" x14ac:dyDescent="0.25">
      <c r="B735" t="s">
        <v>124</v>
      </c>
      <c r="C735" t="s">
        <v>57</v>
      </c>
      <c r="D735">
        <v>0.29842703212242067</v>
      </c>
      <c r="E735" t="s">
        <v>53</v>
      </c>
      <c r="G735" t="s">
        <v>202</v>
      </c>
      <c r="H735" t="s">
        <v>57</v>
      </c>
      <c r="I735">
        <v>8.3163130878664629E-2</v>
      </c>
      <c r="J735" t="s">
        <v>53</v>
      </c>
    </row>
    <row r="736" spans="2:10" x14ac:dyDescent="0.25">
      <c r="B736" t="s">
        <v>124</v>
      </c>
      <c r="C736" t="s">
        <v>58</v>
      </c>
      <c r="D736">
        <v>1.099467718570454E-2</v>
      </c>
      <c r="E736" t="s">
        <v>53</v>
      </c>
      <c r="G736" t="s">
        <v>202</v>
      </c>
      <c r="H736" t="s">
        <v>58</v>
      </c>
      <c r="I736">
        <v>0.11392465857816382</v>
      </c>
      <c r="J736" t="s">
        <v>53</v>
      </c>
    </row>
    <row r="737" spans="2:10" x14ac:dyDescent="0.25">
      <c r="B737" t="s">
        <v>124</v>
      </c>
      <c r="C737" t="s">
        <v>59</v>
      </c>
      <c r="D737">
        <v>4.4424101516525533E-3</v>
      </c>
      <c r="E737" t="s">
        <v>53</v>
      </c>
      <c r="G737" t="s">
        <v>202</v>
      </c>
      <c r="H737" t="s">
        <v>59</v>
      </c>
      <c r="I737">
        <v>0.11489897383521863</v>
      </c>
      <c r="J737" t="s">
        <v>53</v>
      </c>
    </row>
    <row r="738" spans="2:10" x14ac:dyDescent="0.25">
      <c r="B738" t="s">
        <v>124</v>
      </c>
      <c r="C738" t="s">
        <v>60</v>
      </c>
      <c r="D738">
        <v>0.13264783777373657</v>
      </c>
      <c r="E738" t="s">
        <v>53</v>
      </c>
      <c r="G738" t="s">
        <v>202</v>
      </c>
      <c r="H738" t="s">
        <v>60</v>
      </c>
      <c r="I738">
        <v>7.4398849078686241E-2</v>
      </c>
      <c r="J738" t="s">
        <v>53</v>
      </c>
    </row>
    <row r="739" spans="2:10" x14ac:dyDescent="0.25">
      <c r="B739" t="s">
        <v>124</v>
      </c>
      <c r="C739" t="s">
        <v>61</v>
      </c>
      <c r="D739">
        <v>3.0582103584776313E-3</v>
      </c>
      <c r="E739" t="s">
        <v>53</v>
      </c>
      <c r="G739" t="s">
        <v>202</v>
      </c>
      <c r="H739" t="s">
        <v>61</v>
      </c>
      <c r="I739">
        <v>6.4615117111623932E-2</v>
      </c>
      <c r="J739" t="s">
        <v>53</v>
      </c>
    </row>
    <row r="740" spans="2:10" x14ac:dyDescent="0.25">
      <c r="B740" t="s">
        <v>124</v>
      </c>
      <c r="C740" t="s">
        <v>62</v>
      </c>
      <c r="D740">
        <v>9.3858180869243364E-3</v>
      </c>
      <c r="E740" t="s">
        <v>53</v>
      </c>
      <c r="G740" t="s">
        <v>202</v>
      </c>
      <c r="H740" t="s">
        <v>62</v>
      </c>
      <c r="I740">
        <v>6.0692290810068515E-2</v>
      </c>
      <c r="J740" t="s">
        <v>53</v>
      </c>
    </row>
    <row r="741" spans="2:10" x14ac:dyDescent="0.25">
      <c r="B741" t="s">
        <v>124</v>
      </c>
      <c r="C741" t="s">
        <v>63</v>
      </c>
      <c r="D741">
        <v>0.22611563505961876</v>
      </c>
      <c r="E741" t="s">
        <v>53</v>
      </c>
      <c r="G741" t="s">
        <v>202</v>
      </c>
      <c r="H741" t="s">
        <v>63</v>
      </c>
      <c r="I741">
        <v>3.4114735195634904E-2</v>
      </c>
      <c r="J741" t="s">
        <v>53</v>
      </c>
    </row>
    <row r="742" spans="2:10" x14ac:dyDescent="0.25">
      <c r="B742" t="s">
        <v>124</v>
      </c>
      <c r="C742" t="s">
        <v>64</v>
      </c>
      <c r="D742">
        <v>1.3098190091453263E-3</v>
      </c>
      <c r="E742" t="s">
        <v>53</v>
      </c>
      <c r="G742" t="s">
        <v>202</v>
      </c>
      <c r="H742" t="s">
        <v>64</v>
      </c>
      <c r="I742">
        <v>5.0293622515057895E-2</v>
      </c>
      <c r="J742" t="s">
        <v>53</v>
      </c>
    </row>
    <row r="743" spans="2:10" x14ac:dyDescent="0.25">
      <c r="B743" t="s">
        <v>125</v>
      </c>
      <c r="C743" t="s">
        <v>52</v>
      </c>
      <c r="D743">
        <v>2.4717238914447178E-3</v>
      </c>
      <c r="E743" t="s">
        <v>53</v>
      </c>
      <c r="G743" t="s">
        <v>203</v>
      </c>
      <c r="H743" t="s">
        <v>52</v>
      </c>
      <c r="I743">
        <v>8.697903392055778E-2</v>
      </c>
      <c r="J743" t="s">
        <v>53</v>
      </c>
    </row>
    <row r="744" spans="2:10" x14ac:dyDescent="0.25">
      <c r="B744" t="s">
        <v>125</v>
      </c>
      <c r="C744" t="s">
        <v>54</v>
      </c>
      <c r="D744">
        <v>0.28758490527100677</v>
      </c>
      <c r="E744" t="s">
        <v>53</v>
      </c>
      <c r="G744" t="s">
        <v>203</v>
      </c>
      <c r="H744" t="s">
        <v>54</v>
      </c>
      <c r="I744">
        <v>4.4343609355347945E-2</v>
      </c>
      <c r="J744" t="s">
        <v>53</v>
      </c>
    </row>
    <row r="745" spans="2:10" x14ac:dyDescent="0.25">
      <c r="B745" t="s">
        <v>125</v>
      </c>
      <c r="C745" t="s">
        <v>55</v>
      </c>
      <c r="D745">
        <v>7.6259293596835373E-3</v>
      </c>
      <c r="E745" t="s">
        <v>53</v>
      </c>
      <c r="G745" t="s">
        <v>203</v>
      </c>
      <c r="H745" t="s">
        <v>55</v>
      </c>
      <c r="I745">
        <v>6.5784560768669412E-2</v>
      </c>
      <c r="J745" t="s">
        <v>53</v>
      </c>
    </row>
    <row r="746" spans="2:10" x14ac:dyDescent="0.25">
      <c r="B746" t="s">
        <v>125</v>
      </c>
      <c r="C746" t="s">
        <v>56</v>
      </c>
      <c r="D746">
        <v>1.419353110687681E-2</v>
      </c>
      <c r="E746" t="s">
        <v>53</v>
      </c>
      <c r="G746" t="s">
        <v>203</v>
      </c>
      <c r="H746" t="s">
        <v>56</v>
      </c>
      <c r="I746">
        <v>0.15088569800980481</v>
      </c>
      <c r="J746" t="s">
        <v>53</v>
      </c>
    </row>
    <row r="747" spans="2:10" x14ac:dyDescent="0.25">
      <c r="B747" t="s">
        <v>125</v>
      </c>
      <c r="C747" t="s">
        <v>57</v>
      </c>
      <c r="D747">
        <v>0.29690653712519599</v>
      </c>
      <c r="E747" t="s">
        <v>53</v>
      </c>
      <c r="G747" t="s">
        <v>203</v>
      </c>
      <c r="H747" t="s">
        <v>57</v>
      </c>
      <c r="I747">
        <v>0.10467433475473704</v>
      </c>
      <c r="J747" t="s">
        <v>53</v>
      </c>
    </row>
    <row r="748" spans="2:10" x14ac:dyDescent="0.25">
      <c r="B748" t="s">
        <v>125</v>
      </c>
      <c r="C748" t="s">
        <v>58</v>
      </c>
      <c r="D748">
        <v>1.2186008271846049E-2</v>
      </c>
      <c r="E748" t="s">
        <v>53</v>
      </c>
      <c r="G748" t="s">
        <v>203</v>
      </c>
      <c r="H748" t="s">
        <v>58</v>
      </c>
      <c r="I748">
        <v>0.11351443648725304</v>
      </c>
      <c r="J748" t="s">
        <v>53</v>
      </c>
    </row>
    <row r="749" spans="2:10" x14ac:dyDescent="0.25">
      <c r="B749" t="s">
        <v>125</v>
      </c>
      <c r="C749" t="s">
        <v>59</v>
      </c>
      <c r="D749">
        <v>2.9469101502479669E-3</v>
      </c>
      <c r="E749" t="s">
        <v>53</v>
      </c>
      <c r="G749" t="s">
        <v>203</v>
      </c>
      <c r="H749" t="s">
        <v>59</v>
      </c>
      <c r="I749">
        <v>0.12213998869302921</v>
      </c>
      <c r="J749" t="s">
        <v>53</v>
      </c>
    </row>
    <row r="750" spans="2:10" x14ac:dyDescent="0.25">
      <c r="B750" t="s">
        <v>125</v>
      </c>
      <c r="C750" t="s">
        <v>60</v>
      </c>
      <c r="D750">
        <v>0.14230173954620123</v>
      </c>
      <c r="E750" t="s">
        <v>53</v>
      </c>
      <c r="G750" t="s">
        <v>203</v>
      </c>
      <c r="H750" t="s">
        <v>60</v>
      </c>
      <c r="I750">
        <v>7.7932754070853205E-2</v>
      </c>
      <c r="J750" t="s">
        <v>53</v>
      </c>
    </row>
    <row r="751" spans="2:10" x14ac:dyDescent="0.25">
      <c r="B751" t="s">
        <v>125</v>
      </c>
      <c r="C751" t="s">
        <v>61</v>
      </c>
      <c r="D751">
        <v>3.8788507153857295E-3</v>
      </c>
      <c r="E751" t="s">
        <v>53</v>
      </c>
      <c r="G751" t="s">
        <v>203</v>
      </c>
      <c r="H751" t="s">
        <v>61</v>
      </c>
      <c r="I751">
        <v>6.5737863208510244E-2</v>
      </c>
      <c r="J751" t="s">
        <v>53</v>
      </c>
    </row>
    <row r="752" spans="2:10" x14ac:dyDescent="0.25">
      <c r="B752" t="s">
        <v>125</v>
      </c>
      <c r="C752" t="s">
        <v>62</v>
      </c>
      <c r="D752">
        <v>7.5936334665329605E-3</v>
      </c>
      <c r="E752" t="s">
        <v>53</v>
      </c>
      <c r="G752" t="s">
        <v>203</v>
      </c>
      <c r="H752" t="s">
        <v>62</v>
      </c>
      <c r="I752">
        <v>7.6360838081176649E-2</v>
      </c>
      <c r="J752" t="s">
        <v>53</v>
      </c>
    </row>
    <row r="753" spans="2:10" x14ac:dyDescent="0.25">
      <c r="B753" t="s">
        <v>125</v>
      </c>
      <c r="C753" t="s">
        <v>63</v>
      </c>
      <c r="D753">
        <v>0.22007284459093837</v>
      </c>
      <c r="E753" t="s">
        <v>53</v>
      </c>
      <c r="G753" t="s">
        <v>203</v>
      </c>
      <c r="H753" t="s">
        <v>63</v>
      </c>
      <c r="I753">
        <v>4.2878335847644514E-2</v>
      </c>
      <c r="J753" t="s">
        <v>53</v>
      </c>
    </row>
    <row r="754" spans="2:10" x14ac:dyDescent="0.25">
      <c r="B754" t="s">
        <v>125</v>
      </c>
      <c r="C754" t="s">
        <v>64</v>
      </c>
      <c r="D754">
        <v>2.2373865046416514E-3</v>
      </c>
      <c r="E754" t="s">
        <v>53</v>
      </c>
      <c r="G754" t="s">
        <v>203</v>
      </c>
      <c r="H754" t="s">
        <v>64</v>
      </c>
      <c r="I754">
        <v>4.8768546802413729E-2</v>
      </c>
      <c r="J754" t="s">
        <v>53</v>
      </c>
    </row>
    <row r="755" spans="2:10" x14ac:dyDescent="0.25">
      <c r="B755" t="s">
        <v>126</v>
      </c>
      <c r="C755" t="s">
        <v>52</v>
      </c>
      <c r="D755">
        <v>2.4867422418457692E-3</v>
      </c>
      <c r="E755" t="s">
        <v>53</v>
      </c>
      <c r="G755" t="s">
        <v>204</v>
      </c>
      <c r="H755" t="s">
        <v>52</v>
      </c>
      <c r="I755">
        <v>8.0288184360580758E-2</v>
      </c>
      <c r="J755" t="s">
        <v>53</v>
      </c>
    </row>
    <row r="756" spans="2:10" x14ac:dyDescent="0.25">
      <c r="B756" t="s">
        <v>126</v>
      </c>
      <c r="C756" t="s">
        <v>54</v>
      </c>
      <c r="D756">
        <v>0.30384582820178835</v>
      </c>
      <c r="E756" t="s">
        <v>53</v>
      </c>
      <c r="G756" t="s">
        <v>204</v>
      </c>
      <c r="H756" t="s">
        <v>54</v>
      </c>
      <c r="I756">
        <v>5.1680761423075955E-2</v>
      </c>
      <c r="J756" t="s">
        <v>53</v>
      </c>
    </row>
    <row r="757" spans="2:10" x14ac:dyDescent="0.25">
      <c r="B757" t="s">
        <v>126</v>
      </c>
      <c r="C757" t="s">
        <v>55</v>
      </c>
      <c r="D757">
        <v>1.0870483567611906E-2</v>
      </c>
      <c r="E757" t="s">
        <v>53</v>
      </c>
      <c r="G757" t="s">
        <v>204</v>
      </c>
      <c r="H757" t="s">
        <v>55</v>
      </c>
      <c r="I757">
        <v>6.8333325203815104E-2</v>
      </c>
      <c r="J757" t="s">
        <v>53</v>
      </c>
    </row>
    <row r="758" spans="2:10" x14ac:dyDescent="0.25">
      <c r="B758" t="s">
        <v>126</v>
      </c>
      <c r="C758" t="s">
        <v>56</v>
      </c>
      <c r="D758">
        <v>1.0538447895777476E-2</v>
      </c>
      <c r="E758" t="s">
        <v>53</v>
      </c>
      <c r="G758" t="s">
        <v>204</v>
      </c>
      <c r="H758" t="s">
        <v>56</v>
      </c>
      <c r="I758">
        <v>0.12402007945102832</v>
      </c>
      <c r="J758" t="s">
        <v>53</v>
      </c>
    </row>
    <row r="759" spans="2:10" x14ac:dyDescent="0.25">
      <c r="B759" t="s">
        <v>126</v>
      </c>
      <c r="C759" t="s">
        <v>57</v>
      </c>
      <c r="D759">
        <v>0.29339252849434405</v>
      </c>
      <c r="E759" t="s">
        <v>53</v>
      </c>
      <c r="G759" t="s">
        <v>204</v>
      </c>
      <c r="H759" t="s">
        <v>57</v>
      </c>
      <c r="I759">
        <v>9.939858968463515E-2</v>
      </c>
      <c r="J759" t="s">
        <v>53</v>
      </c>
    </row>
    <row r="760" spans="2:10" x14ac:dyDescent="0.25">
      <c r="B760" t="s">
        <v>126</v>
      </c>
      <c r="C760" t="s">
        <v>58</v>
      </c>
      <c r="D760">
        <v>1.319820061489263E-2</v>
      </c>
      <c r="E760" t="s">
        <v>53</v>
      </c>
      <c r="G760" t="s">
        <v>204</v>
      </c>
      <c r="H760" t="s">
        <v>58</v>
      </c>
      <c r="I760">
        <v>0.11360322243999063</v>
      </c>
      <c r="J760" t="s">
        <v>53</v>
      </c>
    </row>
    <row r="761" spans="2:10" x14ac:dyDescent="0.25">
      <c r="B761" t="s">
        <v>126</v>
      </c>
      <c r="C761" t="s">
        <v>59</v>
      </c>
      <c r="D761">
        <v>1.5372757465742996E-3</v>
      </c>
      <c r="E761" t="s">
        <v>53</v>
      </c>
      <c r="G761" t="s">
        <v>204</v>
      </c>
      <c r="H761" t="s">
        <v>59</v>
      </c>
      <c r="I761">
        <v>0.13024166632115697</v>
      </c>
      <c r="J761" t="s">
        <v>53</v>
      </c>
    </row>
    <row r="762" spans="2:10" x14ac:dyDescent="0.25">
      <c r="B762" t="s">
        <v>126</v>
      </c>
      <c r="C762" t="s">
        <v>60</v>
      </c>
      <c r="D762">
        <v>0.13013198344817459</v>
      </c>
      <c r="E762" t="s">
        <v>53</v>
      </c>
      <c r="G762" t="s">
        <v>204</v>
      </c>
      <c r="H762" t="s">
        <v>60</v>
      </c>
      <c r="I762">
        <v>9.4026211393757331E-2</v>
      </c>
      <c r="J762" t="s">
        <v>53</v>
      </c>
    </row>
    <row r="763" spans="2:10" x14ac:dyDescent="0.25">
      <c r="B763" t="s">
        <v>126</v>
      </c>
      <c r="C763" t="s">
        <v>61</v>
      </c>
      <c r="D763">
        <v>3.4631412333654453E-3</v>
      </c>
      <c r="E763" t="s">
        <v>53</v>
      </c>
      <c r="G763" t="s">
        <v>204</v>
      </c>
      <c r="H763" t="s">
        <v>61</v>
      </c>
      <c r="I763">
        <v>6.9989853375062305E-2</v>
      </c>
      <c r="J763" t="s">
        <v>53</v>
      </c>
    </row>
    <row r="764" spans="2:10" x14ac:dyDescent="0.25">
      <c r="B764" t="s">
        <v>126</v>
      </c>
      <c r="C764" t="s">
        <v>62</v>
      </c>
      <c r="D764">
        <v>6.4389760469533552E-3</v>
      </c>
      <c r="E764" t="s">
        <v>53</v>
      </c>
      <c r="G764" t="s">
        <v>204</v>
      </c>
      <c r="H764" t="s">
        <v>62</v>
      </c>
      <c r="I764">
        <v>7.258243875530801E-2</v>
      </c>
      <c r="J764" t="s">
        <v>53</v>
      </c>
    </row>
    <row r="765" spans="2:10" x14ac:dyDescent="0.25">
      <c r="B765" t="s">
        <v>126</v>
      </c>
      <c r="C765" t="s">
        <v>63</v>
      </c>
      <c r="D765">
        <v>0.22139792489677429</v>
      </c>
      <c r="E765" t="s">
        <v>53</v>
      </c>
      <c r="G765" t="s">
        <v>204</v>
      </c>
      <c r="H765" t="s">
        <v>63</v>
      </c>
      <c r="I765">
        <v>4.097113416411706E-2</v>
      </c>
      <c r="J765" t="s">
        <v>53</v>
      </c>
    </row>
    <row r="766" spans="2:10" x14ac:dyDescent="0.25">
      <c r="B766" t="s">
        <v>126</v>
      </c>
      <c r="C766" t="s">
        <v>64</v>
      </c>
      <c r="D766">
        <v>2.6984676118967125E-3</v>
      </c>
      <c r="E766" t="s">
        <v>53</v>
      </c>
      <c r="G766" t="s">
        <v>204</v>
      </c>
      <c r="H766" t="s">
        <v>64</v>
      </c>
      <c r="I766">
        <v>5.4864533427465986E-2</v>
      </c>
      <c r="J766" t="s">
        <v>53</v>
      </c>
    </row>
    <row r="767" spans="2:10" x14ac:dyDescent="0.25">
      <c r="B767" t="s">
        <v>127</v>
      </c>
      <c r="C767" t="s">
        <v>52</v>
      </c>
      <c r="D767">
        <v>6.2740590008246852E-3</v>
      </c>
      <c r="E767" t="s">
        <v>53</v>
      </c>
      <c r="G767" t="s">
        <v>205</v>
      </c>
      <c r="H767" t="s">
        <v>52</v>
      </c>
      <c r="I767">
        <v>6.8522583510874618E-2</v>
      </c>
      <c r="J767" t="s">
        <v>53</v>
      </c>
    </row>
    <row r="768" spans="2:10" x14ac:dyDescent="0.25">
      <c r="B768" t="s">
        <v>127</v>
      </c>
      <c r="C768" t="s">
        <v>54</v>
      </c>
      <c r="D768">
        <v>0.29938373651850059</v>
      </c>
      <c r="E768" t="s">
        <v>53</v>
      </c>
      <c r="G768" t="s">
        <v>205</v>
      </c>
      <c r="H768" t="s">
        <v>54</v>
      </c>
      <c r="I768">
        <v>3.2766642878938525E-2</v>
      </c>
      <c r="J768" t="s">
        <v>53</v>
      </c>
    </row>
    <row r="769" spans="2:10" x14ac:dyDescent="0.25">
      <c r="B769" t="s">
        <v>127</v>
      </c>
      <c r="C769" t="s">
        <v>55</v>
      </c>
      <c r="D769">
        <v>9.1520848417380573E-3</v>
      </c>
      <c r="E769" t="s">
        <v>53</v>
      </c>
      <c r="G769" t="s">
        <v>205</v>
      </c>
      <c r="H769" t="s">
        <v>55</v>
      </c>
      <c r="I769">
        <v>5.0610976025364525E-2</v>
      </c>
      <c r="J769" t="s">
        <v>53</v>
      </c>
    </row>
    <row r="770" spans="2:10" x14ac:dyDescent="0.25">
      <c r="B770" t="s">
        <v>127</v>
      </c>
      <c r="C770" t="s">
        <v>56</v>
      </c>
      <c r="D770">
        <v>1.2735165340827609E-2</v>
      </c>
      <c r="E770" t="s">
        <v>53</v>
      </c>
      <c r="G770" t="s">
        <v>205</v>
      </c>
      <c r="H770" t="s">
        <v>56</v>
      </c>
      <c r="I770">
        <v>0.10942090602110273</v>
      </c>
      <c r="J770" t="s">
        <v>53</v>
      </c>
    </row>
    <row r="771" spans="2:10" x14ac:dyDescent="0.25">
      <c r="B771" t="s">
        <v>127</v>
      </c>
      <c r="C771" t="s">
        <v>57</v>
      </c>
      <c r="D771">
        <v>0.28919113940638025</v>
      </c>
      <c r="E771" t="s">
        <v>53</v>
      </c>
      <c r="G771" t="s">
        <v>205</v>
      </c>
      <c r="H771" t="s">
        <v>57</v>
      </c>
      <c r="I771">
        <v>6.3814066003696865E-2</v>
      </c>
      <c r="J771" t="s">
        <v>53</v>
      </c>
    </row>
    <row r="772" spans="2:10" x14ac:dyDescent="0.25">
      <c r="B772" t="s">
        <v>127</v>
      </c>
      <c r="C772" t="s">
        <v>58</v>
      </c>
      <c r="D772">
        <v>1.105476584315478E-2</v>
      </c>
      <c r="E772" t="s">
        <v>53</v>
      </c>
      <c r="G772" t="s">
        <v>205</v>
      </c>
      <c r="H772" t="s">
        <v>58</v>
      </c>
      <c r="I772">
        <v>8.1486173096103509E-2</v>
      </c>
      <c r="J772" t="s">
        <v>53</v>
      </c>
    </row>
    <row r="773" spans="2:10" x14ac:dyDescent="0.25">
      <c r="B773" t="s">
        <v>127</v>
      </c>
      <c r="C773" t="s">
        <v>59</v>
      </c>
      <c r="D773">
        <v>2.4404689474334098E-3</v>
      </c>
      <c r="E773" t="s">
        <v>53</v>
      </c>
      <c r="G773" t="s">
        <v>205</v>
      </c>
      <c r="H773" t="s">
        <v>59</v>
      </c>
      <c r="I773">
        <v>0.1739557033478073</v>
      </c>
      <c r="J773" t="s">
        <v>53</v>
      </c>
    </row>
    <row r="774" spans="2:10" x14ac:dyDescent="0.25">
      <c r="B774" t="s">
        <v>127</v>
      </c>
      <c r="C774" t="s">
        <v>60</v>
      </c>
      <c r="D774">
        <v>0.14601196985041809</v>
      </c>
      <c r="E774" t="s">
        <v>53</v>
      </c>
      <c r="G774" t="s">
        <v>205</v>
      </c>
      <c r="H774" t="s">
        <v>60</v>
      </c>
      <c r="I774">
        <v>0.13361748986879018</v>
      </c>
      <c r="J774" t="s">
        <v>53</v>
      </c>
    </row>
    <row r="775" spans="2:10" x14ac:dyDescent="0.25">
      <c r="B775" t="s">
        <v>127</v>
      </c>
      <c r="C775" t="s">
        <v>61</v>
      </c>
      <c r="D775">
        <v>3.6467864847011065E-3</v>
      </c>
      <c r="E775" t="s">
        <v>53</v>
      </c>
      <c r="G775" t="s">
        <v>205</v>
      </c>
      <c r="H775" t="s">
        <v>61</v>
      </c>
      <c r="I775">
        <v>0.11885462981239135</v>
      </c>
      <c r="J775" t="s">
        <v>53</v>
      </c>
    </row>
    <row r="776" spans="2:10" x14ac:dyDescent="0.25">
      <c r="B776" t="s">
        <v>127</v>
      </c>
      <c r="C776" t="s">
        <v>62</v>
      </c>
      <c r="D776">
        <v>6.6103434425469265E-3</v>
      </c>
      <c r="E776" t="s">
        <v>53</v>
      </c>
      <c r="G776" t="s">
        <v>205</v>
      </c>
      <c r="H776" t="s">
        <v>62</v>
      </c>
      <c r="I776">
        <v>6.879426848630403E-2</v>
      </c>
      <c r="J776" t="s">
        <v>53</v>
      </c>
    </row>
    <row r="777" spans="2:10" x14ac:dyDescent="0.25">
      <c r="B777" t="s">
        <v>127</v>
      </c>
      <c r="C777" t="s">
        <v>63</v>
      </c>
      <c r="D777">
        <v>0.21138779572164704</v>
      </c>
      <c r="E777" t="s">
        <v>53</v>
      </c>
      <c r="G777" t="s">
        <v>205</v>
      </c>
      <c r="H777" t="s">
        <v>63</v>
      </c>
      <c r="I777">
        <v>4.4398863762483698E-2</v>
      </c>
      <c r="J777" t="s">
        <v>53</v>
      </c>
    </row>
    <row r="778" spans="2:10" x14ac:dyDescent="0.25">
      <c r="B778" t="s">
        <v>127</v>
      </c>
      <c r="C778" t="s">
        <v>64</v>
      </c>
      <c r="D778">
        <v>2.1116846018265577E-3</v>
      </c>
      <c r="E778" t="s">
        <v>53</v>
      </c>
      <c r="G778" t="s">
        <v>205</v>
      </c>
      <c r="H778" t="s">
        <v>64</v>
      </c>
      <c r="I778">
        <v>5.3757697186142782E-2</v>
      </c>
      <c r="J778" t="s">
        <v>53</v>
      </c>
    </row>
    <row r="779" spans="2:10" x14ac:dyDescent="0.25">
      <c r="B779" t="s">
        <v>128</v>
      </c>
      <c r="C779" t="s">
        <v>52</v>
      </c>
      <c r="D779">
        <v>1.0920425718966637E-2</v>
      </c>
      <c r="E779" t="s">
        <v>53</v>
      </c>
      <c r="G779" t="s">
        <v>206</v>
      </c>
      <c r="H779" t="s">
        <v>52</v>
      </c>
      <c r="I779">
        <v>5.8274872794002786E-2</v>
      </c>
      <c r="J779" t="s">
        <v>53</v>
      </c>
    </row>
    <row r="780" spans="2:10" x14ac:dyDescent="0.25">
      <c r="B780" t="s">
        <v>128</v>
      </c>
      <c r="C780" t="s">
        <v>54</v>
      </c>
      <c r="D780">
        <v>0.26662243743821068</v>
      </c>
      <c r="E780" t="s">
        <v>53</v>
      </c>
      <c r="G780" t="s">
        <v>206</v>
      </c>
      <c r="H780" t="s">
        <v>54</v>
      </c>
      <c r="I780">
        <v>3.6453710342081988E-2</v>
      </c>
      <c r="J780" t="s">
        <v>53</v>
      </c>
    </row>
    <row r="781" spans="2:10" x14ac:dyDescent="0.25">
      <c r="B781" t="s">
        <v>128</v>
      </c>
      <c r="C781" t="s">
        <v>55</v>
      </c>
      <c r="D781">
        <v>1.3738438016145395E-3</v>
      </c>
      <c r="E781" t="s">
        <v>53</v>
      </c>
      <c r="G781" t="s">
        <v>206</v>
      </c>
      <c r="H781" t="s">
        <v>55</v>
      </c>
      <c r="I781">
        <v>4.586514198042798E-2</v>
      </c>
      <c r="J781" t="s">
        <v>53</v>
      </c>
    </row>
    <row r="782" spans="2:10" x14ac:dyDescent="0.25">
      <c r="B782" t="s">
        <v>128</v>
      </c>
      <c r="C782" t="s">
        <v>56</v>
      </c>
      <c r="D782">
        <v>1.7409015359222856E-2</v>
      </c>
      <c r="E782" t="s">
        <v>53</v>
      </c>
      <c r="G782" t="s">
        <v>206</v>
      </c>
      <c r="H782" t="s">
        <v>56</v>
      </c>
      <c r="I782">
        <v>0.11885770267269011</v>
      </c>
      <c r="J782" t="s">
        <v>53</v>
      </c>
    </row>
    <row r="783" spans="2:10" x14ac:dyDescent="0.25">
      <c r="B783" t="s">
        <v>128</v>
      </c>
      <c r="C783" t="s">
        <v>57</v>
      </c>
      <c r="D783">
        <v>0.29266583649070332</v>
      </c>
      <c r="E783" t="s">
        <v>53</v>
      </c>
      <c r="G783" t="s">
        <v>206</v>
      </c>
      <c r="H783" t="s">
        <v>57</v>
      </c>
      <c r="I783">
        <v>7.1683114845563223E-2</v>
      </c>
      <c r="J783" t="s">
        <v>53</v>
      </c>
    </row>
    <row r="784" spans="2:10" x14ac:dyDescent="0.25">
      <c r="B784" t="s">
        <v>128</v>
      </c>
      <c r="C784" t="s">
        <v>58</v>
      </c>
      <c r="D784">
        <v>9.3535765676480195E-3</v>
      </c>
      <c r="E784" t="s">
        <v>53</v>
      </c>
      <c r="G784" t="s">
        <v>206</v>
      </c>
      <c r="H784" t="s">
        <v>58</v>
      </c>
      <c r="I784">
        <v>9.8777183559835752E-2</v>
      </c>
      <c r="J784" t="s">
        <v>53</v>
      </c>
    </row>
    <row r="785" spans="2:10" x14ac:dyDescent="0.25">
      <c r="B785" t="s">
        <v>128</v>
      </c>
      <c r="C785" t="s">
        <v>59</v>
      </c>
      <c r="D785">
        <v>8.6341412326009156E-3</v>
      </c>
      <c r="E785" t="s">
        <v>53</v>
      </c>
      <c r="G785" t="s">
        <v>206</v>
      </c>
      <c r="H785" t="s">
        <v>59</v>
      </c>
      <c r="I785">
        <v>0.1828608056399163</v>
      </c>
      <c r="J785" t="s">
        <v>53</v>
      </c>
    </row>
    <row r="786" spans="2:10" x14ac:dyDescent="0.25">
      <c r="B786" t="s">
        <v>128</v>
      </c>
      <c r="C786" t="s">
        <v>60</v>
      </c>
      <c r="D786">
        <v>0.18013207114289062</v>
      </c>
      <c r="E786" t="s">
        <v>53</v>
      </c>
      <c r="G786" t="s">
        <v>206</v>
      </c>
      <c r="H786" t="s">
        <v>60</v>
      </c>
      <c r="I786">
        <v>0.12033667430104091</v>
      </c>
      <c r="J786" t="s">
        <v>53</v>
      </c>
    </row>
    <row r="787" spans="2:10" x14ac:dyDescent="0.25">
      <c r="B787" t="s">
        <v>128</v>
      </c>
      <c r="C787" t="s">
        <v>61</v>
      </c>
      <c r="D787">
        <v>3.0169537080628121E-3</v>
      </c>
      <c r="E787" t="s">
        <v>53</v>
      </c>
      <c r="G787" t="s">
        <v>206</v>
      </c>
      <c r="H787" t="s">
        <v>61</v>
      </c>
      <c r="I787">
        <v>8.2297811467774026E-2</v>
      </c>
      <c r="J787" t="s">
        <v>53</v>
      </c>
    </row>
    <row r="788" spans="2:10" x14ac:dyDescent="0.25">
      <c r="B788" t="s">
        <v>128</v>
      </c>
      <c r="C788" t="s">
        <v>62</v>
      </c>
      <c r="D788">
        <v>9.6519976422637377E-3</v>
      </c>
      <c r="E788" t="s">
        <v>53</v>
      </c>
      <c r="G788" t="s">
        <v>206</v>
      </c>
      <c r="H788" t="s">
        <v>62</v>
      </c>
      <c r="I788">
        <v>8.5316179134886302E-2</v>
      </c>
      <c r="J788" t="s">
        <v>53</v>
      </c>
    </row>
    <row r="789" spans="2:10" x14ac:dyDescent="0.25">
      <c r="B789" t="s">
        <v>128</v>
      </c>
      <c r="C789" t="s">
        <v>63</v>
      </c>
      <c r="D789">
        <v>0.19964048389714348</v>
      </c>
      <c r="E789" t="s">
        <v>53</v>
      </c>
      <c r="G789" t="s">
        <v>206</v>
      </c>
      <c r="H789" t="s">
        <v>63</v>
      </c>
      <c r="I789">
        <v>4.1360804853836391E-2</v>
      </c>
      <c r="J789" t="s">
        <v>53</v>
      </c>
    </row>
    <row r="790" spans="2:10" x14ac:dyDescent="0.25">
      <c r="B790" t="s">
        <v>128</v>
      </c>
      <c r="C790" t="s">
        <v>64</v>
      </c>
      <c r="D790">
        <v>5.7921700067494115E-4</v>
      </c>
      <c r="E790" t="s">
        <v>53</v>
      </c>
      <c r="G790" t="s">
        <v>206</v>
      </c>
      <c r="H790" t="s">
        <v>64</v>
      </c>
      <c r="I790">
        <v>5.7915998407945611E-2</v>
      </c>
      <c r="J790" t="s">
        <v>53</v>
      </c>
    </row>
    <row r="791" spans="2:10" x14ac:dyDescent="0.25">
      <c r="B791" t="s">
        <v>129</v>
      </c>
      <c r="C791" t="s">
        <v>52</v>
      </c>
      <c r="D791">
        <v>1.1059210637782112E-2</v>
      </c>
      <c r="E791" t="s">
        <v>53</v>
      </c>
      <c r="G791" t="s">
        <v>207</v>
      </c>
      <c r="H791" t="s">
        <v>52</v>
      </c>
      <c r="I791">
        <v>6.4564897390231857E-2</v>
      </c>
      <c r="J791" t="s">
        <v>53</v>
      </c>
    </row>
    <row r="792" spans="2:10" x14ac:dyDescent="0.25">
      <c r="B792" t="s">
        <v>129</v>
      </c>
      <c r="C792" t="s">
        <v>54</v>
      </c>
      <c r="D792">
        <v>0.27500321984475418</v>
      </c>
      <c r="E792" t="s">
        <v>53</v>
      </c>
      <c r="G792" t="s">
        <v>207</v>
      </c>
      <c r="H792" t="s">
        <v>54</v>
      </c>
      <c r="I792">
        <v>3.8476011122062677E-2</v>
      </c>
      <c r="J792" t="s">
        <v>53</v>
      </c>
    </row>
    <row r="793" spans="2:10" x14ac:dyDescent="0.25">
      <c r="B793" t="s">
        <v>129</v>
      </c>
      <c r="C793" t="s">
        <v>55</v>
      </c>
      <c r="D793">
        <v>2.8784715191236239E-3</v>
      </c>
      <c r="E793" t="s">
        <v>53</v>
      </c>
      <c r="G793" t="s">
        <v>207</v>
      </c>
      <c r="H793" t="s">
        <v>55</v>
      </c>
      <c r="I793">
        <v>5.9721625613741496E-2</v>
      </c>
      <c r="J793" t="s">
        <v>53</v>
      </c>
    </row>
    <row r="794" spans="2:10" x14ac:dyDescent="0.25">
      <c r="B794" t="s">
        <v>129</v>
      </c>
      <c r="C794" t="s">
        <v>56</v>
      </c>
      <c r="D794">
        <v>1.7299285541844595E-2</v>
      </c>
      <c r="E794" t="s">
        <v>53</v>
      </c>
      <c r="G794" t="s">
        <v>207</v>
      </c>
      <c r="H794" t="s">
        <v>56</v>
      </c>
      <c r="I794">
        <v>0.13141383513618488</v>
      </c>
      <c r="J794" t="s">
        <v>53</v>
      </c>
    </row>
    <row r="795" spans="2:10" x14ac:dyDescent="0.25">
      <c r="B795" t="s">
        <v>129</v>
      </c>
      <c r="C795" t="s">
        <v>57</v>
      </c>
      <c r="D795">
        <v>0.2936126154364731</v>
      </c>
      <c r="E795" t="s">
        <v>53</v>
      </c>
      <c r="G795" t="s">
        <v>207</v>
      </c>
      <c r="H795" t="s">
        <v>57</v>
      </c>
      <c r="I795">
        <v>9.3183445885127128E-2</v>
      </c>
      <c r="J795" t="s">
        <v>53</v>
      </c>
    </row>
    <row r="796" spans="2:10" x14ac:dyDescent="0.25">
      <c r="B796" t="s">
        <v>129</v>
      </c>
      <c r="C796" t="s">
        <v>58</v>
      </c>
      <c r="D796">
        <v>9.3363064807062048E-3</v>
      </c>
      <c r="E796" t="s">
        <v>53</v>
      </c>
      <c r="G796" t="s">
        <v>207</v>
      </c>
      <c r="H796" t="s">
        <v>58</v>
      </c>
      <c r="I796">
        <v>0.10113813746147311</v>
      </c>
      <c r="J796" t="s">
        <v>53</v>
      </c>
    </row>
    <row r="797" spans="2:10" x14ac:dyDescent="0.25">
      <c r="B797" t="s">
        <v>129</v>
      </c>
      <c r="C797" t="s">
        <v>59</v>
      </c>
      <c r="D797">
        <v>7.426410057984883E-3</v>
      </c>
      <c r="E797" t="s">
        <v>53</v>
      </c>
      <c r="G797" t="s">
        <v>207</v>
      </c>
      <c r="H797" t="s">
        <v>59</v>
      </c>
      <c r="I797">
        <v>0.15971355604728221</v>
      </c>
      <c r="J797" t="s">
        <v>53</v>
      </c>
    </row>
    <row r="798" spans="2:10" x14ac:dyDescent="0.25">
      <c r="B798" t="s">
        <v>129</v>
      </c>
      <c r="C798" t="s">
        <v>60</v>
      </c>
      <c r="D798">
        <v>0.16454142867291077</v>
      </c>
      <c r="E798" t="s">
        <v>53</v>
      </c>
      <c r="G798" t="s">
        <v>207</v>
      </c>
      <c r="H798" t="s">
        <v>60</v>
      </c>
      <c r="I798">
        <v>0.10134886085056311</v>
      </c>
      <c r="J798" t="s">
        <v>53</v>
      </c>
    </row>
    <row r="799" spans="2:10" x14ac:dyDescent="0.25">
      <c r="B799" t="s">
        <v>129</v>
      </c>
      <c r="C799" t="s">
        <v>61</v>
      </c>
      <c r="D799">
        <v>2.6641707898764307E-3</v>
      </c>
      <c r="E799" t="s">
        <v>53</v>
      </c>
      <c r="G799" t="s">
        <v>207</v>
      </c>
      <c r="H799" t="s">
        <v>61</v>
      </c>
      <c r="I799">
        <v>7.9776752422172956E-2</v>
      </c>
      <c r="J799" t="s">
        <v>53</v>
      </c>
    </row>
    <row r="800" spans="2:10" x14ac:dyDescent="0.25">
      <c r="B800" t="s">
        <v>129</v>
      </c>
      <c r="C800" t="s">
        <v>62</v>
      </c>
      <c r="D800">
        <v>9.0831021425154916E-3</v>
      </c>
      <c r="E800" t="s">
        <v>53</v>
      </c>
      <c r="G800" t="s">
        <v>207</v>
      </c>
      <c r="H800" t="s">
        <v>62</v>
      </c>
      <c r="I800">
        <v>7.3799278506907803E-2</v>
      </c>
      <c r="J800" t="s">
        <v>53</v>
      </c>
    </row>
    <row r="801" spans="2:10" x14ac:dyDescent="0.25">
      <c r="B801" t="s">
        <v>129</v>
      </c>
      <c r="C801" t="s">
        <v>63</v>
      </c>
      <c r="D801">
        <v>0.20651312504723174</v>
      </c>
      <c r="E801" t="s">
        <v>53</v>
      </c>
      <c r="G801" t="s">
        <v>207</v>
      </c>
      <c r="H801" t="s">
        <v>63</v>
      </c>
      <c r="I801">
        <v>3.8542733278444E-2</v>
      </c>
      <c r="J801" t="s">
        <v>53</v>
      </c>
    </row>
    <row r="802" spans="2:10" x14ac:dyDescent="0.25">
      <c r="B802" t="s">
        <v>129</v>
      </c>
      <c r="C802" t="s">
        <v>64</v>
      </c>
      <c r="D802">
        <v>5.8265382879677061E-4</v>
      </c>
      <c r="E802" t="s">
        <v>53</v>
      </c>
      <c r="G802" t="s">
        <v>207</v>
      </c>
      <c r="H802" t="s">
        <v>64</v>
      </c>
      <c r="I802">
        <v>5.832086628581061E-2</v>
      </c>
      <c r="J802" t="s">
        <v>53</v>
      </c>
    </row>
    <row r="803" spans="2:10" x14ac:dyDescent="0.25">
      <c r="B803" t="s">
        <v>130</v>
      </c>
      <c r="C803" t="s">
        <v>52</v>
      </c>
      <c r="D803">
        <v>1.204611417566832E-2</v>
      </c>
      <c r="E803" t="s">
        <v>53</v>
      </c>
      <c r="G803" t="s">
        <v>208</v>
      </c>
      <c r="H803" t="s">
        <v>52</v>
      </c>
      <c r="I803">
        <v>6.8585302301049145E-2</v>
      </c>
      <c r="J803" t="s">
        <v>53</v>
      </c>
    </row>
    <row r="804" spans="2:10" x14ac:dyDescent="0.25">
      <c r="B804" t="s">
        <v>130</v>
      </c>
      <c r="C804" t="s">
        <v>54</v>
      </c>
      <c r="D804">
        <v>0.28506829253172083</v>
      </c>
      <c r="E804" t="s">
        <v>53</v>
      </c>
      <c r="G804" t="s">
        <v>208</v>
      </c>
      <c r="H804" t="s">
        <v>54</v>
      </c>
      <c r="I804">
        <v>3.7007246617515366E-2</v>
      </c>
      <c r="J804" t="s">
        <v>53</v>
      </c>
    </row>
    <row r="805" spans="2:10" x14ac:dyDescent="0.25">
      <c r="B805" t="s">
        <v>130</v>
      </c>
      <c r="C805" t="s">
        <v>55</v>
      </c>
      <c r="D805">
        <v>6.8221681935543167E-3</v>
      </c>
      <c r="E805" t="s">
        <v>53</v>
      </c>
      <c r="G805" t="s">
        <v>208</v>
      </c>
      <c r="H805" t="s">
        <v>55</v>
      </c>
      <c r="I805">
        <v>5.5065247034028902E-2</v>
      </c>
      <c r="J805" t="s">
        <v>53</v>
      </c>
    </row>
    <row r="806" spans="2:10" x14ac:dyDescent="0.25">
      <c r="B806" t="s">
        <v>130</v>
      </c>
      <c r="C806" t="s">
        <v>56</v>
      </c>
      <c r="D806">
        <v>1.6128210745400721E-2</v>
      </c>
      <c r="E806" t="s">
        <v>53</v>
      </c>
      <c r="G806" t="s">
        <v>208</v>
      </c>
      <c r="H806" t="s">
        <v>56</v>
      </c>
      <c r="I806">
        <v>0.11823071062169306</v>
      </c>
      <c r="J806" t="s">
        <v>53</v>
      </c>
    </row>
    <row r="807" spans="2:10" x14ac:dyDescent="0.25">
      <c r="B807" t="s">
        <v>130</v>
      </c>
      <c r="C807" t="s">
        <v>57</v>
      </c>
      <c r="D807">
        <v>0.28070533705598755</v>
      </c>
      <c r="E807" t="s">
        <v>53</v>
      </c>
      <c r="G807" t="s">
        <v>208</v>
      </c>
      <c r="H807" t="s">
        <v>57</v>
      </c>
      <c r="I807">
        <v>7.1942757347983E-2</v>
      </c>
      <c r="J807" t="s">
        <v>53</v>
      </c>
    </row>
    <row r="808" spans="2:10" x14ac:dyDescent="0.25">
      <c r="B808" t="s">
        <v>130</v>
      </c>
      <c r="C808" t="s">
        <v>58</v>
      </c>
      <c r="D808">
        <v>9.2626124773765514E-3</v>
      </c>
      <c r="E808" t="s">
        <v>53</v>
      </c>
      <c r="G808" t="s">
        <v>208</v>
      </c>
      <c r="H808" t="s">
        <v>58</v>
      </c>
      <c r="I808">
        <v>8.0876716921689962E-2</v>
      </c>
      <c r="J808" t="s">
        <v>53</v>
      </c>
    </row>
    <row r="809" spans="2:10" x14ac:dyDescent="0.25">
      <c r="B809" t="s">
        <v>130</v>
      </c>
      <c r="C809" t="s">
        <v>59</v>
      </c>
      <c r="D809">
        <v>6.1859093820618273E-3</v>
      </c>
      <c r="E809" t="s">
        <v>53</v>
      </c>
      <c r="G809" t="s">
        <v>208</v>
      </c>
      <c r="H809" t="s">
        <v>59</v>
      </c>
      <c r="I809">
        <v>0.17077613565329489</v>
      </c>
      <c r="J809" t="s">
        <v>53</v>
      </c>
    </row>
    <row r="810" spans="2:10" x14ac:dyDescent="0.25">
      <c r="B810" t="s">
        <v>130</v>
      </c>
      <c r="C810" t="s">
        <v>60</v>
      </c>
      <c r="D810">
        <v>0.16273127569152215</v>
      </c>
      <c r="E810" t="s">
        <v>53</v>
      </c>
      <c r="G810" t="s">
        <v>208</v>
      </c>
      <c r="H810" t="s">
        <v>60</v>
      </c>
      <c r="I810">
        <v>0.11766155458902049</v>
      </c>
      <c r="J810" t="s">
        <v>53</v>
      </c>
    </row>
    <row r="811" spans="2:10" x14ac:dyDescent="0.25">
      <c r="B811" t="s">
        <v>130</v>
      </c>
      <c r="C811" t="s">
        <v>61</v>
      </c>
      <c r="D811">
        <v>3.2332770317975573E-3</v>
      </c>
      <c r="E811" t="s">
        <v>53</v>
      </c>
      <c r="G811" t="s">
        <v>208</v>
      </c>
      <c r="H811" t="s">
        <v>61</v>
      </c>
      <c r="I811">
        <v>0.10094796661954371</v>
      </c>
      <c r="J811" t="s">
        <v>53</v>
      </c>
    </row>
    <row r="812" spans="2:10" x14ac:dyDescent="0.25">
      <c r="B812" t="s">
        <v>130</v>
      </c>
      <c r="C812" t="s">
        <v>62</v>
      </c>
      <c r="D812">
        <v>8.5952604638375105E-3</v>
      </c>
      <c r="E812" t="s">
        <v>53</v>
      </c>
      <c r="G812" t="s">
        <v>208</v>
      </c>
      <c r="H812" t="s">
        <v>62</v>
      </c>
      <c r="I812">
        <v>8.2022428993827778E-2</v>
      </c>
      <c r="J812" t="s">
        <v>53</v>
      </c>
    </row>
    <row r="813" spans="2:10" x14ac:dyDescent="0.25">
      <c r="B813" t="s">
        <v>130</v>
      </c>
      <c r="C813" t="s">
        <v>63</v>
      </c>
      <c r="D813">
        <v>0.2077788187432279</v>
      </c>
      <c r="E813" t="s">
        <v>53</v>
      </c>
      <c r="G813" t="s">
        <v>208</v>
      </c>
      <c r="H813" t="s">
        <v>63</v>
      </c>
      <c r="I813">
        <v>4.2212839765558577E-2</v>
      </c>
      <c r="J813" t="s">
        <v>53</v>
      </c>
    </row>
    <row r="814" spans="2:10" x14ac:dyDescent="0.25">
      <c r="B814" t="s">
        <v>130</v>
      </c>
      <c r="C814" t="s">
        <v>64</v>
      </c>
      <c r="D814">
        <v>1.4427235078423076E-3</v>
      </c>
      <c r="E814" t="s">
        <v>53</v>
      </c>
      <c r="G814" t="s">
        <v>208</v>
      </c>
      <c r="H814" t="s">
        <v>64</v>
      </c>
      <c r="I814">
        <v>5.4671093534795011E-2</v>
      </c>
      <c r="J814" t="s">
        <v>53</v>
      </c>
    </row>
    <row r="815" spans="2:10" x14ac:dyDescent="0.25">
      <c r="B815" t="s">
        <v>131</v>
      </c>
      <c r="C815" t="s">
        <v>52</v>
      </c>
      <c r="D815">
        <v>1.2490282263751845E-2</v>
      </c>
      <c r="E815" t="s">
        <v>53</v>
      </c>
    </row>
    <row r="816" spans="2:10" x14ac:dyDescent="0.25">
      <c r="B816" t="s">
        <v>131</v>
      </c>
      <c r="C816" t="s">
        <v>54</v>
      </c>
      <c r="D816">
        <v>0.28653865523847039</v>
      </c>
      <c r="E816" t="s">
        <v>53</v>
      </c>
    </row>
    <row r="817" spans="2:5" x14ac:dyDescent="0.25">
      <c r="B817" t="s">
        <v>131</v>
      </c>
      <c r="C817" t="s">
        <v>55</v>
      </c>
      <c r="D817">
        <v>5.5999518070254384E-3</v>
      </c>
      <c r="E817" t="s">
        <v>53</v>
      </c>
    </row>
    <row r="818" spans="2:5" x14ac:dyDescent="0.25">
      <c r="B818" t="s">
        <v>131</v>
      </c>
      <c r="C818" t="s">
        <v>56</v>
      </c>
      <c r="D818">
        <v>1.6811552965094876E-2</v>
      </c>
      <c r="E818" t="s">
        <v>53</v>
      </c>
    </row>
    <row r="819" spans="2:5" x14ac:dyDescent="0.25">
      <c r="B819" t="s">
        <v>131</v>
      </c>
      <c r="C819" t="s">
        <v>57</v>
      </c>
      <c r="D819">
        <v>0.28670026602235238</v>
      </c>
      <c r="E819" t="s">
        <v>53</v>
      </c>
    </row>
    <row r="820" spans="2:5" x14ac:dyDescent="0.25">
      <c r="B820" t="s">
        <v>131</v>
      </c>
      <c r="C820" t="s">
        <v>58</v>
      </c>
      <c r="D820">
        <v>9.7273617728004576E-3</v>
      </c>
      <c r="E820" t="s">
        <v>53</v>
      </c>
    </row>
    <row r="821" spans="2:5" x14ac:dyDescent="0.25">
      <c r="B821" t="s">
        <v>131</v>
      </c>
      <c r="C821" t="s">
        <v>59</v>
      </c>
      <c r="D821">
        <v>5.7328743484579359E-3</v>
      </c>
      <c r="E821" t="s">
        <v>53</v>
      </c>
    </row>
    <row r="822" spans="2:5" x14ac:dyDescent="0.25">
      <c r="B822" t="s">
        <v>131</v>
      </c>
      <c r="C822" t="s">
        <v>60</v>
      </c>
      <c r="D822">
        <v>0.157247925370463</v>
      </c>
      <c r="E822" t="s">
        <v>53</v>
      </c>
    </row>
    <row r="823" spans="2:5" x14ac:dyDescent="0.25">
      <c r="B823" t="s">
        <v>131</v>
      </c>
      <c r="C823" t="s">
        <v>61</v>
      </c>
      <c r="D823">
        <v>3.3432808711635542E-3</v>
      </c>
      <c r="E823" t="s">
        <v>53</v>
      </c>
    </row>
    <row r="824" spans="2:5" x14ac:dyDescent="0.25">
      <c r="B824" t="s">
        <v>131</v>
      </c>
      <c r="C824" t="s">
        <v>62</v>
      </c>
      <c r="D824">
        <v>8.1563773204884008E-3</v>
      </c>
      <c r="E824" t="s">
        <v>53</v>
      </c>
    </row>
    <row r="825" spans="2:5" x14ac:dyDescent="0.25">
      <c r="B825" t="s">
        <v>131</v>
      </c>
      <c r="C825" t="s">
        <v>63</v>
      </c>
      <c r="D825">
        <v>0.20629472185066344</v>
      </c>
      <c r="E825" t="s">
        <v>53</v>
      </c>
    </row>
    <row r="826" spans="2:5" x14ac:dyDescent="0.25">
      <c r="B826" t="s">
        <v>131</v>
      </c>
      <c r="C826" t="s">
        <v>64</v>
      </c>
      <c r="D826">
        <v>1.3567501692719644E-3</v>
      </c>
      <c r="E826" t="s">
        <v>53</v>
      </c>
    </row>
    <row r="827" spans="2:5" x14ac:dyDescent="0.25">
      <c r="B827" t="s">
        <v>132</v>
      </c>
      <c r="C827" t="s">
        <v>52</v>
      </c>
      <c r="D827">
        <v>9.2230408234875993E-3</v>
      </c>
      <c r="E827" t="s">
        <v>53</v>
      </c>
    </row>
    <row r="828" spans="2:5" x14ac:dyDescent="0.25">
      <c r="B828" t="s">
        <v>132</v>
      </c>
      <c r="C828" t="s">
        <v>54</v>
      </c>
      <c r="D828">
        <v>0.26295337526177109</v>
      </c>
      <c r="E828" t="s">
        <v>53</v>
      </c>
    </row>
    <row r="829" spans="2:5" x14ac:dyDescent="0.25">
      <c r="B829" t="s">
        <v>132</v>
      </c>
      <c r="C829" t="s">
        <v>55</v>
      </c>
      <c r="D829">
        <v>5.8448353009328243E-3</v>
      </c>
      <c r="E829" t="s">
        <v>53</v>
      </c>
    </row>
    <row r="830" spans="2:5" x14ac:dyDescent="0.25">
      <c r="B830" t="s">
        <v>132</v>
      </c>
      <c r="C830" t="s">
        <v>56</v>
      </c>
      <c r="D830">
        <v>1.5310110046034277E-2</v>
      </c>
      <c r="E830" t="s">
        <v>53</v>
      </c>
    </row>
    <row r="831" spans="2:5" x14ac:dyDescent="0.25">
      <c r="B831" t="s">
        <v>132</v>
      </c>
      <c r="C831" t="s">
        <v>57</v>
      </c>
      <c r="D831">
        <v>0.28095357227477824</v>
      </c>
      <c r="E831" t="s">
        <v>53</v>
      </c>
    </row>
    <row r="832" spans="2:5" x14ac:dyDescent="0.25">
      <c r="B832" t="s">
        <v>132</v>
      </c>
      <c r="C832" t="s">
        <v>58</v>
      </c>
      <c r="D832">
        <v>9.2414007571728612E-3</v>
      </c>
      <c r="E832" t="s">
        <v>53</v>
      </c>
    </row>
    <row r="833" spans="2:5" x14ac:dyDescent="0.25">
      <c r="B833" t="s">
        <v>132</v>
      </c>
      <c r="C833" t="s">
        <v>59</v>
      </c>
      <c r="D833">
        <v>7.160355349857578E-3</v>
      </c>
      <c r="E833" t="s">
        <v>53</v>
      </c>
    </row>
    <row r="834" spans="2:5" x14ac:dyDescent="0.25">
      <c r="B834" t="s">
        <v>132</v>
      </c>
      <c r="C834" t="s">
        <v>60</v>
      </c>
      <c r="D834">
        <v>0.1778832823694082</v>
      </c>
      <c r="E834" t="s">
        <v>53</v>
      </c>
    </row>
    <row r="835" spans="2:5" x14ac:dyDescent="0.25">
      <c r="B835" t="s">
        <v>132</v>
      </c>
      <c r="C835" t="s">
        <v>61</v>
      </c>
      <c r="D835">
        <v>2.9373154116822398E-3</v>
      </c>
      <c r="E835" t="s">
        <v>53</v>
      </c>
    </row>
    <row r="836" spans="2:5" x14ac:dyDescent="0.25">
      <c r="B836" t="s">
        <v>132</v>
      </c>
      <c r="C836" t="s">
        <v>62</v>
      </c>
      <c r="D836">
        <v>9.6345910658988503E-3</v>
      </c>
      <c r="E836" t="s">
        <v>53</v>
      </c>
    </row>
    <row r="837" spans="2:5" x14ac:dyDescent="0.25">
      <c r="B837" t="s">
        <v>132</v>
      </c>
      <c r="C837" t="s">
        <v>63</v>
      </c>
      <c r="D837">
        <v>0.21785376940192541</v>
      </c>
      <c r="E837" t="s">
        <v>53</v>
      </c>
    </row>
    <row r="838" spans="2:5" x14ac:dyDescent="0.25">
      <c r="B838" t="s">
        <v>132</v>
      </c>
      <c r="C838" t="s">
        <v>64</v>
      </c>
      <c r="D838">
        <v>1.0043519370487124E-3</v>
      </c>
      <c r="E838" t="s">
        <v>53</v>
      </c>
    </row>
    <row r="839" spans="2:5" x14ac:dyDescent="0.25">
      <c r="B839" t="s">
        <v>133</v>
      </c>
      <c r="C839" t="s">
        <v>52</v>
      </c>
      <c r="D839">
        <v>9.6520327831742178E-3</v>
      </c>
      <c r="E839" t="s">
        <v>53</v>
      </c>
    </row>
    <row r="840" spans="2:5" x14ac:dyDescent="0.25">
      <c r="B840" t="s">
        <v>133</v>
      </c>
      <c r="C840" t="s">
        <v>54</v>
      </c>
      <c r="D840">
        <v>0.26607154163199931</v>
      </c>
      <c r="E840" t="s">
        <v>53</v>
      </c>
    </row>
    <row r="841" spans="2:5" x14ac:dyDescent="0.25">
      <c r="B841" t="s">
        <v>133</v>
      </c>
      <c r="C841" t="s">
        <v>55</v>
      </c>
      <c r="D841">
        <v>4.6695496885774549E-3</v>
      </c>
      <c r="E841" t="s">
        <v>53</v>
      </c>
    </row>
    <row r="842" spans="2:5" x14ac:dyDescent="0.25">
      <c r="B842" t="s">
        <v>133</v>
      </c>
      <c r="C842" t="s">
        <v>56</v>
      </c>
      <c r="D842">
        <v>1.6843983293215774E-2</v>
      </c>
      <c r="E842" t="s">
        <v>53</v>
      </c>
    </row>
    <row r="843" spans="2:5" x14ac:dyDescent="0.25">
      <c r="B843" t="s">
        <v>133</v>
      </c>
      <c r="C843" t="s">
        <v>57</v>
      </c>
      <c r="D843">
        <v>0.29322152354280639</v>
      </c>
      <c r="E843" t="s">
        <v>53</v>
      </c>
    </row>
    <row r="844" spans="2:5" x14ac:dyDescent="0.25">
      <c r="B844" t="s">
        <v>133</v>
      </c>
      <c r="C844" t="s">
        <v>58</v>
      </c>
      <c r="D844">
        <v>9.5573265998642118E-3</v>
      </c>
      <c r="E844" t="s">
        <v>53</v>
      </c>
    </row>
    <row r="845" spans="2:5" x14ac:dyDescent="0.25">
      <c r="B845" t="s">
        <v>133</v>
      </c>
      <c r="C845" t="s">
        <v>59</v>
      </c>
      <c r="D845">
        <v>6.5552728468345981E-3</v>
      </c>
      <c r="E845" t="s">
        <v>53</v>
      </c>
    </row>
    <row r="846" spans="2:5" x14ac:dyDescent="0.25">
      <c r="B846" t="s">
        <v>133</v>
      </c>
      <c r="C846" t="s">
        <v>60</v>
      </c>
      <c r="D846">
        <v>0.17309922923840521</v>
      </c>
      <c r="E846" t="s">
        <v>53</v>
      </c>
    </row>
    <row r="847" spans="2:5" x14ac:dyDescent="0.25">
      <c r="B847" t="s">
        <v>133</v>
      </c>
      <c r="C847" t="s">
        <v>61</v>
      </c>
      <c r="D847">
        <v>3.1998858703844888E-3</v>
      </c>
      <c r="E847" t="s">
        <v>53</v>
      </c>
    </row>
    <row r="848" spans="2:5" x14ac:dyDescent="0.25">
      <c r="B848" t="s">
        <v>133</v>
      </c>
      <c r="C848" t="s">
        <v>62</v>
      </c>
      <c r="D848">
        <v>8.7019756225517175E-3</v>
      </c>
      <c r="E848" t="s">
        <v>53</v>
      </c>
    </row>
    <row r="849" spans="2:5" x14ac:dyDescent="0.25">
      <c r="B849" t="s">
        <v>133</v>
      </c>
      <c r="C849" t="s">
        <v>63</v>
      </c>
      <c r="D849">
        <v>0.20738817864058459</v>
      </c>
      <c r="E849" t="s">
        <v>53</v>
      </c>
    </row>
    <row r="850" spans="2:5" x14ac:dyDescent="0.25">
      <c r="B850" t="s">
        <v>133</v>
      </c>
      <c r="C850" t="s">
        <v>64</v>
      </c>
      <c r="D850">
        <v>1.0395002416032533E-3</v>
      </c>
      <c r="E850" t="s">
        <v>53</v>
      </c>
    </row>
    <row r="851" spans="2:5" x14ac:dyDescent="0.25">
      <c r="B851" t="s">
        <v>134</v>
      </c>
      <c r="C851" t="s">
        <v>52</v>
      </c>
      <c r="D851">
        <v>9.8690125315937863E-3</v>
      </c>
      <c r="E851" t="s">
        <v>53</v>
      </c>
    </row>
    <row r="852" spans="2:5" x14ac:dyDescent="0.25">
      <c r="B852" t="s">
        <v>134</v>
      </c>
      <c r="C852" t="s">
        <v>54</v>
      </c>
      <c r="D852">
        <v>0.24263177033552796</v>
      </c>
      <c r="E852" t="s">
        <v>53</v>
      </c>
    </row>
    <row r="853" spans="2:5" x14ac:dyDescent="0.25">
      <c r="B853" t="s">
        <v>134</v>
      </c>
      <c r="C853" t="s">
        <v>55</v>
      </c>
      <c r="D853">
        <v>7.6093342897093639E-3</v>
      </c>
      <c r="E853" t="s">
        <v>53</v>
      </c>
    </row>
    <row r="854" spans="2:5" x14ac:dyDescent="0.25">
      <c r="B854" t="s">
        <v>134</v>
      </c>
      <c r="C854" t="s">
        <v>56</v>
      </c>
      <c r="D854">
        <v>1.2660785779875399E-2</v>
      </c>
      <c r="E854" t="s">
        <v>53</v>
      </c>
    </row>
    <row r="855" spans="2:5" x14ac:dyDescent="0.25">
      <c r="B855" t="s">
        <v>134</v>
      </c>
      <c r="C855" t="s">
        <v>57</v>
      </c>
      <c r="D855">
        <v>0.26135192662359619</v>
      </c>
      <c r="E855" t="s">
        <v>53</v>
      </c>
    </row>
    <row r="856" spans="2:5" x14ac:dyDescent="0.25">
      <c r="B856" t="s">
        <v>134</v>
      </c>
      <c r="C856" t="s">
        <v>58</v>
      </c>
      <c r="D856">
        <v>9.6120206346023852E-3</v>
      </c>
      <c r="E856" t="s">
        <v>53</v>
      </c>
    </row>
    <row r="857" spans="2:5" x14ac:dyDescent="0.25">
      <c r="B857" t="s">
        <v>134</v>
      </c>
      <c r="C857" t="s">
        <v>59</v>
      </c>
      <c r="D857">
        <v>7.3179636360526743E-3</v>
      </c>
      <c r="E857" t="s">
        <v>53</v>
      </c>
    </row>
    <row r="858" spans="2:5" x14ac:dyDescent="0.25">
      <c r="B858" t="s">
        <v>134</v>
      </c>
      <c r="C858" t="s">
        <v>60</v>
      </c>
      <c r="D858">
        <v>0.19992376697309575</v>
      </c>
      <c r="E858" t="s">
        <v>53</v>
      </c>
    </row>
    <row r="859" spans="2:5" x14ac:dyDescent="0.25">
      <c r="B859" t="s">
        <v>134</v>
      </c>
      <c r="C859" t="s">
        <v>61</v>
      </c>
      <c r="D859">
        <v>5.0073391605589658E-3</v>
      </c>
      <c r="E859" t="s">
        <v>53</v>
      </c>
    </row>
    <row r="860" spans="2:5" x14ac:dyDescent="0.25">
      <c r="B860" t="s">
        <v>134</v>
      </c>
      <c r="C860" t="s">
        <v>62</v>
      </c>
      <c r="D860">
        <v>1.0921613375181662E-2</v>
      </c>
      <c r="E860" t="s">
        <v>53</v>
      </c>
    </row>
    <row r="861" spans="2:5" x14ac:dyDescent="0.25">
      <c r="B861" t="s">
        <v>134</v>
      </c>
      <c r="C861" t="s">
        <v>63</v>
      </c>
      <c r="D861">
        <v>0.23045151045681436</v>
      </c>
      <c r="E861" t="s">
        <v>53</v>
      </c>
    </row>
    <row r="862" spans="2:5" x14ac:dyDescent="0.25">
      <c r="B862" t="s">
        <v>134</v>
      </c>
      <c r="C862" t="s">
        <v>64</v>
      </c>
      <c r="D862">
        <v>2.6429562033938305E-3</v>
      </c>
      <c r="E862" t="s">
        <v>53</v>
      </c>
    </row>
    <row r="863" spans="2:5" x14ac:dyDescent="0.25">
      <c r="B863" t="s">
        <v>135</v>
      </c>
      <c r="C863" t="s">
        <v>52</v>
      </c>
      <c r="D863">
        <v>9.5888452538239813E-3</v>
      </c>
      <c r="E863" t="s">
        <v>53</v>
      </c>
    </row>
    <row r="864" spans="2:5" x14ac:dyDescent="0.25">
      <c r="B864" t="s">
        <v>135</v>
      </c>
      <c r="C864" t="s">
        <v>54</v>
      </c>
      <c r="D864">
        <v>0.24435274209022143</v>
      </c>
      <c r="E864" t="s">
        <v>53</v>
      </c>
    </row>
    <row r="865" spans="2:5" x14ac:dyDescent="0.25">
      <c r="B865" t="s">
        <v>135</v>
      </c>
      <c r="C865" t="s">
        <v>55</v>
      </c>
      <c r="D865">
        <v>6.5787042746431141E-3</v>
      </c>
      <c r="E865" t="s">
        <v>53</v>
      </c>
    </row>
    <row r="866" spans="2:5" x14ac:dyDescent="0.25">
      <c r="B866" t="s">
        <v>135</v>
      </c>
      <c r="C866" t="s">
        <v>56</v>
      </c>
      <c r="D866">
        <v>1.4944593968077707E-2</v>
      </c>
      <c r="E866" t="s">
        <v>53</v>
      </c>
    </row>
    <row r="867" spans="2:5" x14ac:dyDescent="0.25">
      <c r="B867" t="s">
        <v>135</v>
      </c>
      <c r="C867" t="s">
        <v>57</v>
      </c>
      <c r="D867">
        <v>0.2715681417443197</v>
      </c>
      <c r="E867" t="s">
        <v>53</v>
      </c>
    </row>
    <row r="868" spans="2:5" x14ac:dyDescent="0.25">
      <c r="B868" t="s">
        <v>135</v>
      </c>
      <c r="C868" t="s">
        <v>58</v>
      </c>
      <c r="D868">
        <v>9.2751872295194614E-3</v>
      </c>
      <c r="E868" t="s">
        <v>53</v>
      </c>
    </row>
    <row r="869" spans="2:5" x14ac:dyDescent="0.25">
      <c r="B869" t="s">
        <v>135</v>
      </c>
      <c r="C869" t="s">
        <v>59</v>
      </c>
      <c r="D869">
        <v>7.8867064980058556E-3</v>
      </c>
      <c r="E869" t="s">
        <v>53</v>
      </c>
    </row>
    <row r="870" spans="2:5" x14ac:dyDescent="0.25">
      <c r="B870" t="s">
        <v>135</v>
      </c>
      <c r="C870" t="s">
        <v>60</v>
      </c>
      <c r="D870">
        <v>0.19525839838271603</v>
      </c>
      <c r="E870" t="s">
        <v>53</v>
      </c>
    </row>
    <row r="871" spans="2:5" x14ac:dyDescent="0.25">
      <c r="B871" t="s">
        <v>135</v>
      </c>
      <c r="C871" t="s">
        <v>61</v>
      </c>
      <c r="D871">
        <v>3.9342240762140759E-3</v>
      </c>
      <c r="E871" t="s">
        <v>53</v>
      </c>
    </row>
    <row r="872" spans="2:5" x14ac:dyDescent="0.25">
      <c r="B872" t="s">
        <v>135</v>
      </c>
      <c r="C872" t="s">
        <v>62</v>
      </c>
      <c r="D872">
        <v>1.034560780806486E-2</v>
      </c>
      <c r="E872" t="s">
        <v>53</v>
      </c>
    </row>
    <row r="873" spans="2:5" x14ac:dyDescent="0.25">
      <c r="B873" t="s">
        <v>135</v>
      </c>
      <c r="C873" t="s">
        <v>63</v>
      </c>
      <c r="D873">
        <v>0.22479703309216098</v>
      </c>
      <c r="E873" t="s">
        <v>53</v>
      </c>
    </row>
    <row r="874" spans="2:5" x14ac:dyDescent="0.25">
      <c r="B874" t="s">
        <v>135</v>
      </c>
      <c r="C874" t="s">
        <v>64</v>
      </c>
      <c r="D874">
        <v>1.4698155822339544E-3</v>
      </c>
      <c r="E874" t="s">
        <v>53</v>
      </c>
    </row>
    <row r="875" spans="2:5" x14ac:dyDescent="0.25">
      <c r="B875" t="s">
        <v>136</v>
      </c>
      <c r="C875" t="s">
        <v>52</v>
      </c>
      <c r="D875">
        <v>1.0774437060485758E-2</v>
      </c>
      <c r="E875" t="s">
        <v>53</v>
      </c>
    </row>
    <row r="876" spans="2:5" x14ac:dyDescent="0.25">
      <c r="B876" t="s">
        <v>136</v>
      </c>
      <c r="C876" t="s">
        <v>54</v>
      </c>
      <c r="D876">
        <v>0.26436997844667581</v>
      </c>
      <c r="E876" t="s">
        <v>53</v>
      </c>
    </row>
    <row r="877" spans="2:5" x14ac:dyDescent="0.25">
      <c r="B877" t="s">
        <v>136</v>
      </c>
      <c r="C877" t="s">
        <v>55</v>
      </c>
      <c r="D877">
        <v>7.5565456175637246E-3</v>
      </c>
      <c r="E877" t="s">
        <v>53</v>
      </c>
    </row>
    <row r="878" spans="2:5" x14ac:dyDescent="0.25">
      <c r="B878" t="s">
        <v>136</v>
      </c>
      <c r="C878" t="s">
        <v>56</v>
      </c>
      <c r="D878">
        <v>1.3878980240676944E-2</v>
      </c>
      <c r="E878" t="s">
        <v>53</v>
      </c>
    </row>
    <row r="879" spans="2:5" x14ac:dyDescent="0.25">
      <c r="B879" t="s">
        <v>136</v>
      </c>
      <c r="C879" t="s">
        <v>57</v>
      </c>
      <c r="D879">
        <v>0.26567344747476818</v>
      </c>
      <c r="E879" t="s">
        <v>53</v>
      </c>
    </row>
    <row r="880" spans="2:5" x14ac:dyDescent="0.25">
      <c r="B880" t="s">
        <v>136</v>
      </c>
      <c r="C880" t="s">
        <v>58</v>
      </c>
      <c r="D880">
        <v>8.2063923259936902E-3</v>
      </c>
      <c r="E880" t="s">
        <v>53</v>
      </c>
    </row>
    <row r="881" spans="2:5" x14ac:dyDescent="0.25">
      <c r="B881" t="s">
        <v>136</v>
      </c>
      <c r="C881" t="s">
        <v>59</v>
      </c>
      <c r="D881">
        <v>6.4913110032269634E-3</v>
      </c>
      <c r="E881" t="s">
        <v>53</v>
      </c>
    </row>
    <row r="882" spans="2:5" x14ac:dyDescent="0.25">
      <c r="B882" t="s">
        <v>136</v>
      </c>
      <c r="C882" t="s">
        <v>60</v>
      </c>
      <c r="D882">
        <v>0.18451065334345104</v>
      </c>
      <c r="E882" t="s">
        <v>53</v>
      </c>
    </row>
    <row r="883" spans="2:5" x14ac:dyDescent="0.25">
      <c r="B883" t="s">
        <v>136</v>
      </c>
      <c r="C883" t="s">
        <v>61</v>
      </c>
      <c r="D883">
        <v>3.6731506015456076E-3</v>
      </c>
      <c r="E883" t="s">
        <v>53</v>
      </c>
    </row>
    <row r="884" spans="2:5" x14ac:dyDescent="0.25">
      <c r="B884" t="s">
        <v>136</v>
      </c>
      <c r="C884" t="s">
        <v>62</v>
      </c>
      <c r="D884">
        <v>1.0355400502310062E-2</v>
      </c>
      <c r="E884" t="s">
        <v>53</v>
      </c>
    </row>
    <row r="885" spans="2:5" x14ac:dyDescent="0.25">
      <c r="B885" t="s">
        <v>136</v>
      </c>
      <c r="C885" t="s">
        <v>63</v>
      </c>
      <c r="D885">
        <v>0.22257038096571061</v>
      </c>
      <c r="E885" t="s">
        <v>53</v>
      </c>
    </row>
    <row r="886" spans="2:5" x14ac:dyDescent="0.25">
      <c r="B886" t="s">
        <v>136</v>
      </c>
      <c r="C886" t="s">
        <v>64</v>
      </c>
      <c r="D886">
        <v>1.9393224175909914E-3</v>
      </c>
      <c r="E886" t="s">
        <v>53</v>
      </c>
    </row>
    <row r="887" spans="2:5" x14ac:dyDescent="0.25">
      <c r="B887" t="s">
        <v>137</v>
      </c>
      <c r="C887" t="s">
        <v>52</v>
      </c>
      <c r="D887">
        <v>1.2940497906834693E-2</v>
      </c>
      <c r="E887" t="s">
        <v>53</v>
      </c>
    </row>
    <row r="888" spans="2:5" x14ac:dyDescent="0.25">
      <c r="B888" t="s">
        <v>137</v>
      </c>
      <c r="C888" t="s">
        <v>54</v>
      </c>
      <c r="D888">
        <v>0.30795867192531834</v>
      </c>
      <c r="E888" t="s">
        <v>53</v>
      </c>
    </row>
    <row r="889" spans="2:5" x14ac:dyDescent="0.25">
      <c r="B889" t="s">
        <v>137</v>
      </c>
      <c r="C889" t="s">
        <v>55</v>
      </c>
      <c r="D889">
        <v>1.0805429904927723E-2</v>
      </c>
      <c r="E889" t="s">
        <v>53</v>
      </c>
    </row>
    <row r="890" spans="2:5" x14ac:dyDescent="0.25">
      <c r="B890" t="s">
        <v>137</v>
      </c>
      <c r="C890" t="s">
        <v>56</v>
      </c>
      <c r="D890">
        <v>9.8134506063592628E-3</v>
      </c>
      <c r="E890" t="s">
        <v>53</v>
      </c>
    </row>
    <row r="891" spans="2:5" x14ac:dyDescent="0.25">
      <c r="B891" t="s">
        <v>137</v>
      </c>
      <c r="C891" t="s">
        <v>57</v>
      </c>
      <c r="D891">
        <v>0.26145287828965064</v>
      </c>
      <c r="E891" t="s">
        <v>53</v>
      </c>
    </row>
    <row r="892" spans="2:5" x14ac:dyDescent="0.25">
      <c r="B892" t="s">
        <v>137</v>
      </c>
      <c r="C892" t="s">
        <v>58</v>
      </c>
      <c r="D892">
        <v>9.0329137715781625E-3</v>
      </c>
      <c r="E892" t="s">
        <v>53</v>
      </c>
    </row>
    <row r="893" spans="2:5" x14ac:dyDescent="0.25">
      <c r="B893" t="s">
        <v>137</v>
      </c>
      <c r="C893" t="s">
        <v>59</v>
      </c>
      <c r="D893">
        <v>2.7675970005480071E-3</v>
      </c>
      <c r="E893" t="s">
        <v>53</v>
      </c>
    </row>
    <row r="894" spans="2:5" x14ac:dyDescent="0.25">
      <c r="B894" t="s">
        <v>137</v>
      </c>
      <c r="C894" t="s">
        <v>60</v>
      </c>
      <c r="D894">
        <v>0.15177390890417311</v>
      </c>
      <c r="E894" t="s">
        <v>53</v>
      </c>
    </row>
    <row r="895" spans="2:5" x14ac:dyDescent="0.25">
      <c r="B895" t="s">
        <v>137</v>
      </c>
      <c r="C895" t="s">
        <v>61</v>
      </c>
      <c r="D895">
        <v>2.9149031908383811E-3</v>
      </c>
      <c r="E895" t="s">
        <v>53</v>
      </c>
    </row>
    <row r="896" spans="2:5" x14ac:dyDescent="0.25">
      <c r="B896" t="s">
        <v>137</v>
      </c>
      <c r="C896" t="s">
        <v>62</v>
      </c>
      <c r="D896">
        <v>7.3015110348744307E-3</v>
      </c>
      <c r="E896" t="s">
        <v>53</v>
      </c>
    </row>
    <row r="897" spans="2:5" x14ac:dyDescent="0.25">
      <c r="B897" t="s">
        <v>137</v>
      </c>
      <c r="C897" t="s">
        <v>63</v>
      </c>
      <c r="D897">
        <v>0.22095975686816499</v>
      </c>
      <c r="E897" t="s">
        <v>53</v>
      </c>
    </row>
    <row r="898" spans="2:5" x14ac:dyDescent="0.25">
      <c r="B898" t="s">
        <v>137</v>
      </c>
      <c r="C898" t="s">
        <v>64</v>
      </c>
      <c r="D898">
        <v>2.2784805967311383E-3</v>
      </c>
      <c r="E898" t="s">
        <v>53</v>
      </c>
    </row>
    <row r="899" spans="2:5" x14ac:dyDescent="0.25">
      <c r="B899" t="s">
        <v>138</v>
      </c>
      <c r="C899" t="s">
        <v>52</v>
      </c>
      <c r="D899">
        <v>1.133154042218623E-2</v>
      </c>
      <c r="E899" t="s">
        <v>53</v>
      </c>
    </row>
    <row r="900" spans="2:5" x14ac:dyDescent="0.25">
      <c r="B900" t="s">
        <v>138</v>
      </c>
      <c r="C900" t="s">
        <v>54</v>
      </c>
      <c r="D900">
        <v>0.28029270646859678</v>
      </c>
      <c r="E900" t="s">
        <v>53</v>
      </c>
    </row>
    <row r="901" spans="2:5" x14ac:dyDescent="0.25">
      <c r="B901" t="s">
        <v>138</v>
      </c>
      <c r="C901" t="s">
        <v>55</v>
      </c>
      <c r="D901">
        <v>1.0084517030393156E-2</v>
      </c>
      <c r="E901" t="s">
        <v>53</v>
      </c>
    </row>
    <row r="902" spans="2:5" x14ac:dyDescent="0.25">
      <c r="B902" t="s">
        <v>138</v>
      </c>
      <c r="C902" t="s">
        <v>56</v>
      </c>
      <c r="D902">
        <v>1.1122682885508583E-2</v>
      </c>
      <c r="E902" t="s">
        <v>53</v>
      </c>
    </row>
    <row r="903" spans="2:5" x14ac:dyDescent="0.25">
      <c r="B903" t="s">
        <v>138</v>
      </c>
      <c r="C903" t="s">
        <v>57</v>
      </c>
      <c r="D903">
        <v>0.26141036304658066</v>
      </c>
      <c r="E903" t="s">
        <v>53</v>
      </c>
    </row>
    <row r="904" spans="2:5" x14ac:dyDescent="0.25">
      <c r="B904" t="s">
        <v>138</v>
      </c>
      <c r="C904" t="s">
        <v>58</v>
      </c>
      <c r="D904">
        <v>8.8570778880211545E-3</v>
      </c>
      <c r="E904" t="s">
        <v>53</v>
      </c>
    </row>
    <row r="905" spans="2:5" x14ac:dyDescent="0.25">
      <c r="B905" t="s">
        <v>138</v>
      </c>
      <c r="C905" t="s">
        <v>59</v>
      </c>
      <c r="D905">
        <v>4.2525394027979474E-3</v>
      </c>
      <c r="E905" t="s">
        <v>53</v>
      </c>
    </row>
    <row r="906" spans="2:5" x14ac:dyDescent="0.25">
      <c r="B906" t="s">
        <v>138</v>
      </c>
      <c r="C906" t="s">
        <v>60</v>
      </c>
      <c r="D906">
        <v>0.17140482819463757</v>
      </c>
      <c r="E906" t="s">
        <v>53</v>
      </c>
    </row>
    <row r="907" spans="2:5" x14ac:dyDescent="0.25">
      <c r="B907" t="s">
        <v>138</v>
      </c>
      <c r="C907" t="s">
        <v>61</v>
      </c>
      <c r="D907">
        <v>4.1929872521459261E-3</v>
      </c>
      <c r="E907" t="s">
        <v>53</v>
      </c>
    </row>
    <row r="908" spans="2:5" x14ac:dyDescent="0.25">
      <c r="B908" t="s">
        <v>138</v>
      </c>
      <c r="C908" t="s">
        <v>62</v>
      </c>
      <c r="D908">
        <v>8.8410750877209662E-3</v>
      </c>
      <c r="E908" t="s">
        <v>53</v>
      </c>
    </row>
    <row r="909" spans="2:5" x14ac:dyDescent="0.25">
      <c r="B909" t="s">
        <v>138</v>
      </c>
      <c r="C909" t="s">
        <v>63</v>
      </c>
      <c r="D909">
        <v>0.22506708695276251</v>
      </c>
      <c r="E909" t="s">
        <v>53</v>
      </c>
    </row>
    <row r="910" spans="2:5" x14ac:dyDescent="0.25">
      <c r="B910" t="s">
        <v>138</v>
      </c>
      <c r="C910" t="s">
        <v>64</v>
      </c>
      <c r="D910">
        <v>3.1425953686473455E-3</v>
      </c>
      <c r="E910" t="s">
        <v>53</v>
      </c>
    </row>
    <row r="911" spans="2:5" x14ac:dyDescent="0.25">
      <c r="B911" t="s">
        <v>139</v>
      </c>
      <c r="C911" t="s">
        <v>52</v>
      </c>
      <c r="D911">
        <v>7.0925082777981256E-3</v>
      </c>
      <c r="E911" t="s">
        <v>53</v>
      </c>
    </row>
    <row r="912" spans="2:5" x14ac:dyDescent="0.25">
      <c r="B912" t="s">
        <v>139</v>
      </c>
      <c r="C912" t="s">
        <v>54</v>
      </c>
      <c r="D912">
        <v>0.30978301904959632</v>
      </c>
      <c r="E912" t="s">
        <v>53</v>
      </c>
    </row>
    <row r="913" spans="2:5" x14ac:dyDescent="0.25">
      <c r="B913" t="s">
        <v>139</v>
      </c>
      <c r="C913" t="s">
        <v>55</v>
      </c>
      <c r="D913">
        <v>1.1433123772272654E-2</v>
      </c>
      <c r="E913" t="s">
        <v>53</v>
      </c>
    </row>
    <row r="914" spans="2:5" x14ac:dyDescent="0.25">
      <c r="B914" t="s">
        <v>139</v>
      </c>
      <c r="C914" t="s">
        <v>56</v>
      </c>
      <c r="D914">
        <v>9.6661208868681157E-3</v>
      </c>
      <c r="E914" t="s">
        <v>53</v>
      </c>
    </row>
    <row r="915" spans="2:5" x14ac:dyDescent="0.25">
      <c r="B915" t="s">
        <v>139</v>
      </c>
      <c r="C915" t="s">
        <v>57</v>
      </c>
      <c r="D915">
        <v>0.27835238964848186</v>
      </c>
      <c r="E915" t="s">
        <v>53</v>
      </c>
    </row>
    <row r="916" spans="2:5" x14ac:dyDescent="0.25">
      <c r="B916" t="s">
        <v>139</v>
      </c>
      <c r="C916" t="s">
        <v>58</v>
      </c>
      <c r="D916">
        <v>1.0914610018559454E-2</v>
      </c>
      <c r="E916" t="s">
        <v>53</v>
      </c>
    </row>
    <row r="917" spans="2:5" x14ac:dyDescent="0.25">
      <c r="B917" t="s">
        <v>139</v>
      </c>
      <c r="C917" t="s">
        <v>59</v>
      </c>
      <c r="D917">
        <v>1.9544475399244548E-3</v>
      </c>
      <c r="E917" t="s">
        <v>53</v>
      </c>
    </row>
    <row r="918" spans="2:5" x14ac:dyDescent="0.25">
      <c r="B918" t="s">
        <v>139</v>
      </c>
      <c r="C918" t="s">
        <v>60</v>
      </c>
      <c r="D918">
        <v>0.13928577541703457</v>
      </c>
      <c r="E918" t="s">
        <v>53</v>
      </c>
    </row>
    <row r="919" spans="2:5" x14ac:dyDescent="0.25">
      <c r="B919" t="s">
        <v>139</v>
      </c>
      <c r="C919" t="s">
        <v>61</v>
      </c>
      <c r="D919">
        <v>3.0256272814635789E-3</v>
      </c>
      <c r="E919" t="s">
        <v>53</v>
      </c>
    </row>
    <row r="920" spans="2:5" x14ac:dyDescent="0.25">
      <c r="B920" t="s">
        <v>139</v>
      </c>
      <c r="C920" t="s">
        <v>62</v>
      </c>
      <c r="D920">
        <v>6.5237046139781122E-3</v>
      </c>
      <c r="E920" t="s">
        <v>53</v>
      </c>
    </row>
    <row r="921" spans="2:5" x14ac:dyDescent="0.25">
      <c r="B921" t="s">
        <v>139</v>
      </c>
      <c r="C921" t="s">
        <v>63</v>
      </c>
      <c r="D921">
        <v>0.21977693845989968</v>
      </c>
      <c r="E921" t="s">
        <v>53</v>
      </c>
    </row>
    <row r="922" spans="2:5" x14ac:dyDescent="0.25">
      <c r="B922" t="s">
        <v>139</v>
      </c>
      <c r="C922" t="s">
        <v>64</v>
      </c>
      <c r="D922">
        <v>2.1917350341216818E-3</v>
      </c>
      <c r="E922" t="s">
        <v>53</v>
      </c>
    </row>
    <row r="923" spans="2:5" x14ac:dyDescent="0.25">
      <c r="B923" t="s">
        <v>140</v>
      </c>
      <c r="C923" t="s">
        <v>52</v>
      </c>
      <c r="D923">
        <v>1.1916648996005219E-2</v>
      </c>
      <c r="E923" t="s">
        <v>53</v>
      </c>
    </row>
    <row r="924" spans="2:5" x14ac:dyDescent="0.25">
      <c r="B924" t="s">
        <v>140</v>
      </c>
      <c r="C924" t="s">
        <v>54</v>
      </c>
      <c r="D924">
        <v>0.28926683056986768</v>
      </c>
      <c r="E924" t="s">
        <v>53</v>
      </c>
    </row>
    <row r="925" spans="2:5" x14ac:dyDescent="0.25">
      <c r="B925" t="s">
        <v>140</v>
      </c>
      <c r="C925" t="s">
        <v>55</v>
      </c>
      <c r="D925">
        <v>8.5302200461504548E-3</v>
      </c>
      <c r="E925" t="s">
        <v>53</v>
      </c>
    </row>
    <row r="926" spans="2:5" x14ac:dyDescent="0.25">
      <c r="B926" t="s">
        <v>140</v>
      </c>
      <c r="C926" t="s">
        <v>56</v>
      </c>
      <c r="D926">
        <v>1.334035041753754E-2</v>
      </c>
      <c r="E926" t="s">
        <v>53</v>
      </c>
    </row>
    <row r="927" spans="2:5" x14ac:dyDescent="0.25">
      <c r="B927" t="s">
        <v>140</v>
      </c>
      <c r="C927" t="s">
        <v>57</v>
      </c>
      <c r="D927">
        <v>0.2683200061017143</v>
      </c>
      <c r="E927" t="s">
        <v>53</v>
      </c>
    </row>
    <row r="928" spans="2:5" x14ac:dyDescent="0.25">
      <c r="B928" t="s">
        <v>140</v>
      </c>
      <c r="C928" t="s">
        <v>58</v>
      </c>
      <c r="D928">
        <v>8.3156049888367251E-3</v>
      </c>
      <c r="E928" t="s">
        <v>53</v>
      </c>
    </row>
    <row r="929" spans="2:5" x14ac:dyDescent="0.25">
      <c r="B929" t="s">
        <v>140</v>
      </c>
      <c r="C929" t="s">
        <v>59</v>
      </c>
      <c r="D929">
        <v>4.5907083961391152E-3</v>
      </c>
      <c r="E929" t="s">
        <v>53</v>
      </c>
    </row>
    <row r="930" spans="2:5" x14ac:dyDescent="0.25">
      <c r="B930" t="s">
        <v>140</v>
      </c>
      <c r="C930" t="s">
        <v>60</v>
      </c>
      <c r="D930">
        <v>0.16697294169356963</v>
      </c>
      <c r="E930" t="s">
        <v>53</v>
      </c>
    </row>
    <row r="931" spans="2:5" x14ac:dyDescent="0.25">
      <c r="B931" t="s">
        <v>140</v>
      </c>
      <c r="C931" t="s">
        <v>61</v>
      </c>
      <c r="D931">
        <v>3.0980635659515277E-3</v>
      </c>
      <c r="E931" t="s">
        <v>53</v>
      </c>
    </row>
    <row r="932" spans="2:5" x14ac:dyDescent="0.25">
      <c r="B932" t="s">
        <v>140</v>
      </c>
      <c r="C932" t="s">
        <v>62</v>
      </c>
      <c r="D932">
        <v>8.2041211075889239E-3</v>
      </c>
      <c r="E932" t="s">
        <v>53</v>
      </c>
    </row>
    <row r="933" spans="2:5" x14ac:dyDescent="0.25">
      <c r="B933" t="s">
        <v>140</v>
      </c>
      <c r="C933" t="s">
        <v>63</v>
      </c>
      <c r="D933">
        <v>0.21558981471185268</v>
      </c>
      <c r="E933" t="s">
        <v>53</v>
      </c>
    </row>
    <row r="934" spans="2:5" x14ac:dyDescent="0.25">
      <c r="B934" t="s">
        <v>140</v>
      </c>
      <c r="C934" t="s">
        <v>64</v>
      </c>
      <c r="D934">
        <v>1.8546894047830182E-3</v>
      </c>
      <c r="E934" t="s">
        <v>53</v>
      </c>
    </row>
    <row r="935" spans="2:5" x14ac:dyDescent="0.25">
      <c r="B935" t="s">
        <v>141</v>
      </c>
      <c r="C935" t="s">
        <v>52</v>
      </c>
      <c r="D935">
        <v>1.2602406098264012E-2</v>
      </c>
      <c r="E935" t="s">
        <v>53</v>
      </c>
    </row>
    <row r="936" spans="2:5" x14ac:dyDescent="0.25">
      <c r="B936" t="s">
        <v>141</v>
      </c>
      <c r="C936" t="s">
        <v>54</v>
      </c>
      <c r="D936">
        <v>0.30036464078946185</v>
      </c>
      <c r="E936" t="s">
        <v>53</v>
      </c>
    </row>
    <row r="937" spans="2:5" x14ac:dyDescent="0.25">
      <c r="B937" t="s">
        <v>141</v>
      </c>
      <c r="C937" t="s">
        <v>55</v>
      </c>
      <c r="D937">
        <v>9.5101431064611996E-3</v>
      </c>
      <c r="E937" t="s">
        <v>53</v>
      </c>
    </row>
    <row r="938" spans="2:5" x14ac:dyDescent="0.25">
      <c r="B938" t="s">
        <v>141</v>
      </c>
      <c r="C938" t="s">
        <v>56</v>
      </c>
      <c r="D938">
        <v>1.1962546446863167E-2</v>
      </c>
      <c r="E938" t="s">
        <v>53</v>
      </c>
    </row>
    <row r="939" spans="2:5" x14ac:dyDescent="0.25">
      <c r="B939" t="s">
        <v>141</v>
      </c>
      <c r="C939" t="s">
        <v>57</v>
      </c>
      <c r="D939">
        <v>0.27550656852324173</v>
      </c>
      <c r="E939" t="s">
        <v>53</v>
      </c>
    </row>
    <row r="940" spans="2:5" x14ac:dyDescent="0.25">
      <c r="B940" t="s">
        <v>141</v>
      </c>
      <c r="C940" t="s">
        <v>58</v>
      </c>
      <c r="D940">
        <v>9.4898175530602966E-3</v>
      </c>
      <c r="E940" t="s">
        <v>53</v>
      </c>
    </row>
    <row r="941" spans="2:5" x14ac:dyDescent="0.25">
      <c r="B941" t="s">
        <v>141</v>
      </c>
      <c r="C941" t="s">
        <v>59</v>
      </c>
      <c r="D941">
        <v>2.8281202621166131E-3</v>
      </c>
      <c r="E941" t="s">
        <v>53</v>
      </c>
    </row>
    <row r="942" spans="2:5" x14ac:dyDescent="0.25">
      <c r="B942" t="s">
        <v>141</v>
      </c>
      <c r="C942" t="s">
        <v>60</v>
      </c>
      <c r="D942">
        <v>0.15502205653269266</v>
      </c>
      <c r="E942" t="s">
        <v>53</v>
      </c>
    </row>
    <row r="943" spans="2:5" x14ac:dyDescent="0.25">
      <c r="B943" t="s">
        <v>141</v>
      </c>
      <c r="C943" t="s">
        <v>61</v>
      </c>
      <c r="D943">
        <v>3.1710180723389359E-3</v>
      </c>
      <c r="E943" t="s">
        <v>53</v>
      </c>
    </row>
    <row r="944" spans="2:5" x14ac:dyDescent="0.25">
      <c r="B944" t="s">
        <v>141</v>
      </c>
      <c r="C944" t="s">
        <v>62</v>
      </c>
      <c r="D944">
        <v>6.7830163450226105E-3</v>
      </c>
      <c r="E944" t="s">
        <v>53</v>
      </c>
    </row>
    <row r="945" spans="2:5" x14ac:dyDescent="0.25">
      <c r="B945" t="s">
        <v>141</v>
      </c>
      <c r="C945" t="s">
        <v>63</v>
      </c>
      <c r="D945">
        <v>0.2108357744940216</v>
      </c>
      <c r="E945" t="s">
        <v>53</v>
      </c>
    </row>
    <row r="946" spans="2:5" x14ac:dyDescent="0.25">
      <c r="B946" t="s">
        <v>141</v>
      </c>
      <c r="C946" t="s">
        <v>64</v>
      </c>
      <c r="D946">
        <v>1.9238917764536222E-3</v>
      </c>
      <c r="E946" t="s">
        <v>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5010B-6088-44E1-934B-7893752D77C1}">
  <dimension ref="B9:BL179"/>
  <sheetViews>
    <sheetView workbookViewId="0"/>
  </sheetViews>
  <sheetFormatPr defaultRowHeight="15" x14ac:dyDescent="0.25"/>
  <sheetData>
    <row r="9" spans="2:64" x14ac:dyDescent="0.25">
      <c r="B9" t="str">
        <f>IF(A11="x","DeActivated","~TFM_DINS-TSL: attribute=FLO_EMIS; other_indexes=ACT")</f>
        <v>~TFM_DINS-TSL: attribute=FLO_EMIS; other_indexes=ACT</v>
      </c>
      <c r="Q9" t="str">
        <f>IF(A11="x","DeActivated","~TFM_INS-TSL: attribute=FLO_SHAR; limtype=FX")</f>
        <v>~TFM_INS-TSL: attribute=FLO_SHAR; limtype=FX</v>
      </c>
      <c r="AF9" t="str">
        <f>IF(A11="x","DeActivated","~TFM_INS-TSL: attribute=FLO_SHAR; limtype=FX")</f>
        <v>~TFM_INS-TSL: attribute=FLO_SHAR; limtype=FX</v>
      </c>
      <c r="AU9" t="str">
        <f>IF(A11="x","DeActivated","~TFM_DINS-TSL: attribute=NCAP_PKCNT")</f>
        <v>~TFM_DINS-TSL: attribute=NCAP_PKCNT</v>
      </c>
      <c r="BI9" t="str">
        <f>IF(A11="x","DeActivated","~TFM_DINS-AT")</f>
        <v>~TFM_DINS-AT</v>
      </c>
    </row>
    <row r="10" spans="2:64" x14ac:dyDescent="0.25">
      <c r="B10" t="s">
        <v>50</v>
      </c>
      <c r="C10" t="s">
        <v>47</v>
      </c>
      <c r="D10" t="s">
        <v>52</v>
      </c>
      <c r="E10" t="s">
        <v>54</v>
      </c>
      <c r="F10" t="s">
        <v>55</v>
      </c>
      <c r="G10" t="s">
        <v>56</v>
      </c>
      <c r="H10" t="s">
        <v>57</v>
      </c>
      <c r="I10" t="s">
        <v>58</v>
      </c>
      <c r="J10" t="s">
        <v>59</v>
      </c>
      <c r="K10" t="s">
        <v>60</v>
      </c>
      <c r="L10" t="s">
        <v>61</v>
      </c>
      <c r="M10" t="s">
        <v>62</v>
      </c>
      <c r="N10" t="s">
        <v>63</v>
      </c>
      <c r="O10" t="s">
        <v>64</v>
      </c>
      <c r="Q10" t="s">
        <v>50</v>
      </c>
      <c r="R10" t="s">
        <v>47</v>
      </c>
      <c r="S10" t="s">
        <v>52</v>
      </c>
      <c r="T10" t="s">
        <v>54</v>
      </c>
      <c r="U10" t="s">
        <v>55</v>
      </c>
      <c r="V10" t="s">
        <v>56</v>
      </c>
      <c r="W10" t="s">
        <v>57</v>
      </c>
      <c r="X10" t="s">
        <v>58</v>
      </c>
      <c r="Y10" t="s">
        <v>59</v>
      </c>
      <c r="Z10" t="s">
        <v>60</v>
      </c>
      <c r="AA10" t="s">
        <v>61</v>
      </c>
      <c r="AB10" t="s">
        <v>62</v>
      </c>
      <c r="AC10" t="s">
        <v>63</v>
      </c>
      <c r="AD10" t="s">
        <v>64</v>
      </c>
      <c r="AF10" t="s">
        <v>50</v>
      </c>
      <c r="AG10" t="s">
        <v>47</v>
      </c>
      <c r="AH10" t="s">
        <v>52</v>
      </c>
      <c r="AI10" t="s">
        <v>54</v>
      </c>
      <c r="AJ10" t="s">
        <v>55</v>
      </c>
      <c r="AK10" t="s">
        <v>56</v>
      </c>
      <c r="AL10" t="s">
        <v>57</v>
      </c>
      <c r="AM10" t="s">
        <v>58</v>
      </c>
      <c r="AN10" t="s">
        <v>59</v>
      </c>
      <c r="AO10" t="s">
        <v>60</v>
      </c>
      <c r="AP10" t="s">
        <v>61</v>
      </c>
      <c r="AQ10" t="s">
        <v>62</v>
      </c>
      <c r="AR10" t="s">
        <v>63</v>
      </c>
      <c r="AS10" t="s">
        <v>64</v>
      </c>
      <c r="AU10" t="s">
        <v>50</v>
      </c>
      <c r="AV10" t="s">
        <v>52</v>
      </c>
      <c r="AW10" t="s">
        <v>54</v>
      </c>
      <c r="AX10" t="s">
        <v>55</v>
      </c>
      <c r="AY10" t="s">
        <v>56</v>
      </c>
      <c r="AZ10" t="s">
        <v>57</v>
      </c>
      <c r="BA10" t="s">
        <v>58</v>
      </c>
      <c r="BB10" t="s">
        <v>59</v>
      </c>
      <c r="BC10" t="s">
        <v>60</v>
      </c>
      <c r="BD10" t="s">
        <v>61</v>
      </c>
      <c r="BE10" t="s">
        <v>62</v>
      </c>
      <c r="BF10" t="s">
        <v>63</v>
      </c>
      <c r="BG10" t="s">
        <v>64</v>
      </c>
      <c r="BI10" t="s">
        <v>50</v>
      </c>
      <c r="BJ10" t="s">
        <v>47</v>
      </c>
      <c r="BK10" t="s">
        <v>407</v>
      </c>
      <c r="BL10" t="s">
        <v>408</v>
      </c>
    </row>
    <row r="11" spans="2:64" x14ac:dyDescent="0.25">
      <c r="B11" t="s">
        <v>233</v>
      </c>
      <c r="C11" t="s">
        <v>31</v>
      </c>
      <c r="D11">
        <v>0</v>
      </c>
      <c r="E11">
        <v>7.3288689730620332E-2</v>
      </c>
      <c r="F11">
        <v>0.88607540126329298</v>
      </c>
      <c r="G11">
        <v>0.88679108361197156</v>
      </c>
      <c r="H11">
        <v>6.7449909066858271E-2</v>
      </c>
      <c r="I11">
        <v>0.76146804866975359</v>
      </c>
      <c r="J11">
        <v>0.86612559596029293</v>
      </c>
      <c r="K11">
        <v>0.19052326315978979</v>
      </c>
      <c r="L11">
        <v>0.71726657130286997</v>
      </c>
      <c r="M11">
        <v>0.90052774123721291</v>
      </c>
      <c r="N11">
        <v>0.1219751164627023</v>
      </c>
      <c r="O11">
        <v>0.8953110785658619</v>
      </c>
      <c r="Q11" t="s">
        <v>402</v>
      </c>
      <c r="R11" t="s">
        <v>403</v>
      </c>
      <c r="S11">
        <v>0.76562500000000011</v>
      </c>
      <c r="T11">
        <v>2.5456119343939619E-2</v>
      </c>
      <c r="U11">
        <v>0.77681392822617301</v>
      </c>
      <c r="V11">
        <v>0.6336819733063136</v>
      </c>
      <c r="W11">
        <v>2.9357358390870791E-2</v>
      </c>
      <c r="X11">
        <v>0.65317013383406974</v>
      </c>
      <c r="Y11">
        <v>0.62362555214381465</v>
      </c>
      <c r="Z11">
        <v>4.4943592697509999E-2</v>
      </c>
      <c r="AA11">
        <v>0.578636438990489</v>
      </c>
      <c r="AB11">
        <v>0.7186216495051988</v>
      </c>
      <c r="AC11">
        <v>3.9500698169542013E-2</v>
      </c>
      <c r="AD11">
        <v>0.80642447781017523</v>
      </c>
      <c r="AF11" t="s">
        <v>402</v>
      </c>
      <c r="AG11" t="s">
        <v>406</v>
      </c>
      <c r="AH11">
        <v>0</v>
      </c>
      <c r="AI11">
        <v>9.5620857136867691E-3</v>
      </c>
      <c r="AJ11">
        <v>0</v>
      </c>
      <c r="AK11">
        <v>0</v>
      </c>
      <c r="AL11">
        <v>6.0001136835751666E-3</v>
      </c>
      <c r="AM11">
        <v>0</v>
      </c>
      <c r="AN11">
        <v>0</v>
      </c>
      <c r="AO11">
        <v>2.4353439311995878E-2</v>
      </c>
      <c r="AP11">
        <v>0</v>
      </c>
      <c r="AQ11">
        <v>0</v>
      </c>
      <c r="AR11">
        <v>1.8237733199731387E-2</v>
      </c>
      <c r="AS11">
        <v>0</v>
      </c>
      <c r="AU11" t="s">
        <v>233</v>
      </c>
      <c r="AV11">
        <v>0</v>
      </c>
      <c r="AW11">
        <v>0.59327596737074073</v>
      </c>
      <c r="AX11">
        <v>3.1243540737823854E-2</v>
      </c>
      <c r="AY11">
        <v>2.7271156121404228E-2</v>
      </c>
      <c r="AZ11">
        <v>0.62208569075900533</v>
      </c>
      <c r="BA11">
        <v>6.487846218836707E-2</v>
      </c>
      <c r="BB11">
        <v>8.8173684796505943E-3</v>
      </c>
      <c r="BC11">
        <v>0.32575895628231544</v>
      </c>
      <c r="BD11">
        <v>2.5943669018918772E-2</v>
      </c>
      <c r="BE11">
        <v>1.5148830394500075E-2</v>
      </c>
      <c r="BF11">
        <v>0.50969514959849171</v>
      </c>
      <c r="BG11">
        <v>1.5034580813863867E-2</v>
      </c>
      <c r="BI11" t="s">
        <v>233</v>
      </c>
      <c r="BJ11" t="s">
        <v>409</v>
      </c>
      <c r="BK11" t="s">
        <v>410</v>
      </c>
      <c r="BL11">
        <v>0.50293216968268428</v>
      </c>
    </row>
    <row r="12" spans="2:64" x14ac:dyDescent="0.25">
      <c r="B12" t="s">
        <v>234</v>
      </c>
      <c r="C12" t="s">
        <v>31</v>
      </c>
      <c r="D12">
        <v>0</v>
      </c>
      <c r="E12">
        <v>8.1277193233794606E-2</v>
      </c>
      <c r="F12">
        <v>0.8946394195259777</v>
      </c>
      <c r="G12">
        <v>0.86060382820992598</v>
      </c>
      <c r="H12">
        <v>6.3316705052810757E-2</v>
      </c>
      <c r="I12">
        <v>0.75687019067835015</v>
      </c>
      <c r="J12">
        <v>0.83854066111508851</v>
      </c>
      <c r="K12">
        <v>0.16375466086590018</v>
      </c>
      <c r="L12">
        <v>0.70119516944890403</v>
      </c>
      <c r="M12">
        <v>0.89979227307268372</v>
      </c>
      <c r="N12">
        <v>9.6902303098371653E-2</v>
      </c>
      <c r="O12">
        <v>0.89629158772112349</v>
      </c>
      <c r="Q12" t="s">
        <v>404</v>
      </c>
      <c r="R12" t="s">
        <v>403</v>
      </c>
      <c r="S12">
        <v>6.9346235858008896E-3</v>
      </c>
      <c r="T12">
        <v>1.5514857963832632E-2</v>
      </c>
      <c r="U12">
        <v>4.7613278583904642E-2</v>
      </c>
      <c r="V12">
        <v>2.1468682896749933E-3</v>
      </c>
      <c r="W12">
        <v>1.8754890796379313E-2</v>
      </c>
      <c r="X12">
        <v>2.769909311606808E-2</v>
      </c>
      <c r="Y12">
        <v>1.6421194898252637E-3</v>
      </c>
      <c r="Z12">
        <v>9.3389264913151229E-4</v>
      </c>
      <c r="AA12">
        <v>4.7297356594520291E-3</v>
      </c>
      <c r="AB12">
        <v>1.0034077612010403E-3</v>
      </c>
      <c r="AC12">
        <v>4.32576415963125E-4</v>
      </c>
      <c r="AD12">
        <v>1.0763823121762117E-2</v>
      </c>
      <c r="AF12" t="s">
        <v>404</v>
      </c>
      <c r="AG12" t="s">
        <v>406</v>
      </c>
      <c r="AH12">
        <v>5.2598189450363569E-2</v>
      </c>
      <c r="AI12">
        <v>1.8662702529257901E-2</v>
      </c>
      <c r="AJ12">
        <v>5.7733566410073977E-3</v>
      </c>
      <c r="AK12">
        <v>2.5707401847930314E-2</v>
      </c>
      <c r="AL12">
        <v>2.3439100325291416E-2</v>
      </c>
      <c r="AM12">
        <v>3.9772807528719225E-3</v>
      </c>
      <c r="AN12">
        <v>7.7819866814993572E-3</v>
      </c>
      <c r="AO12">
        <v>4.8354910767958937E-4</v>
      </c>
      <c r="AP12">
        <v>1.0927962597512791E-3</v>
      </c>
      <c r="AQ12">
        <v>1.2281505168093497E-2</v>
      </c>
      <c r="AR12">
        <v>3.2455969150851482E-3</v>
      </c>
      <c r="AS12">
        <v>5.4230160277470461E-3</v>
      </c>
      <c r="AU12" t="s">
        <v>234</v>
      </c>
      <c r="AV12">
        <v>0</v>
      </c>
      <c r="AW12">
        <v>0.58651145130240734</v>
      </c>
      <c r="AX12">
        <v>2.5988622867467979E-2</v>
      </c>
      <c r="AY12">
        <v>3.0275245149254112E-2</v>
      </c>
      <c r="AZ12">
        <v>0.62773535931975744</v>
      </c>
      <c r="BA12">
        <v>6.3773540518426514E-2</v>
      </c>
      <c r="BB12">
        <v>1.3778323139347657E-2</v>
      </c>
      <c r="BC12">
        <v>0.38473587408367665</v>
      </c>
      <c r="BD12">
        <v>3.4034752646202454E-2</v>
      </c>
      <c r="BE12">
        <v>1.6752583740743864E-2</v>
      </c>
      <c r="BF12">
        <v>0.53598453481147257</v>
      </c>
      <c r="BG12">
        <v>1.5344873389580065E-2</v>
      </c>
      <c r="BI12" t="s">
        <v>234</v>
      </c>
      <c r="BJ12" t="s">
        <v>409</v>
      </c>
      <c r="BK12" t="s">
        <v>410</v>
      </c>
      <c r="BL12">
        <v>0.53103917022600522</v>
      </c>
    </row>
    <row r="13" spans="2:64" x14ac:dyDescent="0.25">
      <c r="B13" t="s">
        <v>235</v>
      </c>
      <c r="C13" t="s">
        <v>31</v>
      </c>
      <c r="D13">
        <v>0.98888888888888893</v>
      </c>
      <c r="E13">
        <v>8.4237348193727177E-2</v>
      </c>
      <c r="F13">
        <v>0.92252030358907477</v>
      </c>
      <c r="G13">
        <v>0.83199352866846643</v>
      </c>
      <c r="H13">
        <v>6.5725025159767941E-2</v>
      </c>
      <c r="I13">
        <v>0.79246262023401448</v>
      </c>
      <c r="J13">
        <v>0.83736193921192392</v>
      </c>
      <c r="K13">
        <v>0.21640563801071211</v>
      </c>
      <c r="L13">
        <v>0.73936129037564391</v>
      </c>
      <c r="M13">
        <v>0.87649500017918236</v>
      </c>
      <c r="N13">
        <v>0.11346536131259825</v>
      </c>
      <c r="O13">
        <v>0.91955341203802154</v>
      </c>
      <c r="Q13" t="s">
        <v>405</v>
      </c>
      <c r="R13" t="s">
        <v>403</v>
      </c>
      <c r="S13">
        <v>6.9919698706721644E-3</v>
      </c>
      <c r="T13">
        <v>3.249668170143518E-3</v>
      </c>
      <c r="U13">
        <v>4.4940290466444219E-3</v>
      </c>
      <c r="V13">
        <v>1.8502747289724122E-3</v>
      </c>
      <c r="W13">
        <v>6.1736975866857778E-3</v>
      </c>
      <c r="X13">
        <v>4.3746184499090038E-4</v>
      </c>
      <c r="Y13">
        <v>0</v>
      </c>
      <c r="Z13">
        <v>4.8298783394575662E-4</v>
      </c>
      <c r="AA13">
        <v>3.7929914931242228E-5</v>
      </c>
      <c r="AB13">
        <v>1.80771068544899E-3</v>
      </c>
      <c r="AC13">
        <v>1.41337973167573E-3</v>
      </c>
      <c r="AD13">
        <v>2.6442202425115886E-3</v>
      </c>
      <c r="AF13" t="s">
        <v>405</v>
      </c>
      <c r="AG13" t="s">
        <v>406</v>
      </c>
      <c r="AH13">
        <v>1.0381090370186773E-2</v>
      </c>
      <c r="AI13">
        <v>3.783931680468553E-3</v>
      </c>
      <c r="AJ13">
        <v>1.0337872799873964E-2</v>
      </c>
      <c r="AK13">
        <v>2.2199395960177649E-3</v>
      </c>
      <c r="AL13">
        <v>9.6836659270097582E-3</v>
      </c>
      <c r="AM13">
        <v>6.7078335788577585E-3</v>
      </c>
      <c r="AN13">
        <v>6.2700190175577408E-4</v>
      </c>
      <c r="AO13">
        <v>2.2689497715698706E-3</v>
      </c>
      <c r="AP13">
        <v>9.6543124964353121E-4</v>
      </c>
      <c r="AQ13">
        <v>1.1971437086397554E-2</v>
      </c>
      <c r="AR13">
        <v>4.6823242406266573E-3</v>
      </c>
      <c r="AS13">
        <v>3.0525804539396372E-3</v>
      </c>
      <c r="AU13" t="s">
        <v>235</v>
      </c>
      <c r="AV13">
        <v>3.56195515146214E-4</v>
      </c>
      <c r="AW13">
        <v>0.5804507914243765</v>
      </c>
      <c r="AX13">
        <v>1.7619589189087976E-2</v>
      </c>
      <c r="AY13">
        <v>4.3112955240848051E-2</v>
      </c>
      <c r="AZ13">
        <v>0.62011799848393423</v>
      </c>
      <c r="BA13">
        <v>4.9774016200012296E-2</v>
      </c>
      <c r="BB13">
        <v>1.3513350641088983E-2</v>
      </c>
      <c r="BC13">
        <v>0.31240042746574964</v>
      </c>
      <c r="BD13">
        <v>1.9397990995333729E-2</v>
      </c>
      <c r="BE13">
        <v>2.3885484344335337E-2</v>
      </c>
      <c r="BF13">
        <v>0.51620379777496694</v>
      </c>
      <c r="BG13">
        <v>9.1792442798153857E-3</v>
      </c>
      <c r="BI13" t="s">
        <v>235</v>
      </c>
      <c r="BJ13" t="s">
        <v>409</v>
      </c>
      <c r="BK13" t="s">
        <v>410</v>
      </c>
      <c r="BL13">
        <v>0.49922538263025695</v>
      </c>
    </row>
    <row r="14" spans="2:64" x14ac:dyDescent="0.25">
      <c r="B14" t="s">
        <v>236</v>
      </c>
      <c r="C14" t="s">
        <v>31</v>
      </c>
      <c r="D14">
        <v>0</v>
      </c>
      <c r="E14">
        <v>6.9963124357066447E-2</v>
      </c>
      <c r="F14">
        <v>0.87080300732241678</v>
      </c>
      <c r="G14">
        <v>0.88586524059670135</v>
      </c>
      <c r="H14">
        <v>6.7585221251120778E-2</v>
      </c>
      <c r="I14">
        <v>0.76435290665243183</v>
      </c>
      <c r="J14">
        <v>0.88185391398018531</v>
      </c>
      <c r="K14">
        <v>0.20292483004778569</v>
      </c>
      <c r="L14">
        <v>0.73558310575205477</v>
      </c>
      <c r="M14">
        <v>0.89410407129555847</v>
      </c>
      <c r="N14">
        <v>0.13221612165117749</v>
      </c>
      <c r="O14">
        <v>0.88495278551375101</v>
      </c>
      <c r="AU14" t="s">
        <v>236</v>
      </c>
      <c r="AV14">
        <v>0</v>
      </c>
      <c r="AW14">
        <v>0.593547265375444</v>
      </c>
      <c r="AX14">
        <v>3.5060800906309107E-2</v>
      </c>
      <c r="AY14">
        <v>2.6468046723507617E-2</v>
      </c>
      <c r="AZ14">
        <v>0.61867648833620326</v>
      </c>
      <c r="BA14">
        <v>6.3084402728415603E-2</v>
      </c>
      <c r="BB14">
        <v>7.8780576503764115E-3</v>
      </c>
      <c r="BC14">
        <v>0.29757030835989701</v>
      </c>
      <c r="BD14">
        <v>1.9931691304328356E-2</v>
      </c>
      <c r="BE14">
        <v>1.4615006265643042E-2</v>
      </c>
      <c r="BF14">
        <v>0.49170022146994014</v>
      </c>
      <c r="BG14">
        <v>1.5000696368194275E-2</v>
      </c>
      <c r="BI14" t="s">
        <v>236</v>
      </c>
      <c r="BJ14" t="s">
        <v>409</v>
      </c>
      <c r="BK14" t="s">
        <v>410</v>
      </c>
      <c r="BL14">
        <v>0.48799394246690109</v>
      </c>
    </row>
    <row r="15" spans="2:64" x14ac:dyDescent="0.25">
      <c r="B15" t="s">
        <v>237</v>
      </c>
      <c r="C15" t="s">
        <v>31</v>
      </c>
      <c r="D15">
        <v>0</v>
      </c>
      <c r="E15">
        <v>7.5343151885073831E-2</v>
      </c>
      <c r="F15">
        <v>0.89670451786683814</v>
      </c>
      <c r="G15">
        <v>0.8485714765613106</v>
      </c>
      <c r="H15">
        <v>6.5364766400529128E-2</v>
      </c>
      <c r="I15">
        <v>0.78497327745297651</v>
      </c>
      <c r="J15">
        <v>0.84790935686147451</v>
      </c>
      <c r="K15">
        <v>0.22285654291939894</v>
      </c>
      <c r="L15">
        <v>0.74397056344994117</v>
      </c>
      <c r="M15">
        <v>0.88050475934965067</v>
      </c>
      <c r="N15">
        <v>0.12982781287032008</v>
      </c>
      <c r="O15">
        <v>0.90431184461307812</v>
      </c>
      <c r="AU15" t="s">
        <v>237</v>
      </c>
      <c r="AV15">
        <v>0</v>
      </c>
      <c r="AW15">
        <v>0.58670884946068202</v>
      </c>
      <c r="AX15">
        <v>2.5372725621764299E-2</v>
      </c>
      <c r="AY15">
        <v>3.5038977272109334E-2</v>
      </c>
      <c r="AZ15">
        <v>0.62330019970611428</v>
      </c>
      <c r="BA15">
        <v>5.5601997344964384E-2</v>
      </c>
      <c r="BB15">
        <v>7.3355555116626529E-3</v>
      </c>
      <c r="BC15">
        <v>0.27663871935199807</v>
      </c>
      <c r="BD15">
        <v>1.7492275976194828E-2</v>
      </c>
      <c r="BE15">
        <v>1.9229520486349655E-2</v>
      </c>
      <c r="BF15">
        <v>0.49401362961485562</v>
      </c>
      <c r="BG15">
        <v>1.0317043418497417E-2</v>
      </c>
      <c r="BI15" t="s">
        <v>237</v>
      </c>
      <c r="BJ15" t="s">
        <v>409</v>
      </c>
      <c r="BK15" t="s">
        <v>410</v>
      </c>
      <c r="BL15">
        <v>0.47660502783445191</v>
      </c>
    </row>
    <row r="16" spans="2:64" x14ac:dyDescent="0.25">
      <c r="B16" t="s">
        <v>238</v>
      </c>
      <c r="C16" t="s">
        <v>31</v>
      </c>
      <c r="D16">
        <v>0.99722222222222212</v>
      </c>
      <c r="E16">
        <v>7.2321642179061743E-2</v>
      </c>
      <c r="F16">
        <v>0.87657401018665815</v>
      </c>
      <c r="G16">
        <v>0.88043478260869545</v>
      </c>
      <c r="H16">
        <v>7.3874712655197655E-2</v>
      </c>
      <c r="I16">
        <v>0.80576347831785466</v>
      </c>
      <c r="J16">
        <v>0.88876810971866627</v>
      </c>
      <c r="K16">
        <v>0.27018344960170282</v>
      </c>
      <c r="L16">
        <v>0.77447709292794042</v>
      </c>
      <c r="M16">
        <v>0.87957290591319826</v>
      </c>
      <c r="N16">
        <v>0.15435580338468868</v>
      </c>
      <c r="O16">
        <v>0.89959964125663072</v>
      </c>
      <c r="AU16" t="s">
        <v>238</v>
      </c>
      <c r="AV16">
        <v>1.9318841797018858E-5</v>
      </c>
      <c r="AW16">
        <v>0.58928020779133228</v>
      </c>
      <c r="AX16">
        <v>3.3669855221727302E-2</v>
      </c>
      <c r="AY16">
        <v>2.6863151972943117E-2</v>
      </c>
      <c r="AZ16">
        <v>0.61709848172550508</v>
      </c>
      <c r="BA16">
        <v>5.4934098376971552E-2</v>
      </c>
      <c r="BB16">
        <v>3.6729630054199037E-3</v>
      </c>
      <c r="BC16">
        <v>0.23442722076142511</v>
      </c>
      <c r="BD16">
        <v>1.1771472694116124E-2</v>
      </c>
      <c r="BE16">
        <v>1.5998438219953948E-2</v>
      </c>
      <c r="BF16">
        <v>0.44698503003807516</v>
      </c>
      <c r="BG16">
        <v>9.4451706131328961E-3</v>
      </c>
      <c r="BI16" t="s">
        <v>238</v>
      </c>
      <c r="BJ16" t="s">
        <v>409</v>
      </c>
      <c r="BK16" t="s">
        <v>410</v>
      </c>
      <c r="BL16">
        <v>0.4475745901018775</v>
      </c>
    </row>
    <row r="17" spans="2:64" x14ac:dyDescent="0.25">
      <c r="B17" t="s">
        <v>239</v>
      </c>
      <c r="C17" t="s">
        <v>31</v>
      </c>
      <c r="D17">
        <v>0.97916666666666641</v>
      </c>
      <c r="E17">
        <v>7.9692199463569008E-2</v>
      </c>
      <c r="F17">
        <v>0.89700445628602976</v>
      </c>
      <c r="G17">
        <v>0.84404974594788096</v>
      </c>
      <c r="H17">
        <v>6.7315609842369548E-2</v>
      </c>
      <c r="I17">
        <v>0.81493308015952159</v>
      </c>
      <c r="J17">
        <v>0.85813519703229812</v>
      </c>
      <c r="K17">
        <v>0.25665038891099606</v>
      </c>
      <c r="L17">
        <v>0.76832373190950765</v>
      </c>
      <c r="M17">
        <v>0.8773562596792337</v>
      </c>
      <c r="N17">
        <v>0.13847684537226737</v>
      </c>
      <c r="O17">
        <v>0.91100242342804172</v>
      </c>
      <c r="AU17" t="s">
        <v>239</v>
      </c>
      <c r="AV17">
        <v>1.2706311857103515E-3</v>
      </c>
      <c r="AW17">
        <v>0.57818970066690079</v>
      </c>
      <c r="AX17">
        <v>2.3768372667806854E-2</v>
      </c>
      <c r="AY17">
        <v>3.7158834493328213E-2</v>
      </c>
      <c r="AZ17">
        <v>0.6165385826730706</v>
      </c>
      <c r="BA17">
        <v>4.7394092979079219E-2</v>
      </c>
      <c r="BB17">
        <v>6.1574590432913936E-3</v>
      </c>
      <c r="BC17">
        <v>0.2451746966984604</v>
      </c>
      <c r="BD17">
        <v>1.2221948960356697E-2</v>
      </c>
      <c r="BE17">
        <v>2.0441225567727716E-2</v>
      </c>
      <c r="BF17">
        <v>0.46401289237224369</v>
      </c>
      <c r="BG17">
        <v>7.5765341006341965E-3</v>
      </c>
      <c r="BI17" t="s">
        <v>239</v>
      </c>
      <c r="BJ17" t="s">
        <v>409</v>
      </c>
      <c r="BK17" t="s">
        <v>410</v>
      </c>
      <c r="BL17">
        <v>0.44800162839328811</v>
      </c>
    </row>
    <row r="18" spans="2:64" x14ac:dyDescent="0.25">
      <c r="B18" t="s">
        <v>240</v>
      </c>
      <c r="C18" t="s">
        <v>31</v>
      </c>
      <c r="D18">
        <v>0.90656065207368886</v>
      </c>
      <c r="E18">
        <v>8.5102379051536794E-2</v>
      </c>
      <c r="F18">
        <v>0.94074074074074043</v>
      </c>
      <c r="G18">
        <v>0.81847322844504844</v>
      </c>
      <c r="H18">
        <v>7.3962340511360816E-2</v>
      </c>
      <c r="I18">
        <v>0.83333333333333337</v>
      </c>
      <c r="J18">
        <v>0.84338611492977023</v>
      </c>
      <c r="K18">
        <v>0.29316581784099716</v>
      </c>
      <c r="L18">
        <v>0.85202818080389398</v>
      </c>
      <c r="M18">
        <v>0.87931842132357674</v>
      </c>
      <c r="N18">
        <v>0.1510567756757118</v>
      </c>
      <c r="O18">
        <v>0.94431199568889879</v>
      </c>
      <c r="AU18" t="s">
        <v>240</v>
      </c>
      <c r="AV18">
        <v>1.6995849139062845E-2</v>
      </c>
      <c r="AW18">
        <v>0.56611997160754357</v>
      </c>
      <c r="AX18">
        <v>1.1353086696483721E-2</v>
      </c>
      <c r="AY18">
        <v>5.0013345084599974E-2</v>
      </c>
      <c r="AZ18">
        <v>0.59551804620160365</v>
      </c>
      <c r="BA18">
        <v>3.5853536114890429E-2</v>
      </c>
      <c r="BB18">
        <v>9.6001295844195863E-3</v>
      </c>
      <c r="BC18">
        <v>0.22664612010072224</v>
      </c>
      <c r="BD18">
        <v>8.0284337181366974E-3</v>
      </c>
      <c r="BE18">
        <v>2.4754584107672398E-2</v>
      </c>
      <c r="BF18">
        <v>0.45840157170771884</v>
      </c>
      <c r="BG18">
        <v>3.9356946724168271E-3</v>
      </c>
      <c r="BI18" t="s">
        <v>240</v>
      </c>
      <c r="BJ18" t="s">
        <v>409</v>
      </c>
      <c r="BK18" t="s">
        <v>410</v>
      </c>
      <c r="BL18">
        <v>0.44513254003403591</v>
      </c>
    </row>
    <row r="19" spans="2:64" x14ac:dyDescent="0.25">
      <c r="B19" t="s">
        <v>241</v>
      </c>
      <c r="C19" t="s">
        <v>31</v>
      </c>
      <c r="D19">
        <v>0.94605079981558493</v>
      </c>
      <c r="E19">
        <v>8.1019988895329853E-2</v>
      </c>
      <c r="F19">
        <v>0.91054280554808464</v>
      </c>
      <c r="G19">
        <v>0.83089845143790142</v>
      </c>
      <c r="H19">
        <v>6.8325366587107222E-2</v>
      </c>
      <c r="I19">
        <v>0.83333333333333337</v>
      </c>
      <c r="J19">
        <v>0.8455933677550459</v>
      </c>
      <c r="K19">
        <v>0.27225916794734578</v>
      </c>
      <c r="L19">
        <v>0.81563864142757614</v>
      </c>
      <c r="M19">
        <v>0.8784381967168301</v>
      </c>
      <c r="N19">
        <v>0.13877194752049637</v>
      </c>
      <c r="O19">
        <v>0.92262950597714222</v>
      </c>
      <c r="AU19" t="s">
        <v>241</v>
      </c>
      <c r="AV19">
        <v>8.419054325415825E-3</v>
      </c>
      <c r="AW19">
        <v>0.57061538374762044</v>
      </c>
      <c r="AX19">
        <v>1.673317214125173E-2</v>
      </c>
      <c r="AY19">
        <v>4.4073295928724415E-2</v>
      </c>
      <c r="AZ19">
        <v>0.60806597016699382</v>
      </c>
      <c r="BA19">
        <v>4.127796296716426E-2</v>
      </c>
      <c r="BB19">
        <v>8.5885492799548154E-3</v>
      </c>
      <c r="BC19">
        <v>0.23973837262776485</v>
      </c>
      <c r="BD19">
        <v>1.064927859211744E-2</v>
      </c>
      <c r="BE19">
        <v>2.3324920783117428E-2</v>
      </c>
      <c r="BF19">
        <v>0.46549941008791668</v>
      </c>
      <c r="BG19">
        <v>5.8747307736847871E-3</v>
      </c>
      <c r="BI19" t="s">
        <v>241</v>
      </c>
      <c r="BJ19" t="s">
        <v>409</v>
      </c>
      <c r="BK19" t="s">
        <v>410</v>
      </c>
      <c r="BL19">
        <v>0.45196448679802331</v>
      </c>
    </row>
    <row r="20" spans="2:64" x14ac:dyDescent="0.25">
      <c r="B20" t="s">
        <v>242</v>
      </c>
      <c r="C20" t="s">
        <v>31</v>
      </c>
      <c r="D20">
        <v>0.97499999999999998</v>
      </c>
      <c r="E20">
        <v>9.1744522891566607E-2</v>
      </c>
      <c r="F20">
        <v>0.92208138421042685</v>
      </c>
      <c r="G20">
        <v>0.83137094434979908</v>
      </c>
      <c r="H20">
        <v>6.9482505654446039E-2</v>
      </c>
      <c r="I20">
        <v>0.81961885250347033</v>
      </c>
      <c r="J20">
        <v>0.86542087859514527</v>
      </c>
      <c r="K20">
        <v>0.27155345719150986</v>
      </c>
      <c r="L20">
        <v>0.77477454463175499</v>
      </c>
      <c r="M20">
        <v>0.87615209150588858</v>
      </c>
      <c r="N20">
        <v>0.12720595167015897</v>
      </c>
      <c r="O20">
        <v>0.92309176186222053</v>
      </c>
      <c r="AU20" t="s">
        <v>242</v>
      </c>
      <c r="AV20">
        <v>2.2784482988624441E-3</v>
      </c>
      <c r="AW20">
        <v>0.56942819031899738</v>
      </c>
      <c r="AX20">
        <v>1.7459165675106351E-2</v>
      </c>
      <c r="AY20">
        <v>4.49669938182094E-2</v>
      </c>
      <c r="AZ20">
        <v>0.61491692261747977</v>
      </c>
      <c r="BA20">
        <v>4.4213301327161246E-2</v>
      </c>
      <c r="BB20">
        <v>6.3251245522927763E-3</v>
      </c>
      <c r="BC20">
        <v>0.23279555812394481</v>
      </c>
      <c r="BD20">
        <v>1.3200841040773093E-2</v>
      </c>
      <c r="BE20">
        <v>2.513763244068656E-2</v>
      </c>
      <c r="BF20">
        <v>0.49033747675041478</v>
      </c>
      <c r="BG20">
        <v>7.0044079723532012E-3</v>
      </c>
      <c r="BI20" t="s">
        <v>242</v>
      </c>
      <c r="BJ20" t="s">
        <v>409</v>
      </c>
      <c r="BK20" t="s">
        <v>410</v>
      </c>
      <c r="BL20">
        <v>0.4776077015897241</v>
      </c>
    </row>
    <row r="21" spans="2:64" x14ac:dyDescent="0.25">
      <c r="B21" t="s">
        <v>243</v>
      </c>
      <c r="C21" t="s">
        <v>31</v>
      </c>
      <c r="D21">
        <v>0.94362514702538225</v>
      </c>
      <c r="E21">
        <v>9.3635129651948965E-2</v>
      </c>
      <c r="F21">
        <v>0.94056757694496129</v>
      </c>
      <c r="G21">
        <v>0.81753979916724639</v>
      </c>
      <c r="H21">
        <v>6.9887966281296537E-2</v>
      </c>
      <c r="I21">
        <v>0.83356796561071722</v>
      </c>
      <c r="J21">
        <v>0.85137135655775931</v>
      </c>
      <c r="K21">
        <v>0.26973703241299835</v>
      </c>
      <c r="L21">
        <v>0.80086788022427946</v>
      </c>
      <c r="M21">
        <v>0.87622390894252189</v>
      </c>
      <c r="N21">
        <v>0.12759864527098111</v>
      </c>
      <c r="O21">
        <v>0.9382900794152359</v>
      </c>
      <c r="AU21" t="s">
        <v>243</v>
      </c>
      <c r="AV21">
        <v>9.2390910715183881E-3</v>
      </c>
      <c r="AW21">
        <v>0.56084433417899759</v>
      </c>
      <c r="AX21">
        <v>1.1168387112868369E-2</v>
      </c>
      <c r="AY21">
        <v>5.0554693339034722E-2</v>
      </c>
      <c r="AZ21">
        <v>0.61037951326782303</v>
      </c>
      <c r="BA21">
        <v>3.9097907911822334E-2</v>
      </c>
      <c r="BB21">
        <v>8.7787267427389994E-3</v>
      </c>
      <c r="BC21">
        <v>0.23393970811898376</v>
      </c>
      <c r="BD21">
        <v>1.0567309112827073E-2</v>
      </c>
      <c r="BE21">
        <v>2.7716598646670608E-2</v>
      </c>
      <c r="BF21">
        <v>0.48662225381014174</v>
      </c>
      <c r="BG21">
        <v>5.6875173808365901E-3</v>
      </c>
      <c r="BI21" t="s">
        <v>243</v>
      </c>
      <c r="BJ21" t="s">
        <v>409</v>
      </c>
      <c r="BK21" t="s">
        <v>410</v>
      </c>
      <c r="BL21">
        <v>0.47344348317283941</v>
      </c>
    </row>
    <row r="22" spans="2:64" x14ac:dyDescent="0.25">
      <c r="B22" t="s">
        <v>244</v>
      </c>
      <c r="C22" t="s">
        <v>31</v>
      </c>
      <c r="D22">
        <v>0</v>
      </c>
      <c r="E22">
        <v>0.10989468736456814</v>
      </c>
      <c r="F22">
        <v>0.93355152599841851</v>
      </c>
      <c r="G22">
        <v>0.83968682888023616</v>
      </c>
      <c r="H22">
        <v>6.9582249513526623E-2</v>
      </c>
      <c r="I22">
        <v>0.76873942754448998</v>
      </c>
      <c r="J22">
        <v>0.80480536990843698</v>
      </c>
      <c r="K22">
        <v>0.1162543079494585</v>
      </c>
      <c r="L22">
        <v>0.69561432550537761</v>
      </c>
      <c r="M22">
        <v>0.9032297644017292</v>
      </c>
      <c r="N22">
        <v>8.5117074259018002E-2</v>
      </c>
      <c r="O22">
        <v>0.91941391941391926</v>
      </c>
      <c r="AU22" t="s">
        <v>244</v>
      </c>
      <c r="AV22">
        <v>0</v>
      </c>
      <c r="AW22">
        <v>0.52867967953561523</v>
      </c>
      <c r="AX22">
        <v>1.3672997011784814E-2</v>
      </c>
      <c r="AY22">
        <v>4.0041832246467568E-2</v>
      </c>
      <c r="AZ22">
        <v>0.61068142949704363</v>
      </c>
      <c r="BA22">
        <v>5.4993429127676408E-2</v>
      </c>
      <c r="BB22">
        <v>2.8093605718962088E-2</v>
      </c>
      <c r="BC22">
        <v>0.47515001454537531</v>
      </c>
      <c r="BD22">
        <v>4.6507988364859483E-2</v>
      </c>
      <c r="BE22">
        <v>1.8782794276246944E-2</v>
      </c>
      <c r="BF22">
        <v>0.53310982571198218</v>
      </c>
      <c r="BG22">
        <v>1.1618914861773248E-2</v>
      </c>
      <c r="BI22" t="s">
        <v>244</v>
      </c>
      <c r="BJ22" t="s">
        <v>409</v>
      </c>
      <c r="BK22" t="s">
        <v>410</v>
      </c>
      <c r="BL22">
        <v>0.50284549902446751</v>
      </c>
    </row>
    <row r="23" spans="2:64" x14ac:dyDescent="0.25">
      <c r="B23" t="s">
        <v>245</v>
      </c>
      <c r="C23" t="s">
        <v>31</v>
      </c>
      <c r="D23">
        <v>0</v>
      </c>
      <c r="E23">
        <v>0.14546314898873428</v>
      </c>
      <c r="F23">
        <v>0.94845639262251713</v>
      </c>
      <c r="G23">
        <v>0.82357964707934661</v>
      </c>
      <c r="H23">
        <v>7.8744164777401329E-2</v>
      </c>
      <c r="I23">
        <v>0.77562073456131886</v>
      </c>
      <c r="J23">
        <v>0.80024688528136156</v>
      </c>
      <c r="K23">
        <v>0.13965551006279053</v>
      </c>
      <c r="L23">
        <v>0.71152491253634531</v>
      </c>
      <c r="M23">
        <v>0.8963397120558092</v>
      </c>
      <c r="N23">
        <v>9.0958402428640214E-2</v>
      </c>
      <c r="O23">
        <v>0.92672750836515594</v>
      </c>
      <c r="AU23" t="s">
        <v>245</v>
      </c>
      <c r="AV23">
        <v>0</v>
      </c>
      <c r="AW23">
        <v>0.48080073850094918</v>
      </c>
      <c r="AX23">
        <v>9.2076078701949227E-3</v>
      </c>
      <c r="AY23">
        <v>4.5420959202868219E-2</v>
      </c>
      <c r="AZ23">
        <v>0.59585540249456204</v>
      </c>
      <c r="BA23">
        <v>4.8065297076425664E-2</v>
      </c>
      <c r="BB23">
        <v>2.7414842023346681E-2</v>
      </c>
      <c r="BC23">
        <v>0.43498538510976409</v>
      </c>
      <c r="BD23">
        <v>4.1260417745846725E-2</v>
      </c>
      <c r="BE23">
        <v>1.9296006258596423E-2</v>
      </c>
      <c r="BF23">
        <v>0.51380514106404274</v>
      </c>
      <c r="BG23">
        <v>9.5830337201307358E-3</v>
      </c>
      <c r="BI23" t="s">
        <v>245</v>
      </c>
      <c r="BJ23" t="s">
        <v>409</v>
      </c>
      <c r="BK23" t="s">
        <v>410</v>
      </c>
      <c r="BL23">
        <v>0.51310819844615274</v>
      </c>
    </row>
    <row r="24" spans="2:64" x14ac:dyDescent="0.25">
      <c r="B24" t="s">
        <v>246</v>
      </c>
      <c r="C24" t="s">
        <v>31</v>
      </c>
      <c r="D24">
        <v>0</v>
      </c>
      <c r="E24">
        <v>8.9119690268291807E-2</v>
      </c>
      <c r="F24">
        <v>0.90460262560182336</v>
      </c>
      <c r="G24">
        <v>0.86049765563829961</v>
      </c>
      <c r="H24">
        <v>6.5305850234985877E-2</v>
      </c>
      <c r="I24">
        <v>0.74906114411312097</v>
      </c>
      <c r="J24">
        <v>0.82349843682755142</v>
      </c>
      <c r="K24">
        <v>0.11333651449864085</v>
      </c>
      <c r="L24">
        <v>0.68270967124106263</v>
      </c>
      <c r="M24">
        <v>0.9095623357612862</v>
      </c>
      <c r="N24">
        <v>8.1726632632542998E-2</v>
      </c>
      <c r="O24">
        <v>0.89998581666101152</v>
      </c>
      <c r="AU24" t="s">
        <v>246</v>
      </c>
      <c r="AV24">
        <v>0</v>
      </c>
      <c r="AW24">
        <v>0.56707579499373317</v>
      </c>
      <c r="AX24">
        <v>2.2350388955489912E-2</v>
      </c>
      <c r="AY24">
        <v>3.1902230175485165E-2</v>
      </c>
      <c r="AZ24">
        <v>0.62216703496857739</v>
      </c>
      <c r="BA24">
        <v>6.4213346027220869E-2</v>
      </c>
      <c r="BB24">
        <v>2.2564823556032666E-2</v>
      </c>
      <c r="BC24">
        <v>0.48492931724571531</v>
      </c>
      <c r="BD24">
        <v>4.8415123259009665E-2</v>
      </c>
      <c r="BE24">
        <v>1.5916931363951167E-2</v>
      </c>
      <c r="BF24">
        <v>0.54933118202951448</v>
      </c>
      <c r="BG24">
        <v>1.6055385792490075E-2</v>
      </c>
      <c r="BI24" t="s">
        <v>246</v>
      </c>
      <c r="BJ24" t="s">
        <v>409</v>
      </c>
      <c r="BK24" t="s">
        <v>410</v>
      </c>
      <c r="BL24">
        <v>0.53669303869682916</v>
      </c>
    </row>
    <row r="25" spans="2:64" x14ac:dyDescent="0.25">
      <c r="B25" t="s">
        <v>247</v>
      </c>
      <c r="C25" t="s">
        <v>31</v>
      </c>
      <c r="D25">
        <v>0.99583333333333346</v>
      </c>
      <c r="E25">
        <v>0.10181646444243932</v>
      </c>
      <c r="F25">
        <v>0.92455354115671551</v>
      </c>
      <c r="G25">
        <v>0.82482384102724815</v>
      </c>
      <c r="H25">
        <v>6.4274867859463319E-2</v>
      </c>
      <c r="I25">
        <v>0.77567857918902661</v>
      </c>
      <c r="J25">
        <v>0.80195802522978576</v>
      </c>
      <c r="K25">
        <v>0.13599698455441284</v>
      </c>
      <c r="L25">
        <v>0.71314796529958646</v>
      </c>
      <c r="M25">
        <v>0.88810659571721706</v>
      </c>
      <c r="N25">
        <v>9.420810780809781E-2</v>
      </c>
      <c r="O25">
        <v>0.91627597338666233</v>
      </c>
      <c r="AU25" t="s">
        <v>247</v>
      </c>
      <c r="AV25">
        <v>4.7815368355150556E-5</v>
      </c>
      <c r="AW25">
        <v>0.54918569693274122</v>
      </c>
      <c r="AX25">
        <v>1.3824741365878631E-2</v>
      </c>
      <c r="AY25">
        <v>4.4145243281373883E-2</v>
      </c>
      <c r="AZ25">
        <v>0.62160691196963558</v>
      </c>
      <c r="BA25">
        <v>5.2655090582498364E-2</v>
      </c>
      <c r="BB25">
        <v>2.3524424391598166E-2</v>
      </c>
      <c r="BC25">
        <v>0.4220666222669594</v>
      </c>
      <c r="BD25">
        <v>3.3046071597631434E-2</v>
      </c>
      <c r="BE25">
        <v>2.1626908515581165E-2</v>
      </c>
      <c r="BF25">
        <v>0.52893160511681092</v>
      </c>
      <c r="BG25">
        <v>9.9069180126066785E-3</v>
      </c>
      <c r="BI25" t="s">
        <v>247</v>
      </c>
      <c r="BJ25" t="s">
        <v>409</v>
      </c>
      <c r="BK25" t="s">
        <v>410</v>
      </c>
      <c r="BL25">
        <v>0.47927594684675284</v>
      </c>
    </row>
    <row r="26" spans="2:64" x14ac:dyDescent="0.25">
      <c r="B26" t="s">
        <v>248</v>
      </c>
      <c r="C26" t="s">
        <v>31</v>
      </c>
      <c r="D26">
        <v>0</v>
      </c>
      <c r="E26">
        <v>0.16623091335939202</v>
      </c>
      <c r="F26">
        <v>0.95658901729522061</v>
      </c>
      <c r="G26">
        <v>0.8222382983087545</v>
      </c>
      <c r="H26">
        <v>9.5719078865640531E-2</v>
      </c>
      <c r="I26">
        <v>0.77398831097133591</v>
      </c>
      <c r="J26">
        <v>0.79864892832776224</v>
      </c>
      <c r="K26">
        <v>0.1649013067661822</v>
      </c>
      <c r="L26">
        <v>0.70714570917995001</v>
      </c>
      <c r="M26">
        <v>0.89837113020653037</v>
      </c>
      <c r="N26">
        <v>0.10518228960742478</v>
      </c>
      <c r="O26">
        <v>0.93022719979016366</v>
      </c>
      <c r="AU26" t="s">
        <v>248</v>
      </c>
      <c r="AV26">
        <v>0</v>
      </c>
      <c r="AW26">
        <v>0.4603691068776935</v>
      </c>
      <c r="AX26">
        <v>7.062709300102288E-3</v>
      </c>
      <c r="AY26">
        <v>4.6805066369126853E-2</v>
      </c>
      <c r="AZ26">
        <v>0.58083691484105271</v>
      </c>
      <c r="BA26">
        <v>4.7672935504363322E-2</v>
      </c>
      <c r="BB26">
        <v>2.8546693779807907E-2</v>
      </c>
      <c r="BC26">
        <v>0.41441071802681445</v>
      </c>
      <c r="BD26">
        <v>4.3052927399727527E-2</v>
      </c>
      <c r="BE26">
        <v>1.9207192683086988E-2</v>
      </c>
      <c r="BF26">
        <v>0.50515395173355326</v>
      </c>
      <c r="BG26">
        <v>9.4712182482394897E-3</v>
      </c>
      <c r="BI26" t="s">
        <v>248</v>
      </c>
      <c r="BJ26" t="s">
        <v>409</v>
      </c>
      <c r="BK26" t="s">
        <v>410</v>
      </c>
      <c r="BL26">
        <v>0.53759600131555341</v>
      </c>
    </row>
    <row r="27" spans="2:64" x14ac:dyDescent="0.25">
      <c r="B27" t="s">
        <v>249</v>
      </c>
      <c r="C27" t="s">
        <v>31</v>
      </c>
      <c r="D27">
        <v>0.98698995828475278</v>
      </c>
      <c r="E27">
        <v>0.1433772528166696</v>
      </c>
      <c r="F27">
        <v>0.95925925925925926</v>
      </c>
      <c r="G27">
        <v>0.81155629858872935</v>
      </c>
      <c r="H27">
        <v>7.4307460207073531E-2</v>
      </c>
      <c r="I27">
        <v>0.79649210267349646</v>
      </c>
      <c r="J27">
        <v>0.78444084213397636</v>
      </c>
      <c r="K27">
        <v>0.15935009691003871</v>
      </c>
      <c r="L27">
        <v>0.72340923421106085</v>
      </c>
      <c r="M27">
        <v>0.87897989019196465</v>
      </c>
      <c r="N27">
        <v>0.10260511599341346</v>
      </c>
      <c r="O27">
        <v>0.93956043956043944</v>
      </c>
      <c r="AU27" t="s">
        <v>249</v>
      </c>
      <c r="AV27">
        <v>1.2453738003835671E-3</v>
      </c>
      <c r="AW27">
        <v>0.49654963435274696</v>
      </c>
      <c r="AX27">
        <v>5.9920162387436596E-3</v>
      </c>
      <c r="AY27">
        <v>5.5347455256580622E-2</v>
      </c>
      <c r="AZ27">
        <v>0.60656154154911013</v>
      </c>
      <c r="BA27">
        <v>4.4313593507191572E-2</v>
      </c>
      <c r="BB27">
        <v>2.5261400699496041E-2</v>
      </c>
      <c r="BC27">
        <v>0.38314182159145505</v>
      </c>
      <c r="BD27">
        <v>2.9592489242807052E-2</v>
      </c>
      <c r="BE27">
        <v>2.5136319760587479E-2</v>
      </c>
      <c r="BF27">
        <v>0.50734025316252518</v>
      </c>
      <c r="BG27">
        <v>6.69212897702544E-3</v>
      </c>
      <c r="BI27" t="s">
        <v>249</v>
      </c>
      <c r="BJ27" t="s">
        <v>409</v>
      </c>
      <c r="BK27" t="s">
        <v>410</v>
      </c>
      <c r="BL27">
        <v>0.47872602788829266</v>
      </c>
    </row>
    <row r="28" spans="2:64" x14ac:dyDescent="0.25">
      <c r="B28" t="s">
        <v>250</v>
      </c>
      <c r="C28" t="s">
        <v>31</v>
      </c>
      <c r="D28">
        <v>0.94809265828100375</v>
      </c>
      <c r="E28">
        <v>0.10037230164677227</v>
      </c>
      <c r="F28">
        <v>0.94489263842296967</v>
      </c>
      <c r="G28">
        <v>0.81480055347826219</v>
      </c>
      <c r="H28">
        <v>6.7829122245420814E-2</v>
      </c>
      <c r="I28">
        <v>0.83019551236081368</v>
      </c>
      <c r="J28">
        <v>0.82783808427820427</v>
      </c>
      <c r="K28">
        <v>0.22189715217661846</v>
      </c>
      <c r="L28">
        <v>0.76696775211128987</v>
      </c>
      <c r="M28">
        <v>0.87769788374950009</v>
      </c>
      <c r="N28">
        <v>0.12064927841409404</v>
      </c>
      <c r="O28">
        <v>0.93807651181552676</v>
      </c>
      <c r="AU28" t="s">
        <v>250</v>
      </c>
      <c r="AV28">
        <v>6.2875165223072E-3</v>
      </c>
      <c r="AW28">
        <v>0.55594043566141293</v>
      </c>
      <c r="AX28">
        <v>9.0474328538489371E-3</v>
      </c>
      <c r="AY28">
        <v>5.2197939483957574E-2</v>
      </c>
      <c r="AZ28">
        <v>0.61396599164422572</v>
      </c>
      <c r="BA28">
        <v>3.9176120179013937E-2</v>
      </c>
      <c r="BB28">
        <v>1.3978178837159388E-2</v>
      </c>
      <c r="BC28">
        <v>0.29337673772078693</v>
      </c>
      <c r="BD28">
        <v>1.4580605348688222E-2</v>
      </c>
      <c r="BE28">
        <v>2.8900189107920297E-2</v>
      </c>
      <c r="BF28">
        <v>0.50132799482195756</v>
      </c>
      <c r="BG28">
        <v>6.318107349991873E-3</v>
      </c>
      <c r="BI28" t="s">
        <v>250</v>
      </c>
      <c r="BJ28" t="s">
        <v>409</v>
      </c>
      <c r="BK28" t="s">
        <v>410</v>
      </c>
      <c r="BL28">
        <v>0.49167190796124588</v>
      </c>
    </row>
    <row r="29" spans="2:64" x14ac:dyDescent="0.25">
      <c r="B29" t="s">
        <v>251</v>
      </c>
      <c r="C29" t="s">
        <v>31</v>
      </c>
      <c r="D29">
        <v>0.87802837982079251</v>
      </c>
      <c r="E29">
        <v>0.10256739036358661</v>
      </c>
      <c r="F29">
        <v>0.97183923072060385</v>
      </c>
      <c r="G29">
        <v>0.80178107682685162</v>
      </c>
      <c r="H29">
        <v>7.1328867164129464E-2</v>
      </c>
      <c r="I29">
        <v>0.83333333333333315</v>
      </c>
      <c r="J29">
        <v>0.80502830868665309</v>
      </c>
      <c r="K29">
        <v>0.22284085199967307</v>
      </c>
      <c r="L29">
        <v>0.83823752053303358</v>
      </c>
      <c r="M29">
        <v>0.86220872304429974</v>
      </c>
      <c r="N29">
        <v>0.13668269480290432</v>
      </c>
      <c r="O29">
        <v>0.95521357142557861</v>
      </c>
      <c r="AU29" t="s">
        <v>251</v>
      </c>
      <c r="AV29">
        <v>1.8596317640062091E-2</v>
      </c>
      <c r="AW29">
        <v>0.5521056608300261</v>
      </c>
      <c r="AX29">
        <v>3.8544307784710526E-3</v>
      </c>
      <c r="AY29">
        <v>5.9246253268034461E-2</v>
      </c>
      <c r="AZ29">
        <v>0.60650065744382675</v>
      </c>
      <c r="BA29">
        <v>3.5336125618196226E-2</v>
      </c>
      <c r="BB29">
        <v>1.6967982306905438E-2</v>
      </c>
      <c r="BC29">
        <v>0.2953665542834924</v>
      </c>
      <c r="BD29">
        <v>1.0845563884851032E-2</v>
      </c>
      <c r="BE29">
        <v>3.0526028616040885E-2</v>
      </c>
      <c r="BF29">
        <v>0.4805206162412059</v>
      </c>
      <c r="BG29">
        <v>3.8261626823049449E-3</v>
      </c>
      <c r="BI29" t="s">
        <v>251</v>
      </c>
      <c r="BJ29" t="s">
        <v>409</v>
      </c>
      <c r="BK29" t="s">
        <v>410</v>
      </c>
      <c r="BL29">
        <v>0.4691141729791844</v>
      </c>
    </row>
    <row r="30" spans="2:64" x14ac:dyDescent="0.25">
      <c r="B30" t="s">
        <v>252</v>
      </c>
      <c r="C30" t="s">
        <v>31</v>
      </c>
      <c r="D30">
        <v>0.90516321225251528</v>
      </c>
      <c r="E30">
        <v>0.10972579910594407</v>
      </c>
      <c r="F30">
        <v>0.97407407407407409</v>
      </c>
      <c r="G30">
        <v>0.80006735963510689</v>
      </c>
      <c r="H30">
        <v>6.8114583911899909E-2</v>
      </c>
      <c r="I30">
        <v>0.83333333333333348</v>
      </c>
      <c r="J30">
        <v>0.78447412043480025</v>
      </c>
      <c r="K30">
        <v>0.18692152503430698</v>
      </c>
      <c r="L30">
        <v>0.79665437174393905</v>
      </c>
      <c r="M30">
        <v>0.85848443932615015</v>
      </c>
      <c r="N30">
        <v>0.12346086862227088</v>
      </c>
      <c r="O30">
        <v>0.95367410896272242</v>
      </c>
      <c r="AU30" t="s">
        <v>252</v>
      </c>
      <c r="AV30">
        <v>1.2576060816728867E-2</v>
      </c>
      <c r="AW30">
        <v>0.53933506355934202</v>
      </c>
      <c r="AX30">
        <v>3.2704791932366725E-3</v>
      </c>
      <c r="AY30">
        <v>5.9401550774356972E-2</v>
      </c>
      <c r="AZ30">
        <v>0.61075492688610733</v>
      </c>
      <c r="BA30">
        <v>3.6949165376340541E-2</v>
      </c>
      <c r="BB30">
        <v>2.1693649546362992E-2</v>
      </c>
      <c r="BC30">
        <v>0.33872437960556312</v>
      </c>
      <c r="BD30">
        <v>1.4987365198831233E-2</v>
      </c>
      <c r="BE30">
        <v>3.1113517258996293E-2</v>
      </c>
      <c r="BF30">
        <v>0.48972576979078669</v>
      </c>
      <c r="BG30">
        <v>4.3385923265471691E-3</v>
      </c>
      <c r="BI30" t="s">
        <v>252</v>
      </c>
      <c r="BJ30" t="s">
        <v>409</v>
      </c>
      <c r="BK30" t="s">
        <v>410</v>
      </c>
      <c r="BL30">
        <v>0.51248089412036169</v>
      </c>
    </row>
    <row r="31" spans="2:64" x14ac:dyDescent="0.25">
      <c r="B31" t="s">
        <v>253</v>
      </c>
      <c r="C31" t="s">
        <v>31</v>
      </c>
      <c r="D31">
        <v>0.99022292828330238</v>
      </c>
      <c r="E31">
        <v>0.10662778433725244</v>
      </c>
      <c r="F31">
        <v>0.93847757399515208</v>
      </c>
      <c r="G31">
        <v>0.81965407753257313</v>
      </c>
      <c r="H31">
        <v>6.7113365396463828E-2</v>
      </c>
      <c r="I31">
        <v>0.80710212906190393</v>
      </c>
      <c r="J31">
        <v>0.81299668889434573</v>
      </c>
      <c r="K31">
        <v>0.18285933745087835</v>
      </c>
      <c r="L31">
        <v>0.73304938959599553</v>
      </c>
      <c r="M31">
        <v>0.87797183192667994</v>
      </c>
      <c r="N31">
        <v>0.11038344761303998</v>
      </c>
      <c r="O31">
        <v>0.93009119726973177</v>
      </c>
      <c r="AU31" t="s">
        <v>253</v>
      </c>
      <c r="AV31">
        <v>1.289958149772695E-3</v>
      </c>
      <c r="AW31">
        <v>0.55041282724553808</v>
      </c>
      <c r="AX31">
        <v>1.1128696622419817E-2</v>
      </c>
      <c r="AY31">
        <v>4.9451247476185629E-2</v>
      </c>
      <c r="AZ31">
        <v>0.61472747239748948</v>
      </c>
      <c r="BA31">
        <v>4.391619931063951E-2</v>
      </c>
      <c r="BB31">
        <v>1.8811743898227509E-2</v>
      </c>
      <c r="BC31">
        <v>0.35547081516607021</v>
      </c>
      <c r="BD31">
        <v>2.2400173007790996E-2</v>
      </c>
      <c r="BE31">
        <v>2.6425105052142243E-2</v>
      </c>
      <c r="BF31">
        <v>0.5158948114363362</v>
      </c>
      <c r="BG31">
        <v>7.6821448877508235E-3</v>
      </c>
      <c r="BI31" t="s">
        <v>253</v>
      </c>
      <c r="BJ31" t="s">
        <v>409</v>
      </c>
      <c r="BK31" t="s">
        <v>410</v>
      </c>
      <c r="BL31">
        <v>0.54450673812222194</v>
      </c>
    </row>
    <row r="32" spans="2:64" x14ac:dyDescent="0.25">
      <c r="B32" t="s">
        <v>254</v>
      </c>
      <c r="C32" t="s">
        <v>31</v>
      </c>
      <c r="D32">
        <v>0.97911965972181547</v>
      </c>
      <c r="E32">
        <v>0.12742390943592327</v>
      </c>
      <c r="F32">
        <v>0.95925925925925937</v>
      </c>
      <c r="G32">
        <v>0.81341446714709786</v>
      </c>
      <c r="H32">
        <v>6.5060611232366991E-2</v>
      </c>
      <c r="I32">
        <v>0.8093492244396443</v>
      </c>
      <c r="J32">
        <v>0.80116459893493708</v>
      </c>
      <c r="K32">
        <v>0.17390827684454424</v>
      </c>
      <c r="L32">
        <v>0.73378712004375768</v>
      </c>
      <c r="M32">
        <v>0.87500000000000011</v>
      </c>
      <c r="N32">
        <v>0.10637183280142948</v>
      </c>
      <c r="O32">
        <v>0.94139194139194116</v>
      </c>
      <c r="AU32" t="s">
        <v>254</v>
      </c>
      <c r="AV32">
        <v>2.4897495422237562E-3</v>
      </c>
      <c r="AW32">
        <v>0.5190078255565409</v>
      </c>
      <c r="AX32">
        <v>6.8514726659525526E-3</v>
      </c>
      <c r="AY32">
        <v>5.4009200678255917E-2</v>
      </c>
      <c r="AZ32">
        <v>0.61526109896773706</v>
      </c>
      <c r="BA32">
        <v>4.185384998375126E-2</v>
      </c>
      <c r="BB32">
        <v>2.2233748848644118E-2</v>
      </c>
      <c r="BC32">
        <v>0.36829306949775831</v>
      </c>
      <c r="BD32">
        <v>2.4422183188483076E-2</v>
      </c>
      <c r="BE32">
        <v>2.7723542968618193E-2</v>
      </c>
      <c r="BF32">
        <v>0.5103162700512357</v>
      </c>
      <c r="BG32">
        <v>6.2424069623436291E-3</v>
      </c>
      <c r="BI32" t="s">
        <v>254</v>
      </c>
      <c r="BJ32" t="s">
        <v>409</v>
      </c>
      <c r="BK32" t="s">
        <v>410</v>
      </c>
      <c r="BL32">
        <v>0.49611374022489579</v>
      </c>
    </row>
    <row r="33" spans="2:64" x14ac:dyDescent="0.25">
      <c r="B33" t="s">
        <v>255</v>
      </c>
      <c r="C33" t="s">
        <v>31</v>
      </c>
      <c r="D33">
        <v>0.96225550172093466</v>
      </c>
      <c r="E33">
        <v>0.12755625236009971</v>
      </c>
      <c r="F33">
        <v>0.98333333333333339</v>
      </c>
      <c r="G33">
        <v>0.80245666864593257</v>
      </c>
      <c r="H33">
        <v>7.9675684949995926E-2</v>
      </c>
      <c r="I33">
        <v>0.83340603112633416</v>
      </c>
      <c r="J33">
        <v>0.78019008610318796</v>
      </c>
      <c r="K33">
        <v>0.21252668782230505</v>
      </c>
      <c r="L33">
        <v>0.760973593220303</v>
      </c>
      <c r="M33">
        <v>0.86129825327550957</v>
      </c>
      <c r="N33">
        <v>0.11621859016949418</v>
      </c>
      <c r="O33">
        <v>0.95659683200542522</v>
      </c>
      <c r="AU33" t="s">
        <v>255</v>
      </c>
      <c r="AV33">
        <v>6.8375041289639709E-3</v>
      </c>
      <c r="AW33">
        <v>0.52127135696097271</v>
      </c>
      <c r="AX33">
        <v>1.8622386900772616E-3</v>
      </c>
      <c r="AY33">
        <v>6.5366562586299623E-2</v>
      </c>
      <c r="AZ33">
        <v>0.60671587071698463</v>
      </c>
      <c r="BA33">
        <v>3.8195551885341836E-2</v>
      </c>
      <c r="BB33">
        <v>1.8997102475403881E-2</v>
      </c>
      <c r="BC33">
        <v>0.29649251261724158</v>
      </c>
      <c r="BD33">
        <v>1.6356808430698623E-2</v>
      </c>
      <c r="BE33">
        <v>3.2737398248613131E-2</v>
      </c>
      <c r="BF33">
        <v>0.49480909448647986</v>
      </c>
      <c r="BG33">
        <v>4.4591045302183573E-3</v>
      </c>
      <c r="BI33" t="s">
        <v>255</v>
      </c>
      <c r="BJ33" t="s">
        <v>409</v>
      </c>
      <c r="BK33" t="s">
        <v>410</v>
      </c>
      <c r="BL33">
        <v>0.51898728273744688</v>
      </c>
    </row>
    <row r="34" spans="2:64" x14ac:dyDescent="0.25">
      <c r="B34" t="s">
        <v>256</v>
      </c>
      <c r="C34" t="s">
        <v>31</v>
      </c>
      <c r="D34">
        <v>0.93945287731815796</v>
      </c>
      <c r="E34">
        <v>0.12244778996613113</v>
      </c>
      <c r="F34">
        <v>0.97795325117697651</v>
      </c>
      <c r="G34">
        <v>0.79925201471089902</v>
      </c>
      <c r="H34">
        <v>6.7823866533349986E-2</v>
      </c>
      <c r="I34">
        <v>0.83267316504400002</v>
      </c>
      <c r="J34">
        <v>0.77307916312743719</v>
      </c>
      <c r="K34">
        <v>0.18557009028288898</v>
      </c>
      <c r="L34">
        <v>0.7690222992573198</v>
      </c>
      <c r="M34">
        <v>0.85633810330056381</v>
      </c>
      <c r="N34">
        <v>0.11125476296325489</v>
      </c>
      <c r="O34">
        <v>0.95455699417600437</v>
      </c>
      <c r="AU34" t="s">
        <v>256</v>
      </c>
      <c r="AV34">
        <v>9.3075914163180395E-3</v>
      </c>
      <c r="AW34">
        <v>0.51978343036088714</v>
      </c>
      <c r="AX34">
        <v>2.08075321270695E-3</v>
      </c>
      <c r="AY34">
        <v>6.2645682775093622E-2</v>
      </c>
      <c r="AZ34">
        <v>0.60977787712658982</v>
      </c>
      <c r="BA34">
        <v>3.7492089147512592E-2</v>
      </c>
      <c r="BB34">
        <v>2.1676155244246712E-2</v>
      </c>
      <c r="BC34">
        <v>0.33070838847640771</v>
      </c>
      <c r="BD34">
        <v>1.6071194385069452E-2</v>
      </c>
      <c r="BE34">
        <v>3.2312078213516796E-2</v>
      </c>
      <c r="BF34">
        <v>0.49680258466814875</v>
      </c>
      <c r="BG34">
        <v>4.0616859651381411E-3</v>
      </c>
      <c r="BI34" t="s">
        <v>256</v>
      </c>
      <c r="BJ34" t="s">
        <v>409</v>
      </c>
      <c r="BK34" t="s">
        <v>410</v>
      </c>
      <c r="BL34">
        <v>0.49394196424097386</v>
      </c>
    </row>
    <row r="35" spans="2:64" x14ac:dyDescent="0.25">
      <c r="B35" t="s">
        <v>257</v>
      </c>
      <c r="C35" t="s">
        <v>31</v>
      </c>
      <c r="D35">
        <v>0.875</v>
      </c>
      <c r="E35">
        <v>0.11725514036576368</v>
      </c>
      <c r="F35">
        <v>0</v>
      </c>
      <c r="G35">
        <v>0.77666826205640271</v>
      </c>
      <c r="H35">
        <v>0.1049056112788249</v>
      </c>
      <c r="I35">
        <v>0.87450637737781978</v>
      </c>
      <c r="J35">
        <v>0.77015543660257046</v>
      </c>
      <c r="K35">
        <v>0.17592686907787203</v>
      </c>
      <c r="L35">
        <v>0.83335956217116858</v>
      </c>
      <c r="M35">
        <v>0.81256515346937586</v>
      </c>
      <c r="N35">
        <v>0.17620893131714868</v>
      </c>
      <c r="O35">
        <v>0.98534798534798529</v>
      </c>
      <c r="AU35" t="s">
        <v>257</v>
      </c>
      <c r="AV35">
        <v>3.4060968670988623E-2</v>
      </c>
      <c r="AW35">
        <v>0.51778214839179837</v>
      </c>
      <c r="AX35">
        <v>0</v>
      </c>
      <c r="AY35">
        <v>7.085994146108375E-2</v>
      </c>
      <c r="AZ35">
        <v>0.56433543903454486</v>
      </c>
      <c r="BA35">
        <v>1.6672137678643381E-2</v>
      </c>
      <c r="BB35">
        <v>2.9273830385789176E-2</v>
      </c>
      <c r="BC35">
        <v>0.34566843751901183</v>
      </c>
      <c r="BD35">
        <v>9.925028498644968E-3</v>
      </c>
      <c r="BE35">
        <v>4.0829393629546427E-2</v>
      </c>
      <c r="BF35">
        <v>0.43267833852801368</v>
      </c>
      <c r="BG35">
        <v>3.5580774030478409E-4</v>
      </c>
      <c r="BI35" t="s">
        <v>257</v>
      </c>
      <c r="BJ35" t="s">
        <v>409</v>
      </c>
      <c r="BK35" t="s">
        <v>410</v>
      </c>
      <c r="BL35">
        <v>0.55351368711511273</v>
      </c>
    </row>
    <row r="36" spans="2:64" x14ac:dyDescent="0.25">
      <c r="B36" t="s">
        <v>258</v>
      </c>
      <c r="C36" t="s">
        <v>31</v>
      </c>
      <c r="D36">
        <v>0.87625410214459376</v>
      </c>
      <c r="E36">
        <v>0.12534108529749871</v>
      </c>
      <c r="F36">
        <v>0</v>
      </c>
      <c r="G36">
        <v>0.79011115938444088</v>
      </c>
      <c r="H36">
        <v>7.6163115626362771E-2</v>
      </c>
      <c r="I36">
        <v>0.83882984542610162</v>
      </c>
      <c r="J36">
        <v>0.77975709611015087</v>
      </c>
      <c r="K36">
        <v>0.19862808312697591</v>
      </c>
      <c r="L36">
        <v>0.83738141574032321</v>
      </c>
      <c r="M36">
        <v>0.8374982360223534</v>
      </c>
      <c r="N36">
        <v>0.14079780779096351</v>
      </c>
      <c r="O36">
        <v>0.96886446886446864</v>
      </c>
      <c r="AU36" t="s">
        <v>258</v>
      </c>
      <c r="AV36">
        <v>2.3734439889503071E-2</v>
      </c>
      <c r="AW36">
        <v>0.51698204339783227</v>
      </c>
      <c r="AX36">
        <v>0</v>
      </c>
      <c r="AY36">
        <v>6.8292463639299195E-2</v>
      </c>
      <c r="AZ36">
        <v>0.60241645562058466</v>
      </c>
      <c r="BA36">
        <v>3.0554685510135189E-2</v>
      </c>
      <c r="BB36">
        <v>2.5574044118548796E-2</v>
      </c>
      <c r="BC36">
        <v>0.33284684768747519</v>
      </c>
      <c r="BD36">
        <v>1.2369815188042466E-2</v>
      </c>
      <c r="BE36">
        <v>3.6020727350830332E-2</v>
      </c>
      <c r="BF36">
        <v>0.46586920621345451</v>
      </c>
      <c r="BG36">
        <v>2.4883408706491876E-3</v>
      </c>
      <c r="BI36" t="s">
        <v>258</v>
      </c>
      <c r="BJ36" t="s">
        <v>409</v>
      </c>
      <c r="BK36" t="s">
        <v>410</v>
      </c>
      <c r="BL36">
        <v>0.49341913641919521</v>
      </c>
    </row>
    <row r="37" spans="2:64" x14ac:dyDescent="0.25">
      <c r="B37" t="s">
        <v>259</v>
      </c>
      <c r="C37" t="s">
        <v>31</v>
      </c>
      <c r="D37">
        <v>0.87523691827962569</v>
      </c>
      <c r="E37">
        <v>0.10083351685063195</v>
      </c>
      <c r="F37">
        <v>0.9981481481481479</v>
      </c>
      <c r="G37">
        <v>0.79129630673180051</v>
      </c>
      <c r="H37">
        <v>7.4634944978741305E-2</v>
      </c>
      <c r="I37">
        <v>0.83382262976412924</v>
      </c>
      <c r="J37">
        <v>0.78803210481116348</v>
      </c>
      <c r="K37">
        <v>0.19761033950045309</v>
      </c>
      <c r="L37">
        <v>0.83900428670709992</v>
      </c>
      <c r="M37">
        <v>0.83672786717155023</v>
      </c>
      <c r="N37">
        <v>0.15507346275472564</v>
      </c>
      <c r="O37">
        <v>0.97069597069597069</v>
      </c>
      <c r="AU37" t="s">
        <v>259</v>
      </c>
      <c r="AV37">
        <v>3.3123970296964247E-2</v>
      </c>
      <c r="AW37">
        <v>0.55229898591576621</v>
      </c>
      <c r="AX37">
        <v>9.953239463046156E-6</v>
      </c>
      <c r="AY37">
        <v>6.6852708672049163E-2</v>
      </c>
      <c r="AZ37">
        <v>0.60299959197505226</v>
      </c>
      <c r="BA37">
        <v>2.8852489936832055E-2</v>
      </c>
      <c r="BB37">
        <v>2.5949644978451182E-2</v>
      </c>
      <c r="BC37">
        <v>0.34097317599229249</v>
      </c>
      <c r="BD37">
        <v>1.1052810430436417E-2</v>
      </c>
      <c r="BE37">
        <v>3.3862620379387934E-2</v>
      </c>
      <c r="BF37">
        <v>0.45691716877505423</v>
      </c>
      <c r="BG37">
        <v>2.3153805055115308E-3</v>
      </c>
      <c r="BI37" t="s">
        <v>259</v>
      </c>
      <c r="BJ37" t="s">
        <v>409</v>
      </c>
      <c r="BK37" t="s">
        <v>410</v>
      </c>
      <c r="BL37">
        <v>0.51860024761575174</v>
      </c>
    </row>
    <row r="38" spans="2:64" x14ac:dyDescent="0.25">
      <c r="B38" t="s">
        <v>260</v>
      </c>
      <c r="C38" t="s">
        <v>31</v>
      </c>
      <c r="D38">
        <v>0.87499999999999989</v>
      </c>
      <c r="E38">
        <v>0.1074703970199561</v>
      </c>
      <c r="F38">
        <v>0</v>
      </c>
      <c r="G38">
        <v>0.78446241637408376</v>
      </c>
      <c r="H38">
        <v>8.2721039351334791E-2</v>
      </c>
      <c r="I38">
        <v>0.86163943545636801</v>
      </c>
      <c r="J38">
        <v>0.77255843616931108</v>
      </c>
      <c r="K38">
        <v>0.16962013759127259</v>
      </c>
      <c r="L38">
        <v>0.83708299929436503</v>
      </c>
      <c r="M38">
        <v>0.82572585569340029</v>
      </c>
      <c r="N38">
        <v>0.17093119521459688</v>
      </c>
      <c r="O38">
        <v>0.97985347985347981</v>
      </c>
      <c r="AU38" t="s">
        <v>260</v>
      </c>
      <c r="AV38">
        <v>3.3741771792491104E-2</v>
      </c>
      <c r="AW38">
        <v>0.5421015423606621</v>
      </c>
      <c r="AX38">
        <v>0</v>
      </c>
      <c r="AY38">
        <v>7.1168093852126774E-2</v>
      </c>
      <c r="AZ38">
        <v>0.59467208411221995</v>
      </c>
      <c r="BA38">
        <v>2.2074605725484274E-2</v>
      </c>
      <c r="BB38">
        <v>3.0822042130751015E-2</v>
      </c>
      <c r="BC38">
        <v>0.35740192131562387</v>
      </c>
      <c r="BD38">
        <v>1.0788186241446807E-2</v>
      </c>
      <c r="BE38">
        <v>3.6501416920573501E-2</v>
      </c>
      <c r="BF38">
        <v>0.44126849869333118</v>
      </c>
      <c r="BG38">
        <v>1.0402759129125889E-3</v>
      </c>
      <c r="BI38" t="s">
        <v>260</v>
      </c>
      <c r="BJ38" t="s">
        <v>409</v>
      </c>
      <c r="BK38" t="s">
        <v>410</v>
      </c>
      <c r="BL38">
        <v>0.56732619488832314</v>
      </c>
    </row>
    <row r="39" spans="2:64" x14ac:dyDescent="0.25">
      <c r="B39" t="s">
        <v>261</v>
      </c>
      <c r="C39" t="s">
        <v>31</v>
      </c>
      <c r="D39">
        <v>0.875</v>
      </c>
      <c r="E39">
        <v>9.9571702220939307E-2</v>
      </c>
      <c r="F39">
        <v>0</v>
      </c>
      <c r="G39">
        <v>0.77595300456831084</v>
      </c>
      <c r="H39">
        <v>7.6192085148962627E-2</v>
      </c>
      <c r="I39">
        <v>0.88579963588765476</v>
      </c>
      <c r="J39">
        <v>0.75422485713627918</v>
      </c>
      <c r="K39">
        <v>0.11795709290660039</v>
      </c>
      <c r="L39">
        <v>0.83570324080798808</v>
      </c>
      <c r="M39">
        <v>0.79837931516399874</v>
      </c>
      <c r="N39">
        <v>0.11328709496078748</v>
      </c>
      <c r="O39">
        <v>0.98901098901098894</v>
      </c>
      <c r="AU39" t="s">
        <v>261</v>
      </c>
      <c r="AV39">
        <v>3.8943318363375452E-2</v>
      </c>
      <c r="AW39">
        <v>0.56459518072837744</v>
      </c>
      <c r="AX39">
        <v>0</v>
      </c>
      <c r="AY39">
        <v>7.8842060257467317E-2</v>
      </c>
      <c r="AZ39">
        <v>0.610715548076746</v>
      </c>
      <c r="BA39">
        <v>1.646707845075809E-2</v>
      </c>
      <c r="BB39">
        <v>5.3398024656669776E-2</v>
      </c>
      <c r="BC39">
        <v>0.48222560814131887</v>
      </c>
      <c r="BD39">
        <v>1.5075823046462572E-2</v>
      </c>
      <c r="BE39">
        <v>5.7876558667749253E-2</v>
      </c>
      <c r="BF39">
        <v>0.52913500447179984</v>
      </c>
      <c r="BG39">
        <v>3.1314720058687345E-4</v>
      </c>
      <c r="BI39" t="s">
        <v>261</v>
      </c>
      <c r="BJ39" t="s">
        <v>409</v>
      </c>
      <c r="BK39" t="s">
        <v>410</v>
      </c>
      <c r="BL39">
        <v>0.56459518072837744</v>
      </c>
    </row>
    <row r="40" spans="2:64" x14ac:dyDescent="0.25">
      <c r="B40" t="s">
        <v>262</v>
      </c>
      <c r="C40" t="s">
        <v>31</v>
      </c>
      <c r="D40">
        <v>0.87500000000000022</v>
      </c>
      <c r="E40">
        <v>8.4611621825895683E-2</v>
      </c>
      <c r="F40">
        <v>0</v>
      </c>
      <c r="G40">
        <v>0.77838589644922751</v>
      </c>
      <c r="H40">
        <v>7.4618738267911155E-2</v>
      </c>
      <c r="I40">
        <v>0.87318840579710144</v>
      </c>
      <c r="J40">
        <v>0.7610682474957482</v>
      </c>
      <c r="K40">
        <v>0.15920091158930588</v>
      </c>
      <c r="L40">
        <v>0.83532762452760689</v>
      </c>
      <c r="M40">
        <v>0.79640262451776878</v>
      </c>
      <c r="N40">
        <v>0.13012164769798956</v>
      </c>
      <c r="O40">
        <v>0.98717948717948723</v>
      </c>
      <c r="AU40" t="s">
        <v>262</v>
      </c>
      <c r="AV40">
        <v>4.0664629010339945E-2</v>
      </c>
      <c r="AW40">
        <v>0.58937855338850553</v>
      </c>
      <c r="AX40">
        <v>0</v>
      </c>
      <c r="AY40">
        <v>7.2675090750204924E-2</v>
      </c>
      <c r="AZ40">
        <v>0.61611720580138563</v>
      </c>
      <c r="BA40">
        <v>1.8026573832538723E-2</v>
      </c>
      <c r="BB40">
        <v>3.5454391396713553E-2</v>
      </c>
      <c r="BC40">
        <v>0.3742300579219236</v>
      </c>
      <c r="BD40">
        <v>9.6457285827370124E-3</v>
      </c>
      <c r="BE40">
        <v>5.0502683193783003E-2</v>
      </c>
      <c r="BF40">
        <v>0.51434246191108124</v>
      </c>
      <c r="BG40">
        <v>2.2822086622459304E-4</v>
      </c>
      <c r="BI40" t="s">
        <v>262</v>
      </c>
      <c r="BJ40" t="s">
        <v>409</v>
      </c>
      <c r="BK40" t="s">
        <v>410</v>
      </c>
      <c r="BL40">
        <v>0.5724284136086556</v>
      </c>
    </row>
    <row r="41" spans="2:64" x14ac:dyDescent="0.25">
      <c r="B41" t="s">
        <v>263</v>
      </c>
      <c r="C41" t="s">
        <v>31</v>
      </c>
      <c r="D41">
        <v>0.87500000000000011</v>
      </c>
      <c r="E41">
        <v>8.089405934946936E-2</v>
      </c>
      <c r="F41">
        <v>0</v>
      </c>
      <c r="G41">
        <v>0.77489735198040866</v>
      </c>
      <c r="H41">
        <v>7.621236736920145E-2</v>
      </c>
      <c r="I41">
        <v>0.89015734280352288</v>
      </c>
      <c r="J41">
        <v>0.77128512994329113</v>
      </c>
      <c r="K41">
        <v>0.20223681822198156</v>
      </c>
      <c r="L41">
        <v>0.84708602676042577</v>
      </c>
      <c r="M41">
        <v>0.79449496871761305</v>
      </c>
      <c r="N41">
        <v>0.15721909487794275</v>
      </c>
      <c r="O41">
        <v>0.9926739926739927</v>
      </c>
      <c r="AU41" t="s">
        <v>263</v>
      </c>
      <c r="AV41">
        <v>4.1189966876296384E-2</v>
      </c>
      <c r="AW41">
        <v>0.59071383711422021</v>
      </c>
      <c r="AX41">
        <v>0</v>
      </c>
      <c r="AY41">
        <v>7.038960624300207E-2</v>
      </c>
      <c r="AZ41">
        <v>0.61227637023551784</v>
      </c>
      <c r="BA41">
        <v>1.6386613355410407E-2</v>
      </c>
      <c r="BB41">
        <v>2.802489787522644E-2</v>
      </c>
      <c r="BC41">
        <v>0.31871364228993287</v>
      </c>
      <c r="BD41">
        <v>6.4006985786978785E-3</v>
      </c>
      <c r="BE41">
        <v>4.7360319979386917E-2</v>
      </c>
      <c r="BF41">
        <v>0.48400930599358899</v>
      </c>
      <c r="BG41">
        <v>3.9993376156149944E-5</v>
      </c>
      <c r="BI41" t="s">
        <v>263</v>
      </c>
      <c r="BJ41" t="s">
        <v>409</v>
      </c>
      <c r="BK41" t="s">
        <v>410</v>
      </c>
      <c r="BL41">
        <v>0.57916860494457834</v>
      </c>
    </row>
    <row r="42" spans="2:64" x14ac:dyDescent="0.25">
      <c r="B42" t="s">
        <v>264</v>
      </c>
      <c r="C42" t="s">
        <v>31</v>
      </c>
      <c r="D42">
        <v>0</v>
      </c>
      <c r="E42">
        <v>0.10899861865352974</v>
      </c>
      <c r="F42">
        <v>0.87409972019309856</v>
      </c>
      <c r="G42">
        <v>0.88124599416836658</v>
      </c>
      <c r="H42">
        <v>0.1177090255060164</v>
      </c>
      <c r="I42">
        <v>0.78292948893547687</v>
      </c>
      <c r="J42">
        <v>0.86101944673741582</v>
      </c>
      <c r="K42">
        <v>0.17542161837122694</v>
      </c>
      <c r="L42">
        <v>0.71982190383096467</v>
      </c>
      <c r="M42">
        <v>0.89208964834566828</v>
      </c>
      <c r="N42">
        <v>0.19597044913250788</v>
      </c>
      <c r="O42">
        <v>0.89404050427973214</v>
      </c>
      <c r="AU42" t="s">
        <v>264</v>
      </c>
      <c r="AV42">
        <v>0</v>
      </c>
      <c r="AW42">
        <v>0.53588467536218021</v>
      </c>
      <c r="AX42">
        <v>2.64062205034227E-2</v>
      </c>
      <c r="AY42">
        <v>2.0954589311339769E-2</v>
      </c>
      <c r="AZ42">
        <v>0.53336722898272593</v>
      </c>
      <c r="BA42">
        <v>4.1318846697361668E-2</v>
      </c>
      <c r="BB42">
        <v>1.116198848022241E-2</v>
      </c>
      <c r="BC42">
        <v>0.34698996731704979</v>
      </c>
      <c r="BD42">
        <v>2.769311514337729E-2</v>
      </c>
      <c r="BE42">
        <v>1.0735041916118271E-2</v>
      </c>
      <c r="BF42">
        <v>0.39795923064972832</v>
      </c>
      <c r="BG42">
        <v>7.3702180446682279E-3</v>
      </c>
      <c r="BI42" t="s">
        <v>264</v>
      </c>
      <c r="BJ42" t="s">
        <v>409</v>
      </c>
      <c r="BK42" t="s">
        <v>410</v>
      </c>
      <c r="BL42">
        <v>0.51357753698637876</v>
      </c>
    </row>
    <row r="43" spans="2:64" x14ac:dyDescent="0.25">
      <c r="B43" t="s">
        <v>265</v>
      </c>
      <c r="C43" t="s">
        <v>31</v>
      </c>
      <c r="D43">
        <v>0</v>
      </c>
      <c r="E43">
        <v>0.11029865240304991</v>
      </c>
      <c r="F43">
        <v>0.90347809381700295</v>
      </c>
      <c r="G43">
        <v>0.87135206020164391</v>
      </c>
      <c r="H43">
        <v>0.14051274131576424</v>
      </c>
      <c r="I43">
        <v>0.76745865041312089</v>
      </c>
      <c r="J43">
        <v>0.84180781915033398</v>
      </c>
      <c r="K43">
        <v>0.17919002059739655</v>
      </c>
      <c r="L43">
        <v>0.70045127267271523</v>
      </c>
      <c r="M43">
        <v>0.89966520641119851</v>
      </c>
      <c r="N43">
        <v>0.1580291404113208</v>
      </c>
      <c r="O43">
        <v>0.90350342904062553</v>
      </c>
      <c r="AU43" t="s">
        <v>265</v>
      </c>
      <c r="AV43">
        <v>0</v>
      </c>
      <c r="AW43">
        <v>0.52258217635919579</v>
      </c>
      <c r="AX43">
        <v>2.2931561944163681E-2</v>
      </c>
      <c r="AY43">
        <v>2.1518278304340228E-2</v>
      </c>
      <c r="AZ43">
        <v>0.50568006680474409</v>
      </c>
      <c r="BA43">
        <v>4.8382105735375346E-2</v>
      </c>
      <c r="BB43">
        <v>9.3689431308385321E-3</v>
      </c>
      <c r="BC43">
        <v>0.3289501814108971</v>
      </c>
      <c r="BD43">
        <v>2.8340970126296959E-2</v>
      </c>
      <c r="BE43">
        <v>1.0879849735961403E-2</v>
      </c>
      <c r="BF43">
        <v>0.43295881935807934</v>
      </c>
      <c r="BG43">
        <v>1.0892034805881306E-2</v>
      </c>
      <c r="BI43" t="s">
        <v>265</v>
      </c>
      <c r="BJ43" t="s">
        <v>409</v>
      </c>
      <c r="BK43" t="s">
        <v>410</v>
      </c>
      <c r="BL43">
        <v>0.48789432661309384</v>
      </c>
    </row>
    <row r="44" spans="2:64" x14ac:dyDescent="0.25">
      <c r="B44" t="s">
        <v>266</v>
      </c>
      <c r="C44" t="s">
        <v>31</v>
      </c>
      <c r="D44">
        <v>0</v>
      </c>
      <c r="E44">
        <v>0.10412412021192738</v>
      </c>
      <c r="F44">
        <v>0.89879117116463092</v>
      </c>
      <c r="G44">
        <v>0.87644202500553581</v>
      </c>
      <c r="H44">
        <v>0.14268021125719266</v>
      </c>
      <c r="I44">
        <v>0.77001636131314066</v>
      </c>
      <c r="J44">
        <v>0.84978260707398412</v>
      </c>
      <c r="K44">
        <v>0.16838515596640302</v>
      </c>
      <c r="L44">
        <v>0.7074431426329445</v>
      </c>
      <c r="M44">
        <v>0.89362696880741055</v>
      </c>
      <c r="N44">
        <v>0.15890128152918381</v>
      </c>
      <c r="O44">
        <v>0.90009952967903317</v>
      </c>
      <c r="AU44" t="s">
        <v>266</v>
      </c>
      <c r="AV44">
        <v>0</v>
      </c>
      <c r="AW44">
        <v>0.53616656706682086</v>
      </c>
      <c r="AX44">
        <v>2.4461863542921666E-2</v>
      </c>
      <c r="AY44">
        <v>2.0840444252893175E-2</v>
      </c>
      <c r="AZ44">
        <v>0.51845477575011889</v>
      </c>
      <c r="BA44">
        <v>5.0637359428825177E-2</v>
      </c>
      <c r="BB44">
        <v>1.1116558562960977E-2</v>
      </c>
      <c r="BC44">
        <v>0.3502860522160704</v>
      </c>
      <c r="BD44">
        <v>2.9690947703508754E-2</v>
      </c>
      <c r="BE44">
        <v>1.0921954794246937E-2</v>
      </c>
      <c r="BF44">
        <v>0.43078251822745128</v>
      </c>
      <c r="BG44">
        <v>9.6222448101710833E-3</v>
      </c>
      <c r="BI44" t="s">
        <v>266</v>
      </c>
      <c r="BJ44" t="s">
        <v>409</v>
      </c>
      <c r="BK44" t="s">
        <v>410</v>
      </c>
      <c r="BL44">
        <v>0.50413085472682728</v>
      </c>
    </row>
    <row r="45" spans="2:64" x14ac:dyDescent="0.25">
      <c r="B45" t="s">
        <v>267</v>
      </c>
      <c r="C45" t="s">
        <v>31</v>
      </c>
      <c r="D45">
        <v>0</v>
      </c>
      <c r="E45">
        <v>0.10670468980812468</v>
      </c>
      <c r="F45">
        <v>0.89142549420849482</v>
      </c>
      <c r="G45">
        <v>0.88130784545354468</v>
      </c>
      <c r="H45">
        <v>0.12163191382339091</v>
      </c>
      <c r="I45">
        <v>0.77041222041680579</v>
      </c>
      <c r="J45">
        <v>0.85595794690896776</v>
      </c>
      <c r="K45">
        <v>0.17735022368600076</v>
      </c>
      <c r="L45">
        <v>0.71143695179153688</v>
      </c>
      <c r="M45">
        <v>0.89159379604525946</v>
      </c>
      <c r="N45">
        <v>0.17029277273442417</v>
      </c>
      <c r="O45">
        <v>0.89766702952678146</v>
      </c>
      <c r="AU45" t="s">
        <v>267</v>
      </c>
      <c r="AV45">
        <v>0</v>
      </c>
      <c r="AW45">
        <v>0.54031025868516436</v>
      </c>
      <c r="AX45">
        <v>2.5897268972758465E-2</v>
      </c>
      <c r="AY45">
        <v>2.1175091736348895E-2</v>
      </c>
      <c r="AZ45">
        <v>0.53765323769721984</v>
      </c>
      <c r="BA45">
        <v>4.760963586371246E-2</v>
      </c>
      <c r="BB45">
        <v>1.0745977022033514E-2</v>
      </c>
      <c r="BC45">
        <v>0.34805126387951352</v>
      </c>
      <c r="BD45">
        <v>2.7512251986628558E-2</v>
      </c>
      <c r="BE45">
        <v>1.0230085389201969E-2</v>
      </c>
      <c r="BF45">
        <v>0.41970084316854006</v>
      </c>
      <c r="BG45">
        <v>8.211943612225223E-3</v>
      </c>
      <c r="BI45" t="s">
        <v>267</v>
      </c>
      <c r="BJ45" t="s">
        <v>409</v>
      </c>
      <c r="BK45" t="s">
        <v>410</v>
      </c>
      <c r="BL45">
        <v>0.52723768805711135</v>
      </c>
    </row>
    <row r="46" spans="2:64" x14ac:dyDescent="0.25">
      <c r="B46" t="s">
        <v>268</v>
      </c>
      <c r="C46" t="s">
        <v>31</v>
      </c>
      <c r="D46">
        <v>0.93104312459821548</v>
      </c>
      <c r="E46">
        <v>9.9879372988777873E-2</v>
      </c>
      <c r="F46">
        <v>0.96105460940134524</v>
      </c>
      <c r="G46">
        <v>0.8211562291621366</v>
      </c>
      <c r="H46">
        <v>0.14671623025779332</v>
      </c>
      <c r="I46">
        <v>0.83684219551611028</v>
      </c>
      <c r="J46">
        <v>0.792231648191696</v>
      </c>
      <c r="K46">
        <v>0.17946541987542355</v>
      </c>
      <c r="L46">
        <v>0.8293913180957303</v>
      </c>
      <c r="M46">
        <v>0.877224490242826</v>
      </c>
      <c r="N46">
        <v>0.18995910996626603</v>
      </c>
      <c r="O46">
        <v>0.95227609642265598</v>
      </c>
      <c r="AU46" t="s">
        <v>268</v>
      </c>
      <c r="AV46">
        <v>1.3846794161218893E-2</v>
      </c>
      <c r="AW46">
        <v>0.53575542971779355</v>
      </c>
      <c r="AX46">
        <v>6.8251414875035782E-3</v>
      </c>
      <c r="AY46">
        <v>3.6978888514030965E-2</v>
      </c>
      <c r="AZ46">
        <v>0.4927462592893429</v>
      </c>
      <c r="BA46">
        <v>2.9923907604396911E-2</v>
      </c>
      <c r="BB46">
        <v>2.0179824161123561E-2</v>
      </c>
      <c r="BC46">
        <v>0.325625887043757</v>
      </c>
      <c r="BD46">
        <v>1.3800567265840237E-2</v>
      </c>
      <c r="BE46">
        <v>2.0961460053305743E-2</v>
      </c>
      <c r="BF46">
        <v>0.40371593429201258</v>
      </c>
      <c r="BG46">
        <v>3.3836015979893581E-3</v>
      </c>
      <c r="BI46" t="s">
        <v>268</v>
      </c>
      <c r="BJ46" t="s">
        <v>409</v>
      </c>
      <c r="BK46" t="s">
        <v>410</v>
      </c>
      <c r="BL46">
        <v>0.46695076764456606</v>
      </c>
    </row>
    <row r="47" spans="2:64" x14ac:dyDescent="0.25">
      <c r="B47" t="s">
        <v>269</v>
      </c>
      <c r="C47" t="s">
        <v>31</v>
      </c>
      <c r="D47">
        <v>0.93221352868795504</v>
      </c>
      <c r="E47">
        <v>0.11437251904444376</v>
      </c>
      <c r="F47">
        <v>0.97531054453511989</v>
      </c>
      <c r="G47">
        <v>0.81369628049011422</v>
      </c>
      <c r="H47">
        <v>0.14623048249053441</v>
      </c>
      <c r="I47">
        <v>0.83543681369328116</v>
      </c>
      <c r="J47">
        <v>0.78193115114558798</v>
      </c>
      <c r="K47">
        <v>0.18649633221198333</v>
      </c>
      <c r="L47">
        <v>0.80183424275739279</v>
      </c>
      <c r="M47">
        <v>0.87519274010459558</v>
      </c>
      <c r="N47">
        <v>0.17535595039883869</v>
      </c>
      <c r="O47">
        <v>0.95238095238095222</v>
      </c>
      <c r="AU47" t="s">
        <v>269</v>
      </c>
      <c r="AV47">
        <v>1.0960170123011233E-2</v>
      </c>
      <c r="AW47">
        <v>0.51031848164695592</v>
      </c>
      <c r="AX47">
        <v>4.9009898995394808E-3</v>
      </c>
      <c r="AY47">
        <v>3.428067674471829E-2</v>
      </c>
      <c r="AZ47">
        <v>0.46319040137989032</v>
      </c>
      <c r="BA47">
        <v>2.5845790680980307E-2</v>
      </c>
      <c r="BB47">
        <v>2.1755579027860673E-2</v>
      </c>
      <c r="BC47">
        <v>0.33193221468815337</v>
      </c>
      <c r="BD47">
        <v>1.4572764587015383E-2</v>
      </c>
      <c r="BE47">
        <v>2.341709551855151E-2</v>
      </c>
      <c r="BF47">
        <v>0.4189030659846425</v>
      </c>
      <c r="BG47">
        <v>2.7265697601061506E-3</v>
      </c>
      <c r="BI47" t="s">
        <v>269</v>
      </c>
      <c r="BJ47" t="s">
        <v>409</v>
      </c>
      <c r="BK47" t="s">
        <v>410</v>
      </c>
      <c r="BL47">
        <v>0.49816375232836896</v>
      </c>
    </row>
    <row r="48" spans="2:64" x14ac:dyDescent="0.25">
      <c r="B48" t="s">
        <v>270</v>
      </c>
      <c r="C48" t="s">
        <v>31</v>
      </c>
      <c r="D48">
        <v>0.96666093390111718</v>
      </c>
      <c r="E48">
        <v>0.11151802019502642</v>
      </c>
      <c r="F48">
        <v>0.95185185185185195</v>
      </c>
      <c r="G48">
        <v>0.83228006637920349</v>
      </c>
      <c r="H48">
        <v>0.15457054718289531</v>
      </c>
      <c r="I48">
        <v>0.835992471769608</v>
      </c>
      <c r="J48">
        <v>0.79691526961022729</v>
      </c>
      <c r="K48">
        <v>0.17553286367832616</v>
      </c>
      <c r="L48">
        <v>0.75729757924515784</v>
      </c>
      <c r="M48">
        <v>0.87969672229790985</v>
      </c>
      <c r="N48">
        <v>0.16476906899557489</v>
      </c>
      <c r="O48">
        <v>0.94227645024135698</v>
      </c>
      <c r="AU48" t="s">
        <v>270</v>
      </c>
      <c r="AV48">
        <v>5.7371989473273058E-3</v>
      </c>
      <c r="AW48">
        <v>0.51646926583104991</v>
      </c>
      <c r="AX48">
        <v>9.2233003402298255E-3</v>
      </c>
      <c r="AY48">
        <v>2.7688343544350746E-2</v>
      </c>
      <c r="AZ48">
        <v>0.46203695412771761</v>
      </c>
      <c r="BA48">
        <v>2.7316499206842346E-2</v>
      </c>
      <c r="BB48">
        <v>1.7534478955503644E-2</v>
      </c>
      <c r="BC48">
        <v>0.33666218748205468</v>
      </c>
      <c r="BD48">
        <v>1.89095254600611E-2</v>
      </c>
      <c r="BE48">
        <v>2.0216064032723195E-2</v>
      </c>
      <c r="BF48">
        <v>0.42518102327182988</v>
      </c>
      <c r="BG48">
        <v>4.404174859821636E-3</v>
      </c>
      <c r="BI48" t="s">
        <v>270</v>
      </c>
      <c r="BJ48" t="s">
        <v>409</v>
      </c>
      <c r="BK48" t="s">
        <v>410</v>
      </c>
      <c r="BL48">
        <v>0.49176691372410436</v>
      </c>
    </row>
    <row r="49" spans="2:64" x14ac:dyDescent="0.25">
      <c r="B49" t="s">
        <v>271</v>
      </c>
      <c r="C49" t="s">
        <v>31</v>
      </c>
      <c r="D49">
        <v>0.94975361216331622</v>
      </c>
      <c r="E49">
        <v>9.8128563178287262E-2</v>
      </c>
      <c r="F49">
        <v>0.94853354839485993</v>
      </c>
      <c r="G49">
        <v>0.83737075799659866</v>
      </c>
      <c r="H49">
        <v>0.1517569070657446</v>
      </c>
      <c r="I49">
        <v>0.84351514847274145</v>
      </c>
      <c r="J49">
        <v>0.82185250299527846</v>
      </c>
      <c r="K49">
        <v>0.22058116404437647</v>
      </c>
      <c r="L49">
        <v>0.8211350542121737</v>
      </c>
      <c r="M49">
        <v>0.87781946799104005</v>
      </c>
      <c r="N49">
        <v>0.20875246725627075</v>
      </c>
      <c r="O49">
        <v>0.94889295658086703</v>
      </c>
      <c r="AU49" t="s">
        <v>271</v>
      </c>
      <c r="AV49">
        <v>8.7311225282771035E-3</v>
      </c>
      <c r="AW49">
        <v>0.56186673307858626</v>
      </c>
      <c r="AX49">
        <v>1.2304683642884022E-2</v>
      </c>
      <c r="AY49">
        <v>3.3425489649359125E-2</v>
      </c>
      <c r="AZ49">
        <v>0.50347168922792063</v>
      </c>
      <c r="BA49">
        <v>3.3234279027862884E-2</v>
      </c>
      <c r="BB49">
        <v>1.9067937812557102E-2</v>
      </c>
      <c r="BC49">
        <v>0.31832682282518771</v>
      </c>
      <c r="BD49">
        <v>1.0268969300093085E-2</v>
      </c>
      <c r="BE49">
        <v>1.6308556535957485E-2</v>
      </c>
      <c r="BF49">
        <v>0.40238204006382922</v>
      </c>
      <c r="BG49">
        <v>2.3823122247530969E-3</v>
      </c>
      <c r="BI49" t="s">
        <v>271</v>
      </c>
      <c r="BJ49" t="s">
        <v>409</v>
      </c>
      <c r="BK49" t="s">
        <v>410</v>
      </c>
      <c r="BL49">
        <v>0.49761073486426644</v>
      </c>
    </row>
    <row r="50" spans="2:64" x14ac:dyDescent="0.25">
      <c r="B50" t="s">
        <v>272</v>
      </c>
      <c r="C50" t="s">
        <v>31</v>
      </c>
      <c r="D50">
        <v>0.96981349160296371</v>
      </c>
      <c r="E50">
        <v>0.10680589620178525</v>
      </c>
      <c r="F50">
        <v>0.93607531940806665</v>
      </c>
      <c r="G50">
        <v>0.84189645669520419</v>
      </c>
      <c r="H50">
        <v>0.17447119355902621</v>
      </c>
      <c r="I50">
        <v>0.83974492911605769</v>
      </c>
      <c r="J50">
        <v>0.81589333704009703</v>
      </c>
      <c r="K50">
        <v>0.18934147602874726</v>
      </c>
      <c r="L50">
        <v>0.75449806059015534</v>
      </c>
      <c r="M50">
        <v>0.87992567355897344</v>
      </c>
      <c r="N50">
        <v>0.18763512158758433</v>
      </c>
      <c r="O50">
        <v>0.93862180366952352</v>
      </c>
      <c r="AU50" t="s">
        <v>272</v>
      </c>
      <c r="AV50">
        <v>4.6646592665209536E-3</v>
      </c>
      <c r="AW50">
        <v>0.53608819008121078</v>
      </c>
      <c r="AX50">
        <v>1.3374386373830271E-2</v>
      </c>
      <c r="AY50">
        <v>2.2656781420143355E-2</v>
      </c>
      <c r="AZ50">
        <v>0.458969251632322</v>
      </c>
      <c r="BA50">
        <v>2.9328141917111694E-2</v>
      </c>
      <c r="BB50">
        <v>1.5681994697063082E-2</v>
      </c>
      <c r="BC50">
        <v>0.33033426540889294</v>
      </c>
      <c r="BD50">
        <v>1.8326022036633006E-2</v>
      </c>
      <c r="BE50">
        <v>1.7094160081479608E-2</v>
      </c>
      <c r="BF50">
        <v>0.41333508035300554</v>
      </c>
      <c r="BG50">
        <v>4.6859330620939339E-3</v>
      </c>
      <c r="BI50" t="s">
        <v>272</v>
      </c>
      <c r="BJ50" t="s">
        <v>409</v>
      </c>
      <c r="BK50" t="s">
        <v>410</v>
      </c>
      <c r="BL50">
        <v>0.4829185829278243</v>
      </c>
    </row>
    <row r="51" spans="2:64" x14ac:dyDescent="0.25">
      <c r="B51" t="s">
        <v>273</v>
      </c>
      <c r="C51" t="s">
        <v>31</v>
      </c>
      <c r="D51">
        <v>0.9540200081753496</v>
      </c>
      <c r="E51">
        <v>0.12940469707973984</v>
      </c>
      <c r="F51">
        <v>0.96296296296296313</v>
      </c>
      <c r="G51">
        <v>0.8223804256304893</v>
      </c>
      <c r="H51">
        <v>0.15488658687495971</v>
      </c>
      <c r="I51">
        <v>0.83413423870666459</v>
      </c>
      <c r="J51">
        <v>0.77844638975072478</v>
      </c>
      <c r="K51">
        <v>0.18601587927960589</v>
      </c>
      <c r="L51">
        <v>0.75253901961107261</v>
      </c>
      <c r="M51">
        <v>0.87532356721060411</v>
      </c>
      <c r="N51">
        <v>0.14744904461510069</v>
      </c>
      <c r="O51">
        <v>0.9432234432234432</v>
      </c>
      <c r="AU51" t="s">
        <v>273</v>
      </c>
      <c r="AV51">
        <v>6.9567190417198959E-3</v>
      </c>
      <c r="AW51">
        <v>0.4819643441170039</v>
      </c>
      <c r="AX51">
        <v>6.0535531819618559E-3</v>
      </c>
      <c r="AY51">
        <v>2.85023688465753E-2</v>
      </c>
      <c r="AZ51">
        <v>0.43382848678440211</v>
      </c>
      <c r="BA51">
        <v>2.4893058095772587E-2</v>
      </c>
      <c r="BB51">
        <v>1.9006226573439387E-2</v>
      </c>
      <c r="BC51">
        <v>0.33571071664936142</v>
      </c>
      <c r="BD51">
        <v>2.1301460204484354E-2</v>
      </c>
      <c r="BE51">
        <v>2.2626594707345921E-2</v>
      </c>
      <c r="BF51">
        <v>0.43655659163679722</v>
      </c>
      <c r="BG51">
        <v>4.6622708863569484E-3</v>
      </c>
      <c r="BI51" t="s">
        <v>273</v>
      </c>
      <c r="BJ51" t="s">
        <v>409</v>
      </c>
      <c r="BK51" t="s">
        <v>410</v>
      </c>
      <c r="BL51">
        <v>0.4756654053930085</v>
      </c>
    </row>
    <row r="52" spans="2:64" x14ac:dyDescent="0.25">
      <c r="B52" t="s">
        <v>274</v>
      </c>
      <c r="C52" t="s">
        <v>31</v>
      </c>
      <c r="D52">
        <v>0.92884152876449422</v>
      </c>
      <c r="E52">
        <v>0.12706587004048095</v>
      </c>
      <c r="F52">
        <v>0.99259259259259269</v>
      </c>
      <c r="G52">
        <v>0.81127552262357905</v>
      </c>
      <c r="H52">
        <v>0.17899839286876709</v>
      </c>
      <c r="I52">
        <v>0.8338362640602397</v>
      </c>
      <c r="J52">
        <v>0.77722715604097947</v>
      </c>
      <c r="K52">
        <v>0.21099572644292497</v>
      </c>
      <c r="L52">
        <v>0.83656450711756591</v>
      </c>
      <c r="M52">
        <v>0.8587104753202327</v>
      </c>
      <c r="N52">
        <v>0.1558197245762212</v>
      </c>
      <c r="O52">
        <v>0.96420354759660187</v>
      </c>
      <c r="AU52" t="s">
        <v>274</v>
      </c>
      <c r="AV52">
        <v>1.2770610334968315E-2</v>
      </c>
      <c r="AW52">
        <v>0.48555990671505156</v>
      </c>
      <c r="AX52">
        <v>3.6935198350358545E-4</v>
      </c>
      <c r="AY52">
        <v>3.4270610774381156E-2</v>
      </c>
      <c r="AZ52">
        <v>0.43404341021767573</v>
      </c>
      <c r="BA52">
        <v>2.4488274909559193E-2</v>
      </c>
      <c r="BB52">
        <v>2.5640011020414799E-2</v>
      </c>
      <c r="BC52">
        <v>0.33702118891173882</v>
      </c>
      <c r="BD52">
        <v>1.6501288028075465E-2</v>
      </c>
      <c r="BE52">
        <v>2.8737090577401991E-2</v>
      </c>
      <c r="BF52">
        <v>0.44687403935020947</v>
      </c>
      <c r="BG52">
        <v>3.6287114602816342E-3</v>
      </c>
      <c r="BI52" t="s">
        <v>274</v>
      </c>
      <c r="BJ52" t="s">
        <v>409</v>
      </c>
      <c r="BK52" t="s">
        <v>410</v>
      </c>
      <c r="BL52">
        <v>0.48075908177599169</v>
      </c>
    </row>
    <row r="53" spans="2:64" x14ac:dyDescent="0.25">
      <c r="B53" t="s">
        <v>275</v>
      </c>
      <c r="C53" t="s">
        <v>31</v>
      </c>
      <c r="D53">
        <v>0.94618761055725431</v>
      </c>
      <c r="E53">
        <v>0.13547741591796009</v>
      </c>
      <c r="F53">
        <v>0.98497174024831646</v>
      </c>
      <c r="G53">
        <v>0.82213477660673318</v>
      </c>
      <c r="H53">
        <v>0.20427356525144272</v>
      </c>
      <c r="I53">
        <v>0.83938398871890951</v>
      </c>
      <c r="J53">
        <v>0.78350299564741299</v>
      </c>
      <c r="K53">
        <v>0.22205477015372485</v>
      </c>
      <c r="L53">
        <v>0.82481497763901834</v>
      </c>
      <c r="M53">
        <v>0.86199034204492475</v>
      </c>
      <c r="N53">
        <v>0.17049755771742986</v>
      </c>
      <c r="O53">
        <v>0.9609918321047477</v>
      </c>
      <c r="AU53" t="s">
        <v>275</v>
      </c>
      <c r="AV53">
        <v>1.112689362741406E-2</v>
      </c>
      <c r="AW53">
        <v>0.47615774044384923</v>
      </c>
      <c r="AX53">
        <v>7.2371422303015433E-4</v>
      </c>
      <c r="AY53">
        <v>3.3158521319393224E-2</v>
      </c>
      <c r="AZ53">
        <v>0.40762832171377789</v>
      </c>
      <c r="BA53">
        <v>2.2547428535460372E-2</v>
      </c>
      <c r="BB53">
        <v>2.4522998278575851E-2</v>
      </c>
      <c r="BC53">
        <v>0.32368977154795286</v>
      </c>
      <c r="BD53">
        <v>1.6407985767972005E-2</v>
      </c>
      <c r="BE53">
        <v>2.8791296397131568E-2</v>
      </c>
      <c r="BF53">
        <v>0.44151317448351696</v>
      </c>
      <c r="BG53">
        <v>3.895266629695708E-3</v>
      </c>
      <c r="BI53" t="s">
        <v>275</v>
      </c>
      <c r="BJ53" t="s">
        <v>409</v>
      </c>
      <c r="BK53" t="s">
        <v>410</v>
      </c>
      <c r="BL53">
        <v>0.47223991180498076</v>
      </c>
    </row>
    <row r="54" spans="2:64" x14ac:dyDescent="0.25">
      <c r="B54" t="s">
        <v>276</v>
      </c>
      <c r="C54" t="s">
        <v>31</v>
      </c>
      <c r="D54">
        <v>0.98750000000000004</v>
      </c>
      <c r="E54">
        <v>0.11773681055192403</v>
      </c>
      <c r="F54">
        <v>0.93005336148432949</v>
      </c>
      <c r="G54">
        <v>0.84408394388446928</v>
      </c>
      <c r="H54">
        <v>0.15617175527262067</v>
      </c>
      <c r="I54">
        <v>0.81351916409623615</v>
      </c>
      <c r="J54">
        <v>0.81695097042120191</v>
      </c>
      <c r="K54">
        <v>0.18124243814830682</v>
      </c>
      <c r="L54">
        <v>0.72953290687774941</v>
      </c>
      <c r="M54">
        <v>0.87952417042234787</v>
      </c>
      <c r="N54">
        <v>0.15443148895435035</v>
      </c>
      <c r="O54">
        <v>0.9243100782163699</v>
      </c>
      <c r="AU54" t="s">
        <v>276</v>
      </c>
      <c r="AV54">
        <v>7.1699522698111251E-4</v>
      </c>
      <c r="AW54">
        <v>0.5122631609590067</v>
      </c>
      <c r="AX54">
        <v>1.4168178044212332E-2</v>
      </c>
      <c r="AY54">
        <v>2.5328274207374969E-2</v>
      </c>
      <c r="AZ54">
        <v>0.46930177824204872</v>
      </c>
      <c r="BA54">
        <v>3.2069413943563711E-2</v>
      </c>
      <c r="BB54">
        <v>1.1989779905081908E-2</v>
      </c>
      <c r="BC54">
        <v>0.31437008969153896</v>
      </c>
      <c r="BD54">
        <v>2.1330461084259542E-2</v>
      </c>
      <c r="BE54">
        <v>1.7266835469698698E-2</v>
      </c>
      <c r="BF54">
        <v>0.42771471215410528</v>
      </c>
      <c r="BG54">
        <v>6.4690322909666904E-3</v>
      </c>
      <c r="BI54" t="s">
        <v>276</v>
      </c>
      <c r="BJ54" t="s">
        <v>409</v>
      </c>
      <c r="BK54" t="s">
        <v>410</v>
      </c>
      <c r="BL54">
        <v>0.49702305445993922</v>
      </c>
    </row>
    <row r="55" spans="2:64" x14ac:dyDescent="0.25">
      <c r="B55" t="s">
        <v>277</v>
      </c>
      <c r="C55" t="s">
        <v>31</v>
      </c>
      <c r="D55">
        <v>0</v>
      </c>
      <c r="E55">
        <v>0.13490399455437063</v>
      </c>
      <c r="F55">
        <v>0.92481276352049446</v>
      </c>
      <c r="G55">
        <v>0.85497495665399437</v>
      </c>
      <c r="H55">
        <v>0.14250447464742022</v>
      </c>
      <c r="I55">
        <v>0.790361221880995</v>
      </c>
      <c r="J55">
        <v>0.84570729703373482</v>
      </c>
      <c r="K55">
        <v>0.21928624680282177</v>
      </c>
      <c r="L55">
        <v>0.72526794744645873</v>
      </c>
      <c r="M55">
        <v>0.89975363221759597</v>
      </c>
      <c r="N55">
        <v>0.16230509044898192</v>
      </c>
      <c r="O55">
        <v>0.92185936285638725</v>
      </c>
      <c r="AU55" t="s">
        <v>277</v>
      </c>
      <c r="AV55">
        <v>0</v>
      </c>
      <c r="AW55">
        <v>0.48356142628457277</v>
      </c>
      <c r="AX55">
        <v>1.7737314217754659E-2</v>
      </c>
      <c r="AY55">
        <v>2.3832125563603118E-2</v>
      </c>
      <c r="AZ55">
        <v>0.47041017742024771</v>
      </c>
      <c r="BA55">
        <v>3.7212506027771847E-2</v>
      </c>
      <c r="BB55">
        <v>8.7631200835253751E-3</v>
      </c>
      <c r="BC55">
        <v>0.27864763996852648</v>
      </c>
      <c r="BD55">
        <v>2.3383816451619854E-2</v>
      </c>
      <c r="BE55">
        <v>1.4798462407610803E-2</v>
      </c>
      <c r="BF55">
        <v>0.42760336897131895</v>
      </c>
      <c r="BG55">
        <v>9.9006997984402555E-3</v>
      </c>
      <c r="BI55" t="s">
        <v>277</v>
      </c>
      <c r="BJ55" t="s">
        <v>409</v>
      </c>
      <c r="BK55" t="s">
        <v>410</v>
      </c>
      <c r="BL55">
        <v>0.47754234671148027</v>
      </c>
    </row>
    <row r="56" spans="2:64" x14ac:dyDescent="0.25">
      <c r="B56" t="s">
        <v>278</v>
      </c>
      <c r="C56" t="s">
        <v>31</v>
      </c>
      <c r="D56">
        <v>0.98499997531957628</v>
      </c>
      <c r="E56">
        <v>0.1385864014068296</v>
      </c>
      <c r="F56">
        <v>0.93717478818171807</v>
      </c>
      <c r="G56">
        <v>0.83231568427484981</v>
      </c>
      <c r="H56">
        <v>0.14384597467042598</v>
      </c>
      <c r="I56">
        <v>0.80728976919393658</v>
      </c>
      <c r="J56">
        <v>0.81352820375024659</v>
      </c>
      <c r="K56">
        <v>0.2002349596494073</v>
      </c>
      <c r="L56">
        <v>0.73063877246851272</v>
      </c>
      <c r="M56">
        <v>0.87917430100185734</v>
      </c>
      <c r="N56">
        <v>0.14971214189486473</v>
      </c>
      <c r="O56">
        <v>0.92673992673992678</v>
      </c>
      <c r="AU56" t="s">
        <v>278</v>
      </c>
      <c r="AV56">
        <v>1.0683018634778671E-3</v>
      </c>
      <c r="AW56">
        <v>0.47090814010304544</v>
      </c>
      <c r="AX56">
        <v>1.2211842116654081E-2</v>
      </c>
      <c r="AY56">
        <v>2.7193838428648764E-2</v>
      </c>
      <c r="AZ56">
        <v>0.45190954106256603</v>
      </c>
      <c r="BA56">
        <v>2.9942551318272437E-2</v>
      </c>
      <c r="BB56">
        <v>1.4575454476003729E-2</v>
      </c>
      <c r="BC56">
        <v>0.31169582582988581</v>
      </c>
      <c r="BD56">
        <v>2.2213595959621552E-2</v>
      </c>
      <c r="BE56">
        <v>1.9789727298681184E-2</v>
      </c>
      <c r="BF56">
        <v>0.43629710972184604</v>
      </c>
      <c r="BG56">
        <v>7.1020029550953991E-3</v>
      </c>
      <c r="BI56" t="s">
        <v>278</v>
      </c>
      <c r="BJ56" t="s">
        <v>409</v>
      </c>
      <c r="BK56" t="s">
        <v>410</v>
      </c>
      <c r="BL56">
        <v>0.46217477830945347</v>
      </c>
    </row>
    <row r="57" spans="2:64" x14ac:dyDescent="0.25">
      <c r="B57" t="s">
        <v>279</v>
      </c>
      <c r="C57" t="s">
        <v>31</v>
      </c>
      <c r="D57">
        <v>0.87500000000000011</v>
      </c>
      <c r="E57">
        <v>0.11012221943142625</v>
      </c>
      <c r="F57">
        <v>0</v>
      </c>
      <c r="G57">
        <v>0.78446218039052129</v>
      </c>
      <c r="H57">
        <v>0.11453480468776699</v>
      </c>
      <c r="I57">
        <v>0.86178837776936268</v>
      </c>
      <c r="J57">
        <v>0.77976397262025288</v>
      </c>
      <c r="K57">
        <v>0.21093799227981239</v>
      </c>
      <c r="L57">
        <v>0.84438761180501865</v>
      </c>
      <c r="M57">
        <v>0.81562497602126716</v>
      </c>
      <c r="N57">
        <v>0.21693149076927848</v>
      </c>
      <c r="O57">
        <v>0.99015910713045197</v>
      </c>
      <c r="AU57" t="s">
        <v>279</v>
      </c>
      <c r="AV57">
        <v>2.8382165369880367E-2</v>
      </c>
      <c r="AW57">
        <v>0.52941803683310595</v>
      </c>
      <c r="AX57">
        <v>0</v>
      </c>
      <c r="AY57">
        <v>5.3528573558075158E-2</v>
      </c>
      <c r="AZ57">
        <v>0.54735960282866725</v>
      </c>
      <c r="BA57">
        <v>1.4782744400458243E-2</v>
      </c>
      <c r="BB57">
        <v>2.4365628348773448E-2</v>
      </c>
      <c r="BC57">
        <v>0.34020599807962354</v>
      </c>
      <c r="BD57">
        <v>8.2224331470628596E-3</v>
      </c>
      <c r="BE57">
        <v>3.1974184906190493E-2</v>
      </c>
      <c r="BF57">
        <v>0.39485933606655865</v>
      </c>
      <c r="BG57">
        <v>3.6052714750651392E-4</v>
      </c>
      <c r="BI57" t="s">
        <v>279</v>
      </c>
      <c r="BJ57" t="s">
        <v>409</v>
      </c>
      <c r="BK57" t="s">
        <v>410</v>
      </c>
      <c r="BL57">
        <v>0.51297089234228899</v>
      </c>
    </row>
    <row r="58" spans="2:64" x14ac:dyDescent="0.25">
      <c r="B58" t="s">
        <v>280</v>
      </c>
      <c r="C58" t="s">
        <v>31</v>
      </c>
      <c r="D58">
        <v>0.87500000000000011</v>
      </c>
      <c r="E58">
        <v>0.11546874051087919</v>
      </c>
      <c r="F58">
        <v>0</v>
      </c>
      <c r="G58">
        <v>0.77669338413317413</v>
      </c>
      <c r="H58">
        <v>0.11880477166514863</v>
      </c>
      <c r="I58">
        <v>0.87749643672178346</v>
      </c>
      <c r="J58">
        <v>0.77936704488981767</v>
      </c>
      <c r="K58">
        <v>0.20707896783986851</v>
      </c>
      <c r="L58">
        <v>0.84737358573415555</v>
      </c>
      <c r="M58">
        <v>0.80887446118352491</v>
      </c>
      <c r="N58">
        <v>0.23141002730161445</v>
      </c>
      <c r="O58">
        <v>0.99084249084249065</v>
      </c>
      <c r="AU58" t="s">
        <v>280</v>
      </c>
      <c r="AV58">
        <v>3.0626641304852296E-2</v>
      </c>
      <c r="AW58">
        <v>0.52815943647213892</v>
      </c>
      <c r="AX58">
        <v>0</v>
      </c>
      <c r="AY58">
        <v>6.0150492977876641E-2</v>
      </c>
      <c r="AZ58">
        <v>0.53964624672711425</v>
      </c>
      <c r="BA58">
        <v>9.301539109366647E-3</v>
      </c>
      <c r="BB58">
        <v>2.6065815751551927E-2</v>
      </c>
      <c r="BC58">
        <v>0.31652073779851025</v>
      </c>
      <c r="BD58">
        <v>6.6109138224002741E-3</v>
      </c>
      <c r="BE58">
        <v>3.3664010985689337E-2</v>
      </c>
      <c r="BF58">
        <v>0.37506726432929222</v>
      </c>
      <c r="BG58">
        <v>4.8824535091059683E-5</v>
      </c>
      <c r="BI58" t="s">
        <v>280</v>
      </c>
      <c r="BJ58" t="s">
        <v>409</v>
      </c>
      <c r="BK58" t="s">
        <v>410</v>
      </c>
      <c r="BL58">
        <v>0.51828980568585636</v>
      </c>
    </row>
    <row r="59" spans="2:64" x14ac:dyDescent="0.25">
      <c r="B59" t="s">
        <v>281</v>
      </c>
      <c r="C59" t="s">
        <v>31</v>
      </c>
      <c r="D59">
        <v>0.87576756155478475</v>
      </c>
      <c r="E59">
        <v>9.6318396080260424E-2</v>
      </c>
      <c r="F59">
        <v>0.95697854202718635</v>
      </c>
      <c r="G59">
        <v>0.8052718612729538</v>
      </c>
      <c r="H59">
        <v>8.4956196377555832E-2</v>
      </c>
      <c r="I59">
        <v>0.83333333333333326</v>
      </c>
      <c r="J59">
        <v>0.8201480685438326</v>
      </c>
      <c r="K59">
        <v>0.28454664660346757</v>
      </c>
      <c r="L59">
        <v>0.8576816862464296</v>
      </c>
      <c r="M59">
        <v>0.86962982590195148</v>
      </c>
      <c r="N59">
        <v>0.18446396933269943</v>
      </c>
      <c r="O59">
        <v>0.96082324139258002</v>
      </c>
      <c r="AU59" t="s">
        <v>281</v>
      </c>
      <c r="AV59">
        <v>3.0245973063601932E-2</v>
      </c>
      <c r="AW59">
        <v>0.55059925124407327</v>
      </c>
      <c r="AX59">
        <v>6.9777006921526493E-3</v>
      </c>
      <c r="AY59">
        <v>4.9617530419321328E-2</v>
      </c>
      <c r="AZ59">
        <v>0.56893911580870893</v>
      </c>
      <c r="BA59">
        <v>2.9673863203755372E-2</v>
      </c>
      <c r="BB59">
        <v>1.3222728011425487E-2</v>
      </c>
      <c r="BC59">
        <v>0.25438818715161976</v>
      </c>
      <c r="BD59">
        <v>6.4872249104697731E-3</v>
      </c>
      <c r="BE59">
        <v>2.3715997424315668E-2</v>
      </c>
      <c r="BF59">
        <v>0.41480312893608839</v>
      </c>
      <c r="BG59">
        <v>1.4011353057438113E-3</v>
      </c>
      <c r="BI59" t="s">
        <v>281</v>
      </c>
      <c r="BJ59" t="s">
        <v>409</v>
      </c>
      <c r="BK59" t="s">
        <v>410</v>
      </c>
      <c r="BL59">
        <v>0.50798744392989958</v>
      </c>
    </row>
    <row r="60" spans="2:64" x14ac:dyDescent="0.25">
      <c r="B60" t="s">
        <v>282</v>
      </c>
      <c r="C60" t="s">
        <v>31</v>
      </c>
      <c r="D60">
        <v>0.87500000000000022</v>
      </c>
      <c r="E60">
        <v>9.7972297736526465E-2</v>
      </c>
      <c r="F60">
        <v>0.98703703703703694</v>
      </c>
      <c r="G60">
        <v>0.79415023313137323</v>
      </c>
      <c r="H60">
        <v>0.10001864233322895</v>
      </c>
      <c r="I60">
        <v>0.83445301107525149</v>
      </c>
      <c r="J60">
        <v>0.80903451733487897</v>
      </c>
      <c r="K60">
        <v>0.29068763317751345</v>
      </c>
      <c r="L60">
        <v>0.85422530959111032</v>
      </c>
      <c r="M60">
        <v>0.83699537563711679</v>
      </c>
      <c r="N60">
        <v>0.2184350397148988</v>
      </c>
      <c r="O60">
        <v>0.97717855569901735</v>
      </c>
      <c r="AU60" t="s">
        <v>282</v>
      </c>
      <c r="AV60">
        <v>3.2018062999670235E-2</v>
      </c>
      <c r="AW60">
        <v>0.56031986573937953</v>
      </c>
      <c r="AX60">
        <v>8.4847699206240697E-4</v>
      </c>
      <c r="AY60">
        <v>5.704460652870931E-2</v>
      </c>
      <c r="AZ60">
        <v>0.55992052120676938</v>
      </c>
      <c r="BA60">
        <v>2.5651202228811194E-2</v>
      </c>
      <c r="BB60">
        <v>1.4095597367283608E-2</v>
      </c>
      <c r="BC60">
        <v>0.25221729700216078</v>
      </c>
      <c r="BD60">
        <v>4.8693592652256142E-3</v>
      </c>
      <c r="BE60">
        <v>2.7744644834214655E-2</v>
      </c>
      <c r="BF60">
        <v>0.38852268947065188</v>
      </c>
      <c r="BG60">
        <v>9.3055030931237859E-4</v>
      </c>
      <c r="BI60" t="s">
        <v>282</v>
      </c>
      <c r="BJ60" t="s">
        <v>409</v>
      </c>
      <c r="BK60" t="s">
        <v>410</v>
      </c>
      <c r="BL60">
        <v>0.49743612281321997</v>
      </c>
    </row>
    <row r="61" spans="2:64" x14ac:dyDescent="0.25">
      <c r="B61" t="s">
        <v>283</v>
      </c>
      <c r="C61" t="s">
        <v>31</v>
      </c>
      <c r="D61">
        <v>0.87499999999999978</v>
      </c>
      <c r="E61">
        <v>9.4325205612830906E-2</v>
      </c>
      <c r="F61">
        <v>0.98518518518518505</v>
      </c>
      <c r="G61">
        <v>0.79002292392578632</v>
      </c>
      <c r="H61">
        <v>9.2417416511718309E-2</v>
      </c>
      <c r="I61">
        <v>0.83333333333333315</v>
      </c>
      <c r="J61">
        <v>0.81420596137477663</v>
      </c>
      <c r="K61">
        <v>0.27851639898505542</v>
      </c>
      <c r="L61">
        <v>0.84675493401190716</v>
      </c>
      <c r="M61">
        <v>0.82918966140316197</v>
      </c>
      <c r="N61">
        <v>0.2063324998888173</v>
      </c>
      <c r="O61">
        <v>0.97177223490479814</v>
      </c>
      <c r="AU61" t="s">
        <v>283</v>
      </c>
      <c r="AV61">
        <v>3.318076061546156E-2</v>
      </c>
      <c r="AW61">
        <v>0.56461839893329868</v>
      </c>
      <c r="AX61">
        <v>6.5318218785150972E-4</v>
      </c>
      <c r="AY61">
        <v>5.9946287757660421E-2</v>
      </c>
      <c r="AZ61">
        <v>0.56517885225848385</v>
      </c>
      <c r="BA61">
        <v>2.4508136186824882E-2</v>
      </c>
      <c r="BB61">
        <v>1.5126923621059938E-2</v>
      </c>
      <c r="BC61">
        <v>0.25593224679668186</v>
      </c>
      <c r="BD61">
        <v>5.1832030883429622E-3</v>
      </c>
      <c r="BE61">
        <v>2.874253346519447E-2</v>
      </c>
      <c r="BF61">
        <v>0.40177815420952701</v>
      </c>
      <c r="BG61">
        <v>6.1522484114086761E-4</v>
      </c>
      <c r="BI61" t="s">
        <v>283</v>
      </c>
      <c r="BJ61" t="s">
        <v>409</v>
      </c>
      <c r="BK61" t="s">
        <v>410</v>
      </c>
      <c r="BL61">
        <v>0.48148289621416673</v>
      </c>
    </row>
    <row r="62" spans="2:64" x14ac:dyDescent="0.25">
      <c r="B62" t="s">
        <v>284</v>
      </c>
      <c r="C62" t="s">
        <v>31</v>
      </c>
      <c r="D62">
        <v>0.87499999999999989</v>
      </c>
      <c r="E62">
        <v>9.3892475113886875E-2</v>
      </c>
      <c r="F62">
        <v>0.96216744872712567</v>
      </c>
      <c r="G62">
        <v>0.79894396938680035</v>
      </c>
      <c r="H62">
        <v>7.7823601451010097E-2</v>
      </c>
      <c r="I62">
        <v>0.83333333333333315</v>
      </c>
      <c r="J62">
        <v>0.80816521766347194</v>
      </c>
      <c r="K62">
        <v>0.25045383130885396</v>
      </c>
      <c r="L62">
        <v>0.84396064697063344</v>
      </c>
      <c r="M62">
        <v>0.85635649560002003</v>
      </c>
      <c r="N62">
        <v>0.16075619212386355</v>
      </c>
      <c r="O62">
        <v>0.95518092226938389</v>
      </c>
      <c r="AU62" t="s">
        <v>284</v>
      </c>
      <c r="AV62">
        <v>2.9006747661513049E-2</v>
      </c>
      <c r="AW62">
        <v>0.5627990111598864</v>
      </c>
      <c r="AX62">
        <v>4.8106311139464453E-3</v>
      </c>
      <c r="AY62">
        <v>5.8363878736859297E-2</v>
      </c>
      <c r="AZ62">
        <v>0.59498475113717364</v>
      </c>
      <c r="BA62">
        <v>3.2599486903178446E-2</v>
      </c>
      <c r="BB62">
        <v>1.2733370343984297E-2</v>
      </c>
      <c r="BC62">
        <v>0.25037984843711031</v>
      </c>
      <c r="BD62">
        <v>7.5084920352301212E-3</v>
      </c>
      <c r="BE62">
        <v>2.8663484417675394E-2</v>
      </c>
      <c r="BF62">
        <v>0.4547245261118773</v>
      </c>
      <c r="BG62">
        <v>2.4259107532587009E-3</v>
      </c>
      <c r="BI62" t="s">
        <v>284</v>
      </c>
      <c r="BJ62" t="s">
        <v>409</v>
      </c>
      <c r="BK62" t="s">
        <v>410</v>
      </c>
      <c r="BL62">
        <v>0.45785167405322313</v>
      </c>
    </row>
    <row r="63" spans="2:64" x14ac:dyDescent="0.25">
      <c r="B63" t="s">
        <v>285</v>
      </c>
      <c r="C63" t="s">
        <v>31</v>
      </c>
      <c r="D63">
        <v>0.87499999999999989</v>
      </c>
      <c r="E63">
        <v>8.6616126402308716E-2</v>
      </c>
      <c r="F63">
        <v>0.95761363685635326</v>
      </c>
      <c r="G63">
        <v>0.80704854893374089</v>
      </c>
      <c r="H63">
        <v>7.6147336962284984E-2</v>
      </c>
      <c r="I63">
        <v>0.83333333333333348</v>
      </c>
      <c r="J63">
        <v>0.82568623208454561</v>
      </c>
      <c r="K63">
        <v>0.29289207154279723</v>
      </c>
      <c r="L63">
        <v>0.84966544271228184</v>
      </c>
      <c r="M63">
        <v>0.87809333525581379</v>
      </c>
      <c r="N63">
        <v>0.18075640559937531</v>
      </c>
      <c r="O63">
        <v>0.95604395604395598</v>
      </c>
      <c r="AU63" t="s">
        <v>285</v>
      </c>
      <c r="AV63">
        <v>3.2126551867179741E-2</v>
      </c>
      <c r="AW63">
        <v>0.56348319053133111</v>
      </c>
      <c r="AX63">
        <v>7.6738165700649614E-3</v>
      </c>
      <c r="AY63">
        <v>5.2332519412363533E-2</v>
      </c>
      <c r="AZ63">
        <v>0.58136824136082899</v>
      </c>
      <c r="BA63">
        <v>3.1260831675003639E-2</v>
      </c>
      <c r="BB63">
        <v>1.1434701387748047E-2</v>
      </c>
      <c r="BC63">
        <v>0.23176915582991647</v>
      </c>
      <c r="BD63">
        <v>6.8273197340167763E-3</v>
      </c>
      <c r="BE63">
        <v>2.4080592173074268E-2</v>
      </c>
      <c r="BF63">
        <v>0.43014259314490449</v>
      </c>
      <c r="BG63">
        <v>1.7307397785191075E-3</v>
      </c>
      <c r="BI63" t="s">
        <v>285</v>
      </c>
      <c r="BJ63" t="s">
        <v>409</v>
      </c>
      <c r="BK63" t="s">
        <v>410</v>
      </c>
      <c r="BL63">
        <v>0.41832678645333626</v>
      </c>
    </row>
    <row r="64" spans="2:64" x14ac:dyDescent="0.25">
      <c r="B64" t="s">
        <v>286</v>
      </c>
      <c r="C64" t="s">
        <v>31</v>
      </c>
      <c r="D64">
        <v>0.87620439649121884</v>
      </c>
      <c r="E64">
        <v>8.9553418652515288E-2</v>
      </c>
      <c r="F64">
        <v>0.97962962962962974</v>
      </c>
      <c r="G64">
        <v>0.79676903089928797</v>
      </c>
      <c r="H64">
        <v>8.161365976309494E-2</v>
      </c>
      <c r="I64">
        <v>0.83360956630368988</v>
      </c>
      <c r="J64">
        <v>0.80792623390377849</v>
      </c>
      <c r="K64">
        <v>0.25167787284839183</v>
      </c>
      <c r="L64">
        <v>0.85108355160002647</v>
      </c>
      <c r="M64">
        <v>0.85109031063456519</v>
      </c>
      <c r="N64">
        <v>0.18992468190265638</v>
      </c>
      <c r="O64">
        <v>0.96703296703296704</v>
      </c>
      <c r="AU64" t="s">
        <v>286</v>
      </c>
      <c r="AV64">
        <v>3.2741624956621571E-2</v>
      </c>
      <c r="AW64">
        <v>0.56484701846098773</v>
      </c>
      <c r="AX64">
        <v>1.2656052066972899E-3</v>
      </c>
      <c r="AY64">
        <v>5.9949449247877644E-2</v>
      </c>
      <c r="AZ64">
        <v>0.57980203850194234</v>
      </c>
      <c r="BA64">
        <v>2.8420337578210414E-2</v>
      </c>
      <c r="BB64">
        <v>1.4850898936480462E-2</v>
      </c>
      <c r="BC64">
        <v>0.26099218394225959</v>
      </c>
      <c r="BD64">
        <v>6.8959590628553599E-3</v>
      </c>
      <c r="BE64">
        <v>2.6412264062001676E-2</v>
      </c>
      <c r="BF64">
        <v>0.42441680674316162</v>
      </c>
      <c r="BG64">
        <v>1.1321707241806094E-3</v>
      </c>
      <c r="BI64" t="s">
        <v>286</v>
      </c>
      <c r="BJ64" t="s">
        <v>409</v>
      </c>
      <c r="BK64" t="s">
        <v>410</v>
      </c>
      <c r="BL64">
        <v>0.50383308065422849</v>
      </c>
    </row>
    <row r="65" spans="2:64" x14ac:dyDescent="0.25">
      <c r="B65" t="s">
        <v>287</v>
      </c>
      <c r="C65" t="s">
        <v>31</v>
      </c>
      <c r="D65">
        <v>0.87547714673518595</v>
      </c>
      <c r="E65">
        <v>9.7592128673951756E-2</v>
      </c>
      <c r="F65">
        <v>0</v>
      </c>
      <c r="G65">
        <v>0.78333626910842657</v>
      </c>
      <c r="H65">
        <v>9.1095369205298357E-2</v>
      </c>
      <c r="I65">
        <v>0.85137474866293095</v>
      </c>
      <c r="J65">
        <v>0.78968976634905363</v>
      </c>
      <c r="K65">
        <v>0.2267999783078162</v>
      </c>
      <c r="L65">
        <v>0.84110467117287224</v>
      </c>
      <c r="M65">
        <v>0.82442831021033747</v>
      </c>
      <c r="N65">
        <v>0.19827568376053559</v>
      </c>
      <c r="O65">
        <v>0.98277368930568498</v>
      </c>
      <c r="AU65" t="s">
        <v>287</v>
      </c>
      <c r="AV65">
        <v>3.3031759784716314E-2</v>
      </c>
      <c r="AW65">
        <v>0.55434867249230546</v>
      </c>
      <c r="AX65">
        <v>0</v>
      </c>
      <c r="AY65">
        <v>6.4571200876598192E-2</v>
      </c>
      <c r="AZ65">
        <v>0.57127756651055539</v>
      </c>
      <c r="BA65">
        <v>1.898042140294702E-2</v>
      </c>
      <c r="BB65">
        <v>1.9148360375367431E-2</v>
      </c>
      <c r="BC65">
        <v>0.29153441516928458</v>
      </c>
      <c r="BD65">
        <v>6.8536668988328844E-3</v>
      </c>
      <c r="BE65">
        <v>2.9998793883320711E-2</v>
      </c>
      <c r="BF65">
        <v>0.4094314057117206</v>
      </c>
      <c r="BG65">
        <v>1.8251797328107923E-4</v>
      </c>
      <c r="BI65" t="s">
        <v>287</v>
      </c>
      <c r="BJ65" t="s">
        <v>409</v>
      </c>
      <c r="BK65" t="s">
        <v>410</v>
      </c>
      <c r="BL65">
        <v>0.49236557607459369</v>
      </c>
    </row>
    <row r="66" spans="2:64" x14ac:dyDescent="0.25">
      <c r="B66" t="s">
        <v>288</v>
      </c>
      <c r="C66" t="s">
        <v>31</v>
      </c>
      <c r="D66">
        <v>0.87499999999999989</v>
      </c>
      <c r="E66">
        <v>0.11586582530876993</v>
      </c>
      <c r="F66">
        <v>0</v>
      </c>
      <c r="G66">
        <v>0.77531749980098852</v>
      </c>
      <c r="H66">
        <v>0.11404678966198793</v>
      </c>
      <c r="I66">
        <v>0.8958973024874336</v>
      </c>
      <c r="J66">
        <v>0.77327790921397599</v>
      </c>
      <c r="K66">
        <v>0.19952604548269118</v>
      </c>
      <c r="L66">
        <v>0.83994450078647609</v>
      </c>
      <c r="M66">
        <v>0.81109465682796222</v>
      </c>
      <c r="N66">
        <v>0.22389883322237705</v>
      </c>
      <c r="O66">
        <v>0.99633699633699646</v>
      </c>
      <c r="AU66" t="s">
        <v>288</v>
      </c>
      <c r="AV66">
        <v>3.5056903656247702E-2</v>
      </c>
      <c r="AW66">
        <v>0.53716948102922413</v>
      </c>
      <c r="AX66">
        <v>0</v>
      </c>
      <c r="AY66">
        <v>6.9008185825861448E-2</v>
      </c>
      <c r="AZ66">
        <v>0.5533202541472737</v>
      </c>
      <c r="BA66">
        <v>9.5841557654686542E-3</v>
      </c>
      <c r="BB66">
        <v>2.8399005912718937E-2</v>
      </c>
      <c r="BC66">
        <v>0.32415374405941594</v>
      </c>
      <c r="BD66">
        <v>6.6057971045593864E-3</v>
      </c>
      <c r="BE66">
        <v>3.4481145201608956E-2</v>
      </c>
      <c r="BF66">
        <v>0.38644614323402393</v>
      </c>
      <c r="BG66">
        <v>1.2058697265070448E-6</v>
      </c>
      <c r="BI66" t="s">
        <v>288</v>
      </c>
      <c r="BJ66" t="s">
        <v>409</v>
      </c>
      <c r="BK66" t="s">
        <v>410</v>
      </c>
      <c r="BL66">
        <v>0.53859839233554396</v>
      </c>
    </row>
    <row r="67" spans="2:64" x14ac:dyDescent="0.25">
      <c r="B67" t="s">
        <v>289</v>
      </c>
      <c r="C67" t="s">
        <v>31</v>
      </c>
      <c r="D67">
        <v>0.875</v>
      </c>
      <c r="E67">
        <v>9.628000109274748E-2</v>
      </c>
      <c r="F67">
        <v>0</v>
      </c>
      <c r="G67">
        <v>0.78572155619498829</v>
      </c>
      <c r="H67">
        <v>8.6908254931674839E-2</v>
      </c>
      <c r="I67">
        <v>0.83682330743475608</v>
      </c>
      <c r="J67">
        <v>0.78582350479519403</v>
      </c>
      <c r="K67">
        <v>0.20737958377603696</v>
      </c>
      <c r="L67">
        <v>0.84128161401192159</v>
      </c>
      <c r="M67">
        <v>0.8308518515405301</v>
      </c>
      <c r="N67">
        <v>0.18666053474725247</v>
      </c>
      <c r="O67">
        <v>0.97525142680042975</v>
      </c>
      <c r="AU67" t="s">
        <v>289</v>
      </c>
      <c r="AV67">
        <v>3.4280977590489127E-2</v>
      </c>
      <c r="AW67">
        <v>0.56447611882490134</v>
      </c>
      <c r="AX67">
        <v>0</v>
      </c>
      <c r="AY67">
        <v>6.9018403927404937E-2</v>
      </c>
      <c r="AZ67">
        <v>0.58847513675740049</v>
      </c>
      <c r="BA67">
        <v>2.3328828233541259E-2</v>
      </c>
      <c r="BB67">
        <v>2.2253056179483897E-2</v>
      </c>
      <c r="BC67">
        <v>0.30221387523235199</v>
      </c>
      <c r="BD67">
        <v>7.5582993746219273E-3</v>
      </c>
      <c r="BE67">
        <v>3.1472556384346928E-2</v>
      </c>
      <c r="BF67">
        <v>0.42766200735073651</v>
      </c>
      <c r="BG67">
        <v>1.0818413242541507E-3</v>
      </c>
      <c r="BI67" t="s">
        <v>289</v>
      </c>
      <c r="BJ67" t="s">
        <v>409</v>
      </c>
      <c r="BK67" t="s">
        <v>410</v>
      </c>
      <c r="BL67">
        <v>0.45756409070501625</v>
      </c>
    </row>
    <row r="68" spans="2:64" x14ac:dyDescent="0.25">
      <c r="B68" t="s">
        <v>290</v>
      </c>
      <c r="C68" t="s">
        <v>31</v>
      </c>
      <c r="D68">
        <v>0.875</v>
      </c>
      <c r="E68">
        <v>0.10964967887850609</v>
      </c>
      <c r="F68">
        <v>0</v>
      </c>
      <c r="G68">
        <v>0.77544505519008999</v>
      </c>
      <c r="H68">
        <v>9.9342325240759061E-2</v>
      </c>
      <c r="I68">
        <v>0.87723916194132523</v>
      </c>
      <c r="J68">
        <v>0.76643951717811909</v>
      </c>
      <c r="K68">
        <v>0.17278982908969934</v>
      </c>
      <c r="L68">
        <v>0.83952248244950722</v>
      </c>
      <c r="M68">
        <v>0.81298411243679425</v>
      </c>
      <c r="N68">
        <v>0.19593159091826168</v>
      </c>
      <c r="O68">
        <v>0.987179487179487</v>
      </c>
      <c r="AU68" t="s">
        <v>290</v>
      </c>
      <c r="AV68">
        <v>3.523237251443527E-2</v>
      </c>
      <c r="AW68">
        <v>0.54807357370936349</v>
      </c>
      <c r="AX68">
        <v>0</v>
      </c>
      <c r="AY68">
        <v>7.3617735465815057E-2</v>
      </c>
      <c r="AZ68">
        <v>0.57816151794622272</v>
      </c>
      <c r="BA68">
        <v>1.5552517124368908E-2</v>
      </c>
      <c r="BB68">
        <v>3.2821866458278157E-2</v>
      </c>
      <c r="BC68">
        <v>0.34782304821100368</v>
      </c>
      <c r="BD68">
        <v>8.1885557943862063E-3</v>
      </c>
      <c r="BE68">
        <v>3.7418697843141939E-2</v>
      </c>
      <c r="BF68">
        <v>0.42110943343747143</v>
      </c>
      <c r="BG68">
        <v>1.7060838978046278E-4</v>
      </c>
      <c r="BI68" t="s">
        <v>290</v>
      </c>
      <c r="BJ68" t="s">
        <v>409</v>
      </c>
      <c r="BK68" t="s">
        <v>410</v>
      </c>
      <c r="BL68">
        <v>0.54710321141553475</v>
      </c>
    </row>
    <row r="69" spans="2:64" x14ac:dyDescent="0.25">
      <c r="B69" t="s">
        <v>291</v>
      </c>
      <c r="C69" t="s">
        <v>31</v>
      </c>
      <c r="D69">
        <v>0.87499999999999989</v>
      </c>
      <c r="E69">
        <v>7.6462104922207993E-2</v>
      </c>
      <c r="F69">
        <v>0.9001070353248144</v>
      </c>
      <c r="G69">
        <v>0.83343748257336636</v>
      </c>
      <c r="H69">
        <v>8.2313818163924982E-2</v>
      </c>
      <c r="I69">
        <v>0.83333333333333315</v>
      </c>
      <c r="J69">
        <v>0.84226215055466991</v>
      </c>
      <c r="K69">
        <v>0.20563607584345192</v>
      </c>
      <c r="L69">
        <v>0.83863617343393726</v>
      </c>
      <c r="M69">
        <v>0.87674602593217066</v>
      </c>
      <c r="N69">
        <v>0.16326576448420543</v>
      </c>
      <c r="O69">
        <v>0.92278556880597618</v>
      </c>
      <c r="AU69" t="s">
        <v>291</v>
      </c>
      <c r="AV69">
        <v>2.1207014575836354E-2</v>
      </c>
      <c r="AW69">
        <v>0.59002861932330675</v>
      </c>
      <c r="AX69">
        <v>2.1071550737343916E-2</v>
      </c>
      <c r="AY69">
        <v>3.9973199712232732E-2</v>
      </c>
      <c r="AZ69">
        <v>0.5771903859009283</v>
      </c>
      <c r="BA69">
        <v>3.4612099877210936E-2</v>
      </c>
      <c r="BB69">
        <v>1.1080674798000002E-2</v>
      </c>
      <c r="BC69">
        <v>0.29496412389666404</v>
      </c>
      <c r="BD69">
        <v>1.0387790897610648E-2</v>
      </c>
      <c r="BE69">
        <v>2.0490607228014504E-2</v>
      </c>
      <c r="BF69">
        <v>0.43486534042141889</v>
      </c>
      <c r="BG69">
        <v>5.4825509464947264E-3</v>
      </c>
      <c r="BI69" t="s">
        <v>291</v>
      </c>
      <c r="BJ69" t="s">
        <v>409</v>
      </c>
      <c r="BK69" t="s">
        <v>410</v>
      </c>
      <c r="BL69">
        <v>0.41268766515159672</v>
      </c>
    </row>
    <row r="70" spans="2:64" x14ac:dyDescent="0.25">
      <c r="B70" t="s">
        <v>292</v>
      </c>
      <c r="C70" t="s">
        <v>31</v>
      </c>
      <c r="D70">
        <v>0.87500000000000011</v>
      </c>
      <c r="E70">
        <v>8.6692415867397801E-2</v>
      </c>
      <c r="F70">
        <v>0.92777777777777781</v>
      </c>
      <c r="G70">
        <v>0.82091699397965778</v>
      </c>
      <c r="H70">
        <v>7.9325791882959115E-2</v>
      </c>
      <c r="I70">
        <v>0.83333333333333337</v>
      </c>
      <c r="J70">
        <v>0.82894013529045241</v>
      </c>
      <c r="K70">
        <v>0.23367615949970943</v>
      </c>
      <c r="L70">
        <v>0.84466651898707978</v>
      </c>
      <c r="M70">
        <v>0.88070075959846639</v>
      </c>
      <c r="N70">
        <v>0.17473041464747993</v>
      </c>
      <c r="O70">
        <v>0.94313230383747704</v>
      </c>
      <c r="AU70" t="s">
        <v>292</v>
      </c>
      <c r="AV70">
        <v>2.7205438041624848E-2</v>
      </c>
      <c r="AW70">
        <v>0.56869415151980962</v>
      </c>
      <c r="AX70">
        <v>1.2850935566712454E-2</v>
      </c>
      <c r="AY70">
        <v>4.5305825530073444E-2</v>
      </c>
      <c r="AZ70">
        <v>0.57277714738006436</v>
      </c>
      <c r="BA70">
        <v>3.2281291392367552E-2</v>
      </c>
      <c r="BB70">
        <v>1.3335166531081299E-2</v>
      </c>
      <c r="BC70">
        <v>0.28027536268695924</v>
      </c>
      <c r="BD70">
        <v>9.5695802010260164E-3</v>
      </c>
      <c r="BE70">
        <v>2.3874615854252552E-2</v>
      </c>
      <c r="BF70">
        <v>0.4376420145878524</v>
      </c>
      <c r="BG70">
        <v>3.4182575898266997E-3</v>
      </c>
      <c r="BI70" t="s">
        <v>292</v>
      </c>
      <c r="BJ70" t="s">
        <v>409</v>
      </c>
      <c r="BK70" t="s">
        <v>410</v>
      </c>
      <c r="BL70">
        <v>0.42345480120671003</v>
      </c>
    </row>
    <row r="71" spans="2:64" x14ac:dyDescent="0.25">
      <c r="B71" t="s">
        <v>293</v>
      </c>
      <c r="C71" t="s">
        <v>31</v>
      </c>
      <c r="D71">
        <v>0.88242039903709557</v>
      </c>
      <c r="E71">
        <v>8.101266646051157E-2</v>
      </c>
      <c r="F71">
        <v>0.91587276172312693</v>
      </c>
      <c r="G71">
        <v>0.82149433858737886</v>
      </c>
      <c r="H71">
        <v>7.570003561861631E-2</v>
      </c>
      <c r="I71">
        <v>0.83333333333333315</v>
      </c>
      <c r="J71">
        <v>0.84484748630382145</v>
      </c>
      <c r="K71">
        <v>0.2496641629801031</v>
      </c>
      <c r="L71">
        <v>0.84263035941464259</v>
      </c>
      <c r="M71">
        <v>0.87869026325263122</v>
      </c>
      <c r="N71">
        <v>0.15469418666067486</v>
      </c>
      <c r="O71">
        <v>0.92947938309365152</v>
      </c>
      <c r="AU71" t="s">
        <v>293</v>
      </c>
      <c r="AV71">
        <v>1.7932836875679599E-2</v>
      </c>
      <c r="AW71">
        <v>0.57012068975338182</v>
      </c>
      <c r="AX71">
        <v>1.4155282716634241E-2</v>
      </c>
      <c r="AY71">
        <v>4.4894357755158112E-2</v>
      </c>
      <c r="AZ71">
        <v>0.5861471598042719</v>
      </c>
      <c r="BA71">
        <v>3.5991482627719187E-2</v>
      </c>
      <c r="BB71">
        <v>1.0906795517809506E-2</v>
      </c>
      <c r="BC71">
        <v>0.260536563367887</v>
      </c>
      <c r="BD71">
        <v>1.0011164778186737E-2</v>
      </c>
      <c r="BE71">
        <v>2.3296843685572239E-2</v>
      </c>
      <c r="BF71">
        <v>0.44899916500078241</v>
      </c>
      <c r="BG71">
        <v>4.3348590294912627E-3</v>
      </c>
      <c r="BI71" t="s">
        <v>293</v>
      </c>
      <c r="BJ71" t="s">
        <v>409</v>
      </c>
      <c r="BK71" t="s">
        <v>410</v>
      </c>
      <c r="BL71">
        <v>0.43252848640740893</v>
      </c>
    </row>
    <row r="72" spans="2:64" x14ac:dyDescent="0.25">
      <c r="B72" t="s">
        <v>294</v>
      </c>
      <c r="C72" t="s">
        <v>31</v>
      </c>
      <c r="D72">
        <v>0.95833333333333337</v>
      </c>
      <c r="E72">
        <v>7.4878219648348621E-2</v>
      </c>
      <c r="F72">
        <v>0.8872812947237545</v>
      </c>
      <c r="G72">
        <v>0.85749788800585447</v>
      </c>
      <c r="H72">
        <v>8.0087751890696002E-2</v>
      </c>
      <c r="I72">
        <v>0.83331731184405888</v>
      </c>
      <c r="J72">
        <v>0.8634417680879144</v>
      </c>
      <c r="K72">
        <v>0.22138132946416322</v>
      </c>
      <c r="L72">
        <v>0.79657851691027204</v>
      </c>
      <c r="M72">
        <v>0.87837767712865189</v>
      </c>
      <c r="N72">
        <v>0.14870760356976273</v>
      </c>
      <c r="O72">
        <v>0.90672344618540224</v>
      </c>
      <c r="AU72" t="s">
        <v>294</v>
      </c>
      <c r="AV72">
        <v>6.3876396885142227E-3</v>
      </c>
      <c r="AW72">
        <v>0.59456115178074176</v>
      </c>
      <c r="AX72">
        <v>2.6276769401482256E-2</v>
      </c>
      <c r="AY72">
        <v>3.5882739414237218E-2</v>
      </c>
      <c r="AZ72">
        <v>0.60048876191972533</v>
      </c>
      <c r="BA72">
        <v>4.107668073347711E-2</v>
      </c>
      <c r="BB72">
        <v>7.4500987951677186E-3</v>
      </c>
      <c r="BC72">
        <v>0.28780301109736034</v>
      </c>
      <c r="BD72">
        <v>1.3074856745077693E-2</v>
      </c>
      <c r="BE72">
        <v>1.9408465631454454E-2</v>
      </c>
      <c r="BF72">
        <v>0.44998497854648645</v>
      </c>
      <c r="BG72">
        <v>7.6246747613860086E-3</v>
      </c>
      <c r="BI72" t="s">
        <v>294</v>
      </c>
      <c r="BJ72" t="s">
        <v>409</v>
      </c>
      <c r="BK72" t="s">
        <v>410</v>
      </c>
      <c r="BL72">
        <v>0.45068245271652019</v>
      </c>
    </row>
    <row r="73" spans="2:64" x14ac:dyDescent="0.25">
      <c r="B73" t="s">
        <v>295</v>
      </c>
      <c r="C73" t="s">
        <v>31</v>
      </c>
      <c r="D73">
        <v>0.9528683373514153</v>
      </c>
      <c r="E73">
        <v>6.8393185600974682E-2</v>
      </c>
      <c r="F73">
        <v>0.86655191720749258</v>
      </c>
      <c r="G73">
        <v>0.875</v>
      </c>
      <c r="H73">
        <v>9.5225325017297413E-2</v>
      </c>
      <c r="I73">
        <v>0.83312416026201452</v>
      </c>
      <c r="J73">
        <v>0.88027535397927092</v>
      </c>
      <c r="K73">
        <v>0.2465500085134302</v>
      </c>
      <c r="L73">
        <v>0.80537896521065511</v>
      </c>
      <c r="M73">
        <v>0.88045056076884043</v>
      </c>
      <c r="N73">
        <v>0.16344958764126127</v>
      </c>
      <c r="O73">
        <v>0.8969536674351668</v>
      </c>
      <c r="AU73" t="s">
        <v>295</v>
      </c>
      <c r="AV73">
        <v>6.2469820587493351E-3</v>
      </c>
      <c r="AW73">
        <v>0.6106364883216967</v>
      </c>
      <c r="AX73">
        <v>3.6410537274608155E-2</v>
      </c>
      <c r="AY73">
        <v>2.5898274020905471E-2</v>
      </c>
      <c r="AZ73">
        <v>0.57681056442304635</v>
      </c>
      <c r="BA73">
        <v>4.324616799839863E-2</v>
      </c>
      <c r="BB73">
        <v>3.7778607366294762E-3</v>
      </c>
      <c r="BC73">
        <v>0.25583985797947517</v>
      </c>
      <c r="BD73">
        <v>1.134757623030129E-2</v>
      </c>
      <c r="BE73">
        <v>1.5997695036565725E-2</v>
      </c>
      <c r="BF73">
        <v>0.44005213976876723</v>
      </c>
      <c r="BG73">
        <v>8.9391567036706567E-3</v>
      </c>
      <c r="BI73" t="s">
        <v>295</v>
      </c>
      <c r="BJ73" t="s">
        <v>409</v>
      </c>
      <c r="BK73" t="s">
        <v>410</v>
      </c>
      <c r="BL73">
        <v>0.49484206530497238</v>
      </c>
    </row>
    <row r="74" spans="2:64" x14ac:dyDescent="0.25">
      <c r="B74" t="s">
        <v>296</v>
      </c>
      <c r="C74" t="s">
        <v>31</v>
      </c>
      <c r="D74">
        <v>0.88709743033570421</v>
      </c>
      <c r="E74">
        <v>6.8294790694475027E-2</v>
      </c>
      <c r="F74">
        <v>0.88081857352870963</v>
      </c>
      <c r="G74">
        <v>0.87378670951315895</v>
      </c>
      <c r="H74">
        <v>8.9910977603973222E-2</v>
      </c>
      <c r="I74">
        <v>0.83333333333333326</v>
      </c>
      <c r="J74">
        <v>0.87299069383416827</v>
      </c>
      <c r="K74">
        <v>0.20749617866272768</v>
      </c>
      <c r="L74">
        <v>0.83520168890869539</v>
      </c>
      <c r="M74">
        <v>0.87855370329118698</v>
      </c>
      <c r="N74">
        <v>0.16480906340558993</v>
      </c>
      <c r="O74">
        <v>0.90805263583115203</v>
      </c>
      <c r="AU74" t="s">
        <v>296</v>
      </c>
      <c r="AV74">
        <v>1.618506675303142E-2</v>
      </c>
      <c r="AW74">
        <v>0.61785147505778792</v>
      </c>
      <c r="AX74">
        <v>3.1479271302882153E-2</v>
      </c>
      <c r="AY74">
        <v>3.213846768176442E-2</v>
      </c>
      <c r="AZ74">
        <v>0.58384228795952731</v>
      </c>
      <c r="BA74">
        <v>3.7197081233614052E-2</v>
      </c>
      <c r="BB74">
        <v>6.1587682842240369E-3</v>
      </c>
      <c r="BC74">
        <v>0.29478068630295262</v>
      </c>
      <c r="BD74">
        <v>1.227070885423309E-2</v>
      </c>
      <c r="BE74">
        <v>1.686518220774863E-2</v>
      </c>
      <c r="BF74">
        <v>0.4314563952479073</v>
      </c>
      <c r="BG74">
        <v>7.183478616431295E-3</v>
      </c>
      <c r="BI74" t="s">
        <v>296</v>
      </c>
      <c r="BJ74" t="s">
        <v>409</v>
      </c>
      <c r="BK74" t="s">
        <v>410</v>
      </c>
      <c r="BL74">
        <v>0.44906956703967044</v>
      </c>
    </row>
    <row r="75" spans="2:64" x14ac:dyDescent="0.25">
      <c r="B75" t="s">
        <v>297</v>
      </c>
      <c r="C75" t="s">
        <v>31</v>
      </c>
      <c r="D75">
        <v>0.875</v>
      </c>
      <c r="E75">
        <v>0.10430783220862781</v>
      </c>
      <c r="F75">
        <v>0.9586992611702766</v>
      </c>
      <c r="G75">
        <v>0.79717886650432956</v>
      </c>
      <c r="H75">
        <v>0.10003217251296763</v>
      </c>
      <c r="I75">
        <v>0.83633239650003532</v>
      </c>
      <c r="J75">
        <v>0.78275194004210913</v>
      </c>
      <c r="K75">
        <v>0.20844524866718001</v>
      </c>
      <c r="L75">
        <v>0.84565831732452246</v>
      </c>
      <c r="M75">
        <v>0.84254703845813661</v>
      </c>
      <c r="N75">
        <v>0.21252746670570147</v>
      </c>
      <c r="O75">
        <v>0.97185802329636106</v>
      </c>
      <c r="AU75" t="s">
        <v>297</v>
      </c>
      <c r="AV75">
        <v>2.6476766391015458E-2</v>
      </c>
      <c r="AW75">
        <v>0.51714467346407722</v>
      </c>
      <c r="AX75">
        <v>4.4412116437202772E-3</v>
      </c>
      <c r="AY75">
        <v>4.1290892004774205E-2</v>
      </c>
      <c r="AZ75">
        <v>0.55531841169282492</v>
      </c>
      <c r="BA75">
        <v>2.9579886202163081E-2</v>
      </c>
      <c r="BB75">
        <v>2.0478550097919337E-2</v>
      </c>
      <c r="BC75">
        <v>0.34179136465484405</v>
      </c>
      <c r="BD75">
        <v>9.5408581643900339E-3</v>
      </c>
      <c r="BE75">
        <v>2.3144281277383064E-2</v>
      </c>
      <c r="BF75">
        <v>0.38297029774944463</v>
      </c>
      <c r="BG75">
        <v>1.8518530817652834E-3</v>
      </c>
      <c r="BI75" t="s">
        <v>297</v>
      </c>
      <c r="BJ75" t="s">
        <v>409</v>
      </c>
      <c r="BK75" t="s">
        <v>410</v>
      </c>
      <c r="BL75">
        <v>0.52895867340392899</v>
      </c>
    </row>
    <row r="76" spans="2:64" x14ac:dyDescent="0.25">
      <c r="B76" t="s">
        <v>298</v>
      </c>
      <c r="C76" t="s">
        <v>31</v>
      </c>
      <c r="D76">
        <v>0.875</v>
      </c>
      <c r="E76">
        <v>9.6872254049407025E-2</v>
      </c>
      <c r="F76">
        <v>0.94200735206158082</v>
      </c>
      <c r="G76">
        <v>0.80673207598326513</v>
      </c>
      <c r="H76">
        <v>9.1070492328946553E-2</v>
      </c>
      <c r="I76">
        <v>0.83370952485932304</v>
      </c>
      <c r="J76">
        <v>0.79532625052430439</v>
      </c>
      <c r="K76">
        <v>0.21496013758647148</v>
      </c>
      <c r="L76">
        <v>0.84464996958595706</v>
      </c>
      <c r="M76">
        <v>0.87263956930533626</v>
      </c>
      <c r="N76">
        <v>0.19816750521612561</v>
      </c>
      <c r="O76">
        <v>0.95309063352680046</v>
      </c>
      <c r="AU76" t="s">
        <v>298</v>
      </c>
      <c r="AV76">
        <v>2.7122225919084593E-2</v>
      </c>
      <c r="AW76">
        <v>0.53954660609310379</v>
      </c>
      <c r="AX76">
        <v>9.4124324541579076E-3</v>
      </c>
      <c r="AY76">
        <v>4.1503435606047849E-2</v>
      </c>
      <c r="AZ76">
        <v>0.5635345921501721</v>
      </c>
      <c r="BA76">
        <v>2.9865495033154988E-2</v>
      </c>
      <c r="BB76">
        <v>1.7817009314063065E-2</v>
      </c>
      <c r="BC76">
        <v>0.31580654925591101</v>
      </c>
      <c r="BD76">
        <v>8.522297297861697E-3</v>
      </c>
      <c r="BE76">
        <v>2.2031116875320226E-2</v>
      </c>
      <c r="BF76">
        <v>0.40071902509229523</v>
      </c>
      <c r="BG76">
        <v>1.8843069836225951E-3</v>
      </c>
      <c r="BI76" t="s">
        <v>298</v>
      </c>
      <c r="BJ76" t="s">
        <v>409</v>
      </c>
      <c r="BK76" t="s">
        <v>410</v>
      </c>
      <c r="BL76">
        <v>0.45551315692293681</v>
      </c>
    </row>
    <row r="77" spans="2:64" x14ac:dyDescent="0.25">
      <c r="B77" t="s">
        <v>299</v>
      </c>
      <c r="C77" t="s">
        <v>31</v>
      </c>
      <c r="D77">
        <v>0.87499999999999989</v>
      </c>
      <c r="E77">
        <v>9.1394811247280494E-2</v>
      </c>
      <c r="F77">
        <v>0.90555555555555556</v>
      </c>
      <c r="G77">
        <v>0.8396876792168031</v>
      </c>
      <c r="H77">
        <v>9.298671379643747E-2</v>
      </c>
      <c r="I77">
        <v>0.83523437315155491</v>
      </c>
      <c r="J77">
        <v>0.84038633767743631</v>
      </c>
      <c r="K77">
        <v>0.16565551405794579</v>
      </c>
      <c r="L77">
        <v>0.83608789159051922</v>
      </c>
      <c r="M77">
        <v>0.87890641691569016</v>
      </c>
      <c r="N77">
        <v>0.17942470871377364</v>
      </c>
      <c r="O77">
        <v>0.93904643035368318</v>
      </c>
      <c r="AU77" t="s">
        <v>299</v>
      </c>
      <c r="AV77">
        <v>3.1524766782706846E-2</v>
      </c>
      <c r="AW77">
        <v>0.59682060509497814</v>
      </c>
      <c r="AX77">
        <v>2.380488381208826E-2</v>
      </c>
      <c r="AY77">
        <v>4.1290085194866009E-2</v>
      </c>
      <c r="AZ77">
        <v>0.57491050754036166</v>
      </c>
      <c r="BA77">
        <v>3.1617812569152769E-2</v>
      </c>
      <c r="BB77">
        <v>1.5836643594571761E-2</v>
      </c>
      <c r="BC77">
        <v>0.33328871221940293</v>
      </c>
      <c r="BD77">
        <v>1.1036750962561711E-2</v>
      </c>
      <c r="BE77">
        <v>2.2246672734102288E-2</v>
      </c>
      <c r="BF77">
        <v>0.43022662557873909</v>
      </c>
      <c r="BG77">
        <v>4.9788365514226067E-3</v>
      </c>
      <c r="BI77" t="s">
        <v>299</v>
      </c>
      <c r="BJ77" t="s">
        <v>409</v>
      </c>
      <c r="BK77" t="s">
        <v>410</v>
      </c>
      <c r="BL77">
        <v>0.57148780059377424</v>
      </c>
    </row>
    <row r="78" spans="2:64" x14ac:dyDescent="0.25">
      <c r="B78" t="s">
        <v>300</v>
      </c>
      <c r="C78" t="s">
        <v>31</v>
      </c>
      <c r="D78">
        <v>0.875</v>
      </c>
      <c r="E78">
        <v>8.1778205774212423E-2</v>
      </c>
      <c r="F78">
        <v>0.90640196109305371</v>
      </c>
      <c r="G78">
        <v>0.82664664343338468</v>
      </c>
      <c r="H78">
        <v>8.6197834755086494E-2</v>
      </c>
      <c r="I78">
        <v>0.83333333333333337</v>
      </c>
      <c r="J78">
        <v>0.8328422276397105</v>
      </c>
      <c r="K78">
        <v>0.18259015046627861</v>
      </c>
      <c r="L78">
        <v>0.83864249749481434</v>
      </c>
      <c r="M78">
        <v>0.88026433453462272</v>
      </c>
      <c r="N78">
        <v>0.18279631409717897</v>
      </c>
      <c r="O78">
        <v>0.93647303519896696</v>
      </c>
      <c r="AU78" t="s">
        <v>300</v>
      </c>
      <c r="AV78">
        <v>3.1843432018955287E-2</v>
      </c>
      <c r="AW78">
        <v>0.58441428279769281</v>
      </c>
      <c r="AX78">
        <v>1.9035778472778448E-2</v>
      </c>
      <c r="AY78">
        <v>4.1928577771356286E-2</v>
      </c>
      <c r="AZ78">
        <v>0.57203207465462835</v>
      </c>
      <c r="BA78">
        <v>3.2347155986346084E-2</v>
      </c>
      <c r="BB78">
        <v>1.4297981184237104E-2</v>
      </c>
      <c r="BC78">
        <v>0.31374528608839586</v>
      </c>
      <c r="BD78">
        <v>1.1117673051709675E-2</v>
      </c>
      <c r="BE78">
        <v>2.0565820525992404E-2</v>
      </c>
      <c r="BF78">
        <v>0.41612790172254771</v>
      </c>
      <c r="BG78">
        <v>4.5612865260278293E-3</v>
      </c>
      <c r="BI78" t="s">
        <v>300</v>
      </c>
      <c r="BJ78" t="s">
        <v>409</v>
      </c>
      <c r="BK78" t="s">
        <v>410</v>
      </c>
      <c r="BL78">
        <v>0.44559322367082399</v>
      </c>
    </row>
    <row r="79" spans="2:64" x14ac:dyDescent="0.25">
      <c r="B79" t="s">
        <v>301</v>
      </c>
      <c r="C79" t="s">
        <v>31</v>
      </c>
      <c r="D79">
        <v>0.87526269450205219</v>
      </c>
      <c r="E79">
        <v>0.12355996803457558</v>
      </c>
      <c r="F79">
        <v>0.91268955552995934</v>
      </c>
      <c r="G79">
        <v>0.82633468861303083</v>
      </c>
      <c r="H79">
        <v>0.10425622433100214</v>
      </c>
      <c r="I79">
        <v>0.83779623142739179</v>
      </c>
      <c r="J79">
        <v>0.83356037779207082</v>
      </c>
      <c r="K79">
        <v>0.17523423592671666</v>
      </c>
      <c r="L79">
        <v>0.83678621183743962</v>
      </c>
      <c r="M79">
        <v>0.87668690916002123</v>
      </c>
      <c r="N79">
        <v>0.16659995528060387</v>
      </c>
      <c r="O79">
        <v>0.94871794871794868</v>
      </c>
      <c r="AU79" t="s">
        <v>301</v>
      </c>
      <c r="AV79">
        <v>2.3209187326897106E-2</v>
      </c>
      <c r="AW79">
        <v>0.52936416624317206</v>
      </c>
      <c r="AX79">
        <v>1.9610868040939637E-2</v>
      </c>
      <c r="AY79">
        <v>3.7689362996819555E-2</v>
      </c>
      <c r="AZ79">
        <v>0.55330555502885448</v>
      </c>
      <c r="BA79">
        <v>3.0333115977080827E-2</v>
      </c>
      <c r="BB79">
        <v>1.7626864284813182E-2</v>
      </c>
      <c r="BC79">
        <v>0.35032054401322726</v>
      </c>
      <c r="BD79">
        <v>9.6411714398025126E-3</v>
      </c>
      <c r="BE79">
        <v>2.3978400296117374E-2</v>
      </c>
      <c r="BF79">
        <v>0.43375249477701139</v>
      </c>
      <c r="BG79">
        <v>3.3328178463086122E-3</v>
      </c>
      <c r="BI79" t="s">
        <v>301</v>
      </c>
      <c r="BJ79" t="s">
        <v>409</v>
      </c>
      <c r="BK79" t="s">
        <v>410</v>
      </c>
      <c r="BL79">
        <v>0.5059613313472564</v>
      </c>
    </row>
    <row r="80" spans="2:64" x14ac:dyDescent="0.25">
      <c r="B80" t="s">
        <v>302</v>
      </c>
      <c r="C80" t="s">
        <v>31</v>
      </c>
      <c r="D80">
        <v>0.87561785982041407</v>
      </c>
      <c r="E80">
        <v>0.10456402743671125</v>
      </c>
      <c r="F80">
        <v>0.92333015956028008</v>
      </c>
      <c r="G80">
        <v>0.81951328957086744</v>
      </c>
      <c r="H80">
        <v>9.2163641171307778E-2</v>
      </c>
      <c r="I80">
        <v>0.83521822705603921</v>
      </c>
      <c r="J80">
        <v>0.82561905672838987</v>
      </c>
      <c r="K80">
        <v>0.19265009150285409</v>
      </c>
      <c r="L80">
        <v>0.83817734139761424</v>
      </c>
      <c r="M80">
        <v>0.87852330477646201</v>
      </c>
      <c r="N80">
        <v>0.17861626776724224</v>
      </c>
      <c r="O80">
        <v>0.95254734976328903</v>
      </c>
      <c r="AU80" t="s">
        <v>302</v>
      </c>
      <c r="AV80">
        <v>2.395846310207278E-2</v>
      </c>
      <c r="AW80">
        <v>0.52835835566695799</v>
      </c>
      <c r="AX80">
        <v>1.5454462485471243E-2</v>
      </c>
      <c r="AY80">
        <v>4.0901539148058462E-2</v>
      </c>
      <c r="AZ80">
        <v>0.56961403560973278</v>
      </c>
      <c r="BA80">
        <v>3.0943541185816974E-2</v>
      </c>
      <c r="BB80">
        <v>1.5917894497022002E-2</v>
      </c>
      <c r="BC80">
        <v>0.3362636867038446</v>
      </c>
      <c r="BD80">
        <v>1.0360198449382595E-2</v>
      </c>
      <c r="BE80">
        <v>2.1362847803570072E-2</v>
      </c>
      <c r="BF80">
        <v>0.4073008051253782</v>
      </c>
      <c r="BG80">
        <v>3.4025507794796387E-3</v>
      </c>
      <c r="BI80" t="s">
        <v>302</v>
      </c>
      <c r="BJ80" t="s">
        <v>409</v>
      </c>
      <c r="BK80" t="s">
        <v>410</v>
      </c>
      <c r="BL80">
        <v>0.48716150481857601</v>
      </c>
    </row>
    <row r="81" spans="2:64" x14ac:dyDescent="0.25">
      <c r="B81" t="s">
        <v>303</v>
      </c>
      <c r="C81" t="s">
        <v>31</v>
      </c>
      <c r="D81">
        <v>0.88288200258668659</v>
      </c>
      <c r="E81">
        <v>0.13550608803912359</v>
      </c>
      <c r="F81">
        <v>0.87116496848921721</v>
      </c>
      <c r="G81">
        <v>0.86260052873959747</v>
      </c>
      <c r="H81">
        <v>9.89465123561208E-2</v>
      </c>
      <c r="I81">
        <v>0.83412123523683468</v>
      </c>
      <c r="J81">
        <v>0.87052093821642851</v>
      </c>
      <c r="K81">
        <v>0.15122849246057674</v>
      </c>
      <c r="L81">
        <v>0.83451915012707267</v>
      </c>
      <c r="M81">
        <v>0.87563264356176251</v>
      </c>
      <c r="N81">
        <v>0.13022244080765769</v>
      </c>
      <c r="O81">
        <v>0.92637389404753578</v>
      </c>
      <c r="AU81" t="s">
        <v>303</v>
      </c>
      <c r="AV81">
        <v>2.633026539552831E-2</v>
      </c>
      <c r="AW81">
        <v>0.51786813611753379</v>
      </c>
      <c r="AX81">
        <v>2.7068671181970171E-2</v>
      </c>
      <c r="AY81">
        <v>3.3044324538391748E-2</v>
      </c>
      <c r="AZ81">
        <v>0.54569743346018795</v>
      </c>
      <c r="BA81">
        <v>3.344950145978963E-2</v>
      </c>
      <c r="BB81">
        <v>1.9099696460724239E-2</v>
      </c>
      <c r="BC81">
        <v>0.41743670281809625</v>
      </c>
      <c r="BD81">
        <v>1.7425368185105598E-2</v>
      </c>
      <c r="BE81">
        <v>2.8818372571541049E-2</v>
      </c>
      <c r="BF81">
        <v>0.48646567204881669</v>
      </c>
      <c r="BG81">
        <v>9.2984670479483583E-3</v>
      </c>
      <c r="BI81" t="s">
        <v>303</v>
      </c>
      <c r="BJ81" t="s">
        <v>409</v>
      </c>
      <c r="BK81" t="s">
        <v>410</v>
      </c>
      <c r="BL81">
        <v>0.50909704643816522</v>
      </c>
    </row>
    <row r="82" spans="2:64" x14ac:dyDescent="0.25">
      <c r="B82" t="s">
        <v>304</v>
      </c>
      <c r="C82" t="s">
        <v>31</v>
      </c>
      <c r="D82">
        <v>0.87683811235537801</v>
      </c>
      <c r="E82">
        <v>0.13433359256236918</v>
      </c>
      <c r="F82">
        <v>0.90678360871107555</v>
      </c>
      <c r="G82">
        <v>0.83424644732465614</v>
      </c>
      <c r="H82">
        <v>0.10185708716853242</v>
      </c>
      <c r="I82">
        <v>0.83524802873223003</v>
      </c>
      <c r="J82">
        <v>0.83679298190394902</v>
      </c>
      <c r="K82">
        <v>0.15800281797125135</v>
      </c>
      <c r="L82">
        <v>0.83718220056986847</v>
      </c>
      <c r="M82">
        <v>0.87693615342977382</v>
      </c>
      <c r="N82">
        <v>0.1471431860139657</v>
      </c>
      <c r="O82">
        <v>0.94850181998442151</v>
      </c>
      <c r="AU82" t="s">
        <v>304</v>
      </c>
      <c r="AV82">
        <v>2.4527452382604942E-2</v>
      </c>
      <c r="AW82">
        <v>0.50002686142310926</v>
      </c>
      <c r="AX82">
        <v>2.2437022959387733E-2</v>
      </c>
      <c r="AY82">
        <v>3.7395981261447983E-2</v>
      </c>
      <c r="AZ82">
        <v>0.54363776822947663</v>
      </c>
      <c r="BA82">
        <v>3.0945837098679551E-2</v>
      </c>
      <c r="BB82">
        <v>1.9734970989774132E-2</v>
      </c>
      <c r="BC82">
        <v>0.39087736596430894</v>
      </c>
      <c r="BD82">
        <v>1.3126188653609691E-2</v>
      </c>
      <c r="BE82">
        <v>2.6172382521930177E-2</v>
      </c>
      <c r="BF82">
        <v>0.45495433803679314</v>
      </c>
      <c r="BG82">
        <v>4.9577980490017048E-3</v>
      </c>
      <c r="BI82" t="s">
        <v>304</v>
      </c>
      <c r="BJ82" t="s">
        <v>409</v>
      </c>
      <c r="BK82" t="s">
        <v>410</v>
      </c>
      <c r="BL82">
        <v>0.48975894771836365</v>
      </c>
    </row>
    <row r="83" spans="2:64" x14ac:dyDescent="0.25">
      <c r="B83" t="s">
        <v>305</v>
      </c>
      <c r="C83" t="s">
        <v>31</v>
      </c>
      <c r="D83">
        <v>0.87528526515187755</v>
      </c>
      <c r="E83">
        <v>0.12031919104345518</v>
      </c>
      <c r="F83">
        <v>0.88492181391143709</v>
      </c>
      <c r="G83">
        <v>0.85357308946357813</v>
      </c>
      <c r="H83">
        <v>0.10955475454028171</v>
      </c>
      <c r="I83">
        <v>0.83512584211270302</v>
      </c>
      <c r="J83">
        <v>0.85947796490668282</v>
      </c>
      <c r="K83">
        <v>0.15689517527974486</v>
      </c>
      <c r="L83">
        <v>0.83494961524900191</v>
      </c>
      <c r="M83">
        <v>0.87525451441875934</v>
      </c>
      <c r="N83">
        <v>0.14441203560798099</v>
      </c>
      <c r="O83">
        <v>0.93418645004617862</v>
      </c>
      <c r="AU83" t="s">
        <v>305</v>
      </c>
      <c r="AV83">
        <v>2.7689328874429545E-2</v>
      </c>
      <c r="AW83">
        <v>0.54352554934546748</v>
      </c>
      <c r="AX83">
        <v>2.589285182879188E-2</v>
      </c>
      <c r="AY83">
        <v>3.489233878617766E-2</v>
      </c>
      <c r="AZ83">
        <v>0.53433135720520319</v>
      </c>
      <c r="BA83">
        <v>2.7508286275158809E-2</v>
      </c>
      <c r="BB83">
        <v>1.6319428283874456E-2</v>
      </c>
      <c r="BC83">
        <v>0.37109402071198078</v>
      </c>
      <c r="BD83">
        <v>1.2312606351884768E-2</v>
      </c>
      <c r="BE83">
        <v>2.6319998388360782E-2</v>
      </c>
      <c r="BF83">
        <v>0.45256015482993972</v>
      </c>
      <c r="BG83">
        <v>6.5721537142698645E-3</v>
      </c>
      <c r="BI83" t="s">
        <v>305</v>
      </c>
      <c r="BJ83" t="s">
        <v>409</v>
      </c>
      <c r="BK83" t="s">
        <v>410</v>
      </c>
      <c r="BL83">
        <v>0.51597171073405057</v>
      </c>
    </row>
    <row r="84" spans="2:64" x14ac:dyDescent="0.25">
      <c r="B84" t="s">
        <v>306</v>
      </c>
      <c r="C84" t="s">
        <v>31</v>
      </c>
      <c r="D84">
        <v>0.87499999999999989</v>
      </c>
      <c r="E84">
        <v>8.9281229167637713E-2</v>
      </c>
      <c r="F84">
        <v>0.86200611309714237</v>
      </c>
      <c r="G84">
        <v>0.875</v>
      </c>
      <c r="H84">
        <v>0.13033193926840209</v>
      </c>
      <c r="I84">
        <v>0.83740552275494418</v>
      </c>
      <c r="J84">
        <v>0.8793092325069124</v>
      </c>
      <c r="K84">
        <v>0.232985522957015</v>
      </c>
      <c r="L84">
        <v>0.84125764403912562</v>
      </c>
      <c r="M84">
        <v>0.87757575142563304</v>
      </c>
      <c r="N84">
        <v>0.17252732600776877</v>
      </c>
      <c r="O84">
        <v>0.91767499733475499</v>
      </c>
      <c r="AU84" t="s">
        <v>306</v>
      </c>
      <c r="AV84">
        <v>3.0863584136606094E-2</v>
      </c>
      <c r="AW84">
        <v>0.58759460107293082</v>
      </c>
      <c r="AX84">
        <v>3.43618200169147E-2</v>
      </c>
      <c r="AY84">
        <v>2.2896642047813966E-2</v>
      </c>
      <c r="AZ84">
        <v>0.48801533378602047</v>
      </c>
      <c r="BA84">
        <v>2.8100668707711534E-2</v>
      </c>
      <c r="BB84">
        <v>6.4573288638236446E-3</v>
      </c>
      <c r="BC84">
        <v>0.28329385891029618</v>
      </c>
      <c r="BD84">
        <v>9.06802953644157E-3</v>
      </c>
      <c r="BE84">
        <v>1.7223017177126446E-2</v>
      </c>
      <c r="BF84">
        <v>0.41696505502133085</v>
      </c>
      <c r="BG84">
        <v>7.1660619777313616E-3</v>
      </c>
      <c r="BI84" t="s">
        <v>306</v>
      </c>
      <c r="BJ84" t="s">
        <v>409</v>
      </c>
      <c r="BK84" t="s">
        <v>410</v>
      </c>
      <c r="BL84">
        <v>0.5473890835548163</v>
      </c>
    </row>
    <row r="85" spans="2:64" x14ac:dyDescent="0.25">
      <c r="B85" t="s">
        <v>307</v>
      </c>
      <c r="C85" t="s">
        <v>31</v>
      </c>
      <c r="D85">
        <v>0.87897391484320009</v>
      </c>
      <c r="E85">
        <v>0.1180200740051096</v>
      </c>
      <c r="F85">
        <v>0.86230413033945841</v>
      </c>
      <c r="G85">
        <v>0.87499999999999989</v>
      </c>
      <c r="H85">
        <v>0.12009454588343993</v>
      </c>
      <c r="I85">
        <v>0.83566977441507739</v>
      </c>
      <c r="J85">
        <v>0.87833473792527761</v>
      </c>
      <c r="K85">
        <v>0.19595335274737744</v>
      </c>
      <c r="L85">
        <v>0.84320483085965414</v>
      </c>
      <c r="M85">
        <v>0.87641983458664807</v>
      </c>
      <c r="N85">
        <v>0.16015790419745635</v>
      </c>
      <c r="O85">
        <v>0.91730193884914435</v>
      </c>
      <c r="AU85" t="s">
        <v>307</v>
      </c>
      <c r="AV85">
        <v>2.7806824804825551E-2</v>
      </c>
      <c r="AW85">
        <v>0.55025529751154056</v>
      </c>
      <c r="AX85">
        <v>3.2995619643072925E-2</v>
      </c>
      <c r="AY85">
        <v>2.6700948294905474E-2</v>
      </c>
      <c r="AZ85">
        <v>0.50203028598815003</v>
      </c>
      <c r="BA85">
        <v>2.8349560523162672E-2</v>
      </c>
      <c r="BB85">
        <v>1.0208583296399924E-2</v>
      </c>
      <c r="BC85">
        <v>0.32917751964932745</v>
      </c>
      <c r="BD85">
        <v>1.3420831043873573E-2</v>
      </c>
      <c r="BE85">
        <v>2.1456982375572035E-2</v>
      </c>
      <c r="BF85">
        <v>0.43698400659656794</v>
      </c>
      <c r="BG85">
        <v>1.0169293179027093E-2</v>
      </c>
      <c r="BI85" t="s">
        <v>307</v>
      </c>
      <c r="BJ85" t="s">
        <v>409</v>
      </c>
      <c r="BK85" t="s">
        <v>410</v>
      </c>
      <c r="BL85">
        <v>0.51482398541064789</v>
      </c>
    </row>
    <row r="86" spans="2:64" x14ac:dyDescent="0.25">
      <c r="B86" t="s">
        <v>308</v>
      </c>
      <c r="C86" t="s">
        <v>31</v>
      </c>
      <c r="D86">
        <v>0.90227296263832513</v>
      </c>
      <c r="E86">
        <v>7.1934175523467675E-2</v>
      </c>
      <c r="F86">
        <v>0.86141323275327852</v>
      </c>
      <c r="G86">
        <v>0.87597172514585053</v>
      </c>
      <c r="H86">
        <v>0.11311239423065261</v>
      </c>
      <c r="I86">
        <v>0.83621418936372716</v>
      </c>
      <c r="J86">
        <v>0.87628117298923724</v>
      </c>
      <c r="K86">
        <v>0.2302191843854007</v>
      </c>
      <c r="L86">
        <v>0.84156261803409771</v>
      </c>
      <c r="M86">
        <v>0.87681439855038712</v>
      </c>
      <c r="N86">
        <v>0.17150289744297717</v>
      </c>
      <c r="O86">
        <v>0.90424120870722413</v>
      </c>
      <c r="AU86" t="s">
        <v>308</v>
      </c>
      <c r="AV86">
        <v>1.7479588316756063E-2</v>
      </c>
      <c r="AW86">
        <v>0.61077175277571039</v>
      </c>
      <c r="AX86">
        <v>3.756946323008227E-2</v>
      </c>
      <c r="AY86">
        <v>2.3304417537460549E-2</v>
      </c>
      <c r="AZ86">
        <v>0.5368722685627334</v>
      </c>
      <c r="BA86">
        <v>3.5085929796528519E-2</v>
      </c>
      <c r="BB86">
        <v>4.7120517173895688E-3</v>
      </c>
      <c r="BC86">
        <v>0.26864748788791509</v>
      </c>
      <c r="BD86">
        <v>9.7261327896627399E-3</v>
      </c>
      <c r="BE86">
        <v>1.5901084813718366E-2</v>
      </c>
      <c r="BF86">
        <v>0.42855303179267484</v>
      </c>
      <c r="BG86">
        <v>7.122939439878552E-3</v>
      </c>
      <c r="BI86" t="s">
        <v>308</v>
      </c>
      <c r="BJ86" t="s">
        <v>409</v>
      </c>
      <c r="BK86" t="s">
        <v>410</v>
      </c>
      <c r="BL86">
        <v>0.53342819975564948</v>
      </c>
    </row>
    <row r="87" spans="2:64" x14ac:dyDescent="0.25">
      <c r="B87" t="s">
        <v>309</v>
      </c>
      <c r="C87" t="s">
        <v>31</v>
      </c>
      <c r="D87">
        <v>0.875</v>
      </c>
      <c r="E87">
        <v>9.7702263852788282E-2</v>
      </c>
      <c r="F87">
        <v>0.88072802141316808</v>
      </c>
      <c r="G87">
        <v>0.8618811090555043</v>
      </c>
      <c r="H87">
        <v>0.10996029180987341</v>
      </c>
      <c r="I87">
        <v>0.83563356347734663</v>
      </c>
      <c r="J87">
        <v>0.86475043453369971</v>
      </c>
      <c r="K87">
        <v>0.16738579017317254</v>
      </c>
      <c r="L87">
        <v>0.8338777759381123</v>
      </c>
      <c r="M87">
        <v>0.87505085559787066</v>
      </c>
      <c r="N87">
        <v>0.15040755895609936</v>
      </c>
      <c r="O87">
        <v>0.92625516341018121</v>
      </c>
      <c r="AU87" t="s">
        <v>309</v>
      </c>
      <c r="AV87">
        <v>3.0806267013845142E-2</v>
      </c>
      <c r="AW87">
        <v>0.59823738863308495</v>
      </c>
      <c r="AX87">
        <v>2.9402475647492026E-2</v>
      </c>
      <c r="AY87">
        <v>3.373703001964256E-2</v>
      </c>
      <c r="AZ87">
        <v>0.54285351238293211</v>
      </c>
      <c r="BA87">
        <v>2.8039624783375461E-2</v>
      </c>
      <c r="BB87">
        <v>1.160965507835279E-2</v>
      </c>
      <c r="BC87">
        <v>0.33781248438442729</v>
      </c>
      <c r="BD87">
        <v>1.0446448582026632E-2</v>
      </c>
      <c r="BE87">
        <v>2.0975779439552103E-2</v>
      </c>
      <c r="BF87">
        <v>0.44096515334242575</v>
      </c>
      <c r="BG87">
        <v>6.3226038675638181E-3</v>
      </c>
      <c r="BI87" t="s">
        <v>309</v>
      </c>
      <c r="BJ87" t="s">
        <v>409</v>
      </c>
      <c r="BK87" t="s">
        <v>410</v>
      </c>
      <c r="BL87">
        <v>0.55572228467242712</v>
      </c>
    </row>
    <row r="88" spans="2:64" x14ac:dyDescent="0.25">
      <c r="B88" t="s">
        <v>310</v>
      </c>
      <c r="C88" t="s">
        <v>31</v>
      </c>
      <c r="D88">
        <v>0.87499999999999989</v>
      </c>
      <c r="E88">
        <v>7.9514959619080811E-2</v>
      </c>
      <c r="F88">
        <v>0.87460416707921129</v>
      </c>
      <c r="G88">
        <v>0.87437658312492472</v>
      </c>
      <c r="H88">
        <v>0.10451419343952539</v>
      </c>
      <c r="I88">
        <v>0.83515075525221338</v>
      </c>
      <c r="J88">
        <v>0.87318398797305474</v>
      </c>
      <c r="K88">
        <v>0.18350313684336961</v>
      </c>
      <c r="L88">
        <v>0.83509558711859144</v>
      </c>
      <c r="M88">
        <v>0.87623676014713336</v>
      </c>
      <c r="N88">
        <v>0.16033810114434785</v>
      </c>
      <c r="O88">
        <v>0.91552943669716336</v>
      </c>
      <c r="AU88" t="s">
        <v>310</v>
      </c>
      <c r="AV88">
        <v>3.2645263803498539E-2</v>
      </c>
      <c r="AW88">
        <v>0.62245148168432807</v>
      </c>
      <c r="AX88">
        <v>3.284675726192901E-2</v>
      </c>
      <c r="AY88">
        <v>3.0314124603686144E-2</v>
      </c>
      <c r="AZ88">
        <v>0.55852592820068325</v>
      </c>
      <c r="BA88">
        <v>3.2064021713944499E-2</v>
      </c>
      <c r="BB88">
        <v>7.1667007021312965E-3</v>
      </c>
      <c r="BC88">
        <v>0.31427141095257305</v>
      </c>
      <c r="BD88">
        <v>1.0714177776157302E-2</v>
      </c>
      <c r="BE88">
        <v>1.737763587802834E-2</v>
      </c>
      <c r="BF88">
        <v>0.43211776388039819</v>
      </c>
      <c r="BG88">
        <v>6.57184337259772E-3</v>
      </c>
      <c r="BI88" t="s">
        <v>310</v>
      </c>
      <c r="BJ88" t="s">
        <v>409</v>
      </c>
      <c r="BK88" t="s">
        <v>410</v>
      </c>
      <c r="BL88">
        <v>0.49662577446041006</v>
      </c>
    </row>
    <row r="89" spans="2:64" x14ac:dyDescent="0.25">
      <c r="B89" t="s">
        <v>311</v>
      </c>
      <c r="C89" t="s">
        <v>31</v>
      </c>
      <c r="D89">
        <v>0.47912886861056186</v>
      </c>
      <c r="E89">
        <v>0.41487778205469722</v>
      </c>
      <c r="F89">
        <v>0.40986777453664136</v>
      </c>
      <c r="G89">
        <v>0.42962178521059624</v>
      </c>
      <c r="H89">
        <v>0.4517888984462427</v>
      </c>
      <c r="I89">
        <v>0.43829964469650357</v>
      </c>
      <c r="J89">
        <v>0.20895562175408744</v>
      </c>
      <c r="K89">
        <v>0.20179421057054117</v>
      </c>
      <c r="L89">
        <v>0.21052701899720033</v>
      </c>
      <c r="M89">
        <v>0.47606244105080242</v>
      </c>
      <c r="N89">
        <v>0.46102679876211383</v>
      </c>
      <c r="O89">
        <v>0.48796962044812248</v>
      </c>
      <c r="AU89" t="s">
        <v>311</v>
      </c>
      <c r="AV89">
        <v>7.7916787992100806E-2</v>
      </c>
      <c r="AW89">
        <v>0.10009957450959543</v>
      </c>
      <c r="AX89">
        <v>8.9692025762881308E-2</v>
      </c>
      <c r="AY89">
        <v>7.5518102151745051E-2</v>
      </c>
      <c r="AZ89">
        <v>7.098189294770986E-2</v>
      </c>
      <c r="BA89">
        <v>7.953119444447701E-2</v>
      </c>
      <c r="BB89">
        <v>0.60821255090425752</v>
      </c>
      <c r="BC89">
        <v>0.61495708911036118</v>
      </c>
      <c r="BD89">
        <v>0.6102879164789492</v>
      </c>
      <c r="BE89">
        <v>0.16094006039259498</v>
      </c>
      <c r="BF89">
        <v>0.17734726908156365</v>
      </c>
      <c r="BG89">
        <v>0.18311755648301875</v>
      </c>
      <c r="BI89" t="s">
        <v>335</v>
      </c>
      <c r="BJ89" t="s">
        <v>409</v>
      </c>
      <c r="BK89" t="s">
        <v>410</v>
      </c>
      <c r="BL89">
        <v>0.26431507133817161</v>
      </c>
    </row>
    <row r="90" spans="2:64" x14ac:dyDescent="0.25">
      <c r="B90" t="s">
        <v>312</v>
      </c>
      <c r="C90" t="s">
        <v>31</v>
      </c>
      <c r="D90">
        <v>0.4084464794318326</v>
      </c>
      <c r="E90">
        <v>0.40918976397733564</v>
      </c>
      <c r="F90">
        <v>0.41836469277757332</v>
      </c>
      <c r="G90">
        <v>0.40508646659535974</v>
      </c>
      <c r="H90">
        <v>0.42650113270139456</v>
      </c>
      <c r="I90">
        <v>0.37099877814595483</v>
      </c>
      <c r="J90">
        <v>0.1728575204571029</v>
      </c>
      <c r="K90">
        <v>0.16687053394439527</v>
      </c>
      <c r="L90">
        <v>0.1758885335064844</v>
      </c>
      <c r="M90">
        <v>0.41160175469576565</v>
      </c>
      <c r="N90">
        <v>0.42335247674561249</v>
      </c>
      <c r="O90">
        <v>0.45549482862531709</v>
      </c>
      <c r="AU90" t="s">
        <v>312</v>
      </c>
      <c r="AV90">
        <v>0.13965307972330041</v>
      </c>
      <c r="AW90">
        <v>0.1244590884026717</v>
      </c>
      <c r="AX90">
        <v>0.12608600176345428</v>
      </c>
      <c r="AY90">
        <v>9.737319117628053E-2</v>
      </c>
      <c r="AZ90">
        <v>7.0763372636910751E-2</v>
      </c>
      <c r="BA90">
        <v>0.10057677398089668</v>
      </c>
      <c r="BB90">
        <v>0.68616964306324857</v>
      </c>
      <c r="BC90">
        <v>0.68152080748712784</v>
      </c>
      <c r="BD90">
        <v>0.68471521297822413</v>
      </c>
      <c r="BE90">
        <v>0.1469294480060522</v>
      </c>
      <c r="BF90">
        <v>0.16645832355961573</v>
      </c>
      <c r="BG90">
        <v>0.16405866873404654</v>
      </c>
      <c r="BI90" t="s">
        <v>336</v>
      </c>
      <c r="BJ90" t="s">
        <v>409</v>
      </c>
      <c r="BK90" t="s">
        <v>410</v>
      </c>
      <c r="BL90">
        <v>0.27558415001497077</v>
      </c>
    </row>
    <row r="91" spans="2:64" x14ac:dyDescent="0.25">
      <c r="B91" t="s">
        <v>313</v>
      </c>
      <c r="C91" t="s">
        <v>31</v>
      </c>
      <c r="D91">
        <v>0.33746258855730915</v>
      </c>
      <c r="E91">
        <v>0.44196020416984361</v>
      </c>
      <c r="F91">
        <v>0.36292104065188402</v>
      </c>
      <c r="G91">
        <v>0.42300966113124167</v>
      </c>
      <c r="H91">
        <v>0.41670783867438199</v>
      </c>
      <c r="I91">
        <v>0.36619104518671319</v>
      </c>
      <c r="J91">
        <v>0.22767812645649729</v>
      </c>
      <c r="K91">
        <v>0.22190659796609055</v>
      </c>
      <c r="L91">
        <v>0.21316072220575913</v>
      </c>
      <c r="M91">
        <v>0.40852396830566912</v>
      </c>
      <c r="N91">
        <v>0.47090446328788699</v>
      </c>
      <c r="O91">
        <v>0.41568373978302414</v>
      </c>
      <c r="AU91" t="s">
        <v>313</v>
      </c>
      <c r="AV91">
        <v>0.20136183923144951</v>
      </c>
      <c r="AW91">
        <v>0.11934961807299455</v>
      </c>
      <c r="AX91">
        <v>0.20687229563441004</v>
      </c>
      <c r="AY91">
        <v>0.12240078891327005</v>
      </c>
      <c r="AZ91">
        <v>9.6007600672567764E-2</v>
      </c>
      <c r="BA91">
        <v>0.16412560324206601</v>
      </c>
      <c r="BB91">
        <v>0.54570879669951633</v>
      </c>
      <c r="BC91">
        <v>0.5478581751137136</v>
      </c>
      <c r="BD91">
        <v>0.56620643087161626</v>
      </c>
      <c r="BE91">
        <v>0.11500307824867127</v>
      </c>
      <c r="BF91">
        <v>0.11441439305042</v>
      </c>
      <c r="BG91">
        <v>0.11333812571231716</v>
      </c>
      <c r="BI91" t="s">
        <v>337</v>
      </c>
      <c r="BJ91" t="s">
        <v>409</v>
      </c>
      <c r="BK91" t="s">
        <v>410</v>
      </c>
      <c r="BL91">
        <v>0.24693916270527766</v>
      </c>
    </row>
    <row r="92" spans="2:64" x14ac:dyDescent="0.25">
      <c r="B92" t="s">
        <v>314</v>
      </c>
      <c r="C92" t="s">
        <v>31</v>
      </c>
      <c r="D92">
        <v>0.27364892651557687</v>
      </c>
      <c r="E92">
        <v>0.38067548030134463</v>
      </c>
      <c r="F92">
        <v>0.26889264270727592</v>
      </c>
      <c r="G92">
        <v>0.39099621685469138</v>
      </c>
      <c r="H92">
        <v>0.42817963770737721</v>
      </c>
      <c r="I92">
        <v>0.31193972623830291</v>
      </c>
      <c r="J92">
        <v>0.22890640107483895</v>
      </c>
      <c r="K92">
        <v>0.2281949543138071</v>
      </c>
      <c r="L92">
        <v>0.22265258177342878</v>
      </c>
      <c r="M92">
        <v>0.37373010957237607</v>
      </c>
      <c r="N92">
        <v>0.45490853227996159</v>
      </c>
      <c r="O92">
        <v>0.36869866731834511</v>
      </c>
      <c r="AU92" t="s">
        <v>314</v>
      </c>
      <c r="AV92">
        <v>0.20354240136018048</v>
      </c>
      <c r="AW92">
        <v>0.14658430063523992</v>
      </c>
      <c r="AX92">
        <v>0.23804321735487421</v>
      </c>
      <c r="AY92">
        <v>0.15176203457267032</v>
      </c>
      <c r="AZ92">
        <v>0.14877587213477911</v>
      </c>
      <c r="BA92">
        <v>0.18437486963025568</v>
      </c>
      <c r="BB92">
        <v>0.57616198095334081</v>
      </c>
      <c r="BC92">
        <v>0.58656538231514788</v>
      </c>
      <c r="BD92">
        <v>0.58316931670102123</v>
      </c>
      <c r="BE92">
        <v>0.12148631282308638</v>
      </c>
      <c r="BF92">
        <v>0.10949440860423</v>
      </c>
      <c r="BG92">
        <v>0.12613182160732869</v>
      </c>
      <c r="BI92" t="s">
        <v>338</v>
      </c>
      <c r="BJ92" t="s">
        <v>409</v>
      </c>
      <c r="BK92" t="s">
        <v>410</v>
      </c>
      <c r="BL92">
        <v>0.28281461066553459</v>
      </c>
    </row>
    <row r="93" spans="2:64" x14ac:dyDescent="0.25">
      <c r="B93" t="s">
        <v>315</v>
      </c>
      <c r="C93" t="s">
        <v>31</v>
      </c>
      <c r="D93">
        <v>0.29437156439985629</v>
      </c>
      <c r="E93">
        <v>0.42686018119194374</v>
      </c>
      <c r="F93">
        <v>0.3125824184576253</v>
      </c>
      <c r="G93">
        <v>0.4068175446778029</v>
      </c>
      <c r="H93">
        <v>0.42118172415380845</v>
      </c>
      <c r="I93">
        <v>0.33678371359647424</v>
      </c>
      <c r="J93">
        <v>0.22574965805888753</v>
      </c>
      <c r="K93">
        <v>0.22000484038629781</v>
      </c>
      <c r="L93">
        <v>0.211514193623911</v>
      </c>
      <c r="M93">
        <v>0.36552732736555726</v>
      </c>
      <c r="N93">
        <v>0.46884963824267789</v>
      </c>
      <c r="O93">
        <v>0.39184383907504472</v>
      </c>
      <c r="AU93" t="s">
        <v>315</v>
      </c>
      <c r="AV93">
        <v>0.21876709067681419</v>
      </c>
      <c r="AW93">
        <v>0.12941874074105705</v>
      </c>
      <c r="AX93">
        <v>0.24088458929866846</v>
      </c>
      <c r="AY93">
        <v>0.15051491822239033</v>
      </c>
      <c r="AZ93">
        <v>0.12880353345976958</v>
      </c>
      <c r="BA93">
        <v>0.18818747232299662</v>
      </c>
      <c r="BB93">
        <v>0.56941215017421054</v>
      </c>
      <c r="BC93">
        <v>0.56995005388870235</v>
      </c>
      <c r="BD93">
        <v>0.57948041454562327</v>
      </c>
      <c r="BE93">
        <v>0.11983297654555494</v>
      </c>
      <c r="BF93">
        <v>0.11182667987742544</v>
      </c>
      <c r="BG93">
        <v>0.12577412232324617</v>
      </c>
      <c r="BI93" t="s">
        <v>339</v>
      </c>
      <c r="BJ93" t="s">
        <v>409</v>
      </c>
      <c r="BK93" t="s">
        <v>410</v>
      </c>
      <c r="BL93">
        <v>0.22791233126980767</v>
      </c>
    </row>
    <row r="94" spans="2:64" x14ac:dyDescent="0.25">
      <c r="B94" t="s">
        <v>316</v>
      </c>
      <c r="C94" t="s">
        <v>31</v>
      </c>
      <c r="D94">
        <v>0.3951926973121917</v>
      </c>
      <c r="E94">
        <v>0.41523249859096578</v>
      </c>
      <c r="F94">
        <v>0.46929273803308758</v>
      </c>
      <c r="G94">
        <v>0.28747232424125013</v>
      </c>
      <c r="H94">
        <v>0.29657181650956638</v>
      </c>
      <c r="I94">
        <v>0.27817358834138156</v>
      </c>
      <c r="J94">
        <v>0.2539210548059434</v>
      </c>
      <c r="K94">
        <v>0.27567564218509411</v>
      </c>
      <c r="L94">
        <v>0.25632714252279948</v>
      </c>
      <c r="M94">
        <v>0.40324773685978871</v>
      </c>
      <c r="N94">
        <v>0.42012974987511525</v>
      </c>
      <c r="O94">
        <v>0.4782570937420132</v>
      </c>
      <c r="AU94" t="s">
        <v>316</v>
      </c>
      <c r="AV94">
        <v>0.20031913410949131</v>
      </c>
      <c r="AW94">
        <v>0.14324963284067641</v>
      </c>
      <c r="AX94">
        <v>0.14685228653973698</v>
      </c>
      <c r="AY94">
        <v>0.28780612941426348</v>
      </c>
      <c r="AZ94">
        <v>0.25219999096587303</v>
      </c>
      <c r="BA94">
        <v>0.29416251655310111</v>
      </c>
      <c r="BB94">
        <v>0.47775500869517545</v>
      </c>
      <c r="BC94">
        <v>0.4240654974208577</v>
      </c>
      <c r="BD94">
        <v>0.48053265062983408</v>
      </c>
      <c r="BE94">
        <v>0.19915655808918489</v>
      </c>
      <c r="BF94">
        <v>0.1772506403719426</v>
      </c>
      <c r="BG94">
        <v>0.16947404889220652</v>
      </c>
      <c r="BI94" t="s">
        <v>340</v>
      </c>
      <c r="BJ94" t="s">
        <v>409</v>
      </c>
      <c r="BK94" t="s">
        <v>410</v>
      </c>
      <c r="BL94">
        <v>0.21111456809012369</v>
      </c>
    </row>
    <row r="95" spans="2:64" x14ac:dyDescent="0.25">
      <c r="B95" t="s">
        <v>317</v>
      </c>
      <c r="C95" t="s">
        <v>31</v>
      </c>
      <c r="D95">
        <v>0.36216147871904686</v>
      </c>
      <c r="E95">
        <v>0.36663834035285342</v>
      </c>
      <c r="F95">
        <v>0.37142497225621207</v>
      </c>
      <c r="G95">
        <v>0.2558730481649874</v>
      </c>
      <c r="H95">
        <v>0.25136428252511173</v>
      </c>
      <c r="I95">
        <v>0.23675470163297482</v>
      </c>
      <c r="J95">
        <v>0.22980725617894407</v>
      </c>
      <c r="K95">
        <v>0.2432252470875802</v>
      </c>
      <c r="L95">
        <v>0.23136306442189358</v>
      </c>
      <c r="M95">
        <v>0.40321779308816125</v>
      </c>
      <c r="N95">
        <v>0.39641430470348366</v>
      </c>
      <c r="O95">
        <v>0.43754543191121187</v>
      </c>
      <c r="AU95" t="s">
        <v>317</v>
      </c>
      <c r="AV95">
        <v>0.23402871005502582</v>
      </c>
      <c r="AW95">
        <v>0.15741672728923539</v>
      </c>
      <c r="AX95">
        <v>0.20109803161321091</v>
      </c>
      <c r="AY95">
        <v>0.24836552375908474</v>
      </c>
      <c r="AZ95">
        <v>0.21511949195967461</v>
      </c>
      <c r="BA95">
        <v>0.26539296550525326</v>
      </c>
      <c r="BB95">
        <v>0.5380149092244253</v>
      </c>
      <c r="BC95">
        <v>0.50073125720724077</v>
      </c>
      <c r="BD95">
        <v>0.53837128022974612</v>
      </c>
      <c r="BE95">
        <v>0.20356859880446254</v>
      </c>
      <c r="BF95">
        <v>0.18740237092953071</v>
      </c>
      <c r="BG95">
        <v>0.19077177107482871</v>
      </c>
      <c r="BI95" t="s">
        <v>341</v>
      </c>
      <c r="BJ95" t="s">
        <v>409</v>
      </c>
      <c r="BK95" t="s">
        <v>410</v>
      </c>
      <c r="BL95">
        <v>0.19108520843687829</v>
      </c>
    </row>
    <row r="96" spans="2:64" x14ac:dyDescent="0.25">
      <c r="B96" t="s">
        <v>318</v>
      </c>
      <c r="C96" t="s">
        <v>31</v>
      </c>
      <c r="D96">
        <v>0.2874045572400683</v>
      </c>
      <c r="E96">
        <v>0.32379740561381171</v>
      </c>
      <c r="F96">
        <v>0.30492257788534599</v>
      </c>
      <c r="G96">
        <v>0.32699160677514638</v>
      </c>
      <c r="H96">
        <v>0.36246007482568454</v>
      </c>
      <c r="I96">
        <v>0.2624102096000403</v>
      </c>
      <c r="J96">
        <v>0.20048746810425552</v>
      </c>
      <c r="K96">
        <v>0.21047507718720174</v>
      </c>
      <c r="L96">
        <v>0.20028718662157491</v>
      </c>
      <c r="M96">
        <v>0.35284663613959899</v>
      </c>
      <c r="N96">
        <v>0.38810294111327087</v>
      </c>
      <c r="O96">
        <v>0.34669779163027575</v>
      </c>
      <c r="AU96" t="s">
        <v>318</v>
      </c>
      <c r="AV96">
        <v>0.21921105414763603</v>
      </c>
      <c r="AW96">
        <v>0.18012708754515813</v>
      </c>
      <c r="AX96">
        <v>0.19639184727017331</v>
      </c>
      <c r="AY96">
        <v>0.19068797480586705</v>
      </c>
      <c r="AZ96">
        <v>0.12714247746722243</v>
      </c>
      <c r="BA96">
        <v>0.19895405223227178</v>
      </c>
      <c r="BB96">
        <v>0.62966381783281111</v>
      </c>
      <c r="BC96">
        <v>0.63046474827837495</v>
      </c>
      <c r="BD96">
        <v>0.63428480696716327</v>
      </c>
      <c r="BE96">
        <v>0.15144297761950259</v>
      </c>
      <c r="BF96">
        <v>0.13962083207702497</v>
      </c>
      <c r="BG96">
        <v>0.14633602536285406</v>
      </c>
      <c r="BI96" t="s">
        <v>342</v>
      </c>
      <c r="BJ96" t="s">
        <v>409</v>
      </c>
      <c r="BK96" t="s">
        <v>410</v>
      </c>
      <c r="BL96">
        <v>0.21856100285463595</v>
      </c>
    </row>
    <row r="97" spans="2:64" x14ac:dyDescent="0.25">
      <c r="B97" t="s">
        <v>319</v>
      </c>
      <c r="C97" t="s">
        <v>31</v>
      </c>
      <c r="D97">
        <v>0.30577155136060202</v>
      </c>
      <c r="E97">
        <v>0.3183100344157575</v>
      </c>
      <c r="F97">
        <v>0.31342336298025181</v>
      </c>
      <c r="G97">
        <v>0.23164048297627909</v>
      </c>
      <c r="H97">
        <v>0.24682682703937148</v>
      </c>
      <c r="I97">
        <v>0.19734409475137152</v>
      </c>
      <c r="J97">
        <v>0.19906011281109345</v>
      </c>
      <c r="K97">
        <v>0.21485503044003201</v>
      </c>
      <c r="L97">
        <v>0.21221132213871419</v>
      </c>
      <c r="M97">
        <v>0.35771334350621709</v>
      </c>
      <c r="N97">
        <v>0.37649507409130656</v>
      </c>
      <c r="O97">
        <v>0.36475111743197869</v>
      </c>
      <c r="AU97" t="s">
        <v>319</v>
      </c>
      <c r="AV97">
        <v>0.26866536582253359</v>
      </c>
      <c r="AW97">
        <v>0.15827983765981393</v>
      </c>
      <c r="AX97">
        <v>0.24199471777049888</v>
      </c>
      <c r="AY97">
        <v>0.22473466130219483</v>
      </c>
      <c r="AZ97">
        <v>0.19458060062911384</v>
      </c>
      <c r="BA97">
        <v>0.26872592386183758</v>
      </c>
      <c r="BB97">
        <v>0.63721452850905957</v>
      </c>
      <c r="BC97">
        <v>0.61706944944600961</v>
      </c>
      <c r="BD97">
        <v>0.62758152418061641</v>
      </c>
      <c r="BE97">
        <v>0.21672887853233955</v>
      </c>
      <c r="BF97">
        <v>0.19816045015780751</v>
      </c>
      <c r="BG97">
        <v>0.20074729101621264</v>
      </c>
      <c r="BI97" t="s">
        <v>343</v>
      </c>
      <c r="BJ97" t="s">
        <v>409</v>
      </c>
      <c r="BK97" t="s">
        <v>410</v>
      </c>
      <c r="BL97">
        <v>0.17810411024965481</v>
      </c>
    </row>
    <row r="98" spans="2:64" x14ac:dyDescent="0.25">
      <c r="B98" t="s">
        <v>320</v>
      </c>
      <c r="C98" t="s">
        <v>31</v>
      </c>
      <c r="D98">
        <v>0.31488708845166113</v>
      </c>
      <c r="E98">
        <v>0.30193433989161272</v>
      </c>
      <c r="F98">
        <v>0.34743882023796707</v>
      </c>
      <c r="G98">
        <v>0.24044782698551884</v>
      </c>
      <c r="H98">
        <v>0.26366137711190252</v>
      </c>
      <c r="I98">
        <v>0.2157909975593543</v>
      </c>
      <c r="J98">
        <v>0.17896010455063227</v>
      </c>
      <c r="K98">
        <v>0.19785547818881175</v>
      </c>
      <c r="L98">
        <v>0.18489063303357059</v>
      </c>
      <c r="M98">
        <v>0.35237432084922904</v>
      </c>
      <c r="N98">
        <v>0.37007847163443935</v>
      </c>
      <c r="O98">
        <v>0.3921727950091568</v>
      </c>
      <c r="AU98" t="s">
        <v>320</v>
      </c>
      <c r="AV98">
        <v>0.24301407312682244</v>
      </c>
      <c r="AW98">
        <v>0.17765414804166915</v>
      </c>
      <c r="AX98">
        <v>0.13921052619898969</v>
      </c>
      <c r="AY98">
        <v>0.24443027385930219</v>
      </c>
      <c r="AZ98">
        <v>0.15625623037088868</v>
      </c>
      <c r="BA98">
        <v>0.23789077647889587</v>
      </c>
      <c r="BB98">
        <v>0.69636126325708936</v>
      </c>
      <c r="BC98">
        <v>0.6868721922753297</v>
      </c>
      <c r="BD98">
        <v>0.68874675821675968</v>
      </c>
      <c r="BE98">
        <v>0.22608712519069318</v>
      </c>
      <c r="BF98">
        <v>0.2087848125760417</v>
      </c>
      <c r="BG98">
        <v>0.1812729738943481</v>
      </c>
      <c r="BI98" t="s">
        <v>344</v>
      </c>
      <c r="BJ98" t="s">
        <v>409</v>
      </c>
      <c r="BK98" t="s">
        <v>410</v>
      </c>
      <c r="BL98">
        <v>0.15473178192048692</v>
      </c>
    </row>
    <row r="99" spans="2:64" x14ac:dyDescent="0.25">
      <c r="B99" t="s">
        <v>321</v>
      </c>
      <c r="C99" t="s">
        <v>31</v>
      </c>
      <c r="D99">
        <v>0.30148741951561625</v>
      </c>
      <c r="E99">
        <v>0.41467111251120592</v>
      </c>
      <c r="F99">
        <v>0.40781880517879715</v>
      </c>
      <c r="G99">
        <v>0.21624803948433</v>
      </c>
      <c r="H99">
        <v>0.28398329031017416</v>
      </c>
      <c r="I99">
        <v>0.21224811704990926</v>
      </c>
      <c r="J99">
        <v>0.23052472795475698</v>
      </c>
      <c r="K99">
        <v>0.23398068689330651</v>
      </c>
      <c r="L99">
        <v>0.22712182967837871</v>
      </c>
      <c r="M99">
        <v>0.40174620570034375</v>
      </c>
      <c r="N99">
        <v>0.45065312630172483</v>
      </c>
      <c r="O99">
        <v>0.46029804119482964</v>
      </c>
      <c r="AU99" t="s">
        <v>321</v>
      </c>
      <c r="AV99">
        <v>0.24533876436502311</v>
      </c>
      <c r="AW99">
        <v>0.10841510343987143</v>
      </c>
      <c r="AX99">
        <v>0.13988910091518855</v>
      </c>
      <c r="AY99">
        <v>0.27148530314519126</v>
      </c>
      <c r="AZ99">
        <v>0.26329121855235404</v>
      </c>
      <c r="BA99">
        <v>0.38931947752790791</v>
      </c>
      <c r="BB99">
        <v>0.55868832690615899</v>
      </c>
      <c r="BC99">
        <v>0.57320802742731491</v>
      </c>
      <c r="BD99">
        <v>0.57919164394681322</v>
      </c>
      <c r="BE99">
        <v>0.24202355337931422</v>
      </c>
      <c r="BF99">
        <v>0.20584738397401584</v>
      </c>
      <c r="BG99">
        <v>0.1920687134419381</v>
      </c>
      <c r="BI99" t="s">
        <v>345</v>
      </c>
      <c r="BJ99" t="s">
        <v>409</v>
      </c>
      <c r="BK99" t="s">
        <v>410</v>
      </c>
      <c r="BL99">
        <v>0.14786434461239842</v>
      </c>
    </row>
    <row r="100" spans="2:64" x14ac:dyDescent="0.25">
      <c r="B100" t="s">
        <v>322</v>
      </c>
      <c r="C100" t="s">
        <v>31</v>
      </c>
      <c r="D100">
        <v>0.34557923231161364</v>
      </c>
      <c r="E100">
        <v>0.33783493254240526</v>
      </c>
      <c r="F100">
        <v>0.38099207438961818</v>
      </c>
      <c r="G100">
        <v>0.27522725430368722</v>
      </c>
      <c r="H100">
        <v>0.29536688930357086</v>
      </c>
      <c r="I100">
        <v>0.21372475687928522</v>
      </c>
      <c r="J100">
        <v>0.21742032794321323</v>
      </c>
      <c r="K100">
        <v>0.24558611310144754</v>
      </c>
      <c r="L100">
        <v>0.21630902336390315</v>
      </c>
      <c r="M100">
        <v>0.38831844257108877</v>
      </c>
      <c r="N100">
        <v>0.40663036763747601</v>
      </c>
      <c r="O100">
        <v>0.41375295063467232</v>
      </c>
      <c r="AU100" t="s">
        <v>322</v>
      </c>
      <c r="AV100">
        <v>0.28476349927606265</v>
      </c>
      <c r="AW100">
        <v>0.20917296198112564</v>
      </c>
      <c r="AX100">
        <v>0.16986211740165089</v>
      </c>
      <c r="AY100">
        <v>0.27856323028419344</v>
      </c>
      <c r="AZ100">
        <v>0.11772029975855824</v>
      </c>
      <c r="BA100">
        <v>0.25989338040270671</v>
      </c>
      <c r="BB100">
        <v>0.5932963009514971</v>
      </c>
      <c r="BC100">
        <v>0.58020178006669698</v>
      </c>
      <c r="BD100">
        <v>0.59761207633623603</v>
      </c>
      <c r="BE100">
        <v>0.22785849237867287</v>
      </c>
      <c r="BF100">
        <v>0.19411989547199632</v>
      </c>
      <c r="BG100">
        <v>0.19874479221527019</v>
      </c>
      <c r="BI100" t="s">
        <v>346</v>
      </c>
      <c r="BJ100" t="s">
        <v>409</v>
      </c>
      <c r="BK100" t="s">
        <v>410</v>
      </c>
      <c r="BL100">
        <v>0.20269903152711022</v>
      </c>
    </row>
    <row r="101" spans="2:64" x14ac:dyDescent="0.25">
      <c r="B101" t="s">
        <v>323</v>
      </c>
      <c r="C101" t="s">
        <v>31</v>
      </c>
      <c r="D101">
        <v>0.39446802547345178</v>
      </c>
      <c r="E101">
        <v>0.40887817708112867</v>
      </c>
      <c r="F101">
        <v>0.3142064758923131</v>
      </c>
      <c r="G101">
        <v>0.38081390582896979</v>
      </c>
      <c r="H101">
        <v>0.37280152917086518</v>
      </c>
      <c r="I101">
        <v>0.30354397670509758</v>
      </c>
      <c r="J101">
        <v>0.19981515625288757</v>
      </c>
      <c r="K101">
        <v>0.29310628840769642</v>
      </c>
      <c r="L101">
        <v>0.24557671961158656</v>
      </c>
      <c r="M101">
        <v>0.30609165605147443</v>
      </c>
      <c r="N101">
        <v>0.38729492378792035</v>
      </c>
      <c r="O101">
        <v>0.32417046041533359</v>
      </c>
      <c r="AU101" t="s">
        <v>323</v>
      </c>
      <c r="AV101">
        <v>0.18692135392342343</v>
      </c>
      <c r="AW101">
        <v>0.20951775840156675</v>
      </c>
      <c r="AX101">
        <v>0.24326639272381401</v>
      </c>
      <c r="AY101">
        <v>0.26925308764857109</v>
      </c>
      <c r="AZ101">
        <v>0.196059541842112</v>
      </c>
      <c r="BA101">
        <v>0.3283412178691954</v>
      </c>
      <c r="BB101">
        <v>0.38897208590586846</v>
      </c>
      <c r="BC101">
        <v>0.24802552448688456</v>
      </c>
      <c r="BD101">
        <v>0.45893272113553996</v>
      </c>
      <c r="BE101">
        <v>0.24622888226607964</v>
      </c>
      <c r="BF101">
        <v>0.1859606146731104</v>
      </c>
      <c r="BG101">
        <v>0.25330183857893895</v>
      </c>
      <c r="BI101" t="s">
        <v>347</v>
      </c>
      <c r="BJ101" t="s">
        <v>409</v>
      </c>
      <c r="BK101" t="s">
        <v>410</v>
      </c>
      <c r="BL101">
        <v>0.1958984715905823</v>
      </c>
    </row>
    <row r="102" spans="2:64" x14ac:dyDescent="0.25">
      <c r="B102" t="s">
        <v>324</v>
      </c>
      <c r="C102" t="s">
        <v>31</v>
      </c>
      <c r="D102">
        <v>0.26952217249017463</v>
      </c>
      <c r="E102">
        <v>0.30143287102008026</v>
      </c>
      <c r="F102">
        <v>0.25637361280198157</v>
      </c>
      <c r="G102">
        <v>0.39281233525166115</v>
      </c>
      <c r="H102">
        <v>0.49266398964865499</v>
      </c>
      <c r="I102">
        <v>0.40013329818072096</v>
      </c>
      <c r="J102">
        <v>0.21858526538039844</v>
      </c>
      <c r="K102">
        <v>0.29151732986657947</v>
      </c>
      <c r="L102">
        <v>0.19920927616861159</v>
      </c>
      <c r="M102">
        <v>0.30966472988902966</v>
      </c>
      <c r="N102">
        <v>0.31927343150140886</v>
      </c>
      <c r="O102">
        <v>0.30708838005916872</v>
      </c>
      <c r="AU102" t="s">
        <v>324</v>
      </c>
      <c r="AV102">
        <v>0.3016690103189541</v>
      </c>
      <c r="AW102">
        <v>0.29855072870598393</v>
      </c>
      <c r="AX102">
        <v>0.3481542577997479</v>
      </c>
      <c r="AY102">
        <v>0.32356826747326595</v>
      </c>
      <c r="AZ102">
        <v>0.22797224289072815</v>
      </c>
      <c r="BA102">
        <v>0.34704506533547586</v>
      </c>
      <c r="BB102">
        <v>0.53771703338390708</v>
      </c>
      <c r="BC102">
        <v>0.44565509440541795</v>
      </c>
      <c r="BD102">
        <v>0.69403774588115441</v>
      </c>
      <c r="BE102">
        <v>0.38927578800563728</v>
      </c>
      <c r="BF102">
        <v>0.31833802814390455</v>
      </c>
      <c r="BG102">
        <v>0.43785786459556086</v>
      </c>
      <c r="BI102" t="s">
        <v>348</v>
      </c>
      <c r="BJ102" t="s">
        <v>409</v>
      </c>
      <c r="BK102" t="s">
        <v>410</v>
      </c>
      <c r="BL102">
        <v>0.21427014908738964</v>
      </c>
    </row>
    <row r="103" spans="2:64" x14ac:dyDescent="0.25">
      <c r="B103" t="s">
        <v>325</v>
      </c>
      <c r="C103" t="s">
        <v>31</v>
      </c>
      <c r="D103">
        <v>0.31936470158909896</v>
      </c>
      <c r="E103">
        <v>0.3446824651008355</v>
      </c>
      <c r="F103">
        <v>0.26875581977497814</v>
      </c>
      <c r="G103">
        <v>0.37867584589899983</v>
      </c>
      <c r="H103">
        <v>0.40560972911468107</v>
      </c>
      <c r="I103">
        <v>0.30983408338171625</v>
      </c>
      <c r="J103">
        <v>0.24485925406444506</v>
      </c>
      <c r="K103">
        <v>0.34293008619489362</v>
      </c>
      <c r="L103">
        <v>0.22146142216684897</v>
      </c>
      <c r="M103">
        <v>0.32744000596552897</v>
      </c>
      <c r="N103">
        <v>0.40099052497032694</v>
      </c>
      <c r="O103">
        <v>0.29988371516349022</v>
      </c>
      <c r="AU103" t="s">
        <v>325</v>
      </c>
      <c r="AV103">
        <v>0.22452486439179739</v>
      </c>
      <c r="AW103">
        <v>0.24542071942331101</v>
      </c>
      <c r="AX103">
        <v>0.29156894509538483</v>
      </c>
      <c r="AY103">
        <v>0.23071824127448243</v>
      </c>
      <c r="AZ103">
        <v>0.22017084965037892</v>
      </c>
      <c r="BA103">
        <v>0.36688520826154081</v>
      </c>
      <c r="BB103">
        <v>0.28302959423062857</v>
      </c>
      <c r="BC103">
        <v>0.20703626374547177</v>
      </c>
      <c r="BD103">
        <v>0.44261439816486653</v>
      </c>
      <c r="BE103">
        <v>0.20637617828688701</v>
      </c>
      <c r="BF103">
        <v>0.17795935196796059</v>
      </c>
      <c r="BG103">
        <v>0.31589907101336873</v>
      </c>
      <c r="BI103" t="s">
        <v>349</v>
      </c>
      <c r="BJ103" t="s">
        <v>409</v>
      </c>
      <c r="BK103" t="s">
        <v>410</v>
      </c>
      <c r="BL103">
        <v>0.25557401275427155</v>
      </c>
    </row>
    <row r="104" spans="2:64" x14ac:dyDescent="0.25">
      <c r="B104" t="s">
        <v>326</v>
      </c>
      <c r="C104" t="s">
        <v>31</v>
      </c>
      <c r="D104">
        <v>0.25589121395893011</v>
      </c>
      <c r="E104">
        <v>0.24695481383564302</v>
      </c>
      <c r="F104">
        <v>0.22371123176578164</v>
      </c>
      <c r="G104">
        <v>0.35510762195024609</v>
      </c>
      <c r="H104">
        <v>0.42192353260176518</v>
      </c>
      <c r="I104">
        <v>0.31998567178809256</v>
      </c>
      <c r="J104">
        <v>0.17043157817734458</v>
      </c>
      <c r="K104">
        <v>0.20241764233438664</v>
      </c>
      <c r="L104">
        <v>0.11769696861702507</v>
      </c>
      <c r="M104">
        <v>0.29582259170090669</v>
      </c>
      <c r="N104">
        <v>0.30700641221486458</v>
      </c>
      <c r="O104">
        <v>0.26240708421781977</v>
      </c>
      <c r="AU104" t="s">
        <v>326</v>
      </c>
      <c r="AV104">
        <v>0.42458836329443966</v>
      </c>
      <c r="AW104">
        <v>0.46544358665643321</v>
      </c>
      <c r="AX104">
        <v>0.5908482665400171</v>
      </c>
      <c r="AY104">
        <v>0.34619258732631242</v>
      </c>
      <c r="AZ104">
        <v>0.31055281364323895</v>
      </c>
      <c r="BA104">
        <v>0.46602670904607718</v>
      </c>
      <c r="BB104">
        <v>0.66509320843499087</v>
      </c>
      <c r="BC104">
        <v>0.65406666053457763</v>
      </c>
      <c r="BD104">
        <v>0.7839329223259619</v>
      </c>
      <c r="BE104">
        <v>0.41994351748094577</v>
      </c>
      <c r="BF104">
        <v>0.41551992235265189</v>
      </c>
      <c r="BG104">
        <v>0.56642139945164904</v>
      </c>
      <c r="BI104" t="s">
        <v>350</v>
      </c>
      <c r="BJ104" t="s">
        <v>409</v>
      </c>
      <c r="BK104" t="s">
        <v>410</v>
      </c>
      <c r="BL104">
        <v>0.27509862589184797</v>
      </c>
    </row>
    <row r="105" spans="2:64" x14ac:dyDescent="0.25">
      <c r="B105" t="s">
        <v>327</v>
      </c>
      <c r="C105" t="s">
        <v>31</v>
      </c>
      <c r="D105">
        <v>0.3419625989002118</v>
      </c>
      <c r="E105">
        <v>0.35105103547357225</v>
      </c>
      <c r="F105">
        <v>0.36705107860254682</v>
      </c>
      <c r="G105">
        <v>0.38489304499380661</v>
      </c>
      <c r="H105">
        <v>0.39604661774646704</v>
      </c>
      <c r="I105">
        <v>0.39942265922031139</v>
      </c>
      <c r="J105">
        <v>0.14261586620978062</v>
      </c>
      <c r="K105">
        <v>0.14986371278672342</v>
      </c>
      <c r="L105">
        <v>0.13122475798141048</v>
      </c>
      <c r="M105">
        <v>0.33794530712358212</v>
      </c>
      <c r="N105">
        <v>0.3510245776454195</v>
      </c>
      <c r="O105">
        <v>0.33402176483998719</v>
      </c>
      <c r="AU105" t="s">
        <v>327</v>
      </c>
      <c r="AV105">
        <v>0.25054950607783738</v>
      </c>
      <c r="AW105">
        <v>0.21793946815778567</v>
      </c>
      <c r="AX105">
        <v>0.2637585336203</v>
      </c>
      <c r="AY105">
        <v>0.25491815312392296</v>
      </c>
      <c r="AZ105">
        <v>0.27776723824458566</v>
      </c>
      <c r="BA105">
        <v>0.29056603825166444</v>
      </c>
      <c r="BB105">
        <v>0.66018232203260585</v>
      </c>
      <c r="BC105">
        <v>0.64690791130596048</v>
      </c>
      <c r="BD105">
        <v>0.68114522911170483</v>
      </c>
      <c r="BE105">
        <v>0.29474763696971856</v>
      </c>
      <c r="BF105">
        <v>0.29008953398713649</v>
      </c>
      <c r="BG105">
        <v>0.31317936602177804</v>
      </c>
      <c r="BI105" t="s">
        <v>351</v>
      </c>
      <c r="BJ105" t="s">
        <v>409</v>
      </c>
      <c r="BK105" t="s">
        <v>410</v>
      </c>
      <c r="BL105">
        <v>0.26599201041566045</v>
      </c>
    </row>
    <row r="106" spans="2:64" x14ac:dyDescent="0.25">
      <c r="B106" t="s">
        <v>328</v>
      </c>
      <c r="C106" t="s">
        <v>31</v>
      </c>
      <c r="D106">
        <v>0.29407822022187519</v>
      </c>
      <c r="E106">
        <v>0.2862881382382238</v>
      </c>
      <c r="F106">
        <v>0.30523674234599529</v>
      </c>
      <c r="G106">
        <v>0.38203257525001338</v>
      </c>
      <c r="H106">
        <v>0.39731085215091438</v>
      </c>
      <c r="I106">
        <v>0.39827102438987566</v>
      </c>
      <c r="J106">
        <v>0.13625133121336266</v>
      </c>
      <c r="K106">
        <v>0.14775694437500009</v>
      </c>
      <c r="L106">
        <v>0.12358717493074908</v>
      </c>
      <c r="M106">
        <v>0.30067044733992393</v>
      </c>
      <c r="N106">
        <v>0.3170304260153507</v>
      </c>
      <c r="O106">
        <v>0.3037113056004031</v>
      </c>
      <c r="AU106" t="s">
        <v>328</v>
      </c>
      <c r="AV106">
        <v>0.51480598679661482</v>
      </c>
      <c r="AW106">
        <v>0.503485439200826</v>
      </c>
      <c r="AX106">
        <v>0.50259391951802512</v>
      </c>
      <c r="AY106">
        <v>0.3328316500257848</v>
      </c>
      <c r="AZ106">
        <v>0.32915433786431547</v>
      </c>
      <c r="BA106">
        <v>0.35374361683283728</v>
      </c>
      <c r="BB106">
        <v>0.70729490037953358</v>
      </c>
      <c r="BC106">
        <v>0.69339071447869283</v>
      </c>
      <c r="BD106">
        <v>0.72683873511441466</v>
      </c>
      <c r="BE106">
        <v>0.3801898098664645</v>
      </c>
      <c r="BF106">
        <v>0.36859400185623981</v>
      </c>
      <c r="BG106">
        <v>0.39575051271779316</v>
      </c>
      <c r="BI106" t="s">
        <v>352</v>
      </c>
      <c r="BJ106" t="s">
        <v>409</v>
      </c>
      <c r="BK106" t="s">
        <v>410</v>
      </c>
      <c r="BL106">
        <v>0.19365919151149222</v>
      </c>
    </row>
    <row r="107" spans="2:64" x14ac:dyDescent="0.25">
      <c r="B107" t="s">
        <v>329</v>
      </c>
      <c r="C107" t="s">
        <v>31</v>
      </c>
      <c r="D107">
        <v>0.46347165134384755</v>
      </c>
      <c r="E107">
        <v>0.48276838363704838</v>
      </c>
      <c r="F107">
        <v>0.36405752784147322</v>
      </c>
      <c r="G107">
        <v>0.31864669903790616</v>
      </c>
      <c r="H107">
        <v>0.32348313597954476</v>
      </c>
      <c r="I107">
        <v>0.27816961803623219</v>
      </c>
      <c r="J107">
        <v>0.22675835868988928</v>
      </c>
      <c r="K107">
        <v>0.29250588921008469</v>
      </c>
      <c r="L107">
        <v>0.2933820620568735</v>
      </c>
      <c r="M107">
        <v>0.3862541996854636</v>
      </c>
      <c r="N107">
        <v>0.4372007538352522</v>
      </c>
      <c r="O107">
        <v>0.37901482365211536</v>
      </c>
      <c r="AU107" t="s">
        <v>329</v>
      </c>
      <c r="AV107">
        <v>0.10388289571168761</v>
      </c>
      <c r="AW107">
        <v>0.1032256501011823</v>
      </c>
      <c r="AX107">
        <v>0.14401886944083395</v>
      </c>
      <c r="AY107">
        <v>0.30663935238794876</v>
      </c>
      <c r="AZ107">
        <v>0.20355910331568117</v>
      </c>
      <c r="BA107">
        <v>0.37344050951109309</v>
      </c>
      <c r="BB107">
        <v>0.44733822302465659</v>
      </c>
      <c r="BC107">
        <v>0.35540132957011128</v>
      </c>
      <c r="BD107">
        <v>0.34796077093341665</v>
      </c>
      <c r="BE107">
        <v>0.17580001787955302</v>
      </c>
      <c r="BF107">
        <v>0.14376541154464892</v>
      </c>
      <c r="BG107">
        <v>0.14150714915652804</v>
      </c>
      <c r="BI107" t="s">
        <v>353</v>
      </c>
      <c r="BJ107" t="s">
        <v>409</v>
      </c>
      <c r="BK107" t="s">
        <v>410</v>
      </c>
      <c r="BL107">
        <v>0.21329867759594479</v>
      </c>
    </row>
    <row r="108" spans="2:64" x14ac:dyDescent="0.25">
      <c r="B108" t="s">
        <v>330</v>
      </c>
      <c r="C108" t="s">
        <v>31</v>
      </c>
      <c r="D108">
        <v>0.66047153380869372</v>
      </c>
      <c r="E108">
        <v>0.57184824909325815</v>
      </c>
      <c r="F108">
        <v>0.4955324843779329</v>
      </c>
      <c r="G108">
        <v>0.3700695269305852</v>
      </c>
      <c r="H108">
        <v>0.33157689646673444</v>
      </c>
      <c r="I108">
        <v>0.28302188527905731</v>
      </c>
      <c r="J108">
        <v>0.30630115743948189</v>
      </c>
      <c r="K108">
        <v>0.32143682656754657</v>
      </c>
      <c r="L108">
        <v>0.2868398640289096</v>
      </c>
      <c r="M108">
        <v>0.40507113455648375</v>
      </c>
      <c r="N108">
        <v>0.38077137074237893</v>
      </c>
      <c r="O108">
        <v>0.39652802804304393</v>
      </c>
      <c r="AU108" t="s">
        <v>330</v>
      </c>
      <c r="AV108">
        <v>8.1821099457123278E-2</v>
      </c>
      <c r="AW108">
        <v>0.11708535426917299</v>
      </c>
      <c r="AX108">
        <v>0.12681640045203743</v>
      </c>
      <c r="AY108">
        <v>0.32339054194195294</v>
      </c>
      <c r="AZ108">
        <v>0.36468742065148746</v>
      </c>
      <c r="BA108">
        <v>0.41258096647508941</v>
      </c>
      <c r="BB108">
        <v>0.50191467597241435</v>
      </c>
      <c r="BC108">
        <v>0.4536579702542437</v>
      </c>
      <c r="BD108">
        <v>0.51756445547272834</v>
      </c>
      <c r="BE108">
        <v>0.20153793901661521</v>
      </c>
      <c r="BF108">
        <v>0.21624680437429158</v>
      </c>
      <c r="BG108">
        <v>0.21346869496889578</v>
      </c>
      <c r="BI108" t="s">
        <v>354</v>
      </c>
      <c r="BJ108" t="s">
        <v>409</v>
      </c>
      <c r="BK108" t="s">
        <v>410</v>
      </c>
      <c r="BL108">
        <v>0.13506546827781424</v>
      </c>
    </row>
    <row r="109" spans="2:64" x14ac:dyDescent="0.25">
      <c r="B109" t="s">
        <v>331</v>
      </c>
      <c r="C109" t="s">
        <v>31</v>
      </c>
      <c r="D109">
        <v>0.5567960964844143</v>
      </c>
      <c r="E109">
        <v>0.54414511254762732</v>
      </c>
      <c r="F109">
        <v>0.46685775917829608</v>
      </c>
      <c r="G109">
        <v>0.40345428771676639</v>
      </c>
      <c r="H109">
        <v>0.36772734383677258</v>
      </c>
      <c r="I109">
        <v>0.32818014868713313</v>
      </c>
      <c r="J109">
        <v>0.22748637318525053</v>
      </c>
      <c r="K109">
        <v>0.26126411892517593</v>
      </c>
      <c r="L109">
        <v>0.23608213167051709</v>
      </c>
      <c r="M109">
        <v>0.36503479314466403</v>
      </c>
      <c r="N109">
        <v>0.33665050951068787</v>
      </c>
      <c r="O109">
        <v>0.3673914146665157</v>
      </c>
      <c r="AU109" t="s">
        <v>331</v>
      </c>
      <c r="AV109">
        <v>0.12608844340243411</v>
      </c>
      <c r="AW109">
        <v>0.14593169452163252</v>
      </c>
      <c r="AX109">
        <v>0.15844719627862025</v>
      </c>
      <c r="AY109">
        <v>0.23442523767381612</v>
      </c>
      <c r="AZ109">
        <v>0.2366764149253093</v>
      </c>
      <c r="BA109">
        <v>0.31957970803308883</v>
      </c>
      <c r="BB109">
        <v>0.59089014074830548</v>
      </c>
      <c r="BC109">
        <v>0.53987261734701408</v>
      </c>
      <c r="BD109">
        <v>0.54235456585146802</v>
      </c>
      <c r="BE109">
        <v>0.23649738602410289</v>
      </c>
      <c r="BF109">
        <v>0.24069350724985658</v>
      </c>
      <c r="BG109">
        <v>0.23494604003128744</v>
      </c>
      <c r="BI109" t="s">
        <v>355</v>
      </c>
      <c r="BJ109" t="s">
        <v>409</v>
      </c>
      <c r="BK109" t="s">
        <v>410</v>
      </c>
      <c r="BL109">
        <v>0.16200910131773599</v>
      </c>
    </row>
    <row r="110" spans="2:64" x14ac:dyDescent="0.25">
      <c r="B110" t="s">
        <v>332</v>
      </c>
      <c r="C110" t="s">
        <v>31</v>
      </c>
      <c r="D110">
        <v>0.46006110641862968</v>
      </c>
      <c r="E110">
        <v>0.40668509000718051</v>
      </c>
      <c r="F110">
        <v>0.50304578116562793</v>
      </c>
      <c r="G110">
        <v>0.3422844609583765</v>
      </c>
      <c r="H110">
        <v>0.40945612947322974</v>
      </c>
      <c r="I110">
        <v>0.35000872947596634</v>
      </c>
      <c r="J110">
        <v>0.34563182412691007</v>
      </c>
      <c r="K110">
        <v>0.40485004871250813</v>
      </c>
      <c r="L110">
        <v>0.3279945797168341</v>
      </c>
      <c r="M110">
        <v>0.48138710829607739</v>
      </c>
      <c r="N110">
        <v>0.47234522860043276</v>
      </c>
      <c r="O110">
        <v>0.51744362521066978</v>
      </c>
      <c r="AU110" t="s">
        <v>332</v>
      </c>
      <c r="AV110">
        <v>0.10023922335668328</v>
      </c>
      <c r="AW110">
        <v>0.11227542516523784</v>
      </c>
      <c r="AX110">
        <v>4.8309360989542506E-2</v>
      </c>
      <c r="AY110">
        <v>0.393028464999293</v>
      </c>
      <c r="AZ110">
        <v>0.3063708029927581</v>
      </c>
      <c r="BA110">
        <v>0.37700449482984882</v>
      </c>
      <c r="BB110">
        <v>0.42552517810862317</v>
      </c>
      <c r="BC110">
        <v>0.37398197724752252</v>
      </c>
      <c r="BD110">
        <v>0.43522131616946791</v>
      </c>
      <c r="BE110">
        <v>0.18154118209222</v>
      </c>
      <c r="BF110">
        <v>0.16596565449187092</v>
      </c>
      <c r="BG110">
        <v>0.14434557472222062</v>
      </c>
      <c r="BI110" t="s">
        <v>356</v>
      </c>
      <c r="BJ110" t="s">
        <v>409</v>
      </c>
      <c r="BK110" t="s">
        <v>410</v>
      </c>
      <c r="BL110">
        <v>0.23611426244170819</v>
      </c>
    </row>
    <row r="111" spans="2:64" x14ac:dyDescent="0.25">
      <c r="B111" t="s">
        <v>333</v>
      </c>
      <c r="C111" t="s">
        <v>31</v>
      </c>
      <c r="D111">
        <v>0.54244687982037254</v>
      </c>
      <c r="E111">
        <v>0.46702623495149631</v>
      </c>
      <c r="F111">
        <v>0.4184545073785948</v>
      </c>
      <c r="G111">
        <v>0.31911189708546134</v>
      </c>
      <c r="H111">
        <v>0.37968695412260323</v>
      </c>
      <c r="I111">
        <v>0.30089398366690878</v>
      </c>
      <c r="J111">
        <v>0.38303132492046738</v>
      </c>
      <c r="K111">
        <v>0.42373123632880166</v>
      </c>
      <c r="L111">
        <v>0.35278065337142162</v>
      </c>
      <c r="M111">
        <v>0.45461627202311561</v>
      </c>
      <c r="N111">
        <v>0.45580122869911688</v>
      </c>
      <c r="O111">
        <v>0.44642252140179772</v>
      </c>
      <c r="AU111" t="s">
        <v>333</v>
      </c>
      <c r="AV111">
        <v>5.8365142447262069E-2</v>
      </c>
      <c r="AW111">
        <v>0.10855943315872477</v>
      </c>
      <c r="AX111">
        <v>5.3901237609801485E-2</v>
      </c>
      <c r="AY111">
        <v>0.451729549781753</v>
      </c>
      <c r="AZ111">
        <v>0.39521818623580773</v>
      </c>
      <c r="BA111">
        <v>0.49282871601829575</v>
      </c>
      <c r="BB111">
        <v>0.39226210667549954</v>
      </c>
      <c r="BC111">
        <v>0.32863524889965595</v>
      </c>
      <c r="BD111">
        <v>0.40760024082292234</v>
      </c>
      <c r="BE111">
        <v>0.18934027145400686</v>
      </c>
      <c r="BF111">
        <v>0.19136050099171764</v>
      </c>
      <c r="BG111">
        <v>0.16435448037470912</v>
      </c>
      <c r="BI111" t="s">
        <v>357</v>
      </c>
      <c r="BJ111" t="s">
        <v>409</v>
      </c>
      <c r="BK111" t="s">
        <v>410</v>
      </c>
      <c r="BL111">
        <v>0.27949437887872203</v>
      </c>
    </row>
    <row r="112" spans="2:64" x14ac:dyDescent="0.25">
      <c r="B112" t="s">
        <v>334</v>
      </c>
      <c r="C112" t="s">
        <v>31</v>
      </c>
      <c r="D112">
        <v>0.67636881594035336</v>
      </c>
      <c r="E112">
        <v>0.55660535362940133</v>
      </c>
      <c r="F112">
        <v>0.42894033671207416</v>
      </c>
      <c r="G112">
        <v>0.32582602098651997</v>
      </c>
      <c r="H112">
        <v>0.33529983858661738</v>
      </c>
      <c r="I112">
        <v>0.27214840934136975</v>
      </c>
      <c r="J112">
        <v>0.37103608476582928</v>
      </c>
      <c r="K112">
        <v>0.3995588371571277</v>
      </c>
      <c r="L112">
        <v>0.3303286516605875</v>
      </c>
      <c r="M112">
        <v>0.42447482871684528</v>
      </c>
      <c r="N112">
        <v>0.43005202106145396</v>
      </c>
      <c r="O112">
        <v>0.4145128796084433</v>
      </c>
      <c r="AU112" t="s">
        <v>334</v>
      </c>
      <c r="AV112">
        <v>5.6652622707368316E-2</v>
      </c>
      <c r="AW112">
        <v>8.7944040718931832E-2</v>
      </c>
      <c r="AX112">
        <v>8.244400568233988E-2</v>
      </c>
      <c r="AY112">
        <v>0.46954277070947265</v>
      </c>
      <c r="AZ112">
        <v>0.466546748185449</v>
      </c>
      <c r="BA112">
        <v>0.54082802457942802</v>
      </c>
      <c r="BB112">
        <v>0.40267123920157233</v>
      </c>
      <c r="BC112">
        <v>0.3496591751607368</v>
      </c>
      <c r="BD112">
        <v>0.43480732463312149</v>
      </c>
      <c r="BE112">
        <v>0.17664199584878862</v>
      </c>
      <c r="BF112">
        <v>0.18316113102009082</v>
      </c>
      <c r="BG112">
        <v>0.16583346620685735</v>
      </c>
      <c r="BI112" t="s">
        <v>358</v>
      </c>
      <c r="BJ112" t="s">
        <v>409</v>
      </c>
      <c r="BK112" t="s">
        <v>410</v>
      </c>
      <c r="BL112">
        <v>0.37401927394859197</v>
      </c>
    </row>
    <row r="113" spans="2:64" x14ac:dyDescent="0.25">
      <c r="B113" t="s">
        <v>335</v>
      </c>
      <c r="C113" t="s">
        <v>31</v>
      </c>
      <c r="D113">
        <v>0.3820832296982325</v>
      </c>
      <c r="E113">
        <v>0.55548369310724943</v>
      </c>
      <c r="F113">
        <v>0.43505155065505424</v>
      </c>
      <c r="G113">
        <v>0.31329872726934666</v>
      </c>
      <c r="H113">
        <v>0.49130229905250083</v>
      </c>
      <c r="I113">
        <v>0.34821548861841212</v>
      </c>
      <c r="J113">
        <v>0.36668566379583745</v>
      </c>
      <c r="K113">
        <v>0.47703062909598559</v>
      </c>
      <c r="L113">
        <v>0.4252420573876935</v>
      </c>
      <c r="M113">
        <v>0.43968082434702238</v>
      </c>
      <c r="N113">
        <v>0.59019743504722555</v>
      </c>
      <c r="O113">
        <v>0.42732905030973289</v>
      </c>
      <c r="AU113" t="s">
        <v>335</v>
      </c>
      <c r="AV113">
        <v>0.15512441944955863</v>
      </c>
      <c r="AW113">
        <v>7.2613319572201546E-2</v>
      </c>
      <c r="AX113">
        <v>0.1649349413929882</v>
      </c>
      <c r="AY113">
        <v>0.2636688361708987</v>
      </c>
      <c r="AZ113">
        <v>0.15145264400982303</v>
      </c>
      <c r="BA113">
        <v>0.26449050906054944</v>
      </c>
      <c r="BB113">
        <v>0.16574699760235687</v>
      </c>
      <c r="BC113">
        <v>0.13114198182188797</v>
      </c>
      <c r="BD113">
        <v>0.12237286486054962</v>
      </c>
      <c r="BE113">
        <v>9.3247935346171443E-2</v>
      </c>
      <c r="BF113">
        <v>6.622204368233825E-2</v>
      </c>
      <c r="BG113">
        <v>9.0519252624281885E-2</v>
      </c>
      <c r="BI113" t="s">
        <v>359</v>
      </c>
      <c r="BJ113" t="s">
        <v>409</v>
      </c>
      <c r="BK113" t="s">
        <v>410</v>
      </c>
      <c r="BL113">
        <v>0.19020386840633596</v>
      </c>
    </row>
    <row r="114" spans="2:64" x14ac:dyDescent="0.25">
      <c r="B114" t="s">
        <v>336</v>
      </c>
      <c r="C114" t="s">
        <v>31</v>
      </c>
      <c r="D114">
        <v>0.41646551935990089</v>
      </c>
      <c r="E114">
        <v>0.58607583244222816</v>
      </c>
      <c r="F114">
        <v>0.4283350583633504</v>
      </c>
      <c r="G114">
        <v>0.34095195638458198</v>
      </c>
      <c r="H114">
        <v>0.50374154855145425</v>
      </c>
      <c r="I114">
        <v>0.31968196349279826</v>
      </c>
      <c r="J114">
        <v>0.34137097938303146</v>
      </c>
      <c r="K114">
        <v>0.43543466389589452</v>
      </c>
      <c r="L114">
        <v>0.39996809887499568</v>
      </c>
      <c r="M114">
        <v>0.546770183837747</v>
      </c>
      <c r="N114">
        <v>0.66993400098219991</v>
      </c>
      <c r="O114">
        <v>0.54216221045710566</v>
      </c>
      <c r="AU114" t="s">
        <v>336</v>
      </c>
      <c r="AV114">
        <v>0.12595421825302169</v>
      </c>
      <c r="AW114">
        <v>5.9634395176962111E-2</v>
      </c>
      <c r="AX114">
        <v>0.15248281223621274</v>
      </c>
      <c r="AY114">
        <v>0.26468509410425589</v>
      </c>
      <c r="AZ114">
        <v>0.17892399942555293</v>
      </c>
      <c r="BA114">
        <v>0.27561568563317695</v>
      </c>
      <c r="BB114">
        <v>0.26682132942868314</v>
      </c>
      <c r="BC114">
        <v>0.21621280627210582</v>
      </c>
      <c r="BD114">
        <v>0.19234541040459951</v>
      </c>
      <c r="BE114">
        <v>9.6048630396047038E-2</v>
      </c>
      <c r="BF114">
        <v>8.3933046797990934E-2</v>
      </c>
      <c r="BG114">
        <v>7.5643599741005318E-2</v>
      </c>
      <c r="BI114" t="s">
        <v>360</v>
      </c>
      <c r="BJ114" t="s">
        <v>409</v>
      </c>
      <c r="BK114" t="s">
        <v>410</v>
      </c>
      <c r="BL114">
        <v>0.17337012086299702</v>
      </c>
    </row>
    <row r="115" spans="2:64" x14ac:dyDescent="0.25">
      <c r="B115" t="s">
        <v>337</v>
      </c>
      <c r="C115" t="s">
        <v>31</v>
      </c>
      <c r="D115">
        <v>0.38557439379899278</v>
      </c>
      <c r="E115">
        <v>0.53504845281532321</v>
      </c>
      <c r="F115">
        <v>0.40572742833170705</v>
      </c>
      <c r="G115">
        <v>0.33672072472503661</v>
      </c>
      <c r="H115">
        <v>0.50081683020032164</v>
      </c>
      <c r="I115">
        <v>0.3035382670461434</v>
      </c>
      <c r="J115">
        <v>0.39049143947016401</v>
      </c>
      <c r="K115">
        <v>0.47458497377677139</v>
      </c>
      <c r="L115">
        <v>0.41952855957180041</v>
      </c>
      <c r="M115">
        <v>0.44972679093546108</v>
      </c>
      <c r="N115">
        <v>0.62817091988957552</v>
      </c>
      <c r="O115">
        <v>0.48780391789163235</v>
      </c>
      <c r="AU115" t="s">
        <v>337</v>
      </c>
      <c r="AV115">
        <v>0.14650099472857561</v>
      </c>
      <c r="AW115">
        <v>6.533130320010086E-2</v>
      </c>
      <c r="AX115">
        <v>0.15305341007440204</v>
      </c>
      <c r="AY115">
        <v>0.21527725320569721</v>
      </c>
      <c r="AZ115">
        <v>0.15052474282525144</v>
      </c>
      <c r="BA115">
        <v>0.25147861499090668</v>
      </c>
      <c r="BB115">
        <v>0.19249409808620954</v>
      </c>
      <c r="BC115">
        <v>0.15998778052458199</v>
      </c>
      <c r="BD115">
        <v>0.15853770342620735</v>
      </c>
      <c r="BE115">
        <v>0.12385531101629633</v>
      </c>
      <c r="BF115">
        <v>9.0610166654608873E-2</v>
      </c>
      <c r="BG115">
        <v>0.11010473295579741</v>
      </c>
      <c r="BI115" t="s">
        <v>361</v>
      </c>
      <c r="BJ115" t="s">
        <v>409</v>
      </c>
      <c r="BK115" t="s">
        <v>410</v>
      </c>
      <c r="BL115">
        <v>0.28561401627223232</v>
      </c>
    </row>
    <row r="116" spans="2:64" x14ac:dyDescent="0.25">
      <c r="B116" t="s">
        <v>338</v>
      </c>
      <c r="C116" t="s">
        <v>31</v>
      </c>
      <c r="D116">
        <v>0.37183698409482474</v>
      </c>
      <c r="E116">
        <v>0.56799575857388751</v>
      </c>
      <c r="F116">
        <v>0.38693611147257084</v>
      </c>
      <c r="G116">
        <v>0.34806330651284922</v>
      </c>
      <c r="H116">
        <v>0.46169609058813882</v>
      </c>
      <c r="I116">
        <v>0.29436657086211165</v>
      </c>
      <c r="J116">
        <v>0.44042677248209788</v>
      </c>
      <c r="K116">
        <v>0.53421427080787909</v>
      </c>
      <c r="L116">
        <v>0.45712144476166072</v>
      </c>
      <c r="M116">
        <v>0.45754776497212624</v>
      </c>
      <c r="N116">
        <v>0.55663513676391241</v>
      </c>
      <c r="O116">
        <v>0.43930322118913839</v>
      </c>
      <c r="AU116" t="s">
        <v>338</v>
      </c>
      <c r="AV116">
        <v>0.18076194896436476</v>
      </c>
      <c r="AW116">
        <v>0.10065398456528102</v>
      </c>
      <c r="AX116">
        <v>0.20085836935631388</v>
      </c>
      <c r="AY116">
        <v>0.21639032260555446</v>
      </c>
      <c r="AZ116">
        <v>0.17050498401519038</v>
      </c>
      <c r="BA116">
        <v>0.28439214855879591</v>
      </c>
      <c r="BB116">
        <v>0.11799940780278147</v>
      </c>
      <c r="BC116">
        <v>8.0530394743349623E-2</v>
      </c>
      <c r="BD116">
        <v>8.2881557569714825E-2</v>
      </c>
      <c r="BE116">
        <v>8.0071365397325317E-2</v>
      </c>
      <c r="BF116">
        <v>5.0295478179400319E-2</v>
      </c>
      <c r="BG116">
        <v>8.2594804501883265E-2</v>
      </c>
      <c r="BI116" t="s">
        <v>362</v>
      </c>
      <c r="BJ116" t="s">
        <v>409</v>
      </c>
      <c r="BK116" t="s">
        <v>410</v>
      </c>
      <c r="BL116">
        <v>0.19070266987828868</v>
      </c>
    </row>
    <row r="117" spans="2:64" x14ac:dyDescent="0.25">
      <c r="B117" t="s">
        <v>339</v>
      </c>
      <c r="C117" t="s">
        <v>31</v>
      </c>
      <c r="D117">
        <v>0.40566806006029243</v>
      </c>
      <c r="E117">
        <v>0.57523156575920131</v>
      </c>
      <c r="F117">
        <v>0.36784722556431737</v>
      </c>
      <c r="G117">
        <v>0.38545538865322021</v>
      </c>
      <c r="H117">
        <v>0.47485001656877079</v>
      </c>
      <c r="I117">
        <v>0.33060619991008899</v>
      </c>
      <c r="J117">
        <v>0.39722491289629308</v>
      </c>
      <c r="K117">
        <v>0.52154973492247758</v>
      </c>
      <c r="L117">
        <v>0.40236047428104704</v>
      </c>
      <c r="M117">
        <v>0.42427596078958985</v>
      </c>
      <c r="N117">
        <v>0.55689935319603268</v>
      </c>
      <c r="O117">
        <v>0.44518256500741532</v>
      </c>
      <c r="AU117" t="s">
        <v>339</v>
      </c>
      <c r="AV117">
        <v>0.19072880884958743</v>
      </c>
      <c r="AW117">
        <v>0.11942894284044395</v>
      </c>
      <c r="AX117">
        <v>0.21040510893958711</v>
      </c>
      <c r="AY117">
        <v>0.19469592214680395</v>
      </c>
      <c r="AZ117">
        <v>0.1269831473561614</v>
      </c>
      <c r="BA117">
        <v>0.22803928907654167</v>
      </c>
      <c r="BB117">
        <v>0.11968794819528344</v>
      </c>
      <c r="BC117">
        <v>7.7713174485741485E-2</v>
      </c>
      <c r="BD117">
        <v>8.4709745111152035E-2</v>
      </c>
      <c r="BE117">
        <v>7.8942384492219367E-2</v>
      </c>
      <c r="BF117">
        <v>4.4337237083949023E-2</v>
      </c>
      <c r="BG117">
        <v>9.2000133095470824E-2</v>
      </c>
      <c r="BI117" t="s">
        <v>363</v>
      </c>
      <c r="BJ117" t="s">
        <v>409</v>
      </c>
      <c r="BK117" t="s">
        <v>410</v>
      </c>
      <c r="BL117">
        <v>0.27515405504209467</v>
      </c>
    </row>
    <row r="118" spans="2:64" x14ac:dyDescent="0.25">
      <c r="B118" t="s">
        <v>340</v>
      </c>
      <c r="C118" t="s">
        <v>31</v>
      </c>
      <c r="D118">
        <v>0.36503569067368791</v>
      </c>
      <c r="E118">
        <v>0.54610766562734891</v>
      </c>
      <c r="F118">
        <v>0.41292683366013239</v>
      </c>
      <c r="G118">
        <v>0.33629775633203107</v>
      </c>
      <c r="H118">
        <v>0.45942624578475472</v>
      </c>
      <c r="I118">
        <v>0.32557809316751002</v>
      </c>
      <c r="J118">
        <v>0.40801100133310697</v>
      </c>
      <c r="K118">
        <v>0.48535582111419501</v>
      </c>
      <c r="L118">
        <v>0.41265359903469273</v>
      </c>
      <c r="M118">
        <v>0.44080667735084217</v>
      </c>
      <c r="N118">
        <v>0.55950503519854733</v>
      </c>
      <c r="O118">
        <v>0.42408743687173245</v>
      </c>
      <c r="AU118" t="s">
        <v>340</v>
      </c>
      <c r="AV118">
        <v>0.16550724979783837</v>
      </c>
      <c r="AW118">
        <v>7.7953176005798652E-2</v>
      </c>
      <c r="AX118">
        <v>0.15820016289978525</v>
      </c>
      <c r="AY118">
        <v>0.19072269061718741</v>
      </c>
      <c r="AZ118">
        <v>0.11505434900622384</v>
      </c>
      <c r="BA118">
        <v>0.21212970808937623</v>
      </c>
      <c r="BB118">
        <v>0.12099369402422708</v>
      </c>
      <c r="BC118">
        <v>9.4528867213331397E-2</v>
      </c>
      <c r="BD118">
        <v>0.10012746270029876</v>
      </c>
      <c r="BE118">
        <v>0.10813048593742862</v>
      </c>
      <c r="BF118">
        <v>7.1879295267779447E-2</v>
      </c>
      <c r="BG118">
        <v>9.6306479537445408E-2</v>
      </c>
      <c r="BI118" t="s">
        <v>364</v>
      </c>
      <c r="BJ118" t="s">
        <v>409</v>
      </c>
      <c r="BK118" t="s">
        <v>410</v>
      </c>
      <c r="BL118">
        <v>0.37570943814392282</v>
      </c>
    </row>
    <row r="119" spans="2:64" x14ac:dyDescent="0.25">
      <c r="B119" t="s">
        <v>341</v>
      </c>
      <c r="C119" t="s">
        <v>31</v>
      </c>
      <c r="D119">
        <v>0.40196477252748652</v>
      </c>
      <c r="E119">
        <v>0.56338090600675406</v>
      </c>
      <c r="F119">
        <v>0.43328477497831641</v>
      </c>
      <c r="G119">
        <v>0.40014271964152504</v>
      </c>
      <c r="H119">
        <v>0.4827933924793692</v>
      </c>
      <c r="I119">
        <v>0.30822968076211821</v>
      </c>
      <c r="J119">
        <v>0.43505466526298991</v>
      </c>
      <c r="K119">
        <v>0.49400516026792629</v>
      </c>
      <c r="L119">
        <v>0.43556073296442738</v>
      </c>
      <c r="M119">
        <v>0.45578501488553708</v>
      </c>
      <c r="N119">
        <v>0.55715199481929767</v>
      </c>
      <c r="O119">
        <v>0.45339211356449205</v>
      </c>
      <c r="AU119" t="s">
        <v>341</v>
      </c>
      <c r="AV119">
        <v>0.13901430391846339</v>
      </c>
      <c r="AW119">
        <v>6.3160252690992846E-2</v>
      </c>
      <c r="AX119">
        <v>0.11873797328488651</v>
      </c>
      <c r="AY119">
        <v>0.16739135584189097</v>
      </c>
      <c r="AZ119">
        <v>9.5717744903234661E-2</v>
      </c>
      <c r="BA119">
        <v>0.19114852671683691</v>
      </c>
      <c r="BB119">
        <v>0.1111080225208403</v>
      </c>
      <c r="BC119">
        <v>7.1822785107022474E-2</v>
      </c>
      <c r="BD119">
        <v>8.432377463694421E-2</v>
      </c>
      <c r="BE119">
        <v>9.6740200489278685E-2</v>
      </c>
      <c r="BF119">
        <v>5.5540163005906328E-2</v>
      </c>
      <c r="BG119">
        <v>8.3533544423258735E-2</v>
      </c>
      <c r="BI119" t="s">
        <v>365</v>
      </c>
      <c r="BJ119" t="s">
        <v>409</v>
      </c>
      <c r="BK119" t="s">
        <v>410</v>
      </c>
      <c r="BL119">
        <v>0.28384381339307696</v>
      </c>
    </row>
    <row r="120" spans="2:64" x14ac:dyDescent="0.25">
      <c r="B120" t="s">
        <v>342</v>
      </c>
      <c r="C120" t="s">
        <v>31</v>
      </c>
      <c r="D120">
        <v>0.38334668547863765</v>
      </c>
      <c r="E120">
        <v>0.57252374723319932</v>
      </c>
      <c r="F120">
        <v>0.3976830095300557</v>
      </c>
      <c r="G120">
        <v>0.39704965793519248</v>
      </c>
      <c r="H120">
        <v>0.46284375931475752</v>
      </c>
      <c r="I120">
        <v>0.3253806710256098</v>
      </c>
      <c r="J120">
        <v>0.39225962705925871</v>
      </c>
      <c r="K120">
        <v>0.52229726934937359</v>
      </c>
      <c r="L120">
        <v>0.39393219927187856</v>
      </c>
      <c r="M120">
        <v>0.40688305430332677</v>
      </c>
      <c r="N120">
        <v>0.53913764263619479</v>
      </c>
      <c r="O120">
        <v>0.38795330623510044</v>
      </c>
      <c r="AU120" t="s">
        <v>342</v>
      </c>
      <c r="AV120">
        <v>0.18940831877624167</v>
      </c>
      <c r="AW120">
        <v>0.10143078571771888</v>
      </c>
      <c r="AX120">
        <v>0.17972184694465385</v>
      </c>
      <c r="AY120">
        <v>0.20769775930456585</v>
      </c>
      <c r="AZ120">
        <v>0.12782273047754009</v>
      </c>
      <c r="BA120">
        <v>0.21856100285463595</v>
      </c>
      <c r="BB120">
        <v>0.11230417798547024</v>
      </c>
      <c r="BC120">
        <v>7.6841304710932173E-2</v>
      </c>
      <c r="BD120">
        <v>9.4503128803579042E-2</v>
      </c>
      <c r="BE120">
        <v>0.10140982401734412</v>
      </c>
      <c r="BF120">
        <v>5.3312761332698785E-2</v>
      </c>
      <c r="BG120">
        <v>8.9190279467409039E-2</v>
      </c>
      <c r="BI120" t="s">
        <v>366</v>
      </c>
      <c r="BJ120" t="s">
        <v>409</v>
      </c>
      <c r="BK120" t="s">
        <v>410</v>
      </c>
      <c r="BL120">
        <v>0.25445605267528648</v>
      </c>
    </row>
    <row r="121" spans="2:64" x14ac:dyDescent="0.25">
      <c r="B121" t="s">
        <v>343</v>
      </c>
      <c r="C121" t="s">
        <v>31</v>
      </c>
      <c r="D121">
        <v>0.31044129848443197</v>
      </c>
      <c r="E121">
        <v>0.54383232275993165</v>
      </c>
      <c r="F121">
        <v>0.23575486720774569</v>
      </c>
      <c r="G121">
        <v>0.36589030342954298</v>
      </c>
      <c r="H121">
        <v>0.46816088781573217</v>
      </c>
      <c r="I121">
        <v>0.24645138861822061</v>
      </c>
      <c r="J121">
        <v>0.41055301999987776</v>
      </c>
      <c r="K121">
        <v>0.46831174955725807</v>
      </c>
      <c r="L121">
        <v>0.4203583537645611</v>
      </c>
      <c r="M121">
        <v>0.41821226952976981</v>
      </c>
      <c r="N121">
        <v>0.53938757908653434</v>
      </c>
      <c r="O121">
        <v>0.36620456260364914</v>
      </c>
      <c r="AU121" t="s">
        <v>343</v>
      </c>
      <c r="AV121">
        <v>8.0245754764694102E-2</v>
      </c>
      <c r="AW121">
        <v>3.6680412421243147E-2</v>
      </c>
      <c r="AX121">
        <v>0.11784337879087679</v>
      </c>
      <c r="AY121">
        <v>0.10868778978483057</v>
      </c>
      <c r="AZ121">
        <v>9.4238307733546411E-2</v>
      </c>
      <c r="BA121">
        <v>0.13175374432877673</v>
      </c>
      <c r="BB121">
        <v>0.1776684877644234</v>
      </c>
      <c r="BC121">
        <v>0.17810411024965481</v>
      </c>
      <c r="BD121">
        <v>0.15315133362067507</v>
      </c>
      <c r="BE121">
        <v>7.5295791795362402E-2</v>
      </c>
      <c r="BF121">
        <v>5.5178417048304722E-2</v>
      </c>
      <c r="BG121">
        <v>7.9822112057078551E-2</v>
      </c>
      <c r="BI121" t="s">
        <v>367</v>
      </c>
      <c r="BJ121" t="s">
        <v>409</v>
      </c>
      <c r="BK121" t="s">
        <v>410</v>
      </c>
      <c r="BL121">
        <v>0.33530572976418899</v>
      </c>
    </row>
    <row r="122" spans="2:64" x14ac:dyDescent="0.25">
      <c r="B122" t="s">
        <v>344</v>
      </c>
      <c r="C122" t="s">
        <v>31</v>
      </c>
      <c r="D122">
        <v>0.46197513184112643</v>
      </c>
      <c r="E122">
        <v>0.54447325980389027</v>
      </c>
      <c r="F122">
        <v>0.27728001026741705</v>
      </c>
      <c r="G122">
        <v>0.41477991096096434</v>
      </c>
      <c r="H122">
        <v>0.48718877342775296</v>
      </c>
      <c r="I122">
        <v>0.27110106147672591</v>
      </c>
      <c r="J122">
        <v>0.44134813039220405</v>
      </c>
      <c r="K122">
        <v>0.51365886144091788</v>
      </c>
      <c r="L122">
        <v>0.45628038484023759</v>
      </c>
      <c r="M122">
        <v>0.57923012376225036</v>
      </c>
      <c r="N122">
        <v>0.58438693463474445</v>
      </c>
      <c r="O122">
        <v>0.50785077509818177</v>
      </c>
      <c r="AU122" t="s">
        <v>344</v>
      </c>
      <c r="AV122">
        <v>4.8593095470160545E-2</v>
      </c>
      <c r="AW122">
        <v>3.9477231316968189E-2</v>
      </c>
      <c r="AX122">
        <v>8.1972669245202329E-2</v>
      </c>
      <c r="AY122">
        <v>7.2307901422405715E-2</v>
      </c>
      <c r="AZ122">
        <v>0.10414361226290195</v>
      </c>
      <c r="BA122">
        <v>0.10155812208311188</v>
      </c>
      <c r="BB122">
        <v>0.15041709243824206</v>
      </c>
      <c r="BC122">
        <v>0.15473178192048692</v>
      </c>
      <c r="BD122">
        <v>0.12960079429865659</v>
      </c>
      <c r="BE122">
        <v>6.7994449352025574E-2</v>
      </c>
      <c r="BF122">
        <v>6.1518946728511305E-2</v>
      </c>
      <c r="BG122">
        <v>6.2784795241234731E-2</v>
      </c>
      <c r="BI122" t="s">
        <v>368</v>
      </c>
      <c r="BJ122" t="s">
        <v>409</v>
      </c>
      <c r="BK122" t="s">
        <v>410</v>
      </c>
      <c r="BL122">
        <v>0.46169691019531972</v>
      </c>
    </row>
    <row r="123" spans="2:64" x14ac:dyDescent="0.25">
      <c r="B123" t="s">
        <v>345</v>
      </c>
      <c r="C123" t="s">
        <v>31</v>
      </c>
      <c r="D123">
        <v>0.46465783622249257</v>
      </c>
      <c r="E123">
        <v>0.54009397950950055</v>
      </c>
      <c r="F123">
        <v>0.31526048210164836</v>
      </c>
      <c r="G123">
        <v>0.40149140129755662</v>
      </c>
      <c r="H123">
        <v>0.46733603513048227</v>
      </c>
      <c r="I123">
        <v>0.27227240914841422</v>
      </c>
      <c r="J123">
        <v>0.45535274741241827</v>
      </c>
      <c r="K123">
        <v>0.51230184594341499</v>
      </c>
      <c r="L123">
        <v>0.4596362140156911</v>
      </c>
      <c r="M123">
        <v>0.5394218648667477</v>
      </c>
      <c r="N123">
        <v>0.59142414822459177</v>
      </c>
      <c r="O123">
        <v>0.49471069758424552</v>
      </c>
      <c r="AU123" t="s">
        <v>345</v>
      </c>
      <c r="AV123">
        <v>6.1993464236011341E-2</v>
      </c>
      <c r="AW123">
        <v>3.591513080716241E-2</v>
      </c>
      <c r="AX123">
        <v>0.1022866519508446</v>
      </c>
      <c r="AY123">
        <v>7.9739066188985908E-2</v>
      </c>
      <c r="AZ123">
        <v>0.10802650975260664</v>
      </c>
      <c r="BA123">
        <v>0.14254791035144815</v>
      </c>
      <c r="BB123">
        <v>0.14786946835705647</v>
      </c>
      <c r="BC123">
        <v>0.14362679171026643</v>
      </c>
      <c r="BD123">
        <v>0.12855312583660686</v>
      </c>
      <c r="BE123">
        <v>7.7851598259951194E-2</v>
      </c>
      <c r="BF123">
        <v>6.3209198755691892E-2</v>
      </c>
      <c r="BG123">
        <v>6.9196950597477297E-2</v>
      </c>
      <c r="BI123" t="s">
        <v>369</v>
      </c>
      <c r="BJ123" t="s">
        <v>409</v>
      </c>
      <c r="BK123" t="s">
        <v>410</v>
      </c>
      <c r="BL123">
        <v>0.31729085073807822</v>
      </c>
    </row>
    <row r="124" spans="2:64" x14ac:dyDescent="0.25">
      <c r="B124" t="s">
        <v>346</v>
      </c>
      <c r="C124" t="s">
        <v>31</v>
      </c>
      <c r="D124">
        <v>0.31931971281195459</v>
      </c>
      <c r="E124">
        <v>0.50191462598198722</v>
      </c>
      <c r="F124">
        <v>0.31816434170630881</v>
      </c>
      <c r="G124">
        <v>0.35986098325447718</v>
      </c>
      <c r="H124">
        <v>0.45793353487265759</v>
      </c>
      <c r="I124">
        <v>0.25757631741842341</v>
      </c>
      <c r="J124">
        <v>0.33676519021064188</v>
      </c>
      <c r="K124">
        <v>0.40657688955778953</v>
      </c>
      <c r="L124">
        <v>0.34807216044344519</v>
      </c>
      <c r="M124">
        <v>0.40790240065655209</v>
      </c>
      <c r="N124">
        <v>0.56195447803230325</v>
      </c>
      <c r="O124">
        <v>0.38881017209356189</v>
      </c>
      <c r="AU124" t="s">
        <v>346</v>
      </c>
      <c r="AV124">
        <v>0.12254109803662327</v>
      </c>
      <c r="AW124">
        <v>3.092917051021388E-2</v>
      </c>
      <c r="AX124">
        <v>0.10709714998020564</v>
      </c>
      <c r="AY124">
        <v>0.20277731488086975</v>
      </c>
      <c r="AZ124">
        <v>7.6220987035054061E-2</v>
      </c>
      <c r="BA124">
        <v>0.15685095285606074</v>
      </c>
      <c r="BB124">
        <v>0.20280223060412417</v>
      </c>
      <c r="BC124">
        <v>0.19380280940887551</v>
      </c>
      <c r="BD124">
        <v>0.16417278816197306</v>
      </c>
      <c r="BE124">
        <v>8.802767821794226E-2</v>
      </c>
      <c r="BF124">
        <v>5.0198054965645514E-2</v>
      </c>
      <c r="BG124">
        <v>6.7689021322429224E-2</v>
      </c>
      <c r="BI124" t="s">
        <v>370</v>
      </c>
      <c r="BJ124" t="s">
        <v>409</v>
      </c>
      <c r="BK124" t="s">
        <v>410</v>
      </c>
      <c r="BL124">
        <v>0.37305169619554834</v>
      </c>
    </row>
    <row r="125" spans="2:64" x14ac:dyDescent="0.25">
      <c r="B125" t="s">
        <v>347</v>
      </c>
      <c r="C125" t="s">
        <v>31</v>
      </c>
      <c r="D125">
        <v>0.30712264202415251</v>
      </c>
      <c r="E125">
        <v>0.49759107515574413</v>
      </c>
      <c r="F125">
        <v>0.32164268199322327</v>
      </c>
      <c r="G125">
        <v>0.35182090127961146</v>
      </c>
      <c r="H125">
        <v>0.44714281518076054</v>
      </c>
      <c r="I125">
        <v>0.33357643787136215</v>
      </c>
      <c r="J125">
        <v>0.38478039649558138</v>
      </c>
      <c r="K125">
        <v>0.46806485891103639</v>
      </c>
      <c r="L125">
        <v>0.374171957864459</v>
      </c>
      <c r="M125">
        <v>0.49127476317395247</v>
      </c>
      <c r="N125">
        <v>0.60420521897484636</v>
      </c>
      <c r="O125">
        <v>0.49884168048650268</v>
      </c>
      <c r="AU125" t="s">
        <v>347</v>
      </c>
      <c r="AV125">
        <v>5.754796363956767E-2</v>
      </c>
      <c r="AW125">
        <v>1.441257903655296E-2</v>
      </c>
      <c r="AX125">
        <v>5.2760886535557168E-2</v>
      </c>
      <c r="AY125">
        <v>0.12487994761793898</v>
      </c>
      <c r="AZ125">
        <v>5.7248216932799509E-2</v>
      </c>
      <c r="BA125">
        <v>0.12481308226101151</v>
      </c>
      <c r="BB125">
        <v>0.19592080026190536</v>
      </c>
      <c r="BC125">
        <v>0.18160658024239254</v>
      </c>
      <c r="BD125">
        <v>0.1830965876727767</v>
      </c>
      <c r="BE125">
        <v>6.3655471062504562E-2</v>
      </c>
      <c r="BF125">
        <v>4.8706759781436001E-2</v>
      </c>
      <c r="BG125">
        <v>5.8557741403614312E-2</v>
      </c>
      <c r="BI125" t="s">
        <v>371</v>
      </c>
      <c r="BJ125" t="s">
        <v>409</v>
      </c>
      <c r="BK125" t="s">
        <v>410</v>
      </c>
      <c r="BL125">
        <v>0.23950905873127487</v>
      </c>
    </row>
    <row r="126" spans="2:64" x14ac:dyDescent="0.25">
      <c r="B126" t="s">
        <v>348</v>
      </c>
      <c r="C126" t="s">
        <v>31</v>
      </c>
      <c r="D126">
        <v>0.26963122061999634</v>
      </c>
      <c r="E126">
        <v>0.52995794958793507</v>
      </c>
      <c r="F126">
        <v>0.25871146929748895</v>
      </c>
      <c r="G126">
        <v>0.29806000419854806</v>
      </c>
      <c r="H126">
        <v>0.43821250433068221</v>
      </c>
      <c r="I126">
        <v>0.32069235102462806</v>
      </c>
      <c r="J126">
        <v>0.3315761234939375</v>
      </c>
      <c r="K126">
        <v>0.39869941383128338</v>
      </c>
      <c r="L126">
        <v>0.33262674136558673</v>
      </c>
      <c r="M126">
        <v>0.42657788898904575</v>
      </c>
      <c r="N126">
        <v>0.55918381521303295</v>
      </c>
      <c r="O126">
        <v>0.39915830832991711</v>
      </c>
      <c r="AU126" t="s">
        <v>348</v>
      </c>
      <c r="AV126">
        <v>9.1904929131192345E-2</v>
      </c>
      <c r="AW126">
        <v>2.5213400200703468E-2</v>
      </c>
      <c r="AX126">
        <v>9.3145772933427073E-2</v>
      </c>
      <c r="AY126">
        <v>0.17664956860832523</v>
      </c>
      <c r="AZ126">
        <v>6.3620667048893478E-2</v>
      </c>
      <c r="BA126">
        <v>0.14566490834510615</v>
      </c>
      <c r="BB126">
        <v>0.21435783805700015</v>
      </c>
      <c r="BC126">
        <v>0.21013508539012582</v>
      </c>
      <c r="BD126">
        <v>0.19371409886574062</v>
      </c>
      <c r="BE126">
        <v>8.8021449450144104E-2</v>
      </c>
      <c r="BF126">
        <v>5.2858841693499491E-2</v>
      </c>
      <c r="BG126">
        <v>8.2469095512628501E-2</v>
      </c>
      <c r="BI126" t="s">
        <v>372</v>
      </c>
      <c r="BJ126" t="s">
        <v>409</v>
      </c>
      <c r="BK126" t="s">
        <v>410</v>
      </c>
      <c r="BL126">
        <v>0.47062753023779907</v>
      </c>
    </row>
    <row r="127" spans="2:64" x14ac:dyDescent="0.25">
      <c r="B127" t="s">
        <v>349</v>
      </c>
      <c r="C127" t="s">
        <v>31</v>
      </c>
      <c r="D127">
        <v>0.33067775404384603</v>
      </c>
      <c r="E127">
        <v>0.52886266336268617</v>
      </c>
      <c r="F127">
        <v>0.256601516396393</v>
      </c>
      <c r="G127">
        <v>0.36299454125874325</v>
      </c>
      <c r="H127">
        <v>0.46840987142907486</v>
      </c>
      <c r="I127">
        <v>0.32711086108669502</v>
      </c>
      <c r="J127">
        <v>0.33975214362192407</v>
      </c>
      <c r="K127">
        <v>0.40810318989160804</v>
      </c>
      <c r="L127">
        <v>0.35623241501550773</v>
      </c>
      <c r="M127">
        <v>0.48283734993976757</v>
      </c>
      <c r="N127">
        <v>0.52304983528315274</v>
      </c>
      <c r="O127">
        <v>0.39325009482029427</v>
      </c>
      <c r="AU127" t="s">
        <v>349</v>
      </c>
      <c r="AV127">
        <v>4.2061481984258707E-2</v>
      </c>
      <c r="AW127">
        <v>2.3408089441429036E-2</v>
      </c>
      <c r="AX127">
        <v>6.9704476065808527E-2</v>
      </c>
      <c r="AY127">
        <v>0.17093352089982158</v>
      </c>
      <c r="AZ127">
        <v>6.6898646529372205E-2</v>
      </c>
      <c r="BA127">
        <v>0.13350798855805468</v>
      </c>
      <c r="BB127">
        <v>0.25559796551193908</v>
      </c>
      <c r="BC127">
        <v>0.25324424518773253</v>
      </c>
      <c r="BD127">
        <v>0.2288119835031934</v>
      </c>
      <c r="BE127">
        <v>6.8051181293114521E-2</v>
      </c>
      <c r="BF127">
        <v>6.0239789822078359E-2</v>
      </c>
      <c r="BG127">
        <v>7.2570123452777829E-2</v>
      </c>
      <c r="BI127" t="s">
        <v>373</v>
      </c>
      <c r="BJ127" t="s">
        <v>409</v>
      </c>
      <c r="BK127" t="s">
        <v>410</v>
      </c>
      <c r="BL127">
        <v>0.33125670548307945</v>
      </c>
    </row>
    <row r="128" spans="2:64" x14ac:dyDescent="0.25">
      <c r="B128" t="s">
        <v>350</v>
      </c>
      <c r="C128" t="s">
        <v>31</v>
      </c>
      <c r="D128">
        <v>0.42372882183389565</v>
      </c>
      <c r="E128">
        <v>0.56433099695467037</v>
      </c>
      <c r="F128">
        <v>0.36587968342663868</v>
      </c>
      <c r="G128">
        <v>0.3230503952499631</v>
      </c>
      <c r="H128">
        <v>0.49930525934658754</v>
      </c>
      <c r="I128">
        <v>0.32388102213266179</v>
      </c>
      <c r="J128">
        <v>0.30365981093501893</v>
      </c>
      <c r="K128">
        <v>0.40561207180168313</v>
      </c>
      <c r="L128">
        <v>0.34810420029276345</v>
      </c>
      <c r="M128">
        <v>0.51676055193864123</v>
      </c>
      <c r="N128">
        <v>0.66224976332267216</v>
      </c>
      <c r="O128">
        <v>0.51293244467552745</v>
      </c>
      <c r="AU128" t="s">
        <v>350</v>
      </c>
      <c r="AV128">
        <v>0.10299458301272993</v>
      </c>
      <c r="AW128">
        <v>5.1961780871256344E-2</v>
      </c>
      <c r="AX128">
        <v>0.1446315181917994</v>
      </c>
      <c r="AY128">
        <v>0.26197479200571505</v>
      </c>
      <c r="AZ128">
        <v>0.16330046491448941</v>
      </c>
      <c r="BA128">
        <v>0.27233537882072739</v>
      </c>
      <c r="BB128">
        <v>0.2751709747445526</v>
      </c>
      <c r="BC128">
        <v>0.23143097659707756</v>
      </c>
      <c r="BD128">
        <v>0.24341679042553568</v>
      </c>
      <c r="BE128">
        <v>9.4432218932016893E-2</v>
      </c>
      <c r="BF128">
        <v>8.077878526540061E-2</v>
      </c>
      <c r="BG128">
        <v>9.0501389218683267E-2</v>
      </c>
      <c r="BI128" t="s">
        <v>374</v>
      </c>
      <c r="BJ128" t="s">
        <v>409</v>
      </c>
      <c r="BK128" t="s">
        <v>410</v>
      </c>
      <c r="BL128">
        <v>0.41603393092859658</v>
      </c>
    </row>
    <row r="129" spans="2:64" x14ac:dyDescent="0.25">
      <c r="B129" t="s">
        <v>351</v>
      </c>
      <c r="C129" t="s">
        <v>31</v>
      </c>
      <c r="D129">
        <v>0.40079892141972617</v>
      </c>
      <c r="E129">
        <v>0.51917283708615225</v>
      </c>
      <c r="F129">
        <v>0.37338278304693956</v>
      </c>
      <c r="G129">
        <v>0.31478167527034334</v>
      </c>
      <c r="H129">
        <v>0.47045727159685069</v>
      </c>
      <c r="I129">
        <v>0.29082809085766775</v>
      </c>
      <c r="J129">
        <v>0.34765031743378416</v>
      </c>
      <c r="K129">
        <v>0.46522699171085569</v>
      </c>
      <c r="L129">
        <v>0.36451889695470768</v>
      </c>
      <c r="M129">
        <v>0.50598355392351502</v>
      </c>
      <c r="N129">
        <v>0.64862720147763897</v>
      </c>
      <c r="O129">
        <v>0.50469492157353102</v>
      </c>
      <c r="AU129" t="s">
        <v>351</v>
      </c>
      <c r="AV129">
        <v>0.1145641452513972</v>
      </c>
      <c r="AW129">
        <v>5.3704598410912359E-2</v>
      </c>
      <c r="AX129">
        <v>0.13446294214550239</v>
      </c>
      <c r="AY129">
        <v>0.23650232023009729</v>
      </c>
      <c r="AZ129">
        <v>0.16351895892726942</v>
      </c>
      <c r="BA129">
        <v>0.26824780611226817</v>
      </c>
      <c r="BB129">
        <v>0.20592008718436214</v>
      </c>
      <c r="BC129">
        <v>0.1904594718863783</v>
      </c>
      <c r="BD129">
        <v>0.20485625479502856</v>
      </c>
      <c r="BE129">
        <v>0.10468049608263617</v>
      </c>
      <c r="BF129">
        <v>8.5598314568110859E-2</v>
      </c>
      <c r="BG129">
        <v>9.9896743554709275E-2</v>
      </c>
      <c r="BI129" t="s">
        <v>375</v>
      </c>
      <c r="BJ129" t="s">
        <v>409</v>
      </c>
      <c r="BK129" t="s">
        <v>410</v>
      </c>
      <c r="BL129">
        <v>0.50671948455299143</v>
      </c>
    </row>
    <row r="130" spans="2:64" x14ac:dyDescent="0.25">
      <c r="B130" t="s">
        <v>352</v>
      </c>
      <c r="C130" t="s">
        <v>31</v>
      </c>
      <c r="D130">
        <v>0.45897252727897542</v>
      </c>
      <c r="E130">
        <v>0.52230059968211595</v>
      </c>
      <c r="F130">
        <v>0.38482255899079154</v>
      </c>
      <c r="G130">
        <v>0.36978801077769424</v>
      </c>
      <c r="H130">
        <v>0.47077700342288653</v>
      </c>
      <c r="I130">
        <v>0.30192617327359844</v>
      </c>
      <c r="J130">
        <v>0.4527812905547709</v>
      </c>
      <c r="K130">
        <v>0.55202331486407863</v>
      </c>
      <c r="L130">
        <v>0.43731547334551962</v>
      </c>
      <c r="M130">
        <v>0.55241517326444134</v>
      </c>
      <c r="N130">
        <v>0.64916997501156781</v>
      </c>
      <c r="O130">
        <v>0.53926101270627425</v>
      </c>
      <c r="AU130" t="s">
        <v>352</v>
      </c>
      <c r="AV130">
        <v>7.7578560056356979E-2</v>
      </c>
      <c r="AW130">
        <v>4.4635524955544376E-2</v>
      </c>
      <c r="AX130">
        <v>9.75920799289305E-2</v>
      </c>
      <c r="AY130">
        <v>0.13291520381338631</v>
      </c>
      <c r="AZ130">
        <v>0.14340601933269889</v>
      </c>
      <c r="BA130">
        <v>0.19689234941954273</v>
      </c>
      <c r="BB130">
        <v>0.12769724522282863</v>
      </c>
      <c r="BC130">
        <v>0.13634174630086512</v>
      </c>
      <c r="BD130">
        <v>0.14571347433016424</v>
      </c>
      <c r="BE130">
        <v>8.8224139672410065E-2</v>
      </c>
      <c r="BF130">
        <v>7.1903427968111625E-2</v>
      </c>
      <c r="BG130">
        <v>7.8051795606395996E-2</v>
      </c>
      <c r="BI130" t="s">
        <v>376</v>
      </c>
      <c r="BJ130" t="s">
        <v>409</v>
      </c>
      <c r="BK130" t="s">
        <v>410</v>
      </c>
      <c r="BL130">
        <v>0.58248744666378183</v>
      </c>
    </row>
    <row r="131" spans="2:64" x14ac:dyDescent="0.25">
      <c r="B131" t="s">
        <v>353</v>
      </c>
      <c r="C131" t="s">
        <v>31</v>
      </c>
      <c r="D131">
        <v>0.43888035256746777</v>
      </c>
      <c r="E131">
        <v>0.54295837343956621</v>
      </c>
      <c r="F131">
        <v>0.44093381839761242</v>
      </c>
      <c r="G131">
        <v>0.382193608737673</v>
      </c>
      <c r="H131">
        <v>0.50607484603358277</v>
      </c>
      <c r="I131">
        <v>0.3072547711211237</v>
      </c>
      <c r="J131">
        <v>0.45854281735096353</v>
      </c>
      <c r="K131">
        <v>0.53073654445760776</v>
      </c>
      <c r="L131">
        <v>0.46528616219345942</v>
      </c>
      <c r="M131">
        <v>0.4959693011356312</v>
      </c>
      <c r="N131">
        <v>0.62938534804346358</v>
      </c>
      <c r="O131">
        <v>0.52389328207184649</v>
      </c>
      <c r="AU131" t="s">
        <v>353</v>
      </c>
      <c r="AV131">
        <v>0.10579253651745456</v>
      </c>
      <c r="AW131">
        <v>5.2479938009092057E-2</v>
      </c>
      <c r="AX131">
        <v>0.13144015352332633</v>
      </c>
      <c r="AY131">
        <v>0.14188703389296936</v>
      </c>
      <c r="AZ131">
        <v>0.12681739872293649</v>
      </c>
      <c r="BA131">
        <v>0.21359059644681649</v>
      </c>
      <c r="BB131">
        <v>0.14631321355188803</v>
      </c>
      <c r="BC131">
        <v>0.13563809878553049</v>
      </c>
      <c r="BD131">
        <v>0.1414669367112987</v>
      </c>
      <c r="BE131">
        <v>0.10925252492931393</v>
      </c>
      <c r="BF131">
        <v>8.6346083176476199E-2</v>
      </c>
      <c r="BG131">
        <v>9.7244018292195172E-2</v>
      </c>
      <c r="BI131" t="s">
        <v>377</v>
      </c>
      <c r="BJ131" t="s">
        <v>409</v>
      </c>
      <c r="BK131" t="s">
        <v>410</v>
      </c>
      <c r="BL131">
        <v>0.33404435182306114</v>
      </c>
    </row>
    <row r="132" spans="2:64" x14ac:dyDescent="0.25">
      <c r="B132" t="s">
        <v>354</v>
      </c>
      <c r="C132" t="s">
        <v>31</v>
      </c>
      <c r="D132">
        <v>0.34225766009746961</v>
      </c>
      <c r="E132">
        <v>0.63054286777127877</v>
      </c>
      <c r="F132">
        <v>0.31382147806447031</v>
      </c>
      <c r="G132">
        <v>0.4478539566542889</v>
      </c>
      <c r="H132">
        <v>0.50799642762589758</v>
      </c>
      <c r="I132">
        <v>0.32510653976703102</v>
      </c>
      <c r="J132">
        <v>0.48896687665320526</v>
      </c>
      <c r="K132">
        <v>0.53743823408010016</v>
      </c>
      <c r="L132">
        <v>0.45391417611401702</v>
      </c>
      <c r="M132">
        <v>0.53690375237317822</v>
      </c>
      <c r="N132">
        <v>0.68129723375109497</v>
      </c>
      <c r="O132">
        <v>0.56513149303647492</v>
      </c>
      <c r="AU132" t="s">
        <v>354</v>
      </c>
      <c r="AV132">
        <v>6.443383540790612E-2</v>
      </c>
      <c r="AW132">
        <v>2.4727985858406361E-2</v>
      </c>
      <c r="AX132">
        <v>8.0332722262187919E-2</v>
      </c>
      <c r="AY132">
        <v>8.8029519233422657E-2</v>
      </c>
      <c r="AZ132">
        <v>8.577936907533408E-2</v>
      </c>
      <c r="BA132">
        <v>0.12656225724092729</v>
      </c>
      <c r="BB132">
        <v>0.13506546827781424</v>
      </c>
      <c r="BC132">
        <v>0.13250510519080075</v>
      </c>
      <c r="BD132">
        <v>0.11856395352695556</v>
      </c>
      <c r="BE132">
        <v>9.1563276758166723E-2</v>
      </c>
      <c r="BF132">
        <v>7.1469490325906992E-2</v>
      </c>
      <c r="BG132">
        <v>7.9580827806530724E-2</v>
      </c>
      <c r="BI132" t="s">
        <v>378</v>
      </c>
      <c r="BJ132" t="s">
        <v>409</v>
      </c>
      <c r="BK132" t="s">
        <v>410</v>
      </c>
      <c r="BL132">
        <v>0.36856323751347136</v>
      </c>
    </row>
    <row r="133" spans="2:64" x14ac:dyDescent="0.25">
      <c r="B133" t="s">
        <v>355</v>
      </c>
      <c r="C133" t="s">
        <v>31</v>
      </c>
      <c r="D133">
        <v>0.41988943346604901</v>
      </c>
      <c r="E133">
        <v>0.45853914567443399</v>
      </c>
      <c r="F133">
        <v>0.32842498053564501</v>
      </c>
      <c r="G133">
        <v>0.38746329292214482</v>
      </c>
      <c r="H133">
        <v>0.46915784917688597</v>
      </c>
      <c r="I133">
        <v>0.2821289322854712</v>
      </c>
      <c r="J133">
        <v>0.40857112274207286</v>
      </c>
      <c r="K133">
        <v>0.50998095477019245</v>
      </c>
      <c r="L133">
        <v>0.37066250838501708</v>
      </c>
      <c r="M133">
        <v>0.53838115071462267</v>
      </c>
      <c r="N133">
        <v>0.6347584867244711</v>
      </c>
      <c r="O133">
        <v>0.4886104944050762</v>
      </c>
      <c r="AU133" t="s">
        <v>355</v>
      </c>
      <c r="AV133">
        <v>8.3110305483034774E-2</v>
      </c>
      <c r="AW133">
        <v>4.735621820888819E-2</v>
      </c>
      <c r="AX133">
        <v>9.2651147854106441E-2</v>
      </c>
      <c r="AY133">
        <v>0.13826004022642566</v>
      </c>
      <c r="AZ133">
        <v>0.12319683594608445</v>
      </c>
      <c r="BA133">
        <v>0.16839072722323029</v>
      </c>
      <c r="BB133">
        <v>0.13894773828791568</v>
      </c>
      <c r="BC133">
        <v>0.14121580278425394</v>
      </c>
      <c r="BD133">
        <v>0.14363743080506117</v>
      </c>
      <c r="BE133">
        <v>9.0746188030358471E-2</v>
      </c>
      <c r="BF133">
        <v>7.8932631060595948E-2</v>
      </c>
      <c r="BG133">
        <v>8.5783597481329674E-2</v>
      </c>
      <c r="BI133" t="s">
        <v>379</v>
      </c>
      <c r="BJ133" t="s">
        <v>409</v>
      </c>
      <c r="BK133" t="s">
        <v>410</v>
      </c>
      <c r="BL133">
        <v>0.34202071242296461</v>
      </c>
    </row>
    <row r="134" spans="2:64" x14ac:dyDescent="0.25">
      <c r="B134" t="s">
        <v>356</v>
      </c>
      <c r="C134" t="s">
        <v>31</v>
      </c>
      <c r="D134">
        <v>0.30137869385555094</v>
      </c>
      <c r="E134">
        <v>0.53423229666457905</v>
      </c>
      <c r="F134">
        <v>0.31073280442897766</v>
      </c>
      <c r="G134">
        <v>0.38564739691588579</v>
      </c>
      <c r="H134">
        <v>0.46352727795736448</v>
      </c>
      <c r="I134">
        <v>0.32353378988996695</v>
      </c>
      <c r="J134">
        <v>0.34910363439658049</v>
      </c>
      <c r="K134">
        <v>0.39795524146577249</v>
      </c>
      <c r="L134">
        <v>0.32243442095062558</v>
      </c>
      <c r="M134">
        <v>0.40863991276127076</v>
      </c>
      <c r="N134">
        <v>0.62656011899982966</v>
      </c>
      <c r="O134">
        <v>0.426862064538443</v>
      </c>
      <c r="AU134" t="s">
        <v>356</v>
      </c>
      <c r="AV134">
        <v>9.3630292877939628E-2</v>
      </c>
      <c r="AW134">
        <v>2.6003425756719427E-2</v>
      </c>
      <c r="AX134">
        <v>0.10214273185388437</v>
      </c>
      <c r="AY134">
        <v>0.14626118384837164</v>
      </c>
      <c r="AZ134">
        <v>0.14127422147651925</v>
      </c>
      <c r="BA134">
        <v>0.19350851358100968</v>
      </c>
      <c r="BB134">
        <v>0.20414255398184067</v>
      </c>
      <c r="BC134">
        <v>0.20369417518469421</v>
      </c>
      <c r="BD134">
        <v>0.23697320946321482</v>
      </c>
      <c r="BE134">
        <v>7.3479269997711372E-2</v>
      </c>
      <c r="BF134">
        <v>3.5663669817867054E-2</v>
      </c>
      <c r="BG134">
        <v>7.4174183178124076E-2</v>
      </c>
      <c r="BI134" t="s">
        <v>380</v>
      </c>
      <c r="BJ134" t="s">
        <v>409</v>
      </c>
      <c r="BK134" t="s">
        <v>410</v>
      </c>
      <c r="BL134">
        <v>0.45904891306253737</v>
      </c>
    </row>
    <row r="135" spans="2:64" x14ac:dyDescent="0.25">
      <c r="B135" t="s">
        <v>357</v>
      </c>
      <c r="C135" t="s">
        <v>31</v>
      </c>
      <c r="D135">
        <v>0.3771331420587305</v>
      </c>
      <c r="E135">
        <v>0.45979688449603517</v>
      </c>
      <c r="F135">
        <v>0.30596943200680621</v>
      </c>
      <c r="G135">
        <v>0.3526628285158695</v>
      </c>
      <c r="H135">
        <v>0.48571396830453695</v>
      </c>
      <c r="I135">
        <v>0.33711835650355998</v>
      </c>
      <c r="J135">
        <v>0.32846380462627456</v>
      </c>
      <c r="K135">
        <v>0.38854239313200784</v>
      </c>
      <c r="L135">
        <v>0.26709712988218537</v>
      </c>
      <c r="M135">
        <v>0.4712853625125063</v>
      </c>
      <c r="N135">
        <v>0.58126499255226804</v>
      </c>
      <c r="O135">
        <v>0.4783344912205359</v>
      </c>
      <c r="AU135" t="s">
        <v>357</v>
      </c>
      <c r="AV135">
        <v>9.2135959592115194E-2</v>
      </c>
      <c r="AW135">
        <v>3.5504128426751963E-2</v>
      </c>
      <c r="AX135">
        <v>5.6720694522015468E-2</v>
      </c>
      <c r="AY135">
        <v>0.23116981576202128</v>
      </c>
      <c r="AZ135">
        <v>0.15498183228512213</v>
      </c>
      <c r="BA135">
        <v>0.28350671702906632</v>
      </c>
      <c r="BB135">
        <v>0.1539057122662213</v>
      </c>
      <c r="BC135">
        <v>0.15631015071870982</v>
      </c>
      <c r="BD135">
        <v>0.18807399251386422</v>
      </c>
      <c r="BE135">
        <v>0.10229253983520341</v>
      </c>
      <c r="BF135">
        <v>6.52235155300432E-2</v>
      </c>
      <c r="BG135">
        <v>8.7294774202105296E-2</v>
      </c>
      <c r="BI135" t="s">
        <v>381</v>
      </c>
      <c r="BJ135" t="s">
        <v>409</v>
      </c>
      <c r="BK135" t="s">
        <v>410</v>
      </c>
      <c r="BL135">
        <v>0.60212938855478215</v>
      </c>
    </row>
    <row r="136" spans="2:64" x14ac:dyDescent="0.25">
      <c r="B136" t="s">
        <v>358</v>
      </c>
      <c r="C136" t="s">
        <v>31</v>
      </c>
      <c r="D136">
        <v>0.46586278021611849</v>
      </c>
      <c r="E136">
        <v>0.41171052492754984</v>
      </c>
      <c r="F136">
        <v>0.25448555876881512</v>
      </c>
      <c r="G136">
        <v>0.32889591207953706</v>
      </c>
      <c r="H136">
        <v>0.34233764979638009</v>
      </c>
      <c r="I136">
        <v>0.24014518917359448</v>
      </c>
      <c r="J136">
        <v>0.38318204924772692</v>
      </c>
      <c r="K136">
        <v>0.39237485398720229</v>
      </c>
      <c r="L136">
        <v>0.31298745132958855</v>
      </c>
      <c r="M136">
        <v>0.44646326055892765</v>
      </c>
      <c r="N136">
        <v>0.46230434026104583</v>
      </c>
      <c r="O136">
        <v>0.42077901862093886</v>
      </c>
      <c r="AU136" t="s">
        <v>358</v>
      </c>
      <c r="AV136">
        <v>4.6902504912462402E-2</v>
      </c>
      <c r="AW136">
        <v>5.2608209451113511E-2</v>
      </c>
      <c r="AX136">
        <v>7.181510358185568E-2</v>
      </c>
      <c r="AY136">
        <v>0.27839201381234302</v>
      </c>
      <c r="AZ136">
        <v>0.26098369627131857</v>
      </c>
      <c r="BA136">
        <v>0.38597524923915277</v>
      </c>
      <c r="BB136">
        <v>0.21535896215904277</v>
      </c>
      <c r="BC136">
        <v>0.19598386289161968</v>
      </c>
      <c r="BD136">
        <v>0.25013612864945184</v>
      </c>
      <c r="BE136">
        <v>0.11421885518574625</v>
      </c>
      <c r="BF136">
        <v>0.1100692470556594</v>
      </c>
      <c r="BG136">
        <v>0.10819867839098531</v>
      </c>
      <c r="BI136" t="s">
        <v>382</v>
      </c>
      <c r="BJ136" t="s">
        <v>409</v>
      </c>
      <c r="BK136" t="s">
        <v>410</v>
      </c>
      <c r="BL136">
        <v>0.51791025936214863</v>
      </c>
    </row>
    <row r="137" spans="2:64" x14ac:dyDescent="0.25">
      <c r="B137" t="s">
        <v>359</v>
      </c>
      <c r="C137" t="s">
        <v>31</v>
      </c>
      <c r="D137">
        <v>0.33303457528176761</v>
      </c>
      <c r="E137">
        <v>0.51635436104416943</v>
      </c>
      <c r="F137">
        <v>0.37471968388455973</v>
      </c>
      <c r="G137">
        <v>0.35899305005341964</v>
      </c>
      <c r="H137">
        <v>0.53538038794926168</v>
      </c>
      <c r="I137">
        <v>0.32160614018578942</v>
      </c>
      <c r="J137">
        <v>0.36751380411083695</v>
      </c>
      <c r="K137">
        <v>0.45971700359517859</v>
      </c>
      <c r="L137">
        <v>0.33507513399927852</v>
      </c>
      <c r="M137">
        <v>0.49876113495274926</v>
      </c>
      <c r="N137">
        <v>0.66858106066520795</v>
      </c>
      <c r="O137">
        <v>0.52151708746440029</v>
      </c>
      <c r="AU137" t="s">
        <v>359</v>
      </c>
      <c r="AV137">
        <v>9.7165553337775087E-2</v>
      </c>
      <c r="AW137">
        <v>2.4346255984094647E-2</v>
      </c>
      <c r="AX137">
        <v>6.3593445145142563E-2</v>
      </c>
      <c r="AY137">
        <v>0.1252034842371583</v>
      </c>
      <c r="AZ137">
        <v>6.3876666795973647E-2</v>
      </c>
      <c r="BA137">
        <v>0.19027140769032383</v>
      </c>
      <c r="BB137">
        <v>0.1271523589247463</v>
      </c>
      <c r="BC137">
        <v>0.12139977587604892</v>
      </c>
      <c r="BD137">
        <v>0.14331613038109475</v>
      </c>
      <c r="BE137">
        <v>9.8963431664317217E-2</v>
      </c>
      <c r="BF137">
        <v>6.3820813431888557E-2</v>
      </c>
      <c r="BG137">
        <v>7.793937163108898E-2</v>
      </c>
      <c r="BI137" t="s">
        <v>383</v>
      </c>
      <c r="BJ137" t="s">
        <v>409</v>
      </c>
      <c r="BK137" t="s">
        <v>410</v>
      </c>
      <c r="BL137">
        <v>0.3142431281087808</v>
      </c>
    </row>
    <row r="138" spans="2:64" x14ac:dyDescent="0.25">
      <c r="B138" t="s">
        <v>360</v>
      </c>
      <c r="C138" t="s">
        <v>31</v>
      </c>
      <c r="D138">
        <v>0.31383534580526806</v>
      </c>
      <c r="E138">
        <v>0.48572145324172294</v>
      </c>
      <c r="F138">
        <v>0.34522216097520475</v>
      </c>
      <c r="G138">
        <v>0.33448991418540763</v>
      </c>
      <c r="H138">
        <v>0.48925700692201696</v>
      </c>
      <c r="I138">
        <v>0.30701813902726194</v>
      </c>
      <c r="J138">
        <v>0.34102829564808185</v>
      </c>
      <c r="K138">
        <v>0.44734275940645762</v>
      </c>
      <c r="L138">
        <v>0.30344216696485027</v>
      </c>
      <c r="M138">
        <v>0.49584112741779462</v>
      </c>
      <c r="N138">
        <v>0.63102891801171201</v>
      </c>
      <c r="O138">
        <v>0.47403249874223946</v>
      </c>
      <c r="AU138" t="s">
        <v>360</v>
      </c>
      <c r="AV138">
        <v>0.10397456763605943</v>
      </c>
      <c r="AW138">
        <v>3.5161877509143111E-2</v>
      </c>
      <c r="AX138">
        <v>8.2725161235705905E-2</v>
      </c>
      <c r="AY138">
        <v>0.16811968917545259</v>
      </c>
      <c r="AZ138">
        <v>0.10319533448857413</v>
      </c>
      <c r="BA138">
        <v>0.17681134673421275</v>
      </c>
      <c r="BB138">
        <v>0.1476962533145561</v>
      </c>
      <c r="BC138">
        <v>0.14526594362478096</v>
      </c>
      <c r="BD138">
        <v>0.14909532902664471</v>
      </c>
      <c r="BE138">
        <v>8.6066554645959248E-2</v>
      </c>
      <c r="BF138">
        <v>5.780029832595858E-2</v>
      </c>
      <c r="BG138">
        <v>7.8350569427692612E-2</v>
      </c>
      <c r="BI138" t="s">
        <v>384</v>
      </c>
      <c r="BJ138" t="s">
        <v>409</v>
      </c>
      <c r="BK138" t="s">
        <v>410</v>
      </c>
      <c r="BL138">
        <v>0.30413060109714385</v>
      </c>
    </row>
    <row r="139" spans="2:64" x14ac:dyDescent="0.25">
      <c r="B139" t="s">
        <v>361</v>
      </c>
      <c r="C139" t="s">
        <v>31</v>
      </c>
      <c r="D139">
        <v>0.36516086098394362</v>
      </c>
      <c r="E139">
        <v>0.55860792563184536</v>
      </c>
      <c r="F139">
        <v>0.36928825604738147</v>
      </c>
      <c r="G139">
        <v>0.286298470627462</v>
      </c>
      <c r="H139">
        <v>0.49757468196669846</v>
      </c>
      <c r="I139">
        <v>0.31388501863872609</v>
      </c>
      <c r="J139">
        <v>0.3176299582378343</v>
      </c>
      <c r="K139">
        <v>0.41074639937649293</v>
      </c>
      <c r="L139">
        <v>0.33427998733966519</v>
      </c>
      <c r="M139">
        <v>0.48314339055686095</v>
      </c>
      <c r="N139">
        <v>0.65987695884123132</v>
      </c>
      <c r="O139">
        <v>0.50837475273229904</v>
      </c>
      <c r="AU139" t="s">
        <v>361</v>
      </c>
      <c r="AV139">
        <v>0.10039082351998595</v>
      </c>
      <c r="AW139">
        <v>4.7832348796293445E-2</v>
      </c>
      <c r="AX139">
        <v>0.13323779730186405</v>
      </c>
      <c r="AY139">
        <v>0.25872883169057148</v>
      </c>
      <c r="AZ139">
        <v>0.17398354431534591</v>
      </c>
      <c r="BA139">
        <v>0.28839174197200901</v>
      </c>
      <c r="BB139">
        <v>0.22991939773379183</v>
      </c>
      <c r="BC139">
        <v>0.21075719138522833</v>
      </c>
      <c r="BD139">
        <v>0.22585022225063706</v>
      </c>
      <c r="BE139">
        <v>9.1360779398099612E-2</v>
      </c>
      <c r="BF139">
        <v>7.4242735656067066E-2</v>
      </c>
      <c r="BG139">
        <v>9.2477877462497915E-2</v>
      </c>
      <c r="BI139" t="s">
        <v>385</v>
      </c>
      <c r="BJ139" t="s">
        <v>409</v>
      </c>
      <c r="BK139" t="s">
        <v>410</v>
      </c>
      <c r="BL139">
        <v>0.22780812325237534</v>
      </c>
    </row>
    <row r="140" spans="2:64" x14ac:dyDescent="0.25">
      <c r="B140" t="s">
        <v>362</v>
      </c>
      <c r="C140" t="s">
        <v>31</v>
      </c>
      <c r="D140">
        <v>0.304390438750195</v>
      </c>
      <c r="E140">
        <v>0.54125656001612332</v>
      </c>
      <c r="F140">
        <v>0.36019703846394391</v>
      </c>
      <c r="G140">
        <v>0.28261655356855026</v>
      </c>
      <c r="H140">
        <v>0.5068203648378713</v>
      </c>
      <c r="I140">
        <v>0.3203970614239402</v>
      </c>
      <c r="J140">
        <v>0.32856534476025684</v>
      </c>
      <c r="K140">
        <v>0.43476089180521843</v>
      </c>
      <c r="L140">
        <v>0.31795898610705131</v>
      </c>
      <c r="M140">
        <v>0.40884464291812</v>
      </c>
      <c r="N140">
        <v>0.61751759841091536</v>
      </c>
      <c r="O140">
        <v>0.43527795286919096</v>
      </c>
      <c r="AU140" t="s">
        <v>362</v>
      </c>
      <c r="AV140">
        <v>0.10972063442827359</v>
      </c>
      <c r="AW140">
        <v>2.8024202762333892E-2</v>
      </c>
      <c r="AX140">
        <v>9.9604566298752917E-2</v>
      </c>
      <c r="AY140">
        <v>0.18420236976106549</v>
      </c>
      <c r="AZ140">
        <v>0.1128055765920452</v>
      </c>
      <c r="BA140">
        <v>0.19075574894827424</v>
      </c>
      <c r="BB140">
        <v>0.140727596488605</v>
      </c>
      <c r="BC140">
        <v>0.12002652197566024</v>
      </c>
      <c r="BD140">
        <v>0.13126342208747793</v>
      </c>
      <c r="BE140">
        <v>7.0311763290855187E-2</v>
      </c>
      <c r="BF140">
        <v>4.0459865111862718E-2</v>
      </c>
      <c r="BG140">
        <v>6.3546798950489813E-2</v>
      </c>
      <c r="BI140" t="s">
        <v>386</v>
      </c>
      <c r="BJ140" t="s">
        <v>409</v>
      </c>
      <c r="BK140" t="s">
        <v>410</v>
      </c>
      <c r="BL140">
        <v>0.4342876017714728</v>
      </c>
    </row>
    <row r="141" spans="2:64" x14ac:dyDescent="0.25">
      <c r="B141" t="s">
        <v>363</v>
      </c>
      <c r="C141" t="s">
        <v>31</v>
      </c>
      <c r="D141">
        <v>0.30122970845931707</v>
      </c>
      <c r="E141">
        <v>0.44548287090707822</v>
      </c>
      <c r="F141">
        <v>0.21008158239660393</v>
      </c>
      <c r="G141">
        <v>0.29950154137267765</v>
      </c>
      <c r="H141">
        <v>0.39935760574562745</v>
      </c>
      <c r="I141">
        <v>0.15030082204757131</v>
      </c>
      <c r="J141">
        <v>0.30008761700152509</v>
      </c>
      <c r="K141">
        <v>0.33382145041843109</v>
      </c>
      <c r="L141">
        <v>0.34030118132630049</v>
      </c>
      <c r="M141">
        <v>0.4087335633705983</v>
      </c>
      <c r="N141">
        <v>0.51033540665406196</v>
      </c>
      <c r="O141">
        <v>0.38526305201004346</v>
      </c>
      <c r="AU141" t="s">
        <v>363</v>
      </c>
      <c r="AV141">
        <v>7.4949656389416627E-2</v>
      </c>
      <c r="AW141">
        <v>3.4238721151293498E-2</v>
      </c>
      <c r="AX141">
        <v>0.12458114989920746</v>
      </c>
      <c r="AY141">
        <v>0.13439415416753334</v>
      </c>
      <c r="AZ141">
        <v>7.2864013055849941E-2</v>
      </c>
      <c r="BA141">
        <v>0.22741339240598812</v>
      </c>
      <c r="BB141">
        <v>0.26469089245566219</v>
      </c>
      <c r="BC141">
        <v>0.27516159589904371</v>
      </c>
      <c r="BD141">
        <v>0.21388039228203137</v>
      </c>
      <c r="BE141">
        <v>8.7610943372691791E-2</v>
      </c>
      <c r="BF141">
        <v>6.7276510107241963E-2</v>
      </c>
      <c r="BG141">
        <v>8.8195782280852689E-2</v>
      </c>
      <c r="BI141" t="s">
        <v>387</v>
      </c>
      <c r="BJ141" t="s">
        <v>409</v>
      </c>
      <c r="BK141" t="s">
        <v>410</v>
      </c>
      <c r="BL141">
        <v>0.33288267600448801</v>
      </c>
    </row>
    <row r="142" spans="2:64" x14ac:dyDescent="0.25">
      <c r="B142" t="s">
        <v>364</v>
      </c>
      <c r="C142" t="s">
        <v>31</v>
      </c>
      <c r="D142">
        <v>0.45841054556457062</v>
      </c>
      <c r="E142">
        <v>0.3961306343936441</v>
      </c>
      <c r="F142">
        <v>0.2164874007007957</v>
      </c>
      <c r="G142">
        <v>0.32432297167025298</v>
      </c>
      <c r="H142">
        <v>0.27735506516846853</v>
      </c>
      <c r="I142">
        <v>0.19519664481442456</v>
      </c>
      <c r="J142">
        <v>0.22777200234976683</v>
      </c>
      <c r="K142">
        <v>0.26230006426753399</v>
      </c>
      <c r="L142">
        <v>0.26587712553482301</v>
      </c>
      <c r="M142">
        <v>0.38916918452555516</v>
      </c>
      <c r="N142">
        <v>0.40059294401151835</v>
      </c>
      <c r="O142">
        <v>0.35359075300918308</v>
      </c>
      <c r="AU142" t="s">
        <v>364</v>
      </c>
      <c r="AV142">
        <v>6.9850768479247732E-2</v>
      </c>
      <c r="AW142">
        <v>8.7893886149801329E-2</v>
      </c>
      <c r="AX142">
        <v>0.14272585891970357</v>
      </c>
      <c r="AY142">
        <v>0.20353411037627783</v>
      </c>
      <c r="AZ142">
        <v>0.16495316510957003</v>
      </c>
      <c r="BA142">
        <v>0.31002219779632312</v>
      </c>
      <c r="BB142">
        <v>0.38677097108950853</v>
      </c>
      <c r="BC142">
        <v>0.36760192447315809</v>
      </c>
      <c r="BD142">
        <v>0.30988888308471552</v>
      </c>
      <c r="BE142">
        <v>0.12866519934809481</v>
      </c>
      <c r="BF142">
        <v>0.11863529014057028</v>
      </c>
      <c r="BG142">
        <v>0.11926005911619331</v>
      </c>
      <c r="BI142" t="s">
        <v>388</v>
      </c>
      <c r="BJ142" t="s">
        <v>409</v>
      </c>
      <c r="BK142" t="s">
        <v>410</v>
      </c>
      <c r="BL142">
        <v>0.24658008927378586</v>
      </c>
    </row>
    <row r="143" spans="2:64" x14ac:dyDescent="0.25">
      <c r="B143" t="s">
        <v>365</v>
      </c>
      <c r="C143" t="s">
        <v>31</v>
      </c>
      <c r="D143">
        <v>0.29847277320225674</v>
      </c>
      <c r="E143">
        <v>0.54808969536594698</v>
      </c>
      <c r="F143">
        <v>0.28595589222225443</v>
      </c>
      <c r="G143">
        <v>0.28715841647127133</v>
      </c>
      <c r="H143">
        <v>0.49619253046305539</v>
      </c>
      <c r="I143">
        <v>0.30220839731741034</v>
      </c>
      <c r="J143">
        <v>0.30029074702854069</v>
      </c>
      <c r="K143">
        <v>0.34146168128343979</v>
      </c>
      <c r="L143">
        <v>0.36509192926625345</v>
      </c>
      <c r="M143">
        <v>0.41363978460050205</v>
      </c>
      <c r="N143">
        <v>0.51190122825795181</v>
      </c>
      <c r="O143">
        <v>0.40590623982226254</v>
      </c>
      <c r="AU143" t="s">
        <v>365</v>
      </c>
      <c r="AV143">
        <v>8.3079084662765826E-2</v>
      </c>
      <c r="AW143">
        <v>2.5826124506319416E-2</v>
      </c>
      <c r="AX143">
        <v>8.9554684357951456E-2</v>
      </c>
      <c r="AY143">
        <v>0.18786550504462959</v>
      </c>
      <c r="AZ143">
        <v>5.655605930020545E-2</v>
      </c>
      <c r="BA143">
        <v>0.15821382200798539</v>
      </c>
      <c r="BB143">
        <v>0.28988886098216848</v>
      </c>
      <c r="BC143">
        <v>0.27542462882439828</v>
      </c>
      <c r="BD143">
        <v>0.23282585462807276</v>
      </c>
      <c r="BE143">
        <v>7.1009940514818598E-2</v>
      </c>
      <c r="BF143">
        <v>4.4731475207599423E-2</v>
      </c>
      <c r="BG143">
        <v>6.3027104856567318E-2</v>
      </c>
      <c r="BI143" t="s">
        <v>389</v>
      </c>
      <c r="BJ143" t="s">
        <v>409</v>
      </c>
      <c r="BK143" t="s">
        <v>410</v>
      </c>
      <c r="BL143">
        <v>0.29353653799724549</v>
      </c>
    </row>
    <row r="144" spans="2:64" x14ac:dyDescent="0.25">
      <c r="B144" t="s">
        <v>366</v>
      </c>
      <c r="C144" t="s">
        <v>31</v>
      </c>
      <c r="D144">
        <v>0.485128660202574</v>
      </c>
      <c r="E144">
        <v>0.45279678724143901</v>
      </c>
      <c r="F144">
        <v>0.32564882464384842</v>
      </c>
      <c r="G144">
        <v>0.37897121356248076</v>
      </c>
      <c r="H144">
        <v>0.36883467037479262</v>
      </c>
      <c r="I144">
        <v>0.26619434764011696</v>
      </c>
      <c r="J144">
        <v>0.37826243426584322</v>
      </c>
      <c r="K144">
        <v>0.39132390921202442</v>
      </c>
      <c r="L144">
        <v>0.3868944485145468</v>
      </c>
      <c r="M144">
        <v>0.48988210667019094</v>
      </c>
      <c r="N144">
        <v>0.51579784606830992</v>
      </c>
      <c r="O144">
        <v>0.45908882725801697</v>
      </c>
      <c r="AU144" t="s">
        <v>366</v>
      </c>
      <c r="AV144">
        <v>3.0764999008149177E-2</v>
      </c>
      <c r="AW144">
        <v>2.8646374088581856E-2</v>
      </c>
      <c r="AX144">
        <v>4.6435037066013297E-2</v>
      </c>
      <c r="AY144">
        <v>7.7930250701802359E-2</v>
      </c>
      <c r="AZ144">
        <v>6.4085205053260541E-2</v>
      </c>
      <c r="BA144">
        <v>8.2795618292598683E-2</v>
      </c>
      <c r="BB144">
        <v>0.23972990046464512</v>
      </c>
      <c r="BC144">
        <v>0.25448748075089178</v>
      </c>
      <c r="BD144">
        <v>0.21132036205361332</v>
      </c>
      <c r="BE144">
        <v>6.9970371678075599E-2</v>
      </c>
      <c r="BF144">
        <v>6.7109775267823635E-2</v>
      </c>
      <c r="BG144">
        <v>6.8160774288243867E-2</v>
      </c>
      <c r="BI144" t="s">
        <v>390</v>
      </c>
      <c r="BJ144" t="s">
        <v>409</v>
      </c>
      <c r="BK144" t="s">
        <v>410</v>
      </c>
      <c r="BL144">
        <v>0.2953100205041887</v>
      </c>
    </row>
    <row r="145" spans="2:64" x14ac:dyDescent="0.25">
      <c r="B145" t="s">
        <v>367</v>
      </c>
      <c r="C145" t="s">
        <v>31</v>
      </c>
      <c r="D145">
        <v>0.29114583516764497</v>
      </c>
      <c r="E145">
        <v>0.49944296700413127</v>
      </c>
      <c r="F145">
        <v>0.30902593626404473</v>
      </c>
      <c r="G145">
        <v>0.3456628247168842</v>
      </c>
      <c r="H145">
        <v>0.49091590864451656</v>
      </c>
      <c r="I145">
        <v>0.25087929708672074</v>
      </c>
      <c r="J145">
        <v>0.24854219291939281</v>
      </c>
      <c r="K145">
        <v>0.29841171831591962</v>
      </c>
      <c r="L145">
        <v>0.29434450570229276</v>
      </c>
      <c r="M145">
        <v>0.42263163739629511</v>
      </c>
      <c r="N145">
        <v>0.50488093255206512</v>
      </c>
      <c r="O145">
        <v>0.37823331878397748</v>
      </c>
      <c r="AU145" t="s">
        <v>367</v>
      </c>
      <c r="AV145">
        <v>0.10639353350575537</v>
      </c>
      <c r="AW145">
        <v>2.8876442832064135E-2</v>
      </c>
      <c r="AX145">
        <v>9.5027931640327898E-2</v>
      </c>
      <c r="AY145">
        <v>0.23664884128747221</v>
      </c>
      <c r="AZ145">
        <v>8.8175526996318573E-2</v>
      </c>
      <c r="BA145">
        <v>0.18842426204039012</v>
      </c>
      <c r="BB145">
        <v>0.3387176446892165</v>
      </c>
      <c r="BC145">
        <v>0.32923248712076603</v>
      </c>
      <c r="BD145">
        <v>0.28504044397562273</v>
      </c>
      <c r="BE145">
        <v>7.691189721465666E-2</v>
      </c>
      <c r="BF145">
        <v>4.9362382841101421E-2</v>
      </c>
      <c r="BG145">
        <v>6.0028768803030742E-2</v>
      </c>
      <c r="BI145" t="s">
        <v>391</v>
      </c>
      <c r="BJ145" t="s">
        <v>409</v>
      </c>
      <c r="BK145" t="s">
        <v>410</v>
      </c>
      <c r="BL145">
        <v>0.28170504013280362</v>
      </c>
    </row>
    <row r="146" spans="2:64" x14ac:dyDescent="0.25">
      <c r="B146" t="s">
        <v>368</v>
      </c>
      <c r="C146" t="s">
        <v>31</v>
      </c>
      <c r="D146">
        <v>0.28941588277467867</v>
      </c>
      <c r="E146">
        <v>0.45038137111799226</v>
      </c>
      <c r="F146">
        <v>0.22566535399231921</v>
      </c>
      <c r="G146">
        <v>0.24176725429728371</v>
      </c>
      <c r="H146">
        <v>0.43807232051388717</v>
      </c>
      <c r="I146">
        <v>0.17288994764793778</v>
      </c>
      <c r="J146">
        <v>0.24721420152405238</v>
      </c>
      <c r="K146">
        <v>0.22443079267167881</v>
      </c>
      <c r="L146">
        <v>0.21779736474004127</v>
      </c>
      <c r="M146">
        <v>0.3653675519926059</v>
      </c>
      <c r="N146">
        <v>0.4602031399959709</v>
      </c>
      <c r="O146">
        <v>0.28968840780520394</v>
      </c>
      <c r="AU146" t="s">
        <v>368</v>
      </c>
      <c r="AV146">
        <v>8.4128712170350631E-2</v>
      </c>
      <c r="AW146">
        <v>4.5071122221927225E-2</v>
      </c>
      <c r="AX146">
        <v>0.13012997540802651</v>
      </c>
      <c r="AY146">
        <v>0.18634083160340709</v>
      </c>
      <c r="AZ146">
        <v>0.11002435274048075</v>
      </c>
      <c r="BA146">
        <v>0.33424223844864648</v>
      </c>
      <c r="BB146">
        <v>0.34128247888539481</v>
      </c>
      <c r="BC146">
        <v>0.46179218876839806</v>
      </c>
      <c r="BD146">
        <v>0.39495589408620896</v>
      </c>
      <c r="BE146">
        <v>0.10933952393414824</v>
      </c>
      <c r="BF146">
        <v>0.11043472171417279</v>
      </c>
      <c r="BG146">
        <v>0.15224688102606415</v>
      </c>
      <c r="BI146" t="s">
        <v>392</v>
      </c>
      <c r="BJ146" t="s">
        <v>409</v>
      </c>
      <c r="BK146" t="s">
        <v>410</v>
      </c>
      <c r="BL146">
        <v>0.20956372077427066</v>
      </c>
    </row>
    <row r="147" spans="2:64" x14ac:dyDescent="0.25">
      <c r="B147" t="s">
        <v>369</v>
      </c>
      <c r="C147" t="s">
        <v>31</v>
      </c>
      <c r="D147">
        <v>0.29892704253842822</v>
      </c>
      <c r="E147">
        <v>0.46692337854589933</v>
      </c>
      <c r="F147">
        <v>0.30054672025954277</v>
      </c>
      <c r="G147">
        <v>0.2644447231813995</v>
      </c>
      <c r="H147">
        <v>0.46560107974687415</v>
      </c>
      <c r="I147">
        <v>0.23195519078880983</v>
      </c>
      <c r="J147">
        <v>0.22840045956886587</v>
      </c>
      <c r="K147">
        <v>0.27349977717474233</v>
      </c>
      <c r="L147">
        <v>0.23603115323003068</v>
      </c>
      <c r="M147">
        <v>0.34781170067351308</v>
      </c>
      <c r="N147">
        <v>0.48178989708247039</v>
      </c>
      <c r="O147">
        <v>0.33117532682715017</v>
      </c>
      <c r="AU147" t="s">
        <v>369</v>
      </c>
      <c r="AV147">
        <v>0.10710161525950521</v>
      </c>
      <c r="AW147">
        <v>3.7935528911406793E-2</v>
      </c>
      <c r="AX147">
        <v>0.13123322162317169</v>
      </c>
      <c r="AY147">
        <v>0.2348509976713232</v>
      </c>
      <c r="AZ147">
        <v>9.5722737670031907E-2</v>
      </c>
      <c r="BA147">
        <v>0.27019309736650554</v>
      </c>
      <c r="BB147">
        <v>0.3009683392148792</v>
      </c>
      <c r="BC147">
        <v>0.31736612550878179</v>
      </c>
      <c r="BD147">
        <v>0.30194872864539762</v>
      </c>
      <c r="BE147">
        <v>9.1316050124391548E-2</v>
      </c>
      <c r="BF147">
        <v>6.7440379727056271E-2</v>
      </c>
      <c r="BG147">
        <v>9.1137807110161242E-2</v>
      </c>
      <c r="BI147" t="s">
        <v>393</v>
      </c>
      <c r="BJ147" t="s">
        <v>409</v>
      </c>
      <c r="BK147" t="s">
        <v>410</v>
      </c>
      <c r="BL147">
        <v>0.16310127159518198</v>
      </c>
    </row>
    <row r="148" spans="2:64" x14ac:dyDescent="0.25">
      <c r="B148" t="s">
        <v>370</v>
      </c>
      <c r="C148" t="s">
        <v>31</v>
      </c>
      <c r="D148">
        <v>0.25344676774430874</v>
      </c>
      <c r="E148">
        <v>0.24603188037817428</v>
      </c>
      <c r="F148">
        <v>0.19502799051741651</v>
      </c>
      <c r="G148">
        <v>0.36230505984660272</v>
      </c>
      <c r="H148">
        <v>0.38902688854959105</v>
      </c>
      <c r="I148">
        <v>0.23527296414008267</v>
      </c>
      <c r="J148">
        <v>0.24400661643431151</v>
      </c>
      <c r="K148">
        <v>0.30431437360030855</v>
      </c>
      <c r="L148">
        <v>0.16185627676361725</v>
      </c>
      <c r="M148">
        <v>0.30135126782452659</v>
      </c>
      <c r="N148">
        <v>0.3541991079257894</v>
      </c>
      <c r="O148">
        <v>0.24237140174436914</v>
      </c>
      <c r="AU148" t="s">
        <v>370</v>
      </c>
      <c r="AV148">
        <v>0.22654951034100337</v>
      </c>
      <c r="AW148">
        <v>0.26967061770075684</v>
      </c>
      <c r="AX148">
        <v>0.37876141307808037</v>
      </c>
      <c r="AY148">
        <v>0.13509530585212834</v>
      </c>
      <c r="AZ148">
        <v>0.17391441517921255</v>
      </c>
      <c r="BA148">
        <v>0.28606515327192256</v>
      </c>
      <c r="BB148">
        <v>0.22100170184620832</v>
      </c>
      <c r="BC148">
        <v>0.25567365491595173</v>
      </c>
      <c r="BD148">
        <v>0.34377426353999863</v>
      </c>
      <c r="BE148">
        <v>0.14590616306884441</v>
      </c>
      <c r="BF148">
        <v>0.17229895558338923</v>
      </c>
      <c r="BG148">
        <v>0.26674115822212718</v>
      </c>
      <c r="BI148" t="s">
        <v>394</v>
      </c>
      <c r="BJ148" t="s">
        <v>409</v>
      </c>
      <c r="BK148" t="s">
        <v>410</v>
      </c>
      <c r="BL148">
        <v>0.20545221751656106</v>
      </c>
    </row>
    <row r="149" spans="2:64" x14ac:dyDescent="0.25">
      <c r="B149" t="s">
        <v>371</v>
      </c>
      <c r="C149" t="s">
        <v>31</v>
      </c>
      <c r="D149">
        <v>0.30115412046039075</v>
      </c>
      <c r="E149">
        <v>0.32012706511013883</v>
      </c>
      <c r="F149">
        <v>0.20096750070131447</v>
      </c>
      <c r="G149">
        <v>0.35202202208117123</v>
      </c>
      <c r="H149">
        <v>0.32854504591814465</v>
      </c>
      <c r="I149">
        <v>0.19717831556954957</v>
      </c>
      <c r="J149">
        <v>0.20500296466050941</v>
      </c>
      <c r="K149">
        <v>0.29324897323503357</v>
      </c>
      <c r="L149">
        <v>0.21492595039837653</v>
      </c>
      <c r="M149">
        <v>0.28778394225793419</v>
      </c>
      <c r="N149">
        <v>0.37901585503607388</v>
      </c>
      <c r="O149">
        <v>0.24158753157210994</v>
      </c>
      <c r="AU149" t="s">
        <v>371</v>
      </c>
      <c r="AV149">
        <v>0.12127231805105734</v>
      </c>
      <c r="AW149">
        <v>0.16033086393610363</v>
      </c>
      <c r="AX149">
        <v>0.21277811750966613</v>
      </c>
      <c r="AY149">
        <v>0.11985700631565666</v>
      </c>
      <c r="AZ149">
        <v>0.11470132761528555</v>
      </c>
      <c r="BA149">
        <v>0.24661462224247599</v>
      </c>
      <c r="BB149">
        <v>0.19789813308058427</v>
      </c>
      <c r="BC149">
        <v>0.21113228581869081</v>
      </c>
      <c r="BD149">
        <v>0.25328186616625781</v>
      </c>
      <c r="BE149">
        <v>0.1060575390162324</v>
      </c>
      <c r="BF149">
        <v>0.10147681919910712</v>
      </c>
      <c r="BG149">
        <v>0.14336604517190268</v>
      </c>
      <c r="BI149" t="s">
        <v>395</v>
      </c>
      <c r="BJ149" t="s">
        <v>409</v>
      </c>
      <c r="BK149" t="s">
        <v>410</v>
      </c>
      <c r="BL149">
        <v>0.17493891764238773</v>
      </c>
    </row>
    <row r="150" spans="2:64" x14ac:dyDescent="0.25">
      <c r="B150" t="s">
        <v>372</v>
      </c>
      <c r="C150" t="s">
        <v>31</v>
      </c>
      <c r="D150">
        <v>0.45568964720345939</v>
      </c>
      <c r="E150">
        <v>0.34018176753150403</v>
      </c>
      <c r="F150">
        <v>0.23185411468806563</v>
      </c>
      <c r="G150">
        <v>0.5070659896720604</v>
      </c>
      <c r="H150">
        <v>0.49972025897221817</v>
      </c>
      <c r="I150">
        <v>0.22564698096158844</v>
      </c>
      <c r="J150">
        <v>0.18433762606827211</v>
      </c>
      <c r="K150">
        <v>0.23994100220514855</v>
      </c>
      <c r="L150">
        <v>0.28535157822994522</v>
      </c>
      <c r="M150">
        <v>0.49794593477197585</v>
      </c>
      <c r="N150">
        <v>0.42072945539571494</v>
      </c>
      <c r="O150">
        <v>0.41113198509617338</v>
      </c>
      <c r="AU150" t="s">
        <v>372</v>
      </c>
      <c r="AV150">
        <v>2.6055273842216804E-2</v>
      </c>
      <c r="AW150">
        <v>6.7262752407654031E-2</v>
      </c>
      <c r="AX150">
        <v>0.12927893547251659</v>
      </c>
      <c r="AY150">
        <v>0.12738271180698058</v>
      </c>
      <c r="AZ150">
        <v>8.6397947298519157E-2</v>
      </c>
      <c r="BA150">
        <v>0.19292489296567722</v>
      </c>
      <c r="BB150">
        <v>0.47140672687927537</v>
      </c>
      <c r="BC150">
        <v>0.46907966637912007</v>
      </c>
      <c r="BD150">
        <v>0.35188517229441751</v>
      </c>
      <c r="BE150">
        <v>9.0283422963795365E-2</v>
      </c>
      <c r="BF150">
        <v>9.8889745166084481E-2</v>
      </c>
      <c r="BG150">
        <v>6.2538921875579565E-2</v>
      </c>
      <c r="BI150" t="s">
        <v>396</v>
      </c>
      <c r="BJ150" t="s">
        <v>409</v>
      </c>
      <c r="BK150" t="s">
        <v>410</v>
      </c>
      <c r="BL150">
        <v>0.19201046594980872</v>
      </c>
    </row>
    <row r="151" spans="2:64" x14ac:dyDescent="0.25">
      <c r="B151" t="s">
        <v>373</v>
      </c>
      <c r="C151" t="s">
        <v>31</v>
      </c>
      <c r="D151">
        <v>0.44669780693765543</v>
      </c>
      <c r="E151">
        <v>0.38862716846113982</v>
      </c>
      <c r="F151">
        <v>0.22876410976398134</v>
      </c>
      <c r="G151">
        <v>0.52460424350177048</v>
      </c>
      <c r="H151">
        <v>0.51507627479404194</v>
      </c>
      <c r="I151">
        <v>0.25171087463865272</v>
      </c>
      <c r="J151">
        <v>0.21664614746216437</v>
      </c>
      <c r="K151">
        <v>0.27113022317329466</v>
      </c>
      <c r="L151">
        <v>0.25757525237280288</v>
      </c>
      <c r="M151">
        <v>0.40455412733744123</v>
      </c>
      <c r="N151">
        <v>0.40212956331119692</v>
      </c>
      <c r="O151">
        <v>0.35555101904925068</v>
      </c>
      <c r="AU151" t="s">
        <v>373</v>
      </c>
      <c r="AV151">
        <v>3.253206975624285E-2</v>
      </c>
      <c r="AW151">
        <v>7.3933853695703947E-2</v>
      </c>
      <c r="AX151">
        <v>0.13219293629519774</v>
      </c>
      <c r="AY151">
        <v>5.2789436722446161E-2</v>
      </c>
      <c r="AZ151">
        <v>5.541729518412062E-2</v>
      </c>
      <c r="BA151">
        <v>0.13513951687782638</v>
      </c>
      <c r="BB151">
        <v>0.22087689243106637</v>
      </c>
      <c r="BC151">
        <v>0.33125833873454591</v>
      </c>
      <c r="BD151">
        <v>0.24661678099628775</v>
      </c>
      <c r="BE151">
        <v>5.3321362707297267E-2</v>
      </c>
      <c r="BF151">
        <v>7.3583115282777334E-2</v>
      </c>
      <c r="BG151">
        <v>6.5247234605840365E-2</v>
      </c>
      <c r="BI151" t="s">
        <v>397</v>
      </c>
      <c r="BJ151" t="s">
        <v>409</v>
      </c>
      <c r="BK151" t="s">
        <v>410</v>
      </c>
      <c r="BL151">
        <v>0.22480361382597772</v>
      </c>
    </row>
    <row r="152" spans="2:64" x14ac:dyDescent="0.25">
      <c r="B152" t="s">
        <v>374</v>
      </c>
      <c r="C152" t="s">
        <v>31</v>
      </c>
      <c r="D152">
        <v>0.24280164920457226</v>
      </c>
      <c r="E152">
        <v>0.40402425307501383</v>
      </c>
      <c r="F152">
        <v>0.19486552156461176</v>
      </c>
      <c r="G152">
        <v>0.23624524050344917</v>
      </c>
      <c r="H152">
        <v>0.44874219640385371</v>
      </c>
      <c r="I152">
        <v>0.19846847752096525</v>
      </c>
      <c r="J152">
        <v>0.21904197608681414</v>
      </c>
      <c r="K152">
        <v>0.28204001187164096</v>
      </c>
      <c r="L152">
        <v>0.2938340888057917</v>
      </c>
      <c r="M152">
        <v>0.35812892740247682</v>
      </c>
      <c r="N152">
        <v>0.42144791518166547</v>
      </c>
      <c r="O152">
        <v>0.30851086922942961</v>
      </c>
      <c r="AU152" t="s">
        <v>374</v>
      </c>
      <c r="AV152">
        <v>0.14312284177819665</v>
      </c>
      <c r="AW152">
        <v>4.4387572973288311E-2</v>
      </c>
      <c r="AX152">
        <v>0.17426443213773563</v>
      </c>
      <c r="AY152">
        <v>0.22999814888709469</v>
      </c>
      <c r="AZ152">
        <v>7.1744756047127906E-2</v>
      </c>
      <c r="BA152">
        <v>0.20345147285074375</v>
      </c>
      <c r="BB152">
        <v>0.44416990058344435</v>
      </c>
      <c r="BC152">
        <v>0.41534725286794238</v>
      </c>
      <c r="BD152">
        <v>0.36360607947367185</v>
      </c>
      <c r="BE152">
        <v>0.11859253563631403</v>
      </c>
      <c r="BF152">
        <v>8.1642494433035631E-2</v>
      </c>
      <c r="BG152">
        <v>0.10318878734192005</v>
      </c>
      <c r="BI152" t="s">
        <v>398</v>
      </c>
      <c r="BJ152" t="s">
        <v>409</v>
      </c>
      <c r="BK152" t="s">
        <v>410</v>
      </c>
      <c r="BL152">
        <v>0.54257760999633686</v>
      </c>
    </row>
    <row r="153" spans="2:64" x14ac:dyDescent="0.25">
      <c r="B153" t="s">
        <v>375</v>
      </c>
      <c r="C153" t="s">
        <v>31</v>
      </c>
      <c r="D153">
        <v>0.19762988218039571</v>
      </c>
      <c r="E153">
        <v>0.38335744108791969</v>
      </c>
      <c r="F153">
        <v>0.26082395342715481</v>
      </c>
      <c r="G153">
        <v>0.23865371600774213</v>
      </c>
      <c r="H153">
        <v>0.44481776316728072</v>
      </c>
      <c r="I153">
        <v>0.29156851811901752</v>
      </c>
      <c r="J153">
        <v>0.18926669639073318</v>
      </c>
      <c r="K153">
        <v>0.23445088259675564</v>
      </c>
      <c r="L153">
        <v>0.20520378444374557</v>
      </c>
      <c r="M153">
        <v>0.26500623067494766</v>
      </c>
      <c r="N153">
        <v>0.40684827085674191</v>
      </c>
      <c r="O153">
        <v>0.26564668460966867</v>
      </c>
      <c r="AU153" t="s">
        <v>375</v>
      </c>
      <c r="AV153">
        <v>0.23481213504978499</v>
      </c>
      <c r="AW153">
        <v>6.7532283127664933E-2</v>
      </c>
      <c r="AX153">
        <v>0.19794982513440978</v>
      </c>
      <c r="AY153">
        <v>0.30505053154798589</v>
      </c>
      <c r="AZ153">
        <v>9.1098242147186412E-2</v>
      </c>
      <c r="BA153">
        <v>0.26785195593170391</v>
      </c>
      <c r="BB153">
        <v>0.42660393119521539</v>
      </c>
      <c r="BC153">
        <v>0.50674654079653292</v>
      </c>
      <c r="BD153">
        <v>0.50132825395283742</v>
      </c>
      <c r="BE153">
        <v>0.15451625344740039</v>
      </c>
      <c r="BF153">
        <v>0.11871185118969341</v>
      </c>
      <c r="BG153">
        <v>0.18805141715698714</v>
      </c>
      <c r="BI153" t="s">
        <v>399</v>
      </c>
      <c r="BJ153" t="s">
        <v>409</v>
      </c>
      <c r="BK153" t="s">
        <v>410</v>
      </c>
      <c r="BL153">
        <v>0.31533000587488302</v>
      </c>
    </row>
    <row r="154" spans="2:64" x14ac:dyDescent="0.25">
      <c r="B154" t="s">
        <v>376</v>
      </c>
      <c r="C154" t="s">
        <v>31</v>
      </c>
      <c r="D154">
        <v>0.23472660912541571</v>
      </c>
      <c r="E154">
        <v>0.33238253820407648</v>
      </c>
      <c r="F154">
        <v>0.17186121372158217</v>
      </c>
      <c r="G154">
        <v>0.30536781632646026</v>
      </c>
      <c r="H154">
        <v>0.4991586382033748</v>
      </c>
      <c r="I154">
        <v>0.22994262669575047</v>
      </c>
      <c r="J154">
        <v>0.15405901177395029</v>
      </c>
      <c r="K154">
        <v>0.21035167012628592</v>
      </c>
      <c r="L154">
        <v>0.18289338370634206</v>
      </c>
      <c r="M154">
        <v>0.35498167397922853</v>
      </c>
      <c r="N154">
        <v>0.40041558959265383</v>
      </c>
      <c r="O154">
        <v>0.25411601934083655</v>
      </c>
      <c r="AU154" t="s">
        <v>376</v>
      </c>
      <c r="AV154">
        <v>0.1336199487336733</v>
      </c>
      <c r="AW154">
        <v>7.7917368681971425E-2</v>
      </c>
      <c r="AX154">
        <v>0.25390314818600956</v>
      </c>
      <c r="AY154">
        <v>0.22374868511357329</v>
      </c>
      <c r="AZ154">
        <v>8.9146276312861983E-2</v>
      </c>
      <c r="BA154">
        <v>0.25786478831709997</v>
      </c>
      <c r="BB154">
        <v>0.52995938050080971</v>
      </c>
      <c r="BC154">
        <v>0.5827168666572965</v>
      </c>
      <c r="BD154">
        <v>0.53643805736149652</v>
      </c>
      <c r="BE154">
        <v>0.15083919462287657</v>
      </c>
      <c r="BF154">
        <v>0.1266253762778474</v>
      </c>
      <c r="BG154">
        <v>0.16200344932127525</v>
      </c>
      <c r="BI154" t="s">
        <v>400</v>
      </c>
      <c r="BJ154" t="s">
        <v>409</v>
      </c>
      <c r="BK154" t="s">
        <v>410</v>
      </c>
      <c r="BL154">
        <v>0.30830561779333421</v>
      </c>
    </row>
    <row r="155" spans="2:64" x14ac:dyDescent="0.25">
      <c r="B155" t="s">
        <v>377</v>
      </c>
      <c r="C155" t="s">
        <v>31</v>
      </c>
      <c r="D155">
        <v>0.35972974745690517</v>
      </c>
      <c r="E155">
        <v>0.45217281919126456</v>
      </c>
      <c r="F155">
        <v>0.26051471638691953</v>
      </c>
      <c r="G155">
        <v>0.46414668112519825</v>
      </c>
      <c r="H155">
        <v>0.35529546046860327</v>
      </c>
      <c r="I155">
        <v>0.31928157039765437</v>
      </c>
      <c r="J155">
        <v>0.34936695977504095</v>
      </c>
      <c r="K155">
        <v>0.32362533810357258</v>
      </c>
      <c r="L155">
        <v>0.33706288414336938</v>
      </c>
      <c r="M155">
        <v>0.48786394271582045</v>
      </c>
      <c r="N155">
        <v>0.49795149568677693</v>
      </c>
      <c r="O155">
        <v>0.37573576849644469</v>
      </c>
      <c r="AU155" t="s">
        <v>377</v>
      </c>
      <c r="AV155">
        <v>7.5751989362664182E-2</v>
      </c>
      <c r="AW155">
        <v>8.9028978890644039E-2</v>
      </c>
      <c r="AX155">
        <v>0.1800397093007019</v>
      </c>
      <c r="AY155">
        <v>6.4070617382516612E-2</v>
      </c>
      <c r="AZ155">
        <v>0.14690772929962767</v>
      </c>
      <c r="BA155">
        <v>0.13748898718801969</v>
      </c>
      <c r="BB155">
        <v>0.29241511910246787</v>
      </c>
      <c r="BC155">
        <v>0.33418644960613531</v>
      </c>
      <c r="BD155">
        <v>0.30836378305969331</v>
      </c>
      <c r="BE155">
        <v>5.2166456577552839E-2</v>
      </c>
      <c r="BF155">
        <v>8.2564637997956505E-2</v>
      </c>
      <c r="BG155">
        <v>9.0891122046456344E-2</v>
      </c>
      <c r="BI155" t="s">
        <v>401</v>
      </c>
      <c r="BJ155" t="s">
        <v>409</v>
      </c>
      <c r="BK155" t="s">
        <v>410</v>
      </c>
      <c r="BL155">
        <v>0.44618379561637145</v>
      </c>
    </row>
    <row r="156" spans="2:64" x14ac:dyDescent="0.25">
      <c r="B156" t="s">
        <v>378</v>
      </c>
      <c r="C156" t="s">
        <v>31</v>
      </c>
      <c r="D156">
        <v>0.4168443711155489</v>
      </c>
      <c r="E156">
        <v>0.38044349750322837</v>
      </c>
      <c r="F156">
        <v>0.30846728516364047</v>
      </c>
      <c r="G156">
        <v>0.41413103630518572</v>
      </c>
      <c r="H156">
        <v>0.38386539507667305</v>
      </c>
      <c r="I156">
        <v>0.30049845533854413</v>
      </c>
      <c r="J156">
        <v>0.38526767061997741</v>
      </c>
      <c r="K156">
        <v>0.28596176760605369</v>
      </c>
      <c r="L156">
        <v>0.36047322107165297</v>
      </c>
      <c r="M156">
        <v>0.51585972933764468</v>
      </c>
      <c r="N156">
        <v>0.43735581252356281</v>
      </c>
      <c r="O156">
        <v>0.4133450147187695</v>
      </c>
      <c r="AU156" t="s">
        <v>378</v>
      </c>
      <c r="AV156">
        <v>6.2299791370536817E-2</v>
      </c>
      <c r="AW156">
        <v>5.9386327294104514E-2</v>
      </c>
      <c r="AX156">
        <v>5.6443627115295755E-2</v>
      </c>
      <c r="AY156">
        <v>3.4628757737415618E-2</v>
      </c>
      <c r="AZ156">
        <v>9.2799214421177736E-2</v>
      </c>
      <c r="BA156">
        <v>8.5657329184007328E-2</v>
      </c>
      <c r="BB156">
        <v>0.25562510242331388</v>
      </c>
      <c r="BC156">
        <v>0.37053308257075207</v>
      </c>
      <c r="BD156">
        <v>0.2736930650864311</v>
      </c>
      <c r="BE156">
        <v>5.2882122656906505E-2</v>
      </c>
      <c r="BF156">
        <v>8.9534207876489164E-2</v>
      </c>
      <c r="BG156">
        <v>4.6843323496436461E-2</v>
      </c>
      <c r="BI156" t="s">
        <v>311</v>
      </c>
      <c r="BJ156" t="s">
        <v>409</v>
      </c>
      <c r="BK156" t="s">
        <v>410</v>
      </c>
      <c r="BL156">
        <v>0.51640674965682287</v>
      </c>
    </row>
    <row r="157" spans="2:64" x14ac:dyDescent="0.25">
      <c r="B157" t="s">
        <v>379</v>
      </c>
      <c r="C157" t="s">
        <v>31</v>
      </c>
      <c r="D157">
        <v>0.32123632434165045</v>
      </c>
      <c r="E157">
        <v>0.31137314923039405</v>
      </c>
      <c r="F157">
        <v>0.21795354303209449</v>
      </c>
      <c r="G157">
        <v>0.43832437188071577</v>
      </c>
      <c r="H157">
        <v>0.41434828167586346</v>
      </c>
      <c r="I157">
        <v>0.24473638115253152</v>
      </c>
      <c r="J157">
        <v>0.15796400898406238</v>
      </c>
      <c r="K157">
        <v>0.1709277608794226</v>
      </c>
      <c r="L157">
        <v>0.12142143033274508</v>
      </c>
      <c r="M157">
        <v>0.36685553346784516</v>
      </c>
      <c r="N157">
        <v>0.37093868471875296</v>
      </c>
      <c r="O157">
        <v>0.32868053835903355</v>
      </c>
      <c r="AU157" t="s">
        <v>379</v>
      </c>
      <c r="AV157">
        <v>5.9959822125581506E-2</v>
      </c>
      <c r="AW157">
        <v>7.9335913836798333E-2</v>
      </c>
      <c r="AX157">
        <v>0.11403308130085286</v>
      </c>
      <c r="AY157">
        <v>8.5039540526144111E-2</v>
      </c>
      <c r="AZ157">
        <v>0.10378376352796527</v>
      </c>
      <c r="BA157">
        <v>0.15434900798036055</v>
      </c>
      <c r="BB157">
        <v>0.26676316590438981</v>
      </c>
      <c r="BC157">
        <v>0.34446974568690092</v>
      </c>
      <c r="BD157">
        <v>0.32336267283546533</v>
      </c>
      <c r="BE157">
        <v>9.1632480303242003E-2</v>
      </c>
      <c r="BF157">
        <v>0.12240676275268406</v>
      </c>
      <c r="BG157">
        <v>0.13901684645172629</v>
      </c>
      <c r="BI157" t="s">
        <v>312</v>
      </c>
      <c r="BJ157" t="s">
        <v>409</v>
      </c>
      <c r="BK157" t="s">
        <v>410</v>
      </c>
      <c r="BL157">
        <v>0.59150087410260332</v>
      </c>
    </row>
    <row r="158" spans="2:64" x14ac:dyDescent="0.25">
      <c r="B158" t="s">
        <v>380</v>
      </c>
      <c r="C158" t="s">
        <v>31</v>
      </c>
      <c r="D158">
        <v>0.25343447892754706</v>
      </c>
      <c r="E158">
        <v>0.43216771137621385</v>
      </c>
      <c r="F158">
        <v>0.22624073054062688</v>
      </c>
      <c r="G158">
        <v>0.35048381884931518</v>
      </c>
      <c r="H158">
        <v>0.53483203095342224</v>
      </c>
      <c r="I158">
        <v>0.22534706442684035</v>
      </c>
      <c r="J158">
        <v>0.24948141035338384</v>
      </c>
      <c r="K158">
        <v>0.22782198116785354</v>
      </c>
      <c r="L158">
        <v>0.23021672844930505</v>
      </c>
      <c r="M158">
        <v>0.31559181365337319</v>
      </c>
      <c r="N158">
        <v>0.40562421840891932</v>
      </c>
      <c r="O158">
        <v>0.24801386428167763</v>
      </c>
      <c r="AU158" t="s">
        <v>380</v>
      </c>
      <c r="AV158">
        <v>0.11224474716967316</v>
      </c>
      <c r="AW158">
        <v>6.0417851258265091E-2</v>
      </c>
      <c r="AX158">
        <v>0.1574165461985356</v>
      </c>
      <c r="AY158">
        <v>7.844678449732323E-2</v>
      </c>
      <c r="AZ158">
        <v>5.3154565797941894E-2</v>
      </c>
      <c r="BA158">
        <v>0.12835386335744597</v>
      </c>
      <c r="BB158">
        <v>0.32102591440588568</v>
      </c>
      <c r="BC158">
        <v>0.45921732136122906</v>
      </c>
      <c r="BD158">
        <v>0.3417841787116388</v>
      </c>
      <c r="BE158">
        <v>8.4267959715423904E-2</v>
      </c>
      <c r="BF158">
        <v>0.10740500534459271</v>
      </c>
      <c r="BG158">
        <v>0.1072485647706814</v>
      </c>
      <c r="BI158" t="s">
        <v>313</v>
      </c>
      <c r="BJ158" t="s">
        <v>409</v>
      </c>
      <c r="BK158" t="s">
        <v>410</v>
      </c>
      <c r="BL158">
        <v>0.53738541520207372</v>
      </c>
    </row>
    <row r="159" spans="2:64" x14ac:dyDescent="0.25">
      <c r="B159" t="s">
        <v>381</v>
      </c>
      <c r="C159" t="s">
        <v>31</v>
      </c>
      <c r="D159">
        <v>0.25320707602700093</v>
      </c>
      <c r="E159">
        <v>0.41142940922573507</v>
      </c>
      <c r="F159">
        <v>0.22529414617602944</v>
      </c>
      <c r="G159">
        <v>0.29772340511204404</v>
      </c>
      <c r="H159">
        <v>0.44792502670401602</v>
      </c>
      <c r="I159">
        <v>0.22094402769384425</v>
      </c>
      <c r="J159">
        <v>0.21637249231175948</v>
      </c>
      <c r="K159">
        <v>0.18788468160652019</v>
      </c>
      <c r="L159">
        <v>0.18339287398785928</v>
      </c>
      <c r="M159">
        <v>0.31037619927877819</v>
      </c>
      <c r="N159">
        <v>0.42000055487456489</v>
      </c>
      <c r="O159">
        <v>0.25785253569980016</v>
      </c>
      <c r="AU159" t="s">
        <v>381</v>
      </c>
      <c r="AV159">
        <v>0.18074151514092945</v>
      </c>
      <c r="AW159">
        <v>8.0958069108590297E-2</v>
      </c>
      <c r="AX159">
        <v>0.17069705070829772</v>
      </c>
      <c r="AY159">
        <v>0.15997638139439488</v>
      </c>
      <c r="AZ159">
        <v>8.5979610220536282E-2</v>
      </c>
      <c r="BA159">
        <v>0.28173237266597917</v>
      </c>
      <c r="BB159">
        <v>0.4633238750683889</v>
      </c>
      <c r="BC159">
        <v>0.6060893005146204</v>
      </c>
      <c r="BD159">
        <v>0.53143873972774713</v>
      </c>
      <c r="BE159">
        <v>0.14138145184179998</v>
      </c>
      <c r="BF159">
        <v>0.14894563994329521</v>
      </c>
      <c r="BG159">
        <v>0.18201840164616132</v>
      </c>
      <c r="BI159" t="s">
        <v>314</v>
      </c>
      <c r="BJ159" t="s">
        <v>409</v>
      </c>
      <c r="BK159" t="s">
        <v>410</v>
      </c>
      <c r="BL159">
        <v>0.5843270031298311</v>
      </c>
    </row>
    <row r="160" spans="2:64" x14ac:dyDescent="0.25">
      <c r="B160" t="s">
        <v>382</v>
      </c>
      <c r="C160" t="s">
        <v>31</v>
      </c>
      <c r="D160">
        <v>0.33039656812654911</v>
      </c>
      <c r="E160">
        <v>0.42958703873154935</v>
      </c>
      <c r="F160">
        <v>0.32105371652751308</v>
      </c>
      <c r="G160">
        <v>0.23178518064711837</v>
      </c>
      <c r="H160">
        <v>0.37814896228151029</v>
      </c>
      <c r="I160">
        <v>0.17999687506509843</v>
      </c>
      <c r="J160">
        <v>0.19923859581412867</v>
      </c>
      <c r="K160">
        <v>0.23362073862490298</v>
      </c>
      <c r="L160">
        <v>0.14810761156397179</v>
      </c>
      <c r="M160">
        <v>0.37565483889729717</v>
      </c>
      <c r="N160">
        <v>0.4698221260664302</v>
      </c>
      <c r="O160">
        <v>0.32608302562823688</v>
      </c>
      <c r="AU160" t="s">
        <v>382</v>
      </c>
      <c r="AV160">
        <v>0.21930725170819126</v>
      </c>
      <c r="AW160">
        <v>9.5884306491004698E-2</v>
      </c>
      <c r="AX160">
        <v>0.24897921426606193</v>
      </c>
      <c r="AY160">
        <v>0.3747937323702612</v>
      </c>
      <c r="AZ160">
        <v>0.33587199360901593</v>
      </c>
      <c r="BA160">
        <v>0.53494479929461036</v>
      </c>
      <c r="BB160">
        <v>0.34293039331505054</v>
      </c>
      <c r="BC160">
        <v>0.42169240315891682</v>
      </c>
      <c r="BD160">
        <v>0.53231718360375269</v>
      </c>
      <c r="BE160">
        <v>0.19246777385593328</v>
      </c>
      <c r="BF160">
        <v>0.1374064205641016</v>
      </c>
      <c r="BG160">
        <v>0.2461143843536539</v>
      </c>
      <c r="BI160" t="s">
        <v>315</v>
      </c>
      <c r="BJ160" t="s">
        <v>409</v>
      </c>
      <c r="BK160" t="s">
        <v>410</v>
      </c>
      <c r="BL160">
        <v>0.56663080838319702</v>
      </c>
    </row>
    <row r="161" spans="2:64" x14ac:dyDescent="0.25">
      <c r="B161" t="s">
        <v>383</v>
      </c>
      <c r="C161" t="s">
        <v>31</v>
      </c>
      <c r="D161">
        <v>0.37897743875622608</v>
      </c>
      <c r="E161">
        <v>0.40278806685625079</v>
      </c>
      <c r="F161">
        <v>0.28361247034813292</v>
      </c>
      <c r="G161">
        <v>0.45643377844349864</v>
      </c>
      <c r="H161">
        <v>0.37214708352936754</v>
      </c>
      <c r="I161">
        <v>0.22470178734986368</v>
      </c>
      <c r="J161">
        <v>0.25483925842563404</v>
      </c>
      <c r="K161">
        <v>0.25660504966283726</v>
      </c>
      <c r="L161">
        <v>0.2398119737274029</v>
      </c>
      <c r="M161">
        <v>0.46709290682817789</v>
      </c>
      <c r="N161">
        <v>0.52216675108817034</v>
      </c>
      <c r="O161">
        <v>0.42257200389061911</v>
      </c>
      <c r="AU161" t="s">
        <v>383</v>
      </c>
      <c r="AV161">
        <v>0.12066154286317771</v>
      </c>
      <c r="AW161">
        <v>5.6732191318113773E-2</v>
      </c>
      <c r="AX161">
        <v>0.12037106380945861</v>
      </c>
      <c r="AY161">
        <v>7.0615040179986779E-2</v>
      </c>
      <c r="AZ161">
        <v>9.4779249625849729E-2</v>
      </c>
      <c r="BA161">
        <v>0.13506659609575833</v>
      </c>
      <c r="BB161">
        <v>0.28188250705735707</v>
      </c>
      <c r="BC161">
        <v>0.31451885872744773</v>
      </c>
      <c r="BD161">
        <v>0.32156806382995762</v>
      </c>
      <c r="BE161">
        <v>0.13510818574118988</v>
      </c>
      <c r="BF161">
        <v>0.10534944548422193</v>
      </c>
      <c r="BG161">
        <v>0.13368439594926121</v>
      </c>
      <c r="BI161" t="s">
        <v>316</v>
      </c>
      <c r="BJ161" t="s">
        <v>409</v>
      </c>
      <c r="BK161" t="s">
        <v>410</v>
      </c>
      <c r="BL161">
        <v>0.4798919547467187</v>
      </c>
    </row>
    <row r="162" spans="2:64" x14ac:dyDescent="0.25">
      <c r="B162" t="s">
        <v>384</v>
      </c>
      <c r="C162" t="s">
        <v>31</v>
      </c>
      <c r="D162">
        <v>0.2527096384706381</v>
      </c>
      <c r="E162">
        <v>0.35012657931207908</v>
      </c>
      <c r="F162">
        <v>0.23664089200444829</v>
      </c>
      <c r="G162">
        <v>0.19120289226766726</v>
      </c>
      <c r="H162">
        <v>0.3156740289264236</v>
      </c>
      <c r="I162">
        <v>0.17104758679083915</v>
      </c>
      <c r="J162">
        <v>0.19842830600097217</v>
      </c>
      <c r="K162">
        <v>0.22581660639735002</v>
      </c>
      <c r="L162">
        <v>0.16242685315974814</v>
      </c>
      <c r="M162">
        <v>0.35654484741906023</v>
      </c>
      <c r="N162">
        <v>0.48580254822530916</v>
      </c>
      <c r="O162">
        <v>0.34025231070047235</v>
      </c>
      <c r="AU162" t="s">
        <v>384</v>
      </c>
      <c r="AV162">
        <v>0.22744398315102776</v>
      </c>
      <c r="AW162">
        <v>8.448773936963154E-2</v>
      </c>
      <c r="AX162">
        <v>0.22276208975192557</v>
      </c>
      <c r="AY162">
        <v>0.22508101294042418</v>
      </c>
      <c r="AZ162">
        <v>0.1387210211456445</v>
      </c>
      <c r="BA162">
        <v>0.32139676406056678</v>
      </c>
      <c r="BB162">
        <v>0.28034173128797824</v>
      </c>
      <c r="BC162">
        <v>0.30739778373962862</v>
      </c>
      <c r="BD162">
        <v>0.36072347547268907</v>
      </c>
      <c r="BE162">
        <v>0.18184562361340109</v>
      </c>
      <c r="BF162">
        <v>0.11651389595797504</v>
      </c>
      <c r="BG162">
        <v>0.188995771318515</v>
      </c>
      <c r="BI162" t="s">
        <v>317</v>
      </c>
      <c r="BJ162" t="s">
        <v>409</v>
      </c>
      <c r="BK162" t="s">
        <v>410</v>
      </c>
      <c r="BL162">
        <v>0.5372464678246085</v>
      </c>
    </row>
    <row r="163" spans="2:64" x14ac:dyDescent="0.25">
      <c r="B163" t="s">
        <v>385</v>
      </c>
      <c r="C163" t="s">
        <v>31</v>
      </c>
      <c r="D163">
        <v>0.2663518062050324</v>
      </c>
      <c r="E163">
        <v>0.50238818829005361</v>
      </c>
      <c r="F163">
        <v>0.32203514211150097</v>
      </c>
      <c r="G163">
        <v>0.24824405831809096</v>
      </c>
      <c r="H163">
        <v>0.42109385529549925</v>
      </c>
      <c r="I163">
        <v>0.22694396393157001</v>
      </c>
      <c r="J163">
        <v>0.21141766524725958</v>
      </c>
      <c r="K163">
        <v>0.27098615501757517</v>
      </c>
      <c r="L163">
        <v>0.20398807353381895</v>
      </c>
      <c r="M163">
        <v>0.41418314126861611</v>
      </c>
      <c r="N163">
        <v>0.55266281756039071</v>
      </c>
      <c r="O163">
        <v>0.39976663062271695</v>
      </c>
      <c r="AU163" t="s">
        <v>385</v>
      </c>
      <c r="AV163">
        <v>0.22362056446761397</v>
      </c>
      <c r="AW163">
        <v>6.6358913686370216E-2</v>
      </c>
      <c r="AX163">
        <v>0.15342032054669136</v>
      </c>
      <c r="AY163">
        <v>0.18856120011803409</v>
      </c>
      <c r="AZ163">
        <v>9.3869056594093295E-2</v>
      </c>
      <c r="BA163">
        <v>0.2228035106707153</v>
      </c>
      <c r="BB163">
        <v>0.21014341396257583</v>
      </c>
      <c r="BC163">
        <v>0.16530851207728814</v>
      </c>
      <c r="BD163">
        <v>0.23631445070000384</v>
      </c>
      <c r="BE163">
        <v>0.15596722428858026</v>
      </c>
      <c r="BF163">
        <v>6.4327391488048447E-2</v>
      </c>
      <c r="BG163">
        <v>0.11463814993408396</v>
      </c>
      <c r="BI163" t="s">
        <v>318</v>
      </c>
      <c r="BJ163" t="s">
        <v>409</v>
      </c>
      <c r="BK163" t="s">
        <v>410</v>
      </c>
      <c r="BL163">
        <v>0.62940618425512063</v>
      </c>
    </row>
    <row r="164" spans="2:64" x14ac:dyDescent="0.25">
      <c r="B164" t="s">
        <v>386</v>
      </c>
      <c r="C164" t="s">
        <v>31</v>
      </c>
      <c r="D164">
        <v>0.27626153701682316</v>
      </c>
      <c r="E164">
        <v>0.4652572775715797</v>
      </c>
      <c r="F164">
        <v>0.32955497399607592</v>
      </c>
      <c r="G164">
        <v>0.30115405507767656</v>
      </c>
      <c r="H164">
        <v>0.48312417033472022</v>
      </c>
      <c r="I164">
        <v>0.30172870663065343</v>
      </c>
      <c r="J164">
        <v>0.24769238590483653</v>
      </c>
      <c r="K164">
        <v>0.3310443427166242</v>
      </c>
      <c r="L164">
        <v>0.25421706208535078</v>
      </c>
      <c r="M164">
        <v>0.2849410306846229</v>
      </c>
      <c r="N164">
        <v>0.4848523071857907</v>
      </c>
      <c r="O164">
        <v>0.32232748675240419</v>
      </c>
      <c r="AU164" t="s">
        <v>386</v>
      </c>
      <c r="AV164">
        <v>0.25000325512115046</v>
      </c>
      <c r="AW164">
        <v>8.3742894297381951E-2</v>
      </c>
      <c r="AX164">
        <v>0.22864287782419693</v>
      </c>
      <c r="AY164">
        <v>0.36371819491332685</v>
      </c>
      <c r="AZ164">
        <v>0.17175109623155735</v>
      </c>
      <c r="BA164">
        <v>0.30386041644816841</v>
      </c>
      <c r="BB164">
        <v>0.43747401795482238</v>
      </c>
      <c r="BC164">
        <v>0.27707751806384412</v>
      </c>
      <c r="BD164">
        <v>0.39613043849353735</v>
      </c>
      <c r="BE164">
        <v>0.20228996752236034</v>
      </c>
      <c r="BF164">
        <v>0.10188032725251736</v>
      </c>
      <c r="BG164">
        <v>0.19308655974914693</v>
      </c>
      <c r="BI164" t="s">
        <v>319</v>
      </c>
      <c r="BJ164" t="s">
        <v>409</v>
      </c>
      <c r="BK164" t="s">
        <v>410</v>
      </c>
      <c r="BL164">
        <v>0.63661377215171</v>
      </c>
    </row>
    <row r="165" spans="2:64" x14ac:dyDescent="0.25">
      <c r="B165" t="s">
        <v>387</v>
      </c>
      <c r="C165" t="s">
        <v>31</v>
      </c>
      <c r="D165">
        <v>0.30154606572348774</v>
      </c>
      <c r="E165">
        <v>0.45148252150595697</v>
      </c>
      <c r="F165">
        <v>0.33749010666769624</v>
      </c>
      <c r="G165">
        <v>0.28839685440173157</v>
      </c>
      <c r="H165">
        <v>0.45934339372596383</v>
      </c>
      <c r="I165">
        <v>0.3011652887371673</v>
      </c>
      <c r="J165">
        <v>0.21961805870151435</v>
      </c>
      <c r="K165">
        <v>0.26960882204617959</v>
      </c>
      <c r="L165">
        <v>0.20811055775588033</v>
      </c>
      <c r="M165">
        <v>0.35722665463885739</v>
      </c>
      <c r="N165">
        <v>0.52068791491658339</v>
      </c>
      <c r="O165">
        <v>0.35613007574276689</v>
      </c>
      <c r="AU165" t="s">
        <v>387</v>
      </c>
      <c r="AV165">
        <v>0.19441841604834714</v>
      </c>
      <c r="AW165">
        <v>6.3057101955806868E-2</v>
      </c>
      <c r="AX165">
        <v>0.18009944115600715</v>
      </c>
      <c r="AY165">
        <v>0.27629152853115513</v>
      </c>
      <c r="AZ165">
        <v>0.14530463725923989</v>
      </c>
      <c r="BA165">
        <v>0.29336682995651453</v>
      </c>
      <c r="BB165">
        <v>0.29160057017794988</v>
      </c>
      <c r="BC165">
        <v>0.21020398098150808</v>
      </c>
      <c r="BD165">
        <v>0.34465078832924217</v>
      </c>
      <c r="BE165">
        <v>0.14594737309231848</v>
      </c>
      <c r="BF165">
        <v>7.6536713838131779E-2</v>
      </c>
      <c r="BG165">
        <v>0.14833410051176973</v>
      </c>
      <c r="BI165" t="s">
        <v>320</v>
      </c>
      <c r="BJ165" t="s">
        <v>409</v>
      </c>
      <c r="BK165" t="s">
        <v>410</v>
      </c>
      <c r="BL165">
        <v>0.69336003836140636</v>
      </c>
    </row>
    <row r="166" spans="2:64" x14ac:dyDescent="0.25">
      <c r="B166" t="s">
        <v>388</v>
      </c>
      <c r="C166" t="s">
        <v>31</v>
      </c>
      <c r="D166">
        <v>0.27422669335125016</v>
      </c>
      <c r="E166">
        <v>0.54543067894929187</v>
      </c>
      <c r="F166">
        <v>0.25055207550653164</v>
      </c>
      <c r="G166">
        <v>0.36531457751006652</v>
      </c>
      <c r="H166">
        <v>0.47459754625524697</v>
      </c>
      <c r="I166">
        <v>0.26306970874152613</v>
      </c>
      <c r="J166">
        <v>0.3349761225262064</v>
      </c>
      <c r="K166">
        <v>0.40081598188010908</v>
      </c>
      <c r="L166">
        <v>0.37075123569927348</v>
      </c>
      <c r="M166">
        <v>0.31919958682604233</v>
      </c>
      <c r="N166">
        <v>0.4882107592674777</v>
      </c>
      <c r="O166">
        <v>0.27876899250414999</v>
      </c>
      <c r="AU166" t="s">
        <v>388</v>
      </c>
      <c r="AV166">
        <v>0.1051298704335366</v>
      </c>
      <c r="AW166">
        <v>3.7093087100824575E-2</v>
      </c>
      <c r="AX166">
        <v>0.12129733942414007</v>
      </c>
      <c r="AY166">
        <v>0.17755133504122386</v>
      </c>
      <c r="AZ166">
        <v>8.2995618219613779E-2</v>
      </c>
      <c r="BA166">
        <v>0.14104547424298058</v>
      </c>
      <c r="BB166">
        <v>0.2483038677762878</v>
      </c>
      <c r="BC166">
        <v>0.22529819095799608</v>
      </c>
      <c r="BD166">
        <v>0.19577810681380525</v>
      </c>
      <c r="BE166">
        <v>7.5749739322445622E-2</v>
      </c>
      <c r="BF166">
        <v>4.7882107849533416E-2</v>
      </c>
      <c r="BG166">
        <v>9.3180103214878393E-2</v>
      </c>
      <c r="BI166" t="s">
        <v>321</v>
      </c>
      <c r="BJ166" t="s">
        <v>409</v>
      </c>
      <c r="BK166" t="s">
        <v>410</v>
      </c>
      <c r="BL166">
        <v>0.57317803652754351</v>
      </c>
    </row>
    <row r="167" spans="2:64" x14ac:dyDescent="0.25">
      <c r="B167" t="s">
        <v>389</v>
      </c>
      <c r="C167" t="s">
        <v>31</v>
      </c>
      <c r="D167">
        <v>0.26233186154341392</v>
      </c>
      <c r="E167">
        <v>0.52709234993054277</v>
      </c>
      <c r="F167">
        <v>0.32145013710294085</v>
      </c>
      <c r="G167">
        <v>0.26019068321733912</v>
      </c>
      <c r="H167">
        <v>0.44941623311394463</v>
      </c>
      <c r="I167">
        <v>0.24697522750682782</v>
      </c>
      <c r="J167">
        <v>0.21011611953967188</v>
      </c>
      <c r="K167">
        <v>0.30376754733995548</v>
      </c>
      <c r="L167">
        <v>0.25662154658182817</v>
      </c>
      <c r="M167">
        <v>0.33750097518742972</v>
      </c>
      <c r="N167">
        <v>0.48352760355153429</v>
      </c>
      <c r="O167">
        <v>0.31091329342538804</v>
      </c>
      <c r="AU167" t="s">
        <v>389</v>
      </c>
      <c r="AV167">
        <v>0.18057811753566919</v>
      </c>
      <c r="AW167">
        <v>5.6563201247507772E-2</v>
      </c>
      <c r="AX167">
        <v>0.146893375556293</v>
      </c>
      <c r="AY167">
        <v>0.29844700468805874</v>
      </c>
      <c r="AZ167">
        <v>0.11010456353661907</v>
      </c>
      <c r="BA167">
        <v>0.27553264058110261</v>
      </c>
      <c r="BB167">
        <v>0.32241019951613703</v>
      </c>
      <c r="BC167">
        <v>0.2761528741960681</v>
      </c>
      <c r="BD167">
        <v>0.27941807061497281</v>
      </c>
      <c r="BE167">
        <v>0.117423960982316</v>
      </c>
      <c r="BF167">
        <v>5.3479060977843003E-2</v>
      </c>
      <c r="BG167">
        <v>9.6348791112977936E-2</v>
      </c>
      <c r="BI167" t="s">
        <v>322</v>
      </c>
      <c r="BJ167" t="s">
        <v>409</v>
      </c>
      <c r="BK167" t="s">
        <v>410</v>
      </c>
      <c r="BL167">
        <v>0.5932963009514971</v>
      </c>
    </row>
    <row r="168" spans="2:64" x14ac:dyDescent="0.25">
      <c r="B168" t="s">
        <v>390</v>
      </c>
      <c r="C168" t="s">
        <v>31</v>
      </c>
      <c r="D168">
        <v>0.23053074972543267</v>
      </c>
      <c r="E168">
        <v>0.52818119464567337</v>
      </c>
      <c r="F168">
        <v>0.23787464633687522</v>
      </c>
      <c r="G168">
        <v>0.3200377827478505</v>
      </c>
      <c r="H168">
        <v>0.47841622688648294</v>
      </c>
      <c r="I168">
        <v>0.2822034117304682</v>
      </c>
      <c r="J168">
        <v>0.23750195444650329</v>
      </c>
      <c r="K168">
        <v>0.32980836024778254</v>
      </c>
      <c r="L168">
        <v>0.28652544101066929</v>
      </c>
      <c r="M168">
        <v>0.30566382433769262</v>
      </c>
      <c r="N168">
        <v>0.46481882078249098</v>
      </c>
      <c r="O168">
        <v>0.26764598978920007</v>
      </c>
      <c r="AU168" t="s">
        <v>390</v>
      </c>
      <c r="AV168">
        <v>0.14531157034039749</v>
      </c>
      <c r="AW168">
        <v>4.7001399589799257E-2</v>
      </c>
      <c r="AX168">
        <v>0.16017748813013691</v>
      </c>
      <c r="AY168">
        <v>0.27260686261803402</v>
      </c>
      <c r="AZ168">
        <v>9.9975748790165644E-2</v>
      </c>
      <c r="BA168">
        <v>0.23162253745348074</v>
      </c>
      <c r="BB168">
        <v>0.30447680674368727</v>
      </c>
      <c r="BC168">
        <v>0.20976408111110451</v>
      </c>
      <c r="BD168">
        <v>0.24397329500089784</v>
      </c>
      <c r="BE168">
        <v>0.10389409936837098</v>
      </c>
      <c r="BF168">
        <v>5.6023431981733617E-2</v>
      </c>
      <c r="BG168">
        <v>0.13575713774199513</v>
      </c>
      <c r="BI168" t="s">
        <v>323</v>
      </c>
      <c r="BJ168" t="s">
        <v>409</v>
      </c>
      <c r="BK168" t="s">
        <v>410</v>
      </c>
      <c r="BL168">
        <v>0.45274154556688895</v>
      </c>
    </row>
    <row r="169" spans="2:64" x14ac:dyDescent="0.25">
      <c r="B169" t="s">
        <v>391</v>
      </c>
      <c r="C169" t="s">
        <v>31</v>
      </c>
      <c r="D169">
        <v>0.32052662495114215</v>
      </c>
      <c r="E169">
        <v>0.56441365419415146</v>
      </c>
      <c r="F169">
        <v>0.2747873291824694</v>
      </c>
      <c r="G169">
        <v>0.36159443073741826</v>
      </c>
      <c r="H169">
        <v>0.51100855463856487</v>
      </c>
      <c r="I169">
        <v>0.26083904897902466</v>
      </c>
      <c r="J169">
        <v>0.30631346916523489</v>
      </c>
      <c r="K169">
        <v>0.35362308837381407</v>
      </c>
      <c r="L169">
        <v>0.32020315638324265</v>
      </c>
      <c r="M169">
        <v>0.36396453644259719</v>
      </c>
      <c r="N169">
        <v>0.52722578750700599</v>
      </c>
      <c r="O169">
        <v>0.34434480203220957</v>
      </c>
      <c r="AU169" t="s">
        <v>391</v>
      </c>
      <c r="AV169">
        <v>0.11905528210680498</v>
      </c>
      <c r="AW169">
        <v>5.298598186973158E-2</v>
      </c>
      <c r="AX169">
        <v>0.16262580533888615</v>
      </c>
      <c r="AY169">
        <v>0.28234064339752674</v>
      </c>
      <c r="AZ169">
        <v>0.14292478702058503</v>
      </c>
      <c r="BA169">
        <v>0.27363897806078208</v>
      </c>
      <c r="BB169">
        <v>0.25934666879779306</v>
      </c>
      <c r="BC169">
        <v>0.14713878068481667</v>
      </c>
      <c r="BD169">
        <v>0.1796704530696599</v>
      </c>
      <c r="BE169">
        <v>9.8289301194915538E-2</v>
      </c>
      <c r="BF169">
        <v>5.4234619878749168E-2</v>
      </c>
      <c r="BG169">
        <v>0.10924064038588532</v>
      </c>
      <c r="BI169" t="s">
        <v>324</v>
      </c>
      <c r="BJ169" t="s">
        <v>409</v>
      </c>
      <c r="BK169" t="s">
        <v>410</v>
      </c>
      <c r="BL169">
        <v>0.69161535734207891</v>
      </c>
    </row>
    <row r="170" spans="2:64" x14ac:dyDescent="0.25">
      <c r="B170" t="s">
        <v>392</v>
      </c>
      <c r="C170" t="s">
        <v>31</v>
      </c>
      <c r="D170">
        <v>0.31834157053679785</v>
      </c>
      <c r="E170">
        <v>0.5806910758832452</v>
      </c>
      <c r="F170">
        <v>0.32852231780664731</v>
      </c>
      <c r="G170">
        <v>0.35117125932875526</v>
      </c>
      <c r="H170">
        <v>0.50646364016682932</v>
      </c>
      <c r="I170">
        <v>0.29520634079251906</v>
      </c>
      <c r="J170">
        <v>0.33298379780044007</v>
      </c>
      <c r="K170">
        <v>0.36776840510272862</v>
      </c>
      <c r="L170">
        <v>0.37045477352485057</v>
      </c>
      <c r="M170">
        <v>0.38138398137443907</v>
      </c>
      <c r="N170">
        <v>0.50278175288632265</v>
      </c>
      <c r="O170">
        <v>0.30726466329597085</v>
      </c>
      <c r="AU170" t="s">
        <v>392</v>
      </c>
      <c r="AV170">
        <v>0.10944487890425078</v>
      </c>
      <c r="AW170">
        <v>3.7512444628285138E-2</v>
      </c>
      <c r="AX170">
        <v>0.13494938239566109</v>
      </c>
      <c r="AY170">
        <v>0.20956372077427066</v>
      </c>
      <c r="AZ170">
        <v>9.6452738727092466E-2</v>
      </c>
      <c r="BA170">
        <v>0.2068097277235352</v>
      </c>
      <c r="BB170">
        <v>0.1746353840004313</v>
      </c>
      <c r="BC170">
        <v>0.10116978765201479</v>
      </c>
      <c r="BD170">
        <v>0.13223240061514166</v>
      </c>
      <c r="BE170">
        <v>7.8750425578313563E-2</v>
      </c>
      <c r="BF170">
        <v>4.4931870947119222E-2</v>
      </c>
      <c r="BG170">
        <v>9.3566690070080297E-2</v>
      </c>
      <c r="BI170" t="s">
        <v>325</v>
      </c>
      <c r="BJ170" t="s">
        <v>409</v>
      </c>
      <c r="BK170" t="s">
        <v>410</v>
      </c>
      <c r="BL170">
        <v>0.43700377541684532</v>
      </c>
    </row>
    <row r="171" spans="2:64" x14ac:dyDescent="0.25">
      <c r="B171" t="s">
        <v>393</v>
      </c>
      <c r="C171" t="s">
        <v>31</v>
      </c>
      <c r="D171">
        <v>0.42457215288312494</v>
      </c>
      <c r="E171">
        <v>0.54624488837197438</v>
      </c>
      <c r="F171">
        <v>0.37859597448272875</v>
      </c>
      <c r="G171">
        <v>0.3936362881416135</v>
      </c>
      <c r="H171">
        <v>0.49090568255798561</v>
      </c>
      <c r="I171">
        <v>0.27682573725941839</v>
      </c>
      <c r="J171">
        <v>0.41788175503059422</v>
      </c>
      <c r="K171">
        <v>0.48958336071962227</v>
      </c>
      <c r="L171">
        <v>0.41532871815548722</v>
      </c>
      <c r="M171">
        <v>0.44122771198203237</v>
      </c>
      <c r="N171">
        <v>0.5751434328356716</v>
      </c>
      <c r="O171">
        <v>0.44130202334403995</v>
      </c>
      <c r="AU171" t="s">
        <v>393</v>
      </c>
      <c r="AV171">
        <v>9.6671936480303228E-2</v>
      </c>
      <c r="AW171">
        <v>4.0525819828125399E-2</v>
      </c>
      <c r="AX171">
        <v>0.11243845141705182</v>
      </c>
      <c r="AY171">
        <v>0.13085335020058911</v>
      </c>
      <c r="AZ171">
        <v>9.6447197311309588E-2</v>
      </c>
      <c r="BA171">
        <v>0.16622946233826949</v>
      </c>
      <c r="BB171">
        <v>0.13323551105933926</v>
      </c>
      <c r="BC171">
        <v>0.11551497727240811</v>
      </c>
      <c r="BD171">
        <v>0.107112292990694</v>
      </c>
      <c r="BE171">
        <v>8.3872428771476604E-2</v>
      </c>
      <c r="BF171">
        <v>5.9764963165576675E-2</v>
      </c>
      <c r="BG171">
        <v>8.026029576409878E-2</v>
      </c>
      <c r="BI171" t="s">
        <v>326</v>
      </c>
      <c r="BJ171" t="s">
        <v>409</v>
      </c>
      <c r="BK171" t="s">
        <v>410</v>
      </c>
      <c r="BL171">
        <v>0.74957685096347459</v>
      </c>
    </row>
    <row r="172" spans="2:64" x14ac:dyDescent="0.25">
      <c r="B172" t="s">
        <v>394</v>
      </c>
      <c r="C172" t="s">
        <v>31</v>
      </c>
      <c r="D172">
        <v>0.38790182319313421</v>
      </c>
      <c r="E172">
        <v>0.57181446130051461</v>
      </c>
      <c r="F172">
        <v>0.26811381009502699</v>
      </c>
      <c r="G172">
        <v>0.4114495848584489</v>
      </c>
      <c r="H172">
        <v>0.50608601385352014</v>
      </c>
      <c r="I172">
        <v>0.26403955864958062</v>
      </c>
      <c r="J172">
        <v>0.34687137436930326</v>
      </c>
      <c r="K172">
        <v>0.40981212925433363</v>
      </c>
      <c r="L172">
        <v>0.36386085773183735</v>
      </c>
      <c r="M172">
        <v>0.39931239153116155</v>
      </c>
      <c r="N172">
        <v>0.52211207746281774</v>
      </c>
      <c r="O172">
        <v>0.34521104385171369</v>
      </c>
      <c r="AU172" t="s">
        <v>394</v>
      </c>
      <c r="AV172">
        <v>9.2036118393217736E-2</v>
      </c>
      <c r="AW172">
        <v>3.6303136350810852E-2</v>
      </c>
      <c r="AX172">
        <v>0.12168405480279544</v>
      </c>
      <c r="AY172">
        <v>0.1844333519649046</v>
      </c>
      <c r="AZ172">
        <v>9.8120258721742903E-2</v>
      </c>
      <c r="BA172">
        <v>0.15582816427076329</v>
      </c>
      <c r="BB172">
        <v>0.20549274030272233</v>
      </c>
      <c r="BC172">
        <v>0.15946834478399843</v>
      </c>
      <c r="BD172">
        <v>0.15841516564836178</v>
      </c>
      <c r="BE172">
        <v>8.1609414806996364E-2</v>
      </c>
      <c r="BF172">
        <v>5.0309850453767901E-2</v>
      </c>
      <c r="BG172">
        <v>8.6634874180594526E-2</v>
      </c>
      <c r="BI172" t="s">
        <v>327</v>
      </c>
      <c r="BJ172" t="s">
        <v>409</v>
      </c>
      <c r="BK172" t="s">
        <v>410</v>
      </c>
      <c r="BL172">
        <v>0.60413043024225965</v>
      </c>
    </row>
    <row r="173" spans="2:64" x14ac:dyDescent="0.25">
      <c r="B173" t="s">
        <v>395</v>
      </c>
      <c r="C173" t="s">
        <v>31</v>
      </c>
      <c r="D173">
        <v>0.41589028833217206</v>
      </c>
      <c r="E173">
        <v>0.586534758953147</v>
      </c>
      <c r="F173">
        <v>0.384703441538848</v>
      </c>
      <c r="G173">
        <v>0.35930507205779438</v>
      </c>
      <c r="H173">
        <v>0.46271858524972859</v>
      </c>
      <c r="I173">
        <v>0.3273649231762546</v>
      </c>
      <c r="J173">
        <v>0.3589544162421216</v>
      </c>
      <c r="K173">
        <v>0.50408860338088901</v>
      </c>
      <c r="L173">
        <v>0.38676488691846495</v>
      </c>
      <c r="M173">
        <v>0.33231588428028458</v>
      </c>
      <c r="N173">
        <v>0.51238943956064742</v>
      </c>
      <c r="O173">
        <v>0.31262541026111357</v>
      </c>
      <c r="AU173" t="s">
        <v>395</v>
      </c>
      <c r="AV173">
        <v>0.13063316965528177</v>
      </c>
      <c r="AW173">
        <v>6.8082336348770631E-2</v>
      </c>
      <c r="AX173">
        <v>0.13592190070342533</v>
      </c>
      <c r="AY173">
        <v>0.15580962343558813</v>
      </c>
      <c r="AZ173">
        <v>7.6855613719660362E-2</v>
      </c>
      <c r="BA173">
        <v>0.17547338306286683</v>
      </c>
      <c r="BB173">
        <v>0.13273056005354184</v>
      </c>
      <c r="BC173">
        <v>6.8756059873712069E-2</v>
      </c>
      <c r="BD173">
        <v>9.9523960291711691E-2</v>
      </c>
      <c r="BE173">
        <v>7.0881800708417708E-2</v>
      </c>
      <c r="BF173">
        <v>3.1873753046161642E-2</v>
      </c>
      <c r="BG173">
        <v>7.8316427131803618E-2</v>
      </c>
      <c r="BI173" t="s">
        <v>328</v>
      </c>
      <c r="BJ173" t="s">
        <v>409</v>
      </c>
      <c r="BK173" t="s">
        <v>410</v>
      </c>
      <c r="BL173">
        <v>0.63941126367711265</v>
      </c>
    </row>
    <row r="174" spans="2:64" x14ac:dyDescent="0.25">
      <c r="B174" t="s">
        <v>396</v>
      </c>
      <c r="C174" t="s">
        <v>31</v>
      </c>
      <c r="D174">
        <v>0.40905209837547712</v>
      </c>
      <c r="E174">
        <v>0.54842963250652565</v>
      </c>
      <c r="F174">
        <v>0.40421992225345399</v>
      </c>
      <c r="G174">
        <v>0.44432084653046089</v>
      </c>
      <c r="H174">
        <v>0.49741093557453492</v>
      </c>
      <c r="I174">
        <v>0.29377613442924516</v>
      </c>
      <c r="J174">
        <v>0.43066984354769888</v>
      </c>
      <c r="K174">
        <v>0.46161277213100727</v>
      </c>
      <c r="L174">
        <v>0.41934091661804268</v>
      </c>
      <c r="M174">
        <v>0.44744106237825021</v>
      </c>
      <c r="N174">
        <v>0.54488921609552587</v>
      </c>
      <c r="O174">
        <v>0.4057791534168782</v>
      </c>
      <c r="AU174" t="s">
        <v>396</v>
      </c>
      <c r="AV174">
        <v>0.11297973173947812</v>
      </c>
      <c r="AW174">
        <v>4.6079418117273986E-2</v>
      </c>
      <c r="AX174">
        <v>0.11393277503376228</v>
      </c>
      <c r="AY174">
        <v>0.191729402108826</v>
      </c>
      <c r="AZ174">
        <v>0.10640715658742267</v>
      </c>
      <c r="BA174">
        <v>0.19232266831109962</v>
      </c>
      <c r="BB174">
        <v>0.15520243014796223</v>
      </c>
      <c r="BC174">
        <v>7.922288481829684E-2</v>
      </c>
      <c r="BD174">
        <v>0.11137685789199571</v>
      </c>
      <c r="BE174">
        <v>9.8097460099160538E-2</v>
      </c>
      <c r="BF174">
        <v>4.4067152175162695E-2</v>
      </c>
      <c r="BG174">
        <v>8.3534452026452599E-2</v>
      </c>
      <c r="BI174" t="s">
        <v>329</v>
      </c>
      <c r="BJ174" t="s">
        <v>409</v>
      </c>
      <c r="BK174" t="s">
        <v>410</v>
      </c>
      <c r="BL174">
        <v>0.43687922349607733</v>
      </c>
    </row>
    <row r="175" spans="2:64" x14ac:dyDescent="0.25">
      <c r="B175" t="s">
        <v>397</v>
      </c>
      <c r="C175" t="s">
        <v>31</v>
      </c>
      <c r="D175">
        <v>0.43419868010559454</v>
      </c>
      <c r="E175">
        <v>0.53938695463779107</v>
      </c>
      <c r="F175">
        <v>0.43436408519326281</v>
      </c>
      <c r="G175">
        <v>0.43541564756128814</v>
      </c>
      <c r="H175">
        <v>0.5016836565557512</v>
      </c>
      <c r="I175">
        <v>0.27672374041119246</v>
      </c>
      <c r="J175">
        <v>0.38093921528619673</v>
      </c>
      <c r="K175">
        <v>0.49244161031734945</v>
      </c>
      <c r="L175">
        <v>0.34718767998823979</v>
      </c>
      <c r="M175">
        <v>0.38696575704930902</v>
      </c>
      <c r="N175">
        <v>0.49395214228024709</v>
      </c>
      <c r="O175">
        <v>0.29674951480712775</v>
      </c>
      <c r="AU175" t="s">
        <v>397</v>
      </c>
      <c r="AV175">
        <v>0.12377219076850822</v>
      </c>
      <c r="AW175">
        <v>6.3736811216862324E-2</v>
      </c>
      <c r="AX175">
        <v>0.14045678792931893</v>
      </c>
      <c r="AY175">
        <v>0.18703295197968078</v>
      </c>
      <c r="AZ175">
        <v>0.11992130134814369</v>
      </c>
      <c r="BA175">
        <v>0.22843124695514341</v>
      </c>
      <c r="BB175">
        <v>0.19641564035940945</v>
      </c>
      <c r="BC175">
        <v>0.1134396943352006</v>
      </c>
      <c r="BD175">
        <v>0.1407342955356615</v>
      </c>
      <c r="BE175">
        <v>0.11066342683732763</v>
      </c>
      <c r="BF175">
        <v>4.9973587945131182E-2</v>
      </c>
      <c r="BG175">
        <v>0.1115328975811519</v>
      </c>
      <c r="BI175" t="s">
        <v>330</v>
      </c>
      <c r="BJ175" t="s">
        <v>409</v>
      </c>
      <c r="BK175" t="s">
        <v>410</v>
      </c>
      <c r="BL175">
        <v>0.51756445547272834</v>
      </c>
    </row>
    <row r="176" spans="2:64" x14ac:dyDescent="0.25">
      <c r="B176" t="s">
        <v>398</v>
      </c>
      <c r="C176" t="s">
        <v>31</v>
      </c>
      <c r="D176">
        <v>0.27773893706839003</v>
      </c>
      <c r="E176">
        <v>0.44259997436171017</v>
      </c>
      <c r="F176">
        <v>0.341098563546052</v>
      </c>
      <c r="G176">
        <v>0.3100154169636003</v>
      </c>
      <c r="H176">
        <v>0.44043211455175513</v>
      </c>
      <c r="I176">
        <v>0.28554940652979632</v>
      </c>
      <c r="J176">
        <v>0.23679745693840432</v>
      </c>
      <c r="K176">
        <v>0.36441137225151182</v>
      </c>
      <c r="L176">
        <v>0.25978148606966511</v>
      </c>
      <c r="M176">
        <v>0.32380653736264742</v>
      </c>
      <c r="N176">
        <v>0.49327968635186004</v>
      </c>
      <c r="O176">
        <v>0.31345116793059347</v>
      </c>
      <c r="AU176" t="s">
        <v>398</v>
      </c>
      <c r="AV176">
        <v>0.21955446757484107</v>
      </c>
      <c r="AW176">
        <v>8.3990561510087838E-2</v>
      </c>
      <c r="AX176">
        <v>0.21621807634517046</v>
      </c>
      <c r="AY176">
        <v>0.34297584791859786</v>
      </c>
      <c r="AZ176">
        <v>0.16001829407283666</v>
      </c>
      <c r="BA176">
        <v>0.34055392554067343</v>
      </c>
      <c r="BB176">
        <v>0.54525782161302738</v>
      </c>
      <c r="BC176">
        <v>0.33505532754894007</v>
      </c>
      <c r="BD176">
        <v>0.49672734911180816</v>
      </c>
      <c r="BE176">
        <v>0.21800272588165795</v>
      </c>
      <c r="BF176">
        <v>0.11255674101044365</v>
      </c>
      <c r="BG176">
        <v>0.22713761444691696</v>
      </c>
      <c r="BI176" t="s">
        <v>331</v>
      </c>
      <c r="BJ176" t="s">
        <v>409</v>
      </c>
      <c r="BK176" t="s">
        <v>410</v>
      </c>
      <c r="BL176">
        <v>0.59089014074830548</v>
      </c>
    </row>
    <row r="177" spans="2:64" x14ac:dyDescent="0.25">
      <c r="B177" t="s">
        <v>399</v>
      </c>
      <c r="C177" t="s">
        <v>31</v>
      </c>
      <c r="D177">
        <v>0.40231388819305514</v>
      </c>
      <c r="E177">
        <v>0.58676825146321521</v>
      </c>
      <c r="F177">
        <v>0.42312333475238134</v>
      </c>
      <c r="G177">
        <v>0.34461023896218862</v>
      </c>
      <c r="H177">
        <v>0.50889011292998088</v>
      </c>
      <c r="I177">
        <v>0.29018491177803996</v>
      </c>
      <c r="J177">
        <v>0.32748758964532726</v>
      </c>
      <c r="K177">
        <v>0.43067021179542614</v>
      </c>
      <c r="L177">
        <v>0.3225679713024901</v>
      </c>
      <c r="M177">
        <v>0.34836642099885484</v>
      </c>
      <c r="N177">
        <v>0.4956276491361265</v>
      </c>
      <c r="O177">
        <v>0.29554491478142286</v>
      </c>
      <c r="AU177" t="s">
        <v>399</v>
      </c>
      <c r="AV177">
        <v>0.10275110727123592</v>
      </c>
      <c r="AW177">
        <v>5.1420571813645247E-2</v>
      </c>
      <c r="AX177">
        <v>0.10782678474592718</v>
      </c>
      <c r="AY177">
        <v>0.20501573302171341</v>
      </c>
      <c r="AZ177">
        <v>9.8916038286979577E-2</v>
      </c>
      <c r="BA177">
        <v>0.22717222626125574</v>
      </c>
      <c r="BB177">
        <v>0.31541365234398405</v>
      </c>
      <c r="BC177">
        <v>0.16605342985072996</v>
      </c>
      <c r="BD177">
        <v>0.18927222232691096</v>
      </c>
      <c r="BE177">
        <v>0.14877764877512289</v>
      </c>
      <c r="BF177">
        <v>5.7701255353890937E-2</v>
      </c>
      <c r="BG177">
        <v>0.13466154027635502</v>
      </c>
      <c r="BI177" t="s">
        <v>332</v>
      </c>
      <c r="BJ177" t="s">
        <v>409</v>
      </c>
      <c r="BK177" t="s">
        <v>410</v>
      </c>
      <c r="BL177">
        <v>0.43522131616946791</v>
      </c>
    </row>
    <row r="178" spans="2:64" x14ac:dyDescent="0.25">
      <c r="B178" t="s">
        <v>400</v>
      </c>
      <c r="C178" t="s">
        <v>31</v>
      </c>
      <c r="D178">
        <v>0.37885092241073487</v>
      </c>
      <c r="E178">
        <v>0.53398766379454998</v>
      </c>
      <c r="F178">
        <v>0.32853529686387672</v>
      </c>
      <c r="G178">
        <v>0.36867420303004345</v>
      </c>
      <c r="H178">
        <v>0.48138077391011602</v>
      </c>
      <c r="I178">
        <v>0.28670020244081951</v>
      </c>
      <c r="J178">
        <v>0.36645062801664519</v>
      </c>
      <c r="K178">
        <v>0.44723401467408203</v>
      </c>
      <c r="L178">
        <v>0.40231980415584062</v>
      </c>
      <c r="M178">
        <v>0.3660657255203848</v>
      </c>
      <c r="N178">
        <v>0.47703619144306014</v>
      </c>
      <c r="O178">
        <v>0.32250521067813775</v>
      </c>
      <c r="AU178" t="s">
        <v>400</v>
      </c>
      <c r="AV178">
        <v>0.12742622048562799</v>
      </c>
      <c r="AW178">
        <v>6.0749452099514323E-2</v>
      </c>
      <c r="AX178">
        <v>0.15715662515956333</v>
      </c>
      <c r="AY178">
        <v>0.25372198979523669</v>
      </c>
      <c r="AZ178">
        <v>0.14392815965807657</v>
      </c>
      <c r="BA178">
        <v>0.26035786824947843</v>
      </c>
      <c r="BB178">
        <v>0.30836054054426959</v>
      </c>
      <c r="BC178">
        <v>0.1565401975330066</v>
      </c>
      <c r="BD178">
        <v>0.20536768540369396</v>
      </c>
      <c r="BE178">
        <v>0.1440507652983759</v>
      </c>
      <c r="BF178">
        <v>6.0186065097439644E-2</v>
      </c>
      <c r="BG178">
        <v>0.15178405699542435</v>
      </c>
      <c r="BI178" t="s">
        <v>333</v>
      </c>
      <c r="BJ178" t="s">
        <v>409</v>
      </c>
      <c r="BK178" t="s">
        <v>410</v>
      </c>
      <c r="BL178">
        <v>0.49106490460572955</v>
      </c>
    </row>
    <row r="179" spans="2:64" x14ac:dyDescent="0.25">
      <c r="B179" t="s">
        <v>401</v>
      </c>
      <c r="C179" t="s">
        <v>31</v>
      </c>
      <c r="D179">
        <v>0.32422665971640019</v>
      </c>
      <c r="E179">
        <v>0.51946020818059691</v>
      </c>
      <c r="F179">
        <v>0.32165815318186836</v>
      </c>
      <c r="G179">
        <v>0.30065693475597788</v>
      </c>
      <c r="H179">
        <v>0.47796801620107504</v>
      </c>
      <c r="I179">
        <v>0.30234338357833429</v>
      </c>
      <c r="J179">
        <v>0.29066763776901938</v>
      </c>
      <c r="K179">
        <v>0.39107082287362704</v>
      </c>
      <c r="L179">
        <v>0.30387066111084626</v>
      </c>
      <c r="M179">
        <v>0.30241235501053604</v>
      </c>
      <c r="N179">
        <v>0.46590057785262096</v>
      </c>
      <c r="O179">
        <v>0.32488406392982083</v>
      </c>
      <c r="AU179" t="s">
        <v>401</v>
      </c>
      <c r="AV179">
        <v>0.18326793072379602</v>
      </c>
      <c r="AW179">
        <v>7.9110144964962756E-2</v>
      </c>
      <c r="AX179">
        <v>0.19618768725743446</v>
      </c>
      <c r="AY179">
        <v>0.3090582926442122</v>
      </c>
      <c r="AZ179">
        <v>0.15044825925290428</v>
      </c>
      <c r="BA179">
        <v>0.28188524978044693</v>
      </c>
      <c r="BB179">
        <v>0.44641346255851422</v>
      </c>
      <c r="BC179">
        <v>0.24605640263807596</v>
      </c>
      <c r="BD179">
        <v>0.35184097313112961</v>
      </c>
      <c r="BE179">
        <v>0.21676500116456215</v>
      </c>
      <c r="BF179">
        <v>8.9246479268536072E-2</v>
      </c>
      <c r="BG179">
        <v>0.19264291160538544</v>
      </c>
      <c r="BI179" t="s">
        <v>334</v>
      </c>
      <c r="BJ179" t="s">
        <v>409</v>
      </c>
      <c r="BK179" t="s">
        <v>410</v>
      </c>
      <c r="BL179">
        <v>0.54082802457942802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7F3B6-DDCF-4972-8790-01F1A1D97C23}">
  <dimension ref="A9:S126"/>
  <sheetViews>
    <sheetView tabSelected="1" workbookViewId="0"/>
  </sheetViews>
  <sheetFormatPr defaultRowHeight="15" x14ac:dyDescent="0.25"/>
  <sheetData>
    <row r="9" spans="1:19" x14ac:dyDescent="0.25">
      <c r="C9" t="str">
        <f>IF(A11="x","DeActivated","~TFM_DINS-AT")</f>
        <v>~TFM_DINS-AT</v>
      </c>
      <c r="H9" t="str">
        <f>IF(A11="x","DeActivated","~TFM_DINS-AT")</f>
        <v>~TFM_DINS-AT</v>
      </c>
      <c r="L9" t="str">
        <f>IF(A11="x","DeActivated","~TFM_DINS-AT")</f>
        <v>~TFM_DINS-AT</v>
      </c>
      <c r="P9" t="str">
        <f>IF(A11="x","DeActivated","~TFM_INS-AT")</f>
        <v>~TFM_INS-AT</v>
      </c>
    </row>
    <row r="10" spans="1:19" x14ac:dyDescent="0.25">
      <c r="A10" t="s">
        <v>46</v>
      </c>
      <c r="C10" t="s">
        <v>411</v>
      </c>
      <c r="D10" t="s">
        <v>49</v>
      </c>
      <c r="E10" t="s">
        <v>48</v>
      </c>
      <c r="F10" t="s">
        <v>47</v>
      </c>
      <c r="H10" t="s">
        <v>47</v>
      </c>
      <c r="I10" t="s">
        <v>48</v>
      </c>
      <c r="J10" t="s">
        <v>49</v>
      </c>
      <c r="L10" t="s">
        <v>47</v>
      </c>
      <c r="M10" t="s">
        <v>48</v>
      </c>
      <c r="N10" t="s">
        <v>420</v>
      </c>
      <c r="P10" t="s">
        <v>421</v>
      </c>
      <c r="Q10" t="s">
        <v>48</v>
      </c>
      <c r="R10" t="s">
        <v>422</v>
      </c>
      <c r="S10" t="s">
        <v>423</v>
      </c>
    </row>
    <row r="11" spans="1:19" x14ac:dyDescent="0.25">
      <c r="A11" t="str">
        <f>IFERROR(IF([1]Veda!D5=A10,"ok","x"),"")</f>
        <v/>
      </c>
      <c r="C11">
        <v>8.2191780821917804E-2</v>
      </c>
      <c r="D11">
        <v>4.555602515973449E-2</v>
      </c>
      <c r="E11" t="s">
        <v>52</v>
      </c>
      <c r="F11" t="s">
        <v>412</v>
      </c>
      <c r="H11" t="s">
        <v>418</v>
      </c>
      <c r="I11" t="s">
        <v>52</v>
      </c>
      <c r="L11" t="s">
        <v>12</v>
      </c>
      <c r="M11" t="s">
        <v>52</v>
      </c>
      <c r="N11">
        <v>0.29513255238787717</v>
      </c>
      <c r="P11">
        <v>2020</v>
      </c>
      <c r="Q11" t="s">
        <v>37</v>
      </c>
      <c r="R11">
        <v>0.26990853121428832</v>
      </c>
      <c r="S11" t="s">
        <v>424</v>
      </c>
    </row>
    <row r="12" spans="1:19" x14ac:dyDescent="0.25">
      <c r="C12">
        <v>0.10273972602739725</v>
      </c>
      <c r="D12">
        <v>0.14672202471222937</v>
      </c>
      <c r="E12" t="s">
        <v>54</v>
      </c>
      <c r="F12" t="s">
        <v>412</v>
      </c>
      <c r="H12" t="s">
        <v>418</v>
      </c>
      <c r="I12" t="s">
        <v>54</v>
      </c>
      <c r="L12" t="s">
        <v>12</v>
      </c>
      <c r="M12" t="s">
        <v>54</v>
      </c>
      <c r="N12">
        <v>0.10029630796458067</v>
      </c>
      <c r="P12">
        <v>2020</v>
      </c>
      <c r="Q12" t="s">
        <v>41</v>
      </c>
      <c r="R12">
        <v>0.3469867424567224</v>
      </c>
      <c r="S12" t="s">
        <v>424</v>
      </c>
    </row>
    <row r="13" spans="1:19" x14ac:dyDescent="0.25">
      <c r="C13">
        <v>6.1643835616438353E-2</v>
      </c>
      <c r="D13">
        <v>5.4297292593789633E-2</v>
      </c>
      <c r="E13" t="s">
        <v>55</v>
      </c>
      <c r="F13" t="s">
        <v>412</v>
      </c>
      <c r="H13" t="s">
        <v>418</v>
      </c>
      <c r="I13" t="s">
        <v>55</v>
      </c>
      <c r="L13" t="s">
        <v>12</v>
      </c>
      <c r="M13" t="s">
        <v>55</v>
      </c>
      <c r="N13">
        <v>0.24013761280886614</v>
      </c>
      <c r="P13">
        <v>2020</v>
      </c>
      <c r="Q13" t="s">
        <v>43</v>
      </c>
      <c r="R13">
        <v>0.56168582465078831</v>
      </c>
      <c r="S13" t="s">
        <v>424</v>
      </c>
    </row>
    <row r="14" spans="1:19" x14ac:dyDescent="0.25">
      <c r="C14">
        <v>8.4018264840182655E-2</v>
      </c>
      <c r="D14">
        <v>4.6568381274395249E-2</v>
      </c>
      <c r="E14" t="s">
        <v>56</v>
      </c>
      <c r="F14" t="s">
        <v>412</v>
      </c>
      <c r="H14" t="s">
        <v>418</v>
      </c>
      <c r="I14" t="s">
        <v>56</v>
      </c>
      <c r="L14" t="s">
        <v>12</v>
      </c>
      <c r="M14" t="s">
        <v>56</v>
      </c>
      <c r="N14">
        <v>0.23191829551256649</v>
      </c>
      <c r="P14">
        <v>2020</v>
      </c>
      <c r="Q14" t="s">
        <v>45</v>
      </c>
      <c r="R14">
        <v>0.43716087665771264</v>
      </c>
      <c r="S14" t="s">
        <v>424</v>
      </c>
    </row>
    <row r="15" spans="1:19" x14ac:dyDescent="0.25">
      <c r="C15">
        <v>0.1050228310502283</v>
      </c>
      <c r="D15">
        <v>0.14998251415027888</v>
      </c>
      <c r="E15" t="s">
        <v>57</v>
      </c>
      <c r="F15" t="s">
        <v>412</v>
      </c>
      <c r="H15" t="s">
        <v>418</v>
      </c>
      <c r="I15" t="s">
        <v>57</v>
      </c>
      <c r="L15" t="s">
        <v>12</v>
      </c>
      <c r="M15" t="s">
        <v>57</v>
      </c>
      <c r="N15">
        <v>0.10435218840050853</v>
      </c>
      <c r="P15">
        <v>2021</v>
      </c>
      <c r="Q15" t="s">
        <v>37</v>
      </c>
      <c r="R15">
        <v>0.25029049486358229</v>
      </c>
      <c r="S15" t="s">
        <v>424</v>
      </c>
    </row>
    <row r="16" spans="1:19" x14ac:dyDescent="0.25">
      <c r="C16">
        <v>6.3013698630136991E-2</v>
      </c>
      <c r="D16">
        <v>5.5503899095873853E-2</v>
      </c>
      <c r="E16" t="s">
        <v>58</v>
      </c>
      <c r="F16" t="s">
        <v>412</v>
      </c>
      <c r="H16" t="s">
        <v>418</v>
      </c>
      <c r="I16" t="s">
        <v>58</v>
      </c>
      <c r="L16" t="s">
        <v>12</v>
      </c>
      <c r="M16" t="s">
        <v>58</v>
      </c>
      <c r="N16">
        <v>0.20367688565406428</v>
      </c>
      <c r="P16">
        <v>2021</v>
      </c>
      <c r="Q16" t="s">
        <v>41</v>
      </c>
      <c r="R16">
        <v>0.28866467661996492</v>
      </c>
      <c r="S16" t="s">
        <v>424</v>
      </c>
    </row>
    <row r="17" spans="3:19" x14ac:dyDescent="0.25">
      <c r="C17">
        <v>8.4018264840182655E-2</v>
      </c>
      <c r="D17">
        <v>4.6568381274395249E-2</v>
      </c>
      <c r="E17" t="s">
        <v>59</v>
      </c>
      <c r="F17" t="s">
        <v>412</v>
      </c>
      <c r="H17" t="s">
        <v>418</v>
      </c>
      <c r="I17" t="s">
        <v>59</v>
      </c>
      <c r="L17" t="s">
        <v>12</v>
      </c>
      <c r="M17" t="s">
        <v>59</v>
      </c>
      <c r="N17">
        <v>0.15133217667612908</v>
      </c>
      <c r="P17">
        <v>2021</v>
      </c>
      <c r="Q17" t="s">
        <v>43</v>
      </c>
      <c r="R17">
        <v>0.56513738013620773</v>
      </c>
      <c r="S17" t="s">
        <v>424</v>
      </c>
    </row>
    <row r="18" spans="3:19" x14ac:dyDescent="0.25">
      <c r="C18">
        <v>0.1050228310502283</v>
      </c>
      <c r="D18">
        <v>0.14998251415027888</v>
      </c>
      <c r="E18" t="s">
        <v>60</v>
      </c>
      <c r="F18" t="s">
        <v>412</v>
      </c>
      <c r="H18" t="s">
        <v>418</v>
      </c>
      <c r="I18" t="s">
        <v>60</v>
      </c>
      <c r="L18" t="s">
        <v>12</v>
      </c>
      <c r="M18" t="s">
        <v>60</v>
      </c>
      <c r="N18">
        <v>0.10357777547729707</v>
      </c>
      <c r="P18">
        <v>2021</v>
      </c>
      <c r="Q18" t="s">
        <v>45</v>
      </c>
      <c r="R18">
        <v>0.45660679159624112</v>
      </c>
      <c r="S18" t="s">
        <v>424</v>
      </c>
    </row>
    <row r="19" spans="3:19" x14ac:dyDescent="0.25">
      <c r="C19">
        <v>6.3013698630136991E-2</v>
      </c>
      <c r="D19">
        <v>5.5503899095873853E-2</v>
      </c>
      <c r="E19" t="s">
        <v>61</v>
      </c>
      <c r="F19" t="s">
        <v>412</v>
      </c>
      <c r="H19" t="s">
        <v>418</v>
      </c>
      <c r="I19" t="s">
        <v>61</v>
      </c>
      <c r="L19" t="s">
        <v>12</v>
      </c>
      <c r="M19" t="s">
        <v>61</v>
      </c>
      <c r="N19">
        <v>0.19078269256127256</v>
      </c>
      <c r="P19">
        <v>2022</v>
      </c>
      <c r="Q19" t="s">
        <v>37</v>
      </c>
      <c r="R19">
        <v>0.24894096398789592</v>
      </c>
      <c r="S19" t="s">
        <v>424</v>
      </c>
    </row>
    <row r="20" spans="3:19" x14ac:dyDescent="0.25">
      <c r="C20">
        <v>8.3105022831050229E-2</v>
      </c>
      <c r="D20">
        <v>4.6062203217064869E-2</v>
      </c>
      <c r="E20" t="s">
        <v>62</v>
      </c>
      <c r="F20" t="s">
        <v>412</v>
      </c>
      <c r="H20" t="s">
        <v>418</v>
      </c>
      <c r="I20" t="s">
        <v>62</v>
      </c>
      <c r="L20" t="s">
        <v>12</v>
      </c>
      <c r="M20" t="s">
        <v>62</v>
      </c>
      <c r="N20">
        <v>0.27118282924675463</v>
      </c>
      <c r="P20">
        <v>2022</v>
      </c>
      <c r="Q20" t="s">
        <v>41</v>
      </c>
      <c r="R20">
        <v>0.35464034487138418</v>
      </c>
      <c r="S20" t="s">
        <v>424</v>
      </c>
    </row>
    <row r="21" spans="3:19" x14ac:dyDescent="0.25">
      <c r="C21">
        <v>0.10388127853881278</v>
      </c>
      <c r="D21">
        <v>0.14835226943125412</v>
      </c>
      <c r="E21" t="s">
        <v>63</v>
      </c>
      <c r="F21" t="s">
        <v>412</v>
      </c>
      <c r="H21" t="s">
        <v>418</v>
      </c>
      <c r="I21" t="s">
        <v>63</v>
      </c>
      <c r="L21" t="s">
        <v>12</v>
      </c>
      <c r="M21" t="s">
        <v>63</v>
      </c>
      <c r="N21">
        <v>0.12111917744797163</v>
      </c>
      <c r="P21">
        <v>2022</v>
      </c>
      <c r="Q21" t="s">
        <v>43</v>
      </c>
      <c r="R21">
        <v>0.5765736224399175</v>
      </c>
      <c r="S21" t="s">
        <v>424</v>
      </c>
    </row>
    <row r="22" spans="3:19" x14ac:dyDescent="0.25">
      <c r="C22">
        <v>6.2328767123287672E-2</v>
      </c>
      <c r="D22">
        <v>5.4900595844831736E-2</v>
      </c>
      <c r="E22" t="s">
        <v>64</v>
      </c>
      <c r="F22" t="s">
        <v>412</v>
      </c>
      <c r="H22" t="s">
        <v>418</v>
      </c>
      <c r="I22" t="s">
        <v>64</v>
      </c>
      <c r="L22" t="s">
        <v>12</v>
      </c>
      <c r="M22" t="s">
        <v>64</v>
      </c>
      <c r="N22">
        <v>0.24602082052816754</v>
      </c>
      <c r="P22">
        <v>2022</v>
      </c>
      <c r="Q22" t="s">
        <v>45</v>
      </c>
      <c r="R22">
        <v>0.50361319976095009</v>
      </c>
      <c r="S22" t="s">
        <v>424</v>
      </c>
    </row>
    <row r="23" spans="3:19" x14ac:dyDescent="0.25">
      <c r="H23" t="s">
        <v>419</v>
      </c>
      <c r="I23" t="s">
        <v>52</v>
      </c>
      <c r="P23">
        <v>2025</v>
      </c>
      <c r="Q23" t="s">
        <v>37</v>
      </c>
      <c r="R23">
        <v>0.30129999999999996</v>
      </c>
      <c r="S23" t="s">
        <v>424</v>
      </c>
    </row>
    <row r="24" spans="3:19" x14ac:dyDescent="0.25">
      <c r="H24" t="s">
        <v>419</v>
      </c>
      <c r="I24" t="s">
        <v>54</v>
      </c>
      <c r="P24">
        <v>2025</v>
      </c>
      <c r="Q24" t="s">
        <v>41</v>
      </c>
      <c r="R24">
        <v>0.36226666666666668</v>
      </c>
      <c r="S24" t="s">
        <v>424</v>
      </c>
    </row>
    <row r="25" spans="3:19" x14ac:dyDescent="0.25">
      <c r="H25" t="s">
        <v>419</v>
      </c>
      <c r="I25" t="s">
        <v>55</v>
      </c>
      <c r="P25">
        <v>2025</v>
      </c>
      <c r="Q25" t="s">
        <v>43</v>
      </c>
      <c r="R25">
        <v>0.62226666666666663</v>
      </c>
      <c r="S25" t="s">
        <v>424</v>
      </c>
    </row>
    <row r="26" spans="3:19" x14ac:dyDescent="0.25">
      <c r="H26" t="s">
        <v>419</v>
      </c>
      <c r="I26" t="s">
        <v>56</v>
      </c>
      <c r="P26">
        <v>2025</v>
      </c>
      <c r="Q26" t="s">
        <v>45</v>
      </c>
      <c r="R26">
        <v>0.55593333333333328</v>
      </c>
      <c r="S26" t="s">
        <v>424</v>
      </c>
    </row>
    <row r="27" spans="3:19" x14ac:dyDescent="0.25">
      <c r="H27" t="s">
        <v>419</v>
      </c>
      <c r="I27" t="s">
        <v>57</v>
      </c>
      <c r="P27">
        <v>2026</v>
      </c>
      <c r="Q27" t="s">
        <v>37</v>
      </c>
      <c r="R27">
        <v>0.28066666666666668</v>
      </c>
      <c r="S27" t="s">
        <v>424</v>
      </c>
    </row>
    <row r="28" spans="3:19" x14ac:dyDescent="0.25">
      <c r="H28" t="s">
        <v>419</v>
      </c>
      <c r="I28" t="s">
        <v>58</v>
      </c>
      <c r="P28">
        <v>2026</v>
      </c>
      <c r="Q28" t="s">
        <v>41</v>
      </c>
      <c r="R28">
        <v>0.35416666666666669</v>
      </c>
      <c r="S28" t="s">
        <v>424</v>
      </c>
    </row>
    <row r="29" spans="3:19" x14ac:dyDescent="0.25">
      <c r="H29" t="s">
        <v>419</v>
      </c>
      <c r="I29" t="s">
        <v>59</v>
      </c>
      <c r="P29">
        <v>2026</v>
      </c>
      <c r="Q29" t="s">
        <v>43</v>
      </c>
      <c r="R29">
        <v>0.61353333333333337</v>
      </c>
      <c r="S29" t="s">
        <v>424</v>
      </c>
    </row>
    <row r="30" spans="3:19" x14ac:dyDescent="0.25">
      <c r="H30" t="s">
        <v>419</v>
      </c>
      <c r="I30" t="s">
        <v>60</v>
      </c>
      <c r="P30">
        <v>2026</v>
      </c>
      <c r="Q30" t="s">
        <v>45</v>
      </c>
      <c r="R30">
        <v>0.53300000000000003</v>
      </c>
      <c r="S30" t="s">
        <v>424</v>
      </c>
    </row>
    <row r="31" spans="3:19" x14ac:dyDescent="0.25">
      <c r="H31" t="s">
        <v>419</v>
      </c>
      <c r="I31" t="s">
        <v>61</v>
      </c>
      <c r="P31">
        <v>2027</v>
      </c>
      <c r="Q31" t="s">
        <v>37</v>
      </c>
      <c r="R31">
        <v>0.29916666666666664</v>
      </c>
      <c r="S31" t="s">
        <v>424</v>
      </c>
    </row>
    <row r="32" spans="3:19" x14ac:dyDescent="0.25">
      <c r="H32" t="s">
        <v>419</v>
      </c>
      <c r="I32" t="s">
        <v>62</v>
      </c>
      <c r="P32">
        <v>2027</v>
      </c>
      <c r="Q32" t="s">
        <v>41</v>
      </c>
      <c r="R32">
        <v>0.36726666666666663</v>
      </c>
      <c r="S32" t="s">
        <v>424</v>
      </c>
    </row>
    <row r="33" spans="8:19" x14ac:dyDescent="0.25">
      <c r="H33" t="s">
        <v>419</v>
      </c>
      <c r="I33" t="s">
        <v>63</v>
      </c>
      <c r="P33">
        <v>2027</v>
      </c>
      <c r="Q33" t="s">
        <v>43</v>
      </c>
      <c r="R33">
        <v>0.59419999999999995</v>
      </c>
      <c r="S33" t="s">
        <v>424</v>
      </c>
    </row>
    <row r="34" spans="8:19" x14ac:dyDescent="0.25">
      <c r="H34" t="s">
        <v>419</v>
      </c>
      <c r="I34" t="s">
        <v>64</v>
      </c>
      <c r="P34">
        <v>2027</v>
      </c>
      <c r="Q34" t="s">
        <v>45</v>
      </c>
      <c r="R34">
        <v>0.47420000000000001</v>
      </c>
      <c r="S34" t="s">
        <v>424</v>
      </c>
    </row>
    <row r="35" spans="8:19" x14ac:dyDescent="0.25">
      <c r="P35">
        <v>2028</v>
      </c>
      <c r="Q35" t="s">
        <v>37</v>
      </c>
      <c r="R35">
        <v>0.24966666666666668</v>
      </c>
      <c r="S35" t="s">
        <v>424</v>
      </c>
    </row>
    <row r="36" spans="8:19" x14ac:dyDescent="0.25">
      <c r="P36">
        <v>2028</v>
      </c>
      <c r="Q36" t="s">
        <v>41</v>
      </c>
      <c r="R36">
        <v>0.32713333333333333</v>
      </c>
      <c r="S36" t="s">
        <v>424</v>
      </c>
    </row>
    <row r="37" spans="8:19" x14ac:dyDescent="0.25">
      <c r="P37">
        <v>2028</v>
      </c>
      <c r="Q37" t="s">
        <v>43</v>
      </c>
      <c r="R37">
        <v>0.56366666666666665</v>
      </c>
      <c r="S37" t="s">
        <v>424</v>
      </c>
    </row>
    <row r="38" spans="8:19" x14ac:dyDescent="0.25">
      <c r="P38">
        <v>2028</v>
      </c>
      <c r="Q38" t="s">
        <v>45</v>
      </c>
      <c r="R38">
        <v>0.47290000000000004</v>
      </c>
      <c r="S38" t="s">
        <v>424</v>
      </c>
    </row>
    <row r="39" spans="8:19" x14ac:dyDescent="0.25">
      <c r="P39">
        <v>2029</v>
      </c>
      <c r="Q39" t="s">
        <v>37</v>
      </c>
      <c r="R39">
        <v>0.24973333333333333</v>
      </c>
      <c r="S39" t="s">
        <v>424</v>
      </c>
    </row>
    <row r="40" spans="8:19" x14ac:dyDescent="0.25">
      <c r="P40">
        <v>2029</v>
      </c>
      <c r="Q40" t="s">
        <v>41</v>
      </c>
      <c r="R40">
        <v>0.30646666666666667</v>
      </c>
      <c r="S40" t="s">
        <v>424</v>
      </c>
    </row>
    <row r="41" spans="8:19" x14ac:dyDescent="0.25">
      <c r="P41">
        <v>2029</v>
      </c>
      <c r="Q41" t="s">
        <v>43</v>
      </c>
      <c r="R41">
        <v>0.55449999999999999</v>
      </c>
      <c r="S41" t="s">
        <v>424</v>
      </c>
    </row>
    <row r="42" spans="8:19" x14ac:dyDescent="0.25">
      <c r="P42">
        <v>2029</v>
      </c>
      <c r="Q42" t="s">
        <v>45</v>
      </c>
      <c r="R42">
        <v>0.41793333333333332</v>
      </c>
      <c r="S42" t="s">
        <v>424</v>
      </c>
    </row>
    <row r="43" spans="8:19" x14ac:dyDescent="0.25">
      <c r="P43">
        <v>2030</v>
      </c>
      <c r="Q43" t="s">
        <v>37</v>
      </c>
      <c r="R43">
        <v>0.25453333333333333</v>
      </c>
      <c r="S43" t="s">
        <v>424</v>
      </c>
    </row>
    <row r="44" spans="8:19" x14ac:dyDescent="0.25">
      <c r="P44">
        <v>2030</v>
      </c>
      <c r="Q44" t="s">
        <v>41</v>
      </c>
      <c r="R44">
        <v>0.33030000000000004</v>
      </c>
      <c r="S44" t="s">
        <v>424</v>
      </c>
    </row>
    <row r="45" spans="8:19" x14ac:dyDescent="0.25">
      <c r="P45">
        <v>2030</v>
      </c>
      <c r="Q45" t="s">
        <v>43</v>
      </c>
      <c r="R45">
        <v>0.55986666666666673</v>
      </c>
      <c r="S45" t="s">
        <v>424</v>
      </c>
    </row>
    <row r="46" spans="8:19" x14ac:dyDescent="0.25">
      <c r="P46">
        <v>2030</v>
      </c>
      <c r="Q46" t="s">
        <v>45</v>
      </c>
      <c r="R46">
        <v>0.43643333333333328</v>
      </c>
      <c r="S46" t="s">
        <v>424</v>
      </c>
    </row>
    <row r="47" spans="8:19" x14ac:dyDescent="0.25">
      <c r="P47">
        <v>2031</v>
      </c>
      <c r="Q47" t="s">
        <v>37</v>
      </c>
      <c r="R47">
        <v>0.25330000000000003</v>
      </c>
      <c r="S47" t="s">
        <v>424</v>
      </c>
    </row>
    <row r="48" spans="8:19" x14ac:dyDescent="0.25">
      <c r="P48">
        <v>2031</v>
      </c>
      <c r="Q48" t="s">
        <v>41</v>
      </c>
      <c r="R48">
        <v>0.3352</v>
      </c>
      <c r="S48" t="s">
        <v>424</v>
      </c>
    </row>
    <row r="49" spans="16:19" x14ac:dyDescent="0.25">
      <c r="P49">
        <v>2031</v>
      </c>
      <c r="Q49" t="s">
        <v>43</v>
      </c>
      <c r="R49">
        <v>0.56230000000000002</v>
      </c>
      <c r="S49" t="s">
        <v>424</v>
      </c>
    </row>
    <row r="50" spans="16:19" x14ac:dyDescent="0.25">
      <c r="P50">
        <v>2031</v>
      </c>
      <c r="Q50" t="s">
        <v>45</v>
      </c>
      <c r="R50">
        <v>0.42219999999999996</v>
      </c>
      <c r="S50" t="s">
        <v>424</v>
      </c>
    </row>
    <row r="51" spans="16:19" x14ac:dyDescent="0.25">
      <c r="P51">
        <v>2032</v>
      </c>
      <c r="Q51" t="s">
        <v>37</v>
      </c>
      <c r="R51">
        <v>0.24696666666666667</v>
      </c>
      <c r="S51" t="s">
        <v>424</v>
      </c>
    </row>
    <row r="52" spans="16:19" x14ac:dyDescent="0.25">
      <c r="P52">
        <v>2032</v>
      </c>
      <c r="Q52" t="s">
        <v>41</v>
      </c>
      <c r="R52">
        <v>0.32830000000000004</v>
      </c>
      <c r="S52" t="s">
        <v>424</v>
      </c>
    </row>
    <row r="53" spans="16:19" x14ac:dyDescent="0.25">
      <c r="P53">
        <v>2032</v>
      </c>
      <c r="Q53" t="s">
        <v>43</v>
      </c>
      <c r="R53">
        <v>0.54549999999999998</v>
      </c>
      <c r="S53" t="s">
        <v>424</v>
      </c>
    </row>
    <row r="54" spans="16:19" x14ac:dyDescent="0.25">
      <c r="P54">
        <v>2032</v>
      </c>
      <c r="Q54" t="s">
        <v>45</v>
      </c>
      <c r="R54">
        <v>0.42126666666666668</v>
      </c>
      <c r="S54" t="s">
        <v>424</v>
      </c>
    </row>
    <row r="55" spans="16:19" x14ac:dyDescent="0.25">
      <c r="P55">
        <v>2033</v>
      </c>
      <c r="Q55" t="s">
        <v>37</v>
      </c>
      <c r="R55">
        <v>0.26556666666666667</v>
      </c>
      <c r="S55" t="s">
        <v>424</v>
      </c>
    </row>
    <row r="56" spans="16:19" x14ac:dyDescent="0.25">
      <c r="P56">
        <v>2033</v>
      </c>
      <c r="Q56" t="s">
        <v>41</v>
      </c>
      <c r="R56">
        <v>0.32700000000000001</v>
      </c>
      <c r="S56" t="s">
        <v>424</v>
      </c>
    </row>
    <row r="57" spans="16:19" x14ac:dyDescent="0.25">
      <c r="P57">
        <v>2033</v>
      </c>
      <c r="Q57" t="s">
        <v>43</v>
      </c>
      <c r="R57">
        <v>0.57353333333333334</v>
      </c>
      <c r="S57" t="s">
        <v>424</v>
      </c>
    </row>
    <row r="58" spans="16:19" x14ac:dyDescent="0.25">
      <c r="P58">
        <v>2033</v>
      </c>
      <c r="Q58" t="s">
        <v>45</v>
      </c>
      <c r="R58">
        <v>0.44933333333333331</v>
      </c>
      <c r="S58" t="s">
        <v>424</v>
      </c>
    </row>
    <row r="59" spans="16:19" x14ac:dyDescent="0.25">
      <c r="P59">
        <v>2034</v>
      </c>
      <c r="Q59" t="s">
        <v>37</v>
      </c>
      <c r="R59">
        <v>0.26379999999999998</v>
      </c>
      <c r="S59" t="s">
        <v>424</v>
      </c>
    </row>
    <row r="60" spans="16:19" x14ac:dyDescent="0.25">
      <c r="P60">
        <v>2034</v>
      </c>
      <c r="Q60" t="s">
        <v>41</v>
      </c>
      <c r="R60">
        <v>0.32326666666666665</v>
      </c>
      <c r="S60" t="s">
        <v>424</v>
      </c>
    </row>
    <row r="61" spans="16:19" x14ac:dyDescent="0.25">
      <c r="P61">
        <v>2034</v>
      </c>
      <c r="Q61" t="s">
        <v>43</v>
      </c>
      <c r="R61">
        <v>0.56130000000000002</v>
      </c>
      <c r="S61" t="s">
        <v>424</v>
      </c>
    </row>
    <row r="62" spans="16:19" x14ac:dyDescent="0.25">
      <c r="P62">
        <v>2034</v>
      </c>
      <c r="Q62" t="s">
        <v>45</v>
      </c>
      <c r="R62">
        <v>0.43849999999999995</v>
      </c>
      <c r="S62" t="s">
        <v>424</v>
      </c>
    </row>
    <row r="63" spans="16:19" x14ac:dyDescent="0.25">
      <c r="P63">
        <v>2035</v>
      </c>
      <c r="Q63" t="s">
        <v>37</v>
      </c>
      <c r="R63">
        <v>0.25706666666666672</v>
      </c>
      <c r="S63" t="s">
        <v>424</v>
      </c>
    </row>
    <row r="64" spans="16:19" x14ac:dyDescent="0.25">
      <c r="P64">
        <v>2035</v>
      </c>
      <c r="Q64" t="s">
        <v>41</v>
      </c>
      <c r="R64">
        <v>0.31346666666666662</v>
      </c>
      <c r="S64" t="s">
        <v>424</v>
      </c>
    </row>
    <row r="65" spans="16:19" x14ac:dyDescent="0.25">
      <c r="P65">
        <v>2035</v>
      </c>
      <c r="Q65" t="s">
        <v>43</v>
      </c>
      <c r="R65">
        <v>0.54843333333333333</v>
      </c>
      <c r="S65" t="s">
        <v>424</v>
      </c>
    </row>
    <row r="66" spans="16:19" x14ac:dyDescent="0.25">
      <c r="P66">
        <v>2035</v>
      </c>
      <c r="Q66" t="s">
        <v>45</v>
      </c>
      <c r="R66">
        <v>0.435</v>
      </c>
      <c r="S66" t="s">
        <v>424</v>
      </c>
    </row>
    <row r="67" spans="16:19" x14ac:dyDescent="0.25">
      <c r="P67">
        <v>2036</v>
      </c>
      <c r="Q67" t="s">
        <v>37</v>
      </c>
      <c r="R67">
        <v>0.24593333333333334</v>
      </c>
      <c r="S67" t="s">
        <v>424</v>
      </c>
    </row>
    <row r="68" spans="16:19" x14ac:dyDescent="0.25">
      <c r="P68">
        <v>2036</v>
      </c>
      <c r="Q68" t="s">
        <v>41</v>
      </c>
      <c r="R68">
        <v>0.30399999999999999</v>
      </c>
      <c r="S68" t="s">
        <v>424</v>
      </c>
    </row>
    <row r="69" spans="16:19" x14ac:dyDescent="0.25">
      <c r="P69">
        <v>2036</v>
      </c>
      <c r="Q69" t="s">
        <v>43</v>
      </c>
      <c r="R69">
        <v>0.55680000000000007</v>
      </c>
      <c r="S69" t="s">
        <v>424</v>
      </c>
    </row>
    <row r="70" spans="16:19" x14ac:dyDescent="0.25">
      <c r="P70">
        <v>2036</v>
      </c>
      <c r="Q70" t="s">
        <v>45</v>
      </c>
      <c r="R70">
        <v>0.43786666666666668</v>
      </c>
      <c r="S70" t="s">
        <v>424</v>
      </c>
    </row>
    <row r="71" spans="16:19" x14ac:dyDescent="0.25">
      <c r="P71">
        <v>2037</v>
      </c>
      <c r="Q71" t="s">
        <v>37</v>
      </c>
      <c r="R71">
        <v>0.25716666666666671</v>
      </c>
      <c r="S71" t="s">
        <v>424</v>
      </c>
    </row>
    <row r="72" spans="16:19" x14ac:dyDescent="0.25">
      <c r="P72">
        <v>2037</v>
      </c>
      <c r="Q72" t="s">
        <v>41</v>
      </c>
      <c r="R72">
        <v>0.32456666666666667</v>
      </c>
      <c r="S72" t="s">
        <v>424</v>
      </c>
    </row>
    <row r="73" spans="16:19" x14ac:dyDescent="0.25">
      <c r="P73">
        <v>2037</v>
      </c>
      <c r="Q73" t="s">
        <v>43</v>
      </c>
      <c r="R73">
        <v>0.5447333333333334</v>
      </c>
      <c r="S73" t="s">
        <v>424</v>
      </c>
    </row>
    <row r="74" spans="16:19" x14ac:dyDescent="0.25">
      <c r="P74">
        <v>2037</v>
      </c>
      <c r="Q74" t="s">
        <v>45</v>
      </c>
      <c r="R74">
        <v>0.44366666666666665</v>
      </c>
      <c r="S74" t="s">
        <v>424</v>
      </c>
    </row>
    <row r="75" spans="16:19" x14ac:dyDescent="0.25">
      <c r="P75">
        <v>2038</v>
      </c>
      <c r="Q75" t="s">
        <v>37</v>
      </c>
      <c r="R75">
        <v>0.25263333333333332</v>
      </c>
      <c r="S75" t="s">
        <v>424</v>
      </c>
    </row>
    <row r="76" spans="16:19" x14ac:dyDescent="0.25">
      <c r="P76">
        <v>2038</v>
      </c>
      <c r="Q76" t="s">
        <v>41</v>
      </c>
      <c r="R76">
        <v>0.32856666666666667</v>
      </c>
      <c r="S76" t="s">
        <v>424</v>
      </c>
    </row>
    <row r="77" spans="16:19" x14ac:dyDescent="0.25">
      <c r="P77">
        <v>2038</v>
      </c>
      <c r="Q77" t="s">
        <v>43</v>
      </c>
      <c r="R77">
        <v>0.5964666666666667</v>
      </c>
      <c r="S77" t="s">
        <v>424</v>
      </c>
    </row>
    <row r="78" spans="16:19" x14ac:dyDescent="0.25">
      <c r="P78">
        <v>2038</v>
      </c>
      <c r="Q78" t="s">
        <v>45</v>
      </c>
      <c r="R78">
        <v>0.47503333333333336</v>
      </c>
      <c r="S78" t="s">
        <v>424</v>
      </c>
    </row>
    <row r="79" spans="16:19" x14ac:dyDescent="0.25">
      <c r="P79">
        <v>2039</v>
      </c>
      <c r="Q79" t="s">
        <v>37</v>
      </c>
      <c r="R79">
        <v>0.26089999999999997</v>
      </c>
      <c r="S79" t="s">
        <v>424</v>
      </c>
    </row>
    <row r="80" spans="16:19" x14ac:dyDescent="0.25">
      <c r="P80">
        <v>2039</v>
      </c>
      <c r="Q80" t="s">
        <v>41</v>
      </c>
      <c r="R80">
        <v>0.32556666666666673</v>
      </c>
      <c r="S80" t="s">
        <v>424</v>
      </c>
    </row>
    <row r="81" spans="16:19" x14ac:dyDescent="0.25">
      <c r="P81">
        <v>2039</v>
      </c>
      <c r="Q81" t="s">
        <v>43</v>
      </c>
      <c r="R81">
        <v>0.52539999999999998</v>
      </c>
      <c r="S81" t="s">
        <v>424</v>
      </c>
    </row>
    <row r="82" spans="16:19" x14ac:dyDescent="0.25">
      <c r="P82">
        <v>2039</v>
      </c>
      <c r="Q82" t="s">
        <v>45</v>
      </c>
      <c r="R82">
        <v>0.42909999999999998</v>
      </c>
      <c r="S82" t="s">
        <v>424</v>
      </c>
    </row>
    <row r="83" spans="16:19" x14ac:dyDescent="0.25">
      <c r="P83">
        <v>2040</v>
      </c>
      <c r="Q83" t="s">
        <v>37</v>
      </c>
      <c r="R83">
        <v>0.25283333333333335</v>
      </c>
      <c r="S83" t="s">
        <v>424</v>
      </c>
    </row>
    <row r="84" spans="16:19" x14ac:dyDescent="0.25">
      <c r="P84">
        <v>2040</v>
      </c>
      <c r="Q84" t="s">
        <v>41</v>
      </c>
      <c r="R84">
        <v>0.30156666666666671</v>
      </c>
      <c r="S84" t="s">
        <v>424</v>
      </c>
    </row>
    <row r="85" spans="16:19" x14ac:dyDescent="0.25">
      <c r="P85">
        <v>2040</v>
      </c>
      <c r="Q85" t="s">
        <v>43</v>
      </c>
      <c r="R85">
        <v>0.55886666666666662</v>
      </c>
      <c r="S85" t="s">
        <v>424</v>
      </c>
    </row>
    <row r="86" spans="16:19" x14ac:dyDescent="0.25">
      <c r="P86">
        <v>2040</v>
      </c>
      <c r="Q86" t="s">
        <v>45</v>
      </c>
      <c r="R86">
        <v>0.45606666666666662</v>
      </c>
      <c r="S86" t="s">
        <v>424</v>
      </c>
    </row>
    <row r="87" spans="16:19" x14ac:dyDescent="0.25">
      <c r="P87">
        <v>2041</v>
      </c>
      <c r="Q87" t="s">
        <v>37</v>
      </c>
      <c r="R87">
        <v>0.20236666666666667</v>
      </c>
      <c r="S87" t="s">
        <v>424</v>
      </c>
    </row>
    <row r="88" spans="16:19" x14ac:dyDescent="0.25">
      <c r="P88">
        <v>2041</v>
      </c>
      <c r="Q88" t="s">
        <v>41</v>
      </c>
      <c r="R88">
        <v>0.2752</v>
      </c>
      <c r="S88" t="s">
        <v>424</v>
      </c>
    </row>
    <row r="89" spans="16:19" x14ac:dyDescent="0.25">
      <c r="P89">
        <v>2041</v>
      </c>
      <c r="Q89" t="s">
        <v>43</v>
      </c>
      <c r="R89">
        <v>0.46699999999999992</v>
      </c>
      <c r="S89" t="s">
        <v>424</v>
      </c>
    </row>
    <row r="90" spans="16:19" x14ac:dyDescent="0.25">
      <c r="P90">
        <v>2041</v>
      </c>
      <c r="Q90" t="s">
        <v>45</v>
      </c>
      <c r="R90">
        <v>0.38266666666666671</v>
      </c>
      <c r="S90" t="s">
        <v>424</v>
      </c>
    </row>
    <row r="91" spans="16:19" x14ac:dyDescent="0.25">
      <c r="P91">
        <v>2042</v>
      </c>
      <c r="Q91" t="s">
        <v>37</v>
      </c>
      <c r="R91">
        <v>0.20203333333333337</v>
      </c>
      <c r="S91" t="s">
        <v>424</v>
      </c>
    </row>
    <row r="92" spans="16:19" x14ac:dyDescent="0.25">
      <c r="P92">
        <v>2042</v>
      </c>
      <c r="Q92" t="s">
        <v>41</v>
      </c>
      <c r="R92">
        <v>0.27029999999999998</v>
      </c>
      <c r="S92" t="s">
        <v>424</v>
      </c>
    </row>
    <row r="93" spans="16:19" x14ac:dyDescent="0.25">
      <c r="P93">
        <v>2042</v>
      </c>
      <c r="Q93" t="s">
        <v>43</v>
      </c>
      <c r="R93">
        <v>0.45096666666666668</v>
      </c>
      <c r="S93" t="s">
        <v>424</v>
      </c>
    </row>
    <row r="94" spans="16:19" x14ac:dyDescent="0.25">
      <c r="P94">
        <v>2042</v>
      </c>
      <c r="Q94" t="s">
        <v>45</v>
      </c>
      <c r="R94">
        <v>0.36873333333333336</v>
      </c>
      <c r="S94" t="s">
        <v>424</v>
      </c>
    </row>
    <row r="95" spans="16:19" x14ac:dyDescent="0.25">
      <c r="P95">
        <v>2043</v>
      </c>
      <c r="Q95" t="s">
        <v>37</v>
      </c>
      <c r="R95">
        <v>0.22473333333333334</v>
      </c>
      <c r="S95" t="s">
        <v>424</v>
      </c>
    </row>
    <row r="96" spans="16:19" x14ac:dyDescent="0.25">
      <c r="P96">
        <v>2043</v>
      </c>
      <c r="Q96" t="s">
        <v>41</v>
      </c>
      <c r="R96">
        <v>0.27106666666666668</v>
      </c>
      <c r="S96" t="s">
        <v>424</v>
      </c>
    </row>
    <row r="97" spans="16:19" x14ac:dyDescent="0.25">
      <c r="P97">
        <v>2043</v>
      </c>
      <c r="Q97" t="s">
        <v>43</v>
      </c>
      <c r="R97">
        <v>0.47156666666666663</v>
      </c>
      <c r="S97" t="s">
        <v>424</v>
      </c>
    </row>
    <row r="98" spans="16:19" x14ac:dyDescent="0.25">
      <c r="P98">
        <v>2043</v>
      </c>
      <c r="Q98" t="s">
        <v>45</v>
      </c>
      <c r="R98">
        <v>0.39066666666666666</v>
      </c>
      <c r="S98" t="s">
        <v>424</v>
      </c>
    </row>
    <row r="99" spans="16:19" x14ac:dyDescent="0.25">
      <c r="P99">
        <v>2044</v>
      </c>
      <c r="Q99" t="s">
        <v>37</v>
      </c>
      <c r="R99">
        <v>0.21243333333333334</v>
      </c>
      <c r="S99" t="s">
        <v>424</v>
      </c>
    </row>
    <row r="100" spans="16:19" x14ac:dyDescent="0.25">
      <c r="P100">
        <v>2044</v>
      </c>
      <c r="Q100" t="s">
        <v>41</v>
      </c>
      <c r="R100">
        <v>0.28163333333333335</v>
      </c>
      <c r="S100" t="s">
        <v>424</v>
      </c>
    </row>
    <row r="101" spans="16:19" x14ac:dyDescent="0.25">
      <c r="P101">
        <v>2044</v>
      </c>
      <c r="Q101" t="s">
        <v>43</v>
      </c>
      <c r="R101">
        <v>0.46373333333333333</v>
      </c>
      <c r="S101" t="s">
        <v>424</v>
      </c>
    </row>
    <row r="102" spans="16:19" x14ac:dyDescent="0.25">
      <c r="P102">
        <v>2044</v>
      </c>
      <c r="Q102" t="s">
        <v>45</v>
      </c>
      <c r="R102">
        <v>0.37180000000000007</v>
      </c>
      <c r="S102" t="s">
        <v>424</v>
      </c>
    </row>
    <row r="103" spans="16:19" x14ac:dyDescent="0.25">
      <c r="P103">
        <v>2045</v>
      </c>
      <c r="Q103" t="s">
        <v>37</v>
      </c>
      <c r="R103">
        <v>0.26379999999999998</v>
      </c>
      <c r="S103" t="s">
        <v>424</v>
      </c>
    </row>
    <row r="104" spans="16:19" x14ac:dyDescent="0.25">
      <c r="P104">
        <v>2045</v>
      </c>
      <c r="Q104" t="s">
        <v>41</v>
      </c>
      <c r="R104">
        <v>0.31030000000000002</v>
      </c>
      <c r="S104" t="s">
        <v>424</v>
      </c>
    </row>
    <row r="105" spans="16:19" x14ac:dyDescent="0.25">
      <c r="P105">
        <v>2045</v>
      </c>
      <c r="Q105" t="s">
        <v>43</v>
      </c>
      <c r="R105">
        <v>0.53953333333333331</v>
      </c>
      <c r="S105" t="s">
        <v>424</v>
      </c>
    </row>
    <row r="106" spans="16:19" x14ac:dyDescent="0.25">
      <c r="P106">
        <v>2045</v>
      </c>
      <c r="Q106" t="s">
        <v>45</v>
      </c>
      <c r="R106">
        <v>0.45603333333333335</v>
      </c>
      <c r="S106" t="s">
        <v>424</v>
      </c>
    </row>
    <row r="107" spans="16:19" x14ac:dyDescent="0.25">
      <c r="P107">
        <v>2046</v>
      </c>
      <c r="Q107" t="s">
        <v>37</v>
      </c>
      <c r="R107">
        <v>0.29300000000000004</v>
      </c>
      <c r="S107" t="s">
        <v>424</v>
      </c>
    </row>
    <row r="108" spans="16:19" x14ac:dyDescent="0.25">
      <c r="P108">
        <v>2046</v>
      </c>
      <c r="Q108" t="s">
        <v>41</v>
      </c>
      <c r="R108">
        <v>0.38033333333333336</v>
      </c>
      <c r="S108" t="s">
        <v>424</v>
      </c>
    </row>
    <row r="109" spans="16:19" x14ac:dyDescent="0.25">
      <c r="P109">
        <v>2046</v>
      </c>
      <c r="Q109" t="s">
        <v>43</v>
      </c>
      <c r="R109">
        <v>0.64653333333333329</v>
      </c>
      <c r="S109" t="s">
        <v>424</v>
      </c>
    </row>
    <row r="110" spans="16:19" x14ac:dyDescent="0.25">
      <c r="P110">
        <v>2046</v>
      </c>
      <c r="Q110" t="s">
        <v>45</v>
      </c>
      <c r="R110">
        <v>0.49889999999999995</v>
      </c>
      <c r="S110" t="s">
        <v>424</v>
      </c>
    </row>
    <row r="111" spans="16:19" x14ac:dyDescent="0.25">
      <c r="P111">
        <v>2047</v>
      </c>
      <c r="Q111" t="s">
        <v>37</v>
      </c>
      <c r="R111">
        <v>0.25923333333333337</v>
      </c>
      <c r="S111" t="s">
        <v>424</v>
      </c>
    </row>
    <row r="112" spans="16:19" x14ac:dyDescent="0.25">
      <c r="P112">
        <v>2047</v>
      </c>
      <c r="Q112" t="s">
        <v>41</v>
      </c>
      <c r="R112">
        <v>0.33069999999999999</v>
      </c>
      <c r="S112" t="s">
        <v>424</v>
      </c>
    </row>
    <row r="113" spans="16:19" x14ac:dyDescent="0.25">
      <c r="P113">
        <v>2047</v>
      </c>
      <c r="Q113" t="s">
        <v>43</v>
      </c>
      <c r="R113">
        <v>0.54623333333333324</v>
      </c>
      <c r="S113" t="s">
        <v>424</v>
      </c>
    </row>
    <row r="114" spans="16:19" x14ac:dyDescent="0.25">
      <c r="P114">
        <v>2047</v>
      </c>
      <c r="Q114" t="s">
        <v>45</v>
      </c>
      <c r="R114">
        <v>0.45950000000000002</v>
      </c>
      <c r="S114" t="s">
        <v>424</v>
      </c>
    </row>
    <row r="115" spans="16:19" x14ac:dyDescent="0.25">
      <c r="P115">
        <v>2048</v>
      </c>
      <c r="Q115" t="s">
        <v>37</v>
      </c>
      <c r="R115">
        <v>0.24033333333333332</v>
      </c>
      <c r="S115" t="s">
        <v>424</v>
      </c>
    </row>
    <row r="116" spans="16:19" x14ac:dyDescent="0.25">
      <c r="P116">
        <v>2048</v>
      </c>
      <c r="Q116" t="s">
        <v>41</v>
      </c>
      <c r="R116">
        <v>0.33780000000000004</v>
      </c>
      <c r="S116" t="s">
        <v>424</v>
      </c>
    </row>
    <row r="117" spans="16:19" x14ac:dyDescent="0.25">
      <c r="P117">
        <v>2048</v>
      </c>
      <c r="Q117" t="s">
        <v>43</v>
      </c>
      <c r="R117">
        <v>0.56416666666666659</v>
      </c>
      <c r="S117" t="s">
        <v>424</v>
      </c>
    </row>
    <row r="118" spans="16:19" x14ac:dyDescent="0.25">
      <c r="P118">
        <v>2048</v>
      </c>
      <c r="Q118" t="s">
        <v>45</v>
      </c>
      <c r="R118">
        <v>0.44803333333333334</v>
      </c>
      <c r="S118" t="s">
        <v>424</v>
      </c>
    </row>
    <row r="119" spans="16:19" x14ac:dyDescent="0.25">
      <c r="P119">
        <v>2049</v>
      </c>
      <c r="Q119" t="s">
        <v>37</v>
      </c>
      <c r="R119">
        <v>0.23710000000000001</v>
      </c>
      <c r="S119" t="s">
        <v>424</v>
      </c>
    </row>
    <row r="120" spans="16:19" x14ac:dyDescent="0.25">
      <c r="P120">
        <v>2049</v>
      </c>
      <c r="Q120" t="s">
        <v>41</v>
      </c>
      <c r="R120">
        <v>0.33353333333333329</v>
      </c>
      <c r="S120" t="s">
        <v>424</v>
      </c>
    </row>
    <row r="121" spans="16:19" x14ac:dyDescent="0.25">
      <c r="P121">
        <v>2049</v>
      </c>
      <c r="Q121" t="s">
        <v>43</v>
      </c>
      <c r="R121">
        <v>0.55033333333333334</v>
      </c>
      <c r="S121" t="s">
        <v>424</v>
      </c>
    </row>
    <row r="122" spans="16:19" x14ac:dyDescent="0.25">
      <c r="P122">
        <v>2049</v>
      </c>
      <c r="Q122" t="s">
        <v>45</v>
      </c>
      <c r="R122">
        <v>0.46463333333333329</v>
      </c>
      <c r="S122" t="s">
        <v>424</v>
      </c>
    </row>
    <row r="123" spans="16:19" x14ac:dyDescent="0.25">
      <c r="P123">
        <v>2050</v>
      </c>
      <c r="Q123" t="s">
        <v>37</v>
      </c>
      <c r="R123">
        <v>0.2545</v>
      </c>
      <c r="S123" t="s">
        <v>424</v>
      </c>
    </row>
    <row r="124" spans="16:19" x14ac:dyDescent="0.25">
      <c r="P124">
        <v>2050</v>
      </c>
      <c r="Q124" t="s">
        <v>41</v>
      </c>
      <c r="R124">
        <v>0.3294333333333333</v>
      </c>
      <c r="S124" t="s">
        <v>424</v>
      </c>
    </row>
    <row r="125" spans="16:19" x14ac:dyDescent="0.25">
      <c r="P125">
        <v>2050</v>
      </c>
      <c r="Q125" t="s">
        <v>43</v>
      </c>
      <c r="R125">
        <v>0.54703333333333337</v>
      </c>
      <c r="S125" t="s">
        <v>424</v>
      </c>
    </row>
    <row r="126" spans="16:19" x14ac:dyDescent="0.25">
      <c r="P126">
        <v>2050</v>
      </c>
      <c r="Q126" t="s">
        <v>45</v>
      </c>
      <c r="R126">
        <v>0.46029999999999999</v>
      </c>
      <c r="S126" t="s">
        <v>424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ev_charging_uc</vt:lpstr>
      <vt:lpstr>timeslice_def</vt:lpstr>
      <vt:lpstr>resource_profiles</vt:lpstr>
      <vt:lpstr>firmness</vt:lpstr>
      <vt:lpstr>load_demand_peak_hydro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KanORS-EMR Business Standard</cp:lastModifiedBy>
  <dcterms:created xsi:type="dcterms:W3CDTF">2025-07-17T06:23:24Z</dcterms:created>
  <dcterms:modified xsi:type="dcterms:W3CDTF">2026-08-24T10:12:31Z</dcterms:modified>
</cp:coreProperties>
</file>