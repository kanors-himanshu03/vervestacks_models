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HRV_grids_kan\SuppXLS\"/>
    </mc:Choice>
  </mc:AlternateContent>
  <xr:revisionPtr revIDLastSave="0" documentId="8_{6173AED0-B0B7-4220-802E-249A439467EC}" xr6:coauthVersionLast="47" xr6:coauthVersionMax="47" xr10:uidLastSave="{00000000-0000-0000-0000-000000000000}"/>
  <bookViews>
    <workbookView xWindow="3120" yWindow="3120" windowWidth="21600" windowHeight="11295" firstSheet="4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A11" i="10"/>
  <c r="L9" i="10" s="1"/>
  <c r="A10" i="6"/>
  <c r="H24" i="6" s="1"/>
  <c r="BI9" i="9"/>
  <c r="AU9" i="9"/>
  <c r="AF9" i="9"/>
  <c r="Q9" i="9"/>
  <c r="B9" i="9"/>
  <c r="L9" i="8"/>
  <c r="G9" i="8"/>
  <c r="B9" i="8"/>
  <c r="A11" i="7"/>
  <c r="C9" i="7" s="1"/>
  <c r="H23" i="6"/>
  <c r="H9" i="10" l="1"/>
  <c r="C9" i="10"/>
  <c r="H21" i="6"/>
  <c r="I24" i="6"/>
  <c r="I23" i="6" s="1"/>
  <c r="E24" i="6"/>
  <c r="E23" i="6"/>
</calcChain>
</file>

<file path=xl/sharedStrings.xml><?xml version="1.0" encoding="utf-8"?>
<sst xmlns="http://schemas.openxmlformats.org/spreadsheetml/2006/main" count="2170" uniqueCount="167">
  <si>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</si>
  <si>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</si>
  <si>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</si>
  <si>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</si>
  <si>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</si>
  <si>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</si>
  <si>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</si>
  <si>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</si>
  <si>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</si>
  <si>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</si>
  <si>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</si>
  <si>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</si>
  <si>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</si>
  <si>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</si>
  <si>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</si>
  <si>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</si>
  <si>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</si>
  <si>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</si>
  <si>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</si>
  <si>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</si>
  <si>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</si>
  <si>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</si>
  <si>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</si>
  <si>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</si>
  <si>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</si>
  <si>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</si>
  <si>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</si>
  <si>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</si>
  <si>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</si>
  <si>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</si>
  <si>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</si>
  <si>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</si>
  <si>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</si>
  <si>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</si>
  <si>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</si>
  <si>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</si>
  <si>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</si>
  <si>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S1</t>
  </si>
  <si>
    <t>a</t>
  </si>
  <si>
    <t>H1</t>
  </si>
  <si>
    <t>S1,S2,S3,S4</t>
  </si>
  <si>
    <t>S2</t>
  </si>
  <si>
    <t>H2</t>
  </si>
  <si>
    <t>S3</t>
  </si>
  <si>
    <t>H3</t>
  </si>
  <si>
    <t>S4</t>
  </si>
  <si>
    <t>ts_12</t>
  </si>
  <si>
    <t>commodity</t>
  </si>
  <si>
    <t>timeslice</t>
  </si>
  <si>
    <t>com_fr</t>
  </si>
  <si>
    <t>process</t>
  </si>
  <si>
    <t>elc_spv_HRV_001</t>
  </si>
  <si>
    <t>S1aH1</t>
  </si>
  <si>
    <t>IMPNRGZ</t>
  </si>
  <si>
    <t>S1aH2</t>
  </si>
  <si>
    <t>S1aH3</t>
  </si>
  <si>
    <t>S2aH1</t>
  </si>
  <si>
    <t>S2aH2</t>
  </si>
  <si>
    <t>S2aH3</t>
  </si>
  <si>
    <t>S3aH1</t>
  </si>
  <si>
    <t>S3aH2</t>
  </si>
  <si>
    <t>S3aH3</t>
  </si>
  <si>
    <t>S4aH1</t>
  </si>
  <si>
    <t>S4aH2</t>
  </si>
  <si>
    <t>S4aH3</t>
  </si>
  <si>
    <t>elc_spv_HRV_002</t>
  </si>
  <si>
    <t>elc_spv_HRV_003</t>
  </si>
  <si>
    <t>elc_spv_HRV_004</t>
  </si>
  <si>
    <t>elc_spv_HRV_005</t>
  </si>
  <si>
    <t>elc_spv_HRV_006</t>
  </si>
  <si>
    <t>elc_spv_HRV_007</t>
  </si>
  <si>
    <t>elc_spv_HRV_008</t>
  </si>
  <si>
    <t>elc_spv_HRV_009</t>
  </si>
  <si>
    <t>elc_spv_HRV_010</t>
  </si>
  <si>
    <t>elc_spv_HRV_011</t>
  </si>
  <si>
    <t>elc_spv_HRV_012</t>
  </si>
  <si>
    <t>elc_spv_HRV_013</t>
  </si>
  <si>
    <t>elc_spv_HRV_014</t>
  </si>
  <si>
    <t>elc_spv_HRV_015</t>
  </si>
  <si>
    <t>elc_won_HRV_001</t>
  </si>
  <si>
    <t>elc_won_HRV_002</t>
  </si>
  <si>
    <t>elc_won_HRV_003</t>
  </si>
  <si>
    <t>elc_won_HRV_004</t>
  </si>
  <si>
    <t>elc_won_HRV_005</t>
  </si>
  <si>
    <t>elc_won_HRV_006</t>
  </si>
  <si>
    <t>elc_won_HRV_007</t>
  </si>
  <si>
    <t>elc_won_HRV_008</t>
  </si>
  <si>
    <t>elc_won_HRV_009</t>
  </si>
  <si>
    <t>elc_won_HRV_010</t>
  </si>
  <si>
    <t>elc_won_HRV_011</t>
  </si>
  <si>
    <t>elc_won_HRV_012</t>
  </si>
  <si>
    <t>elc_won_HRV_013</t>
  </si>
  <si>
    <t>elc_wof_HRV_001</t>
  </si>
  <si>
    <t>elc_wof_HRV_002</t>
  </si>
  <si>
    <t>elc_wof_HRV_003</t>
  </si>
  <si>
    <t>elc_wof_HRV_004</t>
  </si>
  <si>
    <t>elc_wof_HRV_005</t>
  </si>
  <si>
    <t>elc_wof_HRV_006</t>
  </si>
  <si>
    <t>elc_wof_HRV_007</t>
  </si>
  <si>
    <t>elc_wof_HRV_008</t>
  </si>
  <si>
    <t>elc_wof_HRV_009</t>
  </si>
  <si>
    <t>elc_wof_HRV_010</t>
  </si>
  <si>
    <t>elc_wof_HRV_011</t>
  </si>
  <si>
    <t>elc_wof_HRV_012</t>
  </si>
  <si>
    <t>distr_solelc_spv_HRV_001</t>
  </si>
  <si>
    <t>distr_solelc_spv_HRV_002</t>
  </si>
  <si>
    <t>distr_solelc_spv_HRV_003</t>
  </si>
  <si>
    <t>distr_solelc_spv_HRV_004</t>
  </si>
  <si>
    <t>distr_solelc_spv_HRV_005</t>
  </si>
  <si>
    <t>distr_solelc_spv_HRV_006</t>
  </si>
  <si>
    <t>distr_solelc_spv_HRV_007</t>
  </si>
  <si>
    <t>distr_solelc_spv_HRV_008</t>
  </si>
  <si>
    <t>distr_solelc_spv_HRV_009</t>
  </si>
  <si>
    <t>distr_solelc_spv_HRV_010</t>
  </si>
  <si>
    <t>distr_solelc_spv_HRV_011</t>
  </si>
  <si>
    <t>distr_solelc_spv_HRV_012</t>
  </si>
  <si>
    <t>distr_solelc_spv_HRV_013</t>
  </si>
  <si>
    <t>distr_solelc_spv_HRV_014</t>
  </si>
  <si>
    <t>distr_solelc_spv_HRV_015</t>
  </si>
  <si>
    <t>distr_wofelc_wof_HRV_001</t>
  </si>
  <si>
    <t>distr_wofelc_wof_HRV_002</t>
  </si>
  <si>
    <t>distr_wofelc_wof_HRV_003</t>
  </si>
  <si>
    <t>distr_wofelc_wof_HRV_004</t>
  </si>
  <si>
    <t>distr_wofelc_wof_HRV_005</t>
  </si>
  <si>
    <t>distr_wofelc_wof_HRV_006</t>
  </si>
  <si>
    <t>distr_wofelc_wof_HRV_007</t>
  </si>
  <si>
    <t>distr_wofelc_wof_HRV_008</t>
  </si>
  <si>
    <t>distr_wofelc_wof_HRV_009</t>
  </si>
  <si>
    <t>distr_wofelc_wof_HRV_010</t>
  </si>
  <si>
    <t>distr_wofelc_wof_HRV_011</t>
  </si>
  <si>
    <t>distr_wofelc_wof_HRV_012</t>
  </si>
  <si>
    <t>distr_wonelc_won_HRV_001</t>
  </si>
  <si>
    <t>distr_wonelc_won_HRV_002</t>
  </si>
  <si>
    <t>distr_wonelc_won_HRV_003</t>
  </si>
  <si>
    <t>distr_wonelc_won_HRV_004</t>
  </si>
  <si>
    <t>distr_wonelc_won_HRV_005</t>
  </si>
  <si>
    <t>distr_wonelc_won_HRV_006</t>
  </si>
  <si>
    <t>distr_wonelc_won_HRV_007</t>
  </si>
  <si>
    <t>distr_wonelc_won_HRV_008</t>
  </si>
  <si>
    <t>distr_wonelc_won_HRV_009</t>
  </si>
  <si>
    <t>distr_wonelc_won_HRV_010</t>
  </si>
  <si>
    <t>distr_wonelc_won_HRV_011</t>
  </si>
  <si>
    <t>distr_wonelc_won_HRV_012</t>
  </si>
  <si>
    <t>distr_wonelc_won_HRV_013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</si>
  <si>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</si>
  <si>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</si>
  <si>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</si>
  <si>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</si>
  <si>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</si>
  <si>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</si>
  <si>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</si>
  <si>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</si>
  <si>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</si>
  <si>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</si>
  <si>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</si>
  <si>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</si>
  <si>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</si>
  <si>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S2aH2,S1aH2,S3aH2,S4aH2</t>
  </si>
  <si>
    <t>N</t>
  </si>
  <si>
    <t>S3aH3,S4aH1,S2aH3,S3aH1,S1aH3,S1aH1,S4aH3,S2aH1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</si>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</sst>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5" x14ac:dyDescent="0.25"/>
  <sheetData>
    <row r="10" spans="1:4" x14ac:dyDescent="0.25">
      <c r="A10" t="str">
        <f>IFERROR([1]Veda!D5,"ts_12")</f>
        <v>ts_12</v>
      </c>
      <c r="B10" s="5"/>
      <c r="C10" s="5" t="s">
        <v>155</v>
      </c>
      <c r="D10" t="s">
        <v>46</v>
      </c>
    </row>
    <row r="11" spans="1:4" x14ac:dyDescent="0.25">
      <c r="B11" s="5"/>
      <c r="C11" s="5" t="s">
        <v>156</v>
      </c>
      <c r="D11" t="s">
        <v>157</v>
      </c>
    </row>
    <row r="12" spans="1:4" x14ac:dyDescent="0.25">
      <c r="B12" s="5"/>
      <c r="C12" s="5" t="s">
        <v>158</v>
      </c>
      <c r="D12" t="s">
        <v>159</v>
      </c>
    </row>
    <row r="17" spans="3:14" x14ac:dyDescent="0.25">
      <c r="I17" s="2">
        <v>0.75</v>
      </c>
      <c r="K17" s="1" t="s">
        <v>0</v>
      </c>
    </row>
    <row r="18" spans="3:14" ht="18" thickBot="1" x14ac:dyDescent="0.35">
      <c r="C18" s="3" t="s">
        <v>1</v>
      </c>
    </row>
    <row r="19" spans="3:14" ht="15.75" thickTop="1" x14ac:dyDescent="0.25"/>
    <row r="21" spans="3:14" ht="18" thickBot="1" x14ac:dyDescent="0.35">
      <c r="H21" s="3" t="str">
        <f>IF(H23=H24,"Not Required!","~UC_T: LO")</f>
        <v>~UC_T: LO</v>
      </c>
    </row>
    <row r="22" spans="3:14" ht="16.5" thickTop="1" thickBot="1" x14ac:dyDescent="0.3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2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S3aH3,S4aH1,S2aH3,S3aH1,S1aH3,S1aH1,S4aH3,S2aH1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2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S2aH2,S1aH2,S3aH2,S4aH2</v>
      </c>
      <c r="I24">
        <f>-$I$17</f>
        <v>-0.75</v>
      </c>
      <c r="M24" t="s">
        <v>16</v>
      </c>
    </row>
    <row r="29" spans="3:14" ht="18" thickBot="1" x14ac:dyDescent="0.35">
      <c r="I29" s="3" t="s">
        <v>17</v>
      </c>
    </row>
    <row r="30" spans="3:14" ht="16.5" thickTop="1" thickBot="1" x14ac:dyDescent="0.3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2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2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F4F56-DBFC-473C-9CB4-2B3365711E15}">
  <dimension ref="A9:G14"/>
  <sheetViews>
    <sheetView workbookViewId="0"/>
  </sheetViews>
  <sheetFormatPr defaultRowHeight="15" x14ac:dyDescent="0.25"/>
  <sheetData>
    <row r="9" spans="1:7" x14ac:dyDescent="0.25">
      <c r="C9" t="str">
        <f>IF(A11="x","DeActivated","~TimeSlices")</f>
        <v>~TimeSlices</v>
      </c>
    </row>
    <row r="10" spans="1:7" x14ac:dyDescent="0.25">
      <c r="A10" t="s">
        <v>46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2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25">
      <c r="C12" t="s">
        <v>41</v>
      </c>
      <c r="E12" t="s">
        <v>42</v>
      </c>
      <c r="G12" t="s">
        <v>38</v>
      </c>
    </row>
    <row r="13" spans="1:7" x14ac:dyDescent="0.25">
      <c r="C13" t="s">
        <v>43</v>
      </c>
      <c r="E13" t="s">
        <v>44</v>
      </c>
      <c r="G13" t="s">
        <v>38</v>
      </c>
    </row>
    <row r="14" spans="1:7" x14ac:dyDescent="0.25">
      <c r="C1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A8ECD-E390-406D-9597-395B25059D7A}">
  <dimension ref="B9:O190"/>
  <sheetViews>
    <sheetView workbookViewId="0"/>
  </sheetViews>
  <sheetFormatPr defaultRowHeight="15" x14ac:dyDescent="0.25"/>
  <sheetData>
    <row r="9" spans="2:15" x14ac:dyDescent="0.2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25">
      <c r="B10" t="s">
        <v>47</v>
      </c>
      <c r="C10" t="s">
        <v>48</v>
      </c>
      <c r="D10" t="s">
        <v>49</v>
      </c>
      <c r="E10" t="s">
        <v>50</v>
      </c>
      <c r="G10" t="s">
        <v>47</v>
      </c>
      <c r="H10" t="s">
        <v>48</v>
      </c>
      <c r="I10" t="s">
        <v>49</v>
      </c>
      <c r="J10" t="s">
        <v>50</v>
      </c>
      <c r="L10" t="s">
        <v>47</v>
      </c>
      <c r="M10" t="s">
        <v>48</v>
      </c>
      <c r="N10" t="s">
        <v>49</v>
      </c>
      <c r="O10" t="s">
        <v>50</v>
      </c>
    </row>
    <row r="11" spans="2:15" x14ac:dyDescent="0.25">
      <c r="B11" t="s">
        <v>51</v>
      </c>
      <c r="C11" t="s">
        <v>52</v>
      </c>
      <c r="D11">
        <v>0</v>
      </c>
      <c r="E11" t="s">
        <v>53</v>
      </c>
      <c r="G11" t="s">
        <v>79</v>
      </c>
      <c r="H11" t="s">
        <v>52</v>
      </c>
      <c r="I11">
        <v>0.10762923458379979</v>
      </c>
      <c r="J11" t="s">
        <v>53</v>
      </c>
      <c r="L11" t="s">
        <v>92</v>
      </c>
      <c r="M11" t="s">
        <v>52</v>
      </c>
      <c r="N11">
        <v>9.9979656843323189E-2</v>
      </c>
      <c r="O11" t="s">
        <v>53</v>
      </c>
    </row>
    <row r="12" spans="2:15" x14ac:dyDescent="0.25">
      <c r="B12" t="s">
        <v>51</v>
      </c>
      <c r="C12" t="s">
        <v>54</v>
      </c>
      <c r="D12">
        <v>0.16577580150301516</v>
      </c>
      <c r="E12" t="s">
        <v>53</v>
      </c>
      <c r="G12" t="s">
        <v>79</v>
      </c>
      <c r="H12" t="s">
        <v>54</v>
      </c>
      <c r="I12">
        <v>0.12838258827323079</v>
      </c>
      <c r="J12" t="s">
        <v>53</v>
      </c>
      <c r="L12" t="s">
        <v>92</v>
      </c>
      <c r="M12" t="s">
        <v>54</v>
      </c>
      <c r="N12">
        <v>0.11553522108243279</v>
      </c>
      <c r="O12" t="s">
        <v>53</v>
      </c>
    </row>
    <row r="13" spans="2:15" x14ac:dyDescent="0.25">
      <c r="B13" t="s">
        <v>51</v>
      </c>
      <c r="C13" t="s">
        <v>55</v>
      </c>
      <c r="D13">
        <v>1.6149162743745577E-5</v>
      </c>
      <c r="E13" t="s">
        <v>53</v>
      </c>
      <c r="G13" t="s">
        <v>79</v>
      </c>
      <c r="H13" t="s">
        <v>55</v>
      </c>
      <c r="I13">
        <v>7.8154637238114541E-2</v>
      </c>
      <c r="J13" t="s">
        <v>53</v>
      </c>
      <c r="L13" t="s">
        <v>92</v>
      </c>
      <c r="M13" t="s">
        <v>55</v>
      </c>
      <c r="N13">
        <v>7.1821248369031435E-2</v>
      </c>
      <c r="O13" t="s">
        <v>53</v>
      </c>
    </row>
    <row r="14" spans="2:15" x14ac:dyDescent="0.25">
      <c r="B14" t="s">
        <v>51</v>
      </c>
      <c r="C14" t="s">
        <v>56</v>
      </c>
      <c r="D14">
        <v>5.7918771040169808E-3</v>
      </c>
      <c r="E14" t="s">
        <v>53</v>
      </c>
      <c r="G14" t="s">
        <v>79</v>
      </c>
      <c r="H14" t="s">
        <v>56</v>
      </c>
      <c r="I14">
        <v>9.49728205759411E-2</v>
      </c>
      <c r="J14" t="s">
        <v>53</v>
      </c>
      <c r="L14" t="s">
        <v>92</v>
      </c>
      <c r="M14" t="s">
        <v>56</v>
      </c>
      <c r="N14">
        <v>0.10417676993373672</v>
      </c>
      <c r="O14" t="s">
        <v>53</v>
      </c>
    </row>
    <row r="15" spans="2:15" x14ac:dyDescent="0.25">
      <c r="B15" t="s">
        <v>51</v>
      </c>
      <c r="C15" t="s">
        <v>57</v>
      </c>
      <c r="D15">
        <v>0.27300633089965975</v>
      </c>
      <c r="E15" t="s">
        <v>53</v>
      </c>
      <c r="G15" t="s">
        <v>79</v>
      </c>
      <c r="H15" t="s">
        <v>57</v>
      </c>
      <c r="I15">
        <v>0.11811525338111178</v>
      </c>
      <c r="J15" t="s">
        <v>53</v>
      </c>
      <c r="L15" t="s">
        <v>92</v>
      </c>
      <c r="M15" t="s">
        <v>57</v>
      </c>
      <c r="N15">
        <v>0.10422312438777116</v>
      </c>
      <c r="O15" t="s">
        <v>53</v>
      </c>
    </row>
    <row r="16" spans="2:15" x14ac:dyDescent="0.25">
      <c r="B16" t="s">
        <v>51</v>
      </c>
      <c r="C16" t="s">
        <v>58</v>
      </c>
      <c r="D16">
        <v>4.2449669826106909E-3</v>
      </c>
      <c r="E16" t="s">
        <v>53</v>
      </c>
      <c r="G16" t="s">
        <v>79</v>
      </c>
      <c r="H16" t="s">
        <v>58</v>
      </c>
      <c r="I16">
        <v>7.5507890067714148E-2</v>
      </c>
      <c r="J16" t="s">
        <v>53</v>
      </c>
      <c r="L16" t="s">
        <v>92</v>
      </c>
      <c r="M16" t="s">
        <v>58</v>
      </c>
      <c r="N16">
        <v>7.3024070241618472E-2</v>
      </c>
      <c r="O16" t="s">
        <v>53</v>
      </c>
    </row>
    <row r="17" spans="2:15" x14ac:dyDescent="0.25">
      <c r="B17" t="s">
        <v>51</v>
      </c>
      <c r="C17" t="s">
        <v>59</v>
      </c>
      <c r="D17">
        <v>9.9204197873343052E-3</v>
      </c>
      <c r="E17" t="s">
        <v>53</v>
      </c>
      <c r="G17" t="s">
        <v>79</v>
      </c>
      <c r="H17" t="s">
        <v>59</v>
      </c>
      <c r="I17">
        <v>4.4160449746540709E-2</v>
      </c>
      <c r="J17" t="s">
        <v>53</v>
      </c>
      <c r="L17" t="s">
        <v>92</v>
      </c>
      <c r="M17" t="s">
        <v>59</v>
      </c>
      <c r="N17">
        <v>4.8823640354011058E-2</v>
      </c>
      <c r="O17" t="s">
        <v>53</v>
      </c>
    </row>
    <row r="18" spans="2:15" x14ac:dyDescent="0.25">
      <c r="B18" t="s">
        <v>51</v>
      </c>
      <c r="C18" t="s">
        <v>60</v>
      </c>
      <c r="D18">
        <v>0.31736413404798386</v>
      </c>
      <c r="E18" t="s">
        <v>53</v>
      </c>
      <c r="G18" t="s">
        <v>79</v>
      </c>
      <c r="H18" t="s">
        <v>60</v>
      </c>
      <c r="I18">
        <v>6.4784557309719326E-2</v>
      </c>
      <c r="J18" t="s">
        <v>53</v>
      </c>
      <c r="L18" t="s">
        <v>92</v>
      </c>
      <c r="M18" t="s">
        <v>60</v>
      </c>
      <c r="N18">
        <v>5.3566538569550903E-2</v>
      </c>
      <c r="O18" t="s">
        <v>53</v>
      </c>
    </row>
    <row r="19" spans="2:15" x14ac:dyDescent="0.25">
      <c r="B19" t="s">
        <v>51</v>
      </c>
      <c r="C19" t="s">
        <v>61</v>
      </c>
      <c r="D19">
        <v>8.005116585921724E-3</v>
      </c>
      <c r="E19" t="s">
        <v>53</v>
      </c>
      <c r="G19" t="s">
        <v>79</v>
      </c>
      <c r="H19" t="s">
        <v>61</v>
      </c>
      <c r="I19">
        <v>4.1826036718473944E-2</v>
      </c>
      <c r="J19" t="s">
        <v>53</v>
      </c>
      <c r="L19" t="s">
        <v>92</v>
      </c>
      <c r="M19" t="s">
        <v>61</v>
      </c>
      <c r="N19">
        <v>3.7538846122758242E-2</v>
      </c>
      <c r="O19" t="s">
        <v>53</v>
      </c>
    </row>
    <row r="20" spans="2:15" x14ac:dyDescent="0.25">
      <c r="B20" t="s">
        <v>51</v>
      </c>
      <c r="C20" t="s">
        <v>62</v>
      </c>
      <c r="D20">
        <v>2.0502036186715875E-3</v>
      </c>
      <c r="E20" t="s">
        <v>53</v>
      </c>
      <c r="G20" t="s">
        <v>79</v>
      </c>
      <c r="H20" t="s">
        <v>62</v>
      </c>
      <c r="I20">
        <v>8.165351296324215E-2</v>
      </c>
      <c r="J20" t="s">
        <v>53</v>
      </c>
      <c r="L20" t="s">
        <v>92</v>
      </c>
      <c r="M20" t="s">
        <v>62</v>
      </c>
      <c r="N20">
        <v>9.8269624403613573E-2</v>
      </c>
      <c r="O20" t="s">
        <v>53</v>
      </c>
    </row>
    <row r="21" spans="2:15" x14ac:dyDescent="0.25">
      <c r="B21" t="s">
        <v>51</v>
      </c>
      <c r="C21" t="s">
        <v>63</v>
      </c>
      <c r="D21">
        <v>0.21327187526194083</v>
      </c>
      <c r="E21" t="s">
        <v>53</v>
      </c>
      <c r="G21" t="s">
        <v>79</v>
      </c>
      <c r="H21" t="s">
        <v>63</v>
      </c>
      <c r="I21">
        <v>0.1034625751899349</v>
      </c>
      <c r="J21" t="s">
        <v>53</v>
      </c>
      <c r="L21" t="s">
        <v>92</v>
      </c>
      <c r="M21" t="s">
        <v>63</v>
      </c>
      <c r="N21">
        <v>0.11668620158136313</v>
      </c>
      <c r="O21" t="s">
        <v>53</v>
      </c>
    </row>
    <row r="22" spans="2:15" x14ac:dyDescent="0.25">
      <c r="B22" t="s">
        <v>51</v>
      </c>
      <c r="C22" t="s">
        <v>64</v>
      </c>
      <c r="D22">
        <v>5.5312504610205947E-4</v>
      </c>
      <c r="E22" t="s">
        <v>53</v>
      </c>
      <c r="G22" t="s">
        <v>79</v>
      </c>
      <c r="H22" t="s">
        <v>64</v>
      </c>
      <c r="I22">
        <v>6.1350443952176488E-2</v>
      </c>
      <c r="J22" t="s">
        <v>53</v>
      </c>
      <c r="L22" t="s">
        <v>92</v>
      </c>
      <c r="M22" t="s">
        <v>64</v>
      </c>
      <c r="N22">
        <v>7.6355058110783747E-2</v>
      </c>
      <c r="O22" t="s">
        <v>53</v>
      </c>
    </row>
    <row r="23" spans="2:15" x14ac:dyDescent="0.25">
      <c r="B23" t="s">
        <v>65</v>
      </c>
      <c r="C23" t="s">
        <v>52</v>
      </c>
      <c r="D23">
        <v>0</v>
      </c>
      <c r="E23" t="s">
        <v>53</v>
      </c>
      <c r="G23" t="s">
        <v>80</v>
      </c>
      <c r="H23" t="s">
        <v>52</v>
      </c>
      <c r="I23">
        <v>0.10508881099065717</v>
      </c>
      <c r="J23" t="s">
        <v>53</v>
      </c>
      <c r="L23" t="s">
        <v>93</v>
      </c>
      <c r="M23" t="s">
        <v>52</v>
      </c>
      <c r="N23">
        <v>9.4514642269983976E-2</v>
      </c>
      <c r="O23" t="s">
        <v>53</v>
      </c>
    </row>
    <row r="24" spans="2:15" x14ac:dyDescent="0.25">
      <c r="B24" t="s">
        <v>65</v>
      </c>
      <c r="C24" t="s">
        <v>54</v>
      </c>
      <c r="D24">
        <v>0.16474685795369082</v>
      </c>
      <c r="E24" t="s">
        <v>53</v>
      </c>
      <c r="G24" t="s">
        <v>80</v>
      </c>
      <c r="H24" t="s">
        <v>54</v>
      </c>
      <c r="I24">
        <v>0.12478546263243726</v>
      </c>
      <c r="J24" t="s">
        <v>53</v>
      </c>
      <c r="L24" t="s">
        <v>93</v>
      </c>
      <c r="M24" t="s">
        <v>54</v>
      </c>
      <c r="N24">
        <v>0.11222385480269613</v>
      </c>
      <c r="O24" t="s">
        <v>53</v>
      </c>
    </row>
    <row r="25" spans="2:15" x14ac:dyDescent="0.25">
      <c r="B25" t="s">
        <v>65</v>
      </c>
      <c r="C25" t="s">
        <v>55</v>
      </c>
      <c r="D25">
        <v>3.3529753600525092E-5</v>
      </c>
      <c r="E25" t="s">
        <v>53</v>
      </c>
      <c r="G25" t="s">
        <v>80</v>
      </c>
      <c r="H25" t="s">
        <v>55</v>
      </c>
      <c r="I25">
        <v>7.5667751504127592E-2</v>
      </c>
      <c r="J25" t="s">
        <v>53</v>
      </c>
      <c r="L25" t="s">
        <v>93</v>
      </c>
      <c r="M25" t="s">
        <v>55</v>
      </c>
      <c r="N25">
        <v>6.9066765163100258E-2</v>
      </c>
      <c r="O25" t="s">
        <v>53</v>
      </c>
    </row>
    <row r="26" spans="2:15" x14ac:dyDescent="0.25">
      <c r="B26" t="s">
        <v>65</v>
      </c>
      <c r="C26" t="s">
        <v>56</v>
      </c>
      <c r="D26">
        <v>5.5854164080730122E-3</v>
      </c>
      <c r="E26" t="s">
        <v>53</v>
      </c>
      <c r="G26" t="s">
        <v>80</v>
      </c>
      <c r="H26" t="s">
        <v>56</v>
      </c>
      <c r="I26">
        <v>9.4545202282699234E-2</v>
      </c>
      <c r="J26" t="s">
        <v>53</v>
      </c>
      <c r="L26" t="s">
        <v>93</v>
      </c>
      <c r="M26" t="s">
        <v>56</v>
      </c>
      <c r="N26">
        <v>0.1076820899689855</v>
      </c>
      <c r="O26" t="s">
        <v>53</v>
      </c>
    </row>
    <row r="27" spans="2:15" x14ac:dyDescent="0.25">
      <c r="B27" t="s">
        <v>65</v>
      </c>
      <c r="C27" t="s">
        <v>57</v>
      </c>
      <c r="D27">
        <v>0.27378796882736373</v>
      </c>
      <c r="E27" t="s">
        <v>53</v>
      </c>
      <c r="G27" t="s">
        <v>80</v>
      </c>
      <c r="H27" t="s">
        <v>57</v>
      </c>
      <c r="I27">
        <v>0.12139414471383753</v>
      </c>
      <c r="J27" t="s">
        <v>53</v>
      </c>
      <c r="L27" t="s">
        <v>93</v>
      </c>
      <c r="M27" t="s">
        <v>57</v>
      </c>
      <c r="N27">
        <v>0.10632835184482609</v>
      </c>
      <c r="O27" t="s">
        <v>53</v>
      </c>
    </row>
    <row r="28" spans="2:15" x14ac:dyDescent="0.25">
      <c r="B28" t="s">
        <v>65</v>
      </c>
      <c r="C28" t="s">
        <v>58</v>
      </c>
      <c r="D28">
        <v>4.6908424578153566E-3</v>
      </c>
      <c r="E28" t="s">
        <v>53</v>
      </c>
      <c r="G28" t="s">
        <v>80</v>
      </c>
      <c r="H28" t="s">
        <v>58</v>
      </c>
      <c r="I28">
        <v>7.4678510069868503E-2</v>
      </c>
      <c r="J28" t="s">
        <v>53</v>
      </c>
      <c r="L28" t="s">
        <v>93</v>
      </c>
      <c r="M28" t="s">
        <v>58</v>
      </c>
      <c r="N28">
        <v>7.883927045814515E-2</v>
      </c>
      <c r="O28" t="s">
        <v>53</v>
      </c>
    </row>
    <row r="29" spans="2:15" x14ac:dyDescent="0.25">
      <c r="B29" t="s">
        <v>65</v>
      </c>
      <c r="C29" t="s">
        <v>59</v>
      </c>
      <c r="D29">
        <v>9.8288905534221777E-3</v>
      </c>
      <c r="E29" t="s">
        <v>53</v>
      </c>
      <c r="G29" t="s">
        <v>80</v>
      </c>
      <c r="H29" t="s">
        <v>59</v>
      </c>
      <c r="I29">
        <v>3.5122882150242153E-2</v>
      </c>
      <c r="J29" t="s">
        <v>53</v>
      </c>
      <c r="L29" t="s">
        <v>93</v>
      </c>
      <c r="M29" t="s">
        <v>59</v>
      </c>
      <c r="N29">
        <v>5.9619385790663428E-2</v>
      </c>
      <c r="O29" t="s">
        <v>53</v>
      </c>
    </row>
    <row r="30" spans="2:15" x14ac:dyDescent="0.25">
      <c r="B30" t="s">
        <v>65</v>
      </c>
      <c r="C30" t="s">
        <v>60</v>
      </c>
      <c r="D30">
        <v>0.31845397362823585</v>
      </c>
      <c r="E30" t="s">
        <v>53</v>
      </c>
      <c r="G30" t="s">
        <v>80</v>
      </c>
      <c r="H30" t="s">
        <v>60</v>
      </c>
      <c r="I30">
        <v>5.4756036937355999E-2</v>
      </c>
      <c r="J30" t="s">
        <v>53</v>
      </c>
      <c r="L30" t="s">
        <v>93</v>
      </c>
      <c r="M30" t="s">
        <v>60</v>
      </c>
      <c r="N30">
        <v>4.7691810684673604E-2</v>
      </c>
      <c r="O30" t="s">
        <v>53</v>
      </c>
    </row>
    <row r="31" spans="2:15" x14ac:dyDescent="0.25">
      <c r="B31" t="s">
        <v>65</v>
      </c>
      <c r="C31" t="s">
        <v>61</v>
      </c>
      <c r="D31">
        <v>8.8740470749780701E-3</v>
      </c>
      <c r="E31" t="s">
        <v>53</v>
      </c>
      <c r="G31" t="s">
        <v>80</v>
      </c>
      <c r="H31" t="s">
        <v>61</v>
      </c>
      <c r="I31">
        <v>3.9743737341470499E-2</v>
      </c>
      <c r="J31" t="s">
        <v>53</v>
      </c>
      <c r="L31" t="s">
        <v>93</v>
      </c>
      <c r="M31" t="s">
        <v>61</v>
      </c>
      <c r="N31">
        <v>3.6863264666873972E-2</v>
      </c>
      <c r="O31" t="s">
        <v>53</v>
      </c>
    </row>
    <row r="32" spans="2:15" x14ac:dyDescent="0.25">
      <c r="B32" t="s">
        <v>65</v>
      </c>
      <c r="C32" t="s">
        <v>62</v>
      </c>
      <c r="D32">
        <v>1.7804858691512135E-3</v>
      </c>
      <c r="E32" t="s">
        <v>53</v>
      </c>
      <c r="G32" t="s">
        <v>80</v>
      </c>
      <c r="H32" t="s">
        <v>62</v>
      </c>
      <c r="I32">
        <v>9.4980739786632531E-2</v>
      </c>
      <c r="J32" t="s">
        <v>53</v>
      </c>
      <c r="L32" t="s">
        <v>93</v>
      </c>
      <c r="M32" t="s">
        <v>62</v>
      </c>
      <c r="N32">
        <v>9.7753599975814079E-2</v>
      </c>
      <c r="O32" t="s">
        <v>53</v>
      </c>
    </row>
    <row r="33" spans="2:15" x14ac:dyDescent="0.25">
      <c r="B33" t="s">
        <v>65</v>
      </c>
      <c r="C33" t="s">
        <v>63</v>
      </c>
      <c r="D33">
        <v>0.21155193305757353</v>
      </c>
      <c r="E33" t="s">
        <v>53</v>
      </c>
      <c r="G33" t="s">
        <v>80</v>
      </c>
      <c r="H33" t="s">
        <v>63</v>
      </c>
      <c r="I33">
        <v>0.11115538231565146</v>
      </c>
      <c r="J33" t="s">
        <v>53</v>
      </c>
      <c r="L33" t="s">
        <v>93</v>
      </c>
      <c r="M33" t="s">
        <v>63</v>
      </c>
      <c r="N33">
        <v>0.11336885478887403</v>
      </c>
      <c r="O33" t="s">
        <v>53</v>
      </c>
    </row>
    <row r="34" spans="2:15" x14ac:dyDescent="0.25">
      <c r="B34" t="s">
        <v>65</v>
      </c>
      <c r="C34" t="s">
        <v>64</v>
      </c>
      <c r="D34">
        <v>6.6605441609173725E-4</v>
      </c>
      <c r="E34" t="s">
        <v>53</v>
      </c>
      <c r="G34" t="s">
        <v>80</v>
      </c>
      <c r="H34" t="s">
        <v>64</v>
      </c>
      <c r="I34">
        <v>6.808133927501879E-2</v>
      </c>
      <c r="J34" t="s">
        <v>53</v>
      </c>
      <c r="L34" t="s">
        <v>93</v>
      </c>
      <c r="M34" t="s">
        <v>64</v>
      </c>
      <c r="N34">
        <v>7.60481095853663E-2</v>
      </c>
      <c r="O34" t="s">
        <v>53</v>
      </c>
    </row>
    <row r="35" spans="2:15" x14ac:dyDescent="0.25">
      <c r="B35" t="s">
        <v>66</v>
      </c>
      <c r="C35" t="s">
        <v>52</v>
      </c>
      <c r="D35">
        <v>0</v>
      </c>
      <c r="E35" t="s">
        <v>53</v>
      </c>
      <c r="G35" t="s">
        <v>81</v>
      </c>
      <c r="H35" t="s">
        <v>52</v>
      </c>
      <c r="I35">
        <v>0.11142241043216518</v>
      </c>
      <c r="J35" t="s">
        <v>53</v>
      </c>
      <c r="L35" t="s">
        <v>94</v>
      </c>
      <c r="M35" t="s">
        <v>52</v>
      </c>
      <c r="N35">
        <v>9.531737710352807E-2</v>
      </c>
      <c r="O35" t="s">
        <v>53</v>
      </c>
    </row>
    <row r="36" spans="2:15" x14ac:dyDescent="0.25">
      <c r="B36" t="s">
        <v>66</v>
      </c>
      <c r="C36" t="s">
        <v>54</v>
      </c>
      <c r="D36">
        <v>0.15949640964739142</v>
      </c>
      <c r="E36" t="s">
        <v>53</v>
      </c>
      <c r="G36" t="s">
        <v>81</v>
      </c>
      <c r="H36" t="s">
        <v>54</v>
      </c>
      <c r="I36">
        <v>0.12703324255034504</v>
      </c>
      <c r="J36" t="s">
        <v>53</v>
      </c>
      <c r="L36" t="s">
        <v>94</v>
      </c>
      <c r="M36" t="s">
        <v>54</v>
      </c>
      <c r="N36">
        <v>0.11426401354041395</v>
      </c>
      <c r="O36" t="s">
        <v>53</v>
      </c>
    </row>
    <row r="37" spans="2:15" x14ac:dyDescent="0.25">
      <c r="B37" t="s">
        <v>66</v>
      </c>
      <c r="C37" t="s">
        <v>55</v>
      </c>
      <c r="D37">
        <v>1.2274809270599495E-4</v>
      </c>
      <c r="E37" t="s">
        <v>53</v>
      </c>
      <c r="G37" t="s">
        <v>81</v>
      </c>
      <c r="H37" t="s">
        <v>55</v>
      </c>
      <c r="I37">
        <v>8.2654757841097243E-2</v>
      </c>
      <c r="J37" t="s">
        <v>53</v>
      </c>
      <c r="L37" t="s">
        <v>94</v>
      </c>
      <c r="M37" t="s">
        <v>55</v>
      </c>
      <c r="N37">
        <v>6.9944953195504908E-2</v>
      </c>
      <c r="O37" t="s">
        <v>53</v>
      </c>
    </row>
    <row r="38" spans="2:15" x14ac:dyDescent="0.25">
      <c r="B38" t="s">
        <v>66</v>
      </c>
      <c r="C38" t="s">
        <v>56</v>
      </c>
      <c r="D38">
        <v>4.3189506713289466E-3</v>
      </c>
      <c r="E38" t="s">
        <v>53</v>
      </c>
      <c r="G38" t="s">
        <v>81</v>
      </c>
      <c r="H38" t="s">
        <v>56</v>
      </c>
      <c r="I38">
        <v>7.3089290016379732E-2</v>
      </c>
      <c r="J38" t="s">
        <v>53</v>
      </c>
      <c r="L38" t="s">
        <v>94</v>
      </c>
      <c r="M38" t="s">
        <v>56</v>
      </c>
      <c r="N38">
        <v>9.8738170397618508E-2</v>
      </c>
      <c r="O38" t="s">
        <v>53</v>
      </c>
    </row>
    <row r="39" spans="2:15" x14ac:dyDescent="0.25">
      <c r="B39" t="s">
        <v>66</v>
      </c>
      <c r="C39" t="s">
        <v>57</v>
      </c>
      <c r="D39">
        <v>0.27019802101738621</v>
      </c>
      <c r="E39" t="s">
        <v>53</v>
      </c>
      <c r="G39" t="s">
        <v>81</v>
      </c>
      <c r="H39" t="s">
        <v>57</v>
      </c>
      <c r="I39">
        <v>0.10569585733888041</v>
      </c>
      <c r="J39" t="s">
        <v>53</v>
      </c>
      <c r="L39" t="s">
        <v>94</v>
      </c>
      <c r="M39" t="s">
        <v>57</v>
      </c>
      <c r="N39">
        <v>0.11611988028731994</v>
      </c>
      <c r="O39" t="s">
        <v>53</v>
      </c>
    </row>
    <row r="40" spans="2:15" x14ac:dyDescent="0.25">
      <c r="B40" t="s">
        <v>66</v>
      </c>
      <c r="C40" t="s">
        <v>58</v>
      </c>
      <c r="D40">
        <v>5.764538474429242E-3</v>
      </c>
      <c r="E40" t="s">
        <v>53</v>
      </c>
      <c r="G40" t="s">
        <v>81</v>
      </c>
      <c r="H40" t="s">
        <v>58</v>
      </c>
      <c r="I40">
        <v>5.6228356128637254E-2</v>
      </c>
      <c r="J40" t="s">
        <v>53</v>
      </c>
      <c r="L40" t="s">
        <v>94</v>
      </c>
      <c r="M40" t="s">
        <v>58</v>
      </c>
      <c r="N40">
        <v>7.4501968012569073E-2</v>
      </c>
      <c r="O40" t="s">
        <v>53</v>
      </c>
    </row>
    <row r="41" spans="2:15" x14ac:dyDescent="0.25">
      <c r="B41" t="s">
        <v>66</v>
      </c>
      <c r="C41" t="s">
        <v>59</v>
      </c>
      <c r="D41">
        <v>8.1171839972018749E-3</v>
      </c>
      <c r="E41" t="s">
        <v>53</v>
      </c>
      <c r="G41" t="s">
        <v>81</v>
      </c>
      <c r="H41" t="s">
        <v>59</v>
      </c>
      <c r="I41">
        <v>4.5460464615443959E-2</v>
      </c>
      <c r="J41" t="s">
        <v>53</v>
      </c>
      <c r="L41" t="s">
        <v>94</v>
      </c>
      <c r="M41" t="s">
        <v>59</v>
      </c>
      <c r="N41">
        <v>5.0389705047570878E-2</v>
      </c>
      <c r="O41" t="s">
        <v>53</v>
      </c>
    </row>
    <row r="42" spans="2:15" x14ac:dyDescent="0.25">
      <c r="B42" t="s">
        <v>66</v>
      </c>
      <c r="C42" t="s">
        <v>60</v>
      </c>
      <c r="D42">
        <v>0.33767751700986609</v>
      </c>
      <c r="E42" t="s">
        <v>53</v>
      </c>
      <c r="G42" t="s">
        <v>81</v>
      </c>
      <c r="H42" t="s">
        <v>60</v>
      </c>
      <c r="I42">
        <v>7.6122590300494827E-2</v>
      </c>
      <c r="J42" t="s">
        <v>53</v>
      </c>
      <c r="L42" t="s">
        <v>94</v>
      </c>
      <c r="M42" t="s">
        <v>60</v>
      </c>
      <c r="N42">
        <v>6.7907671256364668E-2</v>
      </c>
      <c r="O42" t="s">
        <v>53</v>
      </c>
    </row>
    <row r="43" spans="2:15" x14ac:dyDescent="0.25">
      <c r="B43" t="s">
        <v>66</v>
      </c>
      <c r="C43" t="s">
        <v>61</v>
      </c>
      <c r="D43">
        <v>1.1219540462719224E-2</v>
      </c>
      <c r="E43" t="s">
        <v>53</v>
      </c>
      <c r="G43" t="s">
        <v>81</v>
      </c>
      <c r="H43" t="s">
        <v>61</v>
      </c>
      <c r="I43">
        <v>3.2434909792549045E-2</v>
      </c>
      <c r="J43" t="s">
        <v>53</v>
      </c>
      <c r="L43" t="s">
        <v>94</v>
      </c>
      <c r="M43" t="s">
        <v>61</v>
      </c>
      <c r="N43">
        <v>4.9608073237358469E-2</v>
      </c>
      <c r="O43" t="s">
        <v>53</v>
      </c>
    </row>
    <row r="44" spans="2:15" x14ac:dyDescent="0.25">
      <c r="B44" t="s">
        <v>66</v>
      </c>
      <c r="C44" t="s">
        <v>62</v>
      </c>
      <c r="D44">
        <v>1.0266323568596332E-3</v>
      </c>
      <c r="E44" t="s">
        <v>53</v>
      </c>
      <c r="G44" t="s">
        <v>81</v>
      </c>
      <c r="H44" t="s">
        <v>62</v>
      </c>
      <c r="I44">
        <v>9.1319836182769329E-2</v>
      </c>
      <c r="J44" t="s">
        <v>53</v>
      </c>
      <c r="L44" t="s">
        <v>94</v>
      </c>
      <c r="M44" t="s">
        <v>62</v>
      </c>
      <c r="N44">
        <v>8.6145201379565883E-2</v>
      </c>
      <c r="O44" t="s">
        <v>53</v>
      </c>
    </row>
    <row r="45" spans="2:15" x14ac:dyDescent="0.25">
      <c r="B45" t="s">
        <v>66</v>
      </c>
      <c r="C45" t="s">
        <v>63</v>
      </c>
      <c r="D45">
        <v>0.20108854818867758</v>
      </c>
      <c r="E45" t="s">
        <v>53</v>
      </c>
      <c r="G45" t="s">
        <v>81</v>
      </c>
      <c r="H45" t="s">
        <v>63</v>
      </c>
      <c r="I45">
        <v>0.13108550800837987</v>
      </c>
      <c r="J45" t="s">
        <v>53</v>
      </c>
      <c r="L45" t="s">
        <v>94</v>
      </c>
      <c r="M45" t="s">
        <v>63</v>
      </c>
      <c r="N45">
        <v>0.10859852910663317</v>
      </c>
      <c r="O45" t="s">
        <v>53</v>
      </c>
    </row>
    <row r="46" spans="2:15" x14ac:dyDescent="0.25">
      <c r="B46" t="s">
        <v>66</v>
      </c>
      <c r="C46" t="s">
        <v>64</v>
      </c>
      <c r="D46">
        <v>9.6991008143360122E-4</v>
      </c>
      <c r="E46" t="s">
        <v>53</v>
      </c>
      <c r="G46" t="s">
        <v>81</v>
      </c>
      <c r="H46" t="s">
        <v>64</v>
      </c>
      <c r="I46">
        <v>6.7452776792855607E-2</v>
      </c>
      <c r="J46" t="s">
        <v>53</v>
      </c>
      <c r="L46" t="s">
        <v>94</v>
      </c>
      <c r="M46" t="s">
        <v>64</v>
      </c>
      <c r="N46">
        <v>6.8464457435553155E-2</v>
      </c>
      <c r="O46" t="s">
        <v>53</v>
      </c>
    </row>
    <row r="47" spans="2:15" x14ac:dyDescent="0.25">
      <c r="B47" t="s">
        <v>67</v>
      </c>
      <c r="C47" t="s">
        <v>52</v>
      </c>
      <c r="D47">
        <v>0</v>
      </c>
      <c r="E47" t="s">
        <v>53</v>
      </c>
      <c r="G47" t="s">
        <v>82</v>
      </c>
      <c r="H47" t="s">
        <v>52</v>
      </c>
      <c r="I47">
        <v>0.10481508117357118</v>
      </c>
      <c r="J47" t="s">
        <v>53</v>
      </c>
      <c r="L47" t="s">
        <v>95</v>
      </c>
      <c r="M47" t="s">
        <v>52</v>
      </c>
      <c r="N47">
        <v>9.5959321302887424E-2</v>
      </c>
      <c r="O47" t="s">
        <v>53</v>
      </c>
    </row>
    <row r="48" spans="2:15" x14ac:dyDescent="0.25">
      <c r="B48" t="s">
        <v>67</v>
      </c>
      <c r="C48" t="s">
        <v>54</v>
      </c>
      <c r="D48">
        <v>0.15279758489040243</v>
      </c>
      <c r="E48" t="s">
        <v>53</v>
      </c>
      <c r="G48" t="s">
        <v>82</v>
      </c>
      <c r="H48" t="s">
        <v>54</v>
      </c>
      <c r="I48">
        <v>0.11852724910523642</v>
      </c>
      <c r="J48" t="s">
        <v>53</v>
      </c>
      <c r="L48" t="s">
        <v>95</v>
      </c>
      <c r="M48" t="s">
        <v>54</v>
      </c>
      <c r="N48">
        <v>0.11240955691906215</v>
      </c>
      <c r="O48" t="s">
        <v>53</v>
      </c>
    </row>
    <row r="49" spans="2:15" x14ac:dyDescent="0.25">
      <c r="B49" t="s">
        <v>67</v>
      </c>
      <c r="C49" t="s">
        <v>55</v>
      </c>
      <c r="D49">
        <v>9.0453138521663374E-5</v>
      </c>
      <c r="E49" t="s">
        <v>53</v>
      </c>
      <c r="G49" t="s">
        <v>82</v>
      </c>
      <c r="H49" t="s">
        <v>55</v>
      </c>
      <c r="I49">
        <v>7.435279605342518E-2</v>
      </c>
      <c r="J49" t="s">
        <v>53</v>
      </c>
      <c r="L49" t="s">
        <v>95</v>
      </c>
      <c r="M49" t="s">
        <v>55</v>
      </c>
      <c r="N49">
        <v>7.4528146379468863E-2</v>
      </c>
      <c r="O49" t="s">
        <v>53</v>
      </c>
    </row>
    <row r="50" spans="2:15" x14ac:dyDescent="0.25">
      <c r="B50" t="s">
        <v>67</v>
      </c>
      <c r="C50" t="s">
        <v>56</v>
      </c>
      <c r="D50">
        <v>4.6760822965582196E-3</v>
      </c>
      <c r="E50" t="s">
        <v>53</v>
      </c>
      <c r="G50" t="s">
        <v>82</v>
      </c>
      <c r="H50" t="s">
        <v>56</v>
      </c>
      <c r="I50">
        <v>9.175964356573732E-2</v>
      </c>
      <c r="J50" t="s">
        <v>53</v>
      </c>
      <c r="L50" t="s">
        <v>95</v>
      </c>
      <c r="M50" t="s">
        <v>56</v>
      </c>
      <c r="N50">
        <v>8.9855674513443909E-2</v>
      </c>
      <c r="O50" t="s">
        <v>53</v>
      </c>
    </row>
    <row r="51" spans="2:15" x14ac:dyDescent="0.25">
      <c r="B51" t="s">
        <v>67</v>
      </c>
      <c r="C51" t="s">
        <v>57</v>
      </c>
      <c r="D51">
        <v>0.26915062271352946</v>
      </c>
      <c r="E51" t="s">
        <v>53</v>
      </c>
      <c r="G51" t="s">
        <v>82</v>
      </c>
      <c r="H51" t="s">
        <v>57</v>
      </c>
      <c r="I51">
        <v>0.10081365483293181</v>
      </c>
      <c r="J51" t="s">
        <v>53</v>
      </c>
      <c r="L51" t="s">
        <v>95</v>
      </c>
      <c r="M51" t="s">
        <v>57</v>
      </c>
      <c r="N51">
        <v>0.11206012405455862</v>
      </c>
      <c r="O51" t="s">
        <v>53</v>
      </c>
    </row>
    <row r="52" spans="2:15" x14ac:dyDescent="0.25">
      <c r="B52" t="s">
        <v>67</v>
      </c>
      <c r="C52" t="s">
        <v>58</v>
      </c>
      <c r="D52">
        <v>5.7697731583842386E-3</v>
      </c>
      <c r="E52" t="s">
        <v>53</v>
      </c>
      <c r="G52" t="s">
        <v>82</v>
      </c>
      <c r="H52" t="s">
        <v>58</v>
      </c>
      <c r="I52">
        <v>6.6659589602243316E-2</v>
      </c>
      <c r="J52" t="s">
        <v>53</v>
      </c>
      <c r="L52" t="s">
        <v>95</v>
      </c>
      <c r="M52" t="s">
        <v>58</v>
      </c>
      <c r="N52">
        <v>7.1621552997073512E-2</v>
      </c>
      <c r="O52" t="s">
        <v>53</v>
      </c>
    </row>
    <row r="53" spans="2:15" x14ac:dyDescent="0.25">
      <c r="B53" t="s">
        <v>67</v>
      </c>
      <c r="C53" t="s">
        <v>59</v>
      </c>
      <c r="D53">
        <v>9.4380464496960394E-3</v>
      </c>
      <c r="E53" t="s">
        <v>53</v>
      </c>
      <c r="G53" t="s">
        <v>82</v>
      </c>
      <c r="H53" t="s">
        <v>59</v>
      </c>
      <c r="I53">
        <v>6.0717638224435502E-2</v>
      </c>
      <c r="J53" t="s">
        <v>53</v>
      </c>
      <c r="L53" t="s">
        <v>95</v>
      </c>
      <c r="M53" t="s">
        <v>59</v>
      </c>
      <c r="N53">
        <v>5.226058510597701E-2</v>
      </c>
      <c r="O53" t="s">
        <v>53</v>
      </c>
    </row>
    <row r="54" spans="2:15" x14ac:dyDescent="0.25">
      <c r="B54" t="s">
        <v>67</v>
      </c>
      <c r="C54" t="s">
        <v>60</v>
      </c>
      <c r="D54">
        <v>0.35150582020295307</v>
      </c>
      <c r="E54" t="s">
        <v>53</v>
      </c>
      <c r="G54" t="s">
        <v>82</v>
      </c>
      <c r="H54" t="s">
        <v>60</v>
      </c>
      <c r="I54">
        <v>5.3215813558776651E-2</v>
      </c>
      <c r="J54" t="s">
        <v>53</v>
      </c>
      <c r="L54" t="s">
        <v>95</v>
      </c>
      <c r="M54" t="s">
        <v>60</v>
      </c>
      <c r="N54">
        <v>7.3463434722508339E-2</v>
      </c>
      <c r="O54" t="s">
        <v>53</v>
      </c>
    </row>
    <row r="55" spans="2:15" x14ac:dyDescent="0.25">
      <c r="B55" t="s">
        <v>67</v>
      </c>
      <c r="C55" t="s">
        <v>61</v>
      </c>
      <c r="D55">
        <v>1.1322037007547355E-2</v>
      </c>
      <c r="E55" t="s">
        <v>53</v>
      </c>
      <c r="G55" t="s">
        <v>82</v>
      </c>
      <c r="H55" t="s">
        <v>61</v>
      </c>
      <c r="I55">
        <v>3.0788837826434927E-2</v>
      </c>
      <c r="J55" t="s">
        <v>53</v>
      </c>
      <c r="L55" t="s">
        <v>95</v>
      </c>
      <c r="M55" t="s">
        <v>61</v>
      </c>
      <c r="N55">
        <v>5.8379762043654609E-2</v>
      </c>
      <c r="O55" t="s">
        <v>53</v>
      </c>
    </row>
    <row r="56" spans="2:15" x14ac:dyDescent="0.25">
      <c r="B56" t="s">
        <v>67</v>
      </c>
      <c r="C56" t="s">
        <v>62</v>
      </c>
      <c r="D56">
        <v>1.093202181636092E-3</v>
      </c>
      <c r="E56" t="s">
        <v>53</v>
      </c>
      <c r="G56" t="s">
        <v>82</v>
      </c>
      <c r="H56" t="s">
        <v>62</v>
      </c>
      <c r="I56">
        <v>9.7936378602442697E-2</v>
      </c>
      <c r="J56" t="s">
        <v>53</v>
      </c>
      <c r="L56" t="s">
        <v>95</v>
      </c>
      <c r="M56" t="s">
        <v>62</v>
      </c>
      <c r="N56">
        <v>8.6610928132458812E-2</v>
      </c>
      <c r="O56" t="s">
        <v>53</v>
      </c>
    </row>
    <row r="57" spans="2:15" x14ac:dyDescent="0.25">
      <c r="B57" t="s">
        <v>67</v>
      </c>
      <c r="C57" t="s">
        <v>63</v>
      </c>
      <c r="D57">
        <v>0.19325914140349601</v>
      </c>
      <c r="E57" t="s">
        <v>53</v>
      </c>
      <c r="G57" t="s">
        <v>82</v>
      </c>
      <c r="H57" t="s">
        <v>63</v>
      </c>
      <c r="I57">
        <v>0.1243159214207895</v>
      </c>
      <c r="J57" t="s">
        <v>53</v>
      </c>
      <c r="L57" t="s">
        <v>95</v>
      </c>
      <c r="M57" t="s">
        <v>63</v>
      </c>
      <c r="N57">
        <v>0.1050737963898437</v>
      </c>
      <c r="O57" t="s">
        <v>53</v>
      </c>
    </row>
    <row r="58" spans="2:15" x14ac:dyDescent="0.25">
      <c r="B58" t="s">
        <v>67</v>
      </c>
      <c r="C58" t="s">
        <v>64</v>
      </c>
      <c r="D58">
        <v>8.9723655727997546E-4</v>
      </c>
      <c r="E58" t="s">
        <v>53</v>
      </c>
      <c r="G58" t="s">
        <v>82</v>
      </c>
      <c r="H58" t="s">
        <v>64</v>
      </c>
      <c r="I58">
        <v>7.6097396033974488E-2</v>
      </c>
      <c r="J58" t="s">
        <v>53</v>
      </c>
      <c r="L58" t="s">
        <v>95</v>
      </c>
      <c r="M58" t="s">
        <v>64</v>
      </c>
      <c r="N58">
        <v>6.7777117439064116E-2</v>
      </c>
      <c r="O58" t="s">
        <v>53</v>
      </c>
    </row>
    <row r="59" spans="2:15" x14ac:dyDescent="0.25">
      <c r="B59" t="s">
        <v>68</v>
      </c>
      <c r="C59" t="s">
        <v>52</v>
      </c>
      <c r="D59">
        <v>0</v>
      </c>
      <c r="E59" t="s">
        <v>53</v>
      </c>
      <c r="G59" t="s">
        <v>83</v>
      </c>
      <c r="H59" t="s">
        <v>52</v>
      </c>
      <c r="I59">
        <v>0.10919111628777586</v>
      </c>
      <c r="J59" t="s">
        <v>53</v>
      </c>
      <c r="L59" t="s">
        <v>96</v>
      </c>
      <c r="M59" t="s">
        <v>52</v>
      </c>
      <c r="N59">
        <v>8.977144779570935E-2</v>
      </c>
      <c r="O59" t="s">
        <v>53</v>
      </c>
    </row>
    <row r="60" spans="2:15" x14ac:dyDescent="0.25">
      <c r="B60" t="s">
        <v>68</v>
      </c>
      <c r="C60" t="s">
        <v>54</v>
      </c>
      <c r="D60">
        <v>0.14592400793424126</v>
      </c>
      <c r="E60" t="s">
        <v>53</v>
      </c>
      <c r="G60" t="s">
        <v>83</v>
      </c>
      <c r="H60" t="s">
        <v>54</v>
      </c>
      <c r="I60">
        <v>0.1222463819253338</v>
      </c>
      <c r="J60" t="s">
        <v>53</v>
      </c>
      <c r="L60" t="s">
        <v>96</v>
      </c>
      <c r="M60" t="s">
        <v>54</v>
      </c>
      <c r="N60">
        <v>0.11170609054912126</v>
      </c>
      <c r="O60" t="s">
        <v>53</v>
      </c>
    </row>
    <row r="61" spans="2:15" x14ac:dyDescent="0.25">
      <c r="B61" t="s">
        <v>68</v>
      </c>
      <c r="C61" t="s">
        <v>55</v>
      </c>
      <c r="D61">
        <v>6.1017801079035994E-5</v>
      </c>
      <c r="E61" t="s">
        <v>53</v>
      </c>
      <c r="G61" t="s">
        <v>83</v>
      </c>
      <c r="H61" t="s">
        <v>55</v>
      </c>
      <c r="I61">
        <v>7.4504588354092016E-2</v>
      </c>
      <c r="J61" t="s">
        <v>53</v>
      </c>
      <c r="L61" t="s">
        <v>96</v>
      </c>
      <c r="M61" t="s">
        <v>55</v>
      </c>
      <c r="N61">
        <v>7.067577242399696E-2</v>
      </c>
      <c r="O61" t="s">
        <v>53</v>
      </c>
    </row>
    <row r="62" spans="2:15" x14ac:dyDescent="0.25">
      <c r="B62" t="s">
        <v>68</v>
      </c>
      <c r="C62" t="s">
        <v>56</v>
      </c>
      <c r="D62">
        <v>5.0986231357105383E-3</v>
      </c>
      <c r="E62" t="s">
        <v>53</v>
      </c>
      <c r="G62" t="s">
        <v>83</v>
      </c>
      <c r="H62" t="s">
        <v>56</v>
      </c>
      <c r="I62">
        <v>8.3578814769838666E-2</v>
      </c>
      <c r="J62" t="s">
        <v>53</v>
      </c>
      <c r="L62" t="s">
        <v>96</v>
      </c>
      <c r="M62" t="s">
        <v>56</v>
      </c>
      <c r="N62">
        <v>9.4443693448955743E-2</v>
      </c>
      <c r="O62" t="s">
        <v>53</v>
      </c>
    </row>
    <row r="63" spans="2:15" x14ac:dyDescent="0.25">
      <c r="B63" t="s">
        <v>68</v>
      </c>
      <c r="C63" t="s">
        <v>57</v>
      </c>
      <c r="D63">
        <v>0.27633667552269298</v>
      </c>
      <c r="E63" t="s">
        <v>53</v>
      </c>
      <c r="G63" t="s">
        <v>83</v>
      </c>
      <c r="H63" t="s">
        <v>57</v>
      </c>
      <c r="I63">
        <v>0.13052812625041366</v>
      </c>
      <c r="J63" t="s">
        <v>53</v>
      </c>
      <c r="L63" t="s">
        <v>96</v>
      </c>
      <c r="M63" t="s">
        <v>57</v>
      </c>
      <c r="N63">
        <v>0.11171708789577278</v>
      </c>
      <c r="O63" t="s">
        <v>53</v>
      </c>
    </row>
    <row r="64" spans="2:15" x14ac:dyDescent="0.25">
      <c r="B64" t="s">
        <v>68</v>
      </c>
      <c r="C64" t="s">
        <v>58</v>
      </c>
      <c r="D64">
        <v>5.5896013468731513E-3</v>
      </c>
      <c r="E64" t="s">
        <v>53</v>
      </c>
      <c r="G64" t="s">
        <v>83</v>
      </c>
      <c r="H64" t="s">
        <v>58</v>
      </c>
      <c r="I64">
        <v>6.2805391558490825E-2</v>
      </c>
      <c r="J64" t="s">
        <v>53</v>
      </c>
      <c r="L64" t="s">
        <v>96</v>
      </c>
      <c r="M64" t="s">
        <v>58</v>
      </c>
      <c r="N64">
        <v>8.0443899765821822E-2</v>
      </c>
      <c r="O64" t="s">
        <v>53</v>
      </c>
    </row>
    <row r="65" spans="2:15" x14ac:dyDescent="0.25">
      <c r="B65" t="s">
        <v>68</v>
      </c>
      <c r="C65" t="s">
        <v>59</v>
      </c>
      <c r="D65">
        <v>1.0030682850728462E-2</v>
      </c>
      <c r="E65" t="s">
        <v>53</v>
      </c>
      <c r="G65" t="s">
        <v>83</v>
      </c>
      <c r="H65" t="s">
        <v>59</v>
      </c>
      <c r="I65">
        <v>4.3739972790853079E-2</v>
      </c>
      <c r="J65" t="s">
        <v>53</v>
      </c>
      <c r="L65" t="s">
        <v>96</v>
      </c>
      <c r="M65" t="s">
        <v>59</v>
      </c>
      <c r="N65">
        <v>5.6720296833164943E-2</v>
      </c>
      <c r="O65" t="s">
        <v>53</v>
      </c>
    </row>
    <row r="66" spans="2:15" x14ac:dyDescent="0.25">
      <c r="B66" t="s">
        <v>68</v>
      </c>
      <c r="C66" t="s">
        <v>60</v>
      </c>
      <c r="D66">
        <v>0.34974853225612523</v>
      </c>
      <c r="E66" t="s">
        <v>53</v>
      </c>
      <c r="G66" t="s">
        <v>83</v>
      </c>
      <c r="H66" t="s">
        <v>60</v>
      </c>
      <c r="I66">
        <v>8.5454727117330154E-2</v>
      </c>
      <c r="J66" t="s">
        <v>53</v>
      </c>
      <c r="L66" t="s">
        <v>96</v>
      </c>
      <c r="M66" t="s">
        <v>60</v>
      </c>
      <c r="N66">
        <v>7.093990707547515E-2</v>
      </c>
      <c r="O66" t="s">
        <v>53</v>
      </c>
    </row>
    <row r="67" spans="2:15" x14ac:dyDescent="0.25">
      <c r="B67" t="s">
        <v>68</v>
      </c>
      <c r="C67" t="s">
        <v>61</v>
      </c>
      <c r="D67">
        <v>1.0747570253043263E-2</v>
      </c>
      <c r="E67" t="s">
        <v>53</v>
      </c>
      <c r="G67" t="s">
        <v>83</v>
      </c>
      <c r="H67" t="s">
        <v>61</v>
      </c>
      <c r="I67">
        <v>3.800499326092735E-2</v>
      </c>
      <c r="J67" t="s">
        <v>53</v>
      </c>
      <c r="L67" t="s">
        <v>96</v>
      </c>
      <c r="M67" t="s">
        <v>61</v>
      </c>
      <c r="N67">
        <v>6.1628308744966602E-2</v>
      </c>
      <c r="O67" t="s">
        <v>53</v>
      </c>
    </row>
    <row r="68" spans="2:15" x14ac:dyDescent="0.25">
      <c r="B68" t="s">
        <v>68</v>
      </c>
      <c r="C68" t="s">
        <v>62</v>
      </c>
      <c r="D68">
        <v>1.2680701139446999E-3</v>
      </c>
      <c r="E68" t="s">
        <v>53</v>
      </c>
      <c r="G68" t="s">
        <v>83</v>
      </c>
      <c r="H68" t="s">
        <v>62</v>
      </c>
      <c r="I68">
        <v>8.0519342087379278E-2</v>
      </c>
      <c r="J68" t="s">
        <v>53</v>
      </c>
      <c r="L68" t="s">
        <v>96</v>
      </c>
      <c r="M68" t="s">
        <v>62</v>
      </c>
      <c r="N68">
        <v>8.0819353265796826E-2</v>
      </c>
      <c r="O68" t="s">
        <v>53</v>
      </c>
    </row>
    <row r="69" spans="2:15" x14ac:dyDescent="0.25">
      <c r="B69" t="s">
        <v>68</v>
      </c>
      <c r="C69" t="s">
        <v>63</v>
      </c>
      <c r="D69">
        <v>0.19438366590574019</v>
      </c>
      <c r="E69" t="s">
        <v>53</v>
      </c>
      <c r="G69" t="s">
        <v>83</v>
      </c>
      <c r="H69" t="s">
        <v>63</v>
      </c>
      <c r="I69">
        <v>0.10950578918664117</v>
      </c>
      <c r="J69" t="s">
        <v>53</v>
      </c>
      <c r="L69" t="s">
        <v>96</v>
      </c>
      <c r="M69" t="s">
        <v>63</v>
      </c>
      <c r="N69">
        <v>9.9266185603673812E-2</v>
      </c>
      <c r="O69" t="s">
        <v>53</v>
      </c>
    </row>
    <row r="70" spans="2:15" x14ac:dyDescent="0.25">
      <c r="B70" t="s">
        <v>68</v>
      </c>
      <c r="C70" t="s">
        <v>64</v>
      </c>
      <c r="D70">
        <v>8.1155287982052709E-4</v>
      </c>
      <c r="E70" t="s">
        <v>53</v>
      </c>
      <c r="G70" t="s">
        <v>83</v>
      </c>
      <c r="H70" t="s">
        <v>64</v>
      </c>
      <c r="I70">
        <v>5.9920756410924911E-2</v>
      </c>
      <c r="J70" t="s">
        <v>53</v>
      </c>
      <c r="L70" t="s">
        <v>96</v>
      </c>
      <c r="M70" t="s">
        <v>64</v>
      </c>
      <c r="N70">
        <v>7.1867956597544122E-2</v>
      </c>
      <c r="O70" t="s">
        <v>53</v>
      </c>
    </row>
    <row r="71" spans="2:15" x14ac:dyDescent="0.25">
      <c r="B71" t="s">
        <v>69</v>
      </c>
      <c r="C71" t="s">
        <v>52</v>
      </c>
      <c r="D71">
        <v>0</v>
      </c>
      <c r="E71" t="s">
        <v>53</v>
      </c>
      <c r="G71" t="s">
        <v>84</v>
      </c>
      <c r="H71" t="s">
        <v>52</v>
      </c>
      <c r="I71">
        <v>0.1226831827299594</v>
      </c>
      <c r="J71" t="s">
        <v>53</v>
      </c>
      <c r="L71" t="s">
        <v>97</v>
      </c>
      <c r="M71" t="s">
        <v>52</v>
      </c>
      <c r="N71">
        <v>8.9860565838286124E-2</v>
      </c>
      <c r="O71" t="s">
        <v>53</v>
      </c>
    </row>
    <row r="72" spans="2:15" x14ac:dyDescent="0.25">
      <c r="B72" t="s">
        <v>69</v>
      </c>
      <c r="C72" t="s">
        <v>54</v>
      </c>
      <c r="D72">
        <v>0.15735227573036328</v>
      </c>
      <c r="E72" t="s">
        <v>53</v>
      </c>
      <c r="G72" t="s">
        <v>84</v>
      </c>
      <c r="H72" t="s">
        <v>54</v>
      </c>
      <c r="I72">
        <v>0.12586777667722432</v>
      </c>
      <c r="J72" t="s">
        <v>53</v>
      </c>
      <c r="L72" t="s">
        <v>97</v>
      </c>
      <c r="M72" t="s">
        <v>54</v>
      </c>
      <c r="N72">
        <v>0.11229886026388097</v>
      </c>
      <c r="O72" t="s">
        <v>53</v>
      </c>
    </row>
    <row r="73" spans="2:15" x14ac:dyDescent="0.25">
      <c r="B73" t="s">
        <v>69</v>
      </c>
      <c r="C73" t="s">
        <v>55</v>
      </c>
      <c r="D73">
        <v>7.8052282445526566E-5</v>
      </c>
      <c r="E73" t="s">
        <v>53</v>
      </c>
      <c r="G73" t="s">
        <v>84</v>
      </c>
      <c r="H73" t="s">
        <v>55</v>
      </c>
      <c r="I73">
        <v>8.5260115492277411E-2</v>
      </c>
      <c r="J73" t="s">
        <v>53</v>
      </c>
      <c r="L73" t="s">
        <v>97</v>
      </c>
      <c r="M73" t="s">
        <v>55</v>
      </c>
      <c r="N73">
        <v>6.7600232481227665E-2</v>
      </c>
      <c r="O73" t="s">
        <v>53</v>
      </c>
    </row>
    <row r="74" spans="2:15" x14ac:dyDescent="0.25">
      <c r="B74" t="s">
        <v>69</v>
      </c>
      <c r="C74" t="s">
        <v>56</v>
      </c>
      <c r="D74">
        <v>5.1386174474797085E-3</v>
      </c>
      <c r="E74" t="s">
        <v>53</v>
      </c>
      <c r="G74" t="s">
        <v>84</v>
      </c>
      <c r="H74" t="s">
        <v>56</v>
      </c>
      <c r="I74">
        <v>8.7229461391318167E-2</v>
      </c>
      <c r="J74" t="s">
        <v>53</v>
      </c>
      <c r="L74" t="s">
        <v>97</v>
      </c>
      <c r="M74" t="s">
        <v>56</v>
      </c>
      <c r="N74">
        <v>9.8718973828454404E-2</v>
      </c>
      <c r="O74" t="s">
        <v>53</v>
      </c>
    </row>
    <row r="75" spans="2:15" x14ac:dyDescent="0.25">
      <c r="B75" t="s">
        <v>69</v>
      </c>
      <c r="C75" t="s">
        <v>57</v>
      </c>
      <c r="D75">
        <v>0.27214251614306939</v>
      </c>
      <c r="E75" t="s">
        <v>53</v>
      </c>
      <c r="G75" t="s">
        <v>84</v>
      </c>
      <c r="H75" t="s">
        <v>57</v>
      </c>
      <c r="I75">
        <v>0.1092193702816158</v>
      </c>
      <c r="J75" t="s">
        <v>53</v>
      </c>
      <c r="L75" t="s">
        <v>97</v>
      </c>
      <c r="M75" t="s">
        <v>57</v>
      </c>
      <c r="N75">
        <v>0.11009006944004482</v>
      </c>
      <c r="O75" t="s">
        <v>53</v>
      </c>
    </row>
    <row r="76" spans="2:15" x14ac:dyDescent="0.25">
      <c r="B76" t="s">
        <v>69</v>
      </c>
      <c r="C76" t="s">
        <v>58</v>
      </c>
      <c r="D76">
        <v>5.2315359528095342E-3</v>
      </c>
      <c r="E76" t="s">
        <v>53</v>
      </c>
      <c r="G76" t="s">
        <v>84</v>
      </c>
      <c r="H76" t="s">
        <v>58</v>
      </c>
      <c r="I76">
        <v>5.818672808842875E-2</v>
      </c>
      <c r="J76" t="s">
        <v>53</v>
      </c>
      <c r="L76" t="s">
        <v>97</v>
      </c>
      <c r="M76" t="s">
        <v>58</v>
      </c>
      <c r="N76">
        <v>8.7370681178702711E-2</v>
      </c>
      <c r="O76" t="s">
        <v>53</v>
      </c>
    </row>
    <row r="77" spans="2:15" x14ac:dyDescent="0.25">
      <c r="B77" t="s">
        <v>69</v>
      </c>
      <c r="C77" t="s">
        <v>59</v>
      </c>
      <c r="D77">
        <v>9.5920711657154819E-3</v>
      </c>
      <c r="E77" t="s">
        <v>53</v>
      </c>
      <c r="G77" t="s">
        <v>84</v>
      </c>
      <c r="H77" t="s">
        <v>59</v>
      </c>
      <c r="I77">
        <v>5.3464481103272274E-2</v>
      </c>
      <c r="J77" t="s">
        <v>53</v>
      </c>
      <c r="L77" t="s">
        <v>97</v>
      </c>
      <c r="M77" t="s">
        <v>59</v>
      </c>
      <c r="N77">
        <v>5.6449187752339147E-2</v>
      </c>
      <c r="O77" t="s">
        <v>53</v>
      </c>
    </row>
    <row r="78" spans="2:15" x14ac:dyDescent="0.25">
      <c r="B78" t="s">
        <v>69</v>
      </c>
      <c r="C78" t="s">
        <v>60</v>
      </c>
      <c r="D78">
        <v>0.33107907406981413</v>
      </c>
      <c r="E78" t="s">
        <v>53</v>
      </c>
      <c r="G78" t="s">
        <v>84</v>
      </c>
      <c r="H78" t="s">
        <v>60</v>
      </c>
      <c r="I78">
        <v>6.294771666240255E-2</v>
      </c>
      <c r="J78" t="s">
        <v>53</v>
      </c>
      <c r="L78" t="s">
        <v>97</v>
      </c>
      <c r="M78" t="s">
        <v>60</v>
      </c>
      <c r="N78">
        <v>6.5950429041758532E-2</v>
      </c>
      <c r="O78" t="s">
        <v>53</v>
      </c>
    </row>
    <row r="79" spans="2:15" x14ac:dyDescent="0.25">
      <c r="B79" t="s">
        <v>69</v>
      </c>
      <c r="C79" t="s">
        <v>61</v>
      </c>
      <c r="D79">
        <v>1.0082930124136821E-2</v>
      </c>
      <c r="E79" t="s">
        <v>53</v>
      </c>
      <c r="G79" t="s">
        <v>84</v>
      </c>
      <c r="H79" t="s">
        <v>61</v>
      </c>
      <c r="I79">
        <v>4.1954079470206192E-2</v>
      </c>
      <c r="J79" t="s">
        <v>53</v>
      </c>
      <c r="L79" t="s">
        <v>97</v>
      </c>
      <c r="M79" t="s">
        <v>61</v>
      </c>
      <c r="N79">
        <v>5.5115176522466419E-2</v>
      </c>
      <c r="O79" t="s">
        <v>53</v>
      </c>
    </row>
    <row r="80" spans="2:15" x14ac:dyDescent="0.25">
      <c r="B80" t="s">
        <v>69</v>
      </c>
      <c r="C80" t="s">
        <v>62</v>
      </c>
      <c r="D80">
        <v>1.4538444334215579E-3</v>
      </c>
      <c r="E80" t="s">
        <v>53</v>
      </c>
      <c r="G80" t="s">
        <v>84</v>
      </c>
      <c r="H80" t="s">
        <v>62</v>
      </c>
      <c r="I80">
        <v>8.8604090704085425E-2</v>
      </c>
      <c r="J80" t="s">
        <v>53</v>
      </c>
      <c r="L80" t="s">
        <v>97</v>
      </c>
      <c r="M80" t="s">
        <v>62</v>
      </c>
      <c r="N80">
        <v>8.0083989224333241E-2</v>
      </c>
      <c r="O80" t="s">
        <v>53</v>
      </c>
    </row>
    <row r="81" spans="2:15" x14ac:dyDescent="0.25">
      <c r="B81" t="s">
        <v>69</v>
      </c>
      <c r="C81" t="s">
        <v>63</v>
      </c>
      <c r="D81">
        <v>0.20706342951304157</v>
      </c>
      <c r="E81" t="s">
        <v>53</v>
      </c>
      <c r="G81" t="s">
        <v>84</v>
      </c>
      <c r="H81" t="s">
        <v>63</v>
      </c>
      <c r="I81">
        <v>9.8687044035541266E-2</v>
      </c>
      <c r="J81" t="s">
        <v>53</v>
      </c>
      <c r="L81" t="s">
        <v>97</v>
      </c>
      <c r="M81" t="s">
        <v>63</v>
      </c>
      <c r="N81">
        <v>0.10231171159846561</v>
      </c>
      <c r="O81" t="s">
        <v>53</v>
      </c>
    </row>
    <row r="82" spans="2:15" x14ac:dyDescent="0.25">
      <c r="B82" t="s">
        <v>69</v>
      </c>
      <c r="C82" t="s">
        <v>64</v>
      </c>
      <c r="D82">
        <v>7.8565313770040163E-4</v>
      </c>
      <c r="E82" t="s">
        <v>53</v>
      </c>
      <c r="G82" t="s">
        <v>84</v>
      </c>
      <c r="H82" t="s">
        <v>64</v>
      </c>
      <c r="I82">
        <v>6.5895953363669393E-2</v>
      </c>
      <c r="J82" t="s">
        <v>53</v>
      </c>
      <c r="L82" t="s">
        <v>97</v>
      </c>
      <c r="M82" t="s">
        <v>64</v>
      </c>
      <c r="N82">
        <v>7.415012283004184E-2</v>
      </c>
      <c r="O82" t="s">
        <v>53</v>
      </c>
    </row>
    <row r="83" spans="2:15" x14ac:dyDescent="0.25">
      <c r="B83" t="s">
        <v>70</v>
      </c>
      <c r="C83" t="s">
        <v>52</v>
      </c>
      <c r="D83">
        <v>0</v>
      </c>
      <c r="E83" t="s">
        <v>53</v>
      </c>
      <c r="G83" t="s">
        <v>85</v>
      </c>
      <c r="H83" t="s">
        <v>52</v>
      </c>
      <c r="I83">
        <v>0.1107762792603439</v>
      </c>
      <c r="J83" t="s">
        <v>53</v>
      </c>
      <c r="L83" t="s">
        <v>98</v>
      </c>
      <c r="M83" t="s">
        <v>52</v>
      </c>
      <c r="N83">
        <v>9.1038598914269478E-2</v>
      </c>
      <c r="O83" t="s">
        <v>53</v>
      </c>
    </row>
    <row r="84" spans="2:15" x14ac:dyDescent="0.25">
      <c r="B84" t="s">
        <v>70</v>
      </c>
      <c r="C84" t="s">
        <v>54</v>
      </c>
      <c r="D84">
        <v>0.14804359273227957</v>
      </c>
      <c r="E84" t="s">
        <v>53</v>
      </c>
      <c r="G84" t="s">
        <v>85</v>
      </c>
      <c r="H84" t="s">
        <v>54</v>
      </c>
      <c r="I84">
        <v>0.12288909507072882</v>
      </c>
      <c r="J84" t="s">
        <v>53</v>
      </c>
      <c r="L84" t="s">
        <v>98</v>
      </c>
      <c r="M84" t="s">
        <v>54</v>
      </c>
      <c r="N84">
        <v>0.11578650337155873</v>
      </c>
      <c r="O84" t="s">
        <v>53</v>
      </c>
    </row>
    <row r="85" spans="2:15" x14ac:dyDescent="0.25">
      <c r="B85" t="s">
        <v>70</v>
      </c>
      <c r="C85" t="s">
        <v>55</v>
      </c>
      <c r="D85">
        <v>2.7969341338435696E-5</v>
      </c>
      <c r="E85" t="s">
        <v>53</v>
      </c>
      <c r="G85" t="s">
        <v>85</v>
      </c>
      <c r="H85" t="s">
        <v>55</v>
      </c>
      <c r="I85">
        <v>7.6705706185730665E-2</v>
      </c>
      <c r="J85" t="s">
        <v>53</v>
      </c>
      <c r="L85" t="s">
        <v>98</v>
      </c>
      <c r="M85" t="s">
        <v>55</v>
      </c>
      <c r="N85">
        <v>6.7552474742311422E-2</v>
      </c>
      <c r="O85" t="s">
        <v>53</v>
      </c>
    </row>
    <row r="86" spans="2:15" x14ac:dyDescent="0.25">
      <c r="B86" t="s">
        <v>70</v>
      </c>
      <c r="C86" t="s">
        <v>56</v>
      </c>
      <c r="D86">
        <v>5.5683082800717168E-3</v>
      </c>
      <c r="E86" t="s">
        <v>53</v>
      </c>
      <c r="G86" t="s">
        <v>85</v>
      </c>
      <c r="H86" t="s">
        <v>56</v>
      </c>
      <c r="I86">
        <v>9.2023962390887004E-2</v>
      </c>
      <c r="J86" t="s">
        <v>53</v>
      </c>
      <c r="L86" t="s">
        <v>98</v>
      </c>
      <c r="M86" t="s">
        <v>56</v>
      </c>
      <c r="N86">
        <v>9.3427140890200225E-2</v>
      </c>
      <c r="O86" t="s">
        <v>53</v>
      </c>
    </row>
    <row r="87" spans="2:15" x14ac:dyDescent="0.25">
      <c r="B87" t="s">
        <v>70</v>
      </c>
      <c r="C87" t="s">
        <v>57</v>
      </c>
      <c r="D87">
        <v>0.27978634294432447</v>
      </c>
      <c r="E87" t="s">
        <v>53</v>
      </c>
      <c r="G87" t="s">
        <v>85</v>
      </c>
      <c r="H87" t="s">
        <v>57</v>
      </c>
      <c r="I87">
        <v>0.11719745801905065</v>
      </c>
      <c r="J87" t="s">
        <v>53</v>
      </c>
      <c r="L87" t="s">
        <v>98</v>
      </c>
      <c r="M87" t="s">
        <v>57</v>
      </c>
      <c r="N87">
        <v>0.11291984215508659</v>
      </c>
      <c r="O87" t="s">
        <v>53</v>
      </c>
    </row>
    <row r="88" spans="2:15" x14ac:dyDescent="0.25">
      <c r="B88" t="s">
        <v>70</v>
      </c>
      <c r="C88" t="s">
        <v>58</v>
      </c>
      <c r="D88">
        <v>5.2328949951693593E-3</v>
      </c>
      <c r="E88" t="s">
        <v>53</v>
      </c>
      <c r="G88" t="s">
        <v>85</v>
      </c>
      <c r="H88" t="s">
        <v>58</v>
      </c>
      <c r="I88">
        <v>6.7610366860970508E-2</v>
      </c>
      <c r="J88" t="s">
        <v>53</v>
      </c>
      <c r="L88" t="s">
        <v>98</v>
      </c>
      <c r="M88" t="s">
        <v>58</v>
      </c>
      <c r="N88">
        <v>8.044415527354952E-2</v>
      </c>
      <c r="O88" t="s">
        <v>53</v>
      </c>
    </row>
    <row r="89" spans="2:15" x14ac:dyDescent="0.25">
      <c r="B89" t="s">
        <v>70</v>
      </c>
      <c r="C89" t="s">
        <v>59</v>
      </c>
      <c r="D89">
        <v>1.0073214864146241E-2</v>
      </c>
      <c r="E89" t="s">
        <v>53</v>
      </c>
      <c r="G89" t="s">
        <v>85</v>
      </c>
      <c r="H89" t="s">
        <v>59</v>
      </c>
      <c r="I89">
        <v>3.9198991133327414E-2</v>
      </c>
      <c r="J89" t="s">
        <v>53</v>
      </c>
      <c r="L89" t="s">
        <v>98</v>
      </c>
      <c r="M89" t="s">
        <v>59</v>
      </c>
      <c r="N89">
        <v>4.0208687792786107E-2</v>
      </c>
      <c r="O89" t="s">
        <v>53</v>
      </c>
    </row>
    <row r="90" spans="2:15" x14ac:dyDescent="0.25">
      <c r="B90" t="s">
        <v>70</v>
      </c>
      <c r="C90" t="s">
        <v>60</v>
      </c>
      <c r="D90">
        <v>0.33343933786813551</v>
      </c>
      <c r="E90" t="s">
        <v>53</v>
      </c>
      <c r="G90" t="s">
        <v>85</v>
      </c>
      <c r="H90" t="s">
        <v>60</v>
      </c>
      <c r="I90">
        <v>7.1032616184155351E-2</v>
      </c>
      <c r="J90" t="s">
        <v>53</v>
      </c>
      <c r="L90" t="s">
        <v>98</v>
      </c>
      <c r="M90" t="s">
        <v>60</v>
      </c>
      <c r="N90">
        <v>7.6331729729324407E-2</v>
      </c>
      <c r="O90" t="s">
        <v>53</v>
      </c>
    </row>
    <row r="91" spans="2:15" x14ac:dyDescent="0.25">
      <c r="B91" t="s">
        <v>70</v>
      </c>
      <c r="C91" t="s">
        <v>61</v>
      </c>
      <c r="D91">
        <v>9.9439117272700443E-3</v>
      </c>
      <c r="E91" t="s">
        <v>53</v>
      </c>
      <c r="G91" t="s">
        <v>85</v>
      </c>
      <c r="H91" t="s">
        <v>61</v>
      </c>
      <c r="I91">
        <v>3.7922272124644621E-2</v>
      </c>
      <c r="J91" t="s">
        <v>53</v>
      </c>
      <c r="L91" t="s">
        <v>98</v>
      </c>
      <c r="M91" t="s">
        <v>61</v>
      </c>
      <c r="N91">
        <v>5.555365748009624E-2</v>
      </c>
      <c r="O91" t="s">
        <v>53</v>
      </c>
    </row>
    <row r="92" spans="2:15" x14ac:dyDescent="0.25">
      <c r="B92" t="s">
        <v>70</v>
      </c>
      <c r="C92" t="s">
        <v>62</v>
      </c>
      <c r="D92">
        <v>1.5641642572637351E-3</v>
      </c>
      <c r="E92" t="s">
        <v>53</v>
      </c>
      <c r="G92" t="s">
        <v>85</v>
      </c>
      <c r="H92" t="s">
        <v>62</v>
      </c>
      <c r="I92">
        <v>8.9030569348411956E-2</v>
      </c>
      <c r="J92" t="s">
        <v>53</v>
      </c>
      <c r="L92" t="s">
        <v>98</v>
      </c>
      <c r="M92" t="s">
        <v>62</v>
      </c>
      <c r="N92">
        <v>8.7603147839041384E-2</v>
      </c>
      <c r="O92" t="s">
        <v>53</v>
      </c>
    </row>
    <row r="93" spans="2:15" x14ac:dyDescent="0.25">
      <c r="B93" t="s">
        <v>70</v>
      </c>
      <c r="C93" t="s">
        <v>63</v>
      </c>
      <c r="D93">
        <v>0.20557980683121793</v>
      </c>
      <c r="E93" t="s">
        <v>53</v>
      </c>
      <c r="G93" t="s">
        <v>85</v>
      </c>
      <c r="H93" t="s">
        <v>63</v>
      </c>
      <c r="I93">
        <v>0.1075903364637401</v>
      </c>
      <c r="J93" t="s">
        <v>53</v>
      </c>
      <c r="L93" t="s">
        <v>98</v>
      </c>
      <c r="M93" t="s">
        <v>63</v>
      </c>
      <c r="N93">
        <v>0.11182131358185086</v>
      </c>
      <c r="O93" t="s">
        <v>53</v>
      </c>
    </row>
    <row r="94" spans="2:15" x14ac:dyDescent="0.25">
      <c r="B94" t="s">
        <v>70</v>
      </c>
      <c r="C94" t="s">
        <v>64</v>
      </c>
      <c r="D94">
        <v>7.4045615878369432E-4</v>
      </c>
      <c r="E94" t="s">
        <v>53</v>
      </c>
      <c r="G94" t="s">
        <v>85</v>
      </c>
      <c r="H94" t="s">
        <v>64</v>
      </c>
      <c r="I94">
        <v>6.8022346958006477E-2</v>
      </c>
      <c r="J94" t="s">
        <v>53</v>
      </c>
      <c r="L94" t="s">
        <v>98</v>
      </c>
      <c r="M94" t="s">
        <v>64</v>
      </c>
      <c r="N94">
        <v>6.7312748229921837E-2</v>
      </c>
      <c r="O94" t="s">
        <v>53</v>
      </c>
    </row>
    <row r="95" spans="2:15" x14ac:dyDescent="0.25">
      <c r="B95" t="s">
        <v>71</v>
      </c>
      <c r="C95" t="s">
        <v>52</v>
      </c>
      <c r="D95">
        <v>0</v>
      </c>
      <c r="E95" t="s">
        <v>53</v>
      </c>
      <c r="G95" t="s">
        <v>86</v>
      </c>
      <c r="H95" t="s">
        <v>52</v>
      </c>
      <c r="I95">
        <v>0.11158852116834178</v>
      </c>
      <c r="J95" t="s">
        <v>53</v>
      </c>
      <c r="L95" t="s">
        <v>99</v>
      </c>
      <c r="M95" t="s">
        <v>52</v>
      </c>
      <c r="N95">
        <v>8.4444836964081157E-2</v>
      </c>
      <c r="O95" t="s">
        <v>53</v>
      </c>
    </row>
    <row r="96" spans="2:15" x14ac:dyDescent="0.25">
      <c r="B96" t="s">
        <v>71</v>
      </c>
      <c r="C96" t="s">
        <v>54</v>
      </c>
      <c r="D96">
        <v>0.14037463189160843</v>
      </c>
      <c r="E96" t="s">
        <v>53</v>
      </c>
      <c r="G96" t="s">
        <v>86</v>
      </c>
      <c r="H96" t="s">
        <v>54</v>
      </c>
      <c r="I96">
        <v>9.6018357864979045E-2</v>
      </c>
      <c r="J96" t="s">
        <v>53</v>
      </c>
      <c r="L96" t="s">
        <v>99</v>
      </c>
      <c r="M96" t="s">
        <v>54</v>
      </c>
      <c r="N96">
        <v>0.11233783643124928</v>
      </c>
      <c r="O96" t="s">
        <v>53</v>
      </c>
    </row>
    <row r="97" spans="2:15" x14ac:dyDescent="0.25">
      <c r="B97" t="s">
        <v>71</v>
      </c>
      <c r="C97" t="s">
        <v>55</v>
      </c>
      <c r="D97">
        <v>3.7138863390072403E-6</v>
      </c>
      <c r="E97" t="s">
        <v>53</v>
      </c>
      <c r="G97" t="s">
        <v>86</v>
      </c>
      <c r="H97" t="s">
        <v>55</v>
      </c>
      <c r="I97">
        <v>7.9659416808796776E-2</v>
      </c>
      <c r="J97" t="s">
        <v>53</v>
      </c>
      <c r="L97" t="s">
        <v>99</v>
      </c>
      <c r="M97" t="s">
        <v>55</v>
      </c>
      <c r="N97">
        <v>6.6711470244716922E-2</v>
      </c>
      <c r="O97" t="s">
        <v>53</v>
      </c>
    </row>
    <row r="98" spans="2:15" x14ac:dyDescent="0.25">
      <c r="B98" t="s">
        <v>71</v>
      </c>
      <c r="C98" t="s">
        <v>56</v>
      </c>
      <c r="D98">
        <v>5.9654428515301689E-3</v>
      </c>
      <c r="E98" t="s">
        <v>53</v>
      </c>
      <c r="G98" t="s">
        <v>86</v>
      </c>
      <c r="H98" t="s">
        <v>56</v>
      </c>
      <c r="I98">
        <v>9.6305592550706406E-2</v>
      </c>
      <c r="J98" t="s">
        <v>53</v>
      </c>
      <c r="L98" t="s">
        <v>99</v>
      </c>
      <c r="M98" t="s">
        <v>56</v>
      </c>
      <c r="N98">
        <v>9.3538362190529481E-2</v>
      </c>
      <c r="O98" t="s">
        <v>53</v>
      </c>
    </row>
    <row r="99" spans="2:15" x14ac:dyDescent="0.25">
      <c r="B99" t="s">
        <v>71</v>
      </c>
      <c r="C99" t="s">
        <v>57</v>
      </c>
      <c r="D99">
        <v>0.28556644995458397</v>
      </c>
      <c r="E99" t="s">
        <v>53</v>
      </c>
      <c r="G99" t="s">
        <v>86</v>
      </c>
      <c r="H99" t="s">
        <v>57</v>
      </c>
      <c r="I99">
        <v>0.10880967662565266</v>
      </c>
      <c r="J99" t="s">
        <v>53</v>
      </c>
      <c r="L99" t="s">
        <v>99</v>
      </c>
      <c r="M99" t="s">
        <v>57</v>
      </c>
      <c r="N99">
        <v>0.11279310938875522</v>
      </c>
      <c r="O99" t="s">
        <v>53</v>
      </c>
    </row>
    <row r="100" spans="2:15" x14ac:dyDescent="0.25">
      <c r="B100" t="s">
        <v>71</v>
      </c>
      <c r="C100" t="s">
        <v>58</v>
      </c>
      <c r="D100">
        <v>5.16844692024079E-3</v>
      </c>
      <c r="E100" t="s">
        <v>53</v>
      </c>
      <c r="G100" t="s">
        <v>86</v>
      </c>
      <c r="H100" t="s">
        <v>58</v>
      </c>
      <c r="I100">
        <v>7.7412886375805234E-2</v>
      </c>
      <c r="J100" t="s">
        <v>53</v>
      </c>
      <c r="L100" t="s">
        <v>99</v>
      </c>
      <c r="M100" t="s">
        <v>58</v>
      </c>
      <c r="N100">
        <v>8.1179724684874832E-2</v>
      </c>
      <c r="O100" t="s">
        <v>53</v>
      </c>
    </row>
    <row r="101" spans="2:15" x14ac:dyDescent="0.25">
      <c r="B101" t="s">
        <v>71</v>
      </c>
      <c r="C101" t="s">
        <v>59</v>
      </c>
      <c r="D101">
        <v>1.0361368807252403E-2</v>
      </c>
      <c r="E101" t="s">
        <v>53</v>
      </c>
      <c r="G101" t="s">
        <v>86</v>
      </c>
      <c r="H101" t="s">
        <v>59</v>
      </c>
      <c r="I101">
        <v>6.4894714393261457E-2</v>
      </c>
      <c r="J101" t="s">
        <v>53</v>
      </c>
      <c r="L101" t="s">
        <v>99</v>
      </c>
      <c r="M101" t="s">
        <v>59</v>
      </c>
      <c r="N101">
        <v>4.792993289420279E-2</v>
      </c>
      <c r="O101" t="s">
        <v>53</v>
      </c>
    </row>
    <row r="102" spans="2:15" x14ac:dyDescent="0.25">
      <c r="B102" t="s">
        <v>71</v>
      </c>
      <c r="C102" t="s">
        <v>60</v>
      </c>
      <c r="D102">
        <v>0.33693568668197527</v>
      </c>
      <c r="E102" t="s">
        <v>53</v>
      </c>
      <c r="G102" t="s">
        <v>86</v>
      </c>
      <c r="H102" t="s">
        <v>60</v>
      </c>
      <c r="I102">
        <v>5.9608467163276599E-2</v>
      </c>
      <c r="J102" t="s">
        <v>53</v>
      </c>
      <c r="L102" t="s">
        <v>99</v>
      </c>
      <c r="M102" t="s">
        <v>60</v>
      </c>
      <c r="N102">
        <v>6.7252719822226359E-2</v>
      </c>
      <c r="O102" t="s">
        <v>53</v>
      </c>
    </row>
    <row r="103" spans="2:15" x14ac:dyDescent="0.25">
      <c r="B103" t="s">
        <v>71</v>
      </c>
      <c r="C103" t="s">
        <v>61</v>
      </c>
      <c r="D103">
        <v>9.5376248931766851E-3</v>
      </c>
      <c r="E103" t="s">
        <v>53</v>
      </c>
      <c r="G103" t="s">
        <v>86</v>
      </c>
      <c r="H103" t="s">
        <v>61</v>
      </c>
      <c r="I103">
        <v>5.1213931975193777E-2</v>
      </c>
      <c r="J103" t="s">
        <v>53</v>
      </c>
      <c r="L103" t="s">
        <v>99</v>
      </c>
      <c r="M103" t="s">
        <v>61</v>
      </c>
      <c r="N103">
        <v>6.1329005891936877E-2</v>
      </c>
      <c r="O103" t="s">
        <v>53</v>
      </c>
    </row>
    <row r="104" spans="2:15" x14ac:dyDescent="0.25">
      <c r="B104" t="s">
        <v>71</v>
      </c>
      <c r="C104" t="s">
        <v>62</v>
      </c>
      <c r="D104">
        <v>1.5983080542831057E-3</v>
      </c>
      <c r="E104" t="s">
        <v>53</v>
      </c>
      <c r="G104" t="s">
        <v>86</v>
      </c>
      <c r="H104" t="s">
        <v>62</v>
      </c>
      <c r="I104">
        <v>8.9866511256109088E-2</v>
      </c>
      <c r="J104" t="s">
        <v>53</v>
      </c>
      <c r="L104" t="s">
        <v>99</v>
      </c>
      <c r="M104" t="s">
        <v>62</v>
      </c>
      <c r="N104">
        <v>8.7314620870786674E-2</v>
      </c>
      <c r="O104" t="s">
        <v>53</v>
      </c>
    </row>
    <row r="105" spans="2:15" x14ac:dyDescent="0.25">
      <c r="B105" t="s">
        <v>71</v>
      </c>
      <c r="C105" t="s">
        <v>63</v>
      </c>
      <c r="D105">
        <v>0.20382175787661277</v>
      </c>
      <c r="E105" t="s">
        <v>53</v>
      </c>
      <c r="G105" t="s">
        <v>86</v>
      </c>
      <c r="H105" t="s">
        <v>63</v>
      </c>
      <c r="I105">
        <v>9.3812739261899189E-2</v>
      </c>
      <c r="J105" t="s">
        <v>53</v>
      </c>
      <c r="L105" t="s">
        <v>99</v>
      </c>
      <c r="M105" t="s">
        <v>63</v>
      </c>
      <c r="N105">
        <v>0.11168277057501511</v>
      </c>
      <c r="O105" t="s">
        <v>53</v>
      </c>
    </row>
    <row r="106" spans="2:15" x14ac:dyDescent="0.25">
      <c r="B106" t="s">
        <v>71</v>
      </c>
      <c r="C106" t="s">
        <v>64</v>
      </c>
      <c r="D106">
        <v>6.665681823955496E-4</v>
      </c>
      <c r="E106" t="s">
        <v>53</v>
      </c>
      <c r="G106" t="s">
        <v>86</v>
      </c>
      <c r="H106" t="s">
        <v>64</v>
      </c>
      <c r="I106">
        <v>7.0809184555976928E-2</v>
      </c>
      <c r="J106" t="s">
        <v>53</v>
      </c>
      <c r="L106" t="s">
        <v>99</v>
      </c>
      <c r="M106" t="s">
        <v>64</v>
      </c>
      <c r="N106">
        <v>7.3485610041620034E-2</v>
      </c>
      <c r="O106" t="s">
        <v>53</v>
      </c>
    </row>
    <row r="107" spans="2:15" x14ac:dyDescent="0.25">
      <c r="B107" t="s">
        <v>72</v>
      </c>
      <c r="C107" t="s">
        <v>52</v>
      </c>
      <c r="D107">
        <v>0</v>
      </c>
      <c r="E107" t="s">
        <v>53</v>
      </c>
      <c r="G107" t="s">
        <v>87</v>
      </c>
      <c r="H107" t="s">
        <v>52</v>
      </c>
      <c r="I107">
        <v>0.11372470537102218</v>
      </c>
      <c r="J107" t="s">
        <v>53</v>
      </c>
      <c r="L107" t="s">
        <v>100</v>
      </c>
      <c r="M107" t="s">
        <v>52</v>
      </c>
      <c r="N107">
        <v>9.1876657165402636E-2</v>
      </c>
      <c r="O107" t="s">
        <v>53</v>
      </c>
    </row>
    <row r="108" spans="2:15" x14ac:dyDescent="0.25">
      <c r="B108" t="s">
        <v>72</v>
      </c>
      <c r="C108" t="s">
        <v>54</v>
      </c>
      <c r="D108">
        <v>0.1344831622253097</v>
      </c>
      <c r="E108" t="s">
        <v>53</v>
      </c>
      <c r="G108" t="s">
        <v>87</v>
      </c>
      <c r="H108" t="s">
        <v>54</v>
      </c>
      <c r="I108">
        <v>0.10068420455430108</v>
      </c>
      <c r="J108" t="s">
        <v>53</v>
      </c>
      <c r="L108" t="s">
        <v>100</v>
      </c>
      <c r="M108" t="s">
        <v>54</v>
      </c>
      <c r="N108">
        <v>0.11623686017254273</v>
      </c>
      <c r="O108" t="s">
        <v>53</v>
      </c>
    </row>
    <row r="109" spans="2:15" x14ac:dyDescent="0.25">
      <c r="B109" t="s">
        <v>72</v>
      </c>
      <c r="C109" t="s">
        <v>55</v>
      </c>
      <c r="D109">
        <v>0</v>
      </c>
      <c r="E109" t="s">
        <v>53</v>
      </c>
      <c r="G109" t="s">
        <v>87</v>
      </c>
      <c r="H109" t="s">
        <v>55</v>
      </c>
      <c r="I109">
        <v>8.6835398052898666E-2</v>
      </c>
      <c r="J109" t="s">
        <v>53</v>
      </c>
      <c r="L109" t="s">
        <v>100</v>
      </c>
      <c r="M109" t="s">
        <v>55</v>
      </c>
      <c r="N109">
        <v>7.2527387893328202E-2</v>
      </c>
      <c r="O109" t="s">
        <v>53</v>
      </c>
    </row>
    <row r="110" spans="2:15" x14ac:dyDescent="0.25">
      <c r="B110" t="s">
        <v>72</v>
      </c>
      <c r="C110" t="s">
        <v>56</v>
      </c>
      <c r="D110">
        <v>6.8517529396047785E-3</v>
      </c>
      <c r="E110" t="s">
        <v>53</v>
      </c>
      <c r="G110" t="s">
        <v>87</v>
      </c>
      <c r="H110" t="s">
        <v>56</v>
      </c>
      <c r="I110">
        <v>9.3779272285165555E-2</v>
      </c>
      <c r="J110" t="s">
        <v>53</v>
      </c>
      <c r="L110" t="s">
        <v>100</v>
      </c>
      <c r="M110" t="s">
        <v>56</v>
      </c>
      <c r="N110">
        <v>9.5363698470300073E-2</v>
      </c>
      <c r="O110" t="s">
        <v>53</v>
      </c>
    </row>
    <row r="111" spans="2:15" x14ac:dyDescent="0.25">
      <c r="B111" t="s">
        <v>72</v>
      </c>
      <c r="C111" t="s">
        <v>57</v>
      </c>
      <c r="D111">
        <v>0.28982112464061721</v>
      </c>
      <c r="E111" t="s">
        <v>53</v>
      </c>
      <c r="G111" t="s">
        <v>87</v>
      </c>
      <c r="H111" t="s">
        <v>57</v>
      </c>
      <c r="I111">
        <v>9.832291462292321E-2</v>
      </c>
      <c r="J111" t="s">
        <v>53</v>
      </c>
      <c r="L111" t="s">
        <v>100</v>
      </c>
      <c r="M111" t="s">
        <v>57</v>
      </c>
      <c r="N111">
        <v>0.11693616744185339</v>
      </c>
      <c r="O111" t="s">
        <v>53</v>
      </c>
    </row>
    <row r="112" spans="2:15" x14ac:dyDescent="0.25">
      <c r="B112" t="s">
        <v>72</v>
      </c>
      <c r="C112" t="s">
        <v>58</v>
      </c>
      <c r="D112">
        <v>4.6593439912789129E-3</v>
      </c>
      <c r="E112" t="s">
        <v>53</v>
      </c>
      <c r="G112" t="s">
        <v>87</v>
      </c>
      <c r="H112" t="s">
        <v>58</v>
      </c>
      <c r="I112">
        <v>7.3574423260020699E-2</v>
      </c>
      <c r="J112" t="s">
        <v>53</v>
      </c>
      <c r="L112" t="s">
        <v>100</v>
      </c>
      <c r="M112" t="s">
        <v>58</v>
      </c>
      <c r="N112">
        <v>7.744839534655433E-2</v>
      </c>
      <c r="O112" t="s">
        <v>53</v>
      </c>
    </row>
    <row r="113" spans="2:15" x14ac:dyDescent="0.25">
      <c r="B113" t="s">
        <v>72</v>
      </c>
      <c r="C113" t="s">
        <v>59</v>
      </c>
      <c r="D113">
        <v>1.1390059684160047E-2</v>
      </c>
      <c r="E113" t="s">
        <v>53</v>
      </c>
      <c r="G113" t="s">
        <v>87</v>
      </c>
      <c r="H113" t="s">
        <v>59</v>
      </c>
      <c r="I113">
        <v>6.6938201945862016E-2</v>
      </c>
      <c r="J113" t="s">
        <v>53</v>
      </c>
      <c r="L113" t="s">
        <v>100</v>
      </c>
      <c r="M113" t="s">
        <v>59</v>
      </c>
      <c r="N113">
        <v>4.2387539269480738E-2</v>
      </c>
      <c r="O113" t="s">
        <v>53</v>
      </c>
    </row>
    <row r="114" spans="2:15" x14ac:dyDescent="0.25">
      <c r="B114" t="s">
        <v>72</v>
      </c>
      <c r="C114" t="s">
        <v>60</v>
      </c>
      <c r="D114">
        <v>0.33832213282546775</v>
      </c>
      <c r="E114" t="s">
        <v>53</v>
      </c>
      <c r="G114" t="s">
        <v>87</v>
      </c>
      <c r="H114" t="s">
        <v>60</v>
      </c>
      <c r="I114">
        <v>5.3841052903990133E-2</v>
      </c>
      <c r="J114" t="s">
        <v>53</v>
      </c>
      <c r="L114" t="s">
        <v>100</v>
      </c>
      <c r="M114" t="s">
        <v>60</v>
      </c>
      <c r="N114">
        <v>5.9736784089259601E-2</v>
      </c>
      <c r="O114" t="s">
        <v>53</v>
      </c>
    </row>
    <row r="115" spans="2:15" x14ac:dyDescent="0.25">
      <c r="B115" t="s">
        <v>72</v>
      </c>
      <c r="C115" t="s">
        <v>61</v>
      </c>
      <c r="D115">
        <v>9.5371236601003734E-3</v>
      </c>
      <c r="E115" t="s">
        <v>53</v>
      </c>
      <c r="G115" t="s">
        <v>87</v>
      </c>
      <c r="H115" t="s">
        <v>61</v>
      </c>
      <c r="I115">
        <v>5.0467229381613098E-2</v>
      </c>
      <c r="J115" t="s">
        <v>53</v>
      </c>
      <c r="L115" t="s">
        <v>100</v>
      </c>
      <c r="M115" t="s">
        <v>61</v>
      </c>
      <c r="N115">
        <v>5.1610432011478816E-2</v>
      </c>
      <c r="O115" t="s">
        <v>53</v>
      </c>
    </row>
    <row r="116" spans="2:15" x14ac:dyDescent="0.25">
      <c r="B116" t="s">
        <v>72</v>
      </c>
      <c r="C116" t="s">
        <v>62</v>
      </c>
      <c r="D116">
        <v>1.7851528560444358E-3</v>
      </c>
      <c r="E116" t="s">
        <v>53</v>
      </c>
      <c r="G116" t="s">
        <v>87</v>
      </c>
      <c r="H116" t="s">
        <v>62</v>
      </c>
      <c r="I116">
        <v>9.5289675468609378E-2</v>
      </c>
      <c r="J116" t="s">
        <v>53</v>
      </c>
      <c r="L116" t="s">
        <v>100</v>
      </c>
      <c r="M116" t="s">
        <v>62</v>
      </c>
      <c r="N116">
        <v>9.2982737742392227E-2</v>
      </c>
      <c r="O116" t="s">
        <v>53</v>
      </c>
    </row>
    <row r="117" spans="2:15" x14ac:dyDescent="0.25">
      <c r="B117" t="s">
        <v>72</v>
      </c>
      <c r="C117" t="s">
        <v>63</v>
      </c>
      <c r="D117">
        <v>0.20262676898005044</v>
      </c>
      <c r="E117" t="s">
        <v>53</v>
      </c>
      <c r="G117" t="s">
        <v>87</v>
      </c>
      <c r="H117" t="s">
        <v>63</v>
      </c>
      <c r="I117">
        <v>9.2494984520389803E-2</v>
      </c>
      <c r="J117" t="s">
        <v>53</v>
      </c>
      <c r="L117" t="s">
        <v>100</v>
      </c>
      <c r="M117" t="s">
        <v>63</v>
      </c>
      <c r="N117">
        <v>0.11139332634368143</v>
      </c>
      <c r="O117" t="s">
        <v>53</v>
      </c>
    </row>
    <row r="118" spans="2:15" x14ac:dyDescent="0.25">
      <c r="B118" t="s">
        <v>72</v>
      </c>
      <c r="C118" t="s">
        <v>64</v>
      </c>
      <c r="D118">
        <v>5.2337819736707019E-4</v>
      </c>
      <c r="E118" t="s">
        <v>53</v>
      </c>
      <c r="G118" t="s">
        <v>87</v>
      </c>
      <c r="H118" t="s">
        <v>64</v>
      </c>
      <c r="I118">
        <v>7.4047937633207037E-2</v>
      </c>
      <c r="J118" t="s">
        <v>53</v>
      </c>
      <c r="L118" t="s">
        <v>100</v>
      </c>
      <c r="M118" t="s">
        <v>64</v>
      </c>
      <c r="N118">
        <v>7.1500014053722125E-2</v>
      </c>
      <c r="O118" t="s">
        <v>53</v>
      </c>
    </row>
    <row r="119" spans="2:15" x14ac:dyDescent="0.25">
      <c r="B119" t="s">
        <v>73</v>
      </c>
      <c r="C119" t="s">
        <v>52</v>
      </c>
      <c r="D119">
        <v>0</v>
      </c>
      <c r="E119" t="s">
        <v>53</v>
      </c>
      <c r="G119" t="s">
        <v>88</v>
      </c>
      <c r="H119" t="s">
        <v>52</v>
      </c>
      <c r="I119">
        <v>0.10511993783057505</v>
      </c>
      <c r="J119" t="s">
        <v>53</v>
      </c>
      <c r="L119" t="s">
        <v>101</v>
      </c>
      <c r="M119" t="s">
        <v>52</v>
      </c>
      <c r="N119">
        <v>8.8344340289217074E-2</v>
      </c>
      <c r="O119" t="s">
        <v>53</v>
      </c>
    </row>
    <row r="120" spans="2:15" x14ac:dyDescent="0.25">
      <c r="B120" t="s">
        <v>73</v>
      </c>
      <c r="C120" t="s">
        <v>54</v>
      </c>
      <c r="D120">
        <v>0.13609153405479391</v>
      </c>
      <c r="E120" t="s">
        <v>53</v>
      </c>
      <c r="G120" t="s">
        <v>88</v>
      </c>
      <c r="H120" t="s">
        <v>54</v>
      </c>
      <c r="I120">
        <v>9.2197495043729302E-2</v>
      </c>
      <c r="J120" t="s">
        <v>53</v>
      </c>
      <c r="L120" t="s">
        <v>101</v>
      </c>
      <c r="M120" t="s">
        <v>54</v>
      </c>
      <c r="N120">
        <v>0.10752983377289355</v>
      </c>
      <c r="O120" t="s">
        <v>53</v>
      </c>
    </row>
    <row r="121" spans="2:15" x14ac:dyDescent="0.25">
      <c r="B121" t="s">
        <v>73</v>
      </c>
      <c r="C121" t="s">
        <v>55</v>
      </c>
      <c r="D121">
        <v>5.187199737903553E-8</v>
      </c>
      <c r="E121" t="s">
        <v>53</v>
      </c>
      <c r="G121" t="s">
        <v>88</v>
      </c>
      <c r="H121" t="s">
        <v>55</v>
      </c>
      <c r="I121">
        <v>8.5474503514787331E-2</v>
      </c>
      <c r="J121" t="s">
        <v>53</v>
      </c>
      <c r="L121" t="s">
        <v>101</v>
      </c>
      <c r="M121" t="s">
        <v>55</v>
      </c>
      <c r="N121">
        <v>6.7221290185793606E-2</v>
      </c>
      <c r="O121" t="s">
        <v>53</v>
      </c>
    </row>
    <row r="122" spans="2:15" x14ac:dyDescent="0.25">
      <c r="B122" t="s">
        <v>73</v>
      </c>
      <c r="C122" t="s">
        <v>56</v>
      </c>
      <c r="D122">
        <v>6.5981029756286592E-3</v>
      </c>
      <c r="E122" t="s">
        <v>53</v>
      </c>
      <c r="G122" t="s">
        <v>88</v>
      </c>
      <c r="H122" t="s">
        <v>56</v>
      </c>
      <c r="I122">
        <v>9.9708530162641515E-2</v>
      </c>
      <c r="J122" t="s">
        <v>53</v>
      </c>
      <c r="L122" t="s">
        <v>101</v>
      </c>
      <c r="M122" t="s">
        <v>56</v>
      </c>
      <c r="N122">
        <v>9.7211262574522464E-2</v>
      </c>
      <c r="O122" t="s">
        <v>53</v>
      </c>
    </row>
    <row r="123" spans="2:15" x14ac:dyDescent="0.25">
      <c r="B123" t="s">
        <v>73</v>
      </c>
      <c r="C123" t="s">
        <v>57</v>
      </c>
      <c r="D123">
        <v>0.28848382665143801</v>
      </c>
      <c r="E123" t="s">
        <v>53</v>
      </c>
      <c r="G123" t="s">
        <v>88</v>
      </c>
      <c r="H123" t="s">
        <v>57</v>
      </c>
      <c r="I123">
        <v>8.4339972980814193E-2</v>
      </c>
      <c r="J123" t="s">
        <v>53</v>
      </c>
      <c r="L123" t="s">
        <v>101</v>
      </c>
      <c r="M123" t="s">
        <v>57</v>
      </c>
      <c r="N123">
        <v>0.10730018616107143</v>
      </c>
      <c r="O123" t="s">
        <v>53</v>
      </c>
    </row>
    <row r="124" spans="2:15" x14ac:dyDescent="0.25">
      <c r="B124" t="s">
        <v>73</v>
      </c>
      <c r="C124" t="s">
        <v>58</v>
      </c>
      <c r="D124">
        <v>4.8102216477385624E-3</v>
      </c>
      <c r="E124" t="s">
        <v>53</v>
      </c>
      <c r="G124" t="s">
        <v>88</v>
      </c>
      <c r="H124" t="s">
        <v>58</v>
      </c>
      <c r="I124">
        <v>7.6673607459593673E-2</v>
      </c>
      <c r="J124" t="s">
        <v>53</v>
      </c>
      <c r="L124" t="s">
        <v>101</v>
      </c>
      <c r="M124" t="s">
        <v>58</v>
      </c>
      <c r="N124">
        <v>8.3343547976155063E-2</v>
      </c>
      <c r="O124" t="s">
        <v>53</v>
      </c>
    </row>
    <row r="125" spans="2:15" x14ac:dyDescent="0.25">
      <c r="B125" t="s">
        <v>73</v>
      </c>
      <c r="C125" t="s">
        <v>59</v>
      </c>
      <c r="D125">
        <v>1.1153630390674754E-2</v>
      </c>
      <c r="E125" t="s">
        <v>53</v>
      </c>
      <c r="G125" t="s">
        <v>88</v>
      </c>
      <c r="H125" t="s">
        <v>59</v>
      </c>
      <c r="I125">
        <v>6.2966627407686535E-2</v>
      </c>
      <c r="J125" t="s">
        <v>53</v>
      </c>
      <c r="L125" t="s">
        <v>101</v>
      </c>
      <c r="M125" t="s">
        <v>59</v>
      </c>
      <c r="N125">
        <v>5.9623783724754797E-2</v>
      </c>
      <c r="O125" t="s">
        <v>53</v>
      </c>
    </row>
    <row r="126" spans="2:15" x14ac:dyDescent="0.25">
      <c r="B126" t="s">
        <v>73</v>
      </c>
      <c r="C126" t="s">
        <v>60</v>
      </c>
      <c r="D126">
        <v>0.33782432493795167</v>
      </c>
      <c r="E126" t="s">
        <v>53</v>
      </c>
      <c r="G126" t="s">
        <v>88</v>
      </c>
      <c r="H126" t="s">
        <v>60</v>
      </c>
      <c r="I126">
        <v>5.1973223928924984E-2</v>
      </c>
      <c r="J126" t="s">
        <v>53</v>
      </c>
      <c r="L126" t="s">
        <v>101</v>
      </c>
      <c r="M126" t="s">
        <v>60</v>
      </c>
      <c r="N126">
        <v>7.4502114518846696E-2</v>
      </c>
      <c r="O126" t="s">
        <v>53</v>
      </c>
    </row>
    <row r="127" spans="2:15" x14ac:dyDescent="0.25">
      <c r="B127" t="s">
        <v>73</v>
      </c>
      <c r="C127" t="s">
        <v>61</v>
      </c>
      <c r="D127">
        <v>9.3425040625638514E-3</v>
      </c>
      <c r="E127" t="s">
        <v>53</v>
      </c>
      <c r="G127" t="s">
        <v>88</v>
      </c>
      <c r="H127" t="s">
        <v>61</v>
      </c>
      <c r="I127">
        <v>6.1704960883404568E-2</v>
      </c>
      <c r="J127" t="s">
        <v>53</v>
      </c>
      <c r="L127" t="s">
        <v>101</v>
      </c>
      <c r="M127" t="s">
        <v>61</v>
      </c>
      <c r="N127">
        <v>5.9281624608675643E-2</v>
      </c>
      <c r="O127" t="s">
        <v>53</v>
      </c>
    </row>
    <row r="128" spans="2:15" x14ac:dyDescent="0.25">
      <c r="B128" t="s">
        <v>73</v>
      </c>
      <c r="C128" t="s">
        <v>62</v>
      </c>
      <c r="D128">
        <v>1.7395934795915446E-3</v>
      </c>
      <c r="E128" t="s">
        <v>53</v>
      </c>
      <c r="G128" t="s">
        <v>88</v>
      </c>
      <c r="H128" t="s">
        <v>62</v>
      </c>
      <c r="I128">
        <v>0.10319153272049224</v>
      </c>
      <c r="J128" t="s">
        <v>53</v>
      </c>
      <c r="L128" t="s">
        <v>101</v>
      </c>
      <c r="M128" t="s">
        <v>62</v>
      </c>
      <c r="N128">
        <v>8.3505612960941569E-2</v>
      </c>
      <c r="O128" t="s">
        <v>53</v>
      </c>
    </row>
    <row r="129" spans="2:15" x14ac:dyDescent="0.25">
      <c r="B129" t="s">
        <v>73</v>
      </c>
      <c r="C129" t="s">
        <v>63</v>
      </c>
      <c r="D129">
        <v>0.20340920014722652</v>
      </c>
      <c r="E129" t="s">
        <v>53</v>
      </c>
      <c r="G129" t="s">
        <v>88</v>
      </c>
      <c r="H129" t="s">
        <v>63</v>
      </c>
      <c r="I129">
        <v>9.6844903667131513E-2</v>
      </c>
      <c r="J129" t="s">
        <v>53</v>
      </c>
      <c r="L129" t="s">
        <v>101</v>
      </c>
      <c r="M129" t="s">
        <v>63</v>
      </c>
      <c r="N129">
        <v>0.10378406035765955</v>
      </c>
      <c r="O129" t="s">
        <v>53</v>
      </c>
    </row>
    <row r="130" spans="2:15" x14ac:dyDescent="0.25">
      <c r="B130" t="s">
        <v>73</v>
      </c>
      <c r="C130" t="s">
        <v>64</v>
      </c>
      <c r="D130">
        <v>5.4700978039476291E-4</v>
      </c>
      <c r="E130" t="s">
        <v>53</v>
      </c>
      <c r="G130" t="s">
        <v>88</v>
      </c>
      <c r="H130" t="s">
        <v>64</v>
      </c>
      <c r="I130">
        <v>7.980470440021796E-2</v>
      </c>
      <c r="J130" t="s">
        <v>53</v>
      </c>
      <c r="L130" t="s">
        <v>101</v>
      </c>
      <c r="M130" t="s">
        <v>64</v>
      </c>
      <c r="N130">
        <v>6.8352342869467092E-2</v>
      </c>
      <c r="O130" t="s">
        <v>53</v>
      </c>
    </row>
    <row r="131" spans="2:15" x14ac:dyDescent="0.25">
      <c r="B131" t="s">
        <v>74</v>
      </c>
      <c r="C131" t="s">
        <v>52</v>
      </c>
      <c r="D131">
        <v>0</v>
      </c>
      <c r="E131" t="s">
        <v>53</v>
      </c>
      <c r="G131" t="s">
        <v>89</v>
      </c>
      <c r="H131" t="s">
        <v>52</v>
      </c>
      <c r="I131">
        <v>0.10478262961674935</v>
      </c>
      <c r="J131" t="s">
        <v>53</v>
      </c>
      <c r="L131" t="s">
        <v>102</v>
      </c>
      <c r="M131" t="s">
        <v>52</v>
      </c>
      <c r="N131">
        <v>9.24498785831908E-2</v>
      </c>
      <c r="O131" t="s">
        <v>53</v>
      </c>
    </row>
    <row r="132" spans="2:15" x14ac:dyDescent="0.25">
      <c r="B132" t="s">
        <v>74</v>
      </c>
      <c r="C132" t="s">
        <v>54</v>
      </c>
      <c r="D132">
        <v>0.14226924998390419</v>
      </c>
      <c r="E132" t="s">
        <v>53</v>
      </c>
      <c r="G132" t="s">
        <v>89</v>
      </c>
      <c r="H132" t="s">
        <v>54</v>
      </c>
      <c r="I132">
        <v>9.1790309408838713E-2</v>
      </c>
      <c r="J132" t="s">
        <v>53</v>
      </c>
      <c r="L132" t="s">
        <v>102</v>
      </c>
      <c r="M132" t="s">
        <v>54</v>
      </c>
      <c r="N132">
        <v>0.11766182372223204</v>
      </c>
      <c r="O132" t="s">
        <v>53</v>
      </c>
    </row>
    <row r="133" spans="2:15" x14ac:dyDescent="0.25">
      <c r="B133" t="s">
        <v>74</v>
      </c>
      <c r="C133" t="s">
        <v>55</v>
      </c>
      <c r="D133">
        <v>0</v>
      </c>
      <c r="E133" t="s">
        <v>53</v>
      </c>
      <c r="G133" t="s">
        <v>89</v>
      </c>
      <c r="H133" t="s">
        <v>55</v>
      </c>
      <c r="I133">
        <v>7.7367670045129816E-2</v>
      </c>
      <c r="J133" t="s">
        <v>53</v>
      </c>
      <c r="L133" t="s">
        <v>102</v>
      </c>
      <c r="M133" t="s">
        <v>55</v>
      </c>
      <c r="N133">
        <v>7.2154815496696834E-2</v>
      </c>
      <c r="O133" t="s">
        <v>53</v>
      </c>
    </row>
    <row r="134" spans="2:15" x14ac:dyDescent="0.25">
      <c r="B134" t="s">
        <v>74</v>
      </c>
      <c r="C134" t="s">
        <v>56</v>
      </c>
      <c r="D134">
        <v>8.3243359379293388E-3</v>
      </c>
      <c r="E134" t="s">
        <v>53</v>
      </c>
      <c r="G134" t="s">
        <v>89</v>
      </c>
      <c r="H134" t="s">
        <v>56</v>
      </c>
      <c r="I134">
        <v>0.10810998706485964</v>
      </c>
      <c r="J134" t="s">
        <v>53</v>
      </c>
      <c r="L134" t="s">
        <v>102</v>
      </c>
      <c r="M134" t="s">
        <v>56</v>
      </c>
      <c r="N134">
        <v>0.11261613599938017</v>
      </c>
      <c r="O134" t="s">
        <v>53</v>
      </c>
    </row>
    <row r="135" spans="2:15" x14ac:dyDescent="0.25">
      <c r="B135" t="s">
        <v>74</v>
      </c>
      <c r="C135" t="s">
        <v>57</v>
      </c>
      <c r="D135">
        <v>0.28965097165315162</v>
      </c>
      <c r="E135" t="s">
        <v>53</v>
      </c>
      <c r="G135" t="s">
        <v>89</v>
      </c>
      <c r="H135" t="s">
        <v>57</v>
      </c>
      <c r="I135">
        <v>0.10556398336705378</v>
      </c>
      <c r="J135" t="s">
        <v>53</v>
      </c>
      <c r="L135" t="s">
        <v>102</v>
      </c>
      <c r="M135" t="s">
        <v>57</v>
      </c>
      <c r="N135">
        <v>0.11214576787072136</v>
      </c>
      <c r="O135" t="s">
        <v>53</v>
      </c>
    </row>
    <row r="136" spans="2:15" x14ac:dyDescent="0.25">
      <c r="B136" t="s">
        <v>74</v>
      </c>
      <c r="C136" t="s">
        <v>58</v>
      </c>
      <c r="D136">
        <v>3.2699730946850422E-3</v>
      </c>
      <c r="E136" t="s">
        <v>53</v>
      </c>
      <c r="G136" t="s">
        <v>89</v>
      </c>
      <c r="H136" t="s">
        <v>58</v>
      </c>
      <c r="I136">
        <v>7.26857688909891E-2</v>
      </c>
      <c r="J136" t="s">
        <v>53</v>
      </c>
      <c r="L136" t="s">
        <v>102</v>
      </c>
      <c r="M136" t="s">
        <v>58</v>
      </c>
      <c r="N136">
        <v>8.3235087822426806E-2</v>
      </c>
      <c r="O136" t="s">
        <v>53</v>
      </c>
    </row>
    <row r="137" spans="2:15" x14ac:dyDescent="0.25">
      <c r="B137" t="s">
        <v>74</v>
      </c>
      <c r="C137" t="s">
        <v>59</v>
      </c>
      <c r="D137">
        <v>1.2820899277273914E-2</v>
      </c>
      <c r="E137" t="s">
        <v>53</v>
      </c>
      <c r="G137" t="s">
        <v>89</v>
      </c>
      <c r="H137" t="s">
        <v>59</v>
      </c>
      <c r="I137">
        <v>6.2886362623632119E-2</v>
      </c>
      <c r="J137" t="s">
        <v>53</v>
      </c>
      <c r="L137" t="s">
        <v>102</v>
      </c>
      <c r="M137" t="s">
        <v>59</v>
      </c>
      <c r="N137">
        <v>5.3347467503704234E-2</v>
      </c>
      <c r="O137" t="s">
        <v>53</v>
      </c>
    </row>
    <row r="138" spans="2:15" x14ac:dyDescent="0.25">
      <c r="B138" t="s">
        <v>74</v>
      </c>
      <c r="C138" t="s">
        <v>60</v>
      </c>
      <c r="D138">
        <v>0.32020536647173742</v>
      </c>
      <c r="E138" t="s">
        <v>53</v>
      </c>
      <c r="G138" t="s">
        <v>89</v>
      </c>
      <c r="H138" t="s">
        <v>60</v>
      </c>
      <c r="I138">
        <v>5.497640488717382E-2</v>
      </c>
      <c r="J138" t="s">
        <v>53</v>
      </c>
      <c r="L138" t="s">
        <v>102</v>
      </c>
      <c r="M138" t="s">
        <v>60</v>
      </c>
      <c r="N138">
        <v>6.1351659852742338E-2</v>
      </c>
      <c r="O138" t="s">
        <v>53</v>
      </c>
    </row>
    <row r="139" spans="2:15" x14ac:dyDescent="0.25">
      <c r="B139" t="s">
        <v>74</v>
      </c>
      <c r="C139" t="s">
        <v>61</v>
      </c>
      <c r="D139">
        <v>7.1193557097936865E-3</v>
      </c>
      <c r="E139" t="s">
        <v>53</v>
      </c>
      <c r="G139" t="s">
        <v>89</v>
      </c>
      <c r="H139" t="s">
        <v>61</v>
      </c>
      <c r="I139">
        <v>5.0460165786933027E-2</v>
      </c>
      <c r="J139" t="s">
        <v>53</v>
      </c>
      <c r="L139" t="s">
        <v>102</v>
      </c>
      <c r="M139" t="s">
        <v>61</v>
      </c>
      <c r="N139">
        <v>5.6748235412208622E-2</v>
      </c>
      <c r="O139" t="s">
        <v>53</v>
      </c>
    </row>
    <row r="140" spans="2:15" x14ac:dyDescent="0.25">
      <c r="B140" t="s">
        <v>74</v>
      </c>
      <c r="C140" t="s">
        <v>62</v>
      </c>
      <c r="D140">
        <v>2.8460543270375223E-3</v>
      </c>
      <c r="E140" t="s">
        <v>53</v>
      </c>
      <c r="G140" t="s">
        <v>89</v>
      </c>
      <c r="H140" t="s">
        <v>62</v>
      </c>
      <c r="I140">
        <v>9.6884353226634634E-2</v>
      </c>
      <c r="J140" t="s">
        <v>53</v>
      </c>
      <c r="L140" t="s">
        <v>102</v>
      </c>
      <c r="M140" t="s">
        <v>62</v>
      </c>
      <c r="N140">
        <v>7.6985856373433789E-2</v>
      </c>
      <c r="O140" t="s">
        <v>53</v>
      </c>
    </row>
    <row r="141" spans="2:15" x14ac:dyDescent="0.25">
      <c r="B141" t="s">
        <v>74</v>
      </c>
      <c r="C141" t="s">
        <v>63</v>
      </c>
      <c r="D141">
        <v>0.21317991474349232</v>
      </c>
      <c r="E141" t="s">
        <v>53</v>
      </c>
      <c r="G141" t="s">
        <v>89</v>
      </c>
      <c r="H141" t="s">
        <v>63</v>
      </c>
      <c r="I141">
        <v>9.9000840710367771E-2</v>
      </c>
      <c r="J141" t="s">
        <v>53</v>
      </c>
      <c r="L141" t="s">
        <v>102</v>
      </c>
      <c r="M141" t="s">
        <v>63</v>
      </c>
      <c r="N141">
        <v>9.5859547723542424E-2</v>
      </c>
      <c r="O141" t="s">
        <v>53</v>
      </c>
    </row>
    <row r="142" spans="2:15" x14ac:dyDescent="0.25">
      <c r="B142" t="s">
        <v>74</v>
      </c>
      <c r="C142" t="s">
        <v>64</v>
      </c>
      <c r="D142">
        <v>3.1387880099950985E-4</v>
      </c>
      <c r="E142" t="s">
        <v>53</v>
      </c>
      <c r="G142" t="s">
        <v>89</v>
      </c>
      <c r="H142" t="s">
        <v>64</v>
      </c>
      <c r="I142">
        <v>7.5491524371639002E-2</v>
      </c>
      <c r="J142" t="s">
        <v>53</v>
      </c>
      <c r="L142" t="s">
        <v>102</v>
      </c>
      <c r="M142" t="s">
        <v>64</v>
      </c>
      <c r="N142">
        <v>6.5443723639719828E-2</v>
      </c>
      <c r="O142" t="s">
        <v>53</v>
      </c>
    </row>
    <row r="143" spans="2:15" x14ac:dyDescent="0.25">
      <c r="B143" t="s">
        <v>75</v>
      </c>
      <c r="C143" t="s">
        <v>52</v>
      </c>
      <c r="D143">
        <v>0</v>
      </c>
      <c r="E143" t="s">
        <v>53</v>
      </c>
      <c r="G143" t="s">
        <v>90</v>
      </c>
      <c r="H143" t="s">
        <v>52</v>
      </c>
      <c r="I143">
        <v>9.896186260903185E-2</v>
      </c>
      <c r="J143" t="s">
        <v>53</v>
      </c>
      <c r="L143" t="s">
        <v>103</v>
      </c>
      <c r="M143" t="s">
        <v>52</v>
      </c>
      <c r="N143">
        <v>9.2186504251052806E-2</v>
      </c>
      <c r="O143" t="s">
        <v>53</v>
      </c>
    </row>
    <row r="144" spans="2:15" x14ac:dyDescent="0.25">
      <c r="B144" t="s">
        <v>75</v>
      </c>
      <c r="C144" t="s">
        <v>54</v>
      </c>
      <c r="D144">
        <v>0.13446222798592711</v>
      </c>
      <c r="E144" t="s">
        <v>53</v>
      </c>
      <c r="G144" t="s">
        <v>90</v>
      </c>
      <c r="H144" t="s">
        <v>54</v>
      </c>
      <c r="I144">
        <v>0.1034422246324731</v>
      </c>
      <c r="J144" t="s">
        <v>53</v>
      </c>
      <c r="L144" t="s">
        <v>103</v>
      </c>
      <c r="M144" t="s">
        <v>54</v>
      </c>
      <c r="N144">
        <v>0.11492152144060068</v>
      </c>
      <c r="O144" t="s">
        <v>53</v>
      </c>
    </row>
    <row r="145" spans="2:15" x14ac:dyDescent="0.25">
      <c r="B145" t="s">
        <v>75</v>
      </c>
      <c r="C145" t="s">
        <v>55</v>
      </c>
      <c r="D145">
        <v>0</v>
      </c>
      <c r="E145" t="s">
        <v>53</v>
      </c>
      <c r="G145" t="s">
        <v>90</v>
      </c>
      <c r="H145" t="s">
        <v>55</v>
      </c>
      <c r="I145">
        <v>7.5286467076396385E-2</v>
      </c>
      <c r="J145" t="s">
        <v>53</v>
      </c>
      <c r="L145" t="s">
        <v>103</v>
      </c>
      <c r="M145" t="s">
        <v>55</v>
      </c>
      <c r="N145">
        <v>6.8986729125638455E-2</v>
      </c>
      <c r="O145" t="s">
        <v>53</v>
      </c>
    </row>
    <row r="146" spans="2:15" x14ac:dyDescent="0.25">
      <c r="B146" t="s">
        <v>75</v>
      </c>
      <c r="C146" t="s">
        <v>56</v>
      </c>
      <c r="D146">
        <v>8.3731040493188209E-3</v>
      </c>
      <c r="E146" t="s">
        <v>53</v>
      </c>
      <c r="G146" t="s">
        <v>90</v>
      </c>
      <c r="H146" t="s">
        <v>56</v>
      </c>
      <c r="I146">
        <v>9.1862890056783261E-2</v>
      </c>
      <c r="J146" t="s">
        <v>53</v>
      </c>
      <c r="L146" t="s">
        <v>103</v>
      </c>
      <c r="M146" t="s">
        <v>56</v>
      </c>
      <c r="N146">
        <v>0.10553076785023499</v>
      </c>
      <c r="O146" t="s">
        <v>53</v>
      </c>
    </row>
    <row r="147" spans="2:15" x14ac:dyDescent="0.25">
      <c r="B147" t="s">
        <v>75</v>
      </c>
      <c r="C147" t="s">
        <v>57</v>
      </c>
      <c r="D147">
        <v>0.29139254422129796</v>
      </c>
      <c r="E147" t="s">
        <v>53</v>
      </c>
      <c r="G147" t="s">
        <v>90</v>
      </c>
      <c r="H147" t="s">
        <v>57</v>
      </c>
      <c r="I147">
        <v>0.10415947877787668</v>
      </c>
      <c r="J147" t="s">
        <v>53</v>
      </c>
      <c r="L147" t="s">
        <v>103</v>
      </c>
      <c r="M147" t="s">
        <v>57</v>
      </c>
      <c r="N147">
        <v>0.11315512646617627</v>
      </c>
      <c r="O147" t="s">
        <v>53</v>
      </c>
    </row>
    <row r="148" spans="2:15" x14ac:dyDescent="0.25">
      <c r="B148" t="s">
        <v>75</v>
      </c>
      <c r="C148" t="s">
        <v>58</v>
      </c>
      <c r="D148">
        <v>3.4733394164296215E-3</v>
      </c>
      <c r="E148" t="s">
        <v>53</v>
      </c>
      <c r="G148" t="s">
        <v>90</v>
      </c>
      <c r="H148" t="s">
        <v>58</v>
      </c>
      <c r="I148">
        <v>7.3550551876110634E-2</v>
      </c>
      <c r="J148" t="s">
        <v>53</v>
      </c>
      <c r="L148" t="s">
        <v>103</v>
      </c>
      <c r="M148" t="s">
        <v>58</v>
      </c>
      <c r="N148">
        <v>8.3368336230817061E-2</v>
      </c>
      <c r="O148" t="s">
        <v>53</v>
      </c>
    </row>
    <row r="149" spans="2:15" x14ac:dyDescent="0.25">
      <c r="B149" t="s">
        <v>75</v>
      </c>
      <c r="C149" t="s">
        <v>59</v>
      </c>
      <c r="D149">
        <v>1.3354326991033071E-2</v>
      </c>
      <c r="E149" t="s">
        <v>53</v>
      </c>
      <c r="G149" t="s">
        <v>90</v>
      </c>
      <c r="H149" t="s">
        <v>59</v>
      </c>
      <c r="I149">
        <v>4.9319018594616244E-2</v>
      </c>
      <c r="J149" t="s">
        <v>53</v>
      </c>
      <c r="L149" t="s">
        <v>103</v>
      </c>
      <c r="M149" t="s">
        <v>59</v>
      </c>
      <c r="N149">
        <v>5.1752264111368108E-2</v>
      </c>
      <c r="O149" t="s">
        <v>53</v>
      </c>
    </row>
    <row r="150" spans="2:15" x14ac:dyDescent="0.25">
      <c r="B150" t="s">
        <v>75</v>
      </c>
      <c r="C150" t="s">
        <v>60</v>
      </c>
      <c r="D150">
        <v>0.32509382900219191</v>
      </c>
      <c r="E150" t="s">
        <v>53</v>
      </c>
      <c r="G150" t="s">
        <v>90</v>
      </c>
      <c r="H150" t="s">
        <v>60</v>
      </c>
      <c r="I150">
        <v>5.8509806806872802E-2</v>
      </c>
      <c r="J150" t="s">
        <v>53</v>
      </c>
      <c r="L150" t="s">
        <v>103</v>
      </c>
      <c r="M150" t="s">
        <v>60</v>
      </c>
      <c r="N150">
        <v>7.1745876850444756E-2</v>
      </c>
      <c r="O150" t="s">
        <v>53</v>
      </c>
    </row>
    <row r="151" spans="2:15" x14ac:dyDescent="0.25">
      <c r="B151" t="s">
        <v>75</v>
      </c>
      <c r="C151" t="s">
        <v>61</v>
      </c>
      <c r="D151">
        <v>7.494793534131898E-3</v>
      </c>
      <c r="E151" t="s">
        <v>53</v>
      </c>
      <c r="G151" t="s">
        <v>90</v>
      </c>
      <c r="H151" t="s">
        <v>61</v>
      </c>
      <c r="I151">
        <v>5.1732302520020167E-2</v>
      </c>
      <c r="J151" t="s">
        <v>53</v>
      </c>
      <c r="L151" t="s">
        <v>103</v>
      </c>
      <c r="M151" t="s">
        <v>61</v>
      </c>
      <c r="N151">
        <v>5.0055646912107891E-2</v>
      </c>
      <c r="O151" t="s">
        <v>53</v>
      </c>
    </row>
    <row r="152" spans="2:15" x14ac:dyDescent="0.25">
      <c r="B152" t="s">
        <v>75</v>
      </c>
      <c r="C152" t="s">
        <v>62</v>
      </c>
      <c r="D152">
        <v>2.7228809163418371E-3</v>
      </c>
      <c r="E152" t="s">
        <v>53</v>
      </c>
      <c r="G152" t="s">
        <v>90</v>
      </c>
      <c r="H152" t="s">
        <v>62</v>
      </c>
      <c r="I152">
        <v>9.7102836947734389E-2</v>
      </c>
      <c r="J152" t="s">
        <v>53</v>
      </c>
      <c r="L152" t="s">
        <v>103</v>
      </c>
      <c r="M152" t="s">
        <v>62</v>
      </c>
      <c r="N152">
        <v>8.3680677744308582E-2</v>
      </c>
      <c r="O152" t="s">
        <v>53</v>
      </c>
    </row>
    <row r="153" spans="2:15" x14ac:dyDescent="0.25">
      <c r="B153" t="s">
        <v>75</v>
      </c>
      <c r="C153" t="s">
        <v>63</v>
      </c>
      <c r="D153">
        <v>0.21328665063120666</v>
      </c>
      <c r="E153" t="s">
        <v>53</v>
      </c>
      <c r="G153" t="s">
        <v>90</v>
      </c>
      <c r="H153" t="s">
        <v>63</v>
      </c>
      <c r="I153">
        <v>0.12150960559984172</v>
      </c>
      <c r="J153" t="s">
        <v>53</v>
      </c>
      <c r="L153" t="s">
        <v>103</v>
      </c>
      <c r="M153" t="s">
        <v>63</v>
      </c>
      <c r="N153">
        <v>9.96540810052126E-2</v>
      </c>
      <c r="O153" t="s">
        <v>53</v>
      </c>
    </row>
    <row r="154" spans="2:15" x14ac:dyDescent="0.25">
      <c r="B154" t="s">
        <v>75</v>
      </c>
      <c r="C154" t="s">
        <v>64</v>
      </c>
      <c r="D154">
        <v>3.463032521167145E-4</v>
      </c>
      <c r="E154" t="s">
        <v>53</v>
      </c>
      <c r="G154" t="s">
        <v>90</v>
      </c>
      <c r="H154" t="s">
        <v>64</v>
      </c>
      <c r="I154">
        <v>7.456295450224297E-2</v>
      </c>
      <c r="J154" t="s">
        <v>53</v>
      </c>
      <c r="L154" t="s">
        <v>103</v>
      </c>
      <c r="M154" t="s">
        <v>64</v>
      </c>
      <c r="N154">
        <v>6.4962468012031913E-2</v>
      </c>
      <c r="O154" t="s">
        <v>53</v>
      </c>
    </row>
    <row r="155" spans="2:15" x14ac:dyDescent="0.25">
      <c r="B155" t="s">
        <v>76</v>
      </c>
      <c r="C155" t="s">
        <v>52</v>
      </c>
      <c r="D155">
        <v>0</v>
      </c>
      <c r="E155" t="s">
        <v>53</v>
      </c>
      <c r="G155" t="s">
        <v>91</v>
      </c>
      <c r="H155" t="s">
        <v>52</v>
      </c>
      <c r="I155">
        <v>0.10100743787144897</v>
      </c>
      <c r="J155" t="s">
        <v>53</v>
      </c>
    </row>
    <row r="156" spans="2:15" x14ac:dyDescent="0.25">
      <c r="B156" t="s">
        <v>76</v>
      </c>
      <c r="C156" t="s">
        <v>54</v>
      </c>
      <c r="D156">
        <v>0.13964839239805552</v>
      </c>
      <c r="E156" t="s">
        <v>53</v>
      </c>
      <c r="G156" t="s">
        <v>91</v>
      </c>
      <c r="H156" t="s">
        <v>54</v>
      </c>
      <c r="I156">
        <v>0.10255794393102227</v>
      </c>
      <c r="J156" t="s">
        <v>53</v>
      </c>
    </row>
    <row r="157" spans="2:15" x14ac:dyDescent="0.25">
      <c r="B157" t="s">
        <v>76</v>
      </c>
      <c r="C157" t="s">
        <v>55</v>
      </c>
      <c r="D157">
        <v>0</v>
      </c>
      <c r="E157" t="s">
        <v>53</v>
      </c>
      <c r="G157" t="s">
        <v>91</v>
      </c>
      <c r="H157" t="s">
        <v>55</v>
      </c>
      <c r="I157">
        <v>8.0964399427348024E-2</v>
      </c>
      <c r="J157" t="s">
        <v>53</v>
      </c>
    </row>
    <row r="158" spans="2:15" x14ac:dyDescent="0.25">
      <c r="B158" t="s">
        <v>76</v>
      </c>
      <c r="C158" t="s">
        <v>56</v>
      </c>
      <c r="D158">
        <v>7.5211491582863636E-3</v>
      </c>
      <c r="E158" t="s">
        <v>53</v>
      </c>
      <c r="G158" t="s">
        <v>91</v>
      </c>
      <c r="H158" t="s">
        <v>56</v>
      </c>
      <c r="I158">
        <v>0.10610581978398599</v>
      </c>
      <c r="J158" t="s">
        <v>53</v>
      </c>
    </row>
    <row r="159" spans="2:15" x14ac:dyDescent="0.25">
      <c r="B159" t="s">
        <v>76</v>
      </c>
      <c r="C159" t="s">
        <v>57</v>
      </c>
      <c r="D159">
        <v>0.29067459811588325</v>
      </c>
      <c r="E159" t="s">
        <v>53</v>
      </c>
      <c r="G159" t="s">
        <v>91</v>
      </c>
      <c r="H159" t="s">
        <v>57</v>
      </c>
      <c r="I159">
        <v>9.7259240829754359E-2</v>
      </c>
      <c r="J159" t="s">
        <v>53</v>
      </c>
    </row>
    <row r="160" spans="2:15" x14ac:dyDescent="0.25">
      <c r="B160" t="s">
        <v>76</v>
      </c>
      <c r="C160" t="s">
        <v>58</v>
      </c>
      <c r="D160">
        <v>3.805951472142001E-3</v>
      </c>
      <c r="E160" t="s">
        <v>53</v>
      </c>
      <c r="G160" t="s">
        <v>91</v>
      </c>
      <c r="H160" t="s">
        <v>58</v>
      </c>
      <c r="I160">
        <v>7.5308603506831231E-2</v>
      </c>
      <c r="J160" t="s">
        <v>53</v>
      </c>
    </row>
    <row r="161" spans="2:10" x14ac:dyDescent="0.25">
      <c r="B161" t="s">
        <v>76</v>
      </c>
      <c r="C161" t="s">
        <v>59</v>
      </c>
      <c r="D161">
        <v>1.2055420542482466E-2</v>
      </c>
      <c r="E161" t="s">
        <v>53</v>
      </c>
      <c r="G161" t="s">
        <v>91</v>
      </c>
      <c r="H161" t="s">
        <v>59</v>
      </c>
      <c r="I161">
        <v>6.1008047797708999E-2</v>
      </c>
      <c r="J161" t="s">
        <v>53</v>
      </c>
    </row>
    <row r="162" spans="2:10" x14ac:dyDescent="0.25">
      <c r="B162" t="s">
        <v>76</v>
      </c>
      <c r="C162" t="s">
        <v>60</v>
      </c>
      <c r="D162">
        <v>0.32143695520721932</v>
      </c>
      <c r="E162" t="s">
        <v>53</v>
      </c>
      <c r="G162" t="s">
        <v>91</v>
      </c>
      <c r="H162" t="s">
        <v>60</v>
      </c>
      <c r="I162">
        <v>5.3744416775382997E-2</v>
      </c>
      <c r="J162" t="s">
        <v>53</v>
      </c>
    </row>
    <row r="163" spans="2:10" x14ac:dyDescent="0.25">
      <c r="B163" t="s">
        <v>76</v>
      </c>
      <c r="C163" t="s">
        <v>61</v>
      </c>
      <c r="D163">
        <v>8.0235123460854086E-3</v>
      </c>
      <c r="E163" t="s">
        <v>53</v>
      </c>
      <c r="G163" t="s">
        <v>91</v>
      </c>
      <c r="H163" t="s">
        <v>61</v>
      </c>
      <c r="I163">
        <v>5.0315922206730854E-2</v>
      </c>
      <c r="J163" t="s">
        <v>53</v>
      </c>
    </row>
    <row r="164" spans="2:10" x14ac:dyDescent="0.25">
      <c r="B164" t="s">
        <v>76</v>
      </c>
      <c r="C164" t="s">
        <v>62</v>
      </c>
      <c r="D164">
        <v>2.3054407639200611E-3</v>
      </c>
      <c r="E164" t="s">
        <v>53</v>
      </c>
      <c r="G164" t="s">
        <v>91</v>
      </c>
      <c r="H164" t="s">
        <v>62</v>
      </c>
      <c r="I164">
        <v>9.677492784707202E-2</v>
      </c>
      <c r="J164" t="s">
        <v>53</v>
      </c>
    </row>
    <row r="165" spans="2:10" x14ac:dyDescent="0.25">
      <c r="B165" t="s">
        <v>76</v>
      </c>
      <c r="C165" t="s">
        <v>63</v>
      </c>
      <c r="D165">
        <v>0.21409044309144679</v>
      </c>
      <c r="E165" t="s">
        <v>53</v>
      </c>
      <c r="G165" t="s">
        <v>91</v>
      </c>
      <c r="H165" t="s">
        <v>63</v>
      </c>
      <c r="I165">
        <v>0.10008980862939777</v>
      </c>
      <c r="J165" t="s">
        <v>53</v>
      </c>
    </row>
    <row r="166" spans="2:10" x14ac:dyDescent="0.25">
      <c r="B166" t="s">
        <v>76</v>
      </c>
      <c r="C166" t="s">
        <v>64</v>
      </c>
      <c r="D166">
        <v>4.3813690448209783E-4</v>
      </c>
      <c r="E166" t="s">
        <v>53</v>
      </c>
      <c r="G166" t="s">
        <v>91</v>
      </c>
      <c r="H166" t="s">
        <v>64</v>
      </c>
      <c r="I166">
        <v>7.4863431393312543E-2</v>
      </c>
      <c r="J166" t="s">
        <v>53</v>
      </c>
    </row>
    <row r="167" spans="2:10" x14ac:dyDescent="0.25">
      <c r="B167" t="s">
        <v>77</v>
      </c>
      <c r="C167" t="s">
        <v>52</v>
      </c>
      <c r="D167">
        <v>0</v>
      </c>
      <c r="E167" t="s">
        <v>53</v>
      </c>
    </row>
    <row r="168" spans="2:10" x14ac:dyDescent="0.25">
      <c r="B168" t="s">
        <v>77</v>
      </c>
      <c r="C168" t="s">
        <v>54</v>
      </c>
      <c r="D168">
        <v>0.13389047794721928</v>
      </c>
      <c r="E168" t="s">
        <v>53</v>
      </c>
    </row>
    <row r="169" spans="2:10" x14ac:dyDescent="0.25">
      <c r="B169" t="s">
        <v>77</v>
      </c>
      <c r="C169" t="s">
        <v>55</v>
      </c>
      <c r="D169">
        <v>0</v>
      </c>
      <c r="E169" t="s">
        <v>53</v>
      </c>
    </row>
    <row r="170" spans="2:10" x14ac:dyDescent="0.25">
      <c r="B170" t="s">
        <v>77</v>
      </c>
      <c r="C170" t="s">
        <v>56</v>
      </c>
      <c r="D170">
        <v>7.279818305899406E-3</v>
      </c>
      <c r="E170" t="s">
        <v>53</v>
      </c>
    </row>
    <row r="171" spans="2:10" x14ac:dyDescent="0.25">
      <c r="B171" t="s">
        <v>77</v>
      </c>
      <c r="C171" t="s">
        <v>57</v>
      </c>
      <c r="D171">
        <v>0.29161552021607529</v>
      </c>
      <c r="E171" t="s">
        <v>53</v>
      </c>
    </row>
    <row r="172" spans="2:10" x14ac:dyDescent="0.25">
      <c r="B172" t="s">
        <v>77</v>
      </c>
      <c r="C172" t="s">
        <v>58</v>
      </c>
      <c r="D172">
        <v>4.18313376045263E-3</v>
      </c>
      <c r="E172" t="s">
        <v>53</v>
      </c>
    </row>
    <row r="173" spans="2:10" x14ac:dyDescent="0.25">
      <c r="B173" t="s">
        <v>77</v>
      </c>
      <c r="C173" t="s">
        <v>59</v>
      </c>
      <c r="D173">
        <v>1.1878034771937593E-2</v>
      </c>
      <c r="E173" t="s">
        <v>53</v>
      </c>
    </row>
    <row r="174" spans="2:10" x14ac:dyDescent="0.25">
      <c r="B174" t="s">
        <v>77</v>
      </c>
      <c r="C174" t="s">
        <v>60</v>
      </c>
      <c r="D174">
        <v>0.32952196913854959</v>
      </c>
      <c r="E174" t="s">
        <v>53</v>
      </c>
    </row>
    <row r="175" spans="2:10" x14ac:dyDescent="0.25">
      <c r="B175" t="s">
        <v>77</v>
      </c>
      <c r="C175" t="s">
        <v>61</v>
      </c>
      <c r="D175">
        <v>8.6874378947325321E-3</v>
      </c>
      <c r="E175" t="s">
        <v>53</v>
      </c>
    </row>
    <row r="176" spans="2:10" x14ac:dyDescent="0.25">
      <c r="B176" t="s">
        <v>77</v>
      </c>
      <c r="C176" t="s">
        <v>62</v>
      </c>
      <c r="D176">
        <v>2.0501778018592477E-3</v>
      </c>
      <c r="E176" t="s">
        <v>53</v>
      </c>
    </row>
    <row r="177" spans="2:5" x14ac:dyDescent="0.25">
      <c r="B177" t="s">
        <v>77</v>
      </c>
      <c r="C177" t="s">
        <v>63</v>
      </c>
      <c r="D177">
        <v>0.21041073268913871</v>
      </c>
      <c r="E177" t="s">
        <v>53</v>
      </c>
    </row>
    <row r="178" spans="2:5" x14ac:dyDescent="0.25">
      <c r="B178" t="s">
        <v>77</v>
      </c>
      <c r="C178" t="s">
        <v>64</v>
      </c>
      <c r="D178">
        <v>4.8269747413991719E-4</v>
      </c>
      <c r="E178" t="s">
        <v>53</v>
      </c>
    </row>
    <row r="179" spans="2:5" x14ac:dyDescent="0.25">
      <c r="B179" t="s">
        <v>78</v>
      </c>
      <c r="C179" t="s">
        <v>52</v>
      </c>
      <c r="D179">
        <v>0</v>
      </c>
      <c r="E179" t="s">
        <v>53</v>
      </c>
    </row>
    <row r="180" spans="2:5" x14ac:dyDescent="0.25">
      <c r="B180" t="s">
        <v>78</v>
      </c>
      <c r="C180" t="s">
        <v>54</v>
      </c>
      <c r="D180">
        <v>0.13760715759765993</v>
      </c>
      <c r="E180" t="s">
        <v>53</v>
      </c>
    </row>
    <row r="181" spans="2:5" x14ac:dyDescent="0.25">
      <c r="B181" t="s">
        <v>78</v>
      </c>
      <c r="C181" t="s">
        <v>55</v>
      </c>
      <c r="D181">
        <v>2.0885617066882985E-8</v>
      </c>
      <c r="E181" t="s">
        <v>53</v>
      </c>
    </row>
    <row r="182" spans="2:5" x14ac:dyDescent="0.25">
      <c r="B182" t="s">
        <v>78</v>
      </c>
      <c r="C182" t="s">
        <v>56</v>
      </c>
      <c r="D182">
        <v>6.5709816867416939E-3</v>
      </c>
      <c r="E182" t="s">
        <v>53</v>
      </c>
    </row>
    <row r="183" spans="2:5" x14ac:dyDescent="0.25">
      <c r="B183" t="s">
        <v>78</v>
      </c>
      <c r="C183" t="s">
        <v>57</v>
      </c>
      <c r="D183">
        <v>0.2890253986152605</v>
      </c>
      <c r="E183" t="s">
        <v>53</v>
      </c>
    </row>
    <row r="184" spans="2:5" x14ac:dyDescent="0.25">
      <c r="B184" t="s">
        <v>78</v>
      </c>
      <c r="C184" t="s">
        <v>58</v>
      </c>
      <c r="D184">
        <v>4.4878788574820323E-3</v>
      </c>
      <c r="E184" t="s">
        <v>53</v>
      </c>
    </row>
    <row r="185" spans="2:5" x14ac:dyDescent="0.25">
      <c r="B185" t="s">
        <v>78</v>
      </c>
      <c r="C185" t="s">
        <v>59</v>
      </c>
      <c r="D185">
        <v>1.1100946078671551E-2</v>
      </c>
      <c r="E185" t="s">
        <v>53</v>
      </c>
    </row>
    <row r="186" spans="2:5" x14ac:dyDescent="0.25">
      <c r="B186" t="s">
        <v>78</v>
      </c>
      <c r="C186" t="s">
        <v>60</v>
      </c>
      <c r="D186">
        <v>0.32947111165255227</v>
      </c>
      <c r="E186" t="s">
        <v>53</v>
      </c>
    </row>
    <row r="187" spans="2:5" x14ac:dyDescent="0.25">
      <c r="B187" t="s">
        <v>78</v>
      </c>
      <c r="C187" t="s">
        <v>61</v>
      </c>
      <c r="D187">
        <v>8.8138076054061591E-3</v>
      </c>
      <c r="E187" t="s">
        <v>53</v>
      </c>
    </row>
    <row r="188" spans="2:5" x14ac:dyDescent="0.25">
      <c r="B188" t="s">
        <v>78</v>
      </c>
      <c r="C188" t="s">
        <v>62</v>
      </c>
      <c r="D188">
        <v>1.8833412301661825E-3</v>
      </c>
      <c r="E188" t="s">
        <v>53</v>
      </c>
    </row>
    <row r="189" spans="2:5" x14ac:dyDescent="0.25">
      <c r="B189" t="s">
        <v>78</v>
      </c>
      <c r="C189" t="s">
        <v>63</v>
      </c>
      <c r="D189">
        <v>0.21049815415577994</v>
      </c>
      <c r="E189" t="s">
        <v>53</v>
      </c>
    </row>
    <row r="190" spans="2:5" x14ac:dyDescent="0.25">
      <c r="B190" t="s">
        <v>78</v>
      </c>
      <c r="C190" t="s">
        <v>64</v>
      </c>
      <c r="D190">
        <v>5.4120163466280197E-4</v>
      </c>
      <c r="E190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BA45B-8A1D-4101-ACAC-2919F5705D4E}">
  <dimension ref="B9:BL50"/>
  <sheetViews>
    <sheetView workbookViewId="0"/>
  </sheetViews>
  <sheetFormatPr defaultRowHeight="15" x14ac:dyDescent="0.25"/>
  <sheetData>
    <row r="9" spans="2:64" x14ac:dyDescent="0.25">
      <c r="B9" t="str">
        <f>IF(A11="x","DeActivated","~TFM_DINS-TSL: attribute=FLO_EMIS; other_indexes=ACT")</f>
        <v>~TFM_DINS-TSL: attribute=FLO_EMIS; other_indexes=ACT</v>
      </c>
      <c r="Q9" t="str">
        <f>IF(A11="x","DeActivated","~TFM_INS-TSL: attribute=FLO_SHAR; limtype=FX")</f>
        <v>~TFM_INS-TSL: attribute=FLO_SHAR; limtype=FX</v>
      </c>
      <c r="AF9" t="str">
        <f>IF(A11="x","DeActivated","~TFM_INS-TSL: attribute=FLO_SHAR; limtype=FX")</f>
        <v>~TFM_INS-TSL: attribute=FLO_SHAR; limtype=FX</v>
      </c>
      <c r="AU9" t="str">
        <f>IF(A11="x","DeActivated","~TFM_DINS-TSL: attribute=NCAP_PKCNT")</f>
        <v>~TFM_DINS-TSL: attribute=NCAP_PKCNT</v>
      </c>
      <c r="BI9" t="str">
        <f>IF(A11="x","DeActivated","~TFM_DINS-AT")</f>
        <v>~TFM_DINS-AT</v>
      </c>
    </row>
    <row r="10" spans="2:64" x14ac:dyDescent="0.25">
      <c r="B10" t="s">
        <v>50</v>
      </c>
      <c r="C10" t="s">
        <v>47</v>
      </c>
      <c r="D10" t="s">
        <v>52</v>
      </c>
      <c r="E10" t="s">
        <v>54</v>
      </c>
      <c r="F10" t="s">
        <v>55</v>
      </c>
      <c r="G10" t="s">
        <v>56</v>
      </c>
      <c r="H10" t="s">
        <v>57</v>
      </c>
      <c r="I10" t="s">
        <v>58</v>
      </c>
      <c r="J10" t="s">
        <v>59</v>
      </c>
      <c r="K10" t="s">
        <v>60</v>
      </c>
      <c r="L10" t="s">
        <v>61</v>
      </c>
      <c r="M10" t="s">
        <v>62</v>
      </c>
      <c r="N10" t="s">
        <v>63</v>
      </c>
      <c r="O10" t="s">
        <v>64</v>
      </c>
      <c r="Q10" t="s">
        <v>50</v>
      </c>
      <c r="R10" t="s">
        <v>47</v>
      </c>
      <c r="S10" t="s">
        <v>52</v>
      </c>
      <c r="T10" t="s">
        <v>54</v>
      </c>
      <c r="U10" t="s">
        <v>55</v>
      </c>
      <c r="V10" t="s">
        <v>56</v>
      </c>
      <c r="W10" t="s">
        <v>57</v>
      </c>
      <c r="X10" t="s">
        <v>58</v>
      </c>
      <c r="Y10" t="s">
        <v>59</v>
      </c>
      <c r="Z10" t="s">
        <v>60</v>
      </c>
      <c r="AA10" t="s">
        <v>61</v>
      </c>
      <c r="AB10" t="s">
        <v>62</v>
      </c>
      <c r="AC10" t="s">
        <v>63</v>
      </c>
      <c r="AD10" t="s">
        <v>64</v>
      </c>
      <c r="AF10" t="s">
        <v>50</v>
      </c>
      <c r="AG10" t="s">
        <v>47</v>
      </c>
      <c r="AH10" t="s">
        <v>52</v>
      </c>
      <c r="AI10" t="s">
        <v>54</v>
      </c>
      <c r="AJ10" t="s">
        <v>55</v>
      </c>
      <c r="AK10" t="s">
        <v>56</v>
      </c>
      <c r="AL10" t="s">
        <v>57</v>
      </c>
      <c r="AM10" t="s">
        <v>58</v>
      </c>
      <c r="AN10" t="s">
        <v>59</v>
      </c>
      <c r="AO10" t="s">
        <v>60</v>
      </c>
      <c r="AP10" t="s">
        <v>61</v>
      </c>
      <c r="AQ10" t="s">
        <v>62</v>
      </c>
      <c r="AR10" t="s">
        <v>63</v>
      </c>
      <c r="AS10" t="s">
        <v>64</v>
      </c>
      <c r="AU10" t="s">
        <v>50</v>
      </c>
      <c r="AV10" t="s">
        <v>52</v>
      </c>
      <c r="AW10" t="s">
        <v>54</v>
      </c>
      <c r="AX10" t="s">
        <v>55</v>
      </c>
      <c r="AY10" t="s">
        <v>56</v>
      </c>
      <c r="AZ10" t="s">
        <v>57</v>
      </c>
      <c r="BA10" t="s">
        <v>58</v>
      </c>
      <c r="BB10" t="s">
        <v>59</v>
      </c>
      <c r="BC10" t="s">
        <v>60</v>
      </c>
      <c r="BD10" t="s">
        <v>61</v>
      </c>
      <c r="BE10" t="s">
        <v>62</v>
      </c>
      <c r="BF10" t="s">
        <v>63</v>
      </c>
      <c r="BG10" t="s">
        <v>64</v>
      </c>
      <c r="BI10" t="s">
        <v>50</v>
      </c>
      <c r="BJ10" t="s">
        <v>47</v>
      </c>
      <c r="BK10" t="s">
        <v>149</v>
      </c>
      <c r="BL10" t="s">
        <v>150</v>
      </c>
    </row>
    <row r="11" spans="2:64" x14ac:dyDescent="0.25">
      <c r="B11" t="s">
        <v>104</v>
      </c>
      <c r="C11" t="s">
        <v>31</v>
      </c>
      <c r="D11">
        <v>0</v>
      </c>
      <c r="E11">
        <v>0.33087987297593563</v>
      </c>
      <c r="F11">
        <v>0.99444444444444446</v>
      </c>
      <c r="G11">
        <v>0.83089460564443796</v>
      </c>
      <c r="H11">
        <v>0.20015577469772347</v>
      </c>
      <c r="I11">
        <v>0.78287186481806481</v>
      </c>
      <c r="J11">
        <v>0.76726145712534899</v>
      </c>
      <c r="K11">
        <v>0.13587167626633223</v>
      </c>
      <c r="L11">
        <v>0.70843643372898579</v>
      </c>
      <c r="M11">
        <v>0.91688965787035359</v>
      </c>
      <c r="N11">
        <v>0.27363116774547946</v>
      </c>
      <c r="O11">
        <v>0.94871794871794868</v>
      </c>
      <c r="Q11" t="s">
        <v>144</v>
      </c>
      <c r="R11" t="s">
        <v>145</v>
      </c>
      <c r="S11">
        <v>0</v>
      </c>
      <c r="T11">
        <v>0.18734925474018235</v>
      </c>
      <c r="U11">
        <v>0.97589199155056328</v>
      </c>
      <c r="V11">
        <v>0.70815733927110691</v>
      </c>
      <c r="W11">
        <v>0.10621387850458505</v>
      </c>
      <c r="X11">
        <v>0.63561650002008363</v>
      </c>
      <c r="Y11">
        <v>0.61811307564427143</v>
      </c>
      <c r="Z11">
        <v>7.2309960226785361E-2</v>
      </c>
      <c r="AA11">
        <v>0.54715247667118705</v>
      </c>
      <c r="AB11">
        <v>0.84913084936741556</v>
      </c>
      <c r="AC11">
        <v>0.1461819079414422</v>
      </c>
      <c r="AD11">
        <v>0.89763407380351734</v>
      </c>
      <c r="AF11" t="s">
        <v>144</v>
      </c>
      <c r="AG11" t="s">
        <v>148</v>
      </c>
      <c r="AH11">
        <v>0</v>
      </c>
      <c r="AI11">
        <v>2.3152936618506752E-2</v>
      </c>
      <c r="AJ11">
        <v>0</v>
      </c>
      <c r="AK11">
        <v>0</v>
      </c>
      <c r="AL11">
        <v>2.1611351370850958E-2</v>
      </c>
      <c r="AM11">
        <v>0</v>
      </c>
      <c r="AN11">
        <v>0</v>
      </c>
      <c r="AO11">
        <v>1.1007962382157576E-2</v>
      </c>
      <c r="AP11">
        <v>0</v>
      </c>
      <c r="AQ11">
        <v>0</v>
      </c>
      <c r="AR11">
        <v>2.4718733916603657E-2</v>
      </c>
      <c r="AS11">
        <v>0</v>
      </c>
      <c r="AU11" t="s">
        <v>104</v>
      </c>
      <c r="AV11">
        <v>0</v>
      </c>
      <c r="AW11">
        <v>0.26523889514002252</v>
      </c>
      <c r="AX11">
        <v>4.3064046388274027E-5</v>
      </c>
      <c r="AY11">
        <v>1.133183147299551E-2</v>
      </c>
      <c r="AZ11">
        <v>0.42731041108177781</v>
      </c>
      <c r="BA11">
        <v>1.1073727242822516E-2</v>
      </c>
      <c r="BB11">
        <v>1.9409342282742041E-2</v>
      </c>
      <c r="BC11">
        <v>0.49673939111873328</v>
      </c>
      <c r="BD11">
        <v>2.0882724879281254E-2</v>
      </c>
      <c r="BE11">
        <v>4.055311317596357E-3</v>
      </c>
      <c r="BF11">
        <v>0.33748212776451603</v>
      </c>
      <c r="BG11">
        <v>1.4587782007441667E-3</v>
      </c>
      <c r="BI11" t="s">
        <v>104</v>
      </c>
      <c r="BJ11" t="s">
        <v>151</v>
      </c>
      <c r="BK11" t="s">
        <v>152</v>
      </c>
      <c r="BL11">
        <v>0.41952847388384873</v>
      </c>
    </row>
    <row r="12" spans="2:64" x14ac:dyDescent="0.25">
      <c r="B12" t="s">
        <v>105</v>
      </c>
      <c r="C12" t="s">
        <v>31</v>
      </c>
      <c r="D12">
        <v>0</v>
      </c>
      <c r="E12">
        <v>0.33759922420431199</v>
      </c>
      <c r="F12">
        <v>0.99252779186043671</v>
      </c>
      <c r="G12">
        <v>0.8356681049370227</v>
      </c>
      <c r="H12">
        <v>0.20748318353452402</v>
      </c>
      <c r="I12">
        <v>0.77659433339928374</v>
      </c>
      <c r="J12">
        <v>0.7689805374199955</v>
      </c>
      <c r="K12">
        <v>0.13785163853362326</v>
      </c>
      <c r="L12">
        <v>0.7034034659988595</v>
      </c>
      <c r="M12">
        <v>0.92629019087128628</v>
      </c>
      <c r="N12">
        <v>0.28506745882140316</v>
      </c>
      <c r="O12">
        <v>0.94758880864430706</v>
      </c>
      <c r="Q12" t="s">
        <v>146</v>
      </c>
      <c r="R12" t="s">
        <v>145</v>
      </c>
      <c r="S12">
        <v>4.5522597855774203E-3</v>
      </c>
      <c r="T12">
        <v>1.014939340787782E-2</v>
      </c>
      <c r="U12">
        <v>1.7647820277120797E-2</v>
      </c>
      <c r="V12">
        <v>1.9688498067920914E-2</v>
      </c>
      <c r="W12">
        <v>6.5048204510781233E-3</v>
      </c>
      <c r="X12">
        <v>1.9200798909767079E-2</v>
      </c>
      <c r="Y12">
        <v>1.9534904250742672E-2</v>
      </c>
      <c r="Z12">
        <v>2.1633209328150917E-2</v>
      </c>
      <c r="AA12">
        <v>3.1965442384272694E-2</v>
      </c>
      <c r="AB12">
        <v>1.982781780620114E-3</v>
      </c>
      <c r="AC12">
        <v>5.638930705426367E-3</v>
      </c>
      <c r="AD12">
        <v>8.7997017704109625E-3</v>
      </c>
      <c r="AF12" t="s">
        <v>146</v>
      </c>
      <c r="AG12" t="s">
        <v>148</v>
      </c>
      <c r="AH12">
        <v>2.3388972503734173E-2</v>
      </c>
      <c r="AI12">
        <v>1.9281912133791212E-2</v>
      </c>
      <c r="AJ12">
        <v>4.1183707191086473E-2</v>
      </c>
      <c r="AK12">
        <v>6.8591111330109561E-2</v>
      </c>
      <c r="AL12">
        <v>2.5569214532099233E-2</v>
      </c>
      <c r="AM12">
        <v>1.8929942167283036E-2</v>
      </c>
      <c r="AN12">
        <v>4.167167559068518E-2</v>
      </c>
      <c r="AO12">
        <v>3.1662772673485884E-2</v>
      </c>
      <c r="AP12">
        <v>2.6773183630058293E-2</v>
      </c>
      <c r="AQ12">
        <v>2.5853506760047266E-2</v>
      </c>
      <c r="AR12">
        <v>2.2744497423268967E-2</v>
      </c>
      <c r="AS12">
        <v>2.4692597348308601E-2</v>
      </c>
      <c r="AU12" t="s">
        <v>105</v>
      </c>
      <c r="AV12">
        <v>0</v>
      </c>
      <c r="AW12">
        <v>0.25211223204032834</v>
      </c>
      <c r="AX12">
        <v>8.5517675673130471E-5</v>
      </c>
      <c r="AY12">
        <v>1.0451942900657986E-2</v>
      </c>
      <c r="AZ12">
        <v>0.40986970467371153</v>
      </c>
      <c r="BA12">
        <v>1.1703912222600249E-2</v>
      </c>
      <c r="BB12">
        <v>1.8392720494876735E-2</v>
      </c>
      <c r="BC12">
        <v>0.47673620094488844</v>
      </c>
      <c r="BD12">
        <v>2.2141239864435041E-2</v>
      </c>
      <c r="BE12">
        <v>3.368421558549997E-3</v>
      </c>
      <c r="BF12">
        <v>0.32018051001045583</v>
      </c>
      <c r="BG12">
        <v>1.6801047348574767E-3</v>
      </c>
      <c r="BI12" t="s">
        <v>105</v>
      </c>
      <c r="BJ12" t="s">
        <v>151</v>
      </c>
      <c r="BK12" t="s">
        <v>152</v>
      </c>
      <c r="BL12">
        <v>0.439604795894603</v>
      </c>
    </row>
    <row r="13" spans="2:64" x14ac:dyDescent="0.25">
      <c r="B13" t="s">
        <v>106</v>
      </c>
      <c r="C13" t="s">
        <v>31</v>
      </c>
      <c r="D13">
        <v>0</v>
      </c>
      <c r="E13">
        <v>0.35976978109850283</v>
      </c>
      <c r="F13">
        <v>0.98703703703703694</v>
      </c>
      <c r="G13">
        <v>0.84573780942954069</v>
      </c>
      <c r="H13">
        <v>0.22636939236310274</v>
      </c>
      <c r="I13">
        <v>0.76715863750657176</v>
      </c>
      <c r="J13">
        <v>0.77914493616565939</v>
      </c>
      <c r="K13">
        <v>0.14029715256611139</v>
      </c>
      <c r="L13">
        <v>0.68659370647148232</v>
      </c>
      <c r="M13">
        <v>0.93956043956043933</v>
      </c>
      <c r="N13">
        <v>0.30128510118098023</v>
      </c>
      <c r="O13">
        <v>0.93726282897216195</v>
      </c>
      <c r="Q13" t="s">
        <v>147</v>
      </c>
      <c r="R13" t="s">
        <v>145</v>
      </c>
      <c r="S13">
        <v>1.1187810629932887E-2</v>
      </c>
      <c r="T13">
        <v>1.9497367229358426E-2</v>
      </c>
      <c r="U13">
        <v>3.1058607630208662E-2</v>
      </c>
      <c r="V13">
        <v>1.3980964948688501E-2</v>
      </c>
      <c r="W13">
        <v>1.8138545803215087E-2</v>
      </c>
      <c r="X13">
        <v>1.4214535515175541E-2</v>
      </c>
      <c r="Y13">
        <v>2.646846305147494E-2</v>
      </c>
      <c r="Z13">
        <v>6.5861951920065706E-2</v>
      </c>
      <c r="AA13">
        <v>2.4868632170976214E-2</v>
      </c>
      <c r="AB13">
        <v>1.8463226959980723E-2</v>
      </c>
      <c r="AC13">
        <v>1.7534488935114344E-2</v>
      </c>
      <c r="AD13">
        <v>1.4634906548594093E-2</v>
      </c>
      <c r="AF13" t="s">
        <v>147</v>
      </c>
      <c r="AG13" t="s">
        <v>148</v>
      </c>
      <c r="AH13">
        <v>4.515043497691873E-2</v>
      </c>
      <c r="AI13">
        <v>3.3881397211897389E-2</v>
      </c>
      <c r="AJ13">
        <v>4.7186325148019938E-2</v>
      </c>
      <c r="AK13">
        <v>2.5714335146023528E-2</v>
      </c>
      <c r="AL13">
        <v>3.5751322110684734E-2</v>
      </c>
      <c r="AM13">
        <v>4.5375449970332667E-2</v>
      </c>
      <c r="AN13">
        <v>3.6624450411185373E-2</v>
      </c>
      <c r="AO13">
        <v>3.7863965483414891E-2</v>
      </c>
      <c r="AP13">
        <v>6.9254627807059987E-2</v>
      </c>
      <c r="AQ13">
        <v>2.2180582778273599E-2</v>
      </c>
      <c r="AR13">
        <v>3.5854923174651894E-2</v>
      </c>
      <c r="AS13">
        <v>3.9458555754848232E-2</v>
      </c>
      <c r="AU13" t="s">
        <v>106</v>
      </c>
      <c r="AV13">
        <v>0</v>
      </c>
      <c r="AW13">
        <v>0.23444509234287914</v>
      </c>
      <c r="AX13">
        <v>3.0071406197575119E-4</v>
      </c>
      <c r="AY13">
        <v>7.7630641266941292E-3</v>
      </c>
      <c r="AZ13">
        <v>0.38853225677956515</v>
      </c>
      <c r="BA13">
        <v>1.3815232832629989E-2</v>
      </c>
      <c r="BB13">
        <v>1.4590168930793545E-2</v>
      </c>
      <c r="BC13">
        <v>0.48556465089402401</v>
      </c>
      <c r="BD13">
        <v>2.6888633748415776E-2</v>
      </c>
      <c r="BE13">
        <v>1.8655904627476955E-3</v>
      </c>
      <c r="BF13">
        <v>0.29233357017199074</v>
      </c>
      <c r="BG13">
        <v>2.3500200898665239E-3</v>
      </c>
      <c r="BI13" t="s">
        <v>106</v>
      </c>
      <c r="BJ13" t="s">
        <v>151</v>
      </c>
      <c r="BK13" t="s">
        <v>152</v>
      </c>
      <c r="BL13">
        <v>0.42486426278994421</v>
      </c>
    </row>
    <row r="14" spans="2:64" x14ac:dyDescent="0.25">
      <c r="B14" t="s">
        <v>107</v>
      </c>
      <c r="C14" t="s">
        <v>31</v>
      </c>
      <c r="D14">
        <v>0</v>
      </c>
      <c r="E14">
        <v>0.37287030386984155</v>
      </c>
      <c r="F14">
        <v>0.98888888888888871</v>
      </c>
      <c r="G14">
        <v>0.84451641906993657</v>
      </c>
      <c r="H14">
        <v>0.25003468376376414</v>
      </c>
      <c r="I14">
        <v>0.77153113166888121</v>
      </c>
      <c r="J14">
        <v>0.7753952806057326</v>
      </c>
      <c r="K14">
        <v>0.14603071074538607</v>
      </c>
      <c r="L14">
        <v>0.68601611542231988</v>
      </c>
      <c r="M14">
        <v>0.9381868131868133</v>
      </c>
      <c r="N14">
        <v>0.32001725779181228</v>
      </c>
      <c r="O14">
        <v>0.94339212652337545</v>
      </c>
      <c r="AU14" t="s">
        <v>107</v>
      </c>
      <c r="AV14">
        <v>0</v>
      </c>
      <c r="AW14">
        <v>0.20592444626341339</v>
      </c>
      <c r="AX14">
        <v>2.0317197722967555E-4</v>
      </c>
      <c r="AY14">
        <v>7.706164189716749E-3</v>
      </c>
      <c r="AZ14">
        <v>0.35484728605766369</v>
      </c>
      <c r="BA14">
        <v>1.2678082912457412E-2</v>
      </c>
      <c r="BB14">
        <v>1.5553861322129405E-2</v>
      </c>
      <c r="BC14">
        <v>0.46342410459606603</v>
      </c>
      <c r="BD14">
        <v>2.4878226574819771E-2</v>
      </c>
      <c r="BE14">
        <v>1.8213903731516912E-3</v>
      </c>
      <c r="BF14">
        <v>0.2575921238276957</v>
      </c>
      <c r="BG14">
        <v>1.993187908966341E-3</v>
      </c>
      <c r="BI14" t="s">
        <v>107</v>
      </c>
      <c r="BJ14" t="s">
        <v>151</v>
      </c>
      <c r="BK14" t="s">
        <v>152</v>
      </c>
      <c r="BL14">
        <v>0.43501129411052875</v>
      </c>
    </row>
    <row r="15" spans="2:64" x14ac:dyDescent="0.25">
      <c r="B15" t="s">
        <v>108</v>
      </c>
      <c r="C15" t="s">
        <v>31</v>
      </c>
      <c r="D15">
        <v>0</v>
      </c>
      <c r="E15">
        <v>0.36524502123627706</v>
      </c>
      <c r="F15">
        <v>0.99232330961973969</v>
      </c>
      <c r="G15">
        <v>0.84407506959906331</v>
      </c>
      <c r="H15">
        <v>0.24945948103042501</v>
      </c>
      <c r="I15">
        <v>0.77234085628051374</v>
      </c>
      <c r="J15">
        <v>0.77159384611612769</v>
      </c>
      <c r="K15">
        <v>0.14956575947163622</v>
      </c>
      <c r="L15">
        <v>0.69292808556482888</v>
      </c>
      <c r="M15">
        <v>0.93406593406593419</v>
      </c>
      <c r="N15">
        <v>0.32463536008303268</v>
      </c>
      <c r="O15">
        <v>0.94691799170455693</v>
      </c>
      <c r="AU15" t="s">
        <v>108</v>
      </c>
      <c r="AV15">
        <v>0</v>
      </c>
      <c r="AW15">
        <v>0.1936910678314257</v>
      </c>
      <c r="AX15">
        <v>1.3498581916063574E-4</v>
      </c>
      <c r="AY15">
        <v>8.275618302582147E-3</v>
      </c>
      <c r="AZ15">
        <v>0.35881951480010416</v>
      </c>
      <c r="BA15">
        <v>1.2096705582162987E-2</v>
      </c>
      <c r="BB15">
        <v>1.6280886109327458E-2</v>
      </c>
      <c r="BC15">
        <v>0.45414383888354193</v>
      </c>
      <c r="BD15">
        <v>2.3259296147730753E-2</v>
      </c>
      <c r="BE15">
        <v>2.0808330697961027E-3</v>
      </c>
      <c r="BF15">
        <v>0.25517829387941915</v>
      </c>
      <c r="BG15">
        <v>1.7756179795301748E-3</v>
      </c>
      <c r="BI15" t="s">
        <v>108</v>
      </c>
      <c r="BJ15" t="s">
        <v>151</v>
      </c>
      <c r="BK15" t="s">
        <v>152</v>
      </c>
      <c r="BL15">
        <v>0.41980243497845993</v>
      </c>
    </row>
    <row r="16" spans="2:64" x14ac:dyDescent="0.25">
      <c r="B16" t="s">
        <v>109</v>
      </c>
      <c r="C16" t="s">
        <v>31</v>
      </c>
      <c r="D16">
        <v>0</v>
      </c>
      <c r="E16">
        <v>0.35908280136275811</v>
      </c>
      <c r="F16">
        <v>0.99259259259259258</v>
      </c>
      <c r="G16">
        <v>0.8406097376497278</v>
      </c>
      <c r="H16">
        <v>0.22627040379442345</v>
      </c>
      <c r="I16">
        <v>0.77089191218629183</v>
      </c>
      <c r="J16">
        <v>0.77219128329725883</v>
      </c>
      <c r="K16">
        <v>0.14206659459268248</v>
      </c>
      <c r="L16">
        <v>0.69626829370665899</v>
      </c>
      <c r="M16">
        <v>0.93307231435961335</v>
      </c>
      <c r="N16">
        <v>0.29959990046753687</v>
      </c>
      <c r="O16">
        <v>0.94518692276082328</v>
      </c>
      <c r="AU16" t="s">
        <v>109</v>
      </c>
      <c r="AV16">
        <v>0</v>
      </c>
      <c r="AW16">
        <v>0.22926461892257757</v>
      </c>
      <c r="AX16">
        <v>1.8953890464195374E-4</v>
      </c>
      <c r="AY16">
        <v>9.1553508444543498E-3</v>
      </c>
      <c r="AZ16">
        <v>0.3878958090105572</v>
      </c>
      <c r="BA16">
        <v>1.242786867424543E-2</v>
      </c>
      <c r="BB16">
        <v>1.7089961987766019E-2</v>
      </c>
      <c r="BC16">
        <v>0.47190048472713547</v>
      </c>
      <c r="BD16">
        <v>2.3952684749699506E-2</v>
      </c>
      <c r="BE16">
        <v>2.6187441942305181E-3</v>
      </c>
      <c r="BF16">
        <v>0.29837918908481054</v>
      </c>
      <c r="BG16">
        <v>1.8868819301753946E-3</v>
      </c>
      <c r="BI16" t="s">
        <v>109</v>
      </c>
      <c r="BJ16" t="s">
        <v>151</v>
      </c>
      <c r="BK16" t="s">
        <v>152</v>
      </c>
      <c r="BL16">
        <v>0.44672845740948325</v>
      </c>
    </row>
    <row r="17" spans="2:64" x14ac:dyDescent="0.25">
      <c r="B17" t="s">
        <v>110</v>
      </c>
      <c r="C17" t="s">
        <v>31</v>
      </c>
      <c r="D17">
        <v>0</v>
      </c>
      <c r="E17">
        <v>0.35892209253122631</v>
      </c>
      <c r="F17">
        <v>0.99259259259259247</v>
      </c>
      <c r="G17">
        <v>0.83836628037719862</v>
      </c>
      <c r="H17">
        <v>0.22999217650458997</v>
      </c>
      <c r="I17">
        <v>0.7710712407411443</v>
      </c>
      <c r="J17">
        <v>0.76918264242307899</v>
      </c>
      <c r="K17">
        <v>0.15195260211945519</v>
      </c>
      <c r="L17">
        <v>0.6978434878381502</v>
      </c>
      <c r="M17">
        <v>0.93171878140249864</v>
      </c>
      <c r="N17">
        <v>0.31168613976075338</v>
      </c>
      <c r="O17">
        <v>0.94852124885769129</v>
      </c>
      <c r="AU17" t="s">
        <v>110</v>
      </c>
      <c r="AV17">
        <v>0</v>
      </c>
      <c r="AW17">
        <v>0.20453423824870298</v>
      </c>
      <c r="AX17">
        <v>6.4403191647748127E-5</v>
      </c>
      <c r="AY17">
        <v>9.4072864407643182E-3</v>
      </c>
      <c r="AZ17">
        <v>0.37814433223259403</v>
      </c>
      <c r="BA17">
        <v>1.1787504009713618E-2</v>
      </c>
      <c r="BB17">
        <v>1.7018026452581398E-2</v>
      </c>
      <c r="BC17">
        <v>0.45065886501584906</v>
      </c>
      <c r="BD17">
        <v>2.2399436538596232E-2</v>
      </c>
      <c r="BE17">
        <v>2.6715904930701912E-3</v>
      </c>
      <c r="BF17">
        <v>0.28090403163067951</v>
      </c>
      <c r="BG17">
        <v>1.6862641930819029E-3</v>
      </c>
      <c r="BI17" t="s">
        <v>110</v>
      </c>
      <c r="BJ17" t="s">
        <v>151</v>
      </c>
      <c r="BK17" t="s">
        <v>152</v>
      </c>
      <c r="BL17">
        <v>0.39830643338558697</v>
      </c>
    </row>
    <row r="18" spans="2:64" x14ac:dyDescent="0.25">
      <c r="B18" t="s">
        <v>111</v>
      </c>
      <c r="C18" t="s">
        <v>31</v>
      </c>
      <c r="D18">
        <v>0</v>
      </c>
      <c r="E18">
        <v>0.3790366398003408</v>
      </c>
      <c r="F18">
        <v>0.99444444444444446</v>
      </c>
      <c r="G18">
        <v>0.83698700782042512</v>
      </c>
      <c r="H18">
        <v>0.24186326939487124</v>
      </c>
      <c r="I18">
        <v>0.77444876630973492</v>
      </c>
      <c r="J18">
        <v>0.76618886964387256</v>
      </c>
      <c r="K18">
        <v>0.16395527926189843</v>
      </c>
      <c r="L18">
        <v>0.69722941267129068</v>
      </c>
      <c r="M18">
        <v>0.93192480591324689</v>
      </c>
      <c r="N18">
        <v>0.32723821960525612</v>
      </c>
      <c r="O18">
        <v>0.95143843420365126</v>
      </c>
      <c r="AU18" t="s">
        <v>111</v>
      </c>
      <c r="AV18">
        <v>0</v>
      </c>
      <c r="AW18">
        <v>0.18334383862294396</v>
      </c>
      <c r="AX18">
        <v>8.0845350334700167E-6</v>
      </c>
      <c r="AY18">
        <v>9.527634186743102E-3</v>
      </c>
      <c r="AZ18">
        <v>0.36487117404552982</v>
      </c>
      <c r="BA18">
        <v>1.1006295826419019E-2</v>
      </c>
      <c r="BB18">
        <v>1.6548533633862494E-2</v>
      </c>
      <c r="BC18">
        <v>0.43050617324633544</v>
      </c>
      <c r="BD18">
        <v>2.0310534803911675E-2</v>
      </c>
      <c r="BE18">
        <v>2.5807700349248144E-3</v>
      </c>
      <c r="BF18">
        <v>0.2632869596241128</v>
      </c>
      <c r="BG18">
        <v>1.4350668606516539E-3</v>
      </c>
      <c r="BI18" t="s">
        <v>111</v>
      </c>
      <c r="BJ18" t="s">
        <v>151</v>
      </c>
      <c r="BK18" t="s">
        <v>152</v>
      </c>
      <c r="BL18">
        <v>0.38481881913944127</v>
      </c>
    </row>
    <row r="19" spans="2:64" x14ac:dyDescent="0.25">
      <c r="B19" t="s">
        <v>112</v>
      </c>
      <c r="C19" t="s">
        <v>31</v>
      </c>
      <c r="D19">
        <v>0</v>
      </c>
      <c r="E19">
        <v>0.39533835005736079</v>
      </c>
      <c r="F19">
        <v>0</v>
      </c>
      <c r="G19">
        <v>0.82844128699750375</v>
      </c>
      <c r="H19">
        <v>0.24636569196165523</v>
      </c>
      <c r="I19">
        <v>0.77933364558264373</v>
      </c>
      <c r="J19">
        <v>0.75803801443623098</v>
      </c>
      <c r="K19">
        <v>0.16696488618810462</v>
      </c>
      <c r="L19">
        <v>0.69781564951463726</v>
      </c>
      <c r="M19">
        <v>0.93481156700996093</v>
      </c>
      <c r="N19">
        <v>0.33007015383361227</v>
      </c>
      <c r="O19">
        <v>0.95238095238095222</v>
      </c>
      <c r="AU19" t="s">
        <v>112</v>
      </c>
      <c r="AV19">
        <v>0</v>
      </c>
      <c r="AW19">
        <v>0.17515282521501313</v>
      </c>
      <c r="AX19">
        <v>0</v>
      </c>
      <c r="AY19">
        <v>1.091228309485137E-2</v>
      </c>
      <c r="AZ19">
        <v>0.36926143564412223</v>
      </c>
      <c r="BA19">
        <v>9.8941260953799969E-3</v>
      </c>
      <c r="BB19">
        <v>1.8140110543445418E-2</v>
      </c>
      <c r="BC19">
        <v>0.43105662719454263</v>
      </c>
      <c r="BD19">
        <v>2.0252100780042307E-2</v>
      </c>
      <c r="BE19">
        <v>2.8743243467817983E-3</v>
      </c>
      <c r="BF19">
        <v>0.26100400463391682</v>
      </c>
      <c r="BG19">
        <v>1.1236077554354388E-3</v>
      </c>
      <c r="BI19" t="s">
        <v>112</v>
      </c>
      <c r="BJ19" t="s">
        <v>151</v>
      </c>
      <c r="BK19" t="s">
        <v>152</v>
      </c>
      <c r="BL19">
        <v>0.38718036520581189</v>
      </c>
    </row>
    <row r="20" spans="2:64" x14ac:dyDescent="0.25">
      <c r="B20" t="s">
        <v>113</v>
      </c>
      <c r="C20" t="s">
        <v>31</v>
      </c>
      <c r="D20">
        <v>0</v>
      </c>
      <c r="E20">
        <v>0.39472936551971582</v>
      </c>
      <c r="F20">
        <v>0.99814814814814834</v>
      </c>
      <c r="G20">
        <v>0.8332351679827511</v>
      </c>
      <c r="H20">
        <v>0.24732509693205462</v>
      </c>
      <c r="I20">
        <v>0.77788117371798782</v>
      </c>
      <c r="J20">
        <v>0.76172168889961966</v>
      </c>
      <c r="K20">
        <v>0.16616001547938339</v>
      </c>
      <c r="L20">
        <v>0.69836756089900298</v>
      </c>
      <c r="M20">
        <v>0.93380432504669353</v>
      </c>
      <c r="N20">
        <v>0.32802692247090504</v>
      </c>
      <c r="O20">
        <v>0.95238095238095233</v>
      </c>
      <c r="AU20" t="s">
        <v>113</v>
      </c>
      <c r="AV20">
        <v>0</v>
      </c>
      <c r="AW20">
        <v>0.17769785471500971</v>
      </c>
      <c r="AX20">
        <v>1.1288410551589985E-7</v>
      </c>
      <c r="AY20">
        <v>1.0535007752030005E-2</v>
      </c>
      <c r="AZ20">
        <v>0.36849129046139029</v>
      </c>
      <c r="BA20">
        <v>1.024046306139581E-2</v>
      </c>
      <c r="BB20">
        <v>1.780869184113338E-2</v>
      </c>
      <c r="BC20">
        <v>0.43151577296582322</v>
      </c>
      <c r="BD20">
        <v>1.9889222318602229E-2</v>
      </c>
      <c r="BE20">
        <v>2.8080832336944434E-3</v>
      </c>
      <c r="BF20">
        <v>0.26267744560493023</v>
      </c>
      <c r="BG20">
        <v>1.1773240978530811E-3</v>
      </c>
      <c r="BI20" t="s">
        <v>113</v>
      </c>
      <c r="BJ20" t="s">
        <v>151</v>
      </c>
      <c r="BK20" t="s">
        <v>152</v>
      </c>
      <c r="BL20">
        <v>0.38461745135180736</v>
      </c>
    </row>
    <row r="21" spans="2:64" x14ac:dyDescent="0.25">
      <c r="B21" t="s">
        <v>114</v>
      </c>
      <c r="C21" t="s">
        <v>31</v>
      </c>
      <c r="D21">
        <v>0</v>
      </c>
      <c r="E21">
        <v>0.37426049624412638</v>
      </c>
      <c r="F21">
        <v>0</v>
      </c>
      <c r="G21">
        <v>0.81551776609978555</v>
      </c>
      <c r="H21">
        <v>0.22833869485189032</v>
      </c>
      <c r="I21">
        <v>0.80601255209591938</v>
      </c>
      <c r="J21">
        <v>0.75072303634279192</v>
      </c>
      <c r="K21">
        <v>0.15947569313646717</v>
      </c>
      <c r="L21">
        <v>0.71231959573981851</v>
      </c>
      <c r="M21">
        <v>0.91263907755348728</v>
      </c>
      <c r="N21">
        <v>0.31844131865041614</v>
      </c>
      <c r="O21">
        <v>0.95913772132595643</v>
      </c>
      <c r="AU21" t="s">
        <v>114</v>
      </c>
      <c r="AV21">
        <v>0</v>
      </c>
      <c r="AW21">
        <v>0.19652024272090449</v>
      </c>
      <c r="AX21">
        <v>0</v>
      </c>
      <c r="AY21">
        <v>1.4060816589250163E-2</v>
      </c>
      <c r="AZ21">
        <v>0.39140459661229349</v>
      </c>
      <c r="BA21">
        <v>7.3645100788802273E-3</v>
      </c>
      <c r="BB21">
        <v>2.165605936511986E-2</v>
      </c>
      <c r="BC21">
        <v>0.43269267001472628</v>
      </c>
      <c r="BD21">
        <v>1.6033944427594479E-2</v>
      </c>
      <c r="BE21">
        <v>4.8601599896340259E-3</v>
      </c>
      <c r="BF21">
        <v>0.29123505686790896</v>
      </c>
      <c r="BG21">
        <v>7.1467419564920853E-4</v>
      </c>
      <c r="BI21" t="s">
        <v>114</v>
      </c>
      <c r="BJ21" t="s">
        <v>151</v>
      </c>
      <c r="BK21" t="s">
        <v>152</v>
      </c>
      <c r="BL21">
        <v>0.39534214412526741</v>
      </c>
    </row>
    <row r="22" spans="2:64" x14ac:dyDescent="0.25">
      <c r="B22" t="s">
        <v>115</v>
      </c>
      <c r="C22" t="s">
        <v>31</v>
      </c>
      <c r="D22">
        <v>0</v>
      </c>
      <c r="E22">
        <v>0.37861583250500691</v>
      </c>
      <c r="F22">
        <v>0</v>
      </c>
      <c r="G22">
        <v>0.81112223093197788</v>
      </c>
      <c r="H22">
        <v>0.22893435802586087</v>
      </c>
      <c r="I22">
        <v>0.80190396052589719</v>
      </c>
      <c r="J22">
        <v>0.74847344816648409</v>
      </c>
      <c r="K22">
        <v>0.15825528315483839</v>
      </c>
      <c r="L22">
        <v>0.71053512692704102</v>
      </c>
      <c r="M22">
        <v>0.91691756684735315</v>
      </c>
      <c r="N22">
        <v>0.31269207464489773</v>
      </c>
      <c r="O22">
        <v>0.9578754578754578</v>
      </c>
      <c r="AU22" t="s">
        <v>115</v>
      </c>
      <c r="AV22">
        <v>0</v>
      </c>
      <c r="AW22">
        <v>0.18382366683929169</v>
      </c>
      <c r="AX22">
        <v>0</v>
      </c>
      <c r="AY22">
        <v>1.3997558946446787E-2</v>
      </c>
      <c r="AZ22">
        <v>0.38970343999244034</v>
      </c>
      <c r="BA22">
        <v>7.7419752477491275E-3</v>
      </c>
      <c r="BB22">
        <v>2.2324812655626559E-2</v>
      </c>
      <c r="BC22">
        <v>0.43477496591763704</v>
      </c>
      <c r="BD22">
        <v>1.6705682650469258E-2</v>
      </c>
      <c r="BE22">
        <v>4.6019394503411292E-3</v>
      </c>
      <c r="BF22">
        <v>0.28838051517568508</v>
      </c>
      <c r="BG22">
        <v>7.8038256619189603E-4</v>
      </c>
      <c r="BI22" t="s">
        <v>115</v>
      </c>
      <c r="BJ22" t="s">
        <v>151</v>
      </c>
      <c r="BK22" t="s">
        <v>152</v>
      </c>
      <c r="BL22">
        <v>0.39979592444601714</v>
      </c>
    </row>
    <row r="23" spans="2:64" x14ac:dyDescent="0.25">
      <c r="B23" t="s">
        <v>116</v>
      </c>
      <c r="C23" t="s">
        <v>31</v>
      </c>
      <c r="D23">
        <v>0</v>
      </c>
      <c r="E23">
        <v>0.37330004853424748</v>
      </c>
      <c r="F23">
        <v>0</v>
      </c>
      <c r="G23">
        <v>0.81987572238744166</v>
      </c>
      <c r="H23">
        <v>0.23024708563829466</v>
      </c>
      <c r="I23">
        <v>0.78875777953748349</v>
      </c>
      <c r="J23">
        <v>0.75483143935709751</v>
      </c>
      <c r="K23">
        <v>0.16328335730190408</v>
      </c>
      <c r="L23">
        <v>0.70678673710230144</v>
      </c>
      <c r="M23">
        <v>0.91908581401962564</v>
      </c>
      <c r="N23">
        <v>0.31720144699048086</v>
      </c>
      <c r="O23">
        <v>0.95300559745559887</v>
      </c>
      <c r="AU23" t="s">
        <v>116</v>
      </c>
      <c r="AV23">
        <v>0</v>
      </c>
      <c r="AW23">
        <v>0.18968626082478493</v>
      </c>
      <c r="AX23">
        <v>0</v>
      </c>
      <c r="AY23">
        <v>1.2492484860177913E-2</v>
      </c>
      <c r="AZ23">
        <v>0.3862439571166088</v>
      </c>
      <c r="BA23">
        <v>8.4288167749689506E-3</v>
      </c>
      <c r="BB23">
        <v>2.0023822881389784E-2</v>
      </c>
      <c r="BC23">
        <v>0.42712050639269966</v>
      </c>
      <c r="BD23">
        <v>1.7769200672123529E-2</v>
      </c>
      <c r="BE23">
        <v>3.8713731449442072E-3</v>
      </c>
      <c r="BF23">
        <v>0.2876062590527429</v>
      </c>
      <c r="BG23">
        <v>9.8097883485953217E-4</v>
      </c>
      <c r="BI23" t="s">
        <v>116</v>
      </c>
      <c r="BJ23" t="s">
        <v>151</v>
      </c>
      <c r="BK23" t="s">
        <v>152</v>
      </c>
      <c r="BL23">
        <v>0.38902770119676261</v>
      </c>
    </row>
    <row r="24" spans="2:64" x14ac:dyDescent="0.25">
      <c r="B24" t="s">
        <v>117</v>
      </c>
      <c r="C24" t="s">
        <v>31</v>
      </c>
      <c r="D24">
        <v>0</v>
      </c>
      <c r="E24">
        <v>0.39630709659675617</v>
      </c>
      <c r="F24">
        <v>0</v>
      </c>
      <c r="G24">
        <v>0.82364449792068739</v>
      </c>
      <c r="H24">
        <v>0.24464718422432066</v>
      </c>
      <c r="I24">
        <v>0.78842497569925218</v>
      </c>
      <c r="J24">
        <v>0.75557014799714739</v>
      </c>
      <c r="K24">
        <v>0.16808591172156895</v>
      </c>
      <c r="L24">
        <v>0.70362599251845737</v>
      </c>
      <c r="M24">
        <v>0.929580511872936</v>
      </c>
      <c r="N24">
        <v>0.32250771366090603</v>
      </c>
      <c r="O24">
        <v>0.95238095238095233</v>
      </c>
      <c r="AU24" t="s">
        <v>117</v>
      </c>
      <c r="AV24">
        <v>0</v>
      </c>
      <c r="AW24">
        <v>0.17856887008863959</v>
      </c>
      <c r="AX24">
        <v>0</v>
      </c>
      <c r="AY24">
        <v>1.1872475824074202E-2</v>
      </c>
      <c r="AZ24">
        <v>0.38047083794764325</v>
      </c>
      <c r="BA24">
        <v>9.0962260050905779E-3</v>
      </c>
      <c r="BB24">
        <v>1.9371593457636286E-2</v>
      </c>
      <c r="BC24">
        <v>0.42992739078977943</v>
      </c>
      <c r="BD24">
        <v>1.8890837114212872E-2</v>
      </c>
      <c r="BE24">
        <v>3.3803270114419327E-3</v>
      </c>
      <c r="BF24">
        <v>0.27753966804688457</v>
      </c>
      <c r="BG24">
        <v>1.0611601970718419E-3</v>
      </c>
      <c r="BI24" t="s">
        <v>117</v>
      </c>
      <c r="BJ24" t="s">
        <v>151</v>
      </c>
      <c r="BK24" t="s">
        <v>152</v>
      </c>
      <c r="BL24">
        <v>0.39843184796146597</v>
      </c>
    </row>
    <row r="25" spans="2:64" x14ac:dyDescent="0.25">
      <c r="B25" t="s">
        <v>118</v>
      </c>
      <c r="C25" t="s">
        <v>31</v>
      </c>
      <c r="D25">
        <v>0</v>
      </c>
      <c r="E25">
        <v>0.38943419331101409</v>
      </c>
      <c r="F25">
        <v>0.99814814814814801</v>
      </c>
      <c r="G25">
        <v>0.8316559765825341</v>
      </c>
      <c r="H25">
        <v>0.24262336924124223</v>
      </c>
      <c r="I25">
        <v>0.77608532742258607</v>
      </c>
      <c r="J25">
        <v>0.76153465971974199</v>
      </c>
      <c r="K25">
        <v>0.17011178038188793</v>
      </c>
      <c r="L25">
        <v>0.70154539342174382</v>
      </c>
      <c r="M25">
        <v>0.92980765994178349</v>
      </c>
      <c r="N25">
        <v>0.32690251424078537</v>
      </c>
      <c r="O25">
        <v>0.95238095238095222</v>
      </c>
      <c r="AU25" t="s">
        <v>118</v>
      </c>
      <c r="AV25">
        <v>0</v>
      </c>
      <c r="AW25">
        <v>0.18230085448311817</v>
      </c>
      <c r="AX25">
        <v>4.6115162226666902E-8</v>
      </c>
      <c r="AY25">
        <v>1.0644925639806714E-2</v>
      </c>
      <c r="AZ25">
        <v>0.37457464019207043</v>
      </c>
      <c r="BA25">
        <v>9.693759419996369E-3</v>
      </c>
      <c r="BB25">
        <v>1.7983423356268412E-2</v>
      </c>
      <c r="BC25">
        <v>0.42699196573107023</v>
      </c>
      <c r="BD25">
        <v>1.9037708729258782E-2</v>
      </c>
      <c r="BE25">
        <v>3.0845216603248658E-3</v>
      </c>
      <c r="BF25">
        <v>0.27580179546947597</v>
      </c>
      <c r="BG25">
        <v>1.1818344532097615E-3</v>
      </c>
      <c r="BI25" t="s">
        <v>118</v>
      </c>
      <c r="BJ25" t="s">
        <v>151</v>
      </c>
      <c r="BK25" t="s">
        <v>152</v>
      </c>
      <c r="BL25">
        <v>0.39643899828257295</v>
      </c>
    </row>
    <row r="26" spans="2:64" x14ac:dyDescent="0.25">
      <c r="B26" t="s">
        <v>119</v>
      </c>
      <c r="C26" t="s">
        <v>31</v>
      </c>
      <c r="D26">
        <v>0.46035662139063305</v>
      </c>
      <c r="E26">
        <v>0.47745080352275904</v>
      </c>
      <c r="F26">
        <v>0.47376603372002651</v>
      </c>
      <c r="G26">
        <v>0.45635341404566937</v>
      </c>
      <c r="H26">
        <v>0.49830483758509109</v>
      </c>
      <c r="I26">
        <v>0.46393825574005104</v>
      </c>
      <c r="J26">
        <v>0.44559562665685626</v>
      </c>
      <c r="K26">
        <v>0.4355851118625973</v>
      </c>
      <c r="L26">
        <v>0.4257253922798101</v>
      </c>
      <c r="M26">
        <v>0.45512895891608468</v>
      </c>
      <c r="N26">
        <v>0.49246481083829391</v>
      </c>
      <c r="O26">
        <v>0.44210446982633439</v>
      </c>
      <c r="AU26" t="s">
        <v>119</v>
      </c>
      <c r="AV26">
        <v>0.25382832542684425</v>
      </c>
      <c r="AW26">
        <v>0.23465663012731247</v>
      </c>
      <c r="AX26">
        <v>0.24311968759998356</v>
      </c>
      <c r="AY26">
        <v>0.2587343037964524</v>
      </c>
      <c r="AZ26">
        <v>0.20707954408732956</v>
      </c>
      <c r="BA26">
        <v>0.2418175950533068</v>
      </c>
      <c r="BB26">
        <v>0.12125880466286711</v>
      </c>
      <c r="BC26">
        <v>0.10643064531483648</v>
      </c>
      <c r="BD26">
        <v>0.12430905947102353</v>
      </c>
      <c r="BE26">
        <v>0.24674528130031878</v>
      </c>
      <c r="BF26">
        <v>0.23438998415058898</v>
      </c>
      <c r="BG26">
        <v>0.25562663819515907</v>
      </c>
      <c r="BI26" t="s">
        <v>131</v>
      </c>
      <c r="BJ26" t="s">
        <v>151</v>
      </c>
      <c r="BK26" t="s">
        <v>152</v>
      </c>
      <c r="BL26">
        <v>0.19440916318697185</v>
      </c>
    </row>
    <row r="27" spans="2:64" x14ac:dyDescent="0.25">
      <c r="B27" t="s">
        <v>120</v>
      </c>
      <c r="C27" t="s">
        <v>31</v>
      </c>
      <c r="D27">
        <v>0.42738127775293294</v>
      </c>
      <c r="E27">
        <v>0.4489988880087466</v>
      </c>
      <c r="F27">
        <v>0.44919878563998661</v>
      </c>
      <c r="G27">
        <v>0.42252495546600649</v>
      </c>
      <c r="H27">
        <v>0.46034527202903902</v>
      </c>
      <c r="I27">
        <v>0.4218331981564416</v>
      </c>
      <c r="J27">
        <v>0.41452018233678312</v>
      </c>
      <c r="K27">
        <v>0.4549610253794476</v>
      </c>
      <c r="L27">
        <v>0.4386833264008223</v>
      </c>
      <c r="M27">
        <v>0.43056256257132636</v>
      </c>
      <c r="N27">
        <v>0.46512806808849189</v>
      </c>
      <c r="O27">
        <v>0.45145420414283022</v>
      </c>
      <c r="AU27" t="s">
        <v>120</v>
      </c>
      <c r="AV27">
        <v>0.25807427505684249</v>
      </c>
      <c r="AW27">
        <v>0.24514373034018636</v>
      </c>
      <c r="AX27">
        <v>0.2514510615765751</v>
      </c>
      <c r="AY27">
        <v>0.28763635676971333</v>
      </c>
      <c r="AZ27">
        <v>0.2272162418451035</v>
      </c>
      <c r="BA27">
        <v>0.28078999991542236</v>
      </c>
      <c r="BB27">
        <v>0.15925306545047183</v>
      </c>
      <c r="BC27">
        <v>0.10191405963269413</v>
      </c>
      <c r="BD27">
        <v>0.13129035850463475</v>
      </c>
      <c r="BE27">
        <v>0.26398515078872231</v>
      </c>
      <c r="BF27">
        <v>0.244923515725991</v>
      </c>
      <c r="BG27">
        <v>0.27382550523025562</v>
      </c>
      <c r="BI27" t="s">
        <v>132</v>
      </c>
      <c r="BJ27" t="s">
        <v>151</v>
      </c>
      <c r="BK27" t="s">
        <v>152</v>
      </c>
      <c r="BL27">
        <v>0.20554067171103635</v>
      </c>
    </row>
    <row r="28" spans="2:64" x14ac:dyDescent="0.25">
      <c r="B28" t="s">
        <v>121</v>
      </c>
      <c r="C28" t="s">
        <v>31</v>
      </c>
      <c r="D28">
        <v>0.41998727252049595</v>
      </c>
      <c r="E28">
        <v>0.43621946834505176</v>
      </c>
      <c r="F28">
        <v>0.43877879280464266</v>
      </c>
      <c r="G28">
        <v>0.44571245977304946</v>
      </c>
      <c r="H28">
        <v>0.46593136428712928</v>
      </c>
      <c r="I28">
        <v>0.43611640986370165</v>
      </c>
      <c r="J28">
        <v>0.40736067912124835</v>
      </c>
      <c r="K28">
        <v>0.41830668534768173</v>
      </c>
      <c r="L28">
        <v>0.41935516116849059</v>
      </c>
      <c r="M28">
        <v>0.45416956410584669</v>
      </c>
      <c r="N28">
        <v>0.45986423304505608</v>
      </c>
      <c r="O28">
        <v>0.43068206290022071</v>
      </c>
      <c r="AU28" t="s">
        <v>121</v>
      </c>
      <c r="AV28">
        <v>0.25209963495418669</v>
      </c>
      <c r="AW28">
        <v>0.24176843280654969</v>
      </c>
      <c r="AX28">
        <v>0.24665802750492441</v>
      </c>
      <c r="AY28">
        <v>0.25546999018847949</v>
      </c>
      <c r="AZ28">
        <v>0.24035401554011004</v>
      </c>
      <c r="BA28">
        <v>0.25701667295835701</v>
      </c>
      <c r="BB28">
        <v>0.1303756936376633</v>
      </c>
      <c r="BC28">
        <v>0.14056061229187533</v>
      </c>
      <c r="BD28">
        <v>0.17113778703388535</v>
      </c>
      <c r="BE28">
        <v>0.22533691349634241</v>
      </c>
      <c r="BF28">
        <v>0.22725590716361027</v>
      </c>
      <c r="BG28">
        <v>0.23878396437124913</v>
      </c>
      <c r="BI28" t="s">
        <v>133</v>
      </c>
      <c r="BJ28" t="s">
        <v>151</v>
      </c>
      <c r="BK28" t="s">
        <v>152</v>
      </c>
      <c r="BL28">
        <v>0.13474730840169802</v>
      </c>
    </row>
    <row r="29" spans="2:64" x14ac:dyDescent="0.25">
      <c r="B29" t="s">
        <v>122</v>
      </c>
      <c r="C29" t="s">
        <v>31</v>
      </c>
      <c r="D29">
        <v>0.41813031497319186</v>
      </c>
      <c r="E29">
        <v>0.42769690394263088</v>
      </c>
      <c r="F29">
        <v>0.41514390405569246</v>
      </c>
      <c r="G29">
        <v>0.46066718304343246</v>
      </c>
      <c r="H29">
        <v>0.45472735437702716</v>
      </c>
      <c r="I29">
        <v>0.43402948345315212</v>
      </c>
      <c r="J29">
        <v>0.42047961991578392</v>
      </c>
      <c r="K29">
        <v>0.40716822613146736</v>
      </c>
      <c r="L29">
        <v>0.36931817977989789</v>
      </c>
      <c r="M29">
        <v>0.42240339785183145</v>
      </c>
      <c r="N29">
        <v>0.42384056413293791</v>
      </c>
      <c r="O29">
        <v>0.385972268195796</v>
      </c>
      <c r="AU29" t="s">
        <v>122</v>
      </c>
      <c r="AV29">
        <v>0.31300822675429002</v>
      </c>
      <c r="AW29">
        <v>0.2933335968095252</v>
      </c>
      <c r="AX29">
        <v>0.32413627809210399</v>
      </c>
      <c r="AY29">
        <v>0.28672712182768029</v>
      </c>
      <c r="AZ29">
        <v>0.28606475453709146</v>
      </c>
      <c r="BA29">
        <v>0.30472335201797485</v>
      </c>
      <c r="BB29">
        <v>0.16676216870672303</v>
      </c>
      <c r="BC29">
        <v>0.18753592857986032</v>
      </c>
      <c r="BD29">
        <v>0.24838440435215173</v>
      </c>
      <c r="BE29">
        <v>0.27941028882073066</v>
      </c>
      <c r="BF29">
        <v>0.27117778718987523</v>
      </c>
      <c r="BG29">
        <v>0.29153555819381338</v>
      </c>
      <c r="BI29" t="s">
        <v>134</v>
      </c>
      <c r="BJ29" t="s">
        <v>151</v>
      </c>
      <c r="BK29" t="s">
        <v>152</v>
      </c>
      <c r="BL29">
        <v>0.25490947534917452</v>
      </c>
    </row>
    <row r="30" spans="2:64" x14ac:dyDescent="0.25">
      <c r="B30" t="s">
        <v>123</v>
      </c>
      <c r="C30" t="s">
        <v>31</v>
      </c>
      <c r="D30">
        <v>0.44246473173033563</v>
      </c>
      <c r="E30">
        <v>0.44149430172237314</v>
      </c>
      <c r="F30">
        <v>0.45216757389904666</v>
      </c>
      <c r="G30">
        <v>0.46636243678682615</v>
      </c>
      <c r="H30">
        <v>0.45636338543583221</v>
      </c>
      <c r="I30">
        <v>0.43064631684471438</v>
      </c>
      <c r="J30">
        <v>0.42479641152937109</v>
      </c>
      <c r="K30">
        <v>0.44228268406771976</v>
      </c>
      <c r="L30">
        <v>0.41398742491264334</v>
      </c>
      <c r="M30">
        <v>0.447849667855577</v>
      </c>
      <c r="N30">
        <v>0.4534456790926884</v>
      </c>
      <c r="O30">
        <v>0.4095042426106556</v>
      </c>
      <c r="AU30" t="s">
        <v>123</v>
      </c>
      <c r="AV30">
        <v>0.28465698319087906</v>
      </c>
      <c r="AW30">
        <v>0.28336777022575604</v>
      </c>
      <c r="AX30">
        <v>0.29880847651668979</v>
      </c>
      <c r="AY30">
        <v>0.292961977173059</v>
      </c>
      <c r="AZ30">
        <v>0.2772348921034189</v>
      </c>
      <c r="BA30">
        <v>0.33271328931587324</v>
      </c>
      <c r="BB30">
        <v>0.17594494348177711</v>
      </c>
      <c r="BC30">
        <v>0.17604305531347536</v>
      </c>
      <c r="BD30">
        <v>0.25489263172474641</v>
      </c>
      <c r="BE30">
        <v>0.25345455517937482</v>
      </c>
      <c r="BF30">
        <v>0.24904398166898004</v>
      </c>
      <c r="BG30">
        <v>0.30050988589618682</v>
      </c>
      <c r="BI30" t="s">
        <v>135</v>
      </c>
      <c r="BJ30" t="s">
        <v>151</v>
      </c>
      <c r="BK30" t="s">
        <v>152</v>
      </c>
      <c r="BL30">
        <v>0.15137951176414011</v>
      </c>
    </row>
    <row r="31" spans="2:64" x14ac:dyDescent="0.25">
      <c r="B31" t="s">
        <v>124</v>
      </c>
      <c r="C31" t="s">
        <v>31</v>
      </c>
      <c r="D31">
        <v>0.45190460190488668</v>
      </c>
      <c r="E31">
        <v>0.44114231021441153</v>
      </c>
      <c r="F31">
        <v>0.45024453784697516</v>
      </c>
      <c r="G31">
        <v>0.41687910233982095</v>
      </c>
      <c r="H31">
        <v>0.4415404636533628</v>
      </c>
      <c r="I31">
        <v>0.39251054705714478</v>
      </c>
      <c r="J31">
        <v>0.39613159533570003</v>
      </c>
      <c r="K31">
        <v>0.42965465679253445</v>
      </c>
      <c r="L31">
        <v>0.42753339241048433</v>
      </c>
      <c r="M31">
        <v>0.43336000634364397</v>
      </c>
      <c r="N31">
        <v>0.46389114913767704</v>
      </c>
      <c r="O31">
        <v>0.41728801148783273</v>
      </c>
      <c r="AU31" t="s">
        <v>124</v>
      </c>
      <c r="AV31">
        <v>0.30243491678174889</v>
      </c>
      <c r="AW31">
        <v>0.30236263163276655</v>
      </c>
      <c r="AX31">
        <v>0.30335398691166898</v>
      </c>
      <c r="AY31">
        <v>0.32502599420293932</v>
      </c>
      <c r="AZ31">
        <v>0.28997168737835871</v>
      </c>
      <c r="BA31">
        <v>0.38354994199518477</v>
      </c>
      <c r="BB31">
        <v>0.18585538989733721</v>
      </c>
      <c r="BC31">
        <v>0.17371010200861267</v>
      </c>
      <c r="BD31">
        <v>0.24195098942869717</v>
      </c>
      <c r="BE31">
        <v>0.26656897169912852</v>
      </c>
      <c r="BF31">
        <v>0.2724452467239874</v>
      </c>
      <c r="BG31">
        <v>0.32908986653664285</v>
      </c>
      <c r="BI31" t="s">
        <v>136</v>
      </c>
      <c r="BJ31" t="s">
        <v>151</v>
      </c>
      <c r="BK31" t="s">
        <v>152</v>
      </c>
      <c r="BL31">
        <v>0.26785038060216582</v>
      </c>
    </row>
    <row r="32" spans="2:64" x14ac:dyDescent="0.25">
      <c r="B32" t="s">
        <v>125</v>
      </c>
      <c r="C32" t="s">
        <v>31</v>
      </c>
      <c r="D32">
        <v>0.49341046291710039</v>
      </c>
      <c r="E32">
        <v>0.47854616318330712</v>
      </c>
      <c r="F32">
        <v>0.47211663557252337</v>
      </c>
      <c r="G32">
        <v>0.45401914395834125</v>
      </c>
      <c r="H32">
        <v>0.45051027060904347</v>
      </c>
      <c r="I32">
        <v>0.40987359161236764</v>
      </c>
      <c r="J32">
        <v>0.38816017402173464</v>
      </c>
      <c r="K32">
        <v>0.44465738394877019</v>
      </c>
      <c r="L32">
        <v>0.32942945178834165</v>
      </c>
      <c r="M32">
        <v>0.44744424259449761</v>
      </c>
      <c r="N32">
        <v>0.47946957717784705</v>
      </c>
      <c r="O32">
        <v>0.44104048254774225</v>
      </c>
      <c r="AU32" t="s">
        <v>125</v>
      </c>
      <c r="AV32">
        <v>0.26626695876158357</v>
      </c>
      <c r="AW32">
        <v>0.27091910891480508</v>
      </c>
      <c r="AX32">
        <v>0.2634339312623824</v>
      </c>
      <c r="AY32">
        <v>0.26731261425006098</v>
      </c>
      <c r="AZ32">
        <v>0.25846791773414179</v>
      </c>
      <c r="BA32">
        <v>0.3068878021585113</v>
      </c>
      <c r="BB32">
        <v>0.11504461494851952</v>
      </c>
      <c r="BC32">
        <v>0.17471954320558744</v>
      </c>
      <c r="BD32">
        <v>0.21193261074044986</v>
      </c>
      <c r="BE32">
        <v>0.25340346067075825</v>
      </c>
      <c r="BF32">
        <v>0.258766115486666</v>
      </c>
      <c r="BG32">
        <v>0.25961446621472312</v>
      </c>
      <c r="BI32" t="s">
        <v>137</v>
      </c>
      <c r="BJ32" t="s">
        <v>151</v>
      </c>
      <c r="BK32" t="s">
        <v>152</v>
      </c>
      <c r="BL32">
        <v>0.18239765990515713</v>
      </c>
    </row>
    <row r="33" spans="2:64" x14ac:dyDescent="0.25">
      <c r="B33" t="s">
        <v>126</v>
      </c>
      <c r="C33" t="s">
        <v>31</v>
      </c>
      <c r="D33">
        <v>0.4604016404635547</v>
      </c>
      <c r="E33">
        <v>0.47115405991881359</v>
      </c>
      <c r="F33">
        <v>0.45870251333784839</v>
      </c>
      <c r="G33">
        <v>0.45293554911130252</v>
      </c>
      <c r="H33">
        <v>0.44796376896603118</v>
      </c>
      <c r="I33">
        <v>0.39188891660807573</v>
      </c>
      <c r="J33">
        <v>0.39365534724798296</v>
      </c>
      <c r="K33">
        <v>0.44546621685783644</v>
      </c>
      <c r="L33">
        <v>0.36116766450484472</v>
      </c>
      <c r="M33">
        <v>0.44465855180328534</v>
      </c>
      <c r="N33">
        <v>0.47114496005489009</v>
      </c>
      <c r="O33">
        <v>0.41350992484027832</v>
      </c>
      <c r="AU33" t="s">
        <v>126</v>
      </c>
      <c r="AV33">
        <v>0.27604785438383461</v>
      </c>
      <c r="AW33">
        <v>0.29378344327820993</v>
      </c>
      <c r="AX33">
        <v>0.29077062037833828</v>
      </c>
      <c r="AY33">
        <v>0.29912707053634791</v>
      </c>
      <c r="AZ33">
        <v>0.28856158348738098</v>
      </c>
      <c r="BA33">
        <v>0.34614038081290321</v>
      </c>
      <c r="BB33">
        <v>0.1532755126548305</v>
      </c>
      <c r="BC33">
        <v>0.17205440501553834</v>
      </c>
      <c r="BD33">
        <v>0.26149935266123209</v>
      </c>
      <c r="BE33">
        <v>0.28229251570366937</v>
      </c>
      <c r="BF33">
        <v>0.28886076537429017</v>
      </c>
      <c r="BG33">
        <v>0.31677684706614551</v>
      </c>
      <c r="BI33" t="s">
        <v>138</v>
      </c>
      <c r="BJ33" t="s">
        <v>151</v>
      </c>
      <c r="BK33" t="s">
        <v>152</v>
      </c>
      <c r="BL33">
        <v>0.15014163610228884</v>
      </c>
    </row>
    <row r="34" spans="2:64" x14ac:dyDescent="0.25">
      <c r="B34" t="s">
        <v>127</v>
      </c>
      <c r="C34" t="s">
        <v>31</v>
      </c>
      <c r="D34">
        <v>0.48072926484207312</v>
      </c>
      <c r="E34">
        <v>0.47749974662683919</v>
      </c>
      <c r="F34">
        <v>0.46303783689967187</v>
      </c>
      <c r="G34">
        <v>0.47411547771464335</v>
      </c>
      <c r="H34">
        <v>0.4610642162208286</v>
      </c>
      <c r="I34">
        <v>0.4270525319289124</v>
      </c>
      <c r="J34">
        <v>0.42071179855760371</v>
      </c>
      <c r="K34">
        <v>0.41929773443162266</v>
      </c>
      <c r="L34">
        <v>0.34307401792131098</v>
      </c>
      <c r="M34">
        <v>0.44984944724017595</v>
      </c>
      <c r="N34">
        <v>0.4683330006022054</v>
      </c>
      <c r="O34">
        <v>0.4173474678341732</v>
      </c>
      <c r="AU34" t="s">
        <v>127</v>
      </c>
      <c r="AV34">
        <v>0.26882251528042239</v>
      </c>
      <c r="AW34">
        <v>0.27207855474000148</v>
      </c>
      <c r="AX34">
        <v>0.28294448146357093</v>
      </c>
      <c r="AY34">
        <v>0.27295950557091764</v>
      </c>
      <c r="AZ34">
        <v>0.26776510525733938</v>
      </c>
      <c r="BA34">
        <v>0.29557404673072496</v>
      </c>
      <c r="BB34">
        <v>0.12132584984598399</v>
      </c>
      <c r="BC34">
        <v>0.13678767338898198</v>
      </c>
      <c r="BD34">
        <v>0.19696604655131078</v>
      </c>
      <c r="BE34">
        <v>0.2690691465293501</v>
      </c>
      <c r="BF34">
        <v>0.25787588514675291</v>
      </c>
      <c r="BG34">
        <v>0.2758712455720756</v>
      </c>
      <c r="BI34" t="s">
        <v>139</v>
      </c>
      <c r="BJ34" t="s">
        <v>151</v>
      </c>
      <c r="BK34" t="s">
        <v>152</v>
      </c>
      <c r="BL34">
        <v>0.19786424026324953</v>
      </c>
    </row>
    <row r="35" spans="2:64" x14ac:dyDescent="0.25">
      <c r="B35" t="s">
        <v>128</v>
      </c>
      <c r="C35" t="s">
        <v>31</v>
      </c>
      <c r="D35">
        <v>0.44236551975448307</v>
      </c>
      <c r="E35">
        <v>0.4615841435128612</v>
      </c>
      <c r="F35">
        <v>0.43309019597024734</v>
      </c>
      <c r="G35">
        <v>0.39881905259060435</v>
      </c>
      <c r="H35">
        <v>0.42132881328005539</v>
      </c>
      <c r="I35">
        <v>0.36871571444201062</v>
      </c>
      <c r="J35">
        <v>0.35209565239288015</v>
      </c>
      <c r="K35">
        <v>0.41116975254247345</v>
      </c>
      <c r="L35">
        <v>0.33997296962383783</v>
      </c>
      <c r="M35">
        <v>0.4151045083665017</v>
      </c>
      <c r="N35">
        <v>0.46669825249920016</v>
      </c>
      <c r="O35">
        <v>0.41181350254834964</v>
      </c>
      <c r="AU35" t="s">
        <v>128</v>
      </c>
      <c r="AV35">
        <v>0.3143499173958752</v>
      </c>
      <c r="AW35">
        <v>0.30609312835155783</v>
      </c>
      <c r="AX35">
        <v>0.31891885694802541</v>
      </c>
      <c r="AY35">
        <v>0.3383809336801068</v>
      </c>
      <c r="AZ35">
        <v>0.29879942891924516</v>
      </c>
      <c r="BA35">
        <v>0.38681207414987179</v>
      </c>
      <c r="BB35">
        <v>0.20754335528619067</v>
      </c>
      <c r="BC35">
        <v>0.20746645525936624</v>
      </c>
      <c r="BD35">
        <v>0.27513645303913048</v>
      </c>
      <c r="BE35">
        <v>0.2938673955209693</v>
      </c>
      <c r="BF35">
        <v>0.29218396639432415</v>
      </c>
      <c r="BG35">
        <v>0.32072135456254497</v>
      </c>
      <c r="BI35" t="s">
        <v>140</v>
      </c>
      <c r="BJ35" t="s">
        <v>151</v>
      </c>
      <c r="BK35" t="s">
        <v>152</v>
      </c>
      <c r="BL35">
        <v>0.14467812548363138</v>
      </c>
    </row>
    <row r="36" spans="2:64" x14ac:dyDescent="0.25">
      <c r="B36" t="s">
        <v>129</v>
      </c>
      <c r="C36" t="s">
        <v>31</v>
      </c>
      <c r="D36">
        <v>0.48440291731787344</v>
      </c>
      <c r="E36">
        <v>0.49230258997396059</v>
      </c>
      <c r="F36">
        <v>0.47238206021720813</v>
      </c>
      <c r="G36">
        <v>0.40441126856213627</v>
      </c>
      <c r="H36">
        <v>0.45365121230274813</v>
      </c>
      <c r="I36">
        <v>0.40840304717384485</v>
      </c>
      <c r="J36">
        <v>0.38409886896586848</v>
      </c>
      <c r="K36">
        <v>0.45293964273688858</v>
      </c>
      <c r="L36">
        <v>0.36850518328845233</v>
      </c>
      <c r="M36">
        <v>0.45243340956127187</v>
      </c>
      <c r="N36">
        <v>0.48619725668354136</v>
      </c>
      <c r="O36">
        <v>0.46389459868103738</v>
      </c>
      <c r="AU36" t="s">
        <v>129</v>
      </c>
      <c r="AV36">
        <v>0.29505923622489111</v>
      </c>
      <c r="AW36">
        <v>0.30041971604381817</v>
      </c>
      <c r="AX36">
        <v>0.30704846166989969</v>
      </c>
      <c r="AY36">
        <v>0.35160753454155896</v>
      </c>
      <c r="AZ36">
        <v>0.28011116950779663</v>
      </c>
      <c r="BA36">
        <v>0.34649959358997134</v>
      </c>
      <c r="BB36">
        <v>0.16656024784154042</v>
      </c>
      <c r="BC36">
        <v>0.15324060389338032</v>
      </c>
      <c r="BD36">
        <v>0.23623739725279963</v>
      </c>
      <c r="BE36">
        <v>0.24300484411451778</v>
      </c>
      <c r="BF36">
        <v>0.24206352230159509</v>
      </c>
      <c r="BG36">
        <v>0.27542967172571958</v>
      </c>
      <c r="BI36" t="s">
        <v>141</v>
      </c>
      <c r="BJ36" t="s">
        <v>151</v>
      </c>
      <c r="BK36" t="s">
        <v>152</v>
      </c>
      <c r="BL36">
        <v>0.18298530354226028</v>
      </c>
    </row>
    <row r="37" spans="2:64" x14ac:dyDescent="0.25">
      <c r="B37" t="s">
        <v>130</v>
      </c>
      <c r="C37" t="s">
        <v>31</v>
      </c>
      <c r="D37">
        <v>0.50101739885023922</v>
      </c>
      <c r="E37">
        <v>0.49131061945443349</v>
      </c>
      <c r="F37">
        <v>0.46744457593898164</v>
      </c>
      <c r="G37">
        <v>0.41569192259835741</v>
      </c>
      <c r="H37">
        <v>0.4385145094370273</v>
      </c>
      <c r="I37">
        <v>0.41293227792054982</v>
      </c>
      <c r="J37">
        <v>0.41639569121834147</v>
      </c>
      <c r="K37">
        <v>0.42452063907307463</v>
      </c>
      <c r="L37">
        <v>0.34600986102402453</v>
      </c>
      <c r="M37">
        <v>0.43255224274781628</v>
      </c>
      <c r="N37">
        <v>0.4685520784588072</v>
      </c>
      <c r="O37">
        <v>0.4547530905952632</v>
      </c>
      <c r="AU37" t="s">
        <v>130</v>
      </c>
      <c r="AV37">
        <v>0.28061048365858587</v>
      </c>
      <c r="AW37">
        <v>0.27985166788757332</v>
      </c>
      <c r="AX37">
        <v>0.27998891425944161</v>
      </c>
      <c r="AY37">
        <v>0.31424641066204528</v>
      </c>
      <c r="AZ37">
        <v>0.26956000085562926</v>
      </c>
      <c r="BA37">
        <v>0.33100236650831832</v>
      </c>
      <c r="BB37">
        <v>0.15410636700484687</v>
      </c>
      <c r="BC37">
        <v>0.17091420626863704</v>
      </c>
      <c r="BD37">
        <v>0.19873897374106358</v>
      </c>
      <c r="BE37">
        <v>0.25192011839228934</v>
      </c>
      <c r="BF37">
        <v>0.24000635331197873</v>
      </c>
      <c r="BG37">
        <v>0.26075876492701971</v>
      </c>
      <c r="BI37" t="s">
        <v>142</v>
      </c>
      <c r="BJ37" t="s">
        <v>151</v>
      </c>
      <c r="BK37" t="s">
        <v>152</v>
      </c>
      <c r="BL37">
        <v>0.13421200014230447</v>
      </c>
    </row>
    <row r="38" spans="2:64" x14ac:dyDescent="0.25">
      <c r="B38" t="s">
        <v>131</v>
      </c>
      <c r="C38" t="s">
        <v>31</v>
      </c>
      <c r="D38">
        <v>0.5267117030004439</v>
      </c>
      <c r="E38">
        <v>0.51076529506386437</v>
      </c>
      <c r="F38">
        <v>0.51130715739420718</v>
      </c>
      <c r="G38">
        <v>0.4412832774138834</v>
      </c>
      <c r="H38">
        <v>0.44202626802560591</v>
      </c>
      <c r="I38">
        <v>0.45194002511357811</v>
      </c>
      <c r="J38">
        <v>0.44126775857767803</v>
      </c>
      <c r="K38">
        <v>0.37121959868881022</v>
      </c>
      <c r="L38">
        <v>0.37239652363467834</v>
      </c>
      <c r="M38">
        <v>0.41800577325019422</v>
      </c>
      <c r="N38">
        <v>0.4784801517033791</v>
      </c>
      <c r="O38">
        <v>0.4695172158228369</v>
      </c>
      <c r="AU38" t="s">
        <v>131</v>
      </c>
      <c r="AV38">
        <v>0.19681855994989275</v>
      </c>
      <c r="AW38">
        <v>0.18781570820819041</v>
      </c>
      <c r="AX38">
        <v>0.19055892158042953</v>
      </c>
      <c r="AY38">
        <v>0.16989860635487</v>
      </c>
      <c r="AZ38">
        <v>0.16903882030254747</v>
      </c>
      <c r="BA38">
        <v>0.18010325078276382</v>
      </c>
      <c r="BB38">
        <v>7.8999431863163785E-2</v>
      </c>
      <c r="BC38">
        <v>9.2715418440688563E-2</v>
      </c>
      <c r="BD38">
        <v>9.9764477243383887E-2</v>
      </c>
      <c r="BE38">
        <v>0.14767663549899659</v>
      </c>
      <c r="BF38">
        <v>0.14969599665346595</v>
      </c>
      <c r="BG38">
        <v>0.14794263909266997</v>
      </c>
      <c r="BI38" t="s">
        <v>143</v>
      </c>
      <c r="BJ38" t="s">
        <v>151</v>
      </c>
      <c r="BK38" t="s">
        <v>152</v>
      </c>
      <c r="BL38">
        <v>0.21193058065646983</v>
      </c>
    </row>
    <row r="39" spans="2:64" x14ac:dyDescent="0.25">
      <c r="B39" t="s">
        <v>132</v>
      </c>
      <c r="C39" t="s">
        <v>31</v>
      </c>
      <c r="D39">
        <v>0.52913809663784683</v>
      </c>
      <c r="E39">
        <v>0.52440781849996132</v>
      </c>
      <c r="F39">
        <v>0.52979526127549048</v>
      </c>
      <c r="G39">
        <v>0.50440030532069269</v>
      </c>
      <c r="H39">
        <v>0.48341239060744196</v>
      </c>
      <c r="I39">
        <v>0.48883786957952791</v>
      </c>
      <c r="J39">
        <v>0.44822694934327573</v>
      </c>
      <c r="K39">
        <v>0.41512034957038252</v>
      </c>
      <c r="L39">
        <v>0.38145458556036838</v>
      </c>
      <c r="M39">
        <v>0.48742796600802218</v>
      </c>
      <c r="N39">
        <v>0.50728228602640246</v>
      </c>
      <c r="O39">
        <v>0.48585707613641249</v>
      </c>
      <c r="AU39" t="s">
        <v>132</v>
      </c>
      <c r="AV39">
        <v>0.20727297408828044</v>
      </c>
      <c r="AW39">
        <v>0.19689749056239092</v>
      </c>
      <c r="AX39">
        <v>0.19899206837827665</v>
      </c>
      <c r="AY39">
        <v>0.18242332956246177</v>
      </c>
      <c r="AZ39">
        <v>0.18738231900435953</v>
      </c>
      <c r="BA39">
        <v>0.1921211882400245</v>
      </c>
      <c r="BB39">
        <v>6.77689925134317E-2</v>
      </c>
      <c r="BC39">
        <v>8.4520659583679075E-2</v>
      </c>
      <c r="BD39">
        <v>0.10224647004873207</v>
      </c>
      <c r="BE39">
        <v>0.18527757835068195</v>
      </c>
      <c r="BF39">
        <v>0.17346337880587087</v>
      </c>
      <c r="BG39">
        <v>0.17707373375673122</v>
      </c>
      <c r="BI39" t="s">
        <v>119</v>
      </c>
      <c r="BJ39" t="s">
        <v>151</v>
      </c>
      <c r="BK39" t="s">
        <v>152</v>
      </c>
      <c r="BL39">
        <v>0.25778387047976242</v>
      </c>
    </row>
    <row r="40" spans="2:64" x14ac:dyDescent="0.25">
      <c r="B40" t="s">
        <v>133</v>
      </c>
      <c r="C40" t="s">
        <v>31</v>
      </c>
      <c r="D40">
        <v>0.47358197813482183</v>
      </c>
      <c r="E40">
        <v>0.48620685067331831</v>
      </c>
      <c r="F40">
        <v>0.47468325363592873</v>
      </c>
      <c r="G40">
        <v>0.44166981332719601</v>
      </c>
      <c r="H40">
        <v>0.45882178654013811</v>
      </c>
      <c r="I40">
        <v>0.46888196769361223</v>
      </c>
      <c r="J40">
        <v>0.47096312888619862</v>
      </c>
      <c r="K40">
        <v>0.45975264865893045</v>
      </c>
      <c r="L40">
        <v>0.50537044740670956</v>
      </c>
      <c r="M40">
        <v>0.48030453911752513</v>
      </c>
      <c r="N40">
        <v>0.48034361013709487</v>
      </c>
      <c r="O40">
        <v>0.48067210848975311</v>
      </c>
      <c r="AU40" t="s">
        <v>133</v>
      </c>
      <c r="AV40">
        <v>0.13669470926037941</v>
      </c>
      <c r="AW40">
        <v>0.12467705259271505</v>
      </c>
      <c r="AX40">
        <v>0.13520282018974331</v>
      </c>
      <c r="AY40">
        <v>8.7717769829374306E-2</v>
      </c>
      <c r="AZ40">
        <v>0.10148031137139267</v>
      </c>
      <c r="BA40">
        <v>8.997626509840316E-2</v>
      </c>
      <c r="BB40">
        <v>5.4559164148129828E-2</v>
      </c>
      <c r="BC40">
        <v>7.3086536791348161E-2</v>
      </c>
      <c r="BD40">
        <v>5.1902140536718468E-2</v>
      </c>
      <c r="BE40">
        <v>0.11080143806751873</v>
      </c>
      <c r="BF40">
        <v>0.12724037540382957</v>
      </c>
      <c r="BG40">
        <v>0.1091236396195808</v>
      </c>
      <c r="BI40" t="s">
        <v>120</v>
      </c>
      <c r="BJ40" t="s">
        <v>151</v>
      </c>
      <c r="BK40" t="s">
        <v>152</v>
      </c>
      <c r="BL40">
        <v>0.28518017609987595</v>
      </c>
    </row>
    <row r="41" spans="2:64" x14ac:dyDescent="0.25">
      <c r="B41" t="s">
        <v>134</v>
      </c>
      <c r="C41" t="s">
        <v>31</v>
      </c>
      <c r="D41">
        <v>0.4905066421434422</v>
      </c>
      <c r="E41">
        <v>0.51790152466334405</v>
      </c>
      <c r="F41">
        <v>0.50861282143567244</v>
      </c>
      <c r="G41">
        <v>0.43022434775234369</v>
      </c>
      <c r="H41">
        <v>0.49689116853180187</v>
      </c>
      <c r="I41">
        <v>0.45225117999301179</v>
      </c>
      <c r="J41">
        <v>0.49148515114728042</v>
      </c>
      <c r="K41">
        <v>0.50697516345564941</v>
      </c>
      <c r="L41">
        <v>0.5293515317570765</v>
      </c>
      <c r="M41">
        <v>0.48249908765451227</v>
      </c>
      <c r="N41">
        <v>0.49535164468985132</v>
      </c>
      <c r="O41">
        <v>0.4820864053459889</v>
      </c>
      <c r="AU41" t="s">
        <v>134</v>
      </c>
      <c r="AV41">
        <v>0.25721631888511459</v>
      </c>
      <c r="AW41">
        <v>0.23269279467096499</v>
      </c>
      <c r="AX41">
        <v>0.24328245243013694</v>
      </c>
      <c r="AY41">
        <v>0.22028308173924421</v>
      </c>
      <c r="AZ41">
        <v>0.19361489827135181</v>
      </c>
      <c r="BA41">
        <v>0.21336874257488031</v>
      </c>
      <c r="BB41">
        <v>0.14576199235587897</v>
      </c>
      <c r="BC41">
        <v>0.10220217038737954</v>
      </c>
      <c r="BD41">
        <v>9.8551095972352801E-2</v>
      </c>
      <c r="BE41">
        <v>0.23769492090058009</v>
      </c>
      <c r="BF41">
        <v>0.2413751746222749</v>
      </c>
      <c r="BG41">
        <v>0.24625462351718388</v>
      </c>
      <c r="BI41" t="s">
        <v>121</v>
      </c>
      <c r="BJ41" t="s">
        <v>151</v>
      </c>
      <c r="BK41" t="s">
        <v>152</v>
      </c>
      <c r="BL41">
        <v>0.25545370388347721</v>
      </c>
    </row>
    <row r="42" spans="2:64" x14ac:dyDescent="0.25">
      <c r="B42" t="s">
        <v>135</v>
      </c>
      <c r="C42" t="s">
        <v>31</v>
      </c>
      <c r="D42">
        <v>0.42329326750864493</v>
      </c>
      <c r="E42">
        <v>0.46084875489723559</v>
      </c>
      <c r="F42">
        <v>0.4286762426952323</v>
      </c>
      <c r="G42">
        <v>0.45486282279698115</v>
      </c>
      <c r="H42">
        <v>0.47424724673255669</v>
      </c>
      <c r="I42">
        <v>0.47620472338850417</v>
      </c>
      <c r="J42">
        <v>0.44287815393520774</v>
      </c>
      <c r="K42">
        <v>0.4705674779889874</v>
      </c>
      <c r="L42">
        <v>0.4397114066619694</v>
      </c>
      <c r="M42">
        <v>0.43001227139361553</v>
      </c>
      <c r="N42">
        <v>0.43587622971612872</v>
      </c>
      <c r="O42">
        <v>0.41431067411026878</v>
      </c>
      <c r="AU42" t="s">
        <v>135</v>
      </c>
      <c r="AV42">
        <v>0.15308172454754934</v>
      </c>
      <c r="AW42">
        <v>0.13710776188427701</v>
      </c>
      <c r="AX42">
        <v>0.1392700707981987</v>
      </c>
      <c r="AY42">
        <v>0.11462700110262405</v>
      </c>
      <c r="AZ42">
        <v>0.1432137817491905</v>
      </c>
      <c r="BA42">
        <v>0.11484878007664459</v>
      </c>
      <c r="BB42">
        <v>5.9988669654300955E-2</v>
      </c>
      <c r="BC42">
        <v>9.3759827788680666E-2</v>
      </c>
      <c r="BD42">
        <v>6.9497649875705836E-2</v>
      </c>
      <c r="BE42">
        <v>0.11164451078437415</v>
      </c>
      <c r="BF42">
        <v>0.12146865530552454</v>
      </c>
      <c r="BG42">
        <v>0.1107779135116395</v>
      </c>
      <c r="BI42" t="s">
        <v>122</v>
      </c>
      <c r="BJ42" t="s">
        <v>151</v>
      </c>
      <c r="BK42" t="s">
        <v>152</v>
      </c>
      <c r="BL42">
        <v>0.32291009287803024</v>
      </c>
    </row>
    <row r="43" spans="2:64" x14ac:dyDescent="0.25">
      <c r="B43" t="s">
        <v>136</v>
      </c>
      <c r="C43" t="s">
        <v>31</v>
      </c>
      <c r="D43">
        <v>0.43617306811140993</v>
      </c>
      <c r="E43">
        <v>0.4859205419213885</v>
      </c>
      <c r="F43">
        <v>0.45282980481493057</v>
      </c>
      <c r="G43">
        <v>0.46066695672335384</v>
      </c>
      <c r="H43">
        <v>0.5019982399798596</v>
      </c>
      <c r="I43">
        <v>0.49447289542310818</v>
      </c>
      <c r="J43">
        <v>0.47536018871731461</v>
      </c>
      <c r="K43">
        <v>0.45281864490700552</v>
      </c>
      <c r="L43">
        <v>0.42960600792080333</v>
      </c>
      <c r="M43">
        <v>0.45090370764226589</v>
      </c>
      <c r="N43">
        <v>0.48081248200517929</v>
      </c>
      <c r="O43">
        <v>0.44344371993100096</v>
      </c>
      <c r="AU43" t="s">
        <v>136</v>
      </c>
      <c r="AV43">
        <v>0.26947880686047088</v>
      </c>
      <c r="AW43">
        <v>0.22117912187405694</v>
      </c>
      <c r="AX43">
        <v>0.2497032729277153</v>
      </c>
      <c r="AY43">
        <v>0.18743791927561473</v>
      </c>
      <c r="AZ43">
        <v>0.18775171767566609</v>
      </c>
      <c r="BA43">
        <v>0.1667081903811389</v>
      </c>
      <c r="BB43">
        <v>0.11488401892328071</v>
      </c>
      <c r="BC43">
        <v>0.1082092113940394</v>
      </c>
      <c r="BD43">
        <v>0.12020075535017817</v>
      </c>
      <c r="BE43">
        <v>0.19248392756939509</v>
      </c>
      <c r="BF43">
        <v>0.17151054480873046</v>
      </c>
      <c r="BG43">
        <v>0.19087022301230969</v>
      </c>
      <c r="BI43" t="s">
        <v>123</v>
      </c>
      <c r="BJ43" t="s">
        <v>151</v>
      </c>
      <c r="BK43" t="s">
        <v>152</v>
      </c>
      <c r="BL43">
        <v>0.33169968784123294</v>
      </c>
    </row>
    <row r="44" spans="2:64" x14ac:dyDescent="0.25">
      <c r="B44" t="s">
        <v>137</v>
      </c>
      <c r="C44" t="s">
        <v>31</v>
      </c>
      <c r="D44">
        <v>0.45186445550443244</v>
      </c>
      <c r="E44">
        <v>0.46278771730160473</v>
      </c>
      <c r="F44">
        <v>0.45766718967922676</v>
      </c>
      <c r="G44">
        <v>0.46436814699188395</v>
      </c>
      <c r="H44">
        <v>0.48692360394573642</v>
      </c>
      <c r="I44">
        <v>0.4832501905229597</v>
      </c>
      <c r="J44">
        <v>0.43685174339524391</v>
      </c>
      <c r="K44">
        <v>0.39314602112606023</v>
      </c>
      <c r="L44">
        <v>0.37938609431285125</v>
      </c>
      <c r="M44">
        <v>0.45126763542049159</v>
      </c>
      <c r="N44">
        <v>0.44998018139718765</v>
      </c>
      <c r="O44">
        <v>0.42729552739547422</v>
      </c>
      <c r="AU44" t="s">
        <v>137</v>
      </c>
      <c r="AV44">
        <v>0.1842650935350488</v>
      </c>
      <c r="AW44">
        <v>0.16353082626599169</v>
      </c>
      <c r="AX44">
        <v>0.17012287250615923</v>
      </c>
      <c r="AY44">
        <v>0.1497448548864046</v>
      </c>
      <c r="AZ44">
        <v>0.15256649149336049</v>
      </c>
      <c r="BA44">
        <v>0.14669084459267176</v>
      </c>
      <c r="BB44">
        <v>6.3786073610049815E-2</v>
      </c>
      <c r="BC44">
        <v>9.2469557070508065E-2</v>
      </c>
      <c r="BD44">
        <v>8.2278064520435609E-2</v>
      </c>
      <c r="BE44">
        <v>0.14646591387556926</v>
      </c>
      <c r="BF44">
        <v>0.14159915696077943</v>
      </c>
      <c r="BG44">
        <v>0.14920650714440145</v>
      </c>
      <c r="BI44" t="s">
        <v>124</v>
      </c>
      <c r="BJ44" t="s">
        <v>151</v>
      </c>
      <c r="BK44" t="s">
        <v>152</v>
      </c>
      <c r="BL44">
        <v>0.38185567306696988</v>
      </c>
    </row>
    <row r="45" spans="2:64" x14ac:dyDescent="0.25">
      <c r="B45" t="s">
        <v>138</v>
      </c>
      <c r="C45" t="s">
        <v>31</v>
      </c>
      <c r="D45">
        <v>0.42185223468335914</v>
      </c>
      <c r="E45">
        <v>0.4881637508520858</v>
      </c>
      <c r="F45">
        <v>0.38944114657483592</v>
      </c>
      <c r="G45">
        <v>0.41336106723808042</v>
      </c>
      <c r="H45">
        <v>0.49104307403957831</v>
      </c>
      <c r="I45">
        <v>0.35891630428243343</v>
      </c>
      <c r="J45">
        <v>0.38972713084791544</v>
      </c>
      <c r="K45">
        <v>0.44412577982581275</v>
      </c>
      <c r="L45">
        <v>0.34947139841320674</v>
      </c>
      <c r="M45">
        <v>0.41572563871320872</v>
      </c>
      <c r="N45">
        <v>0.4818913981242896</v>
      </c>
      <c r="O45">
        <v>0.38081577059775662</v>
      </c>
      <c r="AU45" t="s">
        <v>138</v>
      </c>
      <c r="AV45">
        <v>0.15152135012864623</v>
      </c>
      <c r="AW45">
        <v>0.10430342525205696</v>
      </c>
      <c r="AX45">
        <v>0.14422155324406027</v>
      </c>
      <c r="AY45">
        <v>0.12792649445183671</v>
      </c>
      <c r="AZ45">
        <v>0.11562892766235809</v>
      </c>
      <c r="BA45">
        <v>0.13710742948101651</v>
      </c>
      <c r="BB45">
        <v>8.620219346464314E-2</v>
      </c>
      <c r="BC45">
        <v>6.3344211208340342E-2</v>
      </c>
      <c r="BD45">
        <v>9.0705965059185101E-2</v>
      </c>
      <c r="BE45">
        <v>0.12068500383016216</v>
      </c>
      <c r="BF45">
        <v>0.10078762946410169</v>
      </c>
      <c r="BG45">
        <v>0.12678963631579812</v>
      </c>
      <c r="BI45" t="s">
        <v>125</v>
      </c>
      <c r="BJ45" t="s">
        <v>151</v>
      </c>
      <c r="BK45" t="s">
        <v>152</v>
      </c>
      <c r="BL45">
        <v>0.30597490414695427</v>
      </c>
    </row>
    <row r="46" spans="2:64" x14ac:dyDescent="0.25">
      <c r="B46" t="s">
        <v>139</v>
      </c>
      <c r="C46" t="s">
        <v>31</v>
      </c>
      <c r="D46">
        <v>0.39025705093105706</v>
      </c>
      <c r="E46">
        <v>0.48624769930695849</v>
      </c>
      <c r="F46">
        <v>0.37016394644783446</v>
      </c>
      <c r="G46">
        <v>0.37042420385721442</v>
      </c>
      <c r="H46">
        <v>0.47271241876228282</v>
      </c>
      <c r="I46">
        <v>0.35598647513357573</v>
      </c>
      <c r="J46">
        <v>0.36176411170480605</v>
      </c>
      <c r="K46">
        <v>0.46084622094667566</v>
      </c>
      <c r="L46">
        <v>0.35653342136404897</v>
      </c>
      <c r="M46">
        <v>0.38298563279035419</v>
      </c>
      <c r="N46">
        <v>0.46244921885583617</v>
      </c>
      <c r="O46">
        <v>0.34852923353595627</v>
      </c>
      <c r="AU46" t="s">
        <v>139</v>
      </c>
      <c r="AV46">
        <v>0.19611965300509862</v>
      </c>
      <c r="AW46">
        <v>0.13890491917908526</v>
      </c>
      <c r="AX46">
        <v>0.19966494913172425</v>
      </c>
      <c r="AY46">
        <v>0.15820777991591425</v>
      </c>
      <c r="AZ46">
        <v>0.13269840687228532</v>
      </c>
      <c r="BA46">
        <v>0.1654956492186096</v>
      </c>
      <c r="BB46">
        <v>0.11292627958569859</v>
      </c>
      <c r="BC46">
        <v>7.2664871379028564E-2</v>
      </c>
      <c r="BD46">
        <v>0.11351916224007923</v>
      </c>
      <c r="BE46">
        <v>0.16252241263848949</v>
      </c>
      <c r="BF46">
        <v>0.12620471602857369</v>
      </c>
      <c r="BG46">
        <v>0.16839109331094512</v>
      </c>
      <c r="BI46" t="s">
        <v>126</v>
      </c>
      <c r="BJ46" t="s">
        <v>151</v>
      </c>
      <c r="BK46" t="s">
        <v>152</v>
      </c>
      <c r="BL46">
        <v>0.34458226844152468</v>
      </c>
    </row>
    <row r="47" spans="2:64" x14ac:dyDescent="0.25">
      <c r="B47" t="s">
        <v>140</v>
      </c>
      <c r="C47" t="s">
        <v>31</v>
      </c>
      <c r="D47">
        <v>0.41045869947339753</v>
      </c>
      <c r="E47">
        <v>0.48287206417648176</v>
      </c>
      <c r="F47">
        <v>0.41123151119135981</v>
      </c>
      <c r="G47">
        <v>0.39806384298728736</v>
      </c>
      <c r="H47">
        <v>0.49412327197261052</v>
      </c>
      <c r="I47">
        <v>0.3741810942190486</v>
      </c>
      <c r="J47">
        <v>0.42242221786234407</v>
      </c>
      <c r="K47">
        <v>0.48653512787970726</v>
      </c>
      <c r="L47">
        <v>0.38769171394854235</v>
      </c>
      <c r="M47">
        <v>0.43311942963692496</v>
      </c>
      <c r="N47">
        <v>0.51955499125449778</v>
      </c>
      <c r="O47">
        <v>0.38806583621364199</v>
      </c>
      <c r="AU47" t="s">
        <v>140</v>
      </c>
      <c r="AV47">
        <v>0.13483856515796763</v>
      </c>
      <c r="AW47">
        <v>9.4610238167316729E-2</v>
      </c>
      <c r="AX47">
        <v>0.14618551785547657</v>
      </c>
      <c r="AY47">
        <v>0.12511691382930196</v>
      </c>
      <c r="AZ47">
        <v>8.4665631833854157E-2</v>
      </c>
      <c r="BA47">
        <v>0.12828277409305741</v>
      </c>
      <c r="BB47">
        <v>7.9012197678961033E-2</v>
      </c>
      <c r="BC47">
        <v>5.217390623762496E-2</v>
      </c>
      <c r="BD47">
        <v>0.10323869998680091</v>
      </c>
      <c r="BE47">
        <v>0.13091041733344477</v>
      </c>
      <c r="BF47">
        <v>9.8287186333564661E-2</v>
      </c>
      <c r="BG47">
        <v>0.13498868731801239</v>
      </c>
      <c r="BI47" t="s">
        <v>127</v>
      </c>
      <c r="BJ47" t="s">
        <v>151</v>
      </c>
      <c r="BK47" t="s">
        <v>152</v>
      </c>
      <c r="BL47">
        <v>0.29286581024710445</v>
      </c>
    </row>
    <row r="48" spans="2:64" x14ac:dyDescent="0.25">
      <c r="B48" t="s">
        <v>141</v>
      </c>
      <c r="C48" t="s">
        <v>31</v>
      </c>
      <c r="D48">
        <v>0.38476926129209299</v>
      </c>
      <c r="E48">
        <v>0.45513519443688061</v>
      </c>
      <c r="F48">
        <v>0.38652433790244856</v>
      </c>
      <c r="G48">
        <v>0.3754084734906466</v>
      </c>
      <c r="H48">
        <v>0.47067471089796986</v>
      </c>
      <c r="I48">
        <v>0.35879901439873052</v>
      </c>
      <c r="J48">
        <v>0.3786826271828308</v>
      </c>
      <c r="K48">
        <v>0.46245233049607615</v>
      </c>
      <c r="L48">
        <v>0.39509718969779439</v>
      </c>
      <c r="M48">
        <v>0.40328224618778941</v>
      </c>
      <c r="N48">
        <v>0.46355129911016146</v>
      </c>
      <c r="O48">
        <v>0.38629955083714546</v>
      </c>
      <c r="AU48" t="s">
        <v>141</v>
      </c>
      <c r="AV48">
        <v>0.18417102239586</v>
      </c>
      <c r="AW48">
        <v>0.12906807314677962</v>
      </c>
      <c r="AX48">
        <v>0.18131354970715421</v>
      </c>
      <c r="AY48">
        <v>0.18588849155780765</v>
      </c>
      <c r="AZ48">
        <v>0.14520863549201909</v>
      </c>
      <c r="BA48">
        <v>0.16663829498945748</v>
      </c>
      <c r="BB48">
        <v>0.10812924323680702</v>
      </c>
      <c r="BC48">
        <v>7.5622844869027234E-2</v>
      </c>
      <c r="BD48">
        <v>0.11568421329119756</v>
      </c>
      <c r="BE48">
        <v>0.16841732583257471</v>
      </c>
      <c r="BF48">
        <v>0.13767718969946621</v>
      </c>
      <c r="BG48">
        <v>0.17497260371795972</v>
      </c>
      <c r="BI48" t="s">
        <v>128</v>
      </c>
      <c r="BJ48" t="s">
        <v>151</v>
      </c>
      <c r="BK48" t="s">
        <v>152</v>
      </c>
      <c r="BL48">
        <v>0.38415232938690269</v>
      </c>
    </row>
    <row r="49" spans="2:64" x14ac:dyDescent="0.25">
      <c r="B49" t="s">
        <v>142</v>
      </c>
      <c r="C49" t="s">
        <v>31</v>
      </c>
      <c r="D49">
        <v>0.46935026927948692</v>
      </c>
      <c r="E49">
        <v>0.50903975276114255</v>
      </c>
      <c r="F49">
        <v>0.48078832967329449</v>
      </c>
      <c r="G49">
        <v>0.45783876248342736</v>
      </c>
      <c r="H49">
        <v>0.50235533841948832</v>
      </c>
      <c r="I49">
        <v>0.40645347966086115</v>
      </c>
      <c r="J49">
        <v>0.50122395288892485</v>
      </c>
      <c r="K49">
        <v>0.48105608878426098</v>
      </c>
      <c r="L49">
        <v>0.42733533630463799</v>
      </c>
      <c r="M49">
        <v>0.48748565903146313</v>
      </c>
      <c r="N49">
        <v>0.53061164723401089</v>
      </c>
      <c r="O49">
        <v>0.46427390323278173</v>
      </c>
      <c r="AU49" t="s">
        <v>142</v>
      </c>
      <c r="AV49">
        <v>0.13334263318265197</v>
      </c>
      <c r="AW49">
        <v>0.11150362979127269</v>
      </c>
      <c r="AX49">
        <v>0.1352560875246302</v>
      </c>
      <c r="AY49">
        <v>0.12108656322244556</v>
      </c>
      <c r="AZ49">
        <v>0.10983598103180321</v>
      </c>
      <c r="BA49">
        <v>0.12926487209053072</v>
      </c>
      <c r="BB49">
        <v>6.5008519320854941E-2</v>
      </c>
      <c r="BC49">
        <v>6.1698484919637753E-2</v>
      </c>
      <c r="BD49">
        <v>9.0919364948654505E-2</v>
      </c>
      <c r="BE49">
        <v>0.12939997780964477</v>
      </c>
      <c r="BF49">
        <v>0.12953969842707108</v>
      </c>
      <c r="BG49">
        <v>0.13248421242598116</v>
      </c>
      <c r="BI49" t="s">
        <v>129</v>
      </c>
      <c r="BJ49" t="s">
        <v>151</v>
      </c>
      <c r="BK49" t="s">
        <v>152</v>
      </c>
      <c r="BL49">
        <v>0.35048779846301442</v>
      </c>
    </row>
    <row r="50" spans="2:64" x14ac:dyDescent="0.25">
      <c r="B50" t="s">
        <v>143</v>
      </c>
      <c r="C50" t="s">
        <v>31</v>
      </c>
      <c r="D50">
        <v>0.37312014711952618</v>
      </c>
      <c r="E50">
        <v>0.44703417701121889</v>
      </c>
      <c r="F50">
        <v>0.39159797221598747</v>
      </c>
      <c r="G50">
        <v>0.3487993715504098</v>
      </c>
      <c r="H50">
        <v>0.44892294013265377</v>
      </c>
      <c r="I50">
        <v>0.33063449044559373</v>
      </c>
      <c r="J50">
        <v>0.37327677810159443</v>
      </c>
      <c r="K50">
        <v>0.45256489227754909</v>
      </c>
      <c r="L50">
        <v>0.37242407093612601</v>
      </c>
      <c r="M50">
        <v>0.41274636657135555</v>
      </c>
      <c r="N50">
        <v>0.47622187553981349</v>
      </c>
      <c r="O50">
        <v>0.40315353951152116</v>
      </c>
      <c r="AU50" t="s">
        <v>143</v>
      </c>
      <c r="AV50">
        <v>0.20020392833460737</v>
      </c>
      <c r="AW50">
        <v>0.16262171332802286</v>
      </c>
      <c r="AX50">
        <v>0.21396960015607061</v>
      </c>
      <c r="AY50">
        <v>0.20573734306768096</v>
      </c>
      <c r="AZ50">
        <v>0.15086718400804147</v>
      </c>
      <c r="BA50">
        <v>0.19469610026639086</v>
      </c>
      <c r="BB50">
        <v>0.11829354586958378</v>
      </c>
      <c r="BC50">
        <v>8.3367593103564813E-2</v>
      </c>
      <c r="BD50">
        <v>0.13008226655097874</v>
      </c>
      <c r="BE50">
        <v>0.18970693747103876</v>
      </c>
      <c r="BF50">
        <v>0.15696405248392964</v>
      </c>
      <c r="BG50">
        <v>0.19567206250832986</v>
      </c>
      <c r="BI50" t="s">
        <v>130</v>
      </c>
      <c r="BJ50" t="s">
        <v>151</v>
      </c>
      <c r="BK50" t="s">
        <v>152</v>
      </c>
      <c r="BL50">
        <v>0.32949635780834252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874F2-CAA0-49BB-88FB-101D92CB7D98}">
  <dimension ref="A9:S126"/>
  <sheetViews>
    <sheetView tabSelected="1" workbookViewId="0"/>
  </sheetViews>
  <sheetFormatPr defaultRowHeight="15" x14ac:dyDescent="0.25"/>
  <sheetData>
    <row r="9" spans="1:19" x14ac:dyDescent="0.2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25">
      <c r="A10" t="s">
        <v>46</v>
      </c>
      <c r="C10" t="s">
        <v>153</v>
      </c>
      <c r="D10" t="s">
        <v>49</v>
      </c>
      <c r="E10" t="s">
        <v>48</v>
      </c>
      <c r="F10" t="s">
        <v>47</v>
      </c>
      <c r="H10" t="s">
        <v>47</v>
      </c>
      <c r="I10" t="s">
        <v>48</v>
      </c>
      <c r="J10" t="s">
        <v>49</v>
      </c>
      <c r="L10" t="s">
        <v>47</v>
      </c>
      <c r="M10" t="s">
        <v>48</v>
      </c>
      <c r="N10" t="s">
        <v>162</v>
      </c>
      <c r="P10" t="s">
        <v>163</v>
      </c>
      <c r="Q10" t="s">
        <v>48</v>
      </c>
      <c r="R10" t="s">
        <v>164</v>
      </c>
      <c r="S10" t="s">
        <v>165</v>
      </c>
    </row>
    <row r="11" spans="1:19" x14ac:dyDescent="0.25">
      <c r="A11" t="str">
        <f>IFERROR(IF([1]Veda!D5=A10,"ok","x"),"")</f>
        <v/>
      </c>
      <c r="C11">
        <v>8.2191780821917804E-2</v>
      </c>
      <c r="D11">
        <v>4.555602515973449E-2</v>
      </c>
      <c r="E11" t="s">
        <v>52</v>
      </c>
      <c r="F11" t="s">
        <v>154</v>
      </c>
      <c r="H11" t="s">
        <v>160</v>
      </c>
      <c r="I11" t="s">
        <v>52</v>
      </c>
      <c r="L11" t="s">
        <v>12</v>
      </c>
      <c r="M11" t="s">
        <v>52</v>
      </c>
      <c r="N11">
        <v>0.28217076467896485</v>
      </c>
      <c r="P11">
        <v>2020</v>
      </c>
      <c r="Q11" t="s">
        <v>37</v>
      </c>
      <c r="R11">
        <v>0.34704666239705168</v>
      </c>
      <c r="S11" t="s">
        <v>166</v>
      </c>
    </row>
    <row r="12" spans="1:19" x14ac:dyDescent="0.25">
      <c r="C12">
        <v>0.10273972602739725</v>
      </c>
      <c r="D12">
        <v>0.14672202471222937</v>
      </c>
      <c r="E12" t="s">
        <v>54</v>
      </c>
      <c r="F12" t="s">
        <v>154</v>
      </c>
      <c r="H12" t="s">
        <v>160</v>
      </c>
      <c r="I12" t="s">
        <v>54</v>
      </c>
      <c r="L12" t="s">
        <v>12</v>
      </c>
      <c r="M12" t="s">
        <v>54</v>
      </c>
      <c r="N12">
        <v>6.5804634489821989E-2</v>
      </c>
      <c r="P12">
        <v>2020</v>
      </c>
      <c r="Q12" t="s">
        <v>41</v>
      </c>
      <c r="R12">
        <v>0.20765450200934069</v>
      </c>
      <c r="S12" t="s">
        <v>166</v>
      </c>
    </row>
    <row r="13" spans="1:19" x14ac:dyDescent="0.25">
      <c r="C13">
        <v>6.1643835616438353E-2</v>
      </c>
      <c r="D13">
        <v>5.4297292593789633E-2</v>
      </c>
      <c r="E13" t="s">
        <v>55</v>
      </c>
      <c r="F13" t="s">
        <v>154</v>
      </c>
      <c r="H13" t="s">
        <v>160</v>
      </c>
      <c r="I13" t="s">
        <v>55</v>
      </c>
      <c r="L13" t="s">
        <v>12</v>
      </c>
      <c r="M13" t="s">
        <v>55</v>
      </c>
      <c r="N13">
        <v>0.12048902223593072</v>
      </c>
      <c r="P13">
        <v>2020</v>
      </c>
      <c r="Q13" t="s">
        <v>43</v>
      </c>
      <c r="R13">
        <v>0.17113337677853802</v>
      </c>
      <c r="S13" t="s">
        <v>166</v>
      </c>
    </row>
    <row r="14" spans="1:19" x14ac:dyDescent="0.25">
      <c r="C14">
        <v>8.4018264840182655E-2</v>
      </c>
      <c r="D14">
        <v>4.6568381274395249E-2</v>
      </c>
      <c r="E14" t="s">
        <v>56</v>
      </c>
      <c r="F14" t="s">
        <v>154</v>
      </c>
      <c r="H14" t="s">
        <v>160</v>
      </c>
      <c r="I14" t="s">
        <v>56</v>
      </c>
      <c r="L14" t="s">
        <v>12</v>
      </c>
      <c r="M14" t="s">
        <v>56</v>
      </c>
      <c r="N14">
        <v>0.34680528683307865</v>
      </c>
      <c r="P14">
        <v>2020</v>
      </c>
      <c r="Q14" t="s">
        <v>45</v>
      </c>
      <c r="R14">
        <v>0.26542304768111213</v>
      </c>
      <c r="S14" t="s">
        <v>166</v>
      </c>
    </row>
    <row r="15" spans="1:19" x14ac:dyDescent="0.25">
      <c r="C15">
        <v>0.1050228310502283</v>
      </c>
      <c r="D15">
        <v>0.14998251415027888</v>
      </c>
      <c r="E15" t="s">
        <v>57</v>
      </c>
      <c r="F15" t="s">
        <v>154</v>
      </c>
      <c r="H15" t="s">
        <v>160</v>
      </c>
      <c r="I15" t="s">
        <v>57</v>
      </c>
      <c r="L15" t="s">
        <v>12</v>
      </c>
      <c r="M15" t="s">
        <v>57</v>
      </c>
      <c r="N15">
        <v>0.1539092669372395</v>
      </c>
      <c r="P15">
        <v>2021</v>
      </c>
      <c r="Q15" t="s">
        <v>37</v>
      </c>
      <c r="R15">
        <v>0.51188730624214485</v>
      </c>
      <c r="S15" t="s">
        <v>166</v>
      </c>
    </row>
    <row r="16" spans="1:19" x14ac:dyDescent="0.25">
      <c r="C16">
        <v>6.3013698630136991E-2</v>
      </c>
      <c r="D16">
        <v>5.5503899095873853E-2</v>
      </c>
      <c r="E16" t="s">
        <v>58</v>
      </c>
      <c r="F16" t="s">
        <v>154</v>
      </c>
      <c r="H16" t="s">
        <v>160</v>
      </c>
      <c r="I16" t="s">
        <v>58</v>
      </c>
      <c r="L16" t="s">
        <v>12</v>
      </c>
      <c r="M16" t="s">
        <v>58</v>
      </c>
      <c r="N16">
        <v>0.19507985950900397</v>
      </c>
      <c r="P16">
        <v>2021</v>
      </c>
      <c r="Q16" t="s">
        <v>41</v>
      </c>
      <c r="R16">
        <v>0.3723389812099489</v>
      </c>
      <c r="S16" t="s">
        <v>166</v>
      </c>
    </row>
    <row r="17" spans="3:19" x14ac:dyDescent="0.25">
      <c r="C17">
        <v>8.4018264840182655E-2</v>
      </c>
      <c r="D17">
        <v>4.6568381274395249E-2</v>
      </c>
      <c r="E17" t="s">
        <v>59</v>
      </c>
      <c r="F17" t="s">
        <v>154</v>
      </c>
      <c r="H17" t="s">
        <v>160</v>
      </c>
      <c r="I17" t="s">
        <v>59</v>
      </c>
      <c r="L17" t="s">
        <v>12</v>
      </c>
      <c r="M17" t="s">
        <v>59</v>
      </c>
      <c r="N17">
        <v>0.26555293886762832</v>
      </c>
      <c r="P17">
        <v>2021</v>
      </c>
      <c r="Q17" t="s">
        <v>43</v>
      </c>
      <c r="R17">
        <v>0.22883403931791024</v>
      </c>
      <c r="S17" t="s">
        <v>166</v>
      </c>
    </row>
    <row r="18" spans="3:19" x14ac:dyDescent="0.25">
      <c r="C18">
        <v>0.1050228310502283</v>
      </c>
      <c r="D18">
        <v>0.14998251415027888</v>
      </c>
      <c r="E18" t="s">
        <v>60</v>
      </c>
      <c r="F18" t="s">
        <v>154</v>
      </c>
      <c r="H18" t="s">
        <v>160</v>
      </c>
      <c r="I18" t="s">
        <v>60</v>
      </c>
      <c r="L18" t="s">
        <v>12</v>
      </c>
      <c r="M18" t="s">
        <v>60</v>
      </c>
      <c r="N18">
        <v>0.1092284070115106</v>
      </c>
      <c r="P18">
        <v>2021</v>
      </c>
      <c r="Q18" t="s">
        <v>45</v>
      </c>
      <c r="R18">
        <v>0.18783262734875636</v>
      </c>
      <c r="S18" t="s">
        <v>166</v>
      </c>
    </row>
    <row r="19" spans="3:19" x14ac:dyDescent="0.25">
      <c r="C19">
        <v>6.3013698630136991E-2</v>
      </c>
      <c r="D19">
        <v>5.5503899095873853E-2</v>
      </c>
      <c r="E19" t="s">
        <v>61</v>
      </c>
      <c r="F19" t="s">
        <v>154</v>
      </c>
      <c r="H19" t="s">
        <v>160</v>
      </c>
      <c r="I19" t="s">
        <v>61</v>
      </c>
      <c r="L19" t="s">
        <v>12</v>
      </c>
      <c r="M19" t="s">
        <v>61</v>
      </c>
      <c r="N19">
        <v>9.7937334565313172E-2</v>
      </c>
      <c r="P19">
        <v>2022</v>
      </c>
      <c r="Q19" t="s">
        <v>37</v>
      </c>
      <c r="R19">
        <v>0.36302775866343229</v>
      </c>
      <c r="S19" t="s">
        <v>166</v>
      </c>
    </row>
    <row r="20" spans="3:19" x14ac:dyDescent="0.25">
      <c r="C20">
        <v>8.3105022831050229E-2</v>
      </c>
      <c r="D20">
        <v>4.6062203217064869E-2</v>
      </c>
      <c r="E20" t="s">
        <v>62</v>
      </c>
      <c r="F20" t="s">
        <v>154</v>
      </c>
      <c r="H20" t="s">
        <v>160</v>
      </c>
      <c r="I20" t="s">
        <v>62</v>
      </c>
      <c r="L20" t="s">
        <v>12</v>
      </c>
      <c r="M20" t="s">
        <v>62</v>
      </c>
      <c r="N20">
        <v>0.33003648635422489</v>
      </c>
      <c r="P20">
        <v>2022</v>
      </c>
      <c r="Q20" t="s">
        <v>41</v>
      </c>
      <c r="R20">
        <v>0.21739189196494699</v>
      </c>
      <c r="S20" t="s">
        <v>166</v>
      </c>
    </row>
    <row r="21" spans="3:19" x14ac:dyDescent="0.25">
      <c r="C21">
        <v>0.10388127853881278</v>
      </c>
      <c r="D21">
        <v>0.14835226943125412</v>
      </c>
      <c r="E21" t="s">
        <v>63</v>
      </c>
      <c r="F21" t="s">
        <v>154</v>
      </c>
      <c r="H21" t="s">
        <v>160</v>
      </c>
      <c r="I21" t="s">
        <v>63</v>
      </c>
      <c r="L21" t="s">
        <v>12</v>
      </c>
      <c r="M21" t="s">
        <v>63</v>
      </c>
      <c r="N21">
        <v>0.16859584766755997</v>
      </c>
      <c r="P21">
        <v>2022</v>
      </c>
      <c r="Q21" t="s">
        <v>43</v>
      </c>
      <c r="R21">
        <v>0.16029019824086232</v>
      </c>
      <c r="S21" t="s">
        <v>166</v>
      </c>
    </row>
    <row r="22" spans="3:19" x14ac:dyDescent="0.25">
      <c r="C22">
        <v>6.2328767123287672E-2</v>
      </c>
      <c r="D22">
        <v>5.4900595844831736E-2</v>
      </c>
      <c r="E22" t="s">
        <v>64</v>
      </c>
      <c r="F22" t="s">
        <v>154</v>
      </c>
      <c r="H22" t="s">
        <v>160</v>
      </c>
      <c r="I22" t="s">
        <v>64</v>
      </c>
      <c r="L22" t="s">
        <v>12</v>
      </c>
      <c r="M22" t="s">
        <v>64</v>
      </c>
      <c r="N22">
        <v>0.20641797406419138</v>
      </c>
      <c r="P22">
        <v>2022</v>
      </c>
      <c r="Q22" t="s">
        <v>45</v>
      </c>
      <c r="R22">
        <v>0.18272541991707072</v>
      </c>
      <c r="S22" t="s">
        <v>166</v>
      </c>
    </row>
    <row r="23" spans="3:19" x14ac:dyDescent="0.25">
      <c r="H23" t="s">
        <v>161</v>
      </c>
      <c r="I23" t="s">
        <v>52</v>
      </c>
      <c r="P23">
        <v>2025</v>
      </c>
      <c r="Q23" t="s">
        <v>37</v>
      </c>
      <c r="R23">
        <v>0.39583333333333331</v>
      </c>
      <c r="S23" t="s">
        <v>166</v>
      </c>
    </row>
    <row r="24" spans="3:19" x14ac:dyDescent="0.25">
      <c r="H24" t="s">
        <v>161</v>
      </c>
      <c r="I24" t="s">
        <v>54</v>
      </c>
      <c r="P24">
        <v>2025</v>
      </c>
      <c r="Q24" t="s">
        <v>41</v>
      </c>
      <c r="R24">
        <v>0.29033333333333333</v>
      </c>
      <c r="S24" t="s">
        <v>166</v>
      </c>
    </row>
    <row r="25" spans="3:19" x14ac:dyDescent="0.25">
      <c r="H25" t="s">
        <v>161</v>
      </c>
      <c r="I25" t="s">
        <v>55</v>
      </c>
      <c r="P25">
        <v>2025</v>
      </c>
      <c r="Q25" t="s">
        <v>43</v>
      </c>
      <c r="R25">
        <v>0.22156666666666669</v>
      </c>
      <c r="S25" t="s">
        <v>166</v>
      </c>
    </row>
    <row r="26" spans="3:19" x14ac:dyDescent="0.25">
      <c r="H26" t="s">
        <v>161</v>
      </c>
      <c r="I26" t="s">
        <v>56</v>
      </c>
      <c r="P26">
        <v>2025</v>
      </c>
      <c r="Q26" t="s">
        <v>45</v>
      </c>
      <c r="R26">
        <v>0.23786666666666667</v>
      </c>
      <c r="S26" t="s">
        <v>166</v>
      </c>
    </row>
    <row r="27" spans="3:19" x14ac:dyDescent="0.25">
      <c r="H27" t="s">
        <v>161</v>
      </c>
      <c r="I27" t="s">
        <v>57</v>
      </c>
      <c r="P27">
        <v>2026</v>
      </c>
      <c r="Q27" t="s">
        <v>37</v>
      </c>
      <c r="R27">
        <v>0.3805</v>
      </c>
      <c r="S27" t="s">
        <v>166</v>
      </c>
    </row>
    <row r="28" spans="3:19" x14ac:dyDescent="0.25">
      <c r="H28" t="s">
        <v>161</v>
      </c>
      <c r="I28" t="s">
        <v>58</v>
      </c>
      <c r="P28">
        <v>2026</v>
      </c>
      <c r="Q28" t="s">
        <v>41</v>
      </c>
      <c r="R28">
        <v>0.27883333333333332</v>
      </c>
      <c r="S28" t="s">
        <v>166</v>
      </c>
    </row>
    <row r="29" spans="3:19" x14ac:dyDescent="0.25">
      <c r="H29" t="s">
        <v>161</v>
      </c>
      <c r="I29" t="s">
        <v>59</v>
      </c>
      <c r="P29">
        <v>2026</v>
      </c>
      <c r="Q29" t="s">
        <v>43</v>
      </c>
      <c r="R29">
        <v>0.22269999999999998</v>
      </c>
      <c r="S29" t="s">
        <v>166</v>
      </c>
    </row>
    <row r="30" spans="3:19" x14ac:dyDescent="0.25">
      <c r="H30" t="s">
        <v>161</v>
      </c>
      <c r="I30" t="s">
        <v>60</v>
      </c>
      <c r="P30">
        <v>2026</v>
      </c>
      <c r="Q30" t="s">
        <v>45</v>
      </c>
      <c r="R30">
        <v>0.22823333333333337</v>
      </c>
      <c r="S30" t="s">
        <v>166</v>
      </c>
    </row>
    <row r="31" spans="3:19" x14ac:dyDescent="0.25">
      <c r="H31" t="s">
        <v>161</v>
      </c>
      <c r="I31" t="s">
        <v>61</v>
      </c>
      <c r="P31">
        <v>2027</v>
      </c>
      <c r="Q31" t="s">
        <v>37</v>
      </c>
      <c r="R31">
        <v>0.36626666666666668</v>
      </c>
      <c r="S31" t="s">
        <v>166</v>
      </c>
    </row>
    <row r="32" spans="3:19" x14ac:dyDescent="0.25">
      <c r="H32" t="s">
        <v>161</v>
      </c>
      <c r="I32" t="s">
        <v>62</v>
      </c>
      <c r="P32">
        <v>2027</v>
      </c>
      <c r="Q32" t="s">
        <v>41</v>
      </c>
      <c r="R32">
        <v>0.30583333333333335</v>
      </c>
      <c r="S32" t="s">
        <v>166</v>
      </c>
    </row>
    <row r="33" spans="8:19" x14ac:dyDescent="0.25">
      <c r="H33" t="s">
        <v>161</v>
      </c>
      <c r="I33" t="s">
        <v>63</v>
      </c>
      <c r="P33">
        <v>2027</v>
      </c>
      <c r="Q33" t="s">
        <v>43</v>
      </c>
      <c r="R33">
        <v>0.21466666666666667</v>
      </c>
      <c r="S33" t="s">
        <v>166</v>
      </c>
    </row>
    <row r="34" spans="8:19" x14ac:dyDescent="0.25">
      <c r="H34" t="s">
        <v>161</v>
      </c>
      <c r="I34" t="s">
        <v>64</v>
      </c>
      <c r="P34">
        <v>2027</v>
      </c>
      <c r="Q34" t="s">
        <v>45</v>
      </c>
      <c r="R34">
        <v>0.22203333333333333</v>
      </c>
      <c r="S34" t="s">
        <v>166</v>
      </c>
    </row>
    <row r="35" spans="8:19" x14ac:dyDescent="0.25">
      <c r="P35">
        <v>2028</v>
      </c>
      <c r="Q35" t="s">
        <v>37</v>
      </c>
      <c r="R35">
        <v>0.35639999999999999</v>
      </c>
      <c r="S35" t="s">
        <v>166</v>
      </c>
    </row>
    <row r="36" spans="8:19" x14ac:dyDescent="0.25">
      <c r="P36">
        <v>2028</v>
      </c>
      <c r="Q36" t="s">
        <v>41</v>
      </c>
      <c r="R36">
        <v>0.29776666666666668</v>
      </c>
      <c r="S36" t="s">
        <v>166</v>
      </c>
    </row>
    <row r="37" spans="8:19" x14ac:dyDescent="0.25">
      <c r="P37">
        <v>2028</v>
      </c>
      <c r="Q37" t="s">
        <v>43</v>
      </c>
      <c r="R37">
        <v>0.22303333333333333</v>
      </c>
      <c r="S37" t="s">
        <v>166</v>
      </c>
    </row>
    <row r="38" spans="8:19" x14ac:dyDescent="0.25">
      <c r="P38">
        <v>2028</v>
      </c>
      <c r="Q38" t="s">
        <v>45</v>
      </c>
      <c r="R38">
        <v>0.21409999999999998</v>
      </c>
      <c r="S38" t="s">
        <v>166</v>
      </c>
    </row>
    <row r="39" spans="8:19" x14ac:dyDescent="0.25">
      <c r="P39">
        <v>2029</v>
      </c>
      <c r="Q39" t="s">
        <v>37</v>
      </c>
      <c r="R39">
        <v>0.36646666666666666</v>
      </c>
      <c r="S39" t="s">
        <v>166</v>
      </c>
    </row>
    <row r="40" spans="8:19" x14ac:dyDescent="0.25">
      <c r="P40">
        <v>2029</v>
      </c>
      <c r="Q40" t="s">
        <v>41</v>
      </c>
      <c r="R40">
        <v>0.29466666666666663</v>
      </c>
      <c r="S40" t="s">
        <v>166</v>
      </c>
    </row>
    <row r="41" spans="8:19" x14ac:dyDescent="0.25">
      <c r="P41">
        <v>2029</v>
      </c>
      <c r="Q41" t="s">
        <v>43</v>
      </c>
      <c r="R41">
        <v>0.21863333333333335</v>
      </c>
      <c r="S41" t="s">
        <v>166</v>
      </c>
    </row>
    <row r="42" spans="8:19" x14ac:dyDescent="0.25">
      <c r="P42">
        <v>2029</v>
      </c>
      <c r="Q42" t="s">
        <v>45</v>
      </c>
      <c r="R42">
        <v>0.24233333333333332</v>
      </c>
      <c r="S42" t="s">
        <v>166</v>
      </c>
    </row>
    <row r="43" spans="8:19" x14ac:dyDescent="0.25">
      <c r="P43">
        <v>2030</v>
      </c>
      <c r="Q43" t="s">
        <v>37</v>
      </c>
      <c r="R43">
        <v>0.4113</v>
      </c>
      <c r="S43" t="s">
        <v>166</v>
      </c>
    </row>
    <row r="44" spans="8:19" x14ac:dyDescent="0.25">
      <c r="P44">
        <v>2030</v>
      </c>
      <c r="Q44" t="s">
        <v>41</v>
      </c>
      <c r="R44">
        <v>0.3415333333333333</v>
      </c>
      <c r="S44" t="s">
        <v>166</v>
      </c>
    </row>
    <row r="45" spans="8:19" x14ac:dyDescent="0.25">
      <c r="P45">
        <v>2030</v>
      </c>
      <c r="Q45" t="s">
        <v>43</v>
      </c>
      <c r="R45">
        <v>0.24896666666666667</v>
      </c>
      <c r="S45" t="s">
        <v>166</v>
      </c>
    </row>
    <row r="46" spans="8:19" x14ac:dyDescent="0.25">
      <c r="P46">
        <v>2030</v>
      </c>
      <c r="Q46" t="s">
        <v>45</v>
      </c>
      <c r="R46">
        <v>0.24933333333333332</v>
      </c>
      <c r="S46" t="s">
        <v>166</v>
      </c>
    </row>
    <row r="47" spans="8:19" x14ac:dyDescent="0.25">
      <c r="P47">
        <v>2031</v>
      </c>
      <c r="Q47" t="s">
        <v>37</v>
      </c>
      <c r="R47">
        <v>0.4418333333333333</v>
      </c>
      <c r="S47" t="s">
        <v>166</v>
      </c>
    </row>
    <row r="48" spans="8:19" x14ac:dyDescent="0.25">
      <c r="P48">
        <v>2031</v>
      </c>
      <c r="Q48" t="s">
        <v>41</v>
      </c>
      <c r="R48">
        <v>0.32613333333333333</v>
      </c>
      <c r="S48" t="s">
        <v>166</v>
      </c>
    </row>
    <row r="49" spans="16:19" x14ac:dyDescent="0.25">
      <c r="P49">
        <v>2031</v>
      </c>
      <c r="Q49" t="s">
        <v>43</v>
      </c>
      <c r="R49">
        <v>0.25466666666666665</v>
      </c>
      <c r="S49" t="s">
        <v>166</v>
      </c>
    </row>
    <row r="50" spans="16:19" x14ac:dyDescent="0.25">
      <c r="P50">
        <v>2031</v>
      </c>
      <c r="Q50" t="s">
        <v>45</v>
      </c>
      <c r="R50">
        <v>0.27179999999999999</v>
      </c>
      <c r="S50" t="s">
        <v>166</v>
      </c>
    </row>
    <row r="51" spans="16:19" x14ac:dyDescent="0.25">
      <c r="P51">
        <v>2032</v>
      </c>
      <c r="Q51" t="s">
        <v>37</v>
      </c>
      <c r="R51">
        <v>0.39023333333333338</v>
      </c>
      <c r="S51" t="s">
        <v>166</v>
      </c>
    </row>
    <row r="52" spans="16:19" x14ac:dyDescent="0.25">
      <c r="P52">
        <v>2032</v>
      </c>
      <c r="Q52" t="s">
        <v>41</v>
      </c>
      <c r="R52">
        <v>0.28419999999999995</v>
      </c>
      <c r="S52" t="s">
        <v>166</v>
      </c>
    </row>
    <row r="53" spans="16:19" x14ac:dyDescent="0.25">
      <c r="P53">
        <v>2032</v>
      </c>
      <c r="Q53" t="s">
        <v>43</v>
      </c>
      <c r="R53">
        <v>0.22030000000000002</v>
      </c>
      <c r="S53" t="s">
        <v>166</v>
      </c>
    </row>
    <row r="54" spans="16:19" x14ac:dyDescent="0.25">
      <c r="P54">
        <v>2032</v>
      </c>
      <c r="Q54" t="s">
        <v>45</v>
      </c>
      <c r="R54">
        <v>0.22106666666666666</v>
      </c>
      <c r="S54" t="s">
        <v>166</v>
      </c>
    </row>
    <row r="55" spans="16:19" x14ac:dyDescent="0.25">
      <c r="P55">
        <v>2033</v>
      </c>
      <c r="Q55" t="s">
        <v>37</v>
      </c>
      <c r="R55">
        <v>0.38000000000000006</v>
      </c>
      <c r="S55" t="s">
        <v>166</v>
      </c>
    </row>
    <row r="56" spans="16:19" x14ac:dyDescent="0.25">
      <c r="P56">
        <v>2033</v>
      </c>
      <c r="Q56" t="s">
        <v>41</v>
      </c>
      <c r="R56">
        <v>0.30150000000000005</v>
      </c>
      <c r="S56" t="s">
        <v>166</v>
      </c>
    </row>
    <row r="57" spans="16:19" x14ac:dyDescent="0.25">
      <c r="P57">
        <v>2033</v>
      </c>
      <c r="Q57" t="s">
        <v>43</v>
      </c>
      <c r="R57">
        <v>0.21563333333333334</v>
      </c>
      <c r="S57" t="s">
        <v>166</v>
      </c>
    </row>
    <row r="58" spans="16:19" x14ac:dyDescent="0.25">
      <c r="P58">
        <v>2033</v>
      </c>
      <c r="Q58" t="s">
        <v>45</v>
      </c>
      <c r="R58">
        <v>0.22370000000000001</v>
      </c>
      <c r="S58" t="s">
        <v>166</v>
      </c>
    </row>
    <row r="59" spans="16:19" x14ac:dyDescent="0.25">
      <c r="P59">
        <v>2034</v>
      </c>
      <c r="Q59" t="s">
        <v>37</v>
      </c>
      <c r="R59">
        <v>0.37206666666666671</v>
      </c>
      <c r="S59" t="s">
        <v>166</v>
      </c>
    </row>
    <row r="60" spans="16:19" x14ac:dyDescent="0.25">
      <c r="P60">
        <v>2034</v>
      </c>
      <c r="Q60" t="s">
        <v>41</v>
      </c>
      <c r="R60">
        <v>0.31030000000000002</v>
      </c>
      <c r="S60" t="s">
        <v>166</v>
      </c>
    </row>
    <row r="61" spans="16:19" x14ac:dyDescent="0.25">
      <c r="P61">
        <v>2034</v>
      </c>
      <c r="Q61" t="s">
        <v>43</v>
      </c>
      <c r="R61">
        <v>0.22526666666666664</v>
      </c>
      <c r="S61" t="s">
        <v>166</v>
      </c>
    </row>
    <row r="62" spans="16:19" x14ac:dyDescent="0.25">
      <c r="P62">
        <v>2034</v>
      </c>
      <c r="Q62" t="s">
        <v>45</v>
      </c>
      <c r="R62">
        <v>0.22436666666666663</v>
      </c>
      <c r="S62" t="s">
        <v>166</v>
      </c>
    </row>
    <row r="63" spans="16:19" x14ac:dyDescent="0.25">
      <c r="P63">
        <v>2035</v>
      </c>
      <c r="Q63" t="s">
        <v>37</v>
      </c>
      <c r="R63">
        <v>0.35886666666666667</v>
      </c>
      <c r="S63" t="s">
        <v>166</v>
      </c>
    </row>
    <row r="64" spans="16:19" x14ac:dyDescent="0.25">
      <c r="P64">
        <v>2035</v>
      </c>
      <c r="Q64" t="s">
        <v>41</v>
      </c>
      <c r="R64">
        <v>0.29089999999999999</v>
      </c>
      <c r="S64" t="s">
        <v>166</v>
      </c>
    </row>
    <row r="65" spans="16:19" x14ac:dyDescent="0.25">
      <c r="P65">
        <v>2035</v>
      </c>
      <c r="Q65" t="s">
        <v>43</v>
      </c>
      <c r="R65">
        <v>0.22643333333333335</v>
      </c>
      <c r="S65" t="s">
        <v>166</v>
      </c>
    </row>
    <row r="66" spans="16:19" x14ac:dyDescent="0.25">
      <c r="P66">
        <v>2035</v>
      </c>
      <c r="Q66" t="s">
        <v>45</v>
      </c>
      <c r="R66">
        <v>0.23556666666666667</v>
      </c>
      <c r="S66" t="s">
        <v>166</v>
      </c>
    </row>
    <row r="67" spans="16:19" x14ac:dyDescent="0.25">
      <c r="P67">
        <v>2036</v>
      </c>
      <c r="Q67" t="s">
        <v>37</v>
      </c>
      <c r="R67">
        <v>0.36646666666666666</v>
      </c>
      <c r="S67" t="s">
        <v>166</v>
      </c>
    </row>
    <row r="68" spans="16:19" x14ac:dyDescent="0.25">
      <c r="P68">
        <v>2036</v>
      </c>
      <c r="Q68" t="s">
        <v>41</v>
      </c>
      <c r="R68">
        <v>0.30363333333333337</v>
      </c>
      <c r="S68" t="s">
        <v>166</v>
      </c>
    </row>
    <row r="69" spans="16:19" x14ac:dyDescent="0.25">
      <c r="P69">
        <v>2036</v>
      </c>
      <c r="Q69" t="s">
        <v>43</v>
      </c>
      <c r="R69">
        <v>0.22556666666666669</v>
      </c>
      <c r="S69" t="s">
        <v>166</v>
      </c>
    </row>
    <row r="70" spans="16:19" x14ac:dyDescent="0.25">
      <c r="P70">
        <v>2036</v>
      </c>
      <c r="Q70" t="s">
        <v>45</v>
      </c>
      <c r="R70">
        <v>0.23766666666666666</v>
      </c>
      <c r="S70" t="s">
        <v>166</v>
      </c>
    </row>
    <row r="71" spans="16:19" x14ac:dyDescent="0.25">
      <c r="P71">
        <v>2037</v>
      </c>
      <c r="Q71" t="s">
        <v>37</v>
      </c>
      <c r="R71">
        <v>0.37596666666666662</v>
      </c>
      <c r="S71" t="s">
        <v>166</v>
      </c>
    </row>
    <row r="72" spans="16:19" x14ac:dyDescent="0.25">
      <c r="P72">
        <v>2037</v>
      </c>
      <c r="Q72" t="s">
        <v>41</v>
      </c>
      <c r="R72">
        <v>0.31076666666666669</v>
      </c>
      <c r="S72" t="s">
        <v>166</v>
      </c>
    </row>
    <row r="73" spans="16:19" x14ac:dyDescent="0.25">
      <c r="P73">
        <v>2037</v>
      </c>
      <c r="Q73" t="s">
        <v>43</v>
      </c>
      <c r="R73">
        <v>0.21646666666666667</v>
      </c>
      <c r="S73" t="s">
        <v>166</v>
      </c>
    </row>
    <row r="74" spans="16:19" x14ac:dyDescent="0.25">
      <c r="P74">
        <v>2037</v>
      </c>
      <c r="Q74" t="s">
        <v>45</v>
      </c>
      <c r="R74">
        <v>0.2315666666666667</v>
      </c>
      <c r="S74" t="s">
        <v>166</v>
      </c>
    </row>
    <row r="75" spans="16:19" x14ac:dyDescent="0.25">
      <c r="P75">
        <v>2038</v>
      </c>
      <c r="Q75" t="s">
        <v>37</v>
      </c>
      <c r="R75">
        <v>0.37156666666666666</v>
      </c>
      <c r="S75" t="s">
        <v>166</v>
      </c>
    </row>
    <row r="76" spans="16:19" x14ac:dyDescent="0.25">
      <c r="P76">
        <v>2038</v>
      </c>
      <c r="Q76" t="s">
        <v>41</v>
      </c>
      <c r="R76">
        <v>0.27543333333333336</v>
      </c>
      <c r="S76" t="s">
        <v>166</v>
      </c>
    </row>
    <row r="77" spans="16:19" x14ac:dyDescent="0.25">
      <c r="P77">
        <v>2038</v>
      </c>
      <c r="Q77" t="s">
        <v>43</v>
      </c>
      <c r="R77">
        <v>0.21213333333333331</v>
      </c>
      <c r="S77" t="s">
        <v>166</v>
      </c>
    </row>
    <row r="78" spans="16:19" x14ac:dyDescent="0.25">
      <c r="P78">
        <v>2038</v>
      </c>
      <c r="Q78" t="s">
        <v>45</v>
      </c>
      <c r="R78">
        <v>0.24503333333333335</v>
      </c>
      <c r="S78" t="s">
        <v>166</v>
      </c>
    </row>
    <row r="79" spans="16:19" x14ac:dyDescent="0.25">
      <c r="P79">
        <v>2039</v>
      </c>
      <c r="Q79" t="s">
        <v>37</v>
      </c>
      <c r="R79">
        <v>0.36266666666666669</v>
      </c>
      <c r="S79" t="s">
        <v>166</v>
      </c>
    </row>
    <row r="80" spans="16:19" x14ac:dyDescent="0.25">
      <c r="P80">
        <v>2039</v>
      </c>
      <c r="Q80" t="s">
        <v>41</v>
      </c>
      <c r="R80">
        <v>0.30166666666666669</v>
      </c>
      <c r="S80" t="s">
        <v>166</v>
      </c>
    </row>
    <row r="81" spans="16:19" x14ac:dyDescent="0.25">
      <c r="P81">
        <v>2039</v>
      </c>
      <c r="Q81" t="s">
        <v>43</v>
      </c>
      <c r="R81">
        <v>0.2222666666666667</v>
      </c>
      <c r="S81" t="s">
        <v>166</v>
      </c>
    </row>
    <row r="82" spans="16:19" x14ac:dyDescent="0.25">
      <c r="P82">
        <v>2039</v>
      </c>
      <c r="Q82" t="s">
        <v>45</v>
      </c>
      <c r="R82">
        <v>0.224</v>
      </c>
      <c r="S82" t="s">
        <v>166</v>
      </c>
    </row>
    <row r="83" spans="16:19" x14ac:dyDescent="0.25">
      <c r="P83">
        <v>2040</v>
      </c>
      <c r="Q83" t="s">
        <v>37</v>
      </c>
      <c r="R83">
        <v>0.37683333333333335</v>
      </c>
      <c r="S83" t="s">
        <v>166</v>
      </c>
    </row>
    <row r="84" spans="16:19" x14ac:dyDescent="0.25">
      <c r="P84">
        <v>2040</v>
      </c>
      <c r="Q84" t="s">
        <v>41</v>
      </c>
      <c r="R84">
        <v>0.29643333333333338</v>
      </c>
      <c r="S84" t="s">
        <v>166</v>
      </c>
    </row>
    <row r="85" spans="16:19" x14ac:dyDescent="0.25">
      <c r="P85">
        <v>2040</v>
      </c>
      <c r="Q85" t="s">
        <v>43</v>
      </c>
      <c r="R85">
        <v>0.22426666666666664</v>
      </c>
      <c r="S85" t="s">
        <v>166</v>
      </c>
    </row>
    <row r="86" spans="16:19" x14ac:dyDescent="0.25">
      <c r="P86">
        <v>2040</v>
      </c>
      <c r="Q86" t="s">
        <v>45</v>
      </c>
      <c r="R86">
        <v>0.22713333333333333</v>
      </c>
      <c r="S86" t="s">
        <v>166</v>
      </c>
    </row>
    <row r="87" spans="16:19" x14ac:dyDescent="0.25">
      <c r="P87">
        <v>2041</v>
      </c>
      <c r="Q87" t="s">
        <v>37</v>
      </c>
      <c r="R87">
        <v>0.36299999999999999</v>
      </c>
      <c r="S87" t="s">
        <v>166</v>
      </c>
    </row>
    <row r="88" spans="16:19" x14ac:dyDescent="0.25">
      <c r="P88">
        <v>2041</v>
      </c>
      <c r="Q88" t="s">
        <v>41</v>
      </c>
      <c r="R88">
        <v>0.29596666666666666</v>
      </c>
      <c r="S88" t="s">
        <v>166</v>
      </c>
    </row>
    <row r="89" spans="16:19" x14ac:dyDescent="0.25">
      <c r="P89">
        <v>2041</v>
      </c>
      <c r="Q89" t="s">
        <v>43</v>
      </c>
      <c r="R89">
        <v>0.22866666666666666</v>
      </c>
      <c r="S89" t="s">
        <v>166</v>
      </c>
    </row>
    <row r="90" spans="16:19" x14ac:dyDescent="0.25">
      <c r="P90">
        <v>2041</v>
      </c>
      <c r="Q90" t="s">
        <v>45</v>
      </c>
      <c r="R90">
        <v>0.21883333333333332</v>
      </c>
      <c r="S90" t="s">
        <v>166</v>
      </c>
    </row>
    <row r="91" spans="16:19" x14ac:dyDescent="0.25">
      <c r="P91">
        <v>2042</v>
      </c>
      <c r="Q91" t="s">
        <v>37</v>
      </c>
      <c r="R91">
        <v>0.35370000000000007</v>
      </c>
      <c r="S91" t="s">
        <v>166</v>
      </c>
    </row>
    <row r="92" spans="16:19" x14ac:dyDescent="0.25">
      <c r="P92">
        <v>2042</v>
      </c>
      <c r="Q92" t="s">
        <v>41</v>
      </c>
      <c r="R92">
        <v>0.29380000000000001</v>
      </c>
      <c r="S92" t="s">
        <v>166</v>
      </c>
    </row>
    <row r="93" spans="16:19" x14ac:dyDescent="0.25">
      <c r="P93">
        <v>2042</v>
      </c>
      <c r="Q93" t="s">
        <v>43</v>
      </c>
      <c r="R93">
        <v>0.21516666666666664</v>
      </c>
      <c r="S93" t="s">
        <v>166</v>
      </c>
    </row>
    <row r="94" spans="16:19" x14ac:dyDescent="0.25">
      <c r="P94">
        <v>2042</v>
      </c>
      <c r="Q94" t="s">
        <v>45</v>
      </c>
      <c r="R94">
        <v>0.2355666666666667</v>
      </c>
      <c r="S94" t="s">
        <v>166</v>
      </c>
    </row>
    <row r="95" spans="16:19" x14ac:dyDescent="0.25">
      <c r="P95">
        <v>2043</v>
      </c>
      <c r="Q95" t="s">
        <v>37</v>
      </c>
      <c r="R95">
        <v>0.3911</v>
      </c>
      <c r="S95" t="s">
        <v>166</v>
      </c>
    </row>
    <row r="96" spans="16:19" x14ac:dyDescent="0.25">
      <c r="P96">
        <v>2043</v>
      </c>
      <c r="Q96" t="s">
        <v>41</v>
      </c>
      <c r="R96">
        <v>0.28533333333333333</v>
      </c>
      <c r="S96" t="s">
        <v>166</v>
      </c>
    </row>
    <row r="97" spans="16:19" x14ac:dyDescent="0.25">
      <c r="P97">
        <v>2043</v>
      </c>
      <c r="Q97" t="s">
        <v>43</v>
      </c>
      <c r="R97">
        <v>0.22789999999999999</v>
      </c>
      <c r="S97" t="s">
        <v>166</v>
      </c>
    </row>
    <row r="98" spans="16:19" x14ac:dyDescent="0.25">
      <c r="P98">
        <v>2043</v>
      </c>
      <c r="Q98" t="s">
        <v>45</v>
      </c>
      <c r="R98">
        <v>0.2228</v>
      </c>
      <c r="S98" t="s">
        <v>166</v>
      </c>
    </row>
    <row r="99" spans="16:19" x14ac:dyDescent="0.25">
      <c r="P99">
        <v>2044</v>
      </c>
      <c r="Q99" t="s">
        <v>37</v>
      </c>
      <c r="R99">
        <v>0.35833333333333334</v>
      </c>
      <c r="S99" t="s">
        <v>166</v>
      </c>
    </row>
    <row r="100" spans="16:19" x14ac:dyDescent="0.25">
      <c r="P100">
        <v>2044</v>
      </c>
      <c r="Q100" t="s">
        <v>41</v>
      </c>
      <c r="R100">
        <v>0.29183333333333333</v>
      </c>
      <c r="S100" t="s">
        <v>166</v>
      </c>
    </row>
    <row r="101" spans="16:19" x14ac:dyDescent="0.25">
      <c r="P101">
        <v>2044</v>
      </c>
      <c r="Q101" t="s">
        <v>43</v>
      </c>
      <c r="R101">
        <v>0.23283333333333334</v>
      </c>
      <c r="S101" t="s">
        <v>166</v>
      </c>
    </row>
    <row r="102" spans="16:19" x14ac:dyDescent="0.25">
      <c r="P102">
        <v>2044</v>
      </c>
      <c r="Q102" t="s">
        <v>45</v>
      </c>
      <c r="R102">
        <v>0.21109999999999998</v>
      </c>
      <c r="S102" t="s">
        <v>166</v>
      </c>
    </row>
    <row r="103" spans="16:19" x14ac:dyDescent="0.25">
      <c r="P103">
        <v>2045</v>
      </c>
      <c r="Q103" t="s">
        <v>37</v>
      </c>
      <c r="R103">
        <v>0.36086666666666667</v>
      </c>
      <c r="S103" t="s">
        <v>166</v>
      </c>
    </row>
    <row r="104" spans="16:19" x14ac:dyDescent="0.25">
      <c r="P104">
        <v>2045</v>
      </c>
      <c r="Q104" t="s">
        <v>41</v>
      </c>
      <c r="R104">
        <v>0.28703333333333331</v>
      </c>
      <c r="S104" t="s">
        <v>166</v>
      </c>
    </row>
    <row r="105" spans="16:19" x14ac:dyDescent="0.25">
      <c r="P105">
        <v>2045</v>
      </c>
      <c r="Q105" t="s">
        <v>43</v>
      </c>
      <c r="R105">
        <v>0.22509999999999999</v>
      </c>
      <c r="S105" t="s">
        <v>166</v>
      </c>
    </row>
    <row r="106" spans="16:19" x14ac:dyDescent="0.25">
      <c r="P106">
        <v>2045</v>
      </c>
      <c r="Q106" t="s">
        <v>45</v>
      </c>
      <c r="R106">
        <v>0.21889999999999998</v>
      </c>
      <c r="S106" t="s">
        <v>166</v>
      </c>
    </row>
    <row r="107" spans="16:19" x14ac:dyDescent="0.25">
      <c r="P107">
        <v>2046</v>
      </c>
      <c r="Q107" t="s">
        <v>37</v>
      </c>
      <c r="R107">
        <v>0.39360000000000001</v>
      </c>
      <c r="S107" t="s">
        <v>166</v>
      </c>
    </row>
    <row r="108" spans="16:19" x14ac:dyDescent="0.25">
      <c r="P108">
        <v>2046</v>
      </c>
      <c r="Q108" t="s">
        <v>41</v>
      </c>
      <c r="R108">
        <v>0.28189999999999998</v>
      </c>
      <c r="S108" t="s">
        <v>166</v>
      </c>
    </row>
    <row r="109" spans="16:19" x14ac:dyDescent="0.25">
      <c r="P109">
        <v>2046</v>
      </c>
      <c r="Q109" t="s">
        <v>43</v>
      </c>
      <c r="R109">
        <v>0.23416666666666666</v>
      </c>
      <c r="S109" t="s">
        <v>166</v>
      </c>
    </row>
    <row r="110" spans="16:19" x14ac:dyDescent="0.25">
      <c r="P110">
        <v>2046</v>
      </c>
      <c r="Q110" t="s">
        <v>45</v>
      </c>
      <c r="R110">
        <v>0.23396666666666668</v>
      </c>
      <c r="S110" t="s">
        <v>166</v>
      </c>
    </row>
    <row r="111" spans="16:19" x14ac:dyDescent="0.25">
      <c r="P111">
        <v>2047</v>
      </c>
      <c r="Q111" t="s">
        <v>37</v>
      </c>
      <c r="R111">
        <v>0.37496666666666667</v>
      </c>
      <c r="S111" t="s">
        <v>166</v>
      </c>
    </row>
    <row r="112" spans="16:19" x14ac:dyDescent="0.25">
      <c r="P112">
        <v>2047</v>
      </c>
      <c r="Q112" t="s">
        <v>41</v>
      </c>
      <c r="R112">
        <v>0.30793333333333334</v>
      </c>
      <c r="S112" t="s">
        <v>166</v>
      </c>
    </row>
    <row r="113" spans="16:19" x14ac:dyDescent="0.25">
      <c r="P113">
        <v>2047</v>
      </c>
      <c r="Q113" t="s">
        <v>43</v>
      </c>
      <c r="R113">
        <v>0.21883333333333332</v>
      </c>
      <c r="S113" t="s">
        <v>166</v>
      </c>
    </row>
    <row r="114" spans="16:19" x14ac:dyDescent="0.25">
      <c r="P114">
        <v>2047</v>
      </c>
      <c r="Q114" t="s">
        <v>45</v>
      </c>
      <c r="R114">
        <v>0.22513333333333332</v>
      </c>
      <c r="S114" t="s">
        <v>166</v>
      </c>
    </row>
    <row r="115" spans="16:19" x14ac:dyDescent="0.25">
      <c r="P115">
        <v>2048</v>
      </c>
      <c r="Q115" t="s">
        <v>37</v>
      </c>
      <c r="R115">
        <v>0.36146666666666666</v>
      </c>
      <c r="S115" t="s">
        <v>166</v>
      </c>
    </row>
    <row r="116" spans="16:19" x14ac:dyDescent="0.25">
      <c r="P116">
        <v>2048</v>
      </c>
      <c r="Q116" t="s">
        <v>41</v>
      </c>
      <c r="R116">
        <v>0.30183333333333334</v>
      </c>
      <c r="S116" t="s">
        <v>166</v>
      </c>
    </row>
    <row r="117" spans="16:19" x14ac:dyDescent="0.25">
      <c r="P117">
        <v>2048</v>
      </c>
      <c r="Q117" t="s">
        <v>43</v>
      </c>
      <c r="R117">
        <v>0.20953333333333335</v>
      </c>
      <c r="S117" t="s">
        <v>166</v>
      </c>
    </row>
    <row r="118" spans="16:19" x14ac:dyDescent="0.25">
      <c r="P118">
        <v>2048</v>
      </c>
      <c r="Q118" t="s">
        <v>45</v>
      </c>
      <c r="R118">
        <v>0.22576666666666667</v>
      </c>
      <c r="S118" t="s">
        <v>166</v>
      </c>
    </row>
    <row r="119" spans="16:19" x14ac:dyDescent="0.25">
      <c r="P119">
        <v>2049</v>
      </c>
      <c r="Q119" t="s">
        <v>37</v>
      </c>
      <c r="R119">
        <v>0.38986666666666664</v>
      </c>
      <c r="S119" t="s">
        <v>166</v>
      </c>
    </row>
    <row r="120" spans="16:19" x14ac:dyDescent="0.25">
      <c r="P120">
        <v>2049</v>
      </c>
      <c r="Q120" t="s">
        <v>41</v>
      </c>
      <c r="R120">
        <v>0.2883</v>
      </c>
      <c r="S120" t="s">
        <v>166</v>
      </c>
    </row>
    <row r="121" spans="16:19" x14ac:dyDescent="0.25">
      <c r="P121">
        <v>2049</v>
      </c>
      <c r="Q121" t="s">
        <v>43</v>
      </c>
      <c r="R121">
        <v>0.2205</v>
      </c>
      <c r="S121" t="s">
        <v>166</v>
      </c>
    </row>
    <row r="122" spans="16:19" x14ac:dyDescent="0.25">
      <c r="P122">
        <v>2049</v>
      </c>
      <c r="Q122" t="s">
        <v>45</v>
      </c>
      <c r="R122">
        <v>0.22616666666666665</v>
      </c>
      <c r="S122" t="s">
        <v>166</v>
      </c>
    </row>
    <row r="123" spans="16:19" x14ac:dyDescent="0.25">
      <c r="P123">
        <v>2050</v>
      </c>
      <c r="Q123" t="s">
        <v>37</v>
      </c>
      <c r="R123">
        <v>0.35576666666666662</v>
      </c>
      <c r="S123" t="s">
        <v>166</v>
      </c>
    </row>
    <row r="124" spans="16:19" x14ac:dyDescent="0.25">
      <c r="P124">
        <v>2050</v>
      </c>
      <c r="Q124" t="s">
        <v>41</v>
      </c>
      <c r="R124">
        <v>0.2931333333333333</v>
      </c>
      <c r="S124" t="s">
        <v>166</v>
      </c>
    </row>
    <row r="125" spans="16:19" x14ac:dyDescent="0.25">
      <c r="P125">
        <v>2050</v>
      </c>
      <c r="Q125" t="s">
        <v>43</v>
      </c>
      <c r="R125">
        <v>0.21859999999999999</v>
      </c>
      <c r="S125" t="s">
        <v>166</v>
      </c>
    </row>
    <row r="126" spans="16:19" x14ac:dyDescent="0.25">
      <c r="P126">
        <v>2050</v>
      </c>
      <c r="Q126" t="s">
        <v>45</v>
      </c>
      <c r="R126">
        <v>0.22746666666666668</v>
      </c>
      <c r="S126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2026-08-26T07:05:38Z</dcterms:modified>
</cp:coreProperties>
</file>