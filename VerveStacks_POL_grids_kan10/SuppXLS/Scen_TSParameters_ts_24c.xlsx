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10\SuppXLS\"/>
    </mc:Choice>
  </mc:AlternateContent>
  <xr:revisionPtr revIDLastSave="0" documentId="8_{4B19158A-AFF6-400B-A000-ADD5ACD9B6CC}" xr6:coauthVersionLast="47" xr6:coauthVersionMax="47" xr10:uidLastSave="{00000000-0000-0000-0000-000000000000}"/>
  <bookViews>
    <workbookView xWindow="-120" yWindow="-120" windowWidth="29040" windowHeight="15720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" i="13" l="1"/>
  <c r="F9" i="12"/>
  <c r="F9" i="11"/>
  <c r="A10" i="6"/>
  <c r="H23" i="6" s="1"/>
  <c r="G9" i="10"/>
  <c r="DY9" i="9"/>
  <c r="CY9" i="9"/>
  <c r="BX9" i="9"/>
  <c r="AW9" i="9"/>
  <c r="V9" i="9"/>
  <c r="AA9" i="8"/>
  <c r="V9" i="8"/>
  <c r="Q9" i="8"/>
  <c r="A11" i="7"/>
  <c r="C9" i="7" s="1"/>
  <c r="B9" i="13"/>
  <c r="B9" i="12"/>
  <c r="B9" i="11"/>
  <c r="B9" i="10"/>
  <c r="Q9" i="9"/>
  <c r="N9" i="9"/>
  <c r="J9" i="9"/>
  <c r="F9" i="9"/>
  <c r="B9" i="9"/>
  <c r="L9" i="8"/>
  <c r="G9" i="8"/>
  <c r="B9" i="8"/>
  <c r="H24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<sst xmlns="http://schemas.openxmlformats.org/spreadsheetml/2006/main" count="4652" uniqueCount="205">
  <si>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</si>
  <si>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</si>
  <si>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</si>
  <si>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</si>
  <si>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</si>
  <si>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</si>
  <si>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</si>
  <si>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</si>
  <si>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</si>
  <si>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</si>
  <si>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</si>
  <si>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</si>
  <si>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</si>
  <si>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</si>
  <si>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</si>
  <si>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</si>
  <si>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</si>
  <si>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</si>
  <si>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</si>
  <si>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</si>
  <si>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</si>
  <si>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</si>
  <si>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</si>
  <si>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</si>
  <si>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</si>
  <si>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</si>
  <si>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</si>
  <si>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</si>
  <si>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</si>
  <si>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</si>
  <si>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</si>
  <si>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</si>
  <si>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</si>
  <si>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</si>
  <si>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</si>
  <si>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</si>
  <si>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</si>
  <si>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AllS</t>
  </si>
  <si>
    <t>a</t>
  </si>
  <si>
    <t>ts_annual</t>
  </si>
  <si>
    <t>commodity</t>
  </si>
  <si>
    <t>timeslice</t>
  </si>
  <si>
    <t>com_fr</t>
  </si>
  <si>
    <t>process</t>
  </si>
  <si>
    <t>AllSaAllH</t>
  </si>
  <si>
    <t>other_indexes</t>
  </si>
  <si>
    <t>ncap_com</t>
  </si>
  <si>
    <t>g_yrfr</t>
  </si>
  <si>
    <t>elc_roadtransport</t>
  </si>
  <si>
    <t>day_night</t>
  </si>
  <si>
    <t>D</t>
  </si>
  <si>
    <t>N</t>
  </si>
  <si>
    <t>elc_buildings</t>
  </si>
  <si>
    <t>elc_industry</t>
  </si>
  <si>
    <t>com_pkflx</t>
  </si>
  <si>
    <t>Year</t>
  </si>
  <si>
    <t>ncap_afs</t>
  </si>
  <si>
    <t>pset_ci</t>
  </si>
  <si>
    <t>hydro</t>
  </si>
  <si>
    <t>S01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</si>
  <si>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</si>
  <si>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</si>
  <si>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</si>
  <si>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</si>
  <si>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</si>
  <si>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</si>
  <si>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</si>
  <si>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</si>
  <si>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</si>
  <si>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</si>
  <si>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ts_24c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</si>
  <si>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</si>
  <si>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</si>
  <si>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</si>
  <si>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</si>
  <si>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</si>
  <si>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</si>
  <si>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</si>
  <si>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</si>
  <si>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S02aH01</t>
  </si>
  <si>
    <t>S02aH02</t>
  </si>
  <si>
    <t>S02aH03</t>
  </si>
  <si>
    <t>S02aH04</t>
  </si>
  <si>
    <t>S02aH05</t>
  </si>
  <si>
    <t>S02aH06</t>
  </si>
  <si>
    <t>S03aH01</t>
  </si>
  <si>
    <t>S03aH02</t>
  </si>
  <si>
    <t>S03aH03</t>
  </si>
  <si>
    <t>S03aH04</t>
  </si>
  <si>
    <t>S03aH05</t>
  </si>
  <si>
    <t>S03aH06</t>
  </si>
  <si>
    <t>S04aH01</t>
  </si>
  <si>
    <t>S04aH02</t>
  </si>
  <si>
    <t>S04aH03</t>
  </si>
  <si>
    <t>S04aH04</t>
  </si>
  <si>
    <t>S04aH05</t>
  </si>
  <si>
    <t>S04aH06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</si>
  <si>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</si>
  <si>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</si>
  <si>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</si>
  <si>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</si>
  <si>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</si>
  <si>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</si>
  <si>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</si>
  <si>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</si>
  <si>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</si>
  <si>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</si>
  <si>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</si>
  <si>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</si>
  <si>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</si>
  <si>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</si>
  <si>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</si>
  <si>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</si>
  <si>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</si>
  <si>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</si>
  <si>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</si>
  <si>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</si>
  <si>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</si>
  <si>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</si>
  <si>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</si>
  <si>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</si>
  <si>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</si>
  <si>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</si>
  <si>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</si>
  <si>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</si>
  <si>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</si>
  <si>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</si>
  <si>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</si>
  <si>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</si>
  <si>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</si>
  <si>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</si>
  <si>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</si>
  <si>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</si>
  <si>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</si>
  <si>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</si>
  <si>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</si>
  <si>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</si>
  <si>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</si>
  <si>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</si>
  <si>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</si>
  <si>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</si>
  <si>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</si>
  <si>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</si>
  <si>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</si>
  <si>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</si>
  <si>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</si>
  <si>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</si>
  <si>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</si>
  <si>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</si>
  <si>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</si>
  <si>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</si>
  <si>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</si>
  <si>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</si>
  <si>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</si>
  <si>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</si>
  <si>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</si>
  <si>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</si>
  <si>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</si>
  <si>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</si>
  <si>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</si>
  <si>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</si>
  <si>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</si>
  <si>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</si>
  <si>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</si>
  <si>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</si>
  <si>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</si>
  <si>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</si>
  <si>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</si>
  <si>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</si>
  <si>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</si>
  <si>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</si>
  <si>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</si>
  <si>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</si>
  <si>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</si>
  <si>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</si>
  <si>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</si>
  <si>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</si>
  <si>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</si>
  <si>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</si>
  <si>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</si>
  <si>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</si>
  <si>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</si>
  <si>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</si>
  <si>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</si>
  <si>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</si>
  <si>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</si>
  <si>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</si>
  <si>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</si>
  <si>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</si>
  <si>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</si>
  <si>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</si>
  <si>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</si>
  <si>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</si>
  <si>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</si>
  <si>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</si>
  <si>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</si>
  <si>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</si>
  <si>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</si>
  <si>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</si>
  <si>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</si>
  <si>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</si>
  <si>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DEF_C</t>
  </si>
  <si>
    <t>OUT</t>
  </si>
  <si>
    <t>S02aH02,S03aH05,S02aH03,S02aH04,S02aH05,S04aH02,S01aH05,S03aH04,S03aH02,S01aH04,S01aH03,S03aH03,S04aH05,S04aH03,S01aH02,S04aH04</t>
  </si>
  <si>
    <t>S03aH01,S01aH06,S01aH01,S04aH01,S04aH06,S02aH06,S02aH01,S03aH06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</si>
</sst>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5" x14ac:dyDescent="0.25"/>
  <sheetData>
    <row r="10" spans="1:7" x14ac:dyDescent="0.25">
      <c r="A10" t="str">
        <f>IFERROR([1]Veda!D5,"ts_24c")</f>
        <v>ts_24c</v>
      </c>
      <c r="B10" s="5"/>
      <c r="C10" s="5" t="s">
        <v>49</v>
      </c>
      <c r="D10" t="s">
        <v>39</v>
      </c>
      <c r="F10" t="s">
        <v>49</v>
      </c>
      <c r="G10" t="s">
        <v>70</v>
      </c>
    </row>
    <row r="11" spans="1:7" x14ac:dyDescent="0.25">
      <c r="B11" s="5"/>
      <c r="C11" s="5" t="s">
        <v>50</v>
      </c>
      <c r="D11" t="s">
        <v>44</v>
      </c>
      <c r="F11" t="s">
        <v>50</v>
      </c>
      <c r="G11" t="s">
        <v>203</v>
      </c>
    </row>
    <row r="12" spans="1:7" x14ac:dyDescent="0.25">
      <c r="B12" s="5"/>
      <c r="C12" s="5" t="s">
        <v>51</v>
      </c>
      <c r="D12" t="s">
        <v>44</v>
      </c>
      <c r="F12" t="s">
        <v>51</v>
      </c>
      <c r="G12" t="s">
        <v>204</v>
      </c>
    </row>
    <row r="17" spans="3:14" x14ac:dyDescent="0.25">
      <c r="I17" s="2">
        <v>0.75</v>
      </c>
      <c r="K17" s="1" t="s">
        <v>0</v>
      </c>
    </row>
    <row r="18" spans="3:14" ht="18" thickBot="1" x14ac:dyDescent="0.35">
      <c r="C18" s="3" t="s">
        <v>1</v>
      </c>
    </row>
    <row r="19" spans="3:14" ht="15.75" thickTop="1" x14ac:dyDescent="0.25"/>
    <row r="21" spans="3:14" ht="18" thickBot="1" x14ac:dyDescent="0.35">
      <c r="H21" s="3" t="str">
        <f>IF(H23=H24,"Not Required!","~UC_T: LO")</f>
        <v>~UC_T: LO</v>
      </c>
    </row>
    <row r="22" spans="3:14" ht="16.5" thickTop="1" thickBot="1" x14ac:dyDescent="0.3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2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S03aH01,S01aH06,S01aH01,S04aH01,S04aH06,S02aH06,S02aH01,S03aH06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2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S02aH02,S03aH05,S02aH03,S02aH04,S02aH05,S04aH02,S01aH05,S03aH04,S03aH02,S01aH04,S01aH03,S03aH03,S04aH05,S04aH03,S01aH02,S04aH04</v>
      </c>
      <c r="I24">
        <f>-$I$17</f>
        <v>-0.75</v>
      </c>
      <c r="M24" t="s">
        <v>16</v>
      </c>
    </row>
    <row r="29" spans="3:14" ht="18" thickBot="1" x14ac:dyDescent="0.35">
      <c r="I29" s="3" t="s">
        <v>17</v>
      </c>
    </row>
    <row r="30" spans="3:14" ht="16.5" thickTop="1" thickBot="1" x14ac:dyDescent="0.3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2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2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E4D15-152D-46E7-A881-1C1F55214BE6}">
  <dimension ref="A9:G16"/>
  <sheetViews>
    <sheetView workbookViewId="0"/>
  </sheetViews>
  <sheetFormatPr defaultRowHeight="15" x14ac:dyDescent="0.25"/>
  <sheetData>
    <row r="9" spans="1:7" x14ac:dyDescent="0.25">
      <c r="C9" t="str">
        <f>IF(A11="x","DeActivated","~TimeSlices")</f>
        <v>~TimeSlices</v>
      </c>
    </row>
    <row r="10" spans="1:7" x14ac:dyDescent="0.25">
      <c r="A10" t="s">
        <v>70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25">
      <c r="A11" t="str">
        <f>IFERROR(IF([1]Veda!D5=A10,"ok","x"),"")</f>
        <v/>
      </c>
      <c r="C11" t="s">
        <v>59</v>
      </c>
      <c r="D11" t="s">
        <v>38</v>
      </c>
      <c r="E11" t="s">
        <v>60</v>
      </c>
      <c r="F11" t="s">
        <v>61</v>
      </c>
      <c r="G11" t="s">
        <v>38</v>
      </c>
    </row>
    <row r="12" spans="1:7" x14ac:dyDescent="0.25">
      <c r="C12" t="s">
        <v>62</v>
      </c>
      <c r="E12" t="s">
        <v>63</v>
      </c>
      <c r="G12" t="s">
        <v>38</v>
      </c>
    </row>
    <row r="13" spans="1:7" x14ac:dyDescent="0.25">
      <c r="C13" t="s">
        <v>64</v>
      </c>
      <c r="E13" t="s">
        <v>65</v>
      </c>
      <c r="G13" t="s">
        <v>38</v>
      </c>
    </row>
    <row r="14" spans="1:7" x14ac:dyDescent="0.25">
      <c r="C14" t="s">
        <v>66</v>
      </c>
      <c r="E14" t="s">
        <v>67</v>
      </c>
      <c r="G14" t="s">
        <v>38</v>
      </c>
    </row>
    <row r="15" spans="1:7" x14ac:dyDescent="0.25">
      <c r="E15" t="s">
        <v>68</v>
      </c>
      <c r="G15" t="s">
        <v>38</v>
      </c>
    </row>
    <row r="16" spans="1:7" x14ac:dyDescent="0.25">
      <c r="E16" t="s">
        <v>69</v>
      </c>
      <c r="G16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3EE19-87D7-4F03-9338-BBBD1C0EBDD7}">
  <dimension ref="B9:AD490"/>
  <sheetViews>
    <sheetView workbookViewId="0">
      <selection activeCell="L28" sqref="L28"/>
    </sheetView>
  </sheetViews>
  <sheetFormatPr defaultRowHeight="15" x14ac:dyDescent="0.25"/>
  <sheetData>
    <row r="9" spans="2:30" x14ac:dyDescent="0.2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  <c r="Q9" t="str">
        <f>IF(A11="x","DeActivated","~TFM_DINS-AT")</f>
        <v>~TFM_DINS-AT</v>
      </c>
      <c r="V9" t="str">
        <f>IF(A11="x","DeActivated","~TFM_DINS-AT")</f>
        <v>~TFM_DINS-AT</v>
      </c>
      <c r="AA9" t="str">
        <f>IF(A11="x","DeActivated","~TFM_DINS-AT")</f>
        <v>~TFM_DINS-AT</v>
      </c>
    </row>
    <row r="10" spans="2:30" x14ac:dyDescent="0.25">
      <c r="B10" t="s">
        <v>40</v>
      </c>
      <c r="C10" t="s">
        <v>41</v>
      </c>
      <c r="D10" t="s">
        <v>42</v>
      </c>
      <c r="E10" t="s">
        <v>43</v>
      </c>
      <c r="G10" t="s">
        <v>40</v>
      </c>
      <c r="H10" t="s">
        <v>41</v>
      </c>
      <c r="I10" t="s">
        <v>42</v>
      </c>
      <c r="J10" t="s">
        <v>43</v>
      </c>
      <c r="L10" t="s">
        <v>40</v>
      </c>
      <c r="M10" t="s">
        <v>41</v>
      </c>
      <c r="N10" t="s">
        <v>42</v>
      </c>
      <c r="O10" t="s">
        <v>43</v>
      </c>
      <c r="Q10" t="s">
        <v>40</v>
      </c>
      <c r="R10" t="s">
        <v>41</v>
      </c>
      <c r="S10" t="s">
        <v>42</v>
      </c>
      <c r="T10" t="s">
        <v>43</v>
      </c>
      <c r="V10" t="s">
        <v>40</v>
      </c>
      <c r="W10" t="s">
        <v>41</v>
      </c>
      <c r="X10" t="s">
        <v>42</v>
      </c>
      <c r="Y10" t="s">
        <v>43</v>
      </c>
      <c r="AA10" t="s">
        <v>40</v>
      </c>
      <c r="AB10" t="s">
        <v>41</v>
      </c>
      <c r="AC10" t="s">
        <v>42</v>
      </c>
      <c r="AD10" t="s">
        <v>43</v>
      </c>
    </row>
    <row r="11" spans="2:30" x14ac:dyDescent="0.25">
      <c r="Q11" t="s">
        <v>71</v>
      </c>
      <c r="R11" t="s">
        <v>72</v>
      </c>
      <c r="S11">
        <v>0</v>
      </c>
      <c r="T11" t="s">
        <v>73</v>
      </c>
      <c r="V11" t="s">
        <v>116</v>
      </c>
      <c r="W11" t="s">
        <v>72</v>
      </c>
      <c r="X11">
        <v>0.11956278541841053</v>
      </c>
      <c r="Y11" t="s">
        <v>73</v>
      </c>
      <c r="AA11" t="s">
        <v>136</v>
      </c>
      <c r="AB11" t="s">
        <v>72</v>
      </c>
      <c r="AC11">
        <v>0.11730352100613828</v>
      </c>
      <c r="AD11" t="s">
        <v>73</v>
      </c>
    </row>
    <row r="12" spans="2:30" x14ac:dyDescent="0.25">
      <c r="Q12" t="s">
        <v>71</v>
      </c>
      <c r="R12" t="s">
        <v>74</v>
      </c>
      <c r="S12">
        <v>2.886377869921911E-4</v>
      </c>
      <c r="T12" t="s">
        <v>73</v>
      </c>
      <c r="V12" t="s">
        <v>116</v>
      </c>
      <c r="W12" t="s">
        <v>74</v>
      </c>
      <c r="X12">
        <v>5.9502319623566662E-2</v>
      </c>
      <c r="Y12" t="s">
        <v>73</v>
      </c>
      <c r="AA12" t="s">
        <v>136</v>
      </c>
      <c r="AB12" t="s">
        <v>74</v>
      </c>
      <c r="AC12">
        <v>5.7467555324676872E-2</v>
      </c>
      <c r="AD12" t="s">
        <v>73</v>
      </c>
    </row>
    <row r="13" spans="2:30" x14ac:dyDescent="0.25">
      <c r="Q13" t="s">
        <v>71</v>
      </c>
      <c r="R13" t="s">
        <v>75</v>
      </c>
      <c r="S13">
        <v>2.6662828786478004E-2</v>
      </c>
      <c r="T13" t="s">
        <v>73</v>
      </c>
      <c r="V13" t="s">
        <v>116</v>
      </c>
      <c r="W13" t="s">
        <v>75</v>
      </c>
      <c r="X13">
        <v>4.233117018760673E-2</v>
      </c>
      <c r="Y13" t="s">
        <v>73</v>
      </c>
      <c r="AA13" t="s">
        <v>136</v>
      </c>
      <c r="AB13" t="s">
        <v>75</v>
      </c>
      <c r="AC13">
        <v>4.2174763669265258E-2</v>
      </c>
      <c r="AD13" t="s">
        <v>73</v>
      </c>
    </row>
    <row r="14" spans="2:30" x14ac:dyDescent="0.25">
      <c r="Q14" t="s">
        <v>71</v>
      </c>
      <c r="R14" t="s">
        <v>76</v>
      </c>
      <c r="S14">
        <v>3.826110857568351E-2</v>
      </c>
      <c r="T14" t="s">
        <v>73</v>
      </c>
      <c r="V14" t="s">
        <v>116</v>
      </c>
      <c r="W14" t="s">
        <v>76</v>
      </c>
      <c r="X14">
        <v>3.8541454446855049E-2</v>
      </c>
      <c r="Y14" t="s">
        <v>73</v>
      </c>
      <c r="AA14" t="s">
        <v>136</v>
      </c>
      <c r="AB14" t="s">
        <v>76</v>
      </c>
      <c r="AC14">
        <v>3.9921370283267865E-2</v>
      </c>
      <c r="AD14" t="s">
        <v>73</v>
      </c>
    </row>
    <row r="15" spans="2:30" x14ac:dyDescent="0.25">
      <c r="Q15" t="s">
        <v>71</v>
      </c>
      <c r="R15" t="s">
        <v>77</v>
      </c>
      <c r="S15">
        <v>1.5671175525323933E-2</v>
      </c>
      <c r="T15" t="s">
        <v>73</v>
      </c>
      <c r="V15" t="s">
        <v>116</v>
      </c>
      <c r="W15" t="s">
        <v>77</v>
      </c>
      <c r="X15">
        <v>4.1932762518258317E-2</v>
      </c>
      <c r="Y15" t="s">
        <v>73</v>
      </c>
      <c r="AA15" t="s">
        <v>136</v>
      </c>
      <c r="AB15" t="s">
        <v>77</v>
      </c>
      <c r="AC15">
        <v>4.2152320709938865E-2</v>
      </c>
      <c r="AD15" t="s">
        <v>73</v>
      </c>
    </row>
    <row r="16" spans="2:30" x14ac:dyDescent="0.25">
      <c r="Q16" t="s">
        <v>71</v>
      </c>
      <c r="R16" t="s">
        <v>78</v>
      </c>
      <c r="S16">
        <v>3.4620477319853018E-6</v>
      </c>
      <c r="T16" t="s">
        <v>73</v>
      </c>
      <c r="V16" t="s">
        <v>116</v>
      </c>
      <c r="W16" t="s">
        <v>78</v>
      </c>
      <c r="X16">
        <v>4.6717589337845859E-2</v>
      </c>
      <c r="Y16" t="s">
        <v>73</v>
      </c>
      <c r="AA16" t="s">
        <v>136</v>
      </c>
      <c r="AB16" t="s">
        <v>78</v>
      </c>
      <c r="AC16">
        <v>4.4825566494419614E-2</v>
      </c>
      <c r="AD16" t="s">
        <v>73</v>
      </c>
    </row>
    <row r="17" spans="17:30" x14ac:dyDescent="0.25">
      <c r="Q17" t="s">
        <v>71</v>
      </c>
      <c r="R17" t="s">
        <v>79</v>
      </c>
      <c r="S17">
        <v>0</v>
      </c>
      <c r="T17" t="s">
        <v>73</v>
      </c>
      <c r="V17" t="s">
        <v>116</v>
      </c>
      <c r="W17" t="s">
        <v>79</v>
      </c>
      <c r="X17">
        <v>0.10142141642184767</v>
      </c>
      <c r="Y17" t="s">
        <v>73</v>
      </c>
      <c r="AA17" t="s">
        <v>136</v>
      </c>
      <c r="AB17" t="s">
        <v>79</v>
      </c>
      <c r="AC17">
        <v>8.627257404370707E-2</v>
      </c>
      <c r="AD17" t="s">
        <v>73</v>
      </c>
    </row>
    <row r="18" spans="17:30" x14ac:dyDescent="0.25">
      <c r="Q18" t="s">
        <v>71</v>
      </c>
      <c r="R18" t="s">
        <v>80</v>
      </c>
      <c r="S18">
        <v>4.411552378153262E-2</v>
      </c>
      <c r="T18" t="s">
        <v>73</v>
      </c>
      <c r="V18" t="s">
        <v>116</v>
      </c>
      <c r="W18" t="s">
        <v>80</v>
      </c>
      <c r="X18">
        <v>4.382014850696065E-2</v>
      </c>
      <c r="Y18" t="s">
        <v>73</v>
      </c>
      <c r="AA18" t="s">
        <v>136</v>
      </c>
      <c r="AB18" t="s">
        <v>80</v>
      </c>
      <c r="AC18">
        <v>3.9403478643390152E-2</v>
      </c>
      <c r="AD18" t="s">
        <v>73</v>
      </c>
    </row>
    <row r="19" spans="17:30" x14ac:dyDescent="0.25">
      <c r="Q19" t="s">
        <v>71</v>
      </c>
      <c r="R19" t="s">
        <v>81</v>
      </c>
      <c r="S19">
        <v>9.833603694832603E-2</v>
      </c>
      <c r="T19" t="s">
        <v>73</v>
      </c>
      <c r="V19" t="s">
        <v>116</v>
      </c>
      <c r="W19" t="s">
        <v>81</v>
      </c>
      <c r="X19">
        <v>2.7281293528313946E-2</v>
      </c>
      <c r="Y19" t="s">
        <v>73</v>
      </c>
      <c r="AA19" t="s">
        <v>136</v>
      </c>
      <c r="AB19" t="s">
        <v>81</v>
      </c>
      <c r="AC19">
        <v>2.5282608716076658E-2</v>
      </c>
      <c r="AD19" t="s">
        <v>73</v>
      </c>
    </row>
    <row r="20" spans="17:30" x14ac:dyDescent="0.25">
      <c r="Q20" t="s">
        <v>71</v>
      </c>
      <c r="R20" t="s">
        <v>82</v>
      </c>
      <c r="S20">
        <v>9.6585944089758027E-2</v>
      </c>
      <c r="T20" t="s">
        <v>73</v>
      </c>
      <c r="V20" t="s">
        <v>116</v>
      </c>
      <c r="W20" t="s">
        <v>82</v>
      </c>
      <c r="X20">
        <v>2.7548223439425208E-2</v>
      </c>
      <c r="Y20" t="s">
        <v>73</v>
      </c>
      <c r="AA20" t="s">
        <v>136</v>
      </c>
      <c r="AB20" t="s">
        <v>82</v>
      </c>
      <c r="AC20">
        <v>2.5852372917249112E-2</v>
      </c>
      <c r="AD20" t="s">
        <v>73</v>
      </c>
    </row>
    <row r="21" spans="17:30" x14ac:dyDescent="0.25">
      <c r="Q21" t="s">
        <v>71</v>
      </c>
      <c r="R21" t="s">
        <v>83</v>
      </c>
      <c r="S21">
        <v>7.0885625319559442E-2</v>
      </c>
      <c r="T21" t="s">
        <v>73</v>
      </c>
      <c r="V21" t="s">
        <v>116</v>
      </c>
      <c r="W21" t="s">
        <v>83</v>
      </c>
      <c r="X21">
        <v>2.8590141661899084E-2</v>
      </c>
      <c r="Y21" t="s">
        <v>73</v>
      </c>
      <c r="AA21" t="s">
        <v>136</v>
      </c>
      <c r="AB21" t="s">
        <v>83</v>
      </c>
      <c r="AC21">
        <v>2.7778679617093682E-2</v>
      </c>
      <c r="AD21" t="s">
        <v>73</v>
      </c>
    </row>
    <row r="22" spans="17:30" x14ac:dyDescent="0.25">
      <c r="Q22" t="s">
        <v>71</v>
      </c>
      <c r="R22" t="s">
        <v>84</v>
      </c>
      <c r="S22">
        <v>1.7628868992700539E-2</v>
      </c>
      <c r="T22" t="s">
        <v>73</v>
      </c>
      <c r="V22" t="s">
        <v>116</v>
      </c>
      <c r="W22" t="s">
        <v>84</v>
      </c>
      <c r="X22">
        <v>3.3883961500266513E-2</v>
      </c>
      <c r="Y22" t="s">
        <v>73</v>
      </c>
      <c r="AA22" t="s">
        <v>136</v>
      </c>
      <c r="AB22" t="s">
        <v>84</v>
      </c>
      <c r="AC22">
        <v>3.0870262282128084E-2</v>
      </c>
      <c r="AD22" t="s">
        <v>73</v>
      </c>
    </row>
    <row r="23" spans="17:30" x14ac:dyDescent="0.25">
      <c r="Q23" t="s">
        <v>71</v>
      </c>
      <c r="R23" t="s">
        <v>85</v>
      </c>
      <c r="S23">
        <v>0</v>
      </c>
      <c r="T23" t="s">
        <v>73</v>
      </c>
      <c r="V23" t="s">
        <v>116</v>
      </c>
      <c r="W23" t="s">
        <v>85</v>
      </c>
      <c r="X23">
        <v>5.4608122622768283E-2</v>
      </c>
      <c r="Y23" t="s">
        <v>73</v>
      </c>
      <c r="AA23" t="s">
        <v>136</v>
      </c>
      <c r="AB23" t="s">
        <v>85</v>
      </c>
      <c r="AC23">
        <v>4.9485949509469926E-2</v>
      </c>
      <c r="AD23" t="s">
        <v>73</v>
      </c>
    </row>
    <row r="24" spans="17:30" x14ac:dyDescent="0.25">
      <c r="Q24" t="s">
        <v>71</v>
      </c>
      <c r="R24" t="s">
        <v>86</v>
      </c>
      <c r="S24">
        <v>6.9596119219040256E-2</v>
      </c>
      <c r="T24" t="s">
        <v>73</v>
      </c>
      <c r="V24" t="s">
        <v>116</v>
      </c>
      <c r="W24" t="s">
        <v>86</v>
      </c>
      <c r="X24">
        <v>1.7832385921365497E-2</v>
      </c>
      <c r="Y24" t="s">
        <v>73</v>
      </c>
      <c r="AA24" t="s">
        <v>136</v>
      </c>
      <c r="AB24" t="s">
        <v>86</v>
      </c>
      <c r="AC24">
        <v>2.2677556409586096E-2</v>
      </c>
      <c r="AD24" t="s">
        <v>73</v>
      </c>
    </row>
    <row r="25" spans="17:30" x14ac:dyDescent="0.25">
      <c r="Q25" t="s">
        <v>71</v>
      </c>
      <c r="R25" t="s">
        <v>87</v>
      </c>
      <c r="S25">
        <v>0.11563633010284727</v>
      </c>
      <c r="T25" t="s">
        <v>73</v>
      </c>
      <c r="V25" t="s">
        <v>116</v>
      </c>
      <c r="W25" t="s">
        <v>87</v>
      </c>
      <c r="X25">
        <v>1.2411269697978134E-2</v>
      </c>
      <c r="Y25" t="s">
        <v>73</v>
      </c>
      <c r="AA25" t="s">
        <v>136</v>
      </c>
      <c r="AB25" t="s">
        <v>87</v>
      </c>
      <c r="AC25">
        <v>1.631761742595585E-2</v>
      </c>
      <c r="AD25" t="s">
        <v>73</v>
      </c>
    </row>
    <row r="26" spans="17:30" x14ac:dyDescent="0.25">
      <c r="Q26" t="s">
        <v>71</v>
      </c>
      <c r="R26" t="s">
        <v>88</v>
      </c>
      <c r="S26">
        <v>0.1117348435753798</v>
      </c>
      <c r="T26" t="s">
        <v>73</v>
      </c>
      <c r="V26" t="s">
        <v>116</v>
      </c>
      <c r="W26" t="s">
        <v>88</v>
      </c>
      <c r="X26">
        <v>1.3941287056916182E-2</v>
      </c>
      <c r="Y26" t="s">
        <v>73</v>
      </c>
      <c r="AA26" t="s">
        <v>136</v>
      </c>
      <c r="AB26" t="s">
        <v>88</v>
      </c>
      <c r="AC26">
        <v>1.8345144105987359E-2</v>
      </c>
      <c r="AD26" t="s">
        <v>73</v>
      </c>
    </row>
    <row r="27" spans="17:30" x14ac:dyDescent="0.25">
      <c r="Q27" t="s">
        <v>71</v>
      </c>
      <c r="R27" t="s">
        <v>89</v>
      </c>
      <c r="S27">
        <v>9.1259216813462898E-2</v>
      </c>
      <c r="T27" t="s">
        <v>73</v>
      </c>
      <c r="V27" t="s">
        <v>116</v>
      </c>
      <c r="W27" t="s">
        <v>89</v>
      </c>
      <c r="X27">
        <v>1.5250438011441594E-2</v>
      </c>
      <c r="Y27" t="s">
        <v>73</v>
      </c>
      <c r="AA27" t="s">
        <v>136</v>
      </c>
      <c r="AB27" t="s">
        <v>89</v>
      </c>
      <c r="AC27">
        <v>2.0888991536987696E-2</v>
      </c>
      <c r="AD27" t="s">
        <v>73</v>
      </c>
    </row>
    <row r="28" spans="17:30" x14ac:dyDescent="0.25">
      <c r="Q28" t="s">
        <v>71</v>
      </c>
      <c r="R28" t="s">
        <v>90</v>
      </c>
      <c r="S28">
        <v>3.6769461539659827E-2</v>
      </c>
      <c r="T28" t="s">
        <v>73</v>
      </c>
      <c r="V28" t="s">
        <v>116</v>
      </c>
      <c r="W28" t="s">
        <v>90</v>
      </c>
      <c r="X28">
        <v>1.5846213598196074E-2</v>
      </c>
      <c r="Y28" t="s">
        <v>73</v>
      </c>
      <c r="AA28" t="s">
        <v>136</v>
      </c>
      <c r="AB28" t="s">
        <v>90</v>
      </c>
      <c r="AC28">
        <v>1.9053685088070111E-2</v>
      </c>
      <c r="AD28" t="s">
        <v>73</v>
      </c>
    </row>
    <row r="29" spans="17:30" x14ac:dyDescent="0.25">
      <c r="Q29" t="s">
        <v>71</v>
      </c>
      <c r="R29" t="s">
        <v>91</v>
      </c>
      <c r="S29">
        <v>0</v>
      </c>
      <c r="T29" t="s">
        <v>73</v>
      </c>
      <c r="V29" t="s">
        <v>116</v>
      </c>
      <c r="W29" t="s">
        <v>91</v>
      </c>
      <c r="X29">
        <v>9.4358164138901565E-2</v>
      </c>
      <c r="Y29" t="s">
        <v>73</v>
      </c>
      <c r="AA29" t="s">
        <v>136</v>
      </c>
      <c r="AB29" t="s">
        <v>91</v>
      </c>
      <c r="AC29">
        <v>9.398863479532997E-2</v>
      </c>
      <c r="AD29" t="s">
        <v>73</v>
      </c>
    </row>
    <row r="30" spans="17:30" x14ac:dyDescent="0.25">
      <c r="Q30" t="s">
        <v>71</v>
      </c>
      <c r="R30" t="s">
        <v>92</v>
      </c>
      <c r="S30">
        <v>1.3659515355795621E-2</v>
      </c>
      <c r="T30" t="s">
        <v>73</v>
      </c>
      <c r="V30" t="s">
        <v>116</v>
      </c>
      <c r="W30" t="s">
        <v>92</v>
      </c>
      <c r="X30">
        <v>4.1841165021229497E-2</v>
      </c>
      <c r="Y30" t="s">
        <v>73</v>
      </c>
      <c r="AA30" t="s">
        <v>136</v>
      </c>
      <c r="AB30" t="s">
        <v>92</v>
      </c>
      <c r="AC30">
        <v>4.389541370944381E-2</v>
      </c>
      <c r="AD30" t="s">
        <v>73</v>
      </c>
    </row>
    <row r="31" spans="17:30" x14ac:dyDescent="0.25">
      <c r="Q31" t="s">
        <v>71</v>
      </c>
      <c r="R31" t="s">
        <v>93</v>
      </c>
      <c r="S31">
        <v>5.3204115042542376E-2</v>
      </c>
      <c r="T31" t="s">
        <v>73</v>
      </c>
      <c r="V31" t="s">
        <v>116</v>
      </c>
      <c r="W31" t="s">
        <v>93</v>
      </c>
      <c r="X31">
        <v>2.7764626885672765E-2</v>
      </c>
      <c r="Y31" t="s">
        <v>73</v>
      </c>
      <c r="AA31" t="s">
        <v>136</v>
      </c>
      <c r="AB31" t="s">
        <v>93</v>
      </c>
      <c r="AC31">
        <v>3.1970274661579312E-2</v>
      </c>
      <c r="AD31" t="s">
        <v>73</v>
      </c>
    </row>
    <row r="32" spans="17:30" x14ac:dyDescent="0.25">
      <c r="Q32" t="s">
        <v>71</v>
      </c>
      <c r="R32" t="s">
        <v>94</v>
      </c>
      <c r="S32">
        <v>5.9489646410343183E-2</v>
      </c>
      <c r="T32" t="s">
        <v>73</v>
      </c>
      <c r="V32" t="s">
        <v>116</v>
      </c>
      <c r="W32" t="s">
        <v>94</v>
      </c>
      <c r="X32">
        <v>2.7666946262202226E-2</v>
      </c>
      <c r="Y32" t="s">
        <v>73</v>
      </c>
      <c r="AA32" t="s">
        <v>136</v>
      </c>
      <c r="AB32" t="s">
        <v>94</v>
      </c>
      <c r="AC32">
        <v>3.2110754467168705E-2</v>
      </c>
      <c r="AD32" t="s">
        <v>73</v>
      </c>
    </row>
    <row r="33" spans="17:30" x14ac:dyDescent="0.25">
      <c r="Q33" t="s">
        <v>71</v>
      </c>
      <c r="R33" t="s">
        <v>95</v>
      </c>
      <c r="S33">
        <v>3.7542466494057361E-2</v>
      </c>
      <c r="T33" t="s">
        <v>73</v>
      </c>
      <c r="V33" t="s">
        <v>116</v>
      </c>
      <c r="W33" t="s">
        <v>95</v>
      </c>
      <c r="X33">
        <v>3.0418186365304994E-2</v>
      </c>
      <c r="Y33" t="s">
        <v>73</v>
      </c>
      <c r="AA33" t="s">
        <v>136</v>
      </c>
      <c r="AB33" t="s">
        <v>95</v>
      </c>
      <c r="AC33">
        <v>3.4760571393210843E-2</v>
      </c>
      <c r="AD33" t="s">
        <v>73</v>
      </c>
    </row>
    <row r="34" spans="17:30" x14ac:dyDescent="0.25">
      <c r="Q34" t="s">
        <v>71</v>
      </c>
      <c r="R34" t="s">
        <v>96</v>
      </c>
      <c r="S34">
        <v>2.6690735927857134E-3</v>
      </c>
      <c r="T34" t="s">
        <v>73</v>
      </c>
      <c r="V34" t="s">
        <v>116</v>
      </c>
      <c r="W34" t="s">
        <v>96</v>
      </c>
      <c r="X34">
        <v>3.6927927826768736E-2</v>
      </c>
      <c r="Y34" t="s">
        <v>73</v>
      </c>
      <c r="AA34" t="s">
        <v>136</v>
      </c>
      <c r="AB34" t="s">
        <v>96</v>
      </c>
      <c r="AC34">
        <v>3.7200333189862864E-2</v>
      </c>
      <c r="AD34" t="s">
        <v>73</v>
      </c>
    </row>
    <row r="35" spans="17:30" x14ac:dyDescent="0.25">
      <c r="Q35" t="s">
        <v>97</v>
      </c>
      <c r="R35" t="s">
        <v>72</v>
      </c>
      <c r="S35">
        <v>0</v>
      </c>
      <c r="T35" t="s">
        <v>73</v>
      </c>
      <c r="V35" t="s">
        <v>117</v>
      </c>
      <c r="W35" t="s">
        <v>72</v>
      </c>
      <c r="X35">
        <v>0.12076383941476725</v>
      </c>
      <c r="Y35" t="s">
        <v>73</v>
      </c>
      <c r="AA35" t="s">
        <v>137</v>
      </c>
      <c r="AB35" t="s">
        <v>72</v>
      </c>
      <c r="AC35">
        <v>0.10298995987707794</v>
      </c>
      <c r="AD35" t="s">
        <v>73</v>
      </c>
    </row>
    <row r="36" spans="17:30" x14ac:dyDescent="0.25">
      <c r="Q36" t="s">
        <v>97</v>
      </c>
      <c r="R36" t="s">
        <v>74</v>
      </c>
      <c r="S36">
        <v>7.7909925145441599E-4</v>
      </c>
      <c r="T36" t="s">
        <v>73</v>
      </c>
      <c r="V36" t="s">
        <v>117</v>
      </c>
      <c r="W36" t="s">
        <v>74</v>
      </c>
      <c r="X36">
        <v>6.0123565071812407E-2</v>
      </c>
      <c r="Y36" t="s">
        <v>73</v>
      </c>
      <c r="AA36" t="s">
        <v>137</v>
      </c>
      <c r="AB36" t="s">
        <v>74</v>
      </c>
      <c r="AC36">
        <v>5.0797131413510048E-2</v>
      </c>
      <c r="AD36" t="s">
        <v>73</v>
      </c>
    </row>
    <row r="37" spans="17:30" x14ac:dyDescent="0.25">
      <c r="Q37" t="s">
        <v>97</v>
      </c>
      <c r="R37" t="s">
        <v>75</v>
      </c>
      <c r="S37">
        <v>3.0790262776159216E-2</v>
      </c>
      <c r="T37" t="s">
        <v>73</v>
      </c>
      <c r="V37" t="s">
        <v>117</v>
      </c>
      <c r="W37" t="s">
        <v>75</v>
      </c>
      <c r="X37">
        <v>4.1532585149130836E-2</v>
      </c>
      <c r="Y37" t="s">
        <v>73</v>
      </c>
      <c r="AA37" t="s">
        <v>137</v>
      </c>
      <c r="AB37" t="s">
        <v>75</v>
      </c>
      <c r="AC37">
        <v>3.8911240590627054E-2</v>
      </c>
      <c r="AD37" t="s">
        <v>73</v>
      </c>
    </row>
    <row r="38" spans="17:30" x14ac:dyDescent="0.25">
      <c r="Q38" t="s">
        <v>97</v>
      </c>
      <c r="R38" t="s">
        <v>76</v>
      </c>
      <c r="S38">
        <v>4.4377318034353151E-2</v>
      </c>
      <c r="T38" t="s">
        <v>73</v>
      </c>
      <c r="V38" t="s">
        <v>117</v>
      </c>
      <c r="W38" t="s">
        <v>76</v>
      </c>
      <c r="X38">
        <v>4.0099823325129499E-2</v>
      </c>
      <c r="Y38" t="s">
        <v>73</v>
      </c>
      <c r="AA38" t="s">
        <v>137</v>
      </c>
      <c r="AB38" t="s">
        <v>76</v>
      </c>
      <c r="AC38">
        <v>3.7226205603755121E-2</v>
      </c>
      <c r="AD38" t="s">
        <v>73</v>
      </c>
    </row>
    <row r="39" spans="17:30" x14ac:dyDescent="0.25">
      <c r="Q39" t="s">
        <v>97</v>
      </c>
      <c r="R39" t="s">
        <v>77</v>
      </c>
      <c r="S39">
        <v>1.9049141561217293E-2</v>
      </c>
      <c r="T39" t="s">
        <v>73</v>
      </c>
      <c r="V39" t="s">
        <v>117</v>
      </c>
      <c r="W39" t="s">
        <v>77</v>
      </c>
      <c r="X39">
        <v>4.4009966732505915E-2</v>
      </c>
      <c r="Y39" t="s">
        <v>73</v>
      </c>
      <c r="AA39" t="s">
        <v>137</v>
      </c>
      <c r="AB39" t="s">
        <v>77</v>
      </c>
      <c r="AC39">
        <v>3.8863781271687665E-2</v>
      </c>
      <c r="AD39" t="s">
        <v>73</v>
      </c>
    </row>
    <row r="40" spans="17:30" x14ac:dyDescent="0.25">
      <c r="Q40" t="s">
        <v>97</v>
      </c>
      <c r="R40" t="s">
        <v>78</v>
      </c>
      <c r="S40">
        <v>0</v>
      </c>
      <c r="T40" t="s">
        <v>73</v>
      </c>
      <c r="V40" t="s">
        <v>117</v>
      </c>
      <c r="W40" t="s">
        <v>78</v>
      </c>
      <c r="X40">
        <v>4.7185855808865862E-2</v>
      </c>
      <c r="Y40" t="s">
        <v>73</v>
      </c>
      <c r="AA40" t="s">
        <v>137</v>
      </c>
      <c r="AB40" t="s">
        <v>78</v>
      </c>
      <c r="AC40">
        <v>4.0263552146047633E-2</v>
      </c>
      <c r="AD40" t="s">
        <v>73</v>
      </c>
    </row>
    <row r="41" spans="17:30" x14ac:dyDescent="0.25">
      <c r="Q41" t="s">
        <v>97</v>
      </c>
      <c r="R41" t="s">
        <v>79</v>
      </c>
      <c r="S41">
        <v>0</v>
      </c>
      <c r="T41" t="s">
        <v>73</v>
      </c>
      <c r="V41" t="s">
        <v>117</v>
      </c>
      <c r="W41" t="s">
        <v>79</v>
      </c>
      <c r="X41">
        <v>9.8092484909059974E-2</v>
      </c>
      <c r="Y41" t="s">
        <v>73</v>
      </c>
      <c r="AA41" t="s">
        <v>137</v>
      </c>
      <c r="AB41" t="s">
        <v>79</v>
      </c>
      <c r="AC41">
        <v>9.2323383127985409E-2</v>
      </c>
      <c r="AD41" t="s">
        <v>73</v>
      </c>
    </row>
    <row r="42" spans="17:30" x14ac:dyDescent="0.25">
      <c r="Q42" t="s">
        <v>97</v>
      </c>
      <c r="R42" t="s">
        <v>80</v>
      </c>
      <c r="S42">
        <v>4.3621056227276925E-2</v>
      </c>
      <c r="T42" t="s">
        <v>73</v>
      </c>
      <c r="V42" t="s">
        <v>117</v>
      </c>
      <c r="W42" t="s">
        <v>80</v>
      </c>
      <c r="X42">
        <v>4.283616651879734E-2</v>
      </c>
      <c r="Y42" t="s">
        <v>73</v>
      </c>
      <c r="AA42" t="s">
        <v>137</v>
      </c>
      <c r="AB42" t="s">
        <v>80</v>
      </c>
      <c r="AC42">
        <v>4.4495579344443918E-2</v>
      </c>
      <c r="AD42" t="s">
        <v>73</v>
      </c>
    </row>
    <row r="43" spans="17:30" x14ac:dyDescent="0.25">
      <c r="Q43" t="s">
        <v>97</v>
      </c>
      <c r="R43" t="s">
        <v>81</v>
      </c>
      <c r="S43">
        <v>9.1242959511784502E-2</v>
      </c>
      <c r="T43" t="s">
        <v>73</v>
      </c>
      <c r="V43" t="s">
        <v>117</v>
      </c>
      <c r="W43" t="s">
        <v>81</v>
      </c>
      <c r="X43">
        <v>2.6825407107575069E-2</v>
      </c>
      <c r="Y43" t="s">
        <v>73</v>
      </c>
      <c r="AA43" t="s">
        <v>137</v>
      </c>
      <c r="AB43" t="s">
        <v>81</v>
      </c>
      <c r="AC43">
        <v>3.0587109990881253E-2</v>
      </c>
      <c r="AD43" t="s">
        <v>73</v>
      </c>
    </row>
    <row r="44" spans="17:30" x14ac:dyDescent="0.25">
      <c r="Q44" t="s">
        <v>97</v>
      </c>
      <c r="R44" t="s">
        <v>82</v>
      </c>
      <c r="S44">
        <v>9.5299181579316286E-2</v>
      </c>
      <c r="T44" t="s">
        <v>73</v>
      </c>
      <c r="V44" t="s">
        <v>117</v>
      </c>
      <c r="W44" t="s">
        <v>82</v>
      </c>
      <c r="X44">
        <v>2.706736999337659E-2</v>
      </c>
      <c r="Y44" t="s">
        <v>73</v>
      </c>
      <c r="AA44" t="s">
        <v>137</v>
      </c>
      <c r="AB44" t="s">
        <v>82</v>
      </c>
      <c r="AC44">
        <v>2.7705097452870382E-2</v>
      </c>
      <c r="AD44" t="s">
        <v>73</v>
      </c>
    </row>
    <row r="45" spans="17:30" x14ac:dyDescent="0.25">
      <c r="Q45" t="s">
        <v>97</v>
      </c>
      <c r="R45" t="s">
        <v>83</v>
      </c>
      <c r="S45">
        <v>6.9582412116775544E-2</v>
      </c>
      <c r="T45" t="s">
        <v>73</v>
      </c>
      <c r="V45" t="s">
        <v>117</v>
      </c>
      <c r="W45" t="s">
        <v>83</v>
      </c>
      <c r="X45">
        <v>2.9429689530144788E-2</v>
      </c>
      <c r="Y45" t="s">
        <v>73</v>
      </c>
      <c r="AA45" t="s">
        <v>137</v>
      </c>
      <c r="AB45" t="s">
        <v>83</v>
      </c>
      <c r="AC45">
        <v>3.0680770600749366E-2</v>
      </c>
      <c r="AD45" t="s">
        <v>73</v>
      </c>
    </row>
    <row r="46" spans="17:30" x14ac:dyDescent="0.25">
      <c r="Q46" t="s">
        <v>97</v>
      </c>
      <c r="R46" t="s">
        <v>84</v>
      </c>
      <c r="S46">
        <v>1.5075418626712835E-2</v>
      </c>
      <c r="T46" t="s">
        <v>73</v>
      </c>
      <c r="V46" t="s">
        <v>117</v>
      </c>
      <c r="W46" t="s">
        <v>84</v>
      </c>
      <c r="X46">
        <v>3.4983913799755302E-2</v>
      </c>
      <c r="Y46" t="s">
        <v>73</v>
      </c>
      <c r="AA46" t="s">
        <v>137</v>
      </c>
      <c r="AB46" t="s">
        <v>84</v>
      </c>
      <c r="AC46">
        <v>3.4064693979621453E-2</v>
      </c>
      <c r="AD46" t="s">
        <v>73</v>
      </c>
    </row>
    <row r="47" spans="17:30" x14ac:dyDescent="0.25">
      <c r="Q47" t="s">
        <v>97</v>
      </c>
      <c r="R47" t="s">
        <v>85</v>
      </c>
      <c r="S47">
        <v>0</v>
      </c>
      <c r="T47" t="s">
        <v>73</v>
      </c>
      <c r="V47" t="s">
        <v>117</v>
      </c>
      <c r="W47" t="s">
        <v>85</v>
      </c>
      <c r="X47">
        <v>4.9478947194072677E-2</v>
      </c>
      <c r="Y47" t="s">
        <v>73</v>
      </c>
      <c r="AA47" t="s">
        <v>137</v>
      </c>
      <c r="AB47" t="s">
        <v>85</v>
      </c>
      <c r="AC47">
        <v>5.8642321211988438E-2</v>
      </c>
      <c r="AD47" t="s">
        <v>73</v>
      </c>
    </row>
    <row r="48" spans="17:30" x14ac:dyDescent="0.25">
      <c r="Q48" t="s">
        <v>97</v>
      </c>
      <c r="R48" t="s">
        <v>86</v>
      </c>
      <c r="S48">
        <v>7.0857998225011029E-2</v>
      </c>
      <c r="T48" t="s">
        <v>73</v>
      </c>
      <c r="V48" t="s">
        <v>117</v>
      </c>
      <c r="W48" t="s">
        <v>86</v>
      </c>
      <c r="X48">
        <v>1.7839674677226164E-2</v>
      </c>
      <c r="Y48" t="s">
        <v>73</v>
      </c>
      <c r="AA48" t="s">
        <v>137</v>
      </c>
      <c r="AB48" t="s">
        <v>86</v>
      </c>
      <c r="AC48">
        <v>2.84413169889947E-2</v>
      </c>
      <c r="AD48" t="s">
        <v>73</v>
      </c>
    </row>
    <row r="49" spans="17:30" x14ac:dyDescent="0.25">
      <c r="Q49" t="s">
        <v>97</v>
      </c>
      <c r="R49" t="s">
        <v>87</v>
      </c>
      <c r="S49">
        <v>0.1121327024107196</v>
      </c>
      <c r="T49" t="s">
        <v>73</v>
      </c>
      <c r="V49" t="s">
        <v>117</v>
      </c>
      <c r="W49" t="s">
        <v>87</v>
      </c>
      <c r="X49">
        <v>1.2616005620047025E-2</v>
      </c>
      <c r="Y49" t="s">
        <v>73</v>
      </c>
      <c r="AA49" t="s">
        <v>137</v>
      </c>
      <c r="AB49" t="s">
        <v>87</v>
      </c>
      <c r="AC49">
        <v>1.959304818556935E-2</v>
      </c>
      <c r="AD49" t="s">
        <v>73</v>
      </c>
    </row>
    <row r="50" spans="17:30" x14ac:dyDescent="0.25">
      <c r="Q50" t="s">
        <v>97</v>
      </c>
      <c r="R50" t="s">
        <v>88</v>
      </c>
      <c r="S50">
        <v>0.10819241778394888</v>
      </c>
      <c r="T50" t="s">
        <v>73</v>
      </c>
      <c r="V50" t="s">
        <v>117</v>
      </c>
      <c r="W50" t="s">
        <v>88</v>
      </c>
      <c r="X50">
        <v>1.3254102591116789E-2</v>
      </c>
      <c r="Y50" t="s">
        <v>73</v>
      </c>
      <c r="AA50" t="s">
        <v>137</v>
      </c>
      <c r="AB50" t="s">
        <v>88</v>
      </c>
      <c r="AC50">
        <v>1.9690215209419947E-2</v>
      </c>
      <c r="AD50" t="s">
        <v>73</v>
      </c>
    </row>
    <row r="51" spans="17:30" x14ac:dyDescent="0.25">
      <c r="Q51" t="s">
        <v>97</v>
      </c>
      <c r="R51" t="s">
        <v>89</v>
      </c>
      <c r="S51">
        <v>8.9293435908688407E-2</v>
      </c>
      <c r="T51" t="s">
        <v>73</v>
      </c>
      <c r="V51" t="s">
        <v>117</v>
      </c>
      <c r="W51" t="s">
        <v>89</v>
      </c>
      <c r="X51">
        <v>1.622971611030434E-2</v>
      </c>
      <c r="Y51" t="s">
        <v>73</v>
      </c>
      <c r="AA51" t="s">
        <v>137</v>
      </c>
      <c r="AB51" t="s">
        <v>89</v>
      </c>
      <c r="AC51">
        <v>2.2412253490744105E-2</v>
      </c>
      <c r="AD51" t="s">
        <v>73</v>
      </c>
    </row>
    <row r="52" spans="17:30" x14ac:dyDescent="0.25">
      <c r="Q52" t="s">
        <v>97</v>
      </c>
      <c r="R52" t="s">
        <v>90</v>
      </c>
      <c r="S52">
        <v>3.2328829103209417E-2</v>
      </c>
      <c r="T52" t="s">
        <v>73</v>
      </c>
      <c r="V52" t="s">
        <v>117</v>
      </c>
      <c r="W52" t="s">
        <v>90</v>
      </c>
      <c r="X52">
        <v>1.7336251460250949E-2</v>
      </c>
      <c r="Y52" t="s">
        <v>73</v>
      </c>
      <c r="AA52" t="s">
        <v>137</v>
      </c>
      <c r="AB52" t="s">
        <v>90</v>
      </c>
      <c r="AC52">
        <v>2.2351467815827517E-2</v>
      </c>
      <c r="AD52" t="s">
        <v>73</v>
      </c>
    </row>
    <row r="53" spans="17:30" x14ac:dyDescent="0.25">
      <c r="Q53" t="s">
        <v>97</v>
      </c>
      <c r="R53" t="s">
        <v>91</v>
      </c>
      <c r="S53">
        <v>0</v>
      </c>
      <c r="T53" t="s">
        <v>73</v>
      </c>
      <c r="V53" t="s">
        <v>117</v>
      </c>
      <c r="W53" t="s">
        <v>91</v>
      </c>
      <c r="X53">
        <v>9.390572686804631E-2</v>
      </c>
      <c r="Y53" t="s">
        <v>73</v>
      </c>
      <c r="AA53" t="s">
        <v>137</v>
      </c>
      <c r="AB53" t="s">
        <v>91</v>
      </c>
      <c r="AC53">
        <v>8.6602121173891974E-2</v>
      </c>
      <c r="AD53" t="s">
        <v>73</v>
      </c>
    </row>
    <row r="54" spans="17:30" x14ac:dyDescent="0.25">
      <c r="Q54" t="s">
        <v>97</v>
      </c>
      <c r="R54" t="s">
        <v>92</v>
      </c>
      <c r="S54">
        <v>1.6607751800102735E-2</v>
      </c>
      <c r="T54" t="s">
        <v>73</v>
      </c>
      <c r="V54" t="s">
        <v>117</v>
      </c>
      <c r="W54" t="s">
        <v>92</v>
      </c>
      <c r="X54">
        <v>3.9759793889477361E-2</v>
      </c>
      <c r="Y54" t="s">
        <v>73</v>
      </c>
      <c r="AA54" t="s">
        <v>137</v>
      </c>
      <c r="AB54" t="s">
        <v>92</v>
      </c>
      <c r="AC54">
        <v>4.2889112172566336E-2</v>
      </c>
      <c r="AD54" t="s">
        <v>73</v>
      </c>
    </row>
    <row r="55" spans="17:30" x14ac:dyDescent="0.25">
      <c r="Q55" t="s">
        <v>97</v>
      </c>
      <c r="R55" t="s">
        <v>93</v>
      </c>
      <c r="S55">
        <v>5.8352083409563417E-2</v>
      </c>
      <c r="T55" t="s">
        <v>73</v>
      </c>
      <c r="V55" t="s">
        <v>117</v>
      </c>
      <c r="W55" t="s">
        <v>93</v>
      </c>
      <c r="X55">
        <v>2.6937130719207711E-2</v>
      </c>
      <c r="Y55" t="s">
        <v>73</v>
      </c>
      <c r="AA55" t="s">
        <v>137</v>
      </c>
      <c r="AB55" t="s">
        <v>93</v>
      </c>
      <c r="AC55">
        <v>3.2539464358413872E-2</v>
      </c>
      <c r="AD55" t="s">
        <v>73</v>
      </c>
    </row>
    <row r="56" spans="17:30" x14ac:dyDescent="0.25">
      <c r="Q56" t="s">
        <v>97</v>
      </c>
      <c r="R56" t="s">
        <v>94</v>
      </c>
      <c r="S56">
        <v>6.2953618614342857E-2</v>
      </c>
      <c r="T56" t="s">
        <v>73</v>
      </c>
      <c r="V56" t="s">
        <v>117</v>
      </c>
      <c r="W56" t="s">
        <v>94</v>
      </c>
      <c r="X56">
        <v>2.8796086457855023E-2</v>
      </c>
      <c r="Y56" t="s">
        <v>73</v>
      </c>
      <c r="AA56" t="s">
        <v>137</v>
      </c>
      <c r="AB56" t="s">
        <v>94</v>
      </c>
      <c r="AC56">
        <v>3.1528208772491094E-2</v>
      </c>
      <c r="AD56" t="s">
        <v>73</v>
      </c>
    </row>
    <row r="57" spans="17:30" x14ac:dyDescent="0.25">
      <c r="Q57" t="s">
        <v>97</v>
      </c>
      <c r="R57" t="s">
        <v>95</v>
      </c>
      <c r="S57">
        <v>3.7595092404563706E-2</v>
      </c>
      <c r="T57" t="s">
        <v>73</v>
      </c>
      <c r="V57" t="s">
        <v>117</v>
      </c>
      <c r="W57" t="s">
        <v>95</v>
      </c>
      <c r="X57">
        <v>3.2402448613803841E-2</v>
      </c>
      <c r="Y57" t="s">
        <v>73</v>
      </c>
      <c r="AA57" t="s">
        <v>137</v>
      </c>
      <c r="AB57" t="s">
        <v>95</v>
      </c>
      <c r="AC57">
        <v>3.2394668408281875E-2</v>
      </c>
      <c r="AD57" t="s">
        <v>73</v>
      </c>
    </row>
    <row r="58" spans="17:30" x14ac:dyDescent="0.25">
      <c r="Q58" t="s">
        <v>97</v>
      </c>
      <c r="R58" t="s">
        <v>96</v>
      </c>
      <c r="S58">
        <v>1.8692206547992276E-3</v>
      </c>
      <c r="T58" t="s">
        <v>73</v>
      </c>
      <c r="V58" t="s">
        <v>117</v>
      </c>
      <c r="W58" t="s">
        <v>96</v>
      </c>
      <c r="X58">
        <v>3.8493448437671905E-2</v>
      </c>
      <c r="Y58" t="s">
        <v>73</v>
      </c>
      <c r="AA58" t="s">
        <v>137</v>
      </c>
      <c r="AB58" t="s">
        <v>96</v>
      </c>
      <c r="AC58">
        <v>3.4007296812556001E-2</v>
      </c>
      <c r="AD58" t="s">
        <v>73</v>
      </c>
    </row>
    <row r="59" spans="17:30" x14ac:dyDescent="0.25">
      <c r="Q59" t="s">
        <v>98</v>
      </c>
      <c r="R59" t="s">
        <v>72</v>
      </c>
      <c r="S59">
        <v>0</v>
      </c>
      <c r="T59" t="s">
        <v>73</v>
      </c>
      <c r="V59" t="s">
        <v>118</v>
      </c>
      <c r="W59" t="s">
        <v>72</v>
      </c>
      <c r="X59">
        <v>0.1184036184508597</v>
      </c>
      <c r="Y59" t="s">
        <v>73</v>
      </c>
      <c r="AA59" t="s">
        <v>138</v>
      </c>
      <c r="AB59" t="s">
        <v>72</v>
      </c>
      <c r="AC59">
        <v>0.10992366708695966</v>
      </c>
      <c r="AD59" t="s">
        <v>73</v>
      </c>
    </row>
    <row r="60" spans="17:30" x14ac:dyDescent="0.25">
      <c r="Q60" t="s">
        <v>98</v>
      </c>
      <c r="R60" t="s">
        <v>74</v>
      </c>
      <c r="S60">
        <v>5.0066600413036866E-4</v>
      </c>
      <c r="T60" t="s">
        <v>73</v>
      </c>
      <c r="V60" t="s">
        <v>118</v>
      </c>
      <c r="W60" t="s">
        <v>74</v>
      </c>
      <c r="X60">
        <v>5.9793795666992347E-2</v>
      </c>
      <c r="Y60" t="s">
        <v>73</v>
      </c>
      <c r="AA60" t="s">
        <v>138</v>
      </c>
      <c r="AB60" t="s">
        <v>74</v>
      </c>
      <c r="AC60">
        <v>5.367023130344338E-2</v>
      </c>
      <c r="AD60" t="s">
        <v>73</v>
      </c>
    </row>
    <row r="61" spans="17:30" x14ac:dyDescent="0.25">
      <c r="Q61" t="s">
        <v>98</v>
      </c>
      <c r="R61" t="s">
        <v>75</v>
      </c>
      <c r="S61">
        <v>2.7646284007295872E-2</v>
      </c>
      <c r="T61" t="s">
        <v>73</v>
      </c>
      <c r="V61" t="s">
        <v>118</v>
      </c>
      <c r="W61" t="s">
        <v>75</v>
      </c>
      <c r="X61">
        <v>4.2821463765322809E-2</v>
      </c>
      <c r="Y61" t="s">
        <v>73</v>
      </c>
      <c r="AA61" t="s">
        <v>138</v>
      </c>
      <c r="AB61" t="s">
        <v>75</v>
      </c>
      <c r="AC61">
        <v>4.0240873959644534E-2</v>
      </c>
      <c r="AD61" t="s">
        <v>73</v>
      </c>
    </row>
    <row r="62" spans="17:30" x14ac:dyDescent="0.25">
      <c r="Q62" t="s">
        <v>98</v>
      </c>
      <c r="R62" t="s">
        <v>76</v>
      </c>
      <c r="S62">
        <v>3.9821655220808029E-2</v>
      </c>
      <c r="T62" t="s">
        <v>73</v>
      </c>
      <c r="V62" t="s">
        <v>118</v>
      </c>
      <c r="W62" t="s">
        <v>76</v>
      </c>
      <c r="X62">
        <v>3.9417440136639753E-2</v>
      </c>
      <c r="Y62" t="s">
        <v>73</v>
      </c>
      <c r="AA62" t="s">
        <v>138</v>
      </c>
      <c r="AB62" t="s">
        <v>76</v>
      </c>
      <c r="AC62">
        <v>3.8349793647502795E-2</v>
      </c>
      <c r="AD62" t="s">
        <v>73</v>
      </c>
    </row>
    <row r="63" spans="17:30" x14ac:dyDescent="0.25">
      <c r="Q63" t="s">
        <v>98</v>
      </c>
      <c r="R63" t="s">
        <v>77</v>
      </c>
      <c r="S63">
        <v>1.4836123069418766E-2</v>
      </c>
      <c r="T63" t="s">
        <v>73</v>
      </c>
      <c r="V63" t="s">
        <v>118</v>
      </c>
      <c r="W63" t="s">
        <v>77</v>
      </c>
      <c r="X63">
        <v>4.1998022728686871E-2</v>
      </c>
      <c r="Y63" t="s">
        <v>73</v>
      </c>
      <c r="AA63" t="s">
        <v>138</v>
      </c>
      <c r="AB63" t="s">
        <v>77</v>
      </c>
      <c r="AC63">
        <v>4.0422581657615982E-2</v>
      </c>
      <c r="AD63" t="s">
        <v>73</v>
      </c>
    </row>
    <row r="64" spans="17:30" x14ac:dyDescent="0.25">
      <c r="Q64" t="s">
        <v>98</v>
      </c>
      <c r="R64" t="s">
        <v>78</v>
      </c>
      <c r="S64">
        <v>0</v>
      </c>
      <c r="T64" t="s">
        <v>73</v>
      </c>
      <c r="V64" t="s">
        <v>118</v>
      </c>
      <c r="W64" t="s">
        <v>78</v>
      </c>
      <c r="X64">
        <v>4.5188527474967086E-2</v>
      </c>
      <c r="Y64" t="s">
        <v>73</v>
      </c>
      <c r="AA64" t="s">
        <v>138</v>
      </c>
      <c r="AB64" t="s">
        <v>78</v>
      </c>
      <c r="AC64">
        <v>4.2511297305040711E-2</v>
      </c>
      <c r="AD64" t="s">
        <v>73</v>
      </c>
    </row>
    <row r="65" spans="17:30" x14ac:dyDescent="0.25">
      <c r="Q65" t="s">
        <v>98</v>
      </c>
      <c r="R65" t="s">
        <v>79</v>
      </c>
      <c r="S65">
        <v>0</v>
      </c>
      <c r="T65" t="s">
        <v>73</v>
      </c>
      <c r="V65" t="s">
        <v>118</v>
      </c>
      <c r="W65" t="s">
        <v>79</v>
      </c>
      <c r="X65">
        <v>9.701182729523937E-2</v>
      </c>
      <c r="Y65" t="s">
        <v>73</v>
      </c>
      <c r="AA65" t="s">
        <v>138</v>
      </c>
      <c r="AB65" t="s">
        <v>79</v>
      </c>
      <c r="AC65">
        <v>8.9435573920212855E-2</v>
      </c>
      <c r="AD65" t="s">
        <v>73</v>
      </c>
    </row>
    <row r="66" spans="17:30" x14ac:dyDescent="0.25">
      <c r="Q66" t="s">
        <v>98</v>
      </c>
      <c r="R66" t="s">
        <v>80</v>
      </c>
      <c r="S66">
        <v>4.6080191297197662E-2</v>
      </c>
      <c r="T66" t="s">
        <v>73</v>
      </c>
      <c r="V66" t="s">
        <v>118</v>
      </c>
      <c r="W66" t="s">
        <v>80</v>
      </c>
      <c r="X66">
        <v>4.3399443286130289E-2</v>
      </c>
      <c r="Y66" t="s">
        <v>73</v>
      </c>
      <c r="AA66" t="s">
        <v>138</v>
      </c>
      <c r="AB66" t="s">
        <v>80</v>
      </c>
      <c r="AC66">
        <v>4.2472023375884349E-2</v>
      </c>
      <c r="AD66" t="s">
        <v>73</v>
      </c>
    </row>
    <row r="67" spans="17:30" x14ac:dyDescent="0.25">
      <c r="Q67" t="s">
        <v>98</v>
      </c>
      <c r="R67" t="s">
        <v>81</v>
      </c>
      <c r="S67">
        <v>9.4779529183016145E-2</v>
      </c>
      <c r="T67" t="s">
        <v>73</v>
      </c>
      <c r="V67" t="s">
        <v>118</v>
      </c>
      <c r="W67" t="s">
        <v>81</v>
      </c>
      <c r="X67">
        <v>2.8929445673403623E-2</v>
      </c>
      <c r="Y67" t="s">
        <v>73</v>
      </c>
      <c r="AA67" t="s">
        <v>138</v>
      </c>
      <c r="AB67" t="s">
        <v>81</v>
      </c>
      <c r="AC67">
        <v>2.8021783896846151E-2</v>
      </c>
      <c r="AD67" t="s">
        <v>73</v>
      </c>
    </row>
    <row r="68" spans="17:30" x14ac:dyDescent="0.25">
      <c r="Q68" t="s">
        <v>98</v>
      </c>
      <c r="R68" t="s">
        <v>82</v>
      </c>
      <c r="S68">
        <v>9.6107134350401469E-2</v>
      </c>
      <c r="T68" t="s">
        <v>73</v>
      </c>
      <c r="V68" t="s">
        <v>118</v>
      </c>
      <c r="W68" t="s">
        <v>82</v>
      </c>
      <c r="X68">
        <v>3.1062063541289271E-2</v>
      </c>
      <c r="Y68" t="s">
        <v>73</v>
      </c>
      <c r="AA68" t="s">
        <v>138</v>
      </c>
      <c r="AB68" t="s">
        <v>82</v>
      </c>
      <c r="AC68">
        <v>2.5829696231625274E-2</v>
      </c>
      <c r="AD68" t="s">
        <v>73</v>
      </c>
    </row>
    <row r="69" spans="17:30" x14ac:dyDescent="0.25">
      <c r="Q69" t="s">
        <v>98</v>
      </c>
      <c r="R69" t="s">
        <v>83</v>
      </c>
      <c r="S69">
        <v>7.043157460394428E-2</v>
      </c>
      <c r="T69" t="s">
        <v>73</v>
      </c>
      <c r="V69" t="s">
        <v>118</v>
      </c>
      <c r="W69" t="s">
        <v>83</v>
      </c>
      <c r="X69">
        <v>3.084397456453055E-2</v>
      </c>
      <c r="Y69" t="s">
        <v>73</v>
      </c>
      <c r="AA69" t="s">
        <v>138</v>
      </c>
      <c r="AB69" t="s">
        <v>83</v>
      </c>
      <c r="AC69">
        <v>2.8868043437002291E-2</v>
      </c>
      <c r="AD69" t="s">
        <v>73</v>
      </c>
    </row>
    <row r="70" spans="17:30" x14ac:dyDescent="0.25">
      <c r="Q70" t="s">
        <v>98</v>
      </c>
      <c r="R70" t="s">
        <v>84</v>
      </c>
      <c r="S70">
        <v>1.6363353011479322E-2</v>
      </c>
      <c r="T70" t="s">
        <v>73</v>
      </c>
      <c r="V70" t="s">
        <v>118</v>
      </c>
      <c r="W70" t="s">
        <v>84</v>
      </c>
      <c r="X70">
        <v>3.4325406415765952E-2</v>
      </c>
      <c r="Y70" t="s">
        <v>73</v>
      </c>
      <c r="AA70" t="s">
        <v>138</v>
      </c>
      <c r="AB70" t="s">
        <v>84</v>
      </c>
      <c r="AC70">
        <v>3.2334446569240859E-2</v>
      </c>
      <c r="AD70" t="s">
        <v>73</v>
      </c>
    </row>
    <row r="71" spans="17:30" x14ac:dyDescent="0.25">
      <c r="Q71" t="s">
        <v>98</v>
      </c>
      <c r="R71" t="s">
        <v>85</v>
      </c>
      <c r="S71">
        <v>0</v>
      </c>
      <c r="T71" t="s">
        <v>73</v>
      </c>
      <c r="V71" t="s">
        <v>118</v>
      </c>
      <c r="W71" t="s">
        <v>85</v>
      </c>
      <c r="X71">
        <v>5.2052507884412985E-2</v>
      </c>
      <c r="Y71" t="s">
        <v>73</v>
      </c>
      <c r="AA71" t="s">
        <v>138</v>
      </c>
      <c r="AB71" t="s">
        <v>85</v>
      </c>
      <c r="AC71">
        <v>5.4393545863982921E-2</v>
      </c>
      <c r="AD71" t="s">
        <v>73</v>
      </c>
    </row>
    <row r="72" spans="17:30" x14ac:dyDescent="0.25">
      <c r="Q72" t="s">
        <v>98</v>
      </c>
      <c r="R72" t="s">
        <v>86</v>
      </c>
      <c r="S72">
        <v>7.2652385563552663E-2</v>
      </c>
      <c r="T72" t="s">
        <v>73</v>
      </c>
      <c r="V72" t="s">
        <v>118</v>
      </c>
      <c r="W72" t="s">
        <v>86</v>
      </c>
      <c r="X72">
        <v>1.7212655707837532E-2</v>
      </c>
      <c r="Y72" t="s">
        <v>73</v>
      </c>
      <c r="AA72" t="s">
        <v>138</v>
      </c>
      <c r="AB72" t="s">
        <v>86</v>
      </c>
      <c r="AC72">
        <v>2.6305124454196298E-2</v>
      </c>
      <c r="AD72" t="s">
        <v>73</v>
      </c>
    </row>
    <row r="73" spans="17:30" x14ac:dyDescent="0.25">
      <c r="Q73" t="s">
        <v>98</v>
      </c>
      <c r="R73" t="s">
        <v>87</v>
      </c>
      <c r="S73">
        <v>0.11427948290406079</v>
      </c>
      <c r="T73" t="s">
        <v>73</v>
      </c>
      <c r="V73" t="s">
        <v>118</v>
      </c>
      <c r="W73" t="s">
        <v>87</v>
      </c>
      <c r="X73">
        <v>1.2911968507818916E-2</v>
      </c>
      <c r="Y73" t="s">
        <v>73</v>
      </c>
      <c r="AA73" t="s">
        <v>138</v>
      </c>
      <c r="AB73" t="s">
        <v>87</v>
      </c>
      <c r="AC73">
        <v>1.8215180723428603E-2</v>
      </c>
      <c r="AD73" t="s">
        <v>73</v>
      </c>
    </row>
    <row r="74" spans="17:30" x14ac:dyDescent="0.25">
      <c r="Q74" t="s">
        <v>98</v>
      </c>
      <c r="R74" t="s">
        <v>88</v>
      </c>
      <c r="S74">
        <v>0.11011199002536672</v>
      </c>
      <c r="T74" t="s">
        <v>73</v>
      </c>
      <c r="V74" t="s">
        <v>118</v>
      </c>
      <c r="W74" t="s">
        <v>88</v>
      </c>
      <c r="X74">
        <v>1.5049437409537356E-2</v>
      </c>
      <c r="Y74" t="s">
        <v>73</v>
      </c>
      <c r="AA74" t="s">
        <v>138</v>
      </c>
      <c r="AB74" t="s">
        <v>88</v>
      </c>
      <c r="AC74">
        <v>1.8890404559371566E-2</v>
      </c>
      <c r="AD74" t="s">
        <v>73</v>
      </c>
    </row>
    <row r="75" spans="17:30" x14ac:dyDescent="0.25">
      <c r="Q75" t="s">
        <v>98</v>
      </c>
      <c r="R75" t="s">
        <v>89</v>
      </c>
      <c r="S75">
        <v>8.9898220518402364E-2</v>
      </c>
      <c r="T75" t="s">
        <v>73</v>
      </c>
      <c r="V75" t="s">
        <v>118</v>
      </c>
      <c r="W75" t="s">
        <v>89</v>
      </c>
      <c r="X75">
        <v>1.6808202450658092E-2</v>
      </c>
      <c r="Y75" t="s">
        <v>73</v>
      </c>
      <c r="AA75" t="s">
        <v>138</v>
      </c>
      <c r="AB75" t="s">
        <v>89</v>
      </c>
      <c r="AC75">
        <v>2.2022591699521747E-2</v>
      </c>
      <c r="AD75" t="s">
        <v>73</v>
      </c>
    </row>
    <row r="76" spans="17:30" x14ac:dyDescent="0.25">
      <c r="Q76" t="s">
        <v>98</v>
      </c>
      <c r="R76" t="s">
        <v>90</v>
      </c>
      <c r="S76">
        <v>3.4445554055259703E-2</v>
      </c>
      <c r="T76" t="s">
        <v>73</v>
      </c>
      <c r="V76" t="s">
        <v>118</v>
      </c>
      <c r="W76" t="s">
        <v>90</v>
      </c>
      <c r="X76">
        <v>1.7014042255276186E-2</v>
      </c>
      <c r="Y76" t="s">
        <v>73</v>
      </c>
      <c r="AA76" t="s">
        <v>138</v>
      </c>
      <c r="AB76" t="s">
        <v>90</v>
      </c>
      <c r="AC76">
        <v>2.105027220292208E-2</v>
      </c>
      <c r="AD76" t="s">
        <v>73</v>
      </c>
    </row>
    <row r="77" spans="17:30" x14ac:dyDescent="0.25">
      <c r="Q77" t="s">
        <v>98</v>
      </c>
      <c r="R77" t="s">
        <v>91</v>
      </c>
      <c r="S77">
        <v>0</v>
      </c>
      <c r="T77" t="s">
        <v>73</v>
      </c>
      <c r="V77" t="s">
        <v>118</v>
      </c>
      <c r="W77" t="s">
        <v>91</v>
      </c>
      <c r="X77">
        <v>9.2778158166696212E-2</v>
      </c>
      <c r="Y77" t="s">
        <v>73</v>
      </c>
      <c r="AA77" t="s">
        <v>138</v>
      </c>
      <c r="AB77" t="s">
        <v>91</v>
      </c>
      <c r="AC77">
        <v>9.0103599430638295E-2</v>
      </c>
      <c r="AD77" t="s">
        <v>73</v>
      </c>
    </row>
    <row r="78" spans="17:30" x14ac:dyDescent="0.25">
      <c r="Q78" t="s">
        <v>98</v>
      </c>
      <c r="R78" t="s">
        <v>92</v>
      </c>
      <c r="S78">
        <v>1.6185575872137672E-2</v>
      </c>
      <c r="T78" t="s">
        <v>73</v>
      </c>
      <c r="V78" t="s">
        <v>118</v>
      </c>
      <c r="W78" t="s">
        <v>92</v>
      </c>
      <c r="X78">
        <v>4.1492161745334016E-2</v>
      </c>
      <c r="Y78" t="s">
        <v>73</v>
      </c>
      <c r="AA78" t="s">
        <v>138</v>
      </c>
      <c r="AB78" t="s">
        <v>92</v>
      </c>
      <c r="AC78">
        <v>4.3593750002722281E-2</v>
      </c>
      <c r="AD78" t="s">
        <v>73</v>
      </c>
    </row>
    <row r="79" spans="17:30" x14ac:dyDescent="0.25">
      <c r="Q79" t="s">
        <v>98</v>
      </c>
      <c r="R79" t="s">
        <v>93</v>
      </c>
      <c r="S79">
        <v>5.7821486655232415E-2</v>
      </c>
      <c r="T79" t="s">
        <v>73</v>
      </c>
      <c r="V79" t="s">
        <v>118</v>
      </c>
      <c r="W79" t="s">
        <v>93</v>
      </c>
      <c r="X79">
        <v>2.7271772162937722E-2</v>
      </c>
      <c r="Y79" t="s">
        <v>73</v>
      </c>
      <c r="AA79" t="s">
        <v>138</v>
      </c>
      <c r="AB79" t="s">
        <v>93</v>
      </c>
      <c r="AC79">
        <v>3.231844921327727E-2</v>
      </c>
      <c r="AD79" t="s">
        <v>73</v>
      </c>
    </row>
    <row r="80" spans="17:30" x14ac:dyDescent="0.25">
      <c r="Q80" t="s">
        <v>98</v>
      </c>
      <c r="R80" t="s">
        <v>94</v>
      </c>
      <c r="S80">
        <v>6.0794587392118529E-2</v>
      </c>
      <c r="T80" t="s">
        <v>73</v>
      </c>
      <c r="V80" t="s">
        <v>118</v>
      </c>
      <c r="W80" t="s">
        <v>94</v>
      </c>
      <c r="X80">
        <v>2.7882105273313564E-2</v>
      </c>
      <c r="Y80" t="s">
        <v>73</v>
      </c>
      <c r="AA80" t="s">
        <v>138</v>
      </c>
      <c r="AB80" t="s">
        <v>94</v>
      </c>
      <c r="AC80">
        <v>3.1547385941692936E-2</v>
      </c>
      <c r="AD80" t="s">
        <v>73</v>
      </c>
    </row>
    <row r="81" spans="17:30" x14ac:dyDescent="0.25">
      <c r="Q81" t="s">
        <v>98</v>
      </c>
      <c r="R81" t="s">
        <v>95</v>
      </c>
      <c r="S81">
        <v>3.5419684780925151E-2</v>
      </c>
      <c r="T81" t="s">
        <v>73</v>
      </c>
      <c r="V81" t="s">
        <v>118</v>
      </c>
      <c r="W81" t="s">
        <v>95</v>
      </c>
      <c r="X81">
        <v>3.1042231980622406E-2</v>
      </c>
      <c r="Y81" t="s">
        <v>73</v>
      </c>
      <c r="AA81" t="s">
        <v>138</v>
      </c>
      <c r="AB81" t="s">
        <v>95</v>
      </c>
      <c r="AC81">
        <v>3.3720652914942903E-2</v>
      </c>
      <c r="AD81" t="s">
        <v>73</v>
      </c>
    </row>
    <row r="82" spans="17:30" x14ac:dyDescent="0.25">
      <c r="Q82" t="s">
        <v>98</v>
      </c>
      <c r="R82" t="s">
        <v>96</v>
      </c>
      <c r="S82">
        <v>1.8245214852518651E-3</v>
      </c>
      <c r="T82" t="s">
        <v>73</v>
      </c>
      <c r="V82" t="s">
        <v>118</v>
      </c>
      <c r="W82" t="s">
        <v>96</v>
      </c>
      <c r="X82">
        <v>3.5289727455724687E-2</v>
      </c>
      <c r="Y82" t="s">
        <v>73</v>
      </c>
      <c r="AA82" t="s">
        <v>138</v>
      </c>
      <c r="AB82" t="s">
        <v>96</v>
      </c>
      <c r="AC82">
        <v>3.575903060228499E-2</v>
      </c>
      <c r="AD82" t="s">
        <v>73</v>
      </c>
    </row>
    <row r="83" spans="17:30" x14ac:dyDescent="0.25">
      <c r="Q83" t="s">
        <v>99</v>
      </c>
      <c r="R83" t="s">
        <v>72</v>
      </c>
      <c r="S83">
        <v>0</v>
      </c>
      <c r="T83" t="s">
        <v>73</v>
      </c>
      <c r="V83" t="s">
        <v>119</v>
      </c>
      <c r="W83" t="s">
        <v>72</v>
      </c>
      <c r="X83">
        <v>0.11825472099015019</v>
      </c>
      <c r="Y83" t="s">
        <v>73</v>
      </c>
      <c r="AA83" t="s">
        <v>139</v>
      </c>
      <c r="AB83" t="s">
        <v>72</v>
      </c>
      <c r="AC83">
        <v>9.4347231196802037E-2</v>
      </c>
      <c r="AD83" t="s">
        <v>73</v>
      </c>
    </row>
    <row r="84" spans="17:30" x14ac:dyDescent="0.25">
      <c r="Q84" t="s">
        <v>99</v>
      </c>
      <c r="R84" t="s">
        <v>74</v>
      </c>
      <c r="S84">
        <v>3.3399334107021036E-4</v>
      </c>
      <c r="T84" t="s">
        <v>73</v>
      </c>
      <c r="V84" t="s">
        <v>119</v>
      </c>
      <c r="W84" t="s">
        <v>74</v>
      </c>
      <c r="X84">
        <v>5.8797196660750395E-2</v>
      </c>
      <c r="Y84" t="s">
        <v>73</v>
      </c>
      <c r="AA84" t="s">
        <v>139</v>
      </c>
      <c r="AB84" t="s">
        <v>74</v>
      </c>
      <c r="AC84">
        <v>4.8542719881037102E-2</v>
      </c>
      <c r="AD84" t="s">
        <v>73</v>
      </c>
    </row>
    <row r="85" spans="17:30" x14ac:dyDescent="0.25">
      <c r="Q85" t="s">
        <v>99</v>
      </c>
      <c r="R85" t="s">
        <v>75</v>
      </c>
      <c r="S85">
        <v>2.3122643758803615E-2</v>
      </c>
      <c r="T85" t="s">
        <v>73</v>
      </c>
      <c r="V85" t="s">
        <v>119</v>
      </c>
      <c r="W85" t="s">
        <v>75</v>
      </c>
      <c r="X85">
        <v>4.1240789273752632E-2</v>
      </c>
      <c r="Y85" t="s">
        <v>73</v>
      </c>
      <c r="AA85" t="s">
        <v>139</v>
      </c>
      <c r="AB85" t="s">
        <v>75</v>
      </c>
      <c r="AC85">
        <v>3.6463811439647199E-2</v>
      </c>
      <c r="AD85" t="s">
        <v>73</v>
      </c>
    </row>
    <row r="86" spans="17:30" x14ac:dyDescent="0.25">
      <c r="Q86" t="s">
        <v>99</v>
      </c>
      <c r="R86" t="s">
        <v>76</v>
      </c>
      <c r="S86">
        <v>3.3149658050761623E-2</v>
      </c>
      <c r="T86" t="s">
        <v>73</v>
      </c>
      <c r="V86" t="s">
        <v>119</v>
      </c>
      <c r="W86" t="s">
        <v>76</v>
      </c>
      <c r="X86">
        <v>3.9573468548249044E-2</v>
      </c>
      <c r="Y86" t="s">
        <v>73</v>
      </c>
      <c r="AA86" t="s">
        <v>139</v>
      </c>
      <c r="AB86" t="s">
        <v>76</v>
      </c>
      <c r="AC86">
        <v>3.6589157386377497E-2</v>
      </c>
      <c r="AD86" t="s">
        <v>73</v>
      </c>
    </row>
    <row r="87" spans="17:30" x14ac:dyDescent="0.25">
      <c r="Q87" t="s">
        <v>99</v>
      </c>
      <c r="R87" t="s">
        <v>77</v>
      </c>
      <c r="S87">
        <v>1.3260988091970691E-2</v>
      </c>
      <c r="T87" t="s">
        <v>73</v>
      </c>
      <c r="V87" t="s">
        <v>119</v>
      </c>
      <c r="W87" t="s">
        <v>77</v>
      </c>
      <c r="X87">
        <v>4.2643468624047422E-2</v>
      </c>
      <c r="Y87" t="s">
        <v>73</v>
      </c>
      <c r="AA87" t="s">
        <v>139</v>
      </c>
      <c r="AB87" t="s">
        <v>77</v>
      </c>
      <c r="AC87">
        <v>3.7376441301114685E-2</v>
      </c>
      <c r="AD87" t="s">
        <v>73</v>
      </c>
    </row>
    <row r="88" spans="17:30" x14ac:dyDescent="0.25">
      <c r="Q88" t="s">
        <v>99</v>
      </c>
      <c r="R88" t="s">
        <v>78</v>
      </c>
      <c r="S88">
        <v>0</v>
      </c>
      <c r="T88" t="s">
        <v>73</v>
      </c>
      <c r="V88" t="s">
        <v>119</v>
      </c>
      <c r="W88" t="s">
        <v>78</v>
      </c>
      <c r="X88">
        <v>4.5491654212299594E-2</v>
      </c>
      <c r="Y88" t="s">
        <v>73</v>
      </c>
      <c r="AA88" t="s">
        <v>139</v>
      </c>
      <c r="AB88" t="s">
        <v>78</v>
      </c>
      <c r="AC88">
        <v>3.7516543237701566E-2</v>
      </c>
      <c r="AD88" t="s">
        <v>73</v>
      </c>
    </row>
    <row r="89" spans="17:30" x14ac:dyDescent="0.25">
      <c r="Q89" t="s">
        <v>99</v>
      </c>
      <c r="R89" t="s">
        <v>79</v>
      </c>
      <c r="S89">
        <v>0</v>
      </c>
      <c r="T89" t="s">
        <v>73</v>
      </c>
      <c r="V89" t="s">
        <v>119</v>
      </c>
      <c r="W89" t="s">
        <v>79</v>
      </c>
      <c r="X89">
        <v>9.8547239182461929E-2</v>
      </c>
      <c r="Y89" t="s">
        <v>73</v>
      </c>
      <c r="AA89" t="s">
        <v>139</v>
      </c>
      <c r="AB89" t="s">
        <v>79</v>
      </c>
      <c r="AC89">
        <v>9.5422255055722813E-2</v>
      </c>
      <c r="AD89" t="s">
        <v>73</v>
      </c>
    </row>
    <row r="90" spans="17:30" x14ac:dyDescent="0.25">
      <c r="Q90" t="s">
        <v>99</v>
      </c>
      <c r="R90" t="s">
        <v>80</v>
      </c>
      <c r="S90">
        <v>4.7450977630606496E-2</v>
      </c>
      <c r="T90" t="s">
        <v>73</v>
      </c>
      <c r="V90" t="s">
        <v>119</v>
      </c>
      <c r="W90" t="s">
        <v>80</v>
      </c>
      <c r="X90">
        <v>4.3640083415919614E-2</v>
      </c>
      <c r="Y90" t="s">
        <v>73</v>
      </c>
      <c r="AA90" t="s">
        <v>139</v>
      </c>
      <c r="AB90" t="s">
        <v>80</v>
      </c>
      <c r="AC90">
        <v>4.3919445234325109E-2</v>
      </c>
      <c r="AD90" t="s">
        <v>73</v>
      </c>
    </row>
    <row r="91" spans="17:30" x14ac:dyDescent="0.25">
      <c r="Q91" t="s">
        <v>99</v>
      </c>
      <c r="R91" t="s">
        <v>81</v>
      </c>
      <c r="S91">
        <v>0.10468501869091146</v>
      </c>
      <c r="T91" t="s">
        <v>73</v>
      </c>
      <c r="V91" t="s">
        <v>119</v>
      </c>
      <c r="W91" t="s">
        <v>81</v>
      </c>
      <c r="X91">
        <v>2.8255454471333992E-2</v>
      </c>
      <c r="Y91" t="s">
        <v>73</v>
      </c>
      <c r="AA91" t="s">
        <v>139</v>
      </c>
      <c r="AB91" t="s">
        <v>81</v>
      </c>
      <c r="AC91">
        <v>3.1761326716939091E-2</v>
      </c>
      <c r="AD91" t="s">
        <v>73</v>
      </c>
    </row>
    <row r="92" spans="17:30" x14ac:dyDescent="0.25">
      <c r="Q92" t="s">
        <v>99</v>
      </c>
      <c r="R92" t="s">
        <v>82</v>
      </c>
      <c r="S92">
        <v>0.10151283988194434</v>
      </c>
      <c r="T92" t="s">
        <v>73</v>
      </c>
      <c r="V92" t="s">
        <v>119</v>
      </c>
      <c r="W92" t="s">
        <v>82</v>
      </c>
      <c r="X92">
        <v>2.9265698094287244E-2</v>
      </c>
      <c r="Y92" t="s">
        <v>73</v>
      </c>
      <c r="AA92" t="s">
        <v>139</v>
      </c>
      <c r="AB92" t="s">
        <v>82</v>
      </c>
      <c r="AC92">
        <v>3.1055545570778841E-2</v>
      </c>
      <c r="AD92" t="s">
        <v>73</v>
      </c>
    </row>
    <row r="93" spans="17:30" x14ac:dyDescent="0.25">
      <c r="Q93" t="s">
        <v>99</v>
      </c>
      <c r="R93" t="s">
        <v>83</v>
      </c>
      <c r="S93">
        <v>7.4896712953072694E-2</v>
      </c>
      <c r="T93" t="s">
        <v>73</v>
      </c>
      <c r="V93" t="s">
        <v>119</v>
      </c>
      <c r="W93" t="s">
        <v>83</v>
      </c>
      <c r="X93">
        <v>3.0574322518142797E-2</v>
      </c>
      <c r="Y93" t="s">
        <v>73</v>
      </c>
      <c r="AA93" t="s">
        <v>139</v>
      </c>
      <c r="AB93" t="s">
        <v>83</v>
      </c>
      <c r="AC93">
        <v>3.335915832406592E-2</v>
      </c>
      <c r="AD93" t="s">
        <v>73</v>
      </c>
    </row>
    <row r="94" spans="17:30" x14ac:dyDescent="0.25">
      <c r="Q94" t="s">
        <v>99</v>
      </c>
      <c r="R94" t="s">
        <v>84</v>
      </c>
      <c r="S94">
        <v>1.751918802536577E-2</v>
      </c>
      <c r="T94" t="s">
        <v>73</v>
      </c>
      <c r="V94" t="s">
        <v>119</v>
      </c>
      <c r="W94" t="s">
        <v>84</v>
      </c>
      <c r="X94">
        <v>3.6005690342395334E-2</v>
      </c>
      <c r="Y94" t="s">
        <v>73</v>
      </c>
      <c r="AA94" t="s">
        <v>139</v>
      </c>
      <c r="AB94" t="s">
        <v>84</v>
      </c>
      <c r="AC94">
        <v>3.5733772144878537E-2</v>
      </c>
      <c r="AD94" t="s">
        <v>73</v>
      </c>
    </row>
    <row r="95" spans="17:30" x14ac:dyDescent="0.25">
      <c r="Q95" t="s">
        <v>99</v>
      </c>
      <c r="R95" t="s">
        <v>85</v>
      </c>
      <c r="S95">
        <v>0</v>
      </c>
      <c r="T95" t="s">
        <v>73</v>
      </c>
      <c r="V95" t="s">
        <v>119</v>
      </c>
      <c r="W95" t="s">
        <v>85</v>
      </c>
      <c r="X95">
        <v>4.8535658867776492E-2</v>
      </c>
      <c r="Y95" t="s">
        <v>73</v>
      </c>
      <c r="AA95" t="s">
        <v>139</v>
      </c>
      <c r="AB95" t="s">
        <v>85</v>
      </c>
      <c r="AC95">
        <v>6.2742330307395872E-2</v>
      </c>
      <c r="AD95" t="s">
        <v>73</v>
      </c>
    </row>
    <row r="96" spans="17:30" x14ac:dyDescent="0.25">
      <c r="Q96" t="s">
        <v>99</v>
      </c>
      <c r="R96" t="s">
        <v>86</v>
      </c>
      <c r="S96">
        <v>7.0547326683345069E-2</v>
      </c>
      <c r="T96" t="s">
        <v>73</v>
      </c>
      <c r="V96" t="s">
        <v>119</v>
      </c>
      <c r="W96" t="s">
        <v>86</v>
      </c>
      <c r="X96">
        <v>1.7178446576843927E-2</v>
      </c>
      <c r="Y96" t="s">
        <v>73</v>
      </c>
      <c r="AA96" t="s">
        <v>139</v>
      </c>
      <c r="AB96" t="s">
        <v>86</v>
      </c>
      <c r="AC96">
        <v>2.9302145709474137E-2</v>
      </c>
      <c r="AD96" t="s">
        <v>73</v>
      </c>
    </row>
    <row r="97" spans="17:30" x14ac:dyDescent="0.25">
      <c r="Q97" t="s">
        <v>99</v>
      </c>
      <c r="R97" t="s">
        <v>87</v>
      </c>
      <c r="S97">
        <v>0.11334714704974926</v>
      </c>
      <c r="T97" t="s">
        <v>73</v>
      </c>
      <c r="V97" t="s">
        <v>119</v>
      </c>
      <c r="W97" t="s">
        <v>87</v>
      </c>
      <c r="X97">
        <v>1.2089839309329732E-2</v>
      </c>
      <c r="Y97" t="s">
        <v>73</v>
      </c>
      <c r="AA97" t="s">
        <v>139</v>
      </c>
      <c r="AB97" t="s">
        <v>87</v>
      </c>
      <c r="AC97">
        <v>2.1289366162163401E-2</v>
      </c>
      <c r="AD97" t="s">
        <v>73</v>
      </c>
    </row>
    <row r="98" spans="17:30" x14ac:dyDescent="0.25">
      <c r="Q98" t="s">
        <v>99</v>
      </c>
      <c r="R98" t="s">
        <v>88</v>
      </c>
      <c r="S98">
        <v>0.11318854172273909</v>
      </c>
      <c r="T98" t="s">
        <v>73</v>
      </c>
      <c r="V98" t="s">
        <v>119</v>
      </c>
      <c r="W98" t="s">
        <v>88</v>
      </c>
      <c r="X98">
        <v>1.300702512406582E-2</v>
      </c>
      <c r="Y98" t="s">
        <v>73</v>
      </c>
      <c r="AA98" t="s">
        <v>139</v>
      </c>
      <c r="AB98" t="s">
        <v>88</v>
      </c>
      <c r="AC98">
        <v>2.117828186507625E-2</v>
      </c>
      <c r="AD98" t="s">
        <v>73</v>
      </c>
    </row>
    <row r="99" spans="17:30" x14ac:dyDescent="0.25">
      <c r="Q99" t="s">
        <v>99</v>
      </c>
      <c r="R99" t="s">
        <v>89</v>
      </c>
      <c r="S99">
        <v>9.2382800765025225E-2</v>
      </c>
      <c r="T99" t="s">
        <v>73</v>
      </c>
      <c r="V99" t="s">
        <v>119</v>
      </c>
      <c r="W99" t="s">
        <v>89</v>
      </c>
      <c r="X99">
        <v>1.397133014663799E-2</v>
      </c>
      <c r="Y99" t="s">
        <v>73</v>
      </c>
      <c r="AA99" t="s">
        <v>139</v>
      </c>
      <c r="AB99" t="s">
        <v>89</v>
      </c>
      <c r="AC99">
        <v>2.186824469785293E-2</v>
      </c>
      <c r="AD99" t="s">
        <v>73</v>
      </c>
    </row>
    <row r="100" spans="17:30" x14ac:dyDescent="0.25">
      <c r="Q100" t="s">
        <v>99</v>
      </c>
      <c r="R100" t="s">
        <v>90</v>
      </c>
      <c r="S100">
        <v>3.8238959072857182E-2</v>
      </c>
      <c r="T100" t="s">
        <v>73</v>
      </c>
      <c r="V100" t="s">
        <v>119</v>
      </c>
      <c r="W100" t="s">
        <v>90</v>
      </c>
      <c r="X100">
        <v>1.5287014429145745E-2</v>
      </c>
      <c r="Y100" t="s">
        <v>73</v>
      </c>
      <c r="AA100" t="s">
        <v>139</v>
      </c>
      <c r="AB100" t="s">
        <v>90</v>
      </c>
      <c r="AC100">
        <v>2.1950426198819338E-2</v>
      </c>
      <c r="AD100" t="s">
        <v>73</v>
      </c>
    </row>
    <row r="101" spans="17:30" x14ac:dyDescent="0.25">
      <c r="Q101" t="s">
        <v>99</v>
      </c>
      <c r="R101" t="s">
        <v>91</v>
      </c>
      <c r="S101">
        <v>0</v>
      </c>
      <c r="T101" t="s">
        <v>73</v>
      </c>
      <c r="V101" t="s">
        <v>119</v>
      </c>
      <c r="W101" t="s">
        <v>91</v>
      </c>
      <c r="X101">
        <v>9.7266897344294057E-2</v>
      </c>
      <c r="Y101" t="s">
        <v>73</v>
      </c>
      <c r="AA101" t="s">
        <v>139</v>
      </c>
      <c r="AB101" t="s">
        <v>91</v>
      </c>
      <c r="AC101">
        <v>8.6838845842840268E-2</v>
      </c>
      <c r="AD101" t="s">
        <v>73</v>
      </c>
    </row>
    <row r="102" spans="17:30" x14ac:dyDescent="0.25">
      <c r="Q102" t="s">
        <v>99</v>
      </c>
      <c r="R102" t="s">
        <v>92</v>
      </c>
      <c r="S102">
        <v>1.2812070352528395E-2</v>
      </c>
      <c r="T102" t="s">
        <v>73</v>
      </c>
      <c r="V102" t="s">
        <v>119</v>
      </c>
      <c r="W102" t="s">
        <v>92</v>
      </c>
      <c r="X102">
        <v>4.357850023588894E-2</v>
      </c>
      <c r="Y102" t="s">
        <v>73</v>
      </c>
      <c r="AA102" t="s">
        <v>139</v>
      </c>
      <c r="AB102" t="s">
        <v>92</v>
      </c>
      <c r="AC102">
        <v>4.3450185811981581E-2</v>
      </c>
      <c r="AD102" t="s">
        <v>73</v>
      </c>
    </row>
    <row r="103" spans="17:30" x14ac:dyDescent="0.25">
      <c r="Q103" t="s">
        <v>99</v>
      </c>
      <c r="R103" t="s">
        <v>93</v>
      </c>
      <c r="S103">
        <v>5.0245671802022676E-2</v>
      </c>
      <c r="T103" t="s">
        <v>73</v>
      </c>
      <c r="V103" t="s">
        <v>119</v>
      </c>
      <c r="W103" t="s">
        <v>93</v>
      </c>
      <c r="X103">
        <v>2.8684170593351307E-2</v>
      </c>
      <c r="Y103" t="s">
        <v>73</v>
      </c>
      <c r="AA103" t="s">
        <v>139</v>
      </c>
      <c r="AB103" t="s">
        <v>93</v>
      </c>
      <c r="AC103">
        <v>3.3547318942299391E-2</v>
      </c>
      <c r="AD103" t="s">
        <v>73</v>
      </c>
    </row>
    <row r="104" spans="17:30" x14ac:dyDescent="0.25">
      <c r="Q104" t="s">
        <v>99</v>
      </c>
      <c r="R104" t="s">
        <v>94</v>
      </c>
      <c r="S104">
        <v>5.6342206557175804E-2</v>
      </c>
      <c r="T104" t="s">
        <v>73</v>
      </c>
      <c r="V104" t="s">
        <v>119</v>
      </c>
      <c r="W104" t="s">
        <v>94</v>
      </c>
      <c r="X104">
        <v>2.9371948321753487E-2</v>
      </c>
      <c r="Y104" t="s">
        <v>73</v>
      </c>
      <c r="AA104" t="s">
        <v>139</v>
      </c>
      <c r="AB104" t="s">
        <v>94</v>
      </c>
      <c r="AC104">
        <v>3.2174512727481022E-2</v>
      </c>
      <c r="AD104" t="s">
        <v>73</v>
      </c>
    </row>
    <row r="105" spans="17:30" x14ac:dyDescent="0.25">
      <c r="Q105" t="s">
        <v>99</v>
      </c>
      <c r="R105" t="s">
        <v>95</v>
      </c>
      <c r="S105">
        <v>3.4469816725973421E-2</v>
      </c>
      <c r="T105" t="s">
        <v>73</v>
      </c>
      <c r="V105" t="s">
        <v>119</v>
      </c>
      <c r="W105" t="s">
        <v>95</v>
      </c>
      <c r="X105">
        <v>3.2386303987183909E-2</v>
      </c>
      <c r="Y105" t="s">
        <v>73</v>
      </c>
      <c r="AA105" t="s">
        <v>139</v>
      </c>
      <c r="AB105" t="s">
        <v>95</v>
      </c>
      <c r="AC105">
        <v>3.1596071524033507E-2</v>
      </c>
      <c r="AD105" t="s">
        <v>73</v>
      </c>
    </row>
    <row r="106" spans="17:30" x14ac:dyDescent="0.25">
      <c r="Q106" t="s">
        <v>99</v>
      </c>
      <c r="R106" t="s">
        <v>96</v>
      </c>
      <c r="S106">
        <v>2.4934388440782285E-3</v>
      </c>
      <c r="T106" t="s">
        <v>73</v>
      </c>
      <c r="V106" t="s">
        <v>119</v>
      </c>
      <c r="W106" t="s">
        <v>96</v>
      </c>
      <c r="X106">
        <v>3.6353078729938405E-2</v>
      </c>
      <c r="Y106" t="s">
        <v>73</v>
      </c>
      <c r="AA106" t="s">
        <v>139</v>
      </c>
      <c r="AB106" t="s">
        <v>96</v>
      </c>
      <c r="AC106">
        <v>3.1974862721192474E-2</v>
      </c>
      <c r="AD106" t="s">
        <v>73</v>
      </c>
    </row>
    <row r="107" spans="17:30" x14ac:dyDescent="0.25">
      <c r="Q107" t="s">
        <v>100</v>
      </c>
      <c r="R107" t="s">
        <v>72</v>
      </c>
      <c r="S107">
        <v>0</v>
      </c>
      <c r="T107" t="s">
        <v>73</v>
      </c>
      <c r="V107" t="s">
        <v>120</v>
      </c>
      <c r="W107" t="s">
        <v>72</v>
      </c>
      <c r="X107">
        <v>0.11542533816091194</v>
      </c>
      <c r="Y107" t="s">
        <v>73</v>
      </c>
      <c r="AA107" t="s">
        <v>140</v>
      </c>
      <c r="AB107" t="s">
        <v>72</v>
      </c>
      <c r="AC107">
        <v>9.810377374942722E-2</v>
      </c>
      <c r="AD107" t="s">
        <v>73</v>
      </c>
    </row>
    <row r="108" spans="17:30" x14ac:dyDescent="0.25">
      <c r="Q108" t="s">
        <v>100</v>
      </c>
      <c r="R108" t="s">
        <v>74</v>
      </c>
      <c r="S108">
        <v>4.3088948751414711E-4</v>
      </c>
      <c r="T108" t="s">
        <v>73</v>
      </c>
      <c r="V108" t="s">
        <v>120</v>
      </c>
      <c r="W108" t="s">
        <v>74</v>
      </c>
      <c r="X108">
        <v>5.8253965656412401E-2</v>
      </c>
      <c r="Y108" t="s">
        <v>73</v>
      </c>
      <c r="AA108" t="s">
        <v>140</v>
      </c>
      <c r="AB108" t="s">
        <v>74</v>
      </c>
      <c r="AC108">
        <v>4.9477992447416637E-2</v>
      </c>
      <c r="AD108" t="s">
        <v>73</v>
      </c>
    </row>
    <row r="109" spans="17:30" x14ac:dyDescent="0.25">
      <c r="Q109" t="s">
        <v>100</v>
      </c>
      <c r="R109" t="s">
        <v>75</v>
      </c>
      <c r="S109">
        <v>2.3735052064540164E-2</v>
      </c>
      <c r="T109" t="s">
        <v>73</v>
      </c>
      <c r="V109" t="s">
        <v>120</v>
      </c>
      <c r="W109" t="s">
        <v>75</v>
      </c>
      <c r="X109">
        <v>4.1162834234894877E-2</v>
      </c>
      <c r="Y109" t="s">
        <v>73</v>
      </c>
      <c r="AA109" t="s">
        <v>140</v>
      </c>
      <c r="AB109" t="s">
        <v>75</v>
      </c>
      <c r="AC109">
        <v>3.8014801757969029E-2</v>
      </c>
      <c r="AD109" t="s">
        <v>73</v>
      </c>
    </row>
    <row r="110" spans="17:30" x14ac:dyDescent="0.25">
      <c r="Q110" t="s">
        <v>100</v>
      </c>
      <c r="R110" t="s">
        <v>76</v>
      </c>
      <c r="S110">
        <v>3.2046920474095339E-2</v>
      </c>
      <c r="T110" t="s">
        <v>73</v>
      </c>
      <c r="V110" t="s">
        <v>120</v>
      </c>
      <c r="W110" t="s">
        <v>76</v>
      </c>
      <c r="X110">
        <v>3.8008285273596364E-2</v>
      </c>
      <c r="Y110" t="s">
        <v>73</v>
      </c>
      <c r="AA110" t="s">
        <v>140</v>
      </c>
      <c r="AB110" t="s">
        <v>76</v>
      </c>
      <c r="AC110">
        <v>3.6806493538728662E-2</v>
      </c>
      <c r="AD110" t="s">
        <v>73</v>
      </c>
    </row>
    <row r="111" spans="17:30" x14ac:dyDescent="0.25">
      <c r="Q111" t="s">
        <v>100</v>
      </c>
      <c r="R111" t="s">
        <v>77</v>
      </c>
      <c r="S111">
        <v>1.1382782577225499E-2</v>
      </c>
      <c r="T111" t="s">
        <v>73</v>
      </c>
      <c r="V111" t="s">
        <v>120</v>
      </c>
      <c r="W111" t="s">
        <v>77</v>
      </c>
      <c r="X111">
        <v>4.1078218864477878E-2</v>
      </c>
      <c r="Y111" t="s">
        <v>73</v>
      </c>
      <c r="AA111" t="s">
        <v>140</v>
      </c>
      <c r="AB111" t="s">
        <v>77</v>
      </c>
      <c r="AC111">
        <v>3.7312170486242829E-2</v>
      </c>
      <c r="AD111" t="s">
        <v>73</v>
      </c>
    </row>
    <row r="112" spans="17:30" x14ac:dyDescent="0.25">
      <c r="Q112" t="s">
        <v>100</v>
      </c>
      <c r="R112" t="s">
        <v>78</v>
      </c>
      <c r="S112">
        <v>0</v>
      </c>
      <c r="T112" t="s">
        <v>73</v>
      </c>
      <c r="V112" t="s">
        <v>120</v>
      </c>
      <c r="W112" t="s">
        <v>78</v>
      </c>
      <c r="X112">
        <v>4.453255149952233E-2</v>
      </c>
      <c r="Y112" t="s">
        <v>73</v>
      </c>
      <c r="AA112" t="s">
        <v>140</v>
      </c>
      <c r="AB112" t="s">
        <v>78</v>
      </c>
      <c r="AC112">
        <v>3.8160356760893958E-2</v>
      </c>
      <c r="AD112" t="s">
        <v>73</v>
      </c>
    </row>
    <row r="113" spans="17:30" x14ac:dyDescent="0.25">
      <c r="Q113" t="s">
        <v>100</v>
      </c>
      <c r="R113" t="s">
        <v>79</v>
      </c>
      <c r="S113">
        <v>0</v>
      </c>
      <c r="T113" t="s">
        <v>73</v>
      </c>
      <c r="V113" t="s">
        <v>120</v>
      </c>
      <c r="W113" t="s">
        <v>79</v>
      </c>
      <c r="X113">
        <v>9.4913788562520363E-2</v>
      </c>
      <c r="Y113" t="s">
        <v>73</v>
      </c>
      <c r="AA113" t="s">
        <v>140</v>
      </c>
      <c r="AB113" t="s">
        <v>79</v>
      </c>
      <c r="AC113">
        <v>9.4327096879022243E-2</v>
      </c>
      <c r="AD113" t="s">
        <v>73</v>
      </c>
    </row>
    <row r="114" spans="17:30" x14ac:dyDescent="0.25">
      <c r="Q114" t="s">
        <v>100</v>
      </c>
      <c r="R114" t="s">
        <v>80</v>
      </c>
      <c r="S114">
        <v>4.88591808257108E-2</v>
      </c>
      <c r="T114" t="s">
        <v>73</v>
      </c>
      <c r="V114" t="s">
        <v>120</v>
      </c>
      <c r="W114" t="s">
        <v>80</v>
      </c>
      <c r="X114">
        <v>4.1351522594305155E-2</v>
      </c>
      <c r="Y114" t="s">
        <v>73</v>
      </c>
      <c r="AA114" t="s">
        <v>140</v>
      </c>
      <c r="AB114" t="s">
        <v>80</v>
      </c>
      <c r="AC114">
        <v>4.356747896045908E-2</v>
      </c>
      <c r="AD114" t="s">
        <v>73</v>
      </c>
    </row>
    <row r="115" spans="17:30" x14ac:dyDescent="0.25">
      <c r="Q115" t="s">
        <v>100</v>
      </c>
      <c r="R115" t="s">
        <v>81</v>
      </c>
      <c r="S115">
        <v>0.10536492415942117</v>
      </c>
      <c r="T115" t="s">
        <v>73</v>
      </c>
      <c r="V115" t="s">
        <v>120</v>
      </c>
      <c r="W115" t="s">
        <v>81</v>
      </c>
      <c r="X115">
        <v>2.7182120011560746E-2</v>
      </c>
      <c r="Y115" t="s">
        <v>73</v>
      </c>
      <c r="AA115" t="s">
        <v>140</v>
      </c>
      <c r="AB115" t="s">
        <v>81</v>
      </c>
      <c r="AC115">
        <v>3.1474052526488577E-2</v>
      </c>
      <c r="AD115" t="s">
        <v>73</v>
      </c>
    </row>
    <row r="116" spans="17:30" x14ac:dyDescent="0.25">
      <c r="Q116" t="s">
        <v>100</v>
      </c>
      <c r="R116" t="s">
        <v>82</v>
      </c>
      <c r="S116">
        <v>0.10288430124381027</v>
      </c>
      <c r="T116" t="s">
        <v>73</v>
      </c>
      <c r="V116" t="s">
        <v>120</v>
      </c>
      <c r="W116" t="s">
        <v>82</v>
      </c>
      <c r="X116">
        <v>2.9261823507531121E-2</v>
      </c>
      <c r="Y116" t="s">
        <v>73</v>
      </c>
      <c r="AA116" t="s">
        <v>140</v>
      </c>
      <c r="AB116" t="s">
        <v>82</v>
      </c>
      <c r="AC116">
        <v>3.0292126158679433E-2</v>
      </c>
      <c r="AD116" t="s">
        <v>73</v>
      </c>
    </row>
    <row r="117" spans="17:30" x14ac:dyDescent="0.25">
      <c r="Q117" t="s">
        <v>100</v>
      </c>
      <c r="R117" t="s">
        <v>83</v>
      </c>
      <c r="S117">
        <v>7.4853567421306069E-2</v>
      </c>
      <c r="T117" t="s">
        <v>73</v>
      </c>
      <c r="V117" t="s">
        <v>120</v>
      </c>
      <c r="W117" t="s">
        <v>83</v>
      </c>
      <c r="X117">
        <v>3.0781233617724352E-2</v>
      </c>
      <c r="Y117" t="s">
        <v>73</v>
      </c>
      <c r="AA117" t="s">
        <v>140</v>
      </c>
      <c r="AB117" t="s">
        <v>83</v>
      </c>
      <c r="AC117">
        <v>3.2969594736660952E-2</v>
      </c>
      <c r="AD117" t="s">
        <v>73</v>
      </c>
    </row>
    <row r="118" spans="17:30" x14ac:dyDescent="0.25">
      <c r="Q118" t="s">
        <v>100</v>
      </c>
      <c r="R118" t="s">
        <v>84</v>
      </c>
      <c r="S118">
        <v>1.6952283168290609E-2</v>
      </c>
      <c r="T118" t="s">
        <v>73</v>
      </c>
      <c r="V118" t="s">
        <v>120</v>
      </c>
      <c r="W118" t="s">
        <v>84</v>
      </c>
      <c r="X118">
        <v>3.5138344510162969E-2</v>
      </c>
      <c r="Y118" t="s">
        <v>73</v>
      </c>
      <c r="AA118" t="s">
        <v>140</v>
      </c>
      <c r="AB118" t="s">
        <v>84</v>
      </c>
      <c r="AC118">
        <v>3.5519075670862078E-2</v>
      </c>
      <c r="AD118" t="s">
        <v>73</v>
      </c>
    </row>
    <row r="119" spans="17:30" x14ac:dyDescent="0.25">
      <c r="Q119" t="s">
        <v>100</v>
      </c>
      <c r="R119" t="s">
        <v>85</v>
      </c>
      <c r="S119">
        <v>0</v>
      </c>
      <c r="T119" t="s">
        <v>73</v>
      </c>
      <c r="V119" t="s">
        <v>120</v>
      </c>
      <c r="W119" t="s">
        <v>85</v>
      </c>
      <c r="X119">
        <v>5.258176313447066E-2</v>
      </c>
      <c r="Y119" t="s">
        <v>73</v>
      </c>
      <c r="AA119" t="s">
        <v>140</v>
      </c>
      <c r="AB119" t="s">
        <v>85</v>
      </c>
      <c r="AC119">
        <v>5.9310935061468645E-2</v>
      </c>
      <c r="AD119" t="s">
        <v>73</v>
      </c>
    </row>
    <row r="120" spans="17:30" x14ac:dyDescent="0.25">
      <c r="Q120" t="s">
        <v>100</v>
      </c>
      <c r="R120" t="s">
        <v>86</v>
      </c>
      <c r="S120">
        <v>7.4121577522012247E-2</v>
      </c>
      <c r="T120" t="s">
        <v>73</v>
      </c>
      <c r="V120" t="s">
        <v>120</v>
      </c>
      <c r="W120" t="s">
        <v>86</v>
      </c>
      <c r="X120">
        <v>2.0060210828377514E-2</v>
      </c>
      <c r="Y120" t="s">
        <v>73</v>
      </c>
      <c r="AA120" t="s">
        <v>140</v>
      </c>
      <c r="AB120" t="s">
        <v>86</v>
      </c>
      <c r="AC120">
        <v>2.8073274577203707E-2</v>
      </c>
      <c r="AD120" t="s">
        <v>73</v>
      </c>
    </row>
    <row r="121" spans="17:30" x14ac:dyDescent="0.25">
      <c r="Q121" t="s">
        <v>100</v>
      </c>
      <c r="R121" t="s">
        <v>87</v>
      </c>
      <c r="S121">
        <v>0.11219264395197576</v>
      </c>
      <c r="T121" t="s">
        <v>73</v>
      </c>
      <c r="V121" t="s">
        <v>120</v>
      </c>
      <c r="W121" t="s">
        <v>87</v>
      </c>
      <c r="X121">
        <v>1.4735823043301522E-2</v>
      </c>
      <c r="Y121" t="s">
        <v>73</v>
      </c>
      <c r="AA121" t="s">
        <v>140</v>
      </c>
      <c r="AB121" t="s">
        <v>87</v>
      </c>
      <c r="AC121">
        <v>2.0183268914708903E-2</v>
      </c>
      <c r="AD121" t="s">
        <v>73</v>
      </c>
    </row>
    <row r="122" spans="17:30" x14ac:dyDescent="0.25">
      <c r="Q122" t="s">
        <v>100</v>
      </c>
      <c r="R122" t="s">
        <v>88</v>
      </c>
      <c r="S122">
        <v>0.10998952892224012</v>
      </c>
      <c r="T122" t="s">
        <v>73</v>
      </c>
      <c r="V122" t="s">
        <v>120</v>
      </c>
      <c r="W122" t="s">
        <v>88</v>
      </c>
      <c r="X122">
        <v>1.7109688226681144E-2</v>
      </c>
      <c r="Y122" t="s">
        <v>73</v>
      </c>
      <c r="AA122" t="s">
        <v>140</v>
      </c>
      <c r="AB122" t="s">
        <v>88</v>
      </c>
      <c r="AC122">
        <v>2.1015574213457004E-2</v>
      </c>
      <c r="AD122" t="s">
        <v>73</v>
      </c>
    </row>
    <row r="123" spans="17:30" x14ac:dyDescent="0.25">
      <c r="Q123" t="s">
        <v>100</v>
      </c>
      <c r="R123" t="s">
        <v>89</v>
      </c>
      <c r="S123">
        <v>9.0704821093788579E-2</v>
      </c>
      <c r="T123" t="s">
        <v>73</v>
      </c>
      <c r="V123" t="s">
        <v>120</v>
      </c>
      <c r="W123" t="s">
        <v>89</v>
      </c>
      <c r="X123">
        <v>1.9492522297351503E-2</v>
      </c>
      <c r="Y123" t="s">
        <v>73</v>
      </c>
      <c r="AA123" t="s">
        <v>140</v>
      </c>
      <c r="AB123" t="s">
        <v>89</v>
      </c>
      <c r="AC123">
        <v>2.2883551343768026E-2</v>
      </c>
      <c r="AD123" t="s">
        <v>73</v>
      </c>
    </row>
    <row r="124" spans="17:30" x14ac:dyDescent="0.25">
      <c r="Q124" t="s">
        <v>100</v>
      </c>
      <c r="R124" t="s">
        <v>90</v>
      </c>
      <c r="S124">
        <v>3.6126061933050339E-2</v>
      </c>
      <c r="T124" t="s">
        <v>73</v>
      </c>
      <c r="V124" t="s">
        <v>120</v>
      </c>
      <c r="W124" t="s">
        <v>90</v>
      </c>
      <c r="X124">
        <v>1.8698290048233326E-2</v>
      </c>
      <c r="Y124" t="s">
        <v>73</v>
      </c>
      <c r="AA124" t="s">
        <v>140</v>
      </c>
      <c r="AB124" t="s">
        <v>90</v>
      </c>
      <c r="AC124">
        <v>2.1961623790004169E-2</v>
      </c>
      <c r="AD124" t="s">
        <v>73</v>
      </c>
    </row>
    <row r="125" spans="17:30" x14ac:dyDescent="0.25">
      <c r="Q125" t="s">
        <v>100</v>
      </c>
      <c r="R125" t="s">
        <v>91</v>
      </c>
      <c r="S125">
        <v>0</v>
      </c>
      <c r="T125" t="s">
        <v>73</v>
      </c>
      <c r="V125" t="s">
        <v>120</v>
      </c>
      <c r="W125" t="s">
        <v>91</v>
      </c>
      <c r="X125">
        <v>9.1239351947302372E-2</v>
      </c>
      <c r="Y125" t="s">
        <v>73</v>
      </c>
      <c r="AA125" t="s">
        <v>140</v>
      </c>
      <c r="AB125" t="s">
        <v>91</v>
      </c>
      <c r="AC125">
        <v>8.530795168491441E-2</v>
      </c>
      <c r="AD125" t="s">
        <v>73</v>
      </c>
    </row>
    <row r="126" spans="17:30" x14ac:dyDescent="0.25">
      <c r="Q126" t="s">
        <v>100</v>
      </c>
      <c r="R126" t="s">
        <v>92</v>
      </c>
      <c r="S126">
        <v>1.6492207091872747E-2</v>
      </c>
      <c r="T126" t="s">
        <v>73</v>
      </c>
      <c r="V126" t="s">
        <v>120</v>
      </c>
      <c r="W126" t="s">
        <v>92</v>
      </c>
      <c r="X126">
        <v>4.2803843187548631E-2</v>
      </c>
      <c r="Y126" t="s">
        <v>73</v>
      </c>
      <c r="AA126" t="s">
        <v>140</v>
      </c>
      <c r="AB126" t="s">
        <v>92</v>
      </c>
      <c r="AC126">
        <v>4.3362745476161188E-2</v>
      </c>
      <c r="AD126" t="s">
        <v>73</v>
      </c>
    </row>
    <row r="127" spans="17:30" x14ac:dyDescent="0.25">
      <c r="Q127" t="s">
        <v>100</v>
      </c>
      <c r="R127" t="s">
        <v>93</v>
      </c>
      <c r="S127">
        <v>5.485221899436641E-2</v>
      </c>
      <c r="T127" t="s">
        <v>73</v>
      </c>
      <c r="V127" t="s">
        <v>120</v>
      </c>
      <c r="W127" t="s">
        <v>93</v>
      </c>
      <c r="X127">
        <v>2.9683677611796359E-2</v>
      </c>
      <c r="Y127" t="s">
        <v>73</v>
      </c>
      <c r="AA127" t="s">
        <v>140</v>
      </c>
      <c r="AB127" t="s">
        <v>93</v>
      </c>
      <c r="AC127">
        <v>3.3509642781887596E-2</v>
      </c>
      <c r="AD127" t="s">
        <v>73</v>
      </c>
    </row>
    <row r="128" spans="17:30" x14ac:dyDescent="0.25">
      <c r="Q128" t="s">
        <v>100</v>
      </c>
      <c r="R128" t="s">
        <v>94</v>
      </c>
      <c r="S128">
        <v>5.5248193520271993E-2</v>
      </c>
      <c r="T128" t="s">
        <v>73</v>
      </c>
      <c r="V128" t="s">
        <v>120</v>
      </c>
      <c r="W128" t="s">
        <v>94</v>
      </c>
      <c r="X128">
        <v>2.9315464450953056E-2</v>
      </c>
      <c r="Y128" t="s">
        <v>73</v>
      </c>
      <c r="AA128" t="s">
        <v>140</v>
      </c>
      <c r="AB128" t="s">
        <v>94</v>
      </c>
      <c r="AC128">
        <v>3.2807680802995426E-2</v>
      </c>
      <c r="AD128" t="s">
        <v>73</v>
      </c>
    </row>
    <row r="129" spans="17:30" x14ac:dyDescent="0.25">
      <c r="Q129" t="s">
        <v>100</v>
      </c>
      <c r="R129" t="s">
        <v>95</v>
      </c>
      <c r="S129">
        <v>3.1733493599967653E-2</v>
      </c>
      <c r="T129" t="s">
        <v>73</v>
      </c>
      <c r="V129" t="s">
        <v>120</v>
      </c>
      <c r="W129" t="s">
        <v>95</v>
      </c>
      <c r="X129">
        <v>3.2127209722843365E-2</v>
      </c>
      <c r="Y129" t="s">
        <v>73</v>
      </c>
      <c r="AA129" t="s">
        <v>140</v>
      </c>
      <c r="AB129" t="s">
        <v>95</v>
      </c>
      <c r="AC129">
        <v>3.2532567676076894E-2</v>
      </c>
      <c r="AD129" t="s">
        <v>73</v>
      </c>
    </row>
    <row r="130" spans="17:30" x14ac:dyDescent="0.25">
      <c r="Q130" t="s">
        <v>100</v>
      </c>
      <c r="R130" t="s">
        <v>96</v>
      </c>
      <c r="S130">
        <v>2.0293519485407386E-3</v>
      </c>
      <c r="T130" t="s">
        <v>73</v>
      </c>
      <c r="V130" t="s">
        <v>120</v>
      </c>
      <c r="W130" t="s">
        <v>96</v>
      </c>
      <c r="X130">
        <v>3.5062129007524527E-2</v>
      </c>
      <c r="Y130" t="s">
        <v>73</v>
      </c>
      <c r="AA130" t="s">
        <v>140</v>
      </c>
      <c r="AB130" t="s">
        <v>96</v>
      </c>
      <c r="AC130">
        <v>3.302617000450276E-2</v>
      </c>
      <c r="AD130" t="s">
        <v>73</v>
      </c>
    </row>
    <row r="131" spans="17:30" x14ac:dyDescent="0.25">
      <c r="Q131" t="s">
        <v>101</v>
      </c>
      <c r="R131" t="s">
        <v>72</v>
      </c>
      <c r="S131">
        <v>0</v>
      </c>
      <c r="T131" t="s">
        <v>73</v>
      </c>
      <c r="V131" t="s">
        <v>121</v>
      </c>
      <c r="W131" t="s">
        <v>72</v>
      </c>
      <c r="X131">
        <v>0.11336015767182715</v>
      </c>
      <c r="Y131" t="s">
        <v>73</v>
      </c>
      <c r="AA131" t="s">
        <v>141</v>
      </c>
      <c r="AB131" t="s">
        <v>72</v>
      </c>
      <c r="AC131">
        <v>9.9470467815291216E-2</v>
      </c>
      <c r="AD131" t="s">
        <v>73</v>
      </c>
    </row>
    <row r="132" spans="17:30" x14ac:dyDescent="0.25">
      <c r="Q132" t="s">
        <v>101</v>
      </c>
      <c r="R132" t="s">
        <v>74</v>
      </c>
      <c r="S132">
        <v>1.056632404288862E-3</v>
      </c>
      <c r="T132" t="s">
        <v>73</v>
      </c>
      <c r="V132" t="s">
        <v>121</v>
      </c>
      <c r="W132" t="s">
        <v>74</v>
      </c>
      <c r="X132">
        <v>5.6173181436349078E-2</v>
      </c>
      <c r="Y132" t="s">
        <v>73</v>
      </c>
      <c r="AA132" t="s">
        <v>141</v>
      </c>
      <c r="AB132" t="s">
        <v>74</v>
      </c>
      <c r="AC132">
        <v>5.0393432316437253E-2</v>
      </c>
      <c r="AD132" t="s">
        <v>73</v>
      </c>
    </row>
    <row r="133" spans="17:30" x14ac:dyDescent="0.25">
      <c r="Q133" t="s">
        <v>101</v>
      </c>
      <c r="R133" t="s">
        <v>75</v>
      </c>
      <c r="S133">
        <v>2.4630723406489689E-2</v>
      </c>
      <c r="T133" t="s">
        <v>73</v>
      </c>
      <c r="V133" t="s">
        <v>121</v>
      </c>
      <c r="W133" t="s">
        <v>75</v>
      </c>
      <c r="X133">
        <v>4.0365884812208062E-2</v>
      </c>
      <c r="Y133" t="s">
        <v>73</v>
      </c>
      <c r="AA133" t="s">
        <v>141</v>
      </c>
      <c r="AB133" t="s">
        <v>75</v>
      </c>
      <c r="AC133">
        <v>3.8182447123438296E-2</v>
      </c>
      <c r="AD133" t="s">
        <v>73</v>
      </c>
    </row>
    <row r="134" spans="17:30" x14ac:dyDescent="0.25">
      <c r="Q134" t="s">
        <v>101</v>
      </c>
      <c r="R134" t="s">
        <v>76</v>
      </c>
      <c r="S134">
        <v>3.0503301832691246E-2</v>
      </c>
      <c r="T134" t="s">
        <v>73</v>
      </c>
      <c r="V134" t="s">
        <v>121</v>
      </c>
      <c r="W134" t="s">
        <v>76</v>
      </c>
      <c r="X134">
        <v>3.8359823320797015E-2</v>
      </c>
      <c r="Y134" t="s">
        <v>73</v>
      </c>
      <c r="AA134" t="s">
        <v>141</v>
      </c>
      <c r="AB134" t="s">
        <v>76</v>
      </c>
      <c r="AC134">
        <v>3.7337467027044595E-2</v>
      </c>
      <c r="AD134" t="s">
        <v>73</v>
      </c>
    </row>
    <row r="135" spans="17:30" x14ac:dyDescent="0.25">
      <c r="Q135" t="s">
        <v>101</v>
      </c>
      <c r="R135" t="s">
        <v>77</v>
      </c>
      <c r="S135">
        <v>9.0219911034858623E-3</v>
      </c>
      <c r="T135" t="s">
        <v>73</v>
      </c>
      <c r="V135" t="s">
        <v>121</v>
      </c>
      <c r="W135" t="s">
        <v>77</v>
      </c>
      <c r="X135">
        <v>4.1627629277802315E-2</v>
      </c>
      <c r="Y135" t="s">
        <v>73</v>
      </c>
      <c r="AA135" t="s">
        <v>141</v>
      </c>
      <c r="AB135" t="s">
        <v>77</v>
      </c>
      <c r="AC135">
        <v>3.8614713553813441E-2</v>
      </c>
      <c r="AD135" t="s">
        <v>73</v>
      </c>
    </row>
    <row r="136" spans="17:30" x14ac:dyDescent="0.25">
      <c r="Q136" t="s">
        <v>101</v>
      </c>
      <c r="R136" t="s">
        <v>78</v>
      </c>
      <c r="S136">
        <v>0</v>
      </c>
      <c r="T136" t="s">
        <v>73</v>
      </c>
      <c r="V136" t="s">
        <v>121</v>
      </c>
      <c r="W136" t="s">
        <v>78</v>
      </c>
      <c r="X136">
        <v>4.4352128025700585E-2</v>
      </c>
      <c r="Y136" t="s">
        <v>73</v>
      </c>
      <c r="AA136" t="s">
        <v>141</v>
      </c>
      <c r="AB136" t="s">
        <v>78</v>
      </c>
      <c r="AC136">
        <v>3.9519148824647916E-2</v>
      </c>
      <c r="AD136" t="s">
        <v>73</v>
      </c>
    </row>
    <row r="137" spans="17:30" x14ac:dyDescent="0.25">
      <c r="Q137" t="s">
        <v>101</v>
      </c>
      <c r="R137" t="s">
        <v>79</v>
      </c>
      <c r="S137">
        <v>9.3265561241735604E-5</v>
      </c>
      <c r="T137" t="s">
        <v>73</v>
      </c>
      <c r="V137" t="s">
        <v>121</v>
      </c>
      <c r="W137" t="s">
        <v>79</v>
      </c>
      <c r="X137">
        <v>9.9744680297840935E-2</v>
      </c>
      <c r="Y137" t="s">
        <v>73</v>
      </c>
      <c r="AA137" t="s">
        <v>141</v>
      </c>
      <c r="AB137" t="s">
        <v>79</v>
      </c>
      <c r="AC137">
        <v>9.2995504320861691E-2</v>
      </c>
      <c r="AD137" t="s">
        <v>73</v>
      </c>
    </row>
    <row r="138" spans="17:30" x14ac:dyDescent="0.25">
      <c r="Q138" t="s">
        <v>101</v>
      </c>
      <c r="R138" t="s">
        <v>80</v>
      </c>
      <c r="S138">
        <v>6.1243390901706267E-2</v>
      </c>
      <c r="T138" t="s">
        <v>73</v>
      </c>
      <c r="V138" t="s">
        <v>121</v>
      </c>
      <c r="W138" t="s">
        <v>80</v>
      </c>
      <c r="X138">
        <v>4.4895999855655296E-2</v>
      </c>
      <c r="Y138" t="s">
        <v>73</v>
      </c>
      <c r="AA138" t="s">
        <v>141</v>
      </c>
      <c r="AB138" t="s">
        <v>80</v>
      </c>
      <c r="AC138">
        <v>4.3281887071487203E-2</v>
      </c>
      <c r="AD138" t="s">
        <v>73</v>
      </c>
    </row>
    <row r="139" spans="17:30" x14ac:dyDescent="0.25">
      <c r="Q139" t="s">
        <v>101</v>
      </c>
      <c r="R139" t="s">
        <v>81</v>
      </c>
      <c r="S139">
        <v>0.11179385219971535</v>
      </c>
      <c r="T139" t="s">
        <v>73</v>
      </c>
      <c r="V139" t="s">
        <v>121</v>
      </c>
      <c r="W139" t="s">
        <v>81</v>
      </c>
      <c r="X139">
        <v>2.6760997242260148E-2</v>
      </c>
      <c r="Y139" t="s">
        <v>73</v>
      </c>
      <c r="AA139" t="s">
        <v>141</v>
      </c>
      <c r="AB139" t="s">
        <v>81</v>
      </c>
      <c r="AC139">
        <v>3.1241817765947814E-2</v>
      </c>
      <c r="AD139" t="s">
        <v>73</v>
      </c>
    </row>
    <row r="140" spans="17:30" x14ac:dyDescent="0.25">
      <c r="Q140" t="s">
        <v>101</v>
      </c>
      <c r="R140" t="s">
        <v>82</v>
      </c>
      <c r="S140">
        <v>0.10564499997595854</v>
      </c>
      <c r="T140" t="s">
        <v>73</v>
      </c>
      <c r="V140" t="s">
        <v>121</v>
      </c>
      <c r="W140" t="s">
        <v>82</v>
      </c>
      <c r="X140">
        <v>2.6704128287362666E-2</v>
      </c>
      <c r="Y140" t="s">
        <v>73</v>
      </c>
      <c r="AA140" t="s">
        <v>141</v>
      </c>
      <c r="AB140" t="s">
        <v>82</v>
      </c>
      <c r="AC140">
        <v>3.0405770203396965E-2</v>
      </c>
      <c r="AD140" t="s">
        <v>73</v>
      </c>
    </row>
    <row r="141" spans="17:30" x14ac:dyDescent="0.25">
      <c r="Q141" t="s">
        <v>101</v>
      </c>
      <c r="R141" t="s">
        <v>83</v>
      </c>
      <c r="S141">
        <v>7.8196982768197462E-2</v>
      </c>
      <c r="T141" t="s">
        <v>73</v>
      </c>
      <c r="V141" t="s">
        <v>121</v>
      </c>
      <c r="W141" t="s">
        <v>83</v>
      </c>
      <c r="X141">
        <v>2.8723945665654074E-2</v>
      </c>
      <c r="Y141" t="s">
        <v>73</v>
      </c>
      <c r="AA141" t="s">
        <v>141</v>
      </c>
      <c r="AB141" t="s">
        <v>83</v>
      </c>
      <c r="AC141">
        <v>3.2589523256815828E-2</v>
      </c>
      <c r="AD141" t="s">
        <v>73</v>
      </c>
    </row>
    <row r="142" spans="17:30" x14ac:dyDescent="0.25">
      <c r="Q142" t="s">
        <v>101</v>
      </c>
      <c r="R142" t="s">
        <v>84</v>
      </c>
      <c r="S142">
        <v>1.4934971252471955E-2</v>
      </c>
      <c r="T142" t="s">
        <v>73</v>
      </c>
      <c r="V142" t="s">
        <v>121</v>
      </c>
      <c r="W142" t="s">
        <v>84</v>
      </c>
      <c r="X142">
        <v>3.3202697537587068E-2</v>
      </c>
      <c r="Y142" t="s">
        <v>73</v>
      </c>
      <c r="AA142" t="s">
        <v>141</v>
      </c>
      <c r="AB142" t="s">
        <v>84</v>
      </c>
      <c r="AC142">
        <v>3.4223006754966402E-2</v>
      </c>
      <c r="AD142" t="s">
        <v>73</v>
      </c>
    </row>
    <row r="143" spans="17:30" x14ac:dyDescent="0.25">
      <c r="Q143" t="s">
        <v>101</v>
      </c>
      <c r="R143" t="s">
        <v>85</v>
      </c>
      <c r="S143">
        <v>1.1667786578062778E-3</v>
      </c>
      <c r="T143" t="s">
        <v>73</v>
      </c>
      <c r="V143" t="s">
        <v>121</v>
      </c>
      <c r="W143" t="s">
        <v>85</v>
      </c>
      <c r="X143">
        <v>5.4203715734772805E-2</v>
      </c>
      <c r="Y143" t="s">
        <v>73</v>
      </c>
      <c r="AA143" t="s">
        <v>141</v>
      </c>
      <c r="AB143" t="s">
        <v>85</v>
      </c>
      <c r="AC143">
        <v>5.8302016678717671E-2</v>
      </c>
      <c r="AD143" t="s">
        <v>73</v>
      </c>
    </row>
    <row r="144" spans="17:30" x14ac:dyDescent="0.25">
      <c r="Q144" t="s">
        <v>101</v>
      </c>
      <c r="R144" t="s">
        <v>86</v>
      </c>
      <c r="S144">
        <v>7.9680767985267589E-2</v>
      </c>
      <c r="T144" t="s">
        <v>73</v>
      </c>
      <c r="V144" t="s">
        <v>121</v>
      </c>
      <c r="W144" t="s">
        <v>86</v>
      </c>
      <c r="X144">
        <v>1.9949000056382532E-2</v>
      </c>
      <c r="Y144" t="s">
        <v>73</v>
      </c>
      <c r="AA144" t="s">
        <v>141</v>
      </c>
      <c r="AB144" t="s">
        <v>86</v>
      </c>
      <c r="AC144">
        <v>2.842983059273026E-2</v>
      </c>
      <c r="AD144" t="s">
        <v>73</v>
      </c>
    </row>
    <row r="145" spans="17:30" x14ac:dyDescent="0.25">
      <c r="Q145" t="s">
        <v>101</v>
      </c>
      <c r="R145" t="s">
        <v>87</v>
      </c>
      <c r="S145">
        <v>0.10873573335789836</v>
      </c>
      <c r="T145" t="s">
        <v>73</v>
      </c>
      <c r="V145" t="s">
        <v>121</v>
      </c>
      <c r="W145" t="s">
        <v>87</v>
      </c>
      <c r="X145">
        <v>1.459377404360873E-2</v>
      </c>
      <c r="Y145" t="s">
        <v>73</v>
      </c>
      <c r="AA145" t="s">
        <v>141</v>
      </c>
      <c r="AB145" t="s">
        <v>87</v>
      </c>
      <c r="AC145">
        <v>2.0484069708667705E-2</v>
      </c>
      <c r="AD145" t="s">
        <v>73</v>
      </c>
    </row>
    <row r="146" spans="17:30" x14ac:dyDescent="0.25">
      <c r="Q146" t="s">
        <v>101</v>
      </c>
      <c r="R146" t="s">
        <v>88</v>
      </c>
      <c r="S146">
        <v>0.10591277929390298</v>
      </c>
      <c r="T146" t="s">
        <v>73</v>
      </c>
      <c r="V146" t="s">
        <v>121</v>
      </c>
      <c r="W146" t="s">
        <v>88</v>
      </c>
      <c r="X146">
        <v>1.627658064335321E-2</v>
      </c>
      <c r="Y146" t="s">
        <v>73</v>
      </c>
      <c r="AA146" t="s">
        <v>141</v>
      </c>
      <c r="AB146" t="s">
        <v>88</v>
      </c>
      <c r="AC146">
        <v>2.1591042971602255E-2</v>
      </c>
      <c r="AD146" t="s">
        <v>73</v>
      </c>
    </row>
    <row r="147" spans="17:30" x14ac:dyDescent="0.25">
      <c r="Q147" t="s">
        <v>101</v>
      </c>
      <c r="R147" t="s">
        <v>89</v>
      </c>
      <c r="S147">
        <v>8.7284064661611954E-2</v>
      </c>
      <c r="T147" t="s">
        <v>73</v>
      </c>
      <c r="V147" t="s">
        <v>121</v>
      </c>
      <c r="W147" t="s">
        <v>89</v>
      </c>
      <c r="X147">
        <v>1.7871317045179816E-2</v>
      </c>
      <c r="Y147" t="s">
        <v>73</v>
      </c>
      <c r="AA147" t="s">
        <v>141</v>
      </c>
      <c r="AB147" t="s">
        <v>89</v>
      </c>
      <c r="AC147">
        <v>2.2402453040629475E-2</v>
      </c>
      <c r="AD147" t="s">
        <v>73</v>
      </c>
    </row>
    <row r="148" spans="17:30" x14ac:dyDescent="0.25">
      <c r="Q148" t="s">
        <v>101</v>
      </c>
      <c r="R148" t="s">
        <v>90</v>
      </c>
      <c r="S148">
        <v>3.1590449059095096E-2</v>
      </c>
      <c r="T148" t="s">
        <v>73</v>
      </c>
      <c r="V148" t="s">
        <v>121</v>
      </c>
      <c r="W148" t="s">
        <v>90</v>
      </c>
      <c r="X148">
        <v>1.8580175361212776E-2</v>
      </c>
      <c r="Y148" t="s">
        <v>73</v>
      </c>
      <c r="AA148" t="s">
        <v>141</v>
      </c>
      <c r="AB148" t="s">
        <v>90</v>
      </c>
      <c r="AC148">
        <v>2.0962463810447703E-2</v>
      </c>
      <c r="AD148" t="s">
        <v>73</v>
      </c>
    </row>
    <row r="149" spans="17:30" x14ac:dyDescent="0.25">
      <c r="Q149" t="s">
        <v>101</v>
      </c>
      <c r="R149" t="s">
        <v>91</v>
      </c>
      <c r="S149">
        <v>0</v>
      </c>
      <c r="T149" t="s">
        <v>73</v>
      </c>
      <c r="V149" t="s">
        <v>121</v>
      </c>
      <c r="W149" t="s">
        <v>91</v>
      </c>
      <c r="X149">
        <v>9.2151167345960822E-2</v>
      </c>
      <c r="Y149" t="s">
        <v>73</v>
      </c>
      <c r="AA149" t="s">
        <v>141</v>
      </c>
      <c r="AB149" t="s">
        <v>91</v>
      </c>
      <c r="AC149">
        <v>8.6266505377779718E-2</v>
      </c>
      <c r="AD149" t="s">
        <v>73</v>
      </c>
    </row>
    <row r="150" spans="17:30" x14ac:dyDescent="0.25">
      <c r="Q150" t="s">
        <v>101</v>
      </c>
      <c r="R150" t="s">
        <v>92</v>
      </c>
      <c r="S150">
        <v>1.6721192188947642E-2</v>
      </c>
      <c r="T150" t="s">
        <v>73</v>
      </c>
      <c r="V150" t="s">
        <v>121</v>
      </c>
      <c r="W150" t="s">
        <v>92</v>
      </c>
      <c r="X150">
        <v>4.2514032627477064E-2</v>
      </c>
      <c r="Y150" t="s">
        <v>73</v>
      </c>
      <c r="AA150" t="s">
        <v>141</v>
      </c>
      <c r="AB150" t="s">
        <v>92</v>
      </c>
      <c r="AC150">
        <v>4.308924358063837E-2</v>
      </c>
      <c r="AD150" t="s">
        <v>73</v>
      </c>
    </row>
    <row r="151" spans="17:30" x14ac:dyDescent="0.25">
      <c r="Q151" t="s">
        <v>101</v>
      </c>
      <c r="R151" t="s">
        <v>93</v>
      </c>
      <c r="S151">
        <v>5.119772810341016E-2</v>
      </c>
      <c r="T151" t="s">
        <v>73</v>
      </c>
      <c r="V151" t="s">
        <v>121</v>
      </c>
      <c r="W151" t="s">
        <v>93</v>
      </c>
      <c r="X151">
        <v>2.9016254465527021E-2</v>
      </c>
      <c r="Y151" t="s">
        <v>73</v>
      </c>
      <c r="AA151" t="s">
        <v>141</v>
      </c>
      <c r="AB151" t="s">
        <v>93</v>
      </c>
      <c r="AC151">
        <v>3.3079870261170589E-2</v>
      </c>
      <c r="AD151" t="s">
        <v>73</v>
      </c>
    </row>
    <row r="152" spans="17:30" x14ac:dyDescent="0.25">
      <c r="Q152" t="s">
        <v>101</v>
      </c>
      <c r="R152" t="s">
        <v>94</v>
      </c>
      <c r="S152">
        <v>5.1255363199061203E-2</v>
      </c>
      <c r="T152" t="s">
        <v>73</v>
      </c>
      <c r="V152" t="s">
        <v>121</v>
      </c>
      <c r="W152" t="s">
        <v>94</v>
      </c>
      <c r="X152">
        <v>3.0321324865511215E-2</v>
      </c>
      <c r="Y152" t="s">
        <v>73</v>
      </c>
      <c r="AA152" t="s">
        <v>141</v>
      </c>
      <c r="AB152" t="s">
        <v>94</v>
      </c>
      <c r="AC152">
        <v>3.2072843250347476E-2</v>
      </c>
      <c r="AD152" t="s">
        <v>73</v>
      </c>
    </row>
    <row r="153" spans="17:30" x14ac:dyDescent="0.25">
      <c r="Q153" t="s">
        <v>101</v>
      </c>
      <c r="R153" t="s">
        <v>95</v>
      </c>
      <c r="S153">
        <v>2.7735960785918324E-2</v>
      </c>
      <c r="T153" t="s">
        <v>73</v>
      </c>
      <c r="V153" t="s">
        <v>121</v>
      </c>
      <c r="W153" t="s">
        <v>95</v>
      </c>
      <c r="X153">
        <v>3.2547578110475379E-2</v>
      </c>
      <c r="Y153" t="s">
        <v>73</v>
      </c>
      <c r="AA153" t="s">
        <v>141</v>
      </c>
      <c r="AB153" t="s">
        <v>95</v>
      </c>
      <c r="AC153">
        <v>3.2171609174958544E-2</v>
      </c>
      <c r="AD153" t="s">
        <v>73</v>
      </c>
    </row>
    <row r="154" spans="17:30" x14ac:dyDescent="0.25">
      <c r="Q154" t="s">
        <v>101</v>
      </c>
      <c r="R154" t="s">
        <v>96</v>
      </c>
      <c r="S154">
        <v>1.5990713008328576E-3</v>
      </c>
      <c r="T154" t="s">
        <v>73</v>
      </c>
      <c r="V154" t="s">
        <v>121</v>
      </c>
      <c r="W154" t="s">
        <v>96</v>
      </c>
      <c r="X154">
        <v>3.7703826269494353E-2</v>
      </c>
      <c r="Y154" t="s">
        <v>73</v>
      </c>
      <c r="AA154" t="s">
        <v>141</v>
      </c>
      <c r="AB154" t="s">
        <v>96</v>
      </c>
      <c r="AC154">
        <v>3.2892865518159745E-2</v>
      </c>
      <c r="AD154" t="s">
        <v>73</v>
      </c>
    </row>
    <row r="155" spans="17:30" x14ac:dyDescent="0.25">
      <c r="Q155" t="s">
        <v>102</v>
      </c>
      <c r="R155" t="s">
        <v>72</v>
      </c>
      <c r="S155">
        <v>0</v>
      </c>
      <c r="T155" t="s">
        <v>73</v>
      </c>
      <c r="V155" t="s">
        <v>122</v>
      </c>
      <c r="W155" t="s">
        <v>72</v>
      </c>
      <c r="X155">
        <v>0.11678638967732204</v>
      </c>
      <c r="Y155" t="s">
        <v>73</v>
      </c>
      <c r="AA155" t="s">
        <v>142</v>
      </c>
      <c r="AB155" t="s">
        <v>72</v>
      </c>
      <c r="AC155">
        <v>0.10038410526579745</v>
      </c>
      <c r="AD155" t="s">
        <v>73</v>
      </c>
    </row>
    <row r="156" spans="17:30" x14ac:dyDescent="0.25">
      <c r="Q156" t="s">
        <v>102</v>
      </c>
      <c r="R156" t="s">
        <v>74</v>
      </c>
      <c r="S156">
        <v>5.2264294840353661E-4</v>
      </c>
      <c r="T156" t="s">
        <v>73</v>
      </c>
      <c r="V156" t="s">
        <v>122</v>
      </c>
      <c r="W156" t="s">
        <v>74</v>
      </c>
      <c r="X156">
        <v>5.8753222378641709E-2</v>
      </c>
      <c r="Y156" t="s">
        <v>73</v>
      </c>
      <c r="AA156" t="s">
        <v>142</v>
      </c>
      <c r="AB156" t="s">
        <v>74</v>
      </c>
      <c r="AC156">
        <v>5.0618937517524061E-2</v>
      </c>
      <c r="AD156" t="s">
        <v>73</v>
      </c>
    </row>
    <row r="157" spans="17:30" x14ac:dyDescent="0.25">
      <c r="Q157" t="s">
        <v>102</v>
      </c>
      <c r="R157" t="s">
        <v>75</v>
      </c>
      <c r="S157">
        <v>2.1031330221397523E-2</v>
      </c>
      <c r="T157" t="s">
        <v>73</v>
      </c>
      <c r="V157" t="s">
        <v>122</v>
      </c>
      <c r="W157" t="s">
        <v>75</v>
      </c>
      <c r="X157">
        <v>4.2013090731314692E-2</v>
      </c>
      <c r="Y157" t="s">
        <v>73</v>
      </c>
      <c r="AA157" t="s">
        <v>142</v>
      </c>
      <c r="AB157" t="s">
        <v>75</v>
      </c>
      <c r="AC157">
        <v>3.8545881582047165E-2</v>
      </c>
      <c r="AD157" t="s">
        <v>73</v>
      </c>
    </row>
    <row r="158" spans="17:30" x14ac:dyDescent="0.25">
      <c r="Q158" t="s">
        <v>102</v>
      </c>
      <c r="R158" t="s">
        <v>76</v>
      </c>
      <c r="S158">
        <v>3.0617248123148796E-2</v>
      </c>
      <c r="T158" t="s">
        <v>73</v>
      </c>
      <c r="V158" t="s">
        <v>122</v>
      </c>
      <c r="W158" t="s">
        <v>76</v>
      </c>
      <c r="X158">
        <v>3.8401267550173319E-2</v>
      </c>
      <c r="Y158" t="s">
        <v>73</v>
      </c>
      <c r="AA158" t="s">
        <v>142</v>
      </c>
      <c r="AB158" t="s">
        <v>76</v>
      </c>
      <c r="AC158">
        <v>3.9785765891237668E-2</v>
      </c>
      <c r="AD158" t="s">
        <v>73</v>
      </c>
    </row>
    <row r="159" spans="17:30" x14ac:dyDescent="0.25">
      <c r="Q159" t="s">
        <v>102</v>
      </c>
      <c r="R159" t="s">
        <v>77</v>
      </c>
      <c r="S159">
        <v>1.1596949416111056E-2</v>
      </c>
      <c r="T159" t="s">
        <v>73</v>
      </c>
      <c r="V159" t="s">
        <v>122</v>
      </c>
      <c r="W159" t="s">
        <v>77</v>
      </c>
      <c r="X159">
        <v>4.0799282184313515E-2</v>
      </c>
      <c r="Y159" t="s">
        <v>73</v>
      </c>
      <c r="AA159" t="s">
        <v>142</v>
      </c>
      <c r="AB159" t="s">
        <v>77</v>
      </c>
      <c r="AC159">
        <v>4.0643603581319541E-2</v>
      </c>
      <c r="AD159" t="s">
        <v>73</v>
      </c>
    </row>
    <row r="160" spans="17:30" x14ac:dyDescent="0.25">
      <c r="Q160" t="s">
        <v>102</v>
      </c>
      <c r="R160" t="s">
        <v>78</v>
      </c>
      <c r="S160">
        <v>0</v>
      </c>
      <c r="T160" t="s">
        <v>73</v>
      </c>
      <c r="V160" t="s">
        <v>122</v>
      </c>
      <c r="W160" t="s">
        <v>78</v>
      </c>
      <c r="X160">
        <v>4.4362291366428837E-2</v>
      </c>
      <c r="Y160" t="s">
        <v>73</v>
      </c>
      <c r="AA160" t="s">
        <v>142</v>
      </c>
      <c r="AB160" t="s">
        <v>78</v>
      </c>
      <c r="AC160">
        <v>4.1552956332694728E-2</v>
      </c>
      <c r="AD160" t="s">
        <v>73</v>
      </c>
    </row>
    <row r="161" spans="17:30" x14ac:dyDescent="0.25">
      <c r="Q161" t="s">
        <v>102</v>
      </c>
      <c r="R161" t="s">
        <v>79</v>
      </c>
      <c r="S161">
        <v>0</v>
      </c>
      <c r="T161" t="s">
        <v>73</v>
      </c>
      <c r="V161" t="s">
        <v>122</v>
      </c>
      <c r="W161" t="s">
        <v>79</v>
      </c>
      <c r="X161">
        <v>9.8516064572907749E-2</v>
      </c>
      <c r="Y161" t="s">
        <v>73</v>
      </c>
      <c r="AA161" t="s">
        <v>142</v>
      </c>
      <c r="AB161" t="s">
        <v>79</v>
      </c>
      <c r="AC161">
        <v>8.4533745266307775E-2</v>
      </c>
      <c r="AD161" t="s">
        <v>73</v>
      </c>
    </row>
    <row r="162" spans="17:30" x14ac:dyDescent="0.25">
      <c r="Q162" t="s">
        <v>102</v>
      </c>
      <c r="R162" t="s">
        <v>80</v>
      </c>
      <c r="S162">
        <v>5.2321486752148906E-2</v>
      </c>
      <c r="T162" t="s">
        <v>73</v>
      </c>
      <c r="V162" t="s">
        <v>122</v>
      </c>
      <c r="W162" t="s">
        <v>80</v>
      </c>
      <c r="X162">
        <v>4.3160638784557843E-2</v>
      </c>
      <c r="Y162" t="s">
        <v>73</v>
      </c>
      <c r="AA162" t="s">
        <v>142</v>
      </c>
      <c r="AB162" t="s">
        <v>80</v>
      </c>
      <c r="AC162">
        <v>3.8790533750750311E-2</v>
      </c>
      <c r="AD162" t="s">
        <v>73</v>
      </c>
    </row>
    <row r="163" spans="17:30" x14ac:dyDescent="0.25">
      <c r="Q163" t="s">
        <v>102</v>
      </c>
      <c r="R163" t="s">
        <v>81</v>
      </c>
      <c r="S163">
        <v>0.10956955458633114</v>
      </c>
      <c r="T163" t="s">
        <v>73</v>
      </c>
      <c r="V163" t="s">
        <v>122</v>
      </c>
      <c r="W163" t="s">
        <v>81</v>
      </c>
      <c r="X163">
        <v>2.8002862280269089E-2</v>
      </c>
      <c r="Y163" t="s">
        <v>73</v>
      </c>
      <c r="AA163" t="s">
        <v>142</v>
      </c>
      <c r="AB163" t="s">
        <v>81</v>
      </c>
      <c r="AC163">
        <v>2.7667135270261305E-2</v>
      </c>
      <c r="AD163" t="s">
        <v>73</v>
      </c>
    </row>
    <row r="164" spans="17:30" x14ac:dyDescent="0.25">
      <c r="Q164" t="s">
        <v>102</v>
      </c>
      <c r="R164" t="s">
        <v>82</v>
      </c>
      <c r="S164">
        <v>0.10449799091450539</v>
      </c>
      <c r="T164" t="s">
        <v>73</v>
      </c>
      <c r="V164" t="s">
        <v>122</v>
      </c>
      <c r="W164" t="s">
        <v>82</v>
      </c>
      <c r="X164">
        <v>2.9397844783144046E-2</v>
      </c>
      <c r="Y164" t="s">
        <v>73</v>
      </c>
      <c r="AA164" t="s">
        <v>142</v>
      </c>
      <c r="AB164" t="s">
        <v>82</v>
      </c>
      <c r="AC164">
        <v>2.8323223278360649E-2</v>
      </c>
      <c r="AD164" t="s">
        <v>73</v>
      </c>
    </row>
    <row r="165" spans="17:30" x14ac:dyDescent="0.25">
      <c r="Q165" t="s">
        <v>102</v>
      </c>
      <c r="R165" t="s">
        <v>83</v>
      </c>
      <c r="S165">
        <v>8.3482143651661081E-2</v>
      </c>
      <c r="T165" t="s">
        <v>73</v>
      </c>
      <c r="V165" t="s">
        <v>122</v>
      </c>
      <c r="W165" t="s">
        <v>83</v>
      </c>
      <c r="X165">
        <v>3.0736154630234686E-2</v>
      </c>
      <c r="Y165" t="s">
        <v>73</v>
      </c>
      <c r="AA165" t="s">
        <v>142</v>
      </c>
      <c r="AB165" t="s">
        <v>83</v>
      </c>
      <c r="AC165">
        <v>2.9805323689062645E-2</v>
      </c>
      <c r="AD165" t="s">
        <v>73</v>
      </c>
    </row>
    <row r="166" spans="17:30" x14ac:dyDescent="0.25">
      <c r="Q166" t="s">
        <v>102</v>
      </c>
      <c r="R166" t="s">
        <v>84</v>
      </c>
      <c r="S166">
        <v>2.030110701795261E-2</v>
      </c>
      <c r="T166" t="s">
        <v>73</v>
      </c>
      <c r="V166" t="s">
        <v>122</v>
      </c>
      <c r="W166" t="s">
        <v>84</v>
      </c>
      <c r="X166">
        <v>3.5046175063836879E-2</v>
      </c>
      <c r="Y166" t="s">
        <v>73</v>
      </c>
      <c r="AA166" t="s">
        <v>142</v>
      </c>
      <c r="AB166" t="s">
        <v>84</v>
      </c>
      <c r="AC166">
        <v>3.2359979263760281E-2</v>
      </c>
      <c r="AD166" t="s">
        <v>73</v>
      </c>
    </row>
    <row r="167" spans="17:30" x14ac:dyDescent="0.25">
      <c r="Q167" t="s">
        <v>102</v>
      </c>
      <c r="R167" t="s">
        <v>85</v>
      </c>
      <c r="S167">
        <v>1.9218976728926336E-6</v>
      </c>
      <c r="T167" t="s">
        <v>73</v>
      </c>
      <c r="V167" t="s">
        <v>122</v>
      </c>
      <c r="W167" t="s">
        <v>85</v>
      </c>
      <c r="X167">
        <v>5.2789832982168536E-2</v>
      </c>
      <c r="Y167" t="s">
        <v>73</v>
      </c>
      <c r="AA167" t="s">
        <v>142</v>
      </c>
      <c r="AB167" t="s">
        <v>85</v>
      </c>
      <c r="AC167">
        <v>5.8357424636936404E-2</v>
      </c>
      <c r="AD167" t="s">
        <v>73</v>
      </c>
    </row>
    <row r="168" spans="17:30" x14ac:dyDescent="0.25">
      <c r="Q168" t="s">
        <v>102</v>
      </c>
      <c r="R168" t="s">
        <v>86</v>
      </c>
      <c r="S168">
        <v>6.9399356812589366E-2</v>
      </c>
      <c r="T168" t="s">
        <v>73</v>
      </c>
      <c r="V168" t="s">
        <v>122</v>
      </c>
      <c r="W168" t="s">
        <v>86</v>
      </c>
      <c r="X168">
        <v>1.8447559384063034E-2</v>
      </c>
      <c r="Y168" t="s">
        <v>73</v>
      </c>
      <c r="AA168" t="s">
        <v>142</v>
      </c>
      <c r="AB168" t="s">
        <v>86</v>
      </c>
      <c r="AC168">
        <v>2.8650537628269714E-2</v>
      </c>
      <c r="AD168" t="s">
        <v>73</v>
      </c>
    </row>
    <row r="169" spans="17:30" x14ac:dyDescent="0.25">
      <c r="Q169" t="s">
        <v>102</v>
      </c>
      <c r="R169" t="s">
        <v>87</v>
      </c>
      <c r="S169">
        <v>0.10338113004282556</v>
      </c>
      <c r="T169" t="s">
        <v>73</v>
      </c>
      <c r="V169" t="s">
        <v>122</v>
      </c>
      <c r="W169" t="s">
        <v>87</v>
      </c>
      <c r="X169">
        <v>1.380906649148971E-2</v>
      </c>
      <c r="Y169" t="s">
        <v>73</v>
      </c>
      <c r="AA169" t="s">
        <v>142</v>
      </c>
      <c r="AB169" t="s">
        <v>87</v>
      </c>
      <c r="AC169">
        <v>2.1589946957219445E-2</v>
      </c>
      <c r="AD169" t="s">
        <v>73</v>
      </c>
    </row>
    <row r="170" spans="17:30" x14ac:dyDescent="0.25">
      <c r="Q170" t="s">
        <v>102</v>
      </c>
      <c r="R170" t="s">
        <v>88</v>
      </c>
      <c r="S170">
        <v>0.10546214892497606</v>
      </c>
      <c r="T170" t="s">
        <v>73</v>
      </c>
      <c r="V170" t="s">
        <v>122</v>
      </c>
      <c r="W170" t="s">
        <v>88</v>
      </c>
      <c r="X170">
        <v>1.612423203034611E-2</v>
      </c>
      <c r="Y170" t="s">
        <v>73</v>
      </c>
      <c r="AA170" t="s">
        <v>142</v>
      </c>
      <c r="AB170" t="s">
        <v>88</v>
      </c>
      <c r="AC170">
        <v>2.0446290732834185E-2</v>
      </c>
      <c r="AD170" t="s">
        <v>73</v>
      </c>
    </row>
    <row r="171" spans="17:30" x14ac:dyDescent="0.25">
      <c r="Q171" t="s">
        <v>102</v>
      </c>
      <c r="R171" t="s">
        <v>89</v>
      </c>
      <c r="S171">
        <v>9.2894953296001601E-2</v>
      </c>
      <c r="T171" t="s">
        <v>73</v>
      </c>
      <c r="V171" t="s">
        <v>122</v>
      </c>
      <c r="W171" t="s">
        <v>89</v>
      </c>
      <c r="X171">
        <v>1.9524084140112589E-2</v>
      </c>
      <c r="Y171" t="s">
        <v>73</v>
      </c>
      <c r="AA171" t="s">
        <v>142</v>
      </c>
      <c r="AB171" t="s">
        <v>89</v>
      </c>
      <c r="AC171">
        <v>2.1248306392731744E-2</v>
      </c>
      <c r="AD171" t="s">
        <v>73</v>
      </c>
    </row>
    <row r="172" spans="17:30" x14ac:dyDescent="0.25">
      <c r="Q172" t="s">
        <v>102</v>
      </c>
      <c r="R172" t="s">
        <v>90</v>
      </c>
      <c r="S172">
        <v>3.9762824753706474E-2</v>
      </c>
      <c r="T172" t="s">
        <v>73</v>
      </c>
      <c r="V172" t="s">
        <v>122</v>
      </c>
      <c r="W172" t="s">
        <v>90</v>
      </c>
      <c r="X172">
        <v>1.869936423619661E-2</v>
      </c>
      <c r="Y172" t="s">
        <v>73</v>
      </c>
      <c r="AA172" t="s">
        <v>142</v>
      </c>
      <c r="AB172" t="s">
        <v>90</v>
      </c>
      <c r="AC172">
        <v>2.1755357424133516E-2</v>
      </c>
      <c r="AD172" t="s">
        <v>73</v>
      </c>
    </row>
    <row r="173" spans="17:30" x14ac:dyDescent="0.25">
      <c r="Q173" t="s">
        <v>102</v>
      </c>
      <c r="R173" t="s">
        <v>91</v>
      </c>
      <c r="S173">
        <v>0</v>
      </c>
      <c r="T173" t="s">
        <v>73</v>
      </c>
      <c r="V173" t="s">
        <v>122</v>
      </c>
      <c r="W173" t="s">
        <v>91</v>
      </c>
      <c r="X173">
        <v>9.0854704356286911E-2</v>
      </c>
      <c r="Y173" t="s">
        <v>73</v>
      </c>
      <c r="AA173" t="s">
        <v>142</v>
      </c>
      <c r="AB173" t="s">
        <v>91</v>
      </c>
      <c r="AC173">
        <v>9.2643561887824272E-2</v>
      </c>
      <c r="AD173" t="s">
        <v>73</v>
      </c>
    </row>
    <row r="174" spans="17:30" x14ac:dyDescent="0.25">
      <c r="Q174" t="s">
        <v>102</v>
      </c>
      <c r="R174" t="s">
        <v>92</v>
      </c>
      <c r="S174">
        <v>1.6146436317613477E-2</v>
      </c>
      <c r="T174" t="s">
        <v>73</v>
      </c>
      <c r="V174" t="s">
        <v>122</v>
      </c>
      <c r="W174" t="s">
        <v>92</v>
      </c>
      <c r="X174">
        <v>4.0330578304332523E-2</v>
      </c>
      <c r="Y174" t="s">
        <v>73</v>
      </c>
      <c r="AA174" t="s">
        <v>142</v>
      </c>
      <c r="AB174" t="s">
        <v>92</v>
      </c>
      <c r="AC174">
        <v>4.4405897437267916E-2</v>
      </c>
      <c r="AD174" t="s">
        <v>73</v>
      </c>
    </row>
    <row r="175" spans="17:30" x14ac:dyDescent="0.25">
      <c r="Q175" t="s">
        <v>102</v>
      </c>
      <c r="R175" t="s">
        <v>93</v>
      </c>
      <c r="S175">
        <v>5.2117371275237467E-2</v>
      </c>
      <c r="T175" t="s">
        <v>73</v>
      </c>
      <c r="V175" t="s">
        <v>122</v>
      </c>
      <c r="W175" t="s">
        <v>93</v>
      </c>
      <c r="X175">
        <v>2.8083543068460316E-2</v>
      </c>
      <c r="Y175" t="s">
        <v>73</v>
      </c>
      <c r="AA175" t="s">
        <v>142</v>
      </c>
      <c r="AB175" t="s">
        <v>93</v>
      </c>
      <c r="AC175">
        <v>3.4219885098907978E-2</v>
      </c>
      <c r="AD175" t="s">
        <v>73</v>
      </c>
    </row>
    <row r="176" spans="17:30" x14ac:dyDescent="0.25">
      <c r="Q176" t="s">
        <v>102</v>
      </c>
      <c r="R176" t="s">
        <v>94</v>
      </c>
      <c r="S176">
        <v>5.1688406195472505E-2</v>
      </c>
      <c r="T176" t="s">
        <v>73</v>
      </c>
      <c r="V176" t="s">
        <v>122</v>
      </c>
      <c r="W176" t="s">
        <v>94</v>
      </c>
      <c r="X176">
        <v>2.9018752281539179E-2</v>
      </c>
      <c r="Y176" t="s">
        <v>73</v>
      </c>
      <c r="AA176" t="s">
        <v>142</v>
      </c>
      <c r="AB176" t="s">
        <v>94</v>
      </c>
      <c r="AC176">
        <v>3.2978416543448769E-2</v>
      </c>
      <c r="AD176" t="s">
        <v>73</v>
      </c>
    </row>
    <row r="177" spans="17:30" x14ac:dyDescent="0.25">
      <c r="Q177" t="s">
        <v>102</v>
      </c>
      <c r="R177" t="s">
        <v>95</v>
      </c>
      <c r="S177">
        <v>3.2815542814405067E-2</v>
      </c>
      <c r="T177" t="s">
        <v>73</v>
      </c>
      <c r="V177" t="s">
        <v>122</v>
      </c>
      <c r="W177" t="s">
        <v>95</v>
      </c>
      <c r="X177">
        <v>3.0998135879178965E-2</v>
      </c>
      <c r="Y177" t="s">
        <v>73</v>
      </c>
      <c r="AA177" t="s">
        <v>142</v>
      </c>
      <c r="AB177" t="s">
        <v>95</v>
      </c>
      <c r="AC177">
        <v>3.3550528227380971E-2</v>
      </c>
      <c r="AD177" t="s">
        <v>73</v>
      </c>
    </row>
    <row r="178" spans="17:30" x14ac:dyDescent="0.25">
      <c r="Q178" t="s">
        <v>102</v>
      </c>
      <c r="R178" t="s">
        <v>96</v>
      </c>
      <c r="S178">
        <v>2.3894540378369186E-3</v>
      </c>
      <c r="T178" t="s">
        <v>73</v>
      </c>
      <c r="V178" t="s">
        <v>122</v>
      </c>
      <c r="W178" t="s">
        <v>96</v>
      </c>
      <c r="X178">
        <v>3.5344862842684177E-2</v>
      </c>
      <c r="Y178" t="s">
        <v>73</v>
      </c>
      <c r="AA178" t="s">
        <v>142</v>
      </c>
      <c r="AB178" t="s">
        <v>96</v>
      </c>
      <c r="AC178">
        <v>3.714265634392297E-2</v>
      </c>
      <c r="AD178" t="s">
        <v>73</v>
      </c>
    </row>
    <row r="179" spans="17:30" x14ac:dyDescent="0.25">
      <c r="Q179" t="s">
        <v>103</v>
      </c>
      <c r="R179" t="s">
        <v>72</v>
      </c>
      <c r="S179">
        <v>0</v>
      </c>
      <c r="T179" t="s">
        <v>73</v>
      </c>
      <c r="V179" t="s">
        <v>123</v>
      </c>
      <c r="W179" t="s">
        <v>72</v>
      </c>
      <c r="X179">
        <v>0.1184263416795425</v>
      </c>
      <c r="Y179" t="s">
        <v>73</v>
      </c>
      <c r="AA179" t="s">
        <v>143</v>
      </c>
      <c r="AB179" t="s">
        <v>72</v>
      </c>
      <c r="AC179">
        <v>9.6319882286011183E-2</v>
      </c>
      <c r="AD179" t="s">
        <v>73</v>
      </c>
    </row>
    <row r="180" spans="17:30" x14ac:dyDescent="0.25">
      <c r="Q180" t="s">
        <v>103</v>
      </c>
      <c r="R180" t="s">
        <v>74</v>
      </c>
      <c r="S180">
        <v>7.8925422233523689E-4</v>
      </c>
      <c r="T180" t="s">
        <v>73</v>
      </c>
      <c r="V180" t="s">
        <v>123</v>
      </c>
      <c r="W180" t="s">
        <v>74</v>
      </c>
      <c r="X180">
        <v>5.8177624591877836E-2</v>
      </c>
      <c r="Y180" t="s">
        <v>73</v>
      </c>
      <c r="AA180" t="s">
        <v>143</v>
      </c>
      <c r="AB180" t="s">
        <v>74</v>
      </c>
      <c r="AC180">
        <v>4.7376143513295797E-2</v>
      </c>
      <c r="AD180" t="s">
        <v>73</v>
      </c>
    </row>
    <row r="181" spans="17:30" x14ac:dyDescent="0.25">
      <c r="Q181" t="s">
        <v>103</v>
      </c>
      <c r="R181" t="s">
        <v>75</v>
      </c>
      <c r="S181">
        <v>2.4606397764607216E-2</v>
      </c>
      <c r="T181" t="s">
        <v>73</v>
      </c>
      <c r="V181" t="s">
        <v>123</v>
      </c>
      <c r="W181" t="s">
        <v>75</v>
      </c>
      <c r="X181">
        <v>4.0623272026655971E-2</v>
      </c>
      <c r="Y181" t="s">
        <v>73</v>
      </c>
      <c r="AA181" t="s">
        <v>143</v>
      </c>
      <c r="AB181" t="s">
        <v>75</v>
      </c>
      <c r="AC181">
        <v>3.5998123860986671E-2</v>
      </c>
      <c r="AD181" t="s">
        <v>73</v>
      </c>
    </row>
    <row r="182" spans="17:30" x14ac:dyDescent="0.25">
      <c r="Q182" t="s">
        <v>103</v>
      </c>
      <c r="R182" t="s">
        <v>76</v>
      </c>
      <c r="S182">
        <v>3.1904156358130799E-2</v>
      </c>
      <c r="T182" t="s">
        <v>73</v>
      </c>
      <c r="V182" t="s">
        <v>123</v>
      </c>
      <c r="W182" t="s">
        <v>76</v>
      </c>
      <c r="X182">
        <v>3.7789534029061669E-2</v>
      </c>
      <c r="Y182" t="s">
        <v>73</v>
      </c>
      <c r="AA182" t="s">
        <v>143</v>
      </c>
      <c r="AB182" t="s">
        <v>76</v>
      </c>
      <c r="AC182">
        <v>3.7836018189326408E-2</v>
      </c>
      <c r="AD182" t="s">
        <v>73</v>
      </c>
    </row>
    <row r="183" spans="17:30" x14ac:dyDescent="0.25">
      <c r="Q183" t="s">
        <v>103</v>
      </c>
      <c r="R183" t="s">
        <v>77</v>
      </c>
      <c r="S183">
        <v>1.0439255236453214E-2</v>
      </c>
      <c r="T183" t="s">
        <v>73</v>
      </c>
      <c r="V183" t="s">
        <v>123</v>
      </c>
      <c r="W183" t="s">
        <v>77</v>
      </c>
      <c r="X183">
        <v>4.0959936744625357E-2</v>
      </c>
      <c r="Y183" t="s">
        <v>73</v>
      </c>
      <c r="AA183" t="s">
        <v>143</v>
      </c>
      <c r="AB183" t="s">
        <v>77</v>
      </c>
      <c r="AC183">
        <v>3.8911477212012997E-2</v>
      </c>
      <c r="AD183" t="s">
        <v>73</v>
      </c>
    </row>
    <row r="184" spans="17:30" x14ac:dyDescent="0.25">
      <c r="Q184" t="s">
        <v>103</v>
      </c>
      <c r="R184" t="s">
        <v>78</v>
      </c>
      <c r="S184">
        <v>0</v>
      </c>
      <c r="T184" t="s">
        <v>73</v>
      </c>
      <c r="V184" t="s">
        <v>123</v>
      </c>
      <c r="W184" t="s">
        <v>78</v>
      </c>
      <c r="X184">
        <v>4.5109300784961823E-2</v>
      </c>
      <c r="Y184" t="s">
        <v>73</v>
      </c>
      <c r="AA184" t="s">
        <v>143</v>
      </c>
      <c r="AB184" t="s">
        <v>78</v>
      </c>
      <c r="AC184">
        <v>3.9336628166413125E-2</v>
      </c>
      <c r="AD184" t="s">
        <v>73</v>
      </c>
    </row>
    <row r="185" spans="17:30" x14ac:dyDescent="0.25">
      <c r="Q185" t="s">
        <v>103</v>
      </c>
      <c r="R185" t="s">
        <v>79</v>
      </c>
      <c r="S185">
        <v>0</v>
      </c>
      <c r="T185" t="s">
        <v>73</v>
      </c>
      <c r="V185" t="s">
        <v>123</v>
      </c>
      <c r="W185" t="s">
        <v>79</v>
      </c>
      <c r="X185">
        <v>8.9968402122860683E-2</v>
      </c>
      <c r="Y185" t="s">
        <v>73</v>
      </c>
      <c r="AA185" t="s">
        <v>143</v>
      </c>
      <c r="AB185" t="s">
        <v>79</v>
      </c>
      <c r="AC185">
        <v>8.9815087455482653E-2</v>
      </c>
      <c r="AD185" t="s">
        <v>73</v>
      </c>
    </row>
    <row r="186" spans="17:30" x14ac:dyDescent="0.25">
      <c r="Q186" t="s">
        <v>103</v>
      </c>
      <c r="R186" t="s">
        <v>80</v>
      </c>
      <c r="S186">
        <v>5.5679123228666139E-2</v>
      </c>
      <c r="T186" t="s">
        <v>73</v>
      </c>
      <c r="V186" t="s">
        <v>123</v>
      </c>
      <c r="W186" t="s">
        <v>80</v>
      </c>
      <c r="X186">
        <v>3.9094588295021077E-2</v>
      </c>
      <c r="Y186" t="s">
        <v>73</v>
      </c>
      <c r="AA186" t="s">
        <v>143</v>
      </c>
      <c r="AB186" t="s">
        <v>80</v>
      </c>
      <c r="AC186">
        <v>4.107659947096972E-2</v>
      </c>
      <c r="AD186" t="s">
        <v>73</v>
      </c>
    </row>
    <row r="187" spans="17:30" x14ac:dyDescent="0.25">
      <c r="Q187" t="s">
        <v>103</v>
      </c>
      <c r="R187" t="s">
        <v>81</v>
      </c>
      <c r="S187">
        <v>0.11265669060894476</v>
      </c>
      <c r="T187" t="s">
        <v>73</v>
      </c>
      <c r="V187" t="s">
        <v>123</v>
      </c>
      <c r="W187" t="s">
        <v>81</v>
      </c>
      <c r="X187">
        <v>2.6591721746311029E-2</v>
      </c>
      <c r="Y187" t="s">
        <v>73</v>
      </c>
      <c r="AA187" t="s">
        <v>143</v>
      </c>
      <c r="AB187" t="s">
        <v>81</v>
      </c>
      <c r="AC187">
        <v>3.0435214161584324E-2</v>
      </c>
      <c r="AD187" t="s">
        <v>73</v>
      </c>
    </row>
    <row r="188" spans="17:30" x14ac:dyDescent="0.25">
      <c r="Q188" t="s">
        <v>103</v>
      </c>
      <c r="R188" t="s">
        <v>82</v>
      </c>
      <c r="S188">
        <v>0.10895677310104238</v>
      </c>
      <c r="T188" t="s">
        <v>73</v>
      </c>
      <c r="V188" t="s">
        <v>123</v>
      </c>
      <c r="W188" t="s">
        <v>82</v>
      </c>
      <c r="X188">
        <v>2.8231632314323265E-2</v>
      </c>
      <c r="Y188" t="s">
        <v>73</v>
      </c>
      <c r="AA188" t="s">
        <v>143</v>
      </c>
      <c r="AB188" t="s">
        <v>82</v>
      </c>
      <c r="AC188">
        <v>3.0222980703629995E-2</v>
      </c>
      <c r="AD188" t="s">
        <v>73</v>
      </c>
    </row>
    <row r="189" spans="17:30" x14ac:dyDescent="0.25">
      <c r="Q189" t="s">
        <v>103</v>
      </c>
      <c r="R189" t="s">
        <v>83</v>
      </c>
      <c r="S189">
        <v>8.1228960308119769E-2</v>
      </c>
      <c r="T189" t="s">
        <v>73</v>
      </c>
      <c r="V189" t="s">
        <v>123</v>
      </c>
      <c r="W189" t="s">
        <v>83</v>
      </c>
      <c r="X189">
        <v>2.8822917289847406E-2</v>
      </c>
      <c r="Y189" t="s">
        <v>73</v>
      </c>
      <c r="AA189" t="s">
        <v>143</v>
      </c>
      <c r="AB189" t="s">
        <v>83</v>
      </c>
      <c r="AC189">
        <v>3.1786319649334108E-2</v>
      </c>
      <c r="AD189" t="s">
        <v>73</v>
      </c>
    </row>
    <row r="190" spans="17:30" x14ac:dyDescent="0.25">
      <c r="Q190" t="s">
        <v>103</v>
      </c>
      <c r="R190" t="s">
        <v>84</v>
      </c>
      <c r="S190">
        <v>1.6503047726622699E-2</v>
      </c>
      <c r="T190" t="s">
        <v>73</v>
      </c>
      <c r="V190" t="s">
        <v>123</v>
      </c>
      <c r="W190" t="s">
        <v>84</v>
      </c>
      <c r="X190">
        <v>3.2244882682649911E-2</v>
      </c>
      <c r="Y190" t="s">
        <v>73</v>
      </c>
      <c r="AA190" t="s">
        <v>143</v>
      </c>
      <c r="AB190" t="s">
        <v>84</v>
      </c>
      <c r="AC190">
        <v>3.4084604570729496E-2</v>
      </c>
      <c r="AD190" t="s">
        <v>73</v>
      </c>
    </row>
    <row r="191" spans="17:30" x14ac:dyDescent="0.25">
      <c r="Q191" t="s">
        <v>103</v>
      </c>
      <c r="R191" t="s">
        <v>85</v>
      </c>
      <c r="S191">
        <v>3.8473556800697667E-4</v>
      </c>
      <c r="T191" t="s">
        <v>73</v>
      </c>
      <c r="V191" t="s">
        <v>123</v>
      </c>
      <c r="W191" t="s">
        <v>85</v>
      </c>
      <c r="X191">
        <v>5.1180901102833451E-2</v>
      </c>
      <c r="Y191" t="s">
        <v>73</v>
      </c>
      <c r="AA191" t="s">
        <v>143</v>
      </c>
      <c r="AB191" t="s">
        <v>85</v>
      </c>
      <c r="AC191">
        <v>6.4040339984740069E-2</v>
      </c>
      <c r="AD191" t="s">
        <v>73</v>
      </c>
    </row>
    <row r="192" spans="17:30" x14ac:dyDescent="0.25">
      <c r="Q192" t="s">
        <v>103</v>
      </c>
      <c r="R192" t="s">
        <v>86</v>
      </c>
      <c r="S192">
        <v>7.4306883543619778E-2</v>
      </c>
      <c r="T192" t="s">
        <v>73</v>
      </c>
      <c r="V192" t="s">
        <v>123</v>
      </c>
      <c r="W192" t="s">
        <v>86</v>
      </c>
      <c r="X192">
        <v>2.1700877463027686E-2</v>
      </c>
      <c r="Y192" t="s">
        <v>73</v>
      </c>
      <c r="AA192" t="s">
        <v>143</v>
      </c>
      <c r="AB192" t="s">
        <v>86</v>
      </c>
      <c r="AC192">
        <v>3.0189857153754742E-2</v>
      </c>
      <c r="AD192" t="s">
        <v>73</v>
      </c>
    </row>
    <row r="193" spans="17:30" x14ac:dyDescent="0.25">
      <c r="Q193" t="s">
        <v>103</v>
      </c>
      <c r="R193" t="s">
        <v>87</v>
      </c>
      <c r="S193">
        <v>0.10640129218458422</v>
      </c>
      <c r="T193" t="s">
        <v>73</v>
      </c>
      <c r="V193" t="s">
        <v>123</v>
      </c>
      <c r="W193" t="s">
        <v>87</v>
      </c>
      <c r="X193">
        <v>1.5991744467337903E-2</v>
      </c>
      <c r="Y193" t="s">
        <v>73</v>
      </c>
      <c r="AA193" t="s">
        <v>143</v>
      </c>
      <c r="AB193" t="s">
        <v>87</v>
      </c>
      <c r="AC193">
        <v>2.1870407920786827E-2</v>
      </c>
      <c r="AD193" t="s">
        <v>73</v>
      </c>
    </row>
    <row r="194" spans="17:30" x14ac:dyDescent="0.25">
      <c r="Q194" t="s">
        <v>103</v>
      </c>
      <c r="R194" t="s">
        <v>88</v>
      </c>
      <c r="S194">
        <v>0.10281296974523199</v>
      </c>
      <c r="T194" t="s">
        <v>73</v>
      </c>
      <c r="V194" t="s">
        <v>123</v>
      </c>
      <c r="W194" t="s">
        <v>88</v>
      </c>
      <c r="X194">
        <v>1.8152984202120862E-2</v>
      </c>
      <c r="Y194" t="s">
        <v>73</v>
      </c>
      <c r="AA194" t="s">
        <v>143</v>
      </c>
      <c r="AB194" t="s">
        <v>88</v>
      </c>
      <c r="AC194">
        <v>2.0375831102143256E-2</v>
      </c>
      <c r="AD194" t="s">
        <v>73</v>
      </c>
    </row>
    <row r="195" spans="17:30" x14ac:dyDescent="0.25">
      <c r="Q195" t="s">
        <v>103</v>
      </c>
      <c r="R195" t="s">
        <v>89</v>
      </c>
      <c r="S195">
        <v>8.5477636243540808E-2</v>
      </c>
      <c r="T195" t="s">
        <v>73</v>
      </c>
      <c r="V195" t="s">
        <v>123</v>
      </c>
      <c r="W195" t="s">
        <v>89</v>
      </c>
      <c r="X195">
        <v>2.1212333665042136E-2</v>
      </c>
      <c r="Y195" t="s">
        <v>73</v>
      </c>
      <c r="AA195" t="s">
        <v>143</v>
      </c>
      <c r="AB195" t="s">
        <v>89</v>
      </c>
      <c r="AC195">
        <v>2.2781970763580354E-2</v>
      </c>
      <c r="AD195" t="s">
        <v>73</v>
      </c>
    </row>
    <row r="196" spans="17:30" x14ac:dyDescent="0.25">
      <c r="Q196" t="s">
        <v>103</v>
      </c>
      <c r="R196" t="s">
        <v>90</v>
      </c>
      <c r="S196">
        <v>3.2621078529167638E-2</v>
      </c>
      <c r="T196" t="s">
        <v>73</v>
      </c>
      <c r="V196" t="s">
        <v>123</v>
      </c>
      <c r="W196" t="s">
        <v>90</v>
      </c>
      <c r="X196">
        <v>1.8454685067839066E-2</v>
      </c>
      <c r="Y196" t="s">
        <v>73</v>
      </c>
      <c r="AA196" t="s">
        <v>143</v>
      </c>
      <c r="AB196" t="s">
        <v>90</v>
      </c>
      <c r="AC196">
        <v>2.556497787168922E-2</v>
      </c>
      <c r="AD196" t="s">
        <v>73</v>
      </c>
    </row>
    <row r="197" spans="17:30" x14ac:dyDescent="0.25">
      <c r="Q197" t="s">
        <v>103</v>
      </c>
      <c r="R197" t="s">
        <v>91</v>
      </c>
      <c r="S197">
        <v>0</v>
      </c>
      <c r="T197" t="s">
        <v>73</v>
      </c>
      <c r="V197" t="s">
        <v>123</v>
      </c>
      <c r="W197" t="s">
        <v>91</v>
      </c>
      <c r="X197">
        <v>9.431044057970743E-2</v>
      </c>
      <c r="Y197" t="s">
        <v>73</v>
      </c>
      <c r="AA197" t="s">
        <v>143</v>
      </c>
      <c r="AB197" t="s">
        <v>91</v>
      </c>
      <c r="AC197">
        <v>8.8445431699242821E-2</v>
      </c>
      <c r="AD197" t="s">
        <v>73</v>
      </c>
    </row>
    <row r="198" spans="17:30" x14ac:dyDescent="0.25">
      <c r="Q198" t="s">
        <v>103</v>
      </c>
      <c r="R198" t="s">
        <v>92</v>
      </c>
      <c r="S198">
        <v>1.7265111152255604E-2</v>
      </c>
      <c r="T198" t="s">
        <v>73</v>
      </c>
      <c r="V198" t="s">
        <v>123</v>
      </c>
      <c r="W198" t="s">
        <v>92</v>
      </c>
      <c r="X198">
        <v>4.352180257651788E-2</v>
      </c>
      <c r="Y198" t="s">
        <v>73</v>
      </c>
      <c r="AA198" t="s">
        <v>143</v>
      </c>
      <c r="AB198" t="s">
        <v>92</v>
      </c>
      <c r="AC198">
        <v>4.2501258637996378E-2</v>
      </c>
      <c r="AD198" t="s">
        <v>73</v>
      </c>
    </row>
    <row r="199" spans="17:30" x14ac:dyDescent="0.25">
      <c r="Q199" t="s">
        <v>103</v>
      </c>
      <c r="R199" t="s">
        <v>93</v>
      </c>
      <c r="S199">
        <v>5.3993140465325877E-2</v>
      </c>
      <c r="T199" t="s">
        <v>73</v>
      </c>
      <c r="V199" t="s">
        <v>123</v>
      </c>
      <c r="W199" t="s">
        <v>93</v>
      </c>
      <c r="X199">
        <v>3.0523652508721005E-2</v>
      </c>
      <c r="Y199" t="s">
        <v>73</v>
      </c>
      <c r="AA199" t="s">
        <v>143</v>
      </c>
      <c r="AB199" t="s">
        <v>93</v>
      </c>
      <c r="AC199">
        <v>3.2699881408635244E-2</v>
      </c>
      <c r="AD199" t="s">
        <v>73</v>
      </c>
    </row>
    <row r="200" spans="17:30" x14ac:dyDescent="0.25">
      <c r="Q200" t="s">
        <v>103</v>
      </c>
      <c r="R200" t="s">
        <v>94</v>
      </c>
      <c r="S200">
        <v>5.2271277562692883E-2</v>
      </c>
      <c r="T200" t="s">
        <v>73</v>
      </c>
      <c r="V200" t="s">
        <v>123</v>
      </c>
      <c r="W200" t="s">
        <v>94</v>
      </c>
      <c r="X200">
        <v>3.0914579883796374E-2</v>
      </c>
      <c r="Y200" t="s">
        <v>73</v>
      </c>
      <c r="AA200" t="s">
        <v>143</v>
      </c>
      <c r="AB200" t="s">
        <v>94</v>
      </c>
      <c r="AC200">
        <v>3.1349690482573196E-2</v>
      </c>
      <c r="AD200" t="s">
        <v>73</v>
      </c>
    </row>
    <row r="201" spans="17:30" x14ac:dyDescent="0.25">
      <c r="Q201" t="s">
        <v>103</v>
      </c>
      <c r="R201" t="s">
        <v>95</v>
      </c>
      <c r="S201">
        <v>2.9875750011461377E-2</v>
      </c>
      <c r="T201" t="s">
        <v>73</v>
      </c>
      <c r="V201" t="s">
        <v>123</v>
      </c>
      <c r="W201" t="s">
        <v>95</v>
      </c>
      <c r="X201">
        <v>3.2326489272754576E-2</v>
      </c>
      <c r="Y201" t="s">
        <v>73</v>
      </c>
      <c r="AA201" t="s">
        <v>143</v>
      </c>
      <c r="AB201" t="s">
        <v>95</v>
      </c>
      <c r="AC201">
        <v>3.188062766737039E-2</v>
      </c>
      <c r="AD201" t="s">
        <v>73</v>
      </c>
    </row>
    <row r="202" spans="17:30" x14ac:dyDescent="0.25">
      <c r="Q202" t="s">
        <v>103</v>
      </c>
      <c r="R202" t="s">
        <v>96</v>
      </c>
      <c r="S202">
        <v>1.8264664391915853E-3</v>
      </c>
      <c r="T202" t="s">
        <v>73</v>
      </c>
      <c r="V202" t="s">
        <v>123</v>
      </c>
      <c r="W202" t="s">
        <v>96</v>
      </c>
      <c r="X202">
        <v>3.5669354902562088E-2</v>
      </c>
      <c r="Y202" t="s">
        <v>73</v>
      </c>
      <c r="AA202" t="s">
        <v>143</v>
      </c>
      <c r="AB202" t="s">
        <v>96</v>
      </c>
      <c r="AC202">
        <v>3.5100646067710982E-2</v>
      </c>
      <c r="AD202" t="s">
        <v>73</v>
      </c>
    </row>
    <row r="203" spans="17:30" x14ac:dyDescent="0.25">
      <c r="Q203" t="s">
        <v>104</v>
      </c>
      <c r="R203" t="s">
        <v>72</v>
      </c>
      <c r="S203">
        <v>0</v>
      </c>
      <c r="T203" t="s">
        <v>73</v>
      </c>
      <c r="V203" t="s">
        <v>124</v>
      </c>
      <c r="W203" t="s">
        <v>72</v>
      </c>
      <c r="X203">
        <v>0.11507157519372825</v>
      </c>
      <c r="Y203" t="s">
        <v>73</v>
      </c>
      <c r="AA203" t="s">
        <v>144</v>
      </c>
      <c r="AB203" t="s">
        <v>72</v>
      </c>
      <c r="AC203">
        <v>9.5282099178346139E-2</v>
      </c>
      <c r="AD203" t="s">
        <v>73</v>
      </c>
    </row>
    <row r="204" spans="17:30" x14ac:dyDescent="0.25">
      <c r="Q204" t="s">
        <v>104</v>
      </c>
      <c r="R204" t="s">
        <v>74</v>
      </c>
      <c r="S204">
        <v>1.6093669346959655E-3</v>
      </c>
      <c r="T204" t="s">
        <v>73</v>
      </c>
      <c r="V204" t="s">
        <v>124</v>
      </c>
      <c r="W204" t="s">
        <v>74</v>
      </c>
      <c r="X204">
        <v>5.6403555404015225E-2</v>
      </c>
      <c r="Y204" t="s">
        <v>73</v>
      </c>
      <c r="AA204" t="s">
        <v>144</v>
      </c>
      <c r="AB204" t="s">
        <v>74</v>
      </c>
      <c r="AC204">
        <v>4.8477187791919805E-2</v>
      </c>
      <c r="AD204" t="s">
        <v>73</v>
      </c>
    </row>
    <row r="205" spans="17:30" x14ac:dyDescent="0.25">
      <c r="Q205" t="s">
        <v>104</v>
      </c>
      <c r="R205" t="s">
        <v>75</v>
      </c>
      <c r="S205">
        <v>3.0051303068382662E-2</v>
      </c>
      <c r="T205" t="s">
        <v>73</v>
      </c>
      <c r="V205" t="s">
        <v>124</v>
      </c>
      <c r="W205" t="s">
        <v>75</v>
      </c>
      <c r="X205">
        <v>4.1286629011598457E-2</v>
      </c>
      <c r="Y205" t="s">
        <v>73</v>
      </c>
      <c r="AA205" t="s">
        <v>144</v>
      </c>
      <c r="AB205" t="s">
        <v>75</v>
      </c>
      <c r="AC205">
        <v>3.6144785753512577E-2</v>
      </c>
      <c r="AD205" t="s">
        <v>73</v>
      </c>
    </row>
    <row r="206" spans="17:30" x14ac:dyDescent="0.25">
      <c r="Q206" t="s">
        <v>104</v>
      </c>
      <c r="R206" t="s">
        <v>76</v>
      </c>
      <c r="S206">
        <v>3.6446703863784152E-2</v>
      </c>
      <c r="T206" t="s">
        <v>73</v>
      </c>
      <c r="V206" t="s">
        <v>124</v>
      </c>
      <c r="W206" t="s">
        <v>76</v>
      </c>
      <c r="X206">
        <v>3.8879050006235767E-2</v>
      </c>
      <c r="Y206" t="s">
        <v>73</v>
      </c>
      <c r="AA206" t="s">
        <v>144</v>
      </c>
      <c r="AB206" t="s">
        <v>76</v>
      </c>
      <c r="AC206">
        <v>3.7138994396979277E-2</v>
      </c>
      <c r="AD206" t="s">
        <v>73</v>
      </c>
    </row>
    <row r="207" spans="17:30" x14ac:dyDescent="0.25">
      <c r="Q207" t="s">
        <v>104</v>
      </c>
      <c r="R207" t="s">
        <v>77</v>
      </c>
      <c r="S207">
        <v>1.096232107587927E-2</v>
      </c>
      <c r="T207" t="s">
        <v>73</v>
      </c>
      <c r="V207" t="s">
        <v>124</v>
      </c>
      <c r="W207" t="s">
        <v>77</v>
      </c>
      <c r="X207">
        <v>4.1304621978057739E-2</v>
      </c>
      <c r="Y207" t="s">
        <v>73</v>
      </c>
      <c r="AA207" t="s">
        <v>144</v>
      </c>
      <c r="AB207" t="s">
        <v>77</v>
      </c>
      <c r="AC207">
        <v>3.8447190767870162E-2</v>
      </c>
      <c r="AD207" t="s">
        <v>73</v>
      </c>
    </row>
    <row r="208" spans="17:30" x14ac:dyDescent="0.25">
      <c r="Q208" t="s">
        <v>104</v>
      </c>
      <c r="R208" t="s">
        <v>78</v>
      </c>
      <c r="S208">
        <v>0</v>
      </c>
      <c r="T208" t="s">
        <v>73</v>
      </c>
      <c r="V208" t="s">
        <v>124</v>
      </c>
      <c r="W208" t="s">
        <v>78</v>
      </c>
      <c r="X208">
        <v>4.3903505840935421E-2</v>
      </c>
      <c r="Y208" t="s">
        <v>73</v>
      </c>
      <c r="AA208" t="s">
        <v>144</v>
      </c>
      <c r="AB208" t="s">
        <v>78</v>
      </c>
      <c r="AC208">
        <v>3.8589151367800056E-2</v>
      </c>
      <c r="AD208" t="s">
        <v>73</v>
      </c>
    </row>
    <row r="209" spans="17:30" x14ac:dyDescent="0.25">
      <c r="Q209" t="s">
        <v>104</v>
      </c>
      <c r="R209" t="s">
        <v>79</v>
      </c>
      <c r="S209">
        <v>1.1824381343060884E-4</v>
      </c>
      <c r="T209" t="s">
        <v>73</v>
      </c>
      <c r="V209" t="s">
        <v>124</v>
      </c>
      <c r="W209" t="s">
        <v>79</v>
      </c>
      <c r="X209">
        <v>9.0391852835412345E-2</v>
      </c>
      <c r="Y209" t="s">
        <v>73</v>
      </c>
      <c r="AA209" t="s">
        <v>144</v>
      </c>
      <c r="AB209" t="s">
        <v>79</v>
      </c>
      <c r="AC209">
        <v>9.2936884709681811E-2</v>
      </c>
      <c r="AD209" t="s">
        <v>73</v>
      </c>
    </row>
    <row r="210" spans="17:30" x14ac:dyDescent="0.25">
      <c r="Q210" t="s">
        <v>104</v>
      </c>
      <c r="R210" t="s">
        <v>80</v>
      </c>
      <c r="S210">
        <v>6.5744597686315867E-2</v>
      </c>
      <c r="T210" t="s">
        <v>73</v>
      </c>
      <c r="V210" t="s">
        <v>124</v>
      </c>
      <c r="W210" t="s">
        <v>80</v>
      </c>
      <c r="X210">
        <v>4.0086332220840314E-2</v>
      </c>
      <c r="Y210" t="s">
        <v>73</v>
      </c>
      <c r="AA210" t="s">
        <v>144</v>
      </c>
      <c r="AB210" t="s">
        <v>80</v>
      </c>
      <c r="AC210">
        <v>4.3201512640851092E-2</v>
      </c>
      <c r="AD210" t="s">
        <v>73</v>
      </c>
    </row>
    <row r="211" spans="17:30" x14ac:dyDescent="0.25">
      <c r="Q211" t="s">
        <v>104</v>
      </c>
      <c r="R211" t="s">
        <v>81</v>
      </c>
      <c r="S211">
        <v>0.10462346114946525</v>
      </c>
      <c r="T211" t="s">
        <v>73</v>
      </c>
      <c r="V211" t="s">
        <v>124</v>
      </c>
      <c r="W211" t="s">
        <v>81</v>
      </c>
      <c r="X211">
        <v>2.5585831995362015E-2</v>
      </c>
      <c r="Y211" t="s">
        <v>73</v>
      </c>
      <c r="AA211" t="s">
        <v>144</v>
      </c>
      <c r="AB211" t="s">
        <v>81</v>
      </c>
      <c r="AC211">
        <v>3.1583031780504159E-2</v>
      </c>
      <c r="AD211" t="s">
        <v>73</v>
      </c>
    </row>
    <row r="212" spans="17:30" x14ac:dyDescent="0.25">
      <c r="Q212" t="s">
        <v>104</v>
      </c>
      <c r="R212" t="s">
        <v>82</v>
      </c>
      <c r="S212">
        <v>9.9952207382336261E-2</v>
      </c>
      <c r="T212" t="s">
        <v>73</v>
      </c>
      <c r="V212" t="s">
        <v>124</v>
      </c>
      <c r="W212" t="s">
        <v>82</v>
      </c>
      <c r="X212">
        <v>2.7585555391715255E-2</v>
      </c>
      <c r="Y212" t="s">
        <v>73</v>
      </c>
      <c r="AA212" t="s">
        <v>144</v>
      </c>
      <c r="AB212" t="s">
        <v>82</v>
      </c>
      <c r="AC212">
        <v>3.1217797175393341E-2</v>
      </c>
      <c r="AD212" t="s">
        <v>73</v>
      </c>
    </row>
    <row r="213" spans="17:30" x14ac:dyDescent="0.25">
      <c r="Q213" t="s">
        <v>104</v>
      </c>
      <c r="R213" t="s">
        <v>83</v>
      </c>
      <c r="S213">
        <v>6.9578585594423537E-2</v>
      </c>
      <c r="T213" t="s">
        <v>73</v>
      </c>
      <c r="V213" t="s">
        <v>124</v>
      </c>
      <c r="W213" t="s">
        <v>83</v>
      </c>
      <c r="X213">
        <v>2.8117902150537125E-2</v>
      </c>
      <c r="Y213" t="s">
        <v>73</v>
      </c>
      <c r="AA213" t="s">
        <v>144</v>
      </c>
      <c r="AB213" t="s">
        <v>83</v>
      </c>
      <c r="AC213">
        <v>3.2809815127523033E-2</v>
      </c>
      <c r="AD213" t="s">
        <v>73</v>
      </c>
    </row>
    <row r="214" spans="17:30" x14ac:dyDescent="0.25">
      <c r="Q214" t="s">
        <v>104</v>
      </c>
      <c r="R214" t="s">
        <v>84</v>
      </c>
      <c r="S214">
        <v>1.1759327746171371E-2</v>
      </c>
      <c r="T214" t="s">
        <v>73</v>
      </c>
      <c r="V214" t="s">
        <v>124</v>
      </c>
      <c r="W214" t="s">
        <v>84</v>
      </c>
      <c r="X214">
        <v>3.1838000771033603E-2</v>
      </c>
      <c r="Y214" t="s">
        <v>73</v>
      </c>
      <c r="AA214" t="s">
        <v>144</v>
      </c>
      <c r="AB214" t="s">
        <v>84</v>
      </c>
      <c r="AC214">
        <v>3.456424532335553E-2</v>
      </c>
      <c r="AD214" t="s">
        <v>73</v>
      </c>
    </row>
    <row r="215" spans="17:30" x14ac:dyDescent="0.25">
      <c r="Q215" t="s">
        <v>104</v>
      </c>
      <c r="R215" t="s">
        <v>85</v>
      </c>
      <c r="S215">
        <v>1.7198913470912027E-3</v>
      </c>
      <c r="T215" t="s">
        <v>73</v>
      </c>
      <c r="V215" t="s">
        <v>124</v>
      </c>
      <c r="W215" t="s">
        <v>85</v>
      </c>
      <c r="X215">
        <v>5.146239755303475E-2</v>
      </c>
      <c r="Y215" t="s">
        <v>73</v>
      </c>
      <c r="AA215" t="s">
        <v>144</v>
      </c>
      <c r="AB215" t="s">
        <v>85</v>
      </c>
      <c r="AC215">
        <v>6.3320836433097744E-2</v>
      </c>
      <c r="AD215" t="s">
        <v>73</v>
      </c>
    </row>
    <row r="216" spans="17:30" x14ac:dyDescent="0.25">
      <c r="Q216" t="s">
        <v>104</v>
      </c>
      <c r="R216" t="s">
        <v>86</v>
      </c>
      <c r="S216">
        <v>8.9132250491117671E-2</v>
      </c>
      <c r="T216" t="s">
        <v>73</v>
      </c>
      <c r="V216" t="s">
        <v>124</v>
      </c>
      <c r="W216" t="s">
        <v>86</v>
      </c>
      <c r="X216">
        <v>2.1693006674700456E-2</v>
      </c>
      <c r="Y216" t="s">
        <v>73</v>
      </c>
      <c r="AA216" t="s">
        <v>144</v>
      </c>
      <c r="AB216" t="s">
        <v>86</v>
      </c>
      <c r="AC216">
        <v>2.9567573594945173E-2</v>
      </c>
      <c r="AD216" t="s">
        <v>73</v>
      </c>
    </row>
    <row r="217" spans="17:30" x14ac:dyDescent="0.25">
      <c r="Q217" t="s">
        <v>104</v>
      </c>
      <c r="R217" t="s">
        <v>87</v>
      </c>
      <c r="S217">
        <v>0.11157826364817981</v>
      </c>
      <c r="T217" t="s">
        <v>73</v>
      </c>
      <c r="V217" t="s">
        <v>124</v>
      </c>
      <c r="W217" t="s">
        <v>87</v>
      </c>
      <c r="X217">
        <v>1.6035470855923984E-2</v>
      </c>
      <c r="Y217" t="s">
        <v>73</v>
      </c>
      <c r="AA217" t="s">
        <v>144</v>
      </c>
      <c r="AB217" t="s">
        <v>87</v>
      </c>
      <c r="AC217">
        <v>2.1419597752559631E-2</v>
      </c>
      <c r="AD217" t="s">
        <v>73</v>
      </c>
    </row>
    <row r="218" spans="17:30" x14ac:dyDescent="0.25">
      <c r="Q218" t="s">
        <v>104</v>
      </c>
      <c r="R218" t="s">
        <v>88</v>
      </c>
      <c r="S218">
        <v>0.10455747665329458</v>
      </c>
      <c r="T218" t="s">
        <v>73</v>
      </c>
      <c r="V218" t="s">
        <v>124</v>
      </c>
      <c r="W218" t="s">
        <v>88</v>
      </c>
      <c r="X218">
        <v>1.944631489661821E-2</v>
      </c>
      <c r="Y218" t="s">
        <v>73</v>
      </c>
      <c r="AA218" t="s">
        <v>144</v>
      </c>
      <c r="AB218" t="s">
        <v>88</v>
      </c>
      <c r="AC218">
        <v>2.036780096229885E-2</v>
      </c>
      <c r="AD218" t="s">
        <v>73</v>
      </c>
    </row>
    <row r="219" spans="17:30" x14ac:dyDescent="0.25">
      <c r="Q219" t="s">
        <v>104</v>
      </c>
      <c r="R219" t="s">
        <v>89</v>
      </c>
      <c r="S219">
        <v>8.3607273564025059E-2</v>
      </c>
      <c r="T219" t="s">
        <v>73</v>
      </c>
      <c r="V219" t="s">
        <v>124</v>
      </c>
      <c r="W219" t="s">
        <v>89</v>
      </c>
      <c r="X219">
        <v>2.090376722854102E-2</v>
      </c>
      <c r="Y219" t="s">
        <v>73</v>
      </c>
      <c r="AA219" t="s">
        <v>144</v>
      </c>
      <c r="AB219" t="s">
        <v>89</v>
      </c>
      <c r="AC219">
        <v>2.1890967948694929E-2</v>
      </c>
      <c r="AD219" t="s">
        <v>73</v>
      </c>
    </row>
    <row r="220" spans="17:30" x14ac:dyDescent="0.25">
      <c r="Q220" t="s">
        <v>104</v>
      </c>
      <c r="R220" t="s">
        <v>90</v>
      </c>
      <c r="S220">
        <v>2.5637210113257501E-2</v>
      </c>
      <c r="T220" t="s">
        <v>73</v>
      </c>
      <c r="V220" t="s">
        <v>124</v>
      </c>
      <c r="W220" t="s">
        <v>90</v>
      </c>
      <c r="X220">
        <v>1.9209906920898558E-2</v>
      </c>
      <c r="Y220" t="s">
        <v>73</v>
      </c>
      <c r="AA220" t="s">
        <v>144</v>
      </c>
      <c r="AB220" t="s">
        <v>90</v>
      </c>
      <c r="AC220">
        <v>2.2366256551732709E-2</v>
      </c>
      <c r="AD220" t="s">
        <v>73</v>
      </c>
    </row>
    <row r="221" spans="17:30" x14ac:dyDescent="0.25">
      <c r="Q221" t="s">
        <v>104</v>
      </c>
      <c r="R221" t="s">
        <v>91</v>
      </c>
      <c r="S221">
        <v>0</v>
      </c>
      <c r="T221" t="s">
        <v>73</v>
      </c>
      <c r="V221" t="s">
        <v>124</v>
      </c>
      <c r="W221" t="s">
        <v>91</v>
      </c>
      <c r="X221">
        <v>9.4607839896159146E-2</v>
      </c>
      <c r="Y221" t="s">
        <v>73</v>
      </c>
      <c r="AA221" t="s">
        <v>144</v>
      </c>
      <c r="AB221" t="s">
        <v>91</v>
      </c>
      <c r="AC221">
        <v>8.8264588892584706E-2</v>
      </c>
      <c r="AD221" t="s">
        <v>73</v>
      </c>
    </row>
    <row r="222" spans="17:30" x14ac:dyDescent="0.25">
      <c r="Q222" t="s">
        <v>104</v>
      </c>
      <c r="R222" t="s">
        <v>92</v>
      </c>
      <c r="S222">
        <v>2.0216757978724686E-2</v>
      </c>
      <c r="T222" t="s">
        <v>73</v>
      </c>
      <c r="V222" t="s">
        <v>124</v>
      </c>
      <c r="W222" t="s">
        <v>92</v>
      </c>
      <c r="X222">
        <v>4.333921299025522E-2</v>
      </c>
      <c r="Y222" t="s">
        <v>73</v>
      </c>
      <c r="AA222" t="s">
        <v>144</v>
      </c>
      <c r="AB222" t="s">
        <v>92</v>
      </c>
      <c r="AC222">
        <v>4.3045134732032794E-2</v>
      </c>
      <c r="AD222" t="s">
        <v>73</v>
      </c>
    </row>
    <row r="223" spans="17:30" x14ac:dyDescent="0.25">
      <c r="Q223" t="s">
        <v>104</v>
      </c>
      <c r="R223" t="s">
        <v>93</v>
      </c>
      <c r="S223">
        <v>5.3544310678438803E-2</v>
      </c>
      <c r="T223" t="s">
        <v>73</v>
      </c>
      <c r="V223" t="s">
        <v>124</v>
      </c>
      <c r="W223" t="s">
        <v>93</v>
      </c>
      <c r="X223">
        <v>3.1065075990833576E-2</v>
      </c>
      <c r="Y223" t="s">
        <v>73</v>
      </c>
      <c r="AA223" t="s">
        <v>144</v>
      </c>
      <c r="AB223" t="s">
        <v>93</v>
      </c>
      <c r="AC223">
        <v>3.2650886394600669E-2</v>
      </c>
      <c r="AD223" t="s">
        <v>73</v>
      </c>
    </row>
    <row r="224" spans="17:30" x14ac:dyDescent="0.25">
      <c r="Q224" t="s">
        <v>104</v>
      </c>
      <c r="R224" t="s">
        <v>94</v>
      </c>
      <c r="S224">
        <v>5.1600661303943952E-2</v>
      </c>
      <c r="T224" t="s">
        <v>73</v>
      </c>
      <c r="V224" t="s">
        <v>124</v>
      </c>
      <c r="W224" t="s">
        <v>94</v>
      </c>
      <c r="X224">
        <v>3.1540113011614308E-2</v>
      </c>
      <c r="Y224" t="s">
        <v>73</v>
      </c>
      <c r="AA224" t="s">
        <v>144</v>
      </c>
      <c r="AB224" t="s">
        <v>94</v>
      </c>
      <c r="AC224">
        <v>3.1603422342658435E-2</v>
      </c>
      <c r="AD224" t="s">
        <v>73</v>
      </c>
    </row>
    <row r="225" spans="17:30" x14ac:dyDescent="0.25">
      <c r="Q225" t="s">
        <v>104</v>
      </c>
      <c r="R225" t="s">
        <v>95</v>
      </c>
      <c r="S225">
        <v>2.6381235269282013E-2</v>
      </c>
      <c r="T225" t="s">
        <v>73</v>
      </c>
      <c r="V225" t="s">
        <v>124</v>
      </c>
      <c r="W225" t="s">
        <v>95</v>
      </c>
      <c r="X225">
        <v>3.3424975647620078E-2</v>
      </c>
      <c r="Y225" t="s">
        <v>73</v>
      </c>
      <c r="AA225" t="s">
        <v>144</v>
      </c>
      <c r="AB225" t="s">
        <v>95</v>
      </c>
      <c r="AC225">
        <v>3.1637977054992328E-2</v>
      </c>
      <c r="AD225" t="s">
        <v>73</v>
      </c>
    </row>
    <row r="226" spans="17:30" x14ac:dyDescent="0.25">
      <c r="Q226" t="s">
        <v>104</v>
      </c>
      <c r="R226" t="s">
        <v>96</v>
      </c>
      <c r="S226">
        <v>1.1785506377571676E-3</v>
      </c>
      <c r="T226" t="s">
        <v>73</v>
      </c>
      <c r="V226" t="s">
        <v>124</v>
      </c>
      <c r="W226" t="s">
        <v>96</v>
      </c>
      <c r="X226">
        <v>3.6817505534331656E-2</v>
      </c>
      <c r="Y226" t="s">
        <v>73</v>
      </c>
      <c r="AA226" t="s">
        <v>144</v>
      </c>
      <c r="AB226" t="s">
        <v>96</v>
      </c>
      <c r="AC226">
        <v>3.3472261326068446E-2</v>
      </c>
      <c r="AD226" t="s">
        <v>73</v>
      </c>
    </row>
    <row r="227" spans="17:30" x14ac:dyDescent="0.25">
      <c r="Q227" t="s">
        <v>105</v>
      </c>
      <c r="R227" t="s">
        <v>72</v>
      </c>
      <c r="S227">
        <v>0</v>
      </c>
      <c r="T227" t="s">
        <v>73</v>
      </c>
      <c r="V227" t="s">
        <v>125</v>
      </c>
      <c r="W227" t="s">
        <v>72</v>
      </c>
      <c r="X227">
        <v>0.10184961874628379</v>
      </c>
      <c r="Y227" t="s">
        <v>73</v>
      </c>
      <c r="AA227" t="s">
        <v>145</v>
      </c>
      <c r="AB227" t="s">
        <v>72</v>
      </c>
      <c r="AC227">
        <v>9.7671890983220364E-2</v>
      </c>
      <c r="AD227" t="s">
        <v>73</v>
      </c>
    </row>
    <row r="228" spans="17:30" x14ac:dyDescent="0.25">
      <c r="Q228" t="s">
        <v>105</v>
      </c>
      <c r="R228" t="s">
        <v>74</v>
      </c>
      <c r="S228">
        <v>1.2935834152192187E-3</v>
      </c>
      <c r="T228" t="s">
        <v>73</v>
      </c>
      <c r="V228" t="s">
        <v>125</v>
      </c>
      <c r="W228" t="s">
        <v>74</v>
      </c>
      <c r="X228">
        <v>5.1883347606452301E-2</v>
      </c>
      <c r="Y228" t="s">
        <v>73</v>
      </c>
      <c r="AA228" t="s">
        <v>145</v>
      </c>
      <c r="AB228" t="s">
        <v>74</v>
      </c>
      <c r="AC228">
        <v>4.9591058114728109E-2</v>
      </c>
      <c r="AD228" t="s">
        <v>73</v>
      </c>
    </row>
    <row r="229" spans="17:30" x14ac:dyDescent="0.25">
      <c r="Q229" t="s">
        <v>105</v>
      </c>
      <c r="R229" t="s">
        <v>75</v>
      </c>
      <c r="S229">
        <v>2.6231881125720644E-2</v>
      </c>
      <c r="T229" t="s">
        <v>73</v>
      </c>
      <c r="V229" t="s">
        <v>125</v>
      </c>
      <c r="W229" t="s">
        <v>75</v>
      </c>
      <c r="X229">
        <v>3.9158778413728237E-2</v>
      </c>
      <c r="Y229" t="s">
        <v>73</v>
      </c>
      <c r="AA229" t="s">
        <v>145</v>
      </c>
      <c r="AB229" t="s">
        <v>75</v>
      </c>
      <c r="AC229">
        <v>3.7414935747100204E-2</v>
      </c>
      <c r="AD229" t="s">
        <v>73</v>
      </c>
    </row>
    <row r="230" spans="17:30" x14ac:dyDescent="0.25">
      <c r="Q230" t="s">
        <v>105</v>
      </c>
      <c r="R230" t="s">
        <v>76</v>
      </c>
      <c r="S230">
        <v>3.0827412429326323E-2</v>
      </c>
      <c r="T230" t="s">
        <v>73</v>
      </c>
      <c r="V230" t="s">
        <v>125</v>
      </c>
      <c r="W230" t="s">
        <v>76</v>
      </c>
      <c r="X230">
        <v>3.9183898820145897E-2</v>
      </c>
      <c r="Y230" t="s">
        <v>73</v>
      </c>
      <c r="AA230" t="s">
        <v>145</v>
      </c>
      <c r="AB230" t="s">
        <v>76</v>
      </c>
      <c r="AC230">
        <v>3.8684603353039568E-2</v>
      </c>
      <c r="AD230" t="s">
        <v>73</v>
      </c>
    </row>
    <row r="231" spans="17:30" x14ac:dyDescent="0.25">
      <c r="Q231" t="s">
        <v>105</v>
      </c>
      <c r="R231" t="s">
        <v>77</v>
      </c>
      <c r="S231">
        <v>8.8831670656315219E-3</v>
      </c>
      <c r="T231" t="s">
        <v>73</v>
      </c>
      <c r="V231" t="s">
        <v>125</v>
      </c>
      <c r="W231" t="s">
        <v>77</v>
      </c>
      <c r="X231">
        <v>4.0008111976115118E-2</v>
      </c>
      <c r="Y231" t="s">
        <v>73</v>
      </c>
      <c r="AA231" t="s">
        <v>145</v>
      </c>
      <c r="AB231" t="s">
        <v>77</v>
      </c>
      <c r="AC231">
        <v>3.9916030539643758E-2</v>
      </c>
      <c r="AD231" t="s">
        <v>73</v>
      </c>
    </row>
    <row r="232" spans="17:30" x14ac:dyDescent="0.25">
      <c r="Q232" t="s">
        <v>105</v>
      </c>
      <c r="R232" t="s">
        <v>78</v>
      </c>
      <c r="S232">
        <v>0</v>
      </c>
      <c r="T232" t="s">
        <v>73</v>
      </c>
      <c r="V232" t="s">
        <v>125</v>
      </c>
      <c r="W232" t="s">
        <v>78</v>
      </c>
      <c r="X232">
        <v>4.18555692684019E-2</v>
      </c>
      <c r="Y232" t="s">
        <v>73</v>
      </c>
      <c r="AA232" t="s">
        <v>145</v>
      </c>
      <c r="AB232" t="s">
        <v>78</v>
      </c>
      <c r="AC232">
        <v>4.0400965883749987E-2</v>
      </c>
      <c r="AD232" t="s">
        <v>73</v>
      </c>
    </row>
    <row r="233" spans="17:30" x14ac:dyDescent="0.25">
      <c r="Q233" t="s">
        <v>105</v>
      </c>
      <c r="R233" t="s">
        <v>79</v>
      </c>
      <c r="S233">
        <v>3.4851934652206537E-4</v>
      </c>
      <c r="T233" t="s">
        <v>73</v>
      </c>
      <c r="V233" t="s">
        <v>125</v>
      </c>
      <c r="W233" t="s">
        <v>79</v>
      </c>
      <c r="X233">
        <v>8.730768881370557E-2</v>
      </c>
      <c r="Y233" t="s">
        <v>73</v>
      </c>
      <c r="AA233" t="s">
        <v>145</v>
      </c>
      <c r="AB233" t="s">
        <v>79</v>
      </c>
      <c r="AC233">
        <v>8.7861620828520337E-2</v>
      </c>
      <c r="AD233" t="s">
        <v>73</v>
      </c>
    </row>
    <row r="234" spans="17:30" x14ac:dyDescent="0.25">
      <c r="Q234" t="s">
        <v>105</v>
      </c>
      <c r="R234" t="s">
        <v>80</v>
      </c>
      <c r="S234">
        <v>6.8370079047381682E-2</v>
      </c>
      <c r="T234" t="s">
        <v>73</v>
      </c>
      <c r="V234" t="s">
        <v>125</v>
      </c>
      <c r="W234" t="s">
        <v>80</v>
      </c>
      <c r="X234">
        <v>4.0256396835843471E-2</v>
      </c>
      <c r="Y234" t="s">
        <v>73</v>
      </c>
      <c r="AA234" t="s">
        <v>145</v>
      </c>
      <c r="AB234" t="s">
        <v>80</v>
      </c>
      <c r="AC234">
        <v>4.0826931790919389E-2</v>
      </c>
      <c r="AD234" t="s">
        <v>73</v>
      </c>
    </row>
    <row r="235" spans="17:30" x14ac:dyDescent="0.25">
      <c r="Q235" t="s">
        <v>105</v>
      </c>
      <c r="R235" t="s">
        <v>81</v>
      </c>
      <c r="S235">
        <v>0.11378665499066901</v>
      </c>
      <c r="T235" t="s">
        <v>73</v>
      </c>
      <c r="V235" t="s">
        <v>125</v>
      </c>
      <c r="W235" t="s">
        <v>81</v>
      </c>
      <c r="X235">
        <v>2.7701841196752175E-2</v>
      </c>
      <c r="Y235" t="s">
        <v>73</v>
      </c>
      <c r="AA235" t="s">
        <v>145</v>
      </c>
      <c r="AB235" t="s">
        <v>81</v>
      </c>
      <c r="AC235">
        <v>2.9738321010926681E-2</v>
      </c>
      <c r="AD235" t="s">
        <v>73</v>
      </c>
    </row>
    <row r="236" spans="17:30" x14ac:dyDescent="0.25">
      <c r="Q236" t="s">
        <v>105</v>
      </c>
      <c r="R236" t="s">
        <v>82</v>
      </c>
      <c r="S236">
        <v>0.10666100723558794</v>
      </c>
      <c r="T236" t="s">
        <v>73</v>
      </c>
      <c r="V236" t="s">
        <v>125</v>
      </c>
      <c r="W236" t="s">
        <v>82</v>
      </c>
      <c r="X236">
        <v>2.8724261244371281E-2</v>
      </c>
      <c r="Y236" t="s">
        <v>73</v>
      </c>
      <c r="AA236" t="s">
        <v>145</v>
      </c>
      <c r="AB236" t="s">
        <v>82</v>
      </c>
      <c r="AC236">
        <v>2.9731450979862347E-2</v>
      </c>
      <c r="AD236" t="s">
        <v>73</v>
      </c>
    </row>
    <row r="237" spans="17:30" x14ac:dyDescent="0.25">
      <c r="Q237" t="s">
        <v>105</v>
      </c>
      <c r="R237" t="s">
        <v>83</v>
      </c>
      <c r="S237">
        <v>7.743997422623837E-2</v>
      </c>
      <c r="T237" t="s">
        <v>73</v>
      </c>
      <c r="V237" t="s">
        <v>125</v>
      </c>
      <c r="W237" t="s">
        <v>83</v>
      </c>
      <c r="X237">
        <v>2.8583651894687735E-2</v>
      </c>
      <c r="Y237" t="s">
        <v>73</v>
      </c>
      <c r="AA237" t="s">
        <v>145</v>
      </c>
      <c r="AB237" t="s">
        <v>83</v>
      </c>
      <c r="AC237">
        <v>3.1028700270724578E-2</v>
      </c>
      <c r="AD237" t="s">
        <v>73</v>
      </c>
    </row>
    <row r="238" spans="17:30" x14ac:dyDescent="0.25">
      <c r="Q238" t="s">
        <v>105</v>
      </c>
      <c r="R238" t="s">
        <v>84</v>
      </c>
      <c r="S238">
        <v>1.3777198236998647E-2</v>
      </c>
      <c r="T238" t="s">
        <v>73</v>
      </c>
      <c r="V238" t="s">
        <v>125</v>
      </c>
      <c r="W238" t="s">
        <v>84</v>
      </c>
      <c r="X238">
        <v>2.9735561097202545E-2</v>
      </c>
      <c r="Y238" t="s">
        <v>73</v>
      </c>
      <c r="AA238" t="s">
        <v>145</v>
      </c>
      <c r="AB238" t="s">
        <v>84</v>
      </c>
      <c r="AC238">
        <v>3.2564478337905774E-2</v>
      </c>
      <c r="AD238" t="s">
        <v>73</v>
      </c>
    </row>
    <row r="239" spans="17:30" x14ac:dyDescent="0.25">
      <c r="Q239" t="s">
        <v>105</v>
      </c>
      <c r="R239" t="s">
        <v>85</v>
      </c>
      <c r="S239">
        <v>2.0191393391025981E-3</v>
      </c>
      <c r="T239" t="s">
        <v>73</v>
      </c>
      <c r="V239" t="s">
        <v>125</v>
      </c>
      <c r="W239" t="s">
        <v>85</v>
      </c>
      <c r="X239">
        <v>5.3497141345584483E-2</v>
      </c>
      <c r="Y239" t="s">
        <v>73</v>
      </c>
      <c r="AA239" t="s">
        <v>145</v>
      </c>
      <c r="AB239" t="s">
        <v>85</v>
      </c>
      <c r="AC239">
        <v>6.0741494606799985E-2</v>
      </c>
      <c r="AD239" t="s">
        <v>73</v>
      </c>
    </row>
    <row r="240" spans="17:30" x14ac:dyDescent="0.25">
      <c r="Q240" t="s">
        <v>105</v>
      </c>
      <c r="R240" t="s">
        <v>86</v>
      </c>
      <c r="S240">
        <v>8.0461430222529648E-2</v>
      </c>
      <c r="T240" t="s">
        <v>73</v>
      </c>
      <c r="V240" t="s">
        <v>125</v>
      </c>
      <c r="W240" t="s">
        <v>86</v>
      </c>
      <c r="X240">
        <v>2.5965445003970113E-2</v>
      </c>
      <c r="Y240" t="s">
        <v>73</v>
      </c>
      <c r="AA240" t="s">
        <v>145</v>
      </c>
      <c r="AB240" t="s">
        <v>86</v>
      </c>
      <c r="AC240">
        <v>2.9125154916873619E-2</v>
      </c>
      <c r="AD240" t="s">
        <v>73</v>
      </c>
    </row>
    <row r="241" spans="17:30" x14ac:dyDescent="0.25">
      <c r="Q241" t="s">
        <v>105</v>
      </c>
      <c r="R241" t="s">
        <v>87</v>
      </c>
      <c r="S241">
        <v>0.10945361509018796</v>
      </c>
      <c r="T241" t="s">
        <v>73</v>
      </c>
      <c r="V241" t="s">
        <v>125</v>
      </c>
      <c r="W241" t="s">
        <v>87</v>
      </c>
      <c r="X241">
        <v>2.0592762461425676E-2</v>
      </c>
      <c r="Y241" t="s">
        <v>73</v>
      </c>
      <c r="AA241" t="s">
        <v>145</v>
      </c>
      <c r="AB241" t="s">
        <v>87</v>
      </c>
      <c r="AC241">
        <v>2.1743682385438431E-2</v>
      </c>
      <c r="AD241" t="s">
        <v>73</v>
      </c>
    </row>
    <row r="242" spans="17:30" x14ac:dyDescent="0.25">
      <c r="Q242" t="s">
        <v>105</v>
      </c>
      <c r="R242" t="s">
        <v>88</v>
      </c>
      <c r="S242">
        <v>0.10685614493055701</v>
      </c>
      <c r="T242" t="s">
        <v>73</v>
      </c>
      <c r="V242" t="s">
        <v>125</v>
      </c>
      <c r="W242" t="s">
        <v>88</v>
      </c>
      <c r="X242">
        <v>2.2402974870943868E-2</v>
      </c>
      <c r="Y242" t="s">
        <v>73</v>
      </c>
      <c r="AA242" t="s">
        <v>145</v>
      </c>
      <c r="AB242" t="s">
        <v>88</v>
      </c>
      <c r="AC242">
        <v>2.0706968162085098E-2</v>
      </c>
      <c r="AD242" t="s">
        <v>73</v>
      </c>
    </row>
    <row r="243" spans="17:30" x14ac:dyDescent="0.25">
      <c r="Q243" t="s">
        <v>105</v>
      </c>
      <c r="R243" t="s">
        <v>89</v>
      </c>
      <c r="S243">
        <v>8.6716804969308003E-2</v>
      </c>
      <c r="T243" t="s">
        <v>73</v>
      </c>
      <c r="V243" t="s">
        <v>125</v>
      </c>
      <c r="W243" t="s">
        <v>89</v>
      </c>
      <c r="X243">
        <v>2.2167407472418237E-2</v>
      </c>
      <c r="Y243" t="s">
        <v>73</v>
      </c>
      <c r="AA243" t="s">
        <v>145</v>
      </c>
      <c r="AB243" t="s">
        <v>89</v>
      </c>
      <c r="AC243">
        <v>2.1693781830973008E-2</v>
      </c>
      <c r="AD243" t="s">
        <v>73</v>
      </c>
    </row>
    <row r="244" spans="17:30" x14ac:dyDescent="0.25">
      <c r="Q244" t="s">
        <v>105</v>
      </c>
      <c r="R244" t="s">
        <v>90</v>
      </c>
      <c r="S244">
        <v>3.0243659495511725E-2</v>
      </c>
      <c r="T244" t="s">
        <v>73</v>
      </c>
      <c r="V244" t="s">
        <v>125</v>
      </c>
      <c r="W244" t="s">
        <v>90</v>
      </c>
      <c r="X244">
        <v>1.8157191692001348E-2</v>
      </c>
      <c r="Y244" t="s">
        <v>73</v>
      </c>
      <c r="AA244" t="s">
        <v>145</v>
      </c>
      <c r="AB244" t="s">
        <v>90</v>
      </c>
      <c r="AC244">
        <v>2.1925174641139102E-2</v>
      </c>
      <c r="AD244" t="s">
        <v>73</v>
      </c>
    </row>
    <row r="245" spans="17:30" x14ac:dyDescent="0.25">
      <c r="Q245" t="s">
        <v>105</v>
      </c>
      <c r="R245" t="s">
        <v>91</v>
      </c>
      <c r="S245">
        <v>0</v>
      </c>
      <c r="T245" t="s">
        <v>73</v>
      </c>
      <c r="V245" t="s">
        <v>125</v>
      </c>
      <c r="W245" t="s">
        <v>91</v>
      </c>
      <c r="X245">
        <v>9.6244195323072199E-2</v>
      </c>
      <c r="Y245" t="s">
        <v>73</v>
      </c>
      <c r="AA245" t="s">
        <v>145</v>
      </c>
      <c r="AB245" t="s">
        <v>91</v>
      </c>
      <c r="AC245">
        <v>9.1449130907787321E-2</v>
      </c>
      <c r="AD245" t="s">
        <v>73</v>
      </c>
    </row>
    <row r="246" spans="17:30" x14ac:dyDescent="0.25">
      <c r="Q246" t="s">
        <v>105</v>
      </c>
      <c r="R246" t="s">
        <v>92</v>
      </c>
      <c r="S246">
        <v>1.6998198577538339E-2</v>
      </c>
      <c r="T246" t="s">
        <v>73</v>
      </c>
      <c r="V246" t="s">
        <v>125</v>
      </c>
      <c r="W246" t="s">
        <v>92</v>
      </c>
      <c r="X246">
        <v>4.5832833644151368E-2</v>
      </c>
      <c r="Y246" t="s">
        <v>73</v>
      </c>
      <c r="AA246" t="s">
        <v>145</v>
      </c>
      <c r="AB246" t="s">
        <v>92</v>
      </c>
      <c r="AC246">
        <v>4.3641585771335985E-2</v>
      </c>
      <c r="AD246" t="s">
        <v>73</v>
      </c>
    </row>
    <row r="247" spans="17:30" x14ac:dyDescent="0.25">
      <c r="Q247" t="s">
        <v>105</v>
      </c>
      <c r="R247" t="s">
        <v>93</v>
      </c>
      <c r="S247">
        <v>4.695180028760889E-2</v>
      </c>
      <c r="T247" t="s">
        <v>73</v>
      </c>
      <c r="V247" t="s">
        <v>125</v>
      </c>
      <c r="W247" t="s">
        <v>93</v>
      </c>
      <c r="X247">
        <v>3.3782912944182411E-2</v>
      </c>
      <c r="Y247" t="s">
        <v>73</v>
      </c>
      <c r="AA247" t="s">
        <v>145</v>
      </c>
      <c r="AB247" t="s">
        <v>93</v>
      </c>
      <c r="AC247">
        <v>3.3176654073395276E-2</v>
      </c>
      <c r="AD247" t="s">
        <v>73</v>
      </c>
    </row>
    <row r="248" spans="17:30" x14ac:dyDescent="0.25">
      <c r="Q248" t="s">
        <v>105</v>
      </c>
      <c r="R248" t="s">
        <v>94</v>
      </c>
      <c r="S248">
        <v>4.6305484763614686E-2</v>
      </c>
      <c r="T248" t="s">
        <v>73</v>
      </c>
      <c r="V248" t="s">
        <v>125</v>
      </c>
      <c r="W248" t="s">
        <v>94</v>
      </c>
      <c r="X248">
        <v>3.4015254030963796E-2</v>
      </c>
      <c r="Y248" t="s">
        <v>73</v>
      </c>
      <c r="AA248" t="s">
        <v>145</v>
      </c>
      <c r="AB248" t="s">
        <v>94</v>
      </c>
      <c r="AC248">
        <v>3.2399633896181335E-2</v>
      </c>
      <c r="AD248" t="s">
        <v>73</v>
      </c>
    </row>
    <row r="249" spans="17:30" x14ac:dyDescent="0.25">
      <c r="Q249" t="s">
        <v>105</v>
      </c>
      <c r="R249" t="s">
        <v>95</v>
      </c>
      <c r="S249">
        <v>2.4985557415477859E-2</v>
      </c>
      <c r="T249" t="s">
        <v>73</v>
      </c>
      <c r="V249" t="s">
        <v>125</v>
      </c>
      <c r="W249" t="s">
        <v>95</v>
      </c>
      <c r="X249">
        <v>3.4097539674405514E-2</v>
      </c>
      <c r="Y249" t="s">
        <v>73</v>
      </c>
      <c r="AA249" t="s">
        <v>145</v>
      </c>
      <c r="AB249" t="s">
        <v>95</v>
      </c>
      <c r="AC249">
        <v>3.256146281847383E-2</v>
      </c>
      <c r="AD249" t="s">
        <v>73</v>
      </c>
    </row>
    <row r="250" spans="17:30" x14ac:dyDescent="0.25">
      <c r="Q250" t="s">
        <v>105</v>
      </c>
      <c r="R250" t="s">
        <v>96</v>
      </c>
      <c r="S250">
        <v>1.3886877892669916E-3</v>
      </c>
      <c r="T250" t="s">
        <v>73</v>
      </c>
      <c r="V250" t="s">
        <v>125</v>
      </c>
      <c r="W250" t="s">
        <v>96</v>
      </c>
      <c r="X250">
        <v>3.6995615623192556E-2</v>
      </c>
      <c r="Y250" t="s">
        <v>73</v>
      </c>
      <c r="AA250" t="s">
        <v>145</v>
      </c>
      <c r="AB250" t="s">
        <v>96</v>
      </c>
      <c r="AC250">
        <v>3.540428814917633E-2</v>
      </c>
      <c r="AD250" t="s">
        <v>73</v>
      </c>
    </row>
    <row r="251" spans="17:30" x14ac:dyDescent="0.25">
      <c r="Q251" t="s">
        <v>106</v>
      </c>
      <c r="R251" t="s">
        <v>72</v>
      </c>
      <c r="S251">
        <v>0</v>
      </c>
      <c r="T251" t="s">
        <v>73</v>
      </c>
      <c r="V251" t="s">
        <v>126</v>
      </c>
      <c r="W251" t="s">
        <v>72</v>
      </c>
      <c r="X251">
        <v>0.10836391684388573</v>
      </c>
      <c r="Y251" t="s">
        <v>73</v>
      </c>
    </row>
    <row r="252" spans="17:30" x14ac:dyDescent="0.25">
      <c r="Q252" t="s">
        <v>106</v>
      </c>
      <c r="R252" t="s">
        <v>74</v>
      </c>
      <c r="S252">
        <v>1.1076724473383459E-3</v>
      </c>
      <c r="T252" t="s">
        <v>73</v>
      </c>
      <c r="V252" t="s">
        <v>126</v>
      </c>
      <c r="W252" t="s">
        <v>74</v>
      </c>
      <c r="X252">
        <v>5.4820349336589136E-2</v>
      </c>
      <c r="Y252" t="s">
        <v>73</v>
      </c>
    </row>
    <row r="253" spans="17:30" x14ac:dyDescent="0.25">
      <c r="Q253" t="s">
        <v>106</v>
      </c>
      <c r="R253" t="s">
        <v>75</v>
      </c>
      <c r="S253">
        <v>2.7176057564794822E-2</v>
      </c>
      <c r="T253" t="s">
        <v>73</v>
      </c>
      <c r="V253" t="s">
        <v>126</v>
      </c>
      <c r="W253" t="s">
        <v>75</v>
      </c>
      <c r="X253">
        <v>4.2201542954729152E-2</v>
      </c>
      <c r="Y253" t="s">
        <v>73</v>
      </c>
    </row>
    <row r="254" spans="17:30" x14ac:dyDescent="0.25">
      <c r="Q254" t="s">
        <v>106</v>
      </c>
      <c r="R254" t="s">
        <v>76</v>
      </c>
      <c r="S254">
        <v>3.3309455971159037E-2</v>
      </c>
      <c r="T254" t="s">
        <v>73</v>
      </c>
      <c r="V254" t="s">
        <v>126</v>
      </c>
      <c r="W254" t="s">
        <v>76</v>
      </c>
      <c r="X254">
        <v>4.133376186595366E-2</v>
      </c>
      <c r="Y254" t="s">
        <v>73</v>
      </c>
    </row>
    <row r="255" spans="17:30" x14ac:dyDescent="0.25">
      <c r="Q255" t="s">
        <v>106</v>
      </c>
      <c r="R255" t="s">
        <v>77</v>
      </c>
      <c r="S255">
        <v>1.0193781433546593E-2</v>
      </c>
      <c r="T255" t="s">
        <v>73</v>
      </c>
      <c r="V255" t="s">
        <v>126</v>
      </c>
      <c r="W255" t="s">
        <v>77</v>
      </c>
      <c r="X255">
        <v>4.3719699801286177E-2</v>
      </c>
      <c r="Y255" t="s">
        <v>73</v>
      </c>
    </row>
    <row r="256" spans="17:30" x14ac:dyDescent="0.25">
      <c r="Q256" t="s">
        <v>106</v>
      </c>
      <c r="R256" t="s">
        <v>78</v>
      </c>
      <c r="S256">
        <v>0</v>
      </c>
      <c r="T256" t="s">
        <v>73</v>
      </c>
      <c r="V256" t="s">
        <v>126</v>
      </c>
      <c r="W256" t="s">
        <v>78</v>
      </c>
      <c r="X256">
        <v>4.5566737533321841E-2</v>
      </c>
      <c r="Y256" t="s">
        <v>73</v>
      </c>
    </row>
    <row r="257" spans="17:25" x14ac:dyDescent="0.25">
      <c r="Q257" t="s">
        <v>106</v>
      </c>
      <c r="R257" t="s">
        <v>79</v>
      </c>
      <c r="S257">
        <v>2.591425465353599E-4</v>
      </c>
      <c r="T257" t="s">
        <v>73</v>
      </c>
      <c r="V257" t="s">
        <v>126</v>
      </c>
      <c r="W257" t="s">
        <v>79</v>
      </c>
      <c r="X257">
        <v>7.9505689958406539E-2</v>
      </c>
      <c r="Y257" t="s">
        <v>73</v>
      </c>
    </row>
    <row r="258" spans="17:25" x14ac:dyDescent="0.25">
      <c r="Q258" t="s">
        <v>106</v>
      </c>
      <c r="R258" t="s">
        <v>80</v>
      </c>
      <c r="S258">
        <v>6.6287274944214603E-2</v>
      </c>
      <c r="T258" t="s">
        <v>73</v>
      </c>
      <c r="V258" t="s">
        <v>126</v>
      </c>
      <c r="W258" t="s">
        <v>80</v>
      </c>
      <c r="X258">
        <v>3.5823837039453119E-2</v>
      </c>
      <c r="Y258" t="s">
        <v>73</v>
      </c>
    </row>
    <row r="259" spans="17:25" x14ac:dyDescent="0.25">
      <c r="Q259" t="s">
        <v>106</v>
      </c>
      <c r="R259" t="s">
        <v>81</v>
      </c>
      <c r="S259">
        <v>0.1101243007645689</v>
      </c>
      <c r="T259" t="s">
        <v>73</v>
      </c>
      <c r="V259" t="s">
        <v>126</v>
      </c>
      <c r="W259" t="s">
        <v>81</v>
      </c>
      <c r="X259">
        <v>2.5404488181590707E-2</v>
      </c>
      <c r="Y259" t="s">
        <v>73</v>
      </c>
    </row>
    <row r="260" spans="17:25" x14ac:dyDescent="0.25">
      <c r="Q260" t="s">
        <v>106</v>
      </c>
      <c r="R260" t="s">
        <v>82</v>
      </c>
      <c r="S260">
        <v>0.10398758139918342</v>
      </c>
      <c r="T260" t="s">
        <v>73</v>
      </c>
      <c r="V260" t="s">
        <v>126</v>
      </c>
      <c r="W260" t="s">
        <v>82</v>
      </c>
      <c r="X260">
        <v>2.7156335607095197E-2</v>
      </c>
      <c r="Y260" t="s">
        <v>73</v>
      </c>
    </row>
    <row r="261" spans="17:25" x14ac:dyDescent="0.25">
      <c r="Q261" t="s">
        <v>106</v>
      </c>
      <c r="R261" t="s">
        <v>83</v>
      </c>
      <c r="S261">
        <v>7.28925774907664E-2</v>
      </c>
      <c r="T261" t="s">
        <v>73</v>
      </c>
      <c r="V261" t="s">
        <v>126</v>
      </c>
      <c r="W261" t="s">
        <v>83</v>
      </c>
      <c r="X261">
        <v>2.7766270141037778E-2</v>
      </c>
      <c r="Y261" t="s">
        <v>73</v>
      </c>
    </row>
    <row r="262" spans="17:25" x14ac:dyDescent="0.25">
      <c r="Q262" t="s">
        <v>106</v>
      </c>
      <c r="R262" t="s">
        <v>84</v>
      </c>
      <c r="S262">
        <v>1.2026660232155225E-2</v>
      </c>
      <c r="T262" t="s">
        <v>73</v>
      </c>
      <c r="V262" t="s">
        <v>126</v>
      </c>
      <c r="W262" t="s">
        <v>84</v>
      </c>
      <c r="X262">
        <v>2.98546470868385E-2</v>
      </c>
      <c r="Y262" t="s">
        <v>73</v>
      </c>
    </row>
    <row r="263" spans="17:25" x14ac:dyDescent="0.25">
      <c r="Q263" t="s">
        <v>106</v>
      </c>
      <c r="R263" t="s">
        <v>85</v>
      </c>
      <c r="S263">
        <v>2.0239934906059061E-3</v>
      </c>
      <c r="T263" t="s">
        <v>73</v>
      </c>
      <c r="V263" t="s">
        <v>126</v>
      </c>
      <c r="W263" t="s">
        <v>85</v>
      </c>
      <c r="X263">
        <v>5.423129396647728E-2</v>
      </c>
      <c r="Y263" t="s">
        <v>73</v>
      </c>
    </row>
    <row r="264" spans="17:25" x14ac:dyDescent="0.25">
      <c r="Q264" t="s">
        <v>106</v>
      </c>
      <c r="R264" t="s">
        <v>86</v>
      </c>
      <c r="S264">
        <v>8.5825694795525945E-2</v>
      </c>
      <c r="T264" t="s">
        <v>73</v>
      </c>
      <c r="V264" t="s">
        <v>126</v>
      </c>
      <c r="W264" t="s">
        <v>86</v>
      </c>
      <c r="X264">
        <v>2.4945266498705432E-2</v>
      </c>
      <c r="Y264" t="s">
        <v>73</v>
      </c>
    </row>
    <row r="265" spans="17:25" x14ac:dyDescent="0.25">
      <c r="Q265" t="s">
        <v>106</v>
      </c>
      <c r="R265" t="s">
        <v>87</v>
      </c>
      <c r="S265">
        <v>0.11096590727508465</v>
      </c>
      <c r="T265" t="s">
        <v>73</v>
      </c>
      <c r="V265" t="s">
        <v>126</v>
      </c>
      <c r="W265" t="s">
        <v>87</v>
      </c>
      <c r="X265">
        <v>1.6175298792024388E-2</v>
      </c>
      <c r="Y265" t="s">
        <v>73</v>
      </c>
    </row>
    <row r="266" spans="17:25" x14ac:dyDescent="0.25">
      <c r="Q266" t="s">
        <v>106</v>
      </c>
      <c r="R266" t="s">
        <v>88</v>
      </c>
      <c r="S266">
        <v>0.10676254323756397</v>
      </c>
      <c r="T266" t="s">
        <v>73</v>
      </c>
      <c r="V266" t="s">
        <v>126</v>
      </c>
      <c r="W266" t="s">
        <v>88</v>
      </c>
      <c r="X266">
        <v>1.5898268851444297E-2</v>
      </c>
      <c r="Y266" t="s">
        <v>73</v>
      </c>
    </row>
    <row r="267" spans="17:25" x14ac:dyDescent="0.25">
      <c r="Q267" t="s">
        <v>106</v>
      </c>
      <c r="R267" t="s">
        <v>89</v>
      </c>
      <c r="S267">
        <v>8.5533494303371191E-2</v>
      </c>
      <c r="T267" t="s">
        <v>73</v>
      </c>
      <c r="V267" t="s">
        <v>126</v>
      </c>
      <c r="W267" t="s">
        <v>89</v>
      </c>
      <c r="X267">
        <v>1.6642625657501336E-2</v>
      </c>
      <c r="Y267" t="s">
        <v>73</v>
      </c>
    </row>
    <row r="268" spans="17:25" x14ac:dyDescent="0.25">
      <c r="Q268" t="s">
        <v>106</v>
      </c>
      <c r="R268" t="s">
        <v>90</v>
      </c>
      <c r="S268">
        <v>2.7499637324350901E-2</v>
      </c>
      <c r="T268" t="s">
        <v>73</v>
      </c>
      <c r="V268" t="s">
        <v>126</v>
      </c>
      <c r="W268" t="s">
        <v>90</v>
      </c>
      <c r="X268">
        <v>1.6508086877433017E-2</v>
      </c>
      <c r="Y268" t="s">
        <v>73</v>
      </c>
    </row>
    <row r="269" spans="17:25" x14ac:dyDescent="0.25">
      <c r="Q269" t="s">
        <v>106</v>
      </c>
      <c r="R269" t="s">
        <v>91</v>
      </c>
      <c r="S269">
        <v>0</v>
      </c>
      <c r="T269" t="s">
        <v>73</v>
      </c>
      <c r="V269" t="s">
        <v>126</v>
      </c>
      <c r="W269" t="s">
        <v>91</v>
      </c>
      <c r="X269">
        <v>9.9023952035370497E-2</v>
      </c>
      <c r="Y269" t="s">
        <v>73</v>
      </c>
    </row>
    <row r="270" spans="17:25" x14ac:dyDescent="0.25">
      <c r="Q270" t="s">
        <v>106</v>
      </c>
      <c r="R270" t="s">
        <v>92</v>
      </c>
      <c r="S270">
        <v>1.8752053353178942E-2</v>
      </c>
      <c r="T270" t="s">
        <v>73</v>
      </c>
      <c r="V270" t="s">
        <v>126</v>
      </c>
      <c r="W270" t="s">
        <v>92</v>
      </c>
      <c r="X270">
        <v>5.3000597813439895E-2</v>
      </c>
      <c r="Y270" t="s">
        <v>73</v>
      </c>
    </row>
    <row r="271" spans="17:25" x14ac:dyDescent="0.25">
      <c r="Q271" t="s">
        <v>106</v>
      </c>
      <c r="R271" t="s">
        <v>93</v>
      </c>
      <c r="S271">
        <v>4.9232877913246639E-2</v>
      </c>
      <c r="T271" t="s">
        <v>73</v>
      </c>
      <c r="V271" t="s">
        <v>126</v>
      </c>
      <c r="W271" t="s">
        <v>93</v>
      </c>
      <c r="X271">
        <v>3.7755263276870774E-2</v>
      </c>
      <c r="Y271" t="s">
        <v>73</v>
      </c>
    </row>
    <row r="272" spans="17:25" x14ac:dyDescent="0.25">
      <c r="Q272" t="s">
        <v>106</v>
      </c>
      <c r="R272" t="s">
        <v>94</v>
      </c>
      <c r="S272">
        <v>4.8653953162361367E-2</v>
      </c>
      <c r="T272" t="s">
        <v>73</v>
      </c>
      <c r="V272" t="s">
        <v>126</v>
      </c>
      <c r="W272" t="s">
        <v>94</v>
      </c>
      <c r="X272">
        <v>3.4157890216576663E-2</v>
      </c>
      <c r="Y272" t="s">
        <v>73</v>
      </c>
    </row>
    <row r="273" spans="17:25" x14ac:dyDescent="0.25">
      <c r="Q273" t="s">
        <v>106</v>
      </c>
      <c r="R273" t="s">
        <v>95</v>
      </c>
      <c r="S273">
        <v>2.611133525016655E-2</v>
      </c>
      <c r="T273" t="s">
        <v>73</v>
      </c>
      <c r="V273" t="s">
        <v>126</v>
      </c>
      <c r="W273" t="s">
        <v>95</v>
      </c>
      <c r="X273">
        <v>3.2981757732120379E-2</v>
      </c>
      <c r="Y273" t="s">
        <v>73</v>
      </c>
    </row>
    <row r="274" spans="17:25" x14ac:dyDescent="0.25">
      <c r="Q274" t="s">
        <v>106</v>
      </c>
      <c r="R274" t="s">
        <v>96</v>
      </c>
      <c r="S274">
        <v>1.274005100279089E-3</v>
      </c>
      <c r="T274" t="s">
        <v>73</v>
      </c>
      <c r="V274" t="s">
        <v>126</v>
      </c>
      <c r="W274" t="s">
        <v>96</v>
      </c>
      <c r="X274">
        <v>3.716242193184733E-2</v>
      </c>
      <c r="Y274" t="s">
        <v>73</v>
      </c>
    </row>
    <row r="275" spans="17:25" x14ac:dyDescent="0.25">
      <c r="Q275" t="s">
        <v>107</v>
      </c>
      <c r="R275" t="s">
        <v>72</v>
      </c>
      <c r="S275">
        <v>0</v>
      </c>
      <c r="T275" t="s">
        <v>73</v>
      </c>
      <c r="V275" t="s">
        <v>127</v>
      </c>
      <c r="W275" t="s">
        <v>72</v>
      </c>
      <c r="X275">
        <v>0.10485549921095706</v>
      </c>
      <c r="Y275" t="s">
        <v>73</v>
      </c>
    </row>
    <row r="276" spans="17:25" x14ac:dyDescent="0.25">
      <c r="Q276" t="s">
        <v>107</v>
      </c>
      <c r="R276" t="s">
        <v>74</v>
      </c>
      <c r="S276">
        <v>3.1919386499890991E-3</v>
      </c>
      <c r="T276" t="s">
        <v>73</v>
      </c>
      <c r="V276" t="s">
        <v>127</v>
      </c>
      <c r="W276" t="s">
        <v>74</v>
      </c>
      <c r="X276">
        <v>5.3789991076518565E-2</v>
      </c>
      <c r="Y276" t="s">
        <v>73</v>
      </c>
    </row>
    <row r="277" spans="17:25" x14ac:dyDescent="0.25">
      <c r="Q277" t="s">
        <v>107</v>
      </c>
      <c r="R277" t="s">
        <v>75</v>
      </c>
      <c r="S277">
        <v>3.9443973512029662E-2</v>
      </c>
      <c r="T277" t="s">
        <v>73</v>
      </c>
      <c r="V277" t="s">
        <v>127</v>
      </c>
      <c r="W277" t="s">
        <v>75</v>
      </c>
      <c r="X277">
        <v>4.0722903014517892E-2</v>
      </c>
      <c r="Y277" t="s">
        <v>73</v>
      </c>
    </row>
    <row r="278" spans="17:25" x14ac:dyDescent="0.25">
      <c r="Q278" t="s">
        <v>107</v>
      </c>
      <c r="R278" t="s">
        <v>76</v>
      </c>
      <c r="S278">
        <v>4.5219963202878681E-2</v>
      </c>
      <c r="T278" t="s">
        <v>73</v>
      </c>
      <c r="V278" t="s">
        <v>127</v>
      </c>
      <c r="W278" t="s">
        <v>76</v>
      </c>
      <c r="X278">
        <v>3.8883119344411278E-2</v>
      </c>
      <c r="Y278" t="s">
        <v>73</v>
      </c>
    </row>
    <row r="279" spans="17:25" x14ac:dyDescent="0.25">
      <c r="Q279" t="s">
        <v>107</v>
      </c>
      <c r="R279" t="s">
        <v>77</v>
      </c>
      <c r="S279">
        <v>1.5257208891574526E-2</v>
      </c>
      <c r="T279" t="s">
        <v>73</v>
      </c>
      <c r="V279" t="s">
        <v>127</v>
      </c>
      <c r="W279" t="s">
        <v>77</v>
      </c>
      <c r="X279">
        <v>3.9674543505678256E-2</v>
      </c>
      <c r="Y279" t="s">
        <v>73</v>
      </c>
    </row>
    <row r="280" spans="17:25" x14ac:dyDescent="0.25">
      <c r="Q280" t="s">
        <v>107</v>
      </c>
      <c r="R280" t="s">
        <v>78</v>
      </c>
      <c r="S280">
        <v>0</v>
      </c>
      <c r="T280" t="s">
        <v>73</v>
      </c>
      <c r="V280" t="s">
        <v>127</v>
      </c>
      <c r="W280" t="s">
        <v>78</v>
      </c>
      <c r="X280">
        <v>4.262201499154207E-2</v>
      </c>
      <c r="Y280" t="s">
        <v>73</v>
      </c>
    </row>
    <row r="281" spans="17:25" x14ac:dyDescent="0.25">
      <c r="Q281" t="s">
        <v>107</v>
      </c>
      <c r="R281" t="s">
        <v>79</v>
      </c>
      <c r="S281">
        <v>0</v>
      </c>
      <c r="T281" t="s">
        <v>73</v>
      </c>
      <c r="V281" t="s">
        <v>127</v>
      </c>
      <c r="W281" t="s">
        <v>79</v>
      </c>
      <c r="X281">
        <v>8.9997050300728632E-2</v>
      </c>
      <c r="Y281" t="s">
        <v>73</v>
      </c>
    </row>
    <row r="282" spans="17:25" x14ac:dyDescent="0.25">
      <c r="Q282" t="s">
        <v>107</v>
      </c>
      <c r="R282" t="s">
        <v>80</v>
      </c>
      <c r="S282">
        <v>5.7573785158762547E-2</v>
      </c>
      <c r="T282" t="s">
        <v>73</v>
      </c>
      <c r="V282" t="s">
        <v>127</v>
      </c>
      <c r="W282" t="s">
        <v>80</v>
      </c>
      <c r="X282">
        <v>3.7298535863692639E-2</v>
      </c>
      <c r="Y282" t="s">
        <v>73</v>
      </c>
    </row>
    <row r="283" spans="17:25" x14ac:dyDescent="0.25">
      <c r="Q283" t="s">
        <v>107</v>
      </c>
      <c r="R283" t="s">
        <v>81</v>
      </c>
      <c r="S283">
        <v>9.7786830642415321E-2</v>
      </c>
      <c r="T283" t="s">
        <v>73</v>
      </c>
      <c r="V283" t="s">
        <v>127</v>
      </c>
      <c r="W283" t="s">
        <v>81</v>
      </c>
      <c r="X283">
        <v>2.2065749630674474E-2</v>
      </c>
      <c r="Y283" t="s">
        <v>73</v>
      </c>
    </row>
    <row r="284" spans="17:25" x14ac:dyDescent="0.25">
      <c r="Q284" t="s">
        <v>107</v>
      </c>
      <c r="R284" t="s">
        <v>82</v>
      </c>
      <c r="S284">
        <v>9.2840742685310507E-2</v>
      </c>
      <c r="T284" t="s">
        <v>73</v>
      </c>
      <c r="V284" t="s">
        <v>127</v>
      </c>
      <c r="W284" t="s">
        <v>82</v>
      </c>
      <c r="X284">
        <v>2.5454007823326564E-2</v>
      </c>
      <c r="Y284" t="s">
        <v>73</v>
      </c>
    </row>
    <row r="285" spans="17:25" x14ac:dyDescent="0.25">
      <c r="Q285" t="s">
        <v>107</v>
      </c>
      <c r="R285" t="s">
        <v>83</v>
      </c>
      <c r="S285">
        <v>6.3496692155623535E-2</v>
      </c>
      <c r="T285" t="s">
        <v>73</v>
      </c>
      <c r="V285" t="s">
        <v>127</v>
      </c>
      <c r="W285" t="s">
        <v>83</v>
      </c>
      <c r="X285">
        <v>2.6574155521460616E-2</v>
      </c>
      <c r="Y285" t="s">
        <v>73</v>
      </c>
    </row>
    <row r="286" spans="17:25" x14ac:dyDescent="0.25">
      <c r="Q286" t="s">
        <v>107</v>
      </c>
      <c r="R286" t="s">
        <v>84</v>
      </c>
      <c r="S286">
        <v>9.897835039593704E-3</v>
      </c>
      <c r="T286" t="s">
        <v>73</v>
      </c>
      <c r="V286" t="s">
        <v>127</v>
      </c>
      <c r="W286" t="s">
        <v>84</v>
      </c>
      <c r="X286">
        <v>2.9968391823742311E-2</v>
      </c>
      <c r="Y286" t="s">
        <v>73</v>
      </c>
    </row>
    <row r="287" spans="17:25" x14ac:dyDescent="0.25">
      <c r="Q287" t="s">
        <v>107</v>
      </c>
      <c r="R287" t="s">
        <v>85</v>
      </c>
      <c r="S287">
        <v>0</v>
      </c>
      <c r="T287" t="s">
        <v>73</v>
      </c>
      <c r="V287" t="s">
        <v>127</v>
      </c>
      <c r="W287" t="s">
        <v>85</v>
      </c>
      <c r="X287">
        <v>6.0330660020445272E-2</v>
      </c>
      <c r="Y287" t="s">
        <v>73</v>
      </c>
    </row>
    <row r="288" spans="17:25" x14ac:dyDescent="0.25">
      <c r="Q288" t="s">
        <v>107</v>
      </c>
      <c r="R288" t="s">
        <v>86</v>
      </c>
      <c r="S288">
        <v>7.8821314262607509E-2</v>
      </c>
      <c r="T288" t="s">
        <v>73</v>
      </c>
      <c r="V288" t="s">
        <v>127</v>
      </c>
      <c r="W288" t="s">
        <v>86</v>
      </c>
      <c r="X288">
        <v>2.5519790145856893E-2</v>
      </c>
      <c r="Y288" t="s">
        <v>73</v>
      </c>
    </row>
    <row r="289" spans="17:25" x14ac:dyDescent="0.25">
      <c r="Q289" t="s">
        <v>107</v>
      </c>
      <c r="R289" t="s">
        <v>87</v>
      </c>
      <c r="S289">
        <v>0.10794818442465212</v>
      </c>
      <c r="T289" t="s">
        <v>73</v>
      </c>
      <c r="V289" t="s">
        <v>127</v>
      </c>
      <c r="W289" t="s">
        <v>87</v>
      </c>
      <c r="X289">
        <v>1.8332106216308635E-2</v>
      </c>
      <c r="Y289" t="s">
        <v>73</v>
      </c>
    </row>
    <row r="290" spans="17:25" x14ac:dyDescent="0.25">
      <c r="Q290" t="s">
        <v>107</v>
      </c>
      <c r="R290" t="s">
        <v>88</v>
      </c>
      <c r="S290">
        <v>0.10376952500761236</v>
      </c>
      <c r="T290" t="s">
        <v>73</v>
      </c>
      <c r="V290" t="s">
        <v>127</v>
      </c>
      <c r="W290" t="s">
        <v>88</v>
      </c>
      <c r="X290">
        <v>1.9759353540035118E-2</v>
      </c>
      <c r="Y290" t="s">
        <v>73</v>
      </c>
    </row>
    <row r="291" spans="17:25" x14ac:dyDescent="0.25">
      <c r="Q291" t="s">
        <v>107</v>
      </c>
      <c r="R291" t="s">
        <v>89</v>
      </c>
      <c r="S291">
        <v>7.9726827801605116E-2</v>
      </c>
      <c r="T291" t="s">
        <v>73</v>
      </c>
      <c r="V291" t="s">
        <v>127</v>
      </c>
      <c r="W291" t="s">
        <v>89</v>
      </c>
      <c r="X291">
        <v>1.9613802517211135E-2</v>
      </c>
      <c r="Y291" t="s">
        <v>73</v>
      </c>
    </row>
    <row r="292" spans="17:25" x14ac:dyDescent="0.25">
      <c r="Q292" t="s">
        <v>107</v>
      </c>
      <c r="R292" t="s">
        <v>90</v>
      </c>
      <c r="S292">
        <v>2.1791635147382183E-2</v>
      </c>
      <c r="T292" t="s">
        <v>73</v>
      </c>
      <c r="V292" t="s">
        <v>127</v>
      </c>
      <c r="W292" t="s">
        <v>90</v>
      </c>
      <c r="X292">
        <v>1.8442483877205505E-2</v>
      </c>
      <c r="Y292" t="s">
        <v>73</v>
      </c>
    </row>
    <row r="293" spans="17:25" x14ac:dyDescent="0.25">
      <c r="Q293" t="s">
        <v>107</v>
      </c>
      <c r="R293" t="s">
        <v>91</v>
      </c>
      <c r="S293">
        <v>0</v>
      </c>
      <c r="T293" t="s">
        <v>73</v>
      </c>
      <c r="V293" t="s">
        <v>127</v>
      </c>
      <c r="W293" t="s">
        <v>91</v>
      </c>
      <c r="X293">
        <v>9.9450756483913716E-2</v>
      </c>
      <c r="Y293" t="s">
        <v>73</v>
      </c>
    </row>
    <row r="294" spans="17:25" x14ac:dyDescent="0.25">
      <c r="Q294" t="s">
        <v>107</v>
      </c>
      <c r="R294" t="s">
        <v>92</v>
      </c>
      <c r="S294">
        <v>2.4200478846490198E-2</v>
      </c>
      <c r="T294" t="s">
        <v>73</v>
      </c>
      <c r="V294" t="s">
        <v>127</v>
      </c>
      <c r="W294" t="s">
        <v>92</v>
      </c>
      <c r="X294">
        <v>4.7865022182217089E-2</v>
      </c>
      <c r="Y294" t="s">
        <v>73</v>
      </c>
    </row>
    <row r="295" spans="17:25" x14ac:dyDescent="0.25">
      <c r="Q295" t="s">
        <v>107</v>
      </c>
      <c r="R295" t="s">
        <v>93</v>
      </c>
      <c r="S295">
        <v>6.3834243782129221E-2</v>
      </c>
      <c r="T295" t="s">
        <v>73</v>
      </c>
      <c r="V295" t="s">
        <v>127</v>
      </c>
      <c r="W295" t="s">
        <v>93</v>
      </c>
      <c r="X295">
        <v>3.3058835832357455E-2</v>
      </c>
      <c r="Y295" t="s">
        <v>73</v>
      </c>
    </row>
    <row r="296" spans="17:25" x14ac:dyDescent="0.25">
      <c r="Q296" t="s">
        <v>107</v>
      </c>
      <c r="R296" t="s">
        <v>94</v>
      </c>
      <c r="S296">
        <v>6.1986127026064722E-2</v>
      </c>
      <c r="T296" t="s">
        <v>73</v>
      </c>
      <c r="V296" t="s">
        <v>127</v>
      </c>
      <c r="W296" t="s">
        <v>94</v>
      </c>
      <c r="X296">
        <v>3.3052602507954054E-2</v>
      </c>
      <c r="Y296" t="s">
        <v>73</v>
      </c>
    </row>
    <row r="297" spans="17:25" x14ac:dyDescent="0.25">
      <c r="Q297" t="s">
        <v>107</v>
      </c>
      <c r="R297" t="s">
        <v>95</v>
      </c>
      <c r="S297">
        <v>3.17549799645825E-2</v>
      </c>
      <c r="T297" t="s">
        <v>73</v>
      </c>
      <c r="V297" t="s">
        <v>127</v>
      </c>
      <c r="W297" t="s">
        <v>95</v>
      </c>
      <c r="X297">
        <v>3.4633548394228914E-2</v>
      </c>
      <c r="Y297" t="s">
        <v>73</v>
      </c>
    </row>
    <row r="298" spans="17:25" x14ac:dyDescent="0.25">
      <c r="Q298" t="s">
        <v>107</v>
      </c>
      <c r="R298" t="s">
        <v>96</v>
      </c>
      <c r="S298">
        <v>1.4577137986977763E-3</v>
      </c>
      <c r="T298" t="s">
        <v>73</v>
      </c>
      <c r="V298" t="s">
        <v>127</v>
      </c>
      <c r="W298" t="s">
        <v>96</v>
      </c>
      <c r="X298">
        <v>3.8035076175015274E-2</v>
      </c>
      <c r="Y298" t="s">
        <v>73</v>
      </c>
    </row>
    <row r="299" spans="17:25" x14ac:dyDescent="0.25">
      <c r="Q299" t="s">
        <v>108</v>
      </c>
      <c r="R299" t="s">
        <v>72</v>
      </c>
      <c r="S299">
        <v>0</v>
      </c>
      <c r="T299" t="s">
        <v>73</v>
      </c>
      <c r="V299" t="s">
        <v>128</v>
      </c>
      <c r="W299" t="s">
        <v>72</v>
      </c>
      <c r="X299">
        <v>0.1045705257561325</v>
      </c>
      <c r="Y299" t="s">
        <v>73</v>
      </c>
    </row>
    <row r="300" spans="17:25" x14ac:dyDescent="0.25">
      <c r="Q300" t="s">
        <v>108</v>
      </c>
      <c r="R300" t="s">
        <v>74</v>
      </c>
      <c r="S300">
        <v>2.8388516928711015E-3</v>
      </c>
      <c r="T300" t="s">
        <v>73</v>
      </c>
      <c r="V300" t="s">
        <v>128</v>
      </c>
      <c r="W300" t="s">
        <v>74</v>
      </c>
      <c r="X300">
        <v>5.1497677759969336E-2</v>
      </c>
      <c r="Y300" t="s">
        <v>73</v>
      </c>
    </row>
    <row r="301" spans="17:25" x14ac:dyDescent="0.25">
      <c r="Q301" t="s">
        <v>108</v>
      </c>
      <c r="R301" t="s">
        <v>75</v>
      </c>
      <c r="S301">
        <v>3.5772498537951058E-2</v>
      </c>
      <c r="T301" t="s">
        <v>73</v>
      </c>
      <c r="V301" t="s">
        <v>128</v>
      </c>
      <c r="W301" t="s">
        <v>75</v>
      </c>
      <c r="X301">
        <v>3.8175661976079731E-2</v>
      </c>
      <c r="Y301" t="s">
        <v>73</v>
      </c>
    </row>
    <row r="302" spans="17:25" x14ac:dyDescent="0.25">
      <c r="Q302" t="s">
        <v>108</v>
      </c>
      <c r="R302" t="s">
        <v>76</v>
      </c>
      <c r="S302">
        <v>4.0285281621600909E-2</v>
      </c>
      <c r="T302" t="s">
        <v>73</v>
      </c>
      <c r="V302" t="s">
        <v>128</v>
      </c>
      <c r="W302" t="s">
        <v>76</v>
      </c>
      <c r="X302">
        <v>3.7336356418395319E-2</v>
      </c>
      <c r="Y302" t="s">
        <v>73</v>
      </c>
    </row>
    <row r="303" spans="17:25" x14ac:dyDescent="0.25">
      <c r="Q303" t="s">
        <v>108</v>
      </c>
      <c r="R303" t="s">
        <v>77</v>
      </c>
      <c r="S303">
        <v>1.165383405752147E-2</v>
      </c>
      <c r="T303" t="s">
        <v>73</v>
      </c>
      <c r="V303" t="s">
        <v>128</v>
      </c>
      <c r="W303" t="s">
        <v>77</v>
      </c>
      <c r="X303">
        <v>3.974564042644492E-2</v>
      </c>
      <c r="Y303" t="s">
        <v>73</v>
      </c>
    </row>
    <row r="304" spans="17:25" x14ac:dyDescent="0.25">
      <c r="Q304" t="s">
        <v>108</v>
      </c>
      <c r="R304" t="s">
        <v>78</v>
      </c>
      <c r="S304">
        <v>0</v>
      </c>
      <c r="T304" t="s">
        <v>73</v>
      </c>
      <c r="V304" t="s">
        <v>128</v>
      </c>
      <c r="W304" t="s">
        <v>78</v>
      </c>
      <c r="X304">
        <v>4.2225513836301687E-2</v>
      </c>
      <c r="Y304" t="s">
        <v>73</v>
      </c>
    </row>
    <row r="305" spans="17:25" x14ac:dyDescent="0.25">
      <c r="Q305" t="s">
        <v>108</v>
      </c>
      <c r="R305" t="s">
        <v>79</v>
      </c>
      <c r="S305">
        <v>8.3244976152868723E-6</v>
      </c>
      <c r="T305" t="s">
        <v>73</v>
      </c>
      <c r="V305" t="s">
        <v>128</v>
      </c>
      <c r="W305" t="s">
        <v>79</v>
      </c>
      <c r="X305">
        <v>9.4462468503361E-2</v>
      </c>
      <c r="Y305" t="s">
        <v>73</v>
      </c>
    </row>
    <row r="306" spans="17:25" x14ac:dyDescent="0.25">
      <c r="Q306" t="s">
        <v>108</v>
      </c>
      <c r="R306" t="s">
        <v>80</v>
      </c>
      <c r="S306">
        <v>6.2785242609764161E-2</v>
      </c>
      <c r="T306" t="s">
        <v>73</v>
      </c>
      <c r="V306" t="s">
        <v>128</v>
      </c>
      <c r="W306" t="s">
        <v>80</v>
      </c>
      <c r="X306">
        <v>3.878822363653503E-2</v>
      </c>
      <c r="Y306" t="s">
        <v>73</v>
      </c>
    </row>
    <row r="307" spans="17:25" x14ac:dyDescent="0.25">
      <c r="Q307" t="s">
        <v>108</v>
      </c>
      <c r="R307" t="s">
        <v>81</v>
      </c>
      <c r="S307">
        <v>0.10059010396718175</v>
      </c>
      <c r="T307" t="s">
        <v>73</v>
      </c>
      <c r="V307" t="s">
        <v>128</v>
      </c>
      <c r="W307" t="s">
        <v>81</v>
      </c>
      <c r="X307">
        <v>2.3666950931737523E-2</v>
      </c>
      <c r="Y307" t="s">
        <v>73</v>
      </c>
    </row>
    <row r="308" spans="17:25" x14ac:dyDescent="0.25">
      <c r="Q308" t="s">
        <v>108</v>
      </c>
      <c r="R308" t="s">
        <v>82</v>
      </c>
      <c r="S308">
        <v>9.5719519647489384E-2</v>
      </c>
      <c r="T308" t="s">
        <v>73</v>
      </c>
      <c r="V308" t="s">
        <v>128</v>
      </c>
      <c r="W308" t="s">
        <v>82</v>
      </c>
      <c r="X308">
        <v>2.718290121653151E-2</v>
      </c>
      <c r="Y308" t="s">
        <v>73</v>
      </c>
    </row>
    <row r="309" spans="17:25" x14ac:dyDescent="0.25">
      <c r="Q309" t="s">
        <v>108</v>
      </c>
      <c r="R309" t="s">
        <v>83</v>
      </c>
      <c r="S309">
        <v>6.6217449655880792E-2</v>
      </c>
      <c r="T309" t="s">
        <v>73</v>
      </c>
      <c r="V309" t="s">
        <v>128</v>
      </c>
      <c r="W309" t="s">
        <v>83</v>
      </c>
      <c r="X309">
        <v>2.8787827078371759E-2</v>
      </c>
      <c r="Y309" t="s">
        <v>73</v>
      </c>
    </row>
    <row r="310" spans="17:25" x14ac:dyDescent="0.25">
      <c r="Q310" t="s">
        <v>108</v>
      </c>
      <c r="R310" t="s">
        <v>84</v>
      </c>
      <c r="S310">
        <v>1.0282711267951803E-2</v>
      </c>
      <c r="T310" t="s">
        <v>73</v>
      </c>
      <c r="V310" t="s">
        <v>128</v>
      </c>
      <c r="W310" t="s">
        <v>84</v>
      </c>
      <c r="X310">
        <v>3.1674678588095598E-2</v>
      </c>
      <c r="Y310" t="s">
        <v>73</v>
      </c>
    </row>
    <row r="311" spans="17:25" x14ac:dyDescent="0.25">
      <c r="Q311" t="s">
        <v>108</v>
      </c>
      <c r="R311" t="s">
        <v>85</v>
      </c>
      <c r="S311">
        <v>5.7619684891429483E-4</v>
      </c>
      <c r="T311" t="s">
        <v>73</v>
      </c>
      <c r="V311" t="s">
        <v>128</v>
      </c>
      <c r="W311" t="s">
        <v>85</v>
      </c>
      <c r="X311">
        <v>6.130800624102533E-2</v>
      </c>
      <c r="Y311" t="s">
        <v>73</v>
      </c>
    </row>
    <row r="312" spans="17:25" x14ac:dyDescent="0.25">
      <c r="Q312" t="s">
        <v>108</v>
      </c>
      <c r="R312" t="s">
        <v>86</v>
      </c>
      <c r="S312">
        <v>8.4435687898577069E-2</v>
      </c>
      <c r="T312" t="s">
        <v>73</v>
      </c>
      <c r="V312" t="s">
        <v>128</v>
      </c>
      <c r="W312" t="s">
        <v>86</v>
      </c>
      <c r="X312">
        <v>2.465909437810939E-2</v>
      </c>
      <c r="Y312" t="s">
        <v>73</v>
      </c>
    </row>
    <row r="313" spans="17:25" x14ac:dyDescent="0.25">
      <c r="Q313" t="s">
        <v>108</v>
      </c>
      <c r="R313" t="s">
        <v>87</v>
      </c>
      <c r="S313">
        <v>0.11109549948167073</v>
      </c>
      <c r="T313" t="s">
        <v>73</v>
      </c>
      <c r="V313" t="s">
        <v>128</v>
      </c>
      <c r="W313" t="s">
        <v>87</v>
      </c>
      <c r="X313">
        <v>1.6871342840060668E-2</v>
      </c>
      <c r="Y313" t="s">
        <v>73</v>
      </c>
    </row>
    <row r="314" spans="17:25" x14ac:dyDescent="0.25">
      <c r="Q314" t="s">
        <v>108</v>
      </c>
      <c r="R314" t="s">
        <v>88</v>
      </c>
      <c r="S314">
        <v>0.10497925755121139</v>
      </c>
      <c r="T314" t="s">
        <v>73</v>
      </c>
      <c r="V314" t="s">
        <v>128</v>
      </c>
      <c r="W314" t="s">
        <v>88</v>
      </c>
      <c r="X314">
        <v>1.7607716400146883E-2</v>
      </c>
      <c r="Y314" t="s">
        <v>73</v>
      </c>
    </row>
    <row r="315" spans="17:25" x14ac:dyDescent="0.25">
      <c r="Q315" t="s">
        <v>108</v>
      </c>
      <c r="R315" t="s">
        <v>89</v>
      </c>
      <c r="S315">
        <v>7.9641009326512108E-2</v>
      </c>
      <c r="T315" t="s">
        <v>73</v>
      </c>
      <c r="V315" t="s">
        <v>128</v>
      </c>
      <c r="W315" t="s">
        <v>89</v>
      </c>
      <c r="X315">
        <v>1.8250860506586773E-2</v>
      </c>
      <c r="Y315" t="s">
        <v>73</v>
      </c>
    </row>
    <row r="316" spans="17:25" x14ac:dyDescent="0.25">
      <c r="Q316" t="s">
        <v>108</v>
      </c>
      <c r="R316" t="s">
        <v>90</v>
      </c>
      <c r="S316">
        <v>2.1944346549929973E-2</v>
      </c>
      <c r="T316" t="s">
        <v>73</v>
      </c>
      <c r="V316" t="s">
        <v>128</v>
      </c>
      <c r="W316" t="s">
        <v>90</v>
      </c>
      <c r="X316">
        <v>1.7797643892627002E-2</v>
      </c>
      <c r="Y316" t="s">
        <v>73</v>
      </c>
    </row>
    <row r="317" spans="17:25" x14ac:dyDescent="0.25">
      <c r="Q317" t="s">
        <v>108</v>
      </c>
      <c r="R317" t="s">
        <v>91</v>
      </c>
      <c r="S317">
        <v>0</v>
      </c>
      <c r="T317" t="s">
        <v>73</v>
      </c>
      <c r="V317" t="s">
        <v>128</v>
      </c>
      <c r="W317" t="s">
        <v>91</v>
      </c>
      <c r="X317">
        <v>0.10004736866172664</v>
      </c>
      <c r="Y317" t="s">
        <v>73</v>
      </c>
    </row>
    <row r="318" spans="17:25" x14ac:dyDescent="0.25">
      <c r="Q318" t="s">
        <v>108</v>
      </c>
      <c r="R318" t="s">
        <v>92</v>
      </c>
      <c r="S318">
        <v>2.365863305666107E-2</v>
      </c>
      <c r="T318" t="s">
        <v>73</v>
      </c>
      <c r="V318" t="s">
        <v>128</v>
      </c>
      <c r="W318" t="s">
        <v>92</v>
      </c>
      <c r="X318">
        <v>4.7595298229817631E-2</v>
      </c>
      <c r="Y318" t="s">
        <v>73</v>
      </c>
    </row>
    <row r="319" spans="17:25" x14ac:dyDescent="0.25">
      <c r="Q319" t="s">
        <v>108</v>
      </c>
      <c r="R319" t="s">
        <v>93</v>
      </c>
      <c r="S319">
        <v>6.1635849224516634E-2</v>
      </c>
      <c r="T319" t="s">
        <v>73</v>
      </c>
      <c r="V319" t="s">
        <v>128</v>
      </c>
      <c r="W319" t="s">
        <v>93</v>
      </c>
      <c r="X319">
        <v>3.2368982178818534E-2</v>
      </c>
      <c r="Y319" t="s">
        <v>73</v>
      </c>
    </row>
    <row r="320" spans="17:25" x14ac:dyDescent="0.25">
      <c r="Q320" t="s">
        <v>108</v>
      </c>
      <c r="R320" t="s">
        <v>94</v>
      </c>
      <c r="S320">
        <v>5.7607812389467584E-2</v>
      </c>
      <c r="T320" t="s">
        <v>73</v>
      </c>
      <c r="V320" t="s">
        <v>128</v>
      </c>
      <c r="W320" t="s">
        <v>94</v>
      </c>
      <c r="X320">
        <v>3.2835782238904543E-2</v>
      </c>
      <c r="Y320" t="s">
        <v>73</v>
      </c>
    </row>
    <row r="321" spans="17:25" x14ac:dyDescent="0.25">
      <c r="Q321" t="s">
        <v>108</v>
      </c>
      <c r="R321" t="s">
        <v>95</v>
      </c>
      <c r="S321">
        <v>2.6993562422358251E-2</v>
      </c>
      <c r="T321" t="s">
        <v>73</v>
      </c>
      <c r="V321" t="s">
        <v>128</v>
      </c>
      <c r="W321" t="s">
        <v>95</v>
      </c>
      <c r="X321">
        <v>3.3902561580937615E-2</v>
      </c>
      <c r="Y321" t="s">
        <v>73</v>
      </c>
    </row>
    <row r="322" spans="17:25" x14ac:dyDescent="0.25">
      <c r="Q322" t="s">
        <v>108</v>
      </c>
      <c r="R322" t="s">
        <v>96</v>
      </c>
      <c r="S322">
        <v>1.2783276943538209E-3</v>
      </c>
      <c r="T322" t="s">
        <v>73</v>
      </c>
      <c r="V322" t="s">
        <v>128</v>
      </c>
      <c r="W322" t="s">
        <v>96</v>
      </c>
      <c r="X322">
        <v>3.8640916723282008E-2</v>
      </c>
      <c r="Y322" t="s">
        <v>73</v>
      </c>
    </row>
    <row r="323" spans="17:25" x14ac:dyDescent="0.25">
      <c r="Q323" t="s">
        <v>109</v>
      </c>
      <c r="R323" t="s">
        <v>72</v>
      </c>
      <c r="S323">
        <v>0</v>
      </c>
      <c r="T323" t="s">
        <v>73</v>
      </c>
      <c r="V323" t="s">
        <v>129</v>
      </c>
      <c r="W323" t="s">
        <v>72</v>
      </c>
      <c r="X323">
        <v>0.10540613148426144</v>
      </c>
      <c r="Y323" t="s">
        <v>73</v>
      </c>
    </row>
    <row r="324" spans="17:25" x14ac:dyDescent="0.25">
      <c r="Q324" t="s">
        <v>109</v>
      </c>
      <c r="R324" t="s">
        <v>74</v>
      </c>
      <c r="S324">
        <v>1.5512938878912885E-3</v>
      </c>
      <c r="T324" t="s">
        <v>73</v>
      </c>
      <c r="V324" t="s">
        <v>129</v>
      </c>
      <c r="W324" t="s">
        <v>74</v>
      </c>
      <c r="X324">
        <v>5.2833769429116273E-2</v>
      </c>
      <c r="Y324" t="s">
        <v>73</v>
      </c>
    </row>
    <row r="325" spans="17:25" x14ac:dyDescent="0.25">
      <c r="Q325" t="s">
        <v>109</v>
      </c>
      <c r="R325" t="s">
        <v>75</v>
      </c>
      <c r="S325">
        <v>3.8392008884824198E-2</v>
      </c>
      <c r="T325" t="s">
        <v>73</v>
      </c>
      <c r="V325" t="s">
        <v>129</v>
      </c>
      <c r="W325" t="s">
        <v>75</v>
      </c>
      <c r="X325">
        <v>3.8718315745510067E-2</v>
      </c>
      <c r="Y325" t="s">
        <v>73</v>
      </c>
    </row>
    <row r="326" spans="17:25" x14ac:dyDescent="0.25">
      <c r="Q326" t="s">
        <v>109</v>
      </c>
      <c r="R326" t="s">
        <v>76</v>
      </c>
      <c r="S326">
        <v>4.7977995194066855E-2</v>
      </c>
      <c r="T326" t="s">
        <v>73</v>
      </c>
      <c r="V326" t="s">
        <v>129</v>
      </c>
      <c r="W326" t="s">
        <v>76</v>
      </c>
      <c r="X326">
        <v>3.8715062371091326E-2</v>
      </c>
      <c r="Y326" t="s">
        <v>73</v>
      </c>
    </row>
    <row r="327" spans="17:25" x14ac:dyDescent="0.25">
      <c r="Q327" t="s">
        <v>109</v>
      </c>
      <c r="R327" t="s">
        <v>77</v>
      </c>
      <c r="S327">
        <v>1.816203349268547E-2</v>
      </c>
      <c r="T327" t="s">
        <v>73</v>
      </c>
      <c r="V327" t="s">
        <v>129</v>
      </c>
      <c r="W327" t="s">
        <v>77</v>
      </c>
      <c r="X327">
        <v>4.0194336570693587E-2</v>
      </c>
      <c r="Y327" t="s">
        <v>73</v>
      </c>
    </row>
    <row r="328" spans="17:25" x14ac:dyDescent="0.25">
      <c r="Q328" t="s">
        <v>109</v>
      </c>
      <c r="R328" t="s">
        <v>78</v>
      </c>
      <c r="S328">
        <v>0</v>
      </c>
      <c r="T328" t="s">
        <v>73</v>
      </c>
      <c r="V328" t="s">
        <v>129</v>
      </c>
      <c r="W328" t="s">
        <v>78</v>
      </c>
      <c r="X328">
        <v>4.3391823072689503E-2</v>
      </c>
      <c r="Y328" t="s">
        <v>73</v>
      </c>
    </row>
    <row r="329" spans="17:25" x14ac:dyDescent="0.25">
      <c r="Q329" t="s">
        <v>109</v>
      </c>
      <c r="R329" t="s">
        <v>79</v>
      </c>
      <c r="S329">
        <v>0</v>
      </c>
      <c r="T329" t="s">
        <v>73</v>
      </c>
      <c r="V329" t="s">
        <v>129</v>
      </c>
      <c r="W329" t="s">
        <v>79</v>
      </c>
      <c r="X329">
        <v>9.555698490885646E-2</v>
      </c>
      <c r="Y329" t="s">
        <v>73</v>
      </c>
    </row>
    <row r="330" spans="17:25" x14ac:dyDescent="0.25">
      <c r="Q330" t="s">
        <v>109</v>
      </c>
      <c r="R330" t="s">
        <v>80</v>
      </c>
      <c r="S330">
        <v>4.9579338497711151E-2</v>
      </c>
      <c r="T330" t="s">
        <v>73</v>
      </c>
      <c r="V330" t="s">
        <v>129</v>
      </c>
      <c r="W330" t="s">
        <v>80</v>
      </c>
      <c r="X330">
        <v>4.2344986722009696E-2</v>
      </c>
      <c r="Y330" t="s">
        <v>73</v>
      </c>
    </row>
    <row r="331" spans="17:25" x14ac:dyDescent="0.25">
      <c r="Q331" t="s">
        <v>109</v>
      </c>
      <c r="R331" t="s">
        <v>81</v>
      </c>
      <c r="S331">
        <v>9.4169027571280095E-2</v>
      </c>
      <c r="T331" t="s">
        <v>73</v>
      </c>
      <c r="V331" t="s">
        <v>129</v>
      </c>
      <c r="W331" t="s">
        <v>81</v>
      </c>
      <c r="X331">
        <v>2.4893076198405424E-2</v>
      </c>
      <c r="Y331" t="s">
        <v>73</v>
      </c>
    </row>
    <row r="332" spans="17:25" x14ac:dyDescent="0.25">
      <c r="Q332" t="s">
        <v>109</v>
      </c>
      <c r="R332" t="s">
        <v>82</v>
      </c>
      <c r="S332">
        <v>9.4400225598059537E-2</v>
      </c>
      <c r="T332" t="s">
        <v>73</v>
      </c>
      <c r="V332" t="s">
        <v>129</v>
      </c>
      <c r="W332" t="s">
        <v>82</v>
      </c>
      <c r="X332">
        <v>2.6808209989175911E-2</v>
      </c>
      <c r="Y332" t="s">
        <v>73</v>
      </c>
    </row>
    <row r="333" spans="17:25" x14ac:dyDescent="0.25">
      <c r="Q333" t="s">
        <v>109</v>
      </c>
      <c r="R333" t="s">
        <v>83</v>
      </c>
      <c r="S333">
        <v>6.5260688290061653E-2</v>
      </c>
      <c r="T333" t="s">
        <v>73</v>
      </c>
      <c r="V333" t="s">
        <v>129</v>
      </c>
      <c r="W333" t="s">
        <v>83</v>
      </c>
      <c r="X333">
        <v>2.7637444214350104E-2</v>
      </c>
      <c r="Y333" t="s">
        <v>73</v>
      </c>
    </row>
    <row r="334" spans="17:25" x14ac:dyDescent="0.25">
      <c r="Q334" t="s">
        <v>109</v>
      </c>
      <c r="R334" t="s">
        <v>84</v>
      </c>
      <c r="S334">
        <v>1.2475849418897384E-2</v>
      </c>
      <c r="T334" t="s">
        <v>73</v>
      </c>
      <c r="V334" t="s">
        <v>129</v>
      </c>
      <c r="W334" t="s">
        <v>84</v>
      </c>
      <c r="X334">
        <v>3.1500857785678703E-2</v>
      </c>
      <c r="Y334" t="s">
        <v>73</v>
      </c>
    </row>
    <row r="335" spans="17:25" x14ac:dyDescent="0.25">
      <c r="Q335" t="s">
        <v>109</v>
      </c>
      <c r="R335" t="s">
        <v>85</v>
      </c>
      <c r="S335">
        <v>0</v>
      </c>
      <c r="T335" t="s">
        <v>73</v>
      </c>
      <c r="V335" t="s">
        <v>129</v>
      </c>
      <c r="W335" t="s">
        <v>85</v>
      </c>
      <c r="X335">
        <v>5.4739753598090982E-2</v>
      </c>
      <c r="Y335" t="s">
        <v>73</v>
      </c>
    </row>
    <row r="336" spans="17:25" x14ac:dyDescent="0.25">
      <c r="Q336" t="s">
        <v>109</v>
      </c>
      <c r="R336" t="s">
        <v>86</v>
      </c>
      <c r="S336">
        <v>7.3680407052705496E-2</v>
      </c>
      <c r="T336" t="s">
        <v>73</v>
      </c>
      <c r="V336" t="s">
        <v>129</v>
      </c>
      <c r="W336" t="s">
        <v>86</v>
      </c>
      <c r="X336">
        <v>2.2748693348050672E-2</v>
      </c>
      <c r="Y336" t="s">
        <v>73</v>
      </c>
    </row>
    <row r="337" spans="17:25" x14ac:dyDescent="0.25">
      <c r="Q337" t="s">
        <v>109</v>
      </c>
      <c r="R337" t="s">
        <v>87</v>
      </c>
      <c r="S337">
        <v>0.10908172596393313</v>
      </c>
      <c r="T337" t="s">
        <v>73</v>
      </c>
      <c r="V337" t="s">
        <v>129</v>
      </c>
      <c r="W337" t="s">
        <v>87</v>
      </c>
      <c r="X337">
        <v>1.745746569177695E-2</v>
      </c>
      <c r="Y337" t="s">
        <v>73</v>
      </c>
    </row>
    <row r="338" spans="17:25" x14ac:dyDescent="0.25">
      <c r="Q338" t="s">
        <v>109</v>
      </c>
      <c r="R338" t="s">
        <v>88</v>
      </c>
      <c r="S338">
        <v>0.10382716743712482</v>
      </c>
      <c r="T338" t="s">
        <v>73</v>
      </c>
      <c r="V338" t="s">
        <v>129</v>
      </c>
      <c r="W338" t="s">
        <v>88</v>
      </c>
      <c r="X338">
        <v>1.9305004994708792E-2</v>
      </c>
      <c r="Y338" t="s">
        <v>73</v>
      </c>
    </row>
    <row r="339" spans="17:25" x14ac:dyDescent="0.25">
      <c r="Q339" t="s">
        <v>109</v>
      </c>
      <c r="R339" t="s">
        <v>89</v>
      </c>
      <c r="S339">
        <v>8.0520634519154935E-2</v>
      </c>
      <c r="T339" t="s">
        <v>73</v>
      </c>
      <c r="V339" t="s">
        <v>129</v>
      </c>
      <c r="W339" t="s">
        <v>89</v>
      </c>
      <c r="X339">
        <v>2.0044468488298908E-2</v>
      </c>
      <c r="Y339" t="s">
        <v>73</v>
      </c>
    </row>
    <row r="340" spans="17:25" x14ac:dyDescent="0.25">
      <c r="Q340" t="s">
        <v>109</v>
      </c>
      <c r="R340" t="s">
        <v>90</v>
      </c>
      <c r="S340">
        <v>2.5387052432841721E-2</v>
      </c>
      <c r="T340" t="s">
        <v>73</v>
      </c>
      <c r="V340" t="s">
        <v>129</v>
      </c>
      <c r="W340" t="s">
        <v>90</v>
      </c>
      <c r="X340">
        <v>1.9681687673224629E-2</v>
      </c>
      <c r="Y340" t="s">
        <v>73</v>
      </c>
    </row>
    <row r="341" spans="17:25" x14ac:dyDescent="0.25">
      <c r="Q341" t="s">
        <v>109</v>
      </c>
      <c r="R341" t="s">
        <v>91</v>
      </c>
      <c r="S341">
        <v>0</v>
      </c>
      <c r="T341" t="s">
        <v>73</v>
      </c>
      <c r="V341" t="s">
        <v>129</v>
      </c>
      <c r="W341" t="s">
        <v>91</v>
      </c>
      <c r="X341">
        <v>9.4519612049481144E-2</v>
      </c>
      <c r="Y341" t="s">
        <v>73</v>
      </c>
    </row>
    <row r="342" spans="17:25" x14ac:dyDescent="0.25">
      <c r="Q342" t="s">
        <v>109</v>
      </c>
      <c r="R342" t="s">
        <v>92</v>
      </c>
      <c r="S342">
        <v>2.1017555766305752E-2</v>
      </c>
      <c r="T342" t="s">
        <v>73</v>
      </c>
      <c r="V342" t="s">
        <v>129</v>
      </c>
      <c r="W342" t="s">
        <v>92</v>
      </c>
      <c r="X342">
        <v>4.4614708349497961E-2</v>
      </c>
      <c r="Y342" t="s">
        <v>73</v>
      </c>
    </row>
    <row r="343" spans="17:25" x14ac:dyDescent="0.25">
      <c r="Q343" t="s">
        <v>109</v>
      </c>
      <c r="R343" t="s">
        <v>93</v>
      </c>
      <c r="S343">
        <v>6.2085303939235656E-2</v>
      </c>
      <c r="T343" t="s">
        <v>73</v>
      </c>
      <c r="V343" t="s">
        <v>129</v>
      </c>
      <c r="W343" t="s">
        <v>93</v>
      </c>
      <c r="X343">
        <v>3.1678878294314212E-2</v>
      </c>
      <c r="Y343" t="s">
        <v>73</v>
      </c>
    </row>
    <row r="344" spans="17:25" x14ac:dyDescent="0.25">
      <c r="Q344" t="s">
        <v>109</v>
      </c>
      <c r="R344" t="s">
        <v>94</v>
      </c>
      <c r="S344">
        <v>6.4398871977441555E-2</v>
      </c>
      <c r="T344" t="s">
        <v>73</v>
      </c>
      <c r="V344" t="s">
        <v>129</v>
      </c>
      <c r="W344" t="s">
        <v>94</v>
      </c>
      <c r="X344">
        <v>3.3440332966471066E-2</v>
      </c>
      <c r="Y344" t="s">
        <v>73</v>
      </c>
    </row>
    <row r="345" spans="17:25" x14ac:dyDescent="0.25">
      <c r="Q345" t="s">
        <v>109</v>
      </c>
      <c r="R345" t="s">
        <v>95</v>
      </c>
      <c r="S345">
        <v>3.61616195456433E-2</v>
      </c>
      <c r="T345" t="s">
        <v>73</v>
      </c>
      <c r="V345" t="s">
        <v>129</v>
      </c>
      <c r="W345" t="s">
        <v>95</v>
      </c>
      <c r="X345">
        <v>3.4966928961560402E-2</v>
      </c>
      <c r="Y345" t="s">
        <v>73</v>
      </c>
    </row>
    <row r="346" spans="17:25" x14ac:dyDescent="0.25">
      <c r="Q346" t="s">
        <v>109</v>
      </c>
      <c r="R346" t="s">
        <v>96</v>
      </c>
      <c r="S346">
        <v>1.871200530133039E-3</v>
      </c>
      <c r="T346" t="s">
        <v>73</v>
      </c>
      <c r="V346" t="s">
        <v>129</v>
      </c>
      <c r="W346" t="s">
        <v>96</v>
      </c>
      <c r="X346">
        <v>3.8801467092688682E-2</v>
      </c>
      <c r="Y346" t="s">
        <v>73</v>
      </c>
    </row>
    <row r="347" spans="17:25" x14ac:dyDescent="0.25">
      <c r="Q347" t="s">
        <v>110</v>
      </c>
      <c r="R347" t="s">
        <v>72</v>
      </c>
      <c r="S347">
        <v>0</v>
      </c>
      <c r="T347" t="s">
        <v>73</v>
      </c>
      <c r="V347" t="s">
        <v>130</v>
      </c>
      <c r="W347" t="s">
        <v>72</v>
      </c>
      <c r="X347">
        <v>0.12667143645023388</v>
      </c>
      <c r="Y347" t="s">
        <v>73</v>
      </c>
    </row>
    <row r="348" spans="17:25" x14ac:dyDescent="0.25">
      <c r="Q348" t="s">
        <v>110</v>
      </c>
      <c r="R348" t="s">
        <v>74</v>
      </c>
      <c r="S348">
        <v>8.7451754117986915E-4</v>
      </c>
      <c r="T348" t="s">
        <v>73</v>
      </c>
      <c r="V348" t="s">
        <v>130</v>
      </c>
      <c r="W348" t="s">
        <v>74</v>
      </c>
      <c r="X348">
        <v>6.4899043804354212E-2</v>
      </c>
      <c r="Y348" t="s">
        <v>73</v>
      </c>
    </row>
    <row r="349" spans="17:25" x14ac:dyDescent="0.25">
      <c r="Q349" t="s">
        <v>110</v>
      </c>
      <c r="R349" t="s">
        <v>75</v>
      </c>
      <c r="S349">
        <v>3.3173892133505731E-2</v>
      </c>
      <c r="T349" t="s">
        <v>73</v>
      </c>
      <c r="V349" t="s">
        <v>130</v>
      </c>
      <c r="W349" t="s">
        <v>75</v>
      </c>
      <c r="X349">
        <v>4.6260231359069537E-2</v>
      </c>
      <c r="Y349" t="s">
        <v>73</v>
      </c>
    </row>
    <row r="350" spans="17:25" x14ac:dyDescent="0.25">
      <c r="Q350" t="s">
        <v>110</v>
      </c>
      <c r="R350" t="s">
        <v>76</v>
      </c>
      <c r="S350">
        <v>4.3409848094609578E-2</v>
      </c>
      <c r="T350" t="s">
        <v>73</v>
      </c>
      <c r="V350" t="s">
        <v>130</v>
      </c>
      <c r="W350" t="s">
        <v>76</v>
      </c>
      <c r="X350">
        <v>4.7789133880531721E-2</v>
      </c>
      <c r="Y350" t="s">
        <v>73</v>
      </c>
    </row>
    <row r="351" spans="17:25" x14ac:dyDescent="0.25">
      <c r="Q351" t="s">
        <v>110</v>
      </c>
      <c r="R351" t="s">
        <v>77</v>
      </c>
      <c r="S351">
        <v>1.6152551675862201E-2</v>
      </c>
      <c r="T351" t="s">
        <v>73</v>
      </c>
      <c r="V351" t="s">
        <v>130</v>
      </c>
      <c r="W351" t="s">
        <v>77</v>
      </c>
      <c r="X351">
        <v>5.0418584143953053E-2</v>
      </c>
      <c r="Y351" t="s">
        <v>73</v>
      </c>
    </row>
    <row r="352" spans="17:25" x14ac:dyDescent="0.25">
      <c r="Q352" t="s">
        <v>110</v>
      </c>
      <c r="R352" t="s">
        <v>78</v>
      </c>
      <c r="S352">
        <v>0</v>
      </c>
      <c r="T352" t="s">
        <v>73</v>
      </c>
      <c r="V352" t="s">
        <v>130</v>
      </c>
      <c r="W352" t="s">
        <v>78</v>
      </c>
      <c r="X352">
        <v>5.0254570932115737E-2</v>
      </c>
      <c r="Y352" t="s">
        <v>73</v>
      </c>
    </row>
    <row r="353" spans="17:25" x14ac:dyDescent="0.25">
      <c r="Q353" t="s">
        <v>110</v>
      </c>
      <c r="R353" t="s">
        <v>79</v>
      </c>
      <c r="S353">
        <v>0</v>
      </c>
      <c r="T353" t="s">
        <v>73</v>
      </c>
      <c r="V353" t="s">
        <v>130</v>
      </c>
      <c r="W353" t="s">
        <v>79</v>
      </c>
      <c r="X353">
        <v>7.3282987325146459E-2</v>
      </c>
      <c r="Y353" t="s">
        <v>73</v>
      </c>
    </row>
    <row r="354" spans="17:25" x14ac:dyDescent="0.25">
      <c r="Q354" t="s">
        <v>110</v>
      </c>
      <c r="R354" t="s">
        <v>80</v>
      </c>
      <c r="S354">
        <v>4.8900867971327588E-2</v>
      </c>
      <c r="T354" t="s">
        <v>73</v>
      </c>
      <c r="V354" t="s">
        <v>130</v>
      </c>
      <c r="W354" t="s">
        <v>80</v>
      </c>
      <c r="X354">
        <v>3.5144883106658559E-2</v>
      </c>
      <c r="Y354" t="s">
        <v>73</v>
      </c>
    </row>
    <row r="355" spans="17:25" x14ac:dyDescent="0.25">
      <c r="Q355" t="s">
        <v>110</v>
      </c>
      <c r="R355" t="s">
        <v>81</v>
      </c>
      <c r="S355">
        <v>9.2332882303181957E-2</v>
      </c>
      <c r="T355" t="s">
        <v>73</v>
      </c>
      <c r="V355" t="s">
        <v>130</v>
      </c>
      <c r="W355" t="s">
        <v>81</v>
      </c>
      <c r="X355">
        <v>2.8267086889078981E-2</v>
      </c>
      <c r="Y355" t="s">
        <v>73</v>
      </c>
    </row>
    <row r="356" spans="17:25" x14ac:dyDescent="0.25">
      <c r="Q356" t="s">
        <v>110</v>
      </c>
      <c r="R356" t="s">
        <v>82</v>
      </c>
      <c r="S356">
        <v>9.3158409125478236E-2</v>
      </c>
      <c r="T356" t="s">
        <v>73</v>
      </c>
      <c r="V356" t="s">
        <v>130</v>
      </c>
      <c r="W356" t="s">
        <v>82</v>
      </c>
      <c r="X356">
        <v>3.6078515428244355E-2</v>
      </c>
      <c r="Y356" t="s">
        <v>73</v>
      </c>
    </row>
    <row r="357" spans="17:25" x14ac:dyDescent="0.25">
      <c r="Q357" t="s">
        <v>110</v>
      </c>
      <c r="R357" t="s">
        <v>83</v>
      </c>
      <c r="S357">
        <v>6.764027464532979E-2</v>
      </c>
      <c r="T357" t="s">
        <v>73</v>
      </c>
      <c r="V357" t="s">
        <v>130</v>
      </c>
      <c r="W357" t="s">
        <v>83</v>
      </c>
      <c r="X357">
        <v>3.7630454286430838E-2</v>
      </c>
      <c r="Y357" t="s">
        <v>73</v>
      </c>
    </row>
    <row r="358" spans="17:25" x14ac:dyDescent="0.25">
      <c r="Q358" t="s">
        <v>110</v>
      </c>
      <c r="R358" t="s">
        <v>84</v>
      </c>
      <c r="S358">
        <v>1.3240018654179174E-2</v>
      </c>
      <c r="T358" t="s">
        <v>73</v>
      </c>
      <c r="V358" t="s">
        <v>130</v>
      </c>
      <c r="W358" t="s">
        <v>84</v>
      </c>
      <c r="X358">
        <v>3.2177190074114674E-2</v>
      </c>
      <c r="Y358" t="s">
        <v>73</v>
      </c>
    </row>
    <row r="359" spans="17:25" x14ac:dyDescent="0.25">
      <c r="Q359" t="s">
        <v>110</v>
      </c>
      <c r="R359" t="s">
        <v>85</v>
      </c>
      <c r="S359">
        <v>0</v>
      </c>
      <c r="T359" t="s">
        <v>73</v>
      </c>
      <c r="V359" t="s">
        <v>130</v>
      </c>
      <c r="W359" t="s">
        <v>85</v>
      </c>
      <c r="X359">
        <v>2.2594761311082637E-2</v>
      </c>
      <c r="Y359" t="s">
        <v>73</v>
      </c>
    </row>
    <row r="360" spans="17:25" x14ac:dyDescent="0.25">
      <c r="Q360" t="s">
        <v>110</v>
      </c>
      <c r="R360" t="s">
        <v>86</v>
      </c>
      <c r="S360">
        <v>7.3523020401908029E-2</v>
      </c>
      <c r="T360" t="s">
        <v>73</v>
      </c>
      <c r="V360" t="s">
        <v>130</v>
      </c>
      <c r="W360" t="s">
        <v>86</v>
      </c>
      <c r="X360">
        <v>1.2209777733330646E-2</v>
      </c>
      <c r="Y360" t="s">
        <v>73</v>
      </c>
    </row>
    <row r="361" spans="17:25" x14ac:dyDescent="0.25">
      <c r="Q361" t="s">
        <v>110</v>
      </c>
      <c r="R361" t="s">
        <v>87</v>
      </c>
      <c r="S361">
        <v>0.11238338224128752</v>
      </c>
      <c r="T361" t="s">
        <v>73</v>
      </c>
      <c r="V361" t="s">
        <v>130</v>
      </c>
      <c r="W361" t="s">
        <v>87</v>
      </c>
      <c r="X361">
        <v>1.5173513013109685E-2</v>
      </c>
      <c r="Y361" t="s">
        <v>73</v>
      </c>
    </row>
    <row r="362" spans="17:25" x14ac:dyDescent="0.25">
      <c r="Q362" t="s">
        <v>110</v>
      </c>
      <c r="R362" t="s">
        <v>88</v>
      </c>
      <c r="S362">
        <v>0.10679203684729069</v>
      </c>
      <c r="T362" t="s">
        <v>73</v>
      </c>
      <c r="V362" t="s">
        <v>130</v>
      </c>
      <c r="W362" t="s">
        <v>88</v>
      </c>
      <c r="X362">
        <v>1.7698534870464706E-2</v>
      </c>
      <c r="Y362" t="s">
        <v>73</v>
      </c>
    </row>
    <row r="363" spans="17:25" x14ac:dyDescent="0.25">
      <c r="Q363" t="s">
        <v>110</v>
      </c>
      <c r="R363" t="s">
        <v>89</v>
      </c>
      <c r="S363">
        <v>8.5908432251717667E-2</v>
      </c>
      <c r="T363" t="s">
        <v>73</v>
      </c>
      <c r="V363" t="s">
        <v>130</v>
      </c>
      <c r="W363" t="s">
        <v>89</v>
      </c>
      <c r="X363">
        <v>2.0407433724159239E-2</v>
      </c>
      <c r="Y363" t="s">
        <v>73</v>
      </c>
    </row>
    <row r="364" spans="17:25" x14ac:dyDescent="0.25">
      <c r="Q364" t="s">
        <v>110</v>
      </c>
      <c r="R364" t="s">
        <v>90</v>
      </c>
      <c r="S364">
        <v>2.9007157117531018E-2</v>
      </c>
      <c r="T364" t="s">
        <v>73</v>
      </c>
      <c r="V364" t="s">
        <v>130</v>
      </c>
      <c r="W364" t="s">
        <v>90</v>
      </c>
      <c r="X364">
        <v>1.5309836199502267E-2</v>
      </c>
      <c r="Y364" t="s">
        <v>73</v>
      </c>
    </row>
    <row r="365" spans="17:25" x14ac:dyDescent="0.25">
      <c r="Q365" t="s">
        <v>110</v>
      </c>
      <c r="R365" t="s">
        <v>91</v>
      </c>
      <c r="S365">
        <v>0</v>
      </c>
      <c r="T365" t="s">
        <v>73</v>
      </c>
      <c r="V365" t="s">
        <v>130</v>
      </c>
      <c r="W365" t="s">
        <v>91</v>
      </c>
      <c r="X365">
        <v>8.2404388191983147E-2</v>
      </c>
      <c r="Y365" t="s">
        <v>73</v>
      </c>
    </row>
    <row r="366" spans="17:25" x14ac:dyDescent="0.25">
      <c r="Q366" t="s">
        <v>110</v>
      </c>
      <c r="R366" t="s">
        <v>92</v>
      </c>
      <c r="S366">
        <v>1.9770575138341882E-2</v>
      </c>
      <c r="T366" t="s">
        <v>73</v>
      </c>
      <c r="V366" t="s">
        <v>130</v>
      </c>
      <c r="W366" t="s">
        <v>92</v>
      </c>
      <c r="X366">
        <v>3.7976982483677563E-2</v>
      </c>
      <c r="Y366" t="s">
        <v>73</v>
      </c>
    </row>
    <row r="367" spans="17:25" x14ac:dyDescent="0.25">
      <c r="Q367" t="s">
        <v>110</v>
      </c>
      <c r="R367" t="s">
        <v>93</v>
      </c>
      <c r="S367">
        <v>6.0979381749360316E-2</v>
      </c>
      <c r="T367" t="s">
        <v>73</v>
      </c>
      <c r="V367" t="s">
        <v>130</v>
      </c>
      <c r="W367" t="s">
        <v>93</v>
      </c>
      <c r="X367">
        <v>3.0119860711821593E-2</v>
      </c>
      <c r="Y367" t="s">
        <v>73</v>
      </c>
    </row>
    <row r="368" spans="17:25" x14ac:dyDescent="0.25">
      <c r="Q368" t="s">
        <v>110</v>
      </c>
      <c r="R368" t="s">
        <v>94</v>
      </c>
      <c r="S368">
        <v>6.3694746028732444E-2</v>
      </c>
      <c r="T368" t="s">
        <v>73</v>
      </c>
      <c r="V368" t="s">
        <v>130</v>
      </c>
      <c r="W368" t="s">
        <v>94</v>
      </c>
      <c r="X368">
        <v>3.7996871109582921E-2</v>
      </c>
      <c r="Y368" t="s">
        <v>73</v>
      </c>
    </row>
    <row r="369" spans="17:25" x14ac:dyDescent="0.25">
      <c r="Q369" t="s">
        <v>110</v>
      </c>
      <c r="R369" t="s">
        <v>95</v>
      </c>
      <c r="S369">
        <v>3.7166601763698681E-2</v>
      </c>
      <c r="T369" t="s">
        <v>73</v>
      </c>
      <c r="V369" t="s">
        <v>130</v>
      </c>
      <c r="W369" t="s">
        <v>95</v>
      </c>
      <c r="X369">
        <v>4.0602860223378438E-2</v>
      </c>
      <c r="Y369" t="s">
        <v>73</v>
      </c>
    </row>
    <row r="370" spans="17:25" x14ac:dyDescent="0.25">
      <c r="Q370" t="s">
        <v>110</v>
      </c>
      <c r="R370" t="s">
        <v>96</v>
      </c>
      <c r="S370">
        <v>1.8914043154779194E-3</v>
      </c>
      <c r="T370" t="s">
        <v>73</v>
      </c>
      <c r="V370" t="s">
        <v>130</v>
      </c>
      <c r="W370" t="s">
        <v>96</v>
      </c>
      <c r="X370">
        <v>3.8631062747976376E-2</v>
      </c>
      <c r="Y370" t="s">
        <v>73</v>
      </c>
    </row>
    <row r="371" spans="17:25" x14ac:dyDescent="0.25">
      <c r="Q371" t="s">
        <v>111</v>
      </c>
      <c r="R371" t="s">
        <v>72</v>
      </c>
      <c r="S371">
        <v>0</v>
      </c>
      <c r="T371" t="s">
        <v>73</v>
      </c>
      <c r="V371" t="s">
        <v>131</v>
      </c>
      <c r="W371" t="s">
        <v>72</v>
      </c>
      <c r="X371">
        <v>0.12433803653717619</v>
      </c>
      <c r="Y371" t="s">
        <v>73</v>
      </c>
    </row>
    <row r="372" spans="17:25" x14ac:dyDescent="0.25">
      <c r="Q372" t="s">
        <v>111</v>
      </c>
      <c r="R372" t="s">
        <v>74</v>
      </c>
      <c r="S372">
        <v>8.5942734801638932E-4</v>
      </c>
      <c r="T372" t="s">
        <v>73</v>
      </c>
      <c r="V372" t="s">
        <v>131</v>
      </c>
      <c r="W372" t="s">
        <v>74</v>
      </c>
      <c r="X372">
        <v>6.136385784675906E-2</v>
      </c>
      <c r="Y372" t="s">
        <v>73</v>
      </c>
    </row>
    <row r="373" spans="17:25" x14ac:dyDescent="0.25">
      <c r="Q373" t="s">
        <v>111</v>
      </c>
      <c r="R373" t="s">
        <v>75</v>
      </c>
      <c r="S373">
        <v>2.7222680954529278E-2</v>
      </c>
      <c r="T373" t="s">
        <v>73</v>
      </c>
      <c r="V373" t="s">
        <v>131</v>
      </c>
      <c r="W373" t="s">
        <v>75</v>
      </c>
      <c r="X373">
        <v>4.3743961293244156E-2</v>
      </c>
      <c r="Y373" t="s">
        <v>73</v>
      </c>
    </row>
    <row r="374" spans="17:25" x14ac:dyDescent="0.25">
      <c r="Q374" t="s">
        <v>111</v>
      </c>
      <c r="R374" t="s">
        <v>76</v>
      </c>
      <c r="S374">
        <v>3.6057364308755634E-2</v>
      </c>
      <c r="T374" t="s">
        <v>73</v>
      </c>
      <c r="V374" t="s">
        <v>131</v>
      </c>
      <c r="W374" t="s">
        <v>76</v>
      </c>
      <c r="X374">
        <v>4.3232689698407704E-2</v>
      </c>
      <c r="Y374" t="s">
        <v>73</v>
      </c>
    </row>
    <row r="375" spans="17:25" x14ac:dyDescent="0.25">
      <c r="Q375" t="s">
        <v>111</v>
      </c>
      <c r="R375" t="s">
        <v>77</v>
      </c>
      <c r="S375">
        <v>1.1147176874347201E-2</v>
      </c>
      <c r="T375" t="s">
        <v>73</v>
      </c>
      <c r="V375" t="s">
        <v>131</v>
      </c>
      <c r="W375" t="s">
        <v>77</v>
      </c>
      <c r="X375">
        <v>4.6650924645851972E-2</v>
      </c>
      <c r="Y375" t="s">
        <v>73</v>
      </c>
    </row>
    <row r="376" spans="17:25" x14ac:dyDescent="0.25">
      <c r="Q376" t="s">
        <v>111</v>
      </c>
      <c r="R376" t="s">
        <v>78</v>
      </c>
      <c r="S376">
        <v>0</v>
      </c>
      <c r="T376" t="s">
        <v>73</v>
      </c>
      <c r="V376" t="s">
        <v>131</v>
      </c>
      <c r="W376" t="s">
        <v>78</v>
      </c>
      <c r="X376">
        <v>4.9179688157079252E-2</v>
      </c>
      <c r="Y376" t="s">
        <v>73</v>
      </c>
    </row>
    <row r="377" spans="17:25" x14ac:dyDescent="0.25">
      <c r="Q377" t="s">
        <v>111</v>
      </c>
      <c r="R377" t="s">
        <v>79</v>
      </c>
      <c r="S377">
        <v>0</v>
      </c>
      <c r="T377" t="s">
        <v>73</v>
      </c>
      <c r="V377" t="s">
        <v>131</v>
      </c>
      <c r="W377" t="s">
        <v>79</v>
      </c>
      <c r="X377">
        <v>8.0575942044820631E-2</v>
      </c>
      <c r="Y377" t="s">
        <v>73</v>
      </c>
    </row>
    <row r="378" spans="17:25" x14ac:dyDescent="0.25">
      <c r="Q378" t="s">
        <v>111</v>
      </c>
      <c r="R378" t="s">
        <v>80</v>
      </c>
      <c r="S378">
        <v>5.0829918772524949E-2</v>
      </c>
      <c r="T378" t="s">
        <v>73</v>
      </c>
      <c r="V378" t="s">
        <v>131</v>
      </c>
      <c r="W378" t="s">
        <v>80</v>
      </c>
      <c r="X378">
        <v>3.8944422228522436E-2</v>
      </c>
      <c r="Y378" t="s">
        <v>73</v>
      </c>
    </row>
    <row r="379" spans="17:25" x14ac:dyDescent="0.25">
      <c r="Q379" t="s">
        <v>111</v>
      </c>
      <c r="R379" t="s">
        <v>81</v>
      </c>
      <c r="S379">
        <v>9.9617657534191148E-2</v>
      </c>
      <c r="T379" t="s">
        <v>73</v>
      </c>
      <c r="V379" t="s">
        <v>131</v>
      </c>
      <c r="W379" t="s">
        <v>81</v>
      </c>
      <c r="X379">
        <v>2.7961204798127925E-2</v>
      </c>
      <c r="Y379" t="s">
        <v>73</v>
      </c>
    </row>
    <row r="380" spans="17:25" x14ac:dyDescent="0.25">
      <c r="Q380" t="s">
        <v>111</v>
      </c>
      <c r="R380" t="s">
        <v>82</v>
      </c>
      <c r="S380">
        <v>9.8032467158950087E-2</v>
      </c>
      <c r="T380" t="s">
        <v>73</v>
      </c>
      <c r="V380" t="s">
        <v>131</v>
      </c>
      <c r="W380" t="s">
        <v>82</v>
      </c>
      <c r="X380">
        <v>2.90098528554881E-2</v>
      </c>
      <c r="Y380" t="s">
        <v>73</v>
      </c>
    </row>
    <row r="381" spans="17:25" x14ac:dyDescent="0.25">
      <c r="Q381" t="s">
        <v>111</v>
      </c>
      <c r="R381" t="s">
        <v>83</v>
      </c>
      <c r="S381">
        <v>6.9217977604469835E-2</v>
      </c>
      <c r="T381" t="s">
        <v>73</v>
      </c>
      <c r="V381" t="s">
        <v>131</v>
      </c>
      <c r="W381" t="s">
        <v>83</v>
      </c>
      <c r="X381">
        <v>3.0094749111956285E-2</v>
      </c>
      <c r="Y381" t="s">
        <v>73</v>
      </c>
    </row>
    <row r="382" spans="17:25" x14ac:dyDescent="0.25">
      <c r="Q382" t="s">
        <v>111</v>
      </c>
      <c r="R382" t="s">
        <v>84</v>
      </c>
      <c r="S382">
        <v>1.467842229614855E-2</v>
      </c>
      <c r="T382" t="s">
        <v>73</v>
      </c>
      <c r="V382" t="s">
        <v>131</v>
      </c>
      <c r="W382" t="s">
        <v>84</v>
      </c>
      <c r="X382">
        <v>3.2098767816649477E-2</v>
      </c>
      <c r="Y382" t="s">
        <v>73</v>
      </c>
    </row>
    <row r="383" spans="17:25" x14ac:dyDescent="0.25">
      <c r="Q383" t="s">
        <v>111</v>
      </c>
      <c r="R383" t="s">
        <v>85</v>
      </c>
      <c r="S383">
        <v>0</v>
      </c>
      <c r="T383" t="s">
        <v>73</v>
      </c>
      <c r="V383" t="s">
        <v>131</v>
      </c>
      <c r="W383" t="s">
        <v>85</v>
      </c>
      <c r="X383">
        <v>3.6323106575204045E-2</v>
      </c>
      <c r="Y383" t="s">
        <v>73</v>
      </c>
    </row>
    <row r="384" spans="17:25" x14ac:dyDescent="0.25">
      <c r="Q384" t="s">
        <v>111</v>
      </c>
      <c r="R384" t="s">
        <v>86</v>
      </c>
      <c r="S384">
        <v>7.7837874989590258E-2</v>
      </c>
      <c r="T384" t="s">
        <v>73</v>
      </c>
      <c r="V384" t="s">
        <v>131</v>
      </c>
      <c r="W384" t="s">
        <v>86</v>
      </c>
      <c r="X384">
        <v>1.6253048108362859E-2</v>
      </c>
      <c r="Y384" t="s">
        <v>73</v>
      </c>
    </row>
    <row r="385" spans="17:25" x14ac:dyDescent="0.25">
      <c r="Q385" t="s">
        <v>111</v>
      </c>
      <c r="R385" t="s">
        <v>87</v>
      </c>
      <c r="S385">
        <v>0.11395031071837582</v>
      </c>
      <c r="T385" t="s">
        <v>73</v>
      </c>
      <c r="V385" t="s">
        <v>131</v>
      </c>
      <c r="W385" t="s">
        <v>87</v>
      </c>
      <c r="X385">
        <v>1.2269118436377617E-2</v>
      </c>
      <c r="Y385" t="s">
        <v>73</v>
      </c>
    </row>
    <row r="386" spans="17:25" x14ac:dyDescent="0.25">
      <c r="Q386" t="s">
        <v>111</v>
      </c>
      <c r="R386" t="s">
        <v>88</v>
      </c>
      <c r="S386">
        <v>0.10834147347716086</v>
      </c>
      <c r="T386" t="s">
        <v>73</v>
      </c>
      <c r="V386" t="s">
        <v>131</v>
      </c>
      <c r="W386" t="s">
        <v>88</v>
      </c>
      <c r="X386">
        <v>1.3062473524681657E-2</v>
      </c>
      <c r="Y386" t="s">
        <v>73</v>
      </c>
    </row>
    <row r="387" spans="17:25" x14ac:dyDescent="0.25">
      <c r="Q387" t="s">
        <v>111</v>
      </c>
      <c r="R387" t="s">
        <v>89</v>
      </c>
      <c r="S387">
        <v>8.795077833541301E-2</v>
      </c>
      <c r="T387" t="s">
        <v>73</v>
      </c>
      <c r="V387" t="s">
        <v>131</v>
      </c>
      <c r="W387" t="s">
        <v>89</v>
      </c>
      <c r="X387">
        <v>1.3794404877521694E-2</v>
      </c>
      <c r="Y387" t="s">
        <v>73</v>
      </c>
    </row>
    <row r="388" spans="17:25" x14ac:dyDescent="0.25">
      <c r="Q388" t="s">
        <v>111</v>
      </c>
      <c r="R388" t="s">
        <v>90</v>
      </c>
      <c r="S388">
        <v>3.1710072103519685E-2</v>
      </c>
      <c r="T388" t="s">
        <v>73</v>
      </c>
      <c r="V388" t="s">
        <v>131</v>
      </c>
      <c r="W388" t="s">
        <v>90</v>
      </c>
      <c r="X388">
        <v>1.3905475940814656E-2</v>
      </c>
      <c r="Y388" t="s">
        <v>73</v>
      </c>
    </row>
    <row r="389" spans="17:25" x14ac:dyDescent="0.25">
      <c r="Q389" t="s">
        <v>111</v>
      </c>
      <c r="R389" t="s">
        <v>91</v>
      </c>
      <c r="S389">
        <v>0</v>
      </c>
      <c r="T389" t="s">
        <v>73</v>
      </c>
      <c r="V389" t="s">
        <v>131</v>
      </c>
      <c r="W389" t="s">
        <v>91</v>
      </c>
      <c r="X389">
        <v>9.884235805761997E-2</v>
      </c>
      <c r="Y389" t="s">
        <v>73</v>
      </c>
    </row>
    <row r="390" spans="17:25" x14ac:dyDescent="0.25">
      <c r="Q390" t="s">
        <v>111</v>
      </c>
      <c r="R390" t="s">
        <v>92</v>
      </c>
      <c r="S390">
        <v>1.897374264207128E-2</v>
      </c>
      <c r="T390" t="s">
        <v>73</v>
      </c>
      <c r="V390" t="s">
        <v>131</v>
      </c>
      <c r="W390" t="s">
        <v>92</v>
      </c>
      <c r="X390">
        <v>4.6761315835621042E-2</v>
      </c>
      <c r="Y390" t="s">
        <v>73</v>
      </c>
    </row>
    <row r="391" spans="17:25" x14ac:dyDescent="0.25">
      <c r="Q391" t="s">
        <v>111</v>
      </c>
      <c r="R391" t="s">
        <v>93</v>
      </c>
      <c r="S391">
        <v>5.9993754577635297E-2</v>
      </c>
      <c r="T391" t="s">
        <v>73</v>
      </c>
      <c r="V391" t="s">
        <v>131</v>
      </c>
      <c r="W391" t="s">
        <v>93</v>
      </c>
      <c r="X391">
        <v>3.436839997267447E-2</v>
      </c>
      <c r="Y391" t="s">
        <v>73</v>
      </c>
    </row>
    <row r="392" spans="17:25" x14ac:dyDescent="0.25">
      <c r="Q392" t="s">
        <v>111</v>
      </c>
      <c r="R392" t="s">
        <v>94</v>
      </c>
      <c r="S392">
        <v>5.8265824826317265E-2</v>
      </c>
      <c r="T392" t="s">
        <v>73</v>
      </c>
      <c r="V392" t="s">
        <v>131</v>
      </c>
      <c r="W392" t="s">
        <v>94</v>
      </c>
      <c r="X392">
        <v>3.4547962872159964E-2</v>
      </c>
      <c r="Y392" t="s">
        <v>73</v>
      </c>
    </row>
    <row r="393" spans="17:25" x14ac:dyDescent="0.25">
      <c r="Q393" t="s">
        <v>111</v>
      </c>
      <c r="R393" t="s">
        <v>95</v>
      </c>
      <c r="S393">
        <v>3.350873864363605E-2</v>
      </c>
      <c r="T393" t="s">
        <v>73</v>
      </c>
      <c r="V393" t="s">
        <v>131</v>
      </c>
      <c r="W393" t="s">
        <v>95</v>
      </c>
      <c r="X393">
        <v>3.5209560932948324E-2</v>
      </c>
      <c r="Y393" t="s">
        <v>73</v>
      </c>
    </row>
    <row r="394" spans="17:25" x14ac:dyDescent="0.25">
      <c r="Q394" t="s">
        <v>111</v>
      </c>
      <c r="R394" t="s">
        <v>96</v>
      </c>
      <c r="S394">
        <v>1.8043368343473682E-3</v>
      </c>
      <c r="T394" t="s">
        <v>73</v>
      </c>
      <c r="V394" t="s">
        <v>131</v>
      </c>
      <c r="W394" t="s">
        <v>96</v>
      </c>
      <c r="X394">
        <v>3.7468677831926603E-2</v>
      </c>
      <c r="Y394" t="s">
        <v>73</v>
      </c>
    </row>
    <row r="395" spans="17:25" x14ac:dyDescent="0.25">
      <c r="Q395" t="s">
        <v>112</v>
      </c>
      <c r="R395" t="s">
        <v>72</v>
      </c>
      <c r="S395">
        <v>0</v>
      </c>
      <c r="T395" t="s">
        <v>73</v>
      </c>
      <c r="V395" t="s">
        <v>132</v>
      </c>
      <c r="W395" t="s">
        <v>72</v>
      </c>
      <c r="X395">
        <v>0.11571759558730718</v>
      </c>
      <c r="Y395" t="s">
        <v>73</v>
      </c>
    </row>
    <row r="396" spans="17:25" x14ac:dyDescent="0.25">
      <c r="Q396" t="s">
        <v>112</v>
      </c>
      <c r="R396" t="s">
        <v>74</v>
      </c>
      <c r="S396">
        <v>6.9556965445075557E-4</v>
      </c>
      <c r="T396" t="s">
        <v>73</v>
      </c>
      <c r="V396" t="s">
        <v>132</v>
      </c>
      <c r="W396" t="s">
        <v>74</v>
      </c>
      <c r="X396">
        <v>5.8919485552814066E-2</v>
      </c>
      <c r="Y396" t="s">
        <v>73</v>
      </c>
    </row>
    <row r="397" spans="17:25" x14ac:dyDescent="0.25">
      <c r="Q397" t="s">
        <v>112</v>
      </c>
      <c r="R397" t="s">
        <v>75</v>
      </c>
      <c r="S397">
        <v>2.5858278806058198E-2</v>
      </c>
      <c r="T397" t="s">
        <v>73</v>
      </c>
      <c r="V397" t="s">
        <v>132</v>
      </c>
      <c r="W397" t="s">
        <v>75</v>
      </c>
      <c r="X397">
        <v>4.0697761692452566E-2</v>
      </c>
      <c r="Y397" t="s">
        <v>73</v>
      </c>
    </row>
    <row r="398" spans="17:25" x14ac:dyDescent="0.25">
      <c r="Q398" t="s">
        <v>112</v>
      </c>
      <c r="R398" t="s">
        <v>76</v>
      </c>
      <c r="S398">
        <v>3.3321134348854697E-2</v>
      </c>
      <c r="T398" t="s">
        <v>73</v>
      </c>
      <c r="V398" t="s">
        <v>132</v>
      </c>
      <c r="W398" t="s">
        <v>76</v>
      </c>
      <c r="X398">
        <v>3.9799084835238377E-2</v>
      </c>
      <c r="Y398" t="s">
        <v>73</v>
      </c>
    </row>
    <row r="399" spans="17:25" x14ac:dyDescent="0.25">
      <c r="Q399" t="s">
        <v>112</v>
      </c>
      <c r="R399" t="s">
        <v>77</v>
      </c>
      <c r="S399">
        <v>1.0389089050040124E-2</v>
      </c>
      <c r="T399" t="s">
        <v>73</v>
      </c>
      <c r="V399" t="s">
        <v>132</v>
      </c>
      <c r="W399" t="s">
        <v>77</v>
      </c>
      <c r="X399">
        <v>4.3462861602512615E-2</v>
      </c>
      <c r="Y399" t="s">
        <v>73</v>
      </c>
    </row>
    <row r="400" spans="17:25" x14ac:dyDescent="0.25">
      <c r="Q400" t="s">
        <v>112</v>
      </c>
      <c r="R400" t="s">
        <v>78</v>
      </c>
      <c r="S400">
        <v>0</v>
      </c>
      <c r="T400" t="s">
        <v>73</v>
      </c>
      <c r="V400" t="s">
        <v>132</v>
      </c>
      <c r="W400" t="s">
        <v>78</v>
      </c>
      <c r="X400">
        <v>4.5391793904755208E-2</v>
      </c>
      <c r="Y400" t="s">
        <v>73</v>
      </c>
    </row>
    <row r="401" spans="17:25" x14ac:dyDescent="0.25">
      <c r="Q401" t="s">
        <v>112</v>
      </c>
      <c r="R401" t="s">
        <v>79</v>
      </c>
      <c r="S401">
        <v>0</v>
      </c>
      <c r="T401" t="s">
        <v>73</v>
      </c>
      <c r="V401" t="s">
        <v>132</v>
      </c>
      <c r="W401" t="s">
        <v>79</v>
      </c>
      <c r="X401">
        <v>8.5852267458526185E-2</v>
      </c>
      <c r="Y401" t="s">
        <v>73</v>
      </c>
    </row>
    <row r="402" spans="17:25" x14ac:dyDescent="0.25">
      <c r="Q402" t="s">
        <v>112</v>
      </c>
      <c r="R402" t="s">
        <v>80</v>
      </c>
      <c r="S402">
        <v>5.2206672267968955E-2</v>
      </c>
      <c r="T402" t="s">
        <v>73</v>
      </c>
      <c r="V402" t="s">
        <v>132</v>
      </c>
      <c r="W402" t="s">
        <v>80</v>
      </c>
      <c r="X402">
        <v>4.1721911072263723E-2</v>
      </c>
      <c r="Y402" t="s">
        <v>73</v>
      </c>
    </row>
    <row r="403" spans="17:25" x14ac:dyDescent="0.25">
      <c r="Q403" t="s">
        <v>112</v>
      </c>
      <c r="R403" t="s">
        <v>81</v>
      </c>
      <c r="S403">
        <v>0.10509533401557083</v>
      </c>
      <c r="T403" t="s">
        <v>73</v>
      </c>
      <c r="V403" t="s">
        <v>132</v>
      </c>
      <c r="W403" t="s">
        <v>81</v>
      </c>
      <c r="X403">
        <v>2.9680863738997663E-2</v>
      </c>
      <c r="Y403" t="s">
        <v>73</v>
      </c>
    </row>
    <row r="404" spans="17:25" x14ac:dyDescent="0.25">
      <c r="Q404" t="s">
        <v>112</v>
      </c>
      <c r="R404" t="s">
        <v>82</v>
      </c>
      <c r="S404">
        <v>0.10332837849239702</v>
      </c>
      <c r="T404" t="s">
        <v>73</v>
      </c>
      <c r="V404" t="s">
        <v>132</v>
      </c>
      <c r="W404" t="s">
        <v>82</v>
      </c>
      <c r="X404">
        <v>3.0597356153630816E-2</v>
      </c>
      <c r="Y404" t="s">
        <v>73</v>
      </c>
    </row>
    <row r="405" spans="17:25" x14ac:dyDescent="0.25">
      <c r="Q405" t="s">
        <v>112</v>
      </c>
      <c r="R405" t="s">
        <v>83</v>
      </c>
      <c r="S405">
        <v>7.2142410076128455E-2</v>
      </c>
      <c r="T405" t="s">
        <v>73</v>
      </c>
      <c r="V405" t="s">
        <v>132</v>
      </c>
      <c r="W405" t="s">
        <v>83</v>
      </c>
      <c r="X405">
        <v>3.1162704747177916E-2</v>
      </c>
      <c r="Y405" t="s">
        <v>73</v>
      </c>
    </row>
    <row r="406" spans="17:25" x14ac:dyDescent="0.25">
      <c r="Q406" t="s">
        <v>112</v>
      </c>
      <c r="R406" t="s">
        <v>84</v>
      </c>
      <c r="S406">
        <v>1.5259472810283368E-2</v>
      </c>
      <c r="T406" t="s">
        <v>73</v>
      </c>
      <c r="V406" t="s">
        <v>132</v>
      </c>
      <c r="W406" t="s">
        <v>84</v>
      </c>
      <c r="X406">
        <v>3.3559236634630514E-2</v>
      </c>
      <c r="Y406" t="s">
        <v>73</v>
      </c>
    </row>
    <row r="407" spans="17:25" x14ac:dyDescent="0.25">
      <c r="Q407" t="s">
        <v>112</v>
      </c>
      <c r="R407" t="s">
        <v>85</v>
      </c>
      <c r="S407">
        <v>6.9977608612445701E-6</v>
      </c>
      <c r="T407" t="s">
        <v>73</v>
      </c>
      <c r="V407" t="s">
        <v>132</v>
      </c>
      <c r="W407" t="s">
        <v>85</v>
      </c>
      <c r="X407">
        <v>4.1341601694042489E-2</v>
      </c>
      <c r="Y407" t="s">
        <v>73</v>
      </c>
    </row>
    <row r="408" spans="17:25" x14ac:dyDescent="0.25">
      <c r="Q408" t="s">
        <v>112</v>
      </c>
      <c r="R408" t="s">
        <v>86</v>
      </c>
      <c r="S408">
        <v>7.9578602683721286E-2</v>
      </c>
      <c r="T408" t="s">
        <v>73</v>
      </c>
      <c r="V408" t="s">
        <v>132</v>
      </c>
      <c r="W408" t="s">
        <v>86</v>
      </c>
      <c r="X408">
        <v>1.882646995515776E-2</v>
      </c>
      <c r="Y408" t="s">
        <v>73</v>
      </c>
    </row>
    <row r="409" spans="17:25" x14ac:dyDescent="0.25">
      <c r="Q409" t="s">
        <v>112</v>
      </c>
      <c r="R409" t="s">
        <v>87</v>
      </c>
      <c r="S409">
        <v>0.11210487469614046</v>
      </c>
      <c r="T409" t="s">
        <v>73</v>
      </c>
      <c r="V409" t="s">
        <v>132</v>
      </c>
      <c r="W409" t="s">
        <v>87</v>
      </c>
      <c r="X409">
        <v>1.4605819010338153E-2</v>
      </c>
      <c r="Y409" t="s">
        <v>73</v>
      </c>
    </row>
    <row r="410" spans="17:25" x14ac:dyDescent="0.25">
      <c r="Q410" t="s">
        <v>112</v>
      </c>
      <c r="R410" t="s">
        <v>88</v>
      </c>
      <c r="S410">
        <v>0.10679148336631419</v>
      </c>
      <c r="T410" t="s">
        <v>73</v>
      </c>
      <c r="V410" t="s">
        <v>132</v>
      </c>
      <c r="W410" t="s">
        <v>88</v>
      </c>
      <c r="X410">
        <v>1.4917791000722144E-2</v>
      </c>
      <c r="Y410" t="s">
        <v>73</v>
      </c>
    </row>
    <row r="411" spans="17:25" x14ac:dyDescent="0.25">
      <c r="Q411" t="s">
        <v>112</v>
      </c>
      <c r="R411" t="s">
        <v>89</v>
      </c>
      <c r="S411">
        <v>8.7155325801978614E-2</v>
      </c>
      <c r="T411" t="s">
        <v>73</v>
      </c>
      <c r="V411" t="s">
        <v>132</v>
      </c>
      <c r="W411" t="s">
        <v>89</v>
      </c>
      <c r="X411">
        <v>1.8341778897026585E-2</v>
      </c>
      <c r="Y411" t="s">
        <v>73</v>
      </c>
    </row>
    <row r="412" spans="17:25" x14ac:dyDescent="0.25">
      <c r="Q412" t="s">
        <v>112</v>
      </c>
      <c r="R412" t="s">
        <v>90</v>
      </c>
      <c r="S412">
        <v>3.2308706970093602E-2</v>
      </c>
      <c r="T412" t="s">
        <v>73</v>
      </c>
      <c r="V412" t="s">
        <v>132</v>
      </c>
      <c r="W412" t="s">
        <v>90</v>
      </c>
      <c r="X412">
        <v>1.7514421891682966E-2</v>
      </c>
      <c r="Y412" t="s">
        <v>73</v>
      </c>
    </row>
    <row r="413" spans="17:25" x14ac:dyDescent="0.25">
      <c r="Q413" t="s">
        <v>112</v>
      </c>
      <c r="R413" t="s">
        <v>91</v>
      </c>
      <c r="S413">
        <v>0</v>
      </c>
      <c r="T413" t="s">
        <v>73</v>
      </c>
      <c r="V413" t="s">
        <v>132</v>
      </c>
      <c r="W413" t="s">
        <v>91</v>
      </c>
      <c r="X413">
        <v>9.3263080115909988E-2</v>
      </c>
      <c r="Y413" t="s">
        <v>73</v>
      </c>
    </row>
    <row r="414" spans="17:25" x14ac:dyDescent="0.25">
      <c r="Q414" t="s">
        <v>112</v>
      </c>
      <c r="R414" t="s">
        <v>92</v>
      </c>
      <c r="S414">
        <v>1.8825333933101963E-2</v>
      </c>
      <c r="T414" t="s">
        <v>73</v>
      </c>
      <c r="V414" t="s">
        <v>132</v>
      </c>
      <c r="W414" t="s">
        <v>92</v>
      </c>
      <c r="X414">
        <v>4.1887390082312882E-2</v>
      </c>
      <c r="Y414" t="s">
        <v>73</v>
      </c>
    </row>
    <row r="415" spans="17:25" x14ac:dyDescent="0.25">
      <c r="Q415" t="s">
        <v>112</v>
      </c>
      <c r="R415" t="s">
        <v>93</v>
      </c>
      <c r="S415">
        <v>5.7636421447660964E-2</v>
      </c>
      <c r="T415" t="s">
        <v>73</v>
      </c>
      <c r="V415" t="s">
        <v>132</v>
      </c>
      <c r="W415" t="s">
        <v>93</v>
      </c>
      <c r="X415">
        <v>3.0681287328016272E-2</v>
      </c>
      <c r="Y415" t="s">
        <v>73</v>
      </c>
    </row>
    <row r="416" spans="17:25" x14ac:dyDescent="0.25">
      <c r="Q416" t="s">
        <v>112</v>
      </c>
      <c r="R416" t="s">
        <v>94</v>
      </c>
      <c r="S416">
        <v>5.4398617787172247E-2</v>
      </c>
      <c r="T416" t="s">
        <v>73</v>
      </c>
      <c r="V416" t="s">
        <v>132</v>
      </c>
      <c r="W416" t="s">
        <v>94</v>
      </c>
      <c r="X416">
        <v>3.3768344790533131E-2</v>
      </c>
      <c r="Y416" t="s">
        <v>73</v>
      </c>
    </row>
    <row r="417" spans="17:25" x14ac:dyDescent="0.25">
      <c r="Q417" t="s">
        <v>112</v>
      </c>
      <c r="R417" t="s">
        <v>95</v>
      </c>
      <c r="S417">
        <v>3.1002187302678869E-2</v>
      </c>
      <c r="T417" t="s">
        <v>73</v>
      </c>
      <c r="V417" t="s">
        <v>132</v>
      </c>
      <c r="W417" t="s">
        <v>95</v>
      </c>
      <c r="X417">
        <v>3.7256146488197445E-2</v>
      </c>
      <c r="Y417" t="s">
        <v>73</v>
      </c>
    </row>
    <row r="418" spans="17:25" x14ac:dyDescent="0.25">
      <c r="Q418" t="s">
        <v>112</v>
      </c>
      <c r="R418" t="s">
        <v>96</v>
      </c>
      <c r="S418">
        <v>1.8951087285247162E-3</v>
      </c>
      <c r="T418" t="s">
        <v>73</v>
      </c>
      <c r="V418" t="s">
        <v>132</v>
      </c>
      <c r="W418" t="s">
        <v>96</v>
      </c>
      <c r="X418">
        <v>4.1032945765751241E-2</v>
      </c>
      <c r="Y418" t="s">
        <v>73</v>
      </c>
    </row>
    <row r="419" spans="17:25" x14ac:dyDescent="0.25">
      <c r="Q419" t="s">
        <v>113</v>
      </c>
      <c r="R419" t="s">
        <v>72</v>
      </c>
      <c r="S419">
        <v>0</v>
      </c>
      <c r="T419" t="s">
        <v>73</v>
      </c>
      <c r="V419" t="s">
        <v>133</v>
      </c>
      <c r="W419" t="s">
        <v>72</v>
      </c>
      <c r="X419">
        <v>0.10805843627386727</v>
      </c>
      <c r="Y419" t="s">
        <v>73</v>
      </c>
    </row>
    <row r="420" spans="17:25" x14ac:dyDescent="0.25">
      <c r="Q420" t="s">
        <v>113</v>
      </c>
      <c r="R420" t="s">
        <v>74</v>
      </c>
      <c r="S420">
        <v>1.0062934291106042E-3</v>
      </c>
      <c r="T420" t="s">
        <v>73</v>
      </c>
      <c r="V420" t="s">
        <v>133</v>
      </c>
      <c r="W420" t="s">
        <v>74</v>
      </c>
      <c r="X420">
        <v>5.3255923064793931E-2</v>
      </c>
      <c r="Y420" t="s">
        <v>73</v>
      </c>
    </row>
    <row r="421" spans="17:25" x14ac:dyDescent="0.25">
      <c r="Q421" t="s">
        <v>113</v>
      </c>
      <c r="R421" t="s">
        <v>75</v>
      </c>
      <c r="S421">
        <v>2.8844692015684407E-2</v>
      </c>
      <c r="T421" t="s">
        <v>73</v>
      </c>
      <c r="V421" t="s">
        <v>133</v>
      </c>
      <c r="W421" t="s">
        <v>75</v>
      </c>
      <c r="X421">
        <v>3.9759275549041975E-2</v>
      </c>
      <c r="Y421" t="s">
        <v>73</v>
      </c>
    </row>
    <row r="422" spans="17:25" x14ac:dyDescent="0.25">
      <c r="Q422" t="s">
        <v>113</v>
      </c>
      <c r="R422" t="s">
        <v>76</v>
      </c>
      <c r="S422">
        <v>3.4680687233901289E-2</v>
      </c>
      <c r="T422" t="s">
        <v>73</v>
      </c>
      <c r="V422" t="s">
        <v>133</v>
      </c>
      <c r="W422" t="s">
        <v>76</v>
      </c>
      <c r="X422">
        <v>4.0008767765597919E-2</v>
      </c>
      <c r="Y422" t="s">
        <v>73</v>
      </c>
    </row>
    <row r="423" spans="17:25" x14ac:dyDescent="0.25">
      <c r="Q423" t="s">
        <v>113</v>
      </c>
      <c r="R423" t="s">
        <v>77</v>
      </c>
      <c r="S423">
        <v>9.7846418779891503E-3</v>
      </c>
      <c r="T423" t="s">
        <v>73</v>
      </c>
      <c r="V423" t="s">
        <v>133</v>
      </c>
      <c r="W423" t="s">
        <v>77</v>
      </c>
      <c r="X423">
        <v>4.3177633386554642E-2</v>
      </c>
      <c r="Y423" t="s">
        <v>73</v>
      </c>
    </row>
    <row r="424" spans="17:25" x14ac:dyDescent="0.25">
      <c r="Q424" t="s">
        <v>113</v>
      </c>
      <c r="R424" t="s">
        <v>78</v>
      </c>
      <c r="S424">
        <v>0</v>
      </c>
      <c r="T424" t="s">
        <v>73</v>
      </c>
      <c r="V424" t="s">
        <v>133</v>
      </c>
      <c r="W424" t="s">
        <v>78</v>
      </c>
      <c r="X424">
        <v>4.4608281570441673E-2</v>
      </c>
      <c r="Y424" t="s">
        <v>73</v>
      </c>
    </row>
    <row r="425" spans="17:25" x14ac:dyDescent="0.25">
      <c r="Q425" t="s">
        <v>113</v>
      </c>
      <c r="R425" t="s">
        <v>79</v>
      </c>
      <c r="S425">
        <v>9.468516257938369E-7</v>
      </c>
      <c r="T425" t="s">
        <v>73</v>
      </c>
      <c r="V425" t="s">
        <v>133</v>
      </c>
      <c r="W425" t="s">
        <v>79</v>
      </c>
      <c r="X425">
        <v>8.2365233001411867E-2</v>
      </c>
      <c r="Y425" t="s">
        <v>73</v>
      </c>
    </row>
    <row r="426" spans="17:25" x14ac:dyDescent="0.25">
      <c r="Q426" t="s">
        <v>113</v>
      </c>
      <c r="R426" t="s">
        <v>80</v>
      </c>
      <c r="S426">
        <v>5.7972937103666418E-2</v>
      </c>
      <c r="T426" t="s">
        <v>73</v>
      </c>
      <c r="V426" t="s">
        <v>133</v>
      </c>
      <c r="W426" t="s">
        <v>80</v>
      </c>
      <c r="X426">
        <v>3.9402396018757758E-2</v>
      </c>
      <c r="Y426" t="s">
        <v>73</v>
      </c>
    </row>
    <row r="427" spans="17:25" x14ac:dyDescent="0.25">
      <c r="Q427" t="s">
        <v>113</v>
      </c>
      <c r="R427" t="s">
        <v>81</v>
      </c>
      <c r="S427">
        <v>0.10209992969264051</v>
      </c>
      <c r="T427" t="s">
        <v>73</v>
      </c>
      <c r="V427" t="s">
        <v>133</v>
      </c>
      <c r="W427" t="s">
        <v>81</v>
      </c>
      <c r="X427">
        <v>3.0895957920058295E-2</v>
      </c>
      <c r="Y427" t="s">
        <v>73</v>
      </c>
    </row>
    <row r="428" spans="17:25" x14ac:dyDescent="0.25">
      <c r="Q428" t="s">
        <v>113</v>
      </c>
      <c r="R428" t="s">
        <v>82</v>
      </c>
      <c r="S428">
        <v>9.685290928164754E-2</v>
      </c>
      <c r="T428" t="s">
        <v>73</v>
      </c>
      <c r="V428" t="s">
        <v>133</v>
      </c>
      <c r="W428" t="s">
        <v>82</v>
      </c>
      <c r="X428">
        <v>3.3245062034876947E-2</v>
      </c>
      <c r="Y428" t="s">
        <v>73</v>
      </c>
    </row>
    <row r="429" spans="17:25" x14ac:dyDescent="0.25">
      <c r="Q429" t="s">
        <v>113</v>
      </c>
      <c r="R429" t="s">
        <v>83</v>
      </c>
      <c r="S429">
        <v>6.7208245076513781E-2</v>
      </c>
      <c r="T429" t="s">
        <v>73</v>
      </c>
      <c r="V429" t="s">
        <v>133</v>
      </c>
      <c r="W429" t="s">
        <v>83</v>
      </c>
      <c r="X429">
        <v>3.4099410637941578E-2</v>
      </c>
      <c r="Y429" t="s">
        <v>73</v>
      </c>
    </row>
    <row r="430" spans="17:25" x14ac:dyDescent="0.25">
      <c r="Q430" t="s">
        <v>113</v>
      </c>
      <c r="R430" t="s">
        <v>84</v>
      </c>
      <c r="S430">
        <v>1.252604884419658E-2</v>
      </c>
      <c r="T430" t="s">
        <v>73</v>
      </c>
      <c r="V430" t="s">
        <v>133</v>
      </c>
      <c r="W430" t="s">
        <v>84</v>
      </c>
      <c r="X430">
        <v>3.4193548239985959E-2</v>
      </c>
      <c r="Y430" t="s">
        <v>73</v>
      </c>
    </row>
    <row r="431" spans="17:25" x14ac:dyDescent="0.25">
      <c r="Q431" t="s">
        <v>113</v>
      </c>
      <c r="R431" t="s">
        <v>85</v>
      </c>
      <c r="S431">
        <v>5.6317189560690993E-4</v>
      </c>
      <c r="T431" t="s">
        <v>73</v>
      </c>
      <c r="V431" t="s">
        <v>133</v>
      </c>
      <c r="W431" t="s">
        <v>85</v>
      </c>
      <c r="X431">
        <v>4.6341386544867004E-2</v>
      </c>
      <c r="Y431" t="s">
        <v>73</v>
      </c>
    </row>
    <row r="432" spans="17:25" x14ac:dyDescent="0.25">
      <c r="Q432" t="s">
        <v>113</v>
      </c>
      <c r="R432" t="s">
        <v>86</v>
      </c>
      <c r="S432">
        <v>8.6652674210558625E-2</v>
      </c>
      <c r="T432" t="s">
        <v>73</v>
      </c>
      <c r="V432" t="s">
        <v>133</v>
      </c>
      <c r="W432" t="s">
        <v>86</v>
      </c>
      <c r="X432">
        <v>2.1743026847863483E-2</v>
      </c>
      <c r="Y432" t="s">
        <v>73</v>
      </c>
    </row>
    <row r="433" spans="17:25" x14ac:dyDescent="0.25">
      <c r="Q433" t="s">
        <v>113</v>
      </c>
      <c r="R433" t="s">
        <v>87</v>
      </c>
      <c r="S433">
        <v>0.11480484878575149</v>
      </c>
      <c r="T433" t="s">
        <v>73</v>
      </c>
      <c r="V433" t="s">
        <v>133</v>
      </c>
      <c r="W433" t="s">
        <v>87</v>
      </c>
      <c r="X433">
        <v>1.7144083579427604E-2</v>
      </c>
      <c r="Y433" t="s">
        <v>73</v>
      </c>
    </row>
    <row r="434" spans="17:25" x14ac:dyDescent="0.25">
      <c r="Q434" t="s">
        <v>113</v>
      </c>
      <c r="R434" t="s">
        <v>88</v>
      </c>
      <c r="S434">
        <v>0.11064026425872074</v>
      </c>
      <c r="T434" t="s">
        <v>73</v>
      </c>
      <c r="V434" t="s">
        <v>133</v>
      </c>
      <c r="W434" t="s">
        <v>88</v>
      </c>
      <c r="X434">
        <v>1.7425623210246707E-2</v>
      </c>
      <c r="Y434" t="s">
        <v>73</v>
      </c>
    </row>
    <row r="435" spans="17:25" x14ac:dyDescent="0.25">
      <c r="Q435" t="s">
        <v>113</v>
      </c>
      <c r="R435" t="s">
        <v>89</v>
      </c>
      <c r="S435">
        <v>8.8267929267263456E-2</v>
      </c>
      <c r="T435" t="s">
        <v>73</v>
      </c>
      <c r="V435" t="s">
        <v>133</v>
      </c>
      <c r="W435" t="s">
        <v>89</v>
      </c>
      <c r="X435">
        <v>1.7836946266015417E-2</v>
      </c>
      <c r="Y435" t="s">
        <v>73</v>
      </c>
    </row>
    <row r="436" spans="17:25" x14ac:dyDescent="0.25">
      <c r="Q436" t="s">
        <v>113</v>
      </c>
      <c r="R436" t="s">
        <v>90</v>
      </c>
      <c r="S436">
        <v>2.8360968011254487E-2</v>
      </c>
      <c r="T436" t="s">
        <v>73</v>
      </c>
      <c r="V436" t="s">
        <v>133</v>
      </c>
      <c r="W436" t="s">
        <v>90</v>
      </c>
      <c r="X436">
        <v>1.6445163103414314E-2</v>
      </c>
      <c r="Y436" t="s">
        <v>73</v>
      </c>
    </row>
    <row r="437" spans="17:25" x14ac:dyDescent="0.25">
      <c r="Q437" t="s">
        <v>113</v>
      </c>
      <c r="R437" t="s">
        <v>91</v>
      </c>
      <c r="S437">
        <v>0</v>
      </c>
      <c r="T437" t="s">
        <v>73</v>
      </c>
      <c r="V437" t="s">
        <v>133</v>
      </c>
      <c r="W437" t="s">
        <v>91</v>
      </c>
      <c r="X437">
        <v>8.931875882994704E-2</v>
      </c>
      <c r="Y437" t="s">
        <v>73</v>
      </c>
    </row>
    <row r="438" spans="17:25" x14ac:dyDescent="0.25">
      <c r="Q438" t="s">
        <v>113</v>
      </c>
      <c r="R438" t="s">
        <v>92</v>
      </c>
      <c r="S438">
        <v>1.9330067290560214E-2</v>
      </c>
      <c r="T438" t="s">
        <v>73</v>
      </c>
      <c r="V438" t="s">
        <v>133</v>
      </c>
      <c r="W438" t="s">
        <v>92</v>
      </c>
      <c r="X438">
        <v>4.4209341998775312E-2</v>
      </c>
      <c r="Y438" t="s">
        <v>73</v>
      </c>
    </row>
    <row r="439" spans="17:25" x14ac:dyDescent="0.25">
      <c r="Q439" t="s">
        <v>113</v>
      </c>
      <c r="R439" t="s">
        <v>93</v>
      </c>
      <c r="S439">
        <v>5.4502323619453334E-2</v>
      </c>
      <c r="T439" t="s">
        <v>73</v>
      </c>
      <c r="V439" t="s">
        <v>133</v>
      </c>
      <c r="W439" t="s">
        <v>93</v>
      </c>
      <c r="X439">
        <v>3.6325937152061685E-2</v>
      </c>
      <c r="Y439" t="s">
        <v>73</v>
      </c>
    </row>
    <row r="440" spans="17:25" x14ac:dyDescent="0.25">
      <c r="Q440" t="s">
        <v>113</v>
      </c>
      <c r="R440" t="s">
        <v>94</v>
      </c>
      <c r="S440">
        <v>5.5069791193614361E-2</v>
      </c>
      <c r="T440" t="s">
        <v>73</v>
      </c>
      <c r="V440" t="s">
        <v>133</v>
      </c>
      <c r="W440" t="s">
        <v>94</v>
      </c>
      <c r="X440">
        <v>3.6853522959576099E-2</v>
      </c>
      <c r="Y440" t="s">
        <v>73</v>
      </c>
    </row>
    <row r="441" spans="17:25" x14ac:dyDescent="0.25">
      <c r="Q441" t="s">
        <v>113</v>
      </c>
      <c r="R441" t="s">
        <v>95</v>
      </c>
      <c r="S441">
        <v>2.9361933185352011E-2</v>
      </c>
      <c r="T441" t="s">
        <v>73</v>
      </c>
      <c r="V441" t="s">
        <v>133</v>
      </c>
      <c r="W441" t="s">
        <v>95</v>
      </c>
      <c r="X441">
        <v>3.6077982463041398E-2</v>
      </c>
      <c r="Y441" t="s">
        <v>73</v>
      </c>
    </row>
    <row r="442" spans="17:25" x14ac:dyDescent="0.25">
      <c r="Q442" t="s">
        <v>113</v>
      </c>
      <c r="R442" t="s">
        <v>96</v>
      </c>
      <c r="S442">
        <v>1.4686968748873403E-3</v>
      </c>
      <c r="T442" t="s">
        <v>73</v>
      </c>
      <c r="V442" t="s">
        <v>133</v>
      </c>
      <c r="W442" t="s">
        <v>96</v>
      </c>
      <c r="X442">
        <v>3.7208301581434372E-2</v>
      </c>
      <c r="Y442" t="s">
        <v>73</v>
      </c>
    </row>
    <row r="443" spans="17:25" x14ac:dyDescent="0.25">
      <c r="Q443" t="s">
        <v>114</v>
      </c>
      <c r="R443" t="s">
        <v>72</v>
      </c>
      <c r="S443">
        <v>0</v>
      </c>
      <c r="T443" t="s">
        <v>73</v>
      </c>
      <c r="V443" t="s">
        <v>134</v>
      </c>
      <c r="W443" t="s">
        <v>72</v>
      </c>
      <c r="X443">
        <v>0.11870770198752442</v>
      </c>
      <c r="Y443" t="s">
        <v>73</v>
      </c>
    </row>
    <row r="444" spans="17:25" x14ac:dyDescent="0.25">
      <c r="Q444" t="s">
        <v>114</v>
      </c>
      <c r="R444" t="s">
        <v>74</v>
      </c>
      <c r="S444">
        <v>1.2910787409097766E-3</v>
      </c>
      <c r="T444" t="s">
        <v>73</v>
      </c>
      <c r="V444" t="s">
        <v>134</v>
      </c>
      <c r="W444" t="s">
        <v>74</v>
      </c>
      <c r="X444">
        <v>5.927300303369297E-2</v>
      </c>
      <c r="Y444" t="s">
        <v>73</v>
      </c>
    </row>
    <row r="445" spans="17:25" x14ac:dyDescent="0.25">
      <c r="Q445" t="s">
        <v>114</v>
      </c>
      <c r="R445" t="s">
        <v>75</v>
      </c>
      <c r="S445">
        <v>3.3387658288294396E-2</v>
      </c>
      <c r="T445" t="s">
        <v>73</v>
      </c>
      <c r="V445" t="s">
        <v>134</v>
      </c>
      <c r="W445" t="s">
        <v>75</v>
      </c>
      <c r="X445">
        <v>4.308488046909608E-2</v>
      </c>
      <c r="Y445" t="s">
        <v>73</v>
      </c>
    </row>
    <row r="446" spans="17:25" x14ac:dyDescent="0.25">
      <c r="Q446" t="s">
        <v>114</v>
      </c>
      <c r="R446" t="s">
        <v>76</v>
      </c>
      <c r="S446">
        <v>3.9172464215239275E-2</v>
      </c>
      <c r="T446" t="s">
        <v>73</v>
      </c>
      <c r="V446" t="s">
        <v>134</v>
      </c>
      <c r="W446" t="s">
        <v>76</v>
      </c>
      <c r="X446">
        <v>4.2911485838609167E-2</v>
      </c>
      <c r="Y446" t="s">
        <v>73</v>
      </c>
    </row>
    <row r="447" spans="17:25" x14ac:dyDescent="0.25">
      <c r="Q447" t="s">
        <v>114</v>
      </c>
      <c r="R447" t="s">
        <v>77</v>
      </c>
      <c r="S447">
        <v>1.2219142108673888E-2</v>
      </c>
      <c r="T447" t="s">
        <v>73</v>
      </c>
      <c r="V447" t="s">
        <v>134</v>
      </c>
      <c r="W447" t="s">
        <v>77</v>
      </c>
      <c r="X447">
        <v>4.7387299403187297E-2</v>
      </c>
      <c r="Y447" t="s">
        <v>73</v>
      </c>
    </row>
    <row r="448" spans="17:25" x14ac:dyDescent="0.25">
      <c r="Q448" t="s">
        <v>114</v>
      </c>
      <c r="R448" t="s">
        <v>78</v>
      </c>
      <c r="S448">
        <v>0</v>
      </c>
      <c r="T448" t="s">
        <v>73</v>
      </c>
      <c r="V448" t="s">
        <v>134</v>
      </c>
      <c r="W448" t="s">
        <v>78</v>
      </c>
      <c r="X448">
        <v>4.8831477399404077E-2</v>
      </c>
      <c r="Y448" t="s">
        <v>73</v>
      </c>
    </row>
    <row r="449" spans="17:25" x14ac:dyDescent="0.25">
      <c r="Q449" t="s">
        <v>114</v>
      </c>
      <c r="R449" t="s">
        <v>79</v>
      </c>
      <c r="S449">
        <v>0</v>
      </c>
      <c r="T449" t="s">
        <v>73</v>
      </c>
      <c r="V449" t="s">
        <v>134</v>
      </c>
      <c r="W449" t="s">
        <v>79</v>
      </c>
      <c r="X449">
        <v>9.0699314990751081E-2</v>
      </c>
      <c r="Y449" t="s">
        <v>73</v>
      </c>
    </row>
    <row r="450" spans="17:25" x14ac:dyDescent="0.25">
      <c r="Q450" t="s">
        <v>114</v>
      </c>
      <c r="R450" t="s">
        <v>80</v>
      </c>
      <c r="S450">
        <v>5.4504830903757899E-2</v>
      </c>
      <c r="T450" t="s">
        <v>73</v>
      </c>
      <c r="V450" t="s">
        <v>134</v>
      </c>
      <c r="W450" t="s">
        <v>80</v>
      </c>
      <c r="X450">
        <v>3.8193688904274894E-2</v>
      </c>
      <c r="Y450" t="s">
        <v>73</v>
      </c>
    </row>
    <row r="451" spans="17:25" x14ac:dyDescent="0.25">
      <c r="Q451" t="s">
        <v>114</v>
      </c>
      <c r="R451" t="s">
        <v>81</v>
      </c>
      <c r="S451">
        <v>9.8146183538796686E-2</v>
      </c>
      <c r="T451" t="s">
        <v>73</v>
      </c>
      <c r="V451" t="s">
        <v>134</v>
      </c>
      <c r="W451" t="s">
        <v>81</v>
      </c>
      <c r="X451">
        <v>2.4112597428410588E-2</v>
      </c>
      <c r="Y451" t="s">
        <v>73</v>
      </c>
    </row>
    <row r="452" spans="17:25" x14ac:dyDescent="0.25">
      <c r="Q452" t="s">
        <v>114</v>
      </c>
      <c r="R452" t="s">
        <v>82</v>
      </c>
      <c r="S452">
        <v>9.4428564138753612E-2</v>
      </c>
      <c r="T452" t="s">
        <v>73</v>
      </c>
      <c r="V452" t="s">
        <v>134</v>
      </c>
      <c r="W452" t="s">
        <v>82</v>
      </c>
      <c r="X452">
        <v>2.6289441725665091E-2</v>
      </c>
      <c r="Y452" t="s">
        <v>73</v>
      </c>
    </row>
    <row r="453" spans="17:25" x14ac:dyDescent="0.25">
      <c r="Q453" t="s">
        <v>114</v>
      </c>
      <c r="R453" t="s">
        <v>83</v>
      </c>
      <c r="S453">
        <v>6.5396697647930921E-2</v>
      </c>
      <c r="T453" t="s">
        <v>73</v>
      </c>
      <c r="V453" t="s">
        <v>134</v>
      </c>
      <c r="W453" t="s">
        <v>83</v>
      </c>
      <c r="X453">
        <v>2.9238309303214458E-2</v>
      </c>
      <c r="Y453" t="s">
        <v>73</v>
      </c>
    </row>
    <row r="454" spans="17:25" x14ac:dyDescent="0.25">
      <c r="Q454" t="s">
        <v>114</v>
      </c>
      <c r="R454" t="s">
        <v>84</v>
      </c>
      <c r="S454">
        <v>1.164427714205833E-2</v>
      </c>
      <c r="T454" t="s">
        <v>73</v>
      </c>
      <c r="V454" t="s">
        <v>134</v>
      </c>
      <c r="W454" t="s">
        <v>84</v>
      </c>
      <c r="X454">
        <v>3.329890875882266E-2</v>
      </c>
      <c r="Y454" t="s">
        <v>73</v>
      </c>
    </row>
    <row r="455" spans="17:25" x14ac:dyDescent="0.25">
      <c r="Q455" t="s">
        <v>114</v>
      </c>
      <c r="R455" t="s">
        <v>85</v>
      </c>
      <c r="S455">
        <v>0</v>
      </c>
      <c r="T455" t="s">
        <v>73</v>
      </c>
      <c r="V455" t="s">
        <v>134</v>
      </c>
      <c r="W455" t="s">
        <v>85</v>
      </c>
      <c r="X455">
        <v>4.6924753455110199E-2</v>
      </c>
      <c r="Y455" t="s">
        <v>73</v>
      </c>
    </row>
    <row r="456" spans="17:25" x14ac:dyDescent="0.25">
      <c r="Q456" t="s">
        <v>114</v>
      </c>
      <c r="R456" t="s">
        <v>86</v>
      </c>
      <c r="S456">
        <v>8.2575697655695307E-2</v>
      </c>
      <c r="T456" t="s">
        <v>73</v>
      </c>
      <c r="V456" t="s">
        <v>134</v>
      </c>
      <c r="W456" t="s">
        <v>86</v>
      </c>
      <c r="X456">
        <v>1.9491867825024916E-2</v>
      </c>
      <c r="Y456" t="s">
        <v>73</v>
      </c>
    </row>
    <row r="457" spans="17:25" x14ac:dyDescent="0.25">
      <c r="Q457" t="s">
        <v>114</v>
      </c>
      <c r="R457" t="s">
        <v>87</v>
      </c>
      <c r="S457">
        <v>0.11411178372060723</v>
      </c>
      <c r="T457" t="s">
        <v>73</v>
      </c>
      <c r="V457" t="s">
        <v>134</v>
      </c>
      <c r="W457" t="s">
        <v>87</v>
      </c>
      <c r="X457">
        <v>1.4589703713304385E-2</v>
      </c>
      <c r="Y457" t="s">
        <v>73</v>
      </c>
    </row>
    <row r="458" spans="17:25" x14ac:dyDescent="0.25">
      <c r="Q458" t="s">
        <v>114</v>
      </c>
      <c r="R458" t="s">
        <v>88</v>
      </c>
      <c r="S458">
        <v>0.10983433781633746</v>
      </c>
      <c r="T458" t="s">
        <v>73</v>
      </c>
      <c r="V458" t="s">
        <v>134</v>
      </c>
      <c r="W458" t="s">
        <v>88</v>
      </c>
      <c r="X458">
        <v>1.4460717574836643E-2</v>
      </c>
      <c r="Y458" t="s">
        <v>73</v>
      </c>
    </row>
    <row r="459" spans="17:25" x14ac:dyDescent="0.25">
      <c r="Q459" t="s">
        <v>114</v>
      </c>
      <c r="R459" t="s">
        <v>89</v>
      </c>
      <c r="S459">
        <v>8.6354399689784311E-2</v>
      </c>
      <c r="T459" t="s">
        <v>73</v>
      </c>
      <c r="V459" t="s">
        <v>134</v>
      </c>
      <c r="W459" t="s">
        <v>89</v>
      </c>
      <c r="X459">
        <v>1.6144009779812413E-2</v>
      </c>
      <c r="Y459" t="s">
        <v>73</v>
      </c>
    </row>
    <row r="460" spans="17:25" x14ac:dyDescent="0.25">
      <c r="Q460" t="s">
        <v>114</v>
      </c>
      <c r="R460" t="s">
        <v>90</v>
      </c>
      <c r="S460">
        <v>2.67121224223918E-2</v>
      </c>
      <c r="T460" t="s">
        <v>73</v>
      </c>
      <c r="V460" t="s">
        <v>134</v>
      </c>
      <c r="W460" t="s">
        <v>90</v>
      </c>
      <c r="X460">
        <v>1.6085413826738396E-2</v>
      </c>
      <c r="Y460" t="s">
        <v>73</v>
      </c>
    </row>
    <row r="461" spans="17:25" x14ac:dyDescent="0.25">
      <c r="Q461" t="s">
        <v>114</v>
      </c>
      <c r="R461" t="s">
        <v>91</v>
      </c>
      <c r="S461">
        <v>0</v>
      </c>
      <c r="T461" t="s">
        <v>73</v>
      </c>
      <c r="V461" t="s">
        <v>134</v>
      </c>
      <c r="W461" t="s">
        <v>91</v>
      </c>
      <c r="X461">
        <v>9.1663575817946832E-2</v>
      </c>
      <c r="Y461" t="s">
        <v>73</v>
      </c>
    </row>
    <row r="462" spans="17:25" x14ac:dyDescent="0.25">
      <c r="Q462" t="s">
        <v>114</v>
      </c>
      <c r="R462" t="s">
        <v>92</v>
      </c>
      <c r="S462">
        <v>2.034191247430419E-2</v>
      </c>
      <c r="T462" t="s">
        <v>73</v>
      </c>
      <c r="V462" t="s">
        <v>134</v>
      </c>
      <c r="W462" t="s">
        <v>92</v>
      </c>
      <c r="X462">
        <v>4.1241748158983557E-2</v>
      </c>
      <c r="Y462" t="s">
        <v>73</v>
      </c>
    </row>
    <row r="463" spans="17:25" x14ac:dyDescent="0.25">
      <c r="Q463" t="s">
        <v>114</v>
      </c>
      <c r="R463" t="s">
        <v>93</v>
      </c>
      <c r="S463">
        <v>5.9295745154757745E-2</v>
      </c>
      <c r="T463" t="s">
        <v>73</v>
      </c>
      <c r="V463" t="s">
        <v>134</v>
      </c>
      <c r="W463" t="s">
        <v>93</v>
      </c>
      <c r="X463">
        <v>2.9427385720504233E-2</v>
      </c>
      <c r="Y463" t="s">
        <v>73</v>
      </c>
    </row>
    <row r="464" spans="17:25" x14ac:dyDescent="0.25">
      <c r="Q464" t="s">
        <v>114</v>
      </c>
      <c r="R464" t="s">
        <v>94</v>
      </c>
      <c r="S464">
        <v>5.7989539229029823E-2</v>
      </c>
      <c r="T464" t="s">
        <v>73</v>
      </c>
      <c r="V464" t="s">
        <v>134</v>
      </c>
      <c r="W464" t="s">
        <v>94</v>
      </c>
      <c r="X464">
        <v>3.1851824628316851E-2</v>
      </c>
      <c r="Y464" t="s">
        <v>73</v>
      </c>
    </row>
    <row r="465" spans="17:25" x14ac:dyDescent="0.25">
      <c r="Q465" t="s">
        <v>114</v>
      </c>
      <c r="R465" t="s">
        <v>95</v>
      </c>
      <c r="S465">
        <v>3.0943151421302002E-2</v>
      </c>
      <c r="T465" t="s">
        <v>73</v>
      </c>
      <c r="V465" t="s">
        <v>134</v>
      </c>
      <c r="W465" t="s">
        <v>95</v>
      </c>
      <c r="X465">
        <v>3.6155882188374948E-2</v>
      </c>
      <c r="Y465" t="s">
        <v>73</v>
      </c>
    </row>
    <row r="466" spans="17:25" x14ac:dyDescent="0.25">
      <c r="Q466" t="s">
        <v>114</v>
      </c>
      <c r="R466" t="s">
        <v>96</v>
      </c>
      <c r="S466">
        <v>1.6504136913743184E-3</v>
      </c>
      <c r="T466" t="s">
        <v>73</v>
      </c>
      <c r="V466" t="s">
        <v>134</v>
      </c>
      <c r="W466" t="s">
        <v>96</v>
      </c>
      <c r="X466">
        <v>3.9935008068395797E-2</v>
      </c>
      <c r="Y466" t="s">
        <v>73</v>
      </c>
    </row>
    <row r="467" spans="17:25" x14ac:dyDescent="0.25">
      <c r="Q467" t="s">
        <v>115</v>
      </c>
      <c r="R467" t="s">
        <v>72</v>
      </c>
      <c r="S467">
        <v>0</v>
      </c>
      <c r="T467" t="s">
        <v>73</v>
      </c>
      <c r="V467" t="s">
        <v>135</v>
      </c>
      <c r="W467" t="s">
        <v>72</v>
      </c>
      <c r="X467">
        <v>0.12016263048798867</v>
      </c>
      <c r="Y467" t="s">
        <v>73</v>
      </c>
    </row>
    <row r="468" spans="17:25" x14ac:dyDescent="0.25">
      <c r="Q468" t="s">
        <v>115</v>
      </c>
      <c r="R468" t="s">
        <v>74</v>
      </c>
      <c r="S468">
        <v>1.3341028691204282E-3</v>
      </c>
      <c r="T468" t="s">
        <v>73</v>
      </c>
      <c r="V468" t="s">
        <v>135</v>
      </c>
      <c r="W468" t="s">
        <v>74</v>
      </c>
      <c r="X468">
        <v>6.1163430316478549E-2</v>
      </c>
      <c r="Y468" t="s">
        <v>73</v>
      </c>
    </row>
    <row r="469" spans="17:25" x14ac:dyDescent="0.25">
      <c r="Q469" t="s">
        <v>115</v>
      </c>
      <c r="R469" t="s">
        <v>75</v>
      </c>
      <c r="S469">
        <v>3.1212164802397475E-2</v>
      </c>
      <c r="T469" t="s">
        <v>73</v>
      </c>
      <c r="V469" t="s">
        <v>135</v>
      </c>
      <c r="W469" t="s">
        <v>75</v>
      </c>
      <c r="X469">
        <v>4.3756793271903786E-2</v>
      </c>
      <c r="Y469" t="s">
        <v>73</v>
      </c>
    </row>
    <row r="470" spans="17:25" x14ac:dyDescent="0.25">
      <c r="Q470" t="s">
        <v>115</v>
      </c>
      <c r="R470" t="s">
        <v>76</v>
      </c>
      <c r="S470">
        <v>3.6236275335900389E-2</v>
      </c>
      <c r="T470" t="s">
        <v>73</v>
      </c>
      <c r="V470" t="s">
        <v>135</v>
      </c>
      <c r="W470" t="s">
        <v>76</v>
      </c>
      <c r="X470">
        <v>4.2353192484585488E-2</v>
      </c>
      <c r="Y470" t="s">
        <v>73</v>
      </c>
    </row>
    <row r="471" spans="17:25" x14ac:dyDescent="0.25">
      <c r="Q471" t="s">
        <v>115</v>
      </c>
      <c r="R471" t="s">
        <v>77</v>
      </c>
      <c r="S471">
        <v>9.7490116226074241E-3</v>
      </c>
      <c r="T471" t="s">
        <v>73</v>
      </c>
      <c r="V471" t="s">
        <v>135</v>
      </c>
      <c r="W471" t="s">
        <v>77</v>
      </c>
      <c r="X471">
        <v>4.6998003601776007E-2</v>
      </c>
      <c r="Y471" t="s">
        <v>73</v>
      </c>
    </row>
    <row r="472" spans="17:25" x14ac:dyDescent="0.25">
      <c r="Q472" t="s">
        <v>115</v>
      </c>
      <c r="R472" t="s">
        <v>78</v>
      </c>
      <c r="S472">
        <v>0</v>
      </c>
      <c r="T472" t="s">
        <v>73</v>
      </c>
      <c r="V472" t="s">
        <v>135</v>
      </c>
      <c r="W472" t="s">
        <v>78</v>
      </c>
      <c r="X472">
        <v>4.7981534306966465E-2</v>
      </c>
      <c r="Y472" t="s">
        <v>73</v>
      </c>
    </row>
    <row r="473" spans="17:25" x14ac:dyDescent="0.25">
      <c r="Q473" t="s">
        <v>115</v>
      </c>
      <c r="R473" t="s">
        <v>79</v>
      </c>
      <c r="S473">
        <v>4.5309519905715763E-7</v>
      </c>
      <c r="T473" t="s">
        <v>73</v>
      </c>
      <c r="V473" t="s">
        <v>135</v>
      </c>
      <c r="W473" t="s">
        <v>79</v>
      </c>
      <c r="X473">
        <v>8.8165477180946417E-2</v>
      </c>
      <c r="Y473" t="s">
        <v>73</v>
      </c>
    </row>
    <row r="474" spans="17:25" x14ac:dyDescent="0.25">
      <c r="Q474" t="s">
        <v>115</v>
      </c>
      <c r="R474" t="s">
        <v>80</v>
      </c>
      <c r="S474">
        <v>6.0381705038800866E-2</v>
      </c>
      <c r="T474" t="s">
        <v>73</v>
      </c>
      <c r="V474" t="s">
        <v>135</v>
      </c>
      <c r="W474" t="s">
        <v>80</v>
      </c>
      <c r="X474">
        <v>3.8032301716515178E-2</v>
      </c>
      <c r="Y474" t="s">
        <v>73</v>
      </c>
    </row>
    <row r="475" spans="17:25" x14ac:dyDescent="0.25">
      <c r="Q475" t="s">
        <v>115</v>
      </c>
      <c r="R475" t="s">
        <v>81</v>
      </c>
      <c r="S475">
        <v>9.9901604618731848E-2</v>
      </c>
      <c r="T475" t="s">
        <v>73</v>
      </c>
      <c r="V475" t="s">
        <v>135</v>
      </c>
      <c r="W475" t="s">
        <v>81</v>
      </c>
      <c r="X475">
        <v>2.6761225086271913E-2</v>
      </c>
      <c r="Y475" t="s">
        <v>73</v>
      </c>
    </row>
    <row r="476" spans="17:25" x14ac:dyDescent="0.25">
      <c r="Q476" t="s">
        <v>115</v>
      </c>
      <c r="R476" t="s">
        <v>82</v>
      </c>
      <c r="S476">
        <v>9.5433015152630599E-2</v>
      </c>
      <c r="T476" t="s">
        <v>73</v>
      </c>
      <c r="V476" t="s">
        <v>135</v>
      </c>
      <c r="W476" t="s">
        <v>82</v>
      </c>
      <c r="X476">
        <v>2.8598202506496147E-2</v>
      </c>
      <c r="Y476" t="s">
        <v>73</v>
      </c>
    </row>
    <row r="477" spans="17:25" x14ac:dyDescent="0.25">
      <c r="Q477" t="s">
        <v>115</v>
      </c>
      <c r="R477" t="s">
        <v>83</v>
      </c>
      <c r="S477">
        <v>6.7597408815545379E-2</v>
      </c>
      <c r="T477" t="s">
        <v>73</v>
      </c>
      <c r="V477" t="s">
        <v>135</v>
      </c>
      <c r="W477" t="s">
        <v>83</v>
      </c>
      <c r="X477">
        <v>2.9877061509452515E-2</v>
      </c>
      <c r="Y477" t="s">
        <v>73</v>
      </c>
    </row>
    <row r="478" spans="17:25" x14ac:dyDescent="0.25">
      <c r="Q478" t="s">
        <v>115</v>
      </c>
      <c r="R478" t="s">
        <v>84</v>
      </c>
      <c r="S478">
        <v>1.1486953682149642E-2</v>
      </c>
      <c r="T478" t="s">
        <v>73</v>
      </c>
      <c r="V478" t="s">
        <v>135</v>
      </c>
      <c r="W478" t="s">
        <v>84</v>
      </c>
      <c r="X478">
        <v>3.2269667923031313E-2</v>
      </c>
      <c r="Y478" t="s">
        <v>73</v>
      </c>
    </row>
    <row r="479" spans="17:25" x14ac:dyDescent="0.25">
      <c r="Q479" t="s">
        <v>115</v>
      </c>
      <c r="R479" t="s">
        <v>85</v>
      </c>
      <c r="S479">
        <v>6.9881726058336317E-4</v>
      </c>
      <c r="T479" t="s">
        <v>73</v>
      </c>
      <c r="V479" t="s">
        <v>135</v>
      </c>
      <c r="W479" t="s">
        <v>85</v>
      </c>
      <c r="X479">
        <v>4.388445507869064E-2</v>
      </c>
      <c r="Y479" t="s">
        <v>73</v>
      </c>
    </row>
    <row r="480" spans="17:25" x14ac:dyDescent="0.25">
      <c r="Q480" t="s">
        <v>115</v>
      </c>
      <c r="R480" t="s">
        <v>86</v>
      </c>
      <c r="S480">
        <v>8.7410667549936594E-2</v>
      </c>
      <c r="T480" t="s">
        <v>73</v>
      </c>
      <c r="V480" t="s">
        <v>135</v>
      </c>
      <c r="W480" t="s">
        <v>86</v>
      </c>
      <c r="X480">
        <v>1.9792409670315821E-2</v>
      </c>
      <c r="Y480" t="s">
        <v>73</v>
      </c>
    </row>
    <row r="481" spans="17:25" x14ac:dyDescent="0.25">
      <c r="Q481" t="s">
        <v>115</v>
      </c>
      <c r="R481" t="s">
        <v>87</v>
      </c>
      <c r="S481">
        <v>0.11380352871545214</v>
      </c>
      <c r="T481" t="s">
        <v>73</v>
      </c>
      <c r="V481" t="s">
        <v>135</v>
      </c>
      <c r="W481" t="s">
        <v>87</v>
      </c>
      <c r="X481">
        <v>1.5405796301816075E-2</v>
      </c>
      <c r="Y481" t="s">
        <v>73</v>
      </c>
    </row>
    <row r="482" spans="17:25" x14ac:dyDescent="0.25">
      <c r="Q482" t="s">
        <v>115</v>
      </c>
      <c r="R482" t="s">
        <v>88</v>
      </c>
      <c r="S482">
        <v>0.10896931087222318</v>
      </c>
      <c r="T482" t="s">
        <v>73</v>
      </c>
      <c r="V482" t="s">
        <v>135</v>
      </c>
      <c r="W482" t="s">
        <v>88</v>
      </c>
      <c r="X482">
        <v>1.426859121643809E-2</v>
      </c>
      <c r="Y482" t="s">
        <v>73</v>
      </c>
    </row>
    <row r="483" spans="17:25" x14ac:dyDescent="0.25">
      <c r="Q483" t="s">
        <v>115</v>
      </c>
      <c r="R483" t="s">
        <v>89</v>
      </c>
      <c r="S483">
        <v>8.5894975376463623E-2</v>
      </c>
      <c r="T483" t="s">
        <v>73</v>
      </c>
      <c r="V483" t="s">
        <v>135</v>
      </c>
      <c r="W483" t="s">
        <v>89</v>
      </c>
      <c r="X483">
        <v>1.4716486689825737E-2</v>
      </c>
      <c r="Y483" t="s">
        <v>73</v>
      </c>
    </row>
    <row r="484" spans="17:25" x14ac:dyDescent="0.25">
      <c r="Q484" t="s">
        <v>115</v>
      </c>
      <c r="R484" t="s">
        <v>90</v>
      </c>
      <c r="S484">
        <v>2.6575648477166935E-2</v>
      </c>
      <c r="T484" t="s">
        <v>73</v>
      </c>
      <c r="V484" t="s">
        <v>135</v>
      </c>
      <c r="W484" t="s">
        <v>90</v>
      </c>
      <c r="X484">
        <v>1.498474241328389E-2</v>
      </c>
      <c r="Y484" t="s">
        <v>73</v>
      </c>
    </row>
    <row r="485" spans="17:25" x14ac:dyDescent="0.25">
      <c r="Q485" t="s">
        <v>115</v>
      </c>
      <c r="R485" t="s">
        <v>91</v>
      </c>
      <c r="S485">
        <v>0</v>
      </c>
      <c r="T485" t="s">
        <v>73</v>
      </c>
      <c r="V485" t="s">
        <v>135</v>
      </c>
      <c r="W485" t="s">
        <v>91</v>
      </c>
      <c r="X485">
        <v>9.0825059812445028E-2</v>
      </c>
      <c r="Y485" t="s">
        <v>73</v>
      </c>
    </row>
    <row r="486" spans="17:25" x14ac:dyDescent="0.25">
      <c r="Q486" t="s">
        <v>115</v>
      </c>
      <c r="R486" t="s">
        <v>92</v>
      </c>
      <c r="S486">
        <v>2.0576501054518814E-2</v>
      </c>
      <c r="T486" t="s">
        <v>73</v>
      </c>
      <c r="V486" t="s">
        <v>135</v>
      </c>
      <c r="W486" t="s">
        <v>92</v>
      </c>
      <c r="X486">
        <v>4.3456460307508021E-2</v>
      </c>
      <c r="Y486" t="s">
        <v>73</v>
      </c>
    </row>
    <row r="487" spans="17:25" x14ac:dyDescent="0.25">
      <c r="Q487" t="s">
        <v>115</v>
      </c>
      <c r="R487" t="s">
        <v>93</v>
      </c>
      <c r="S487">
        <v>5.7547464540979282E-2</v>
      </c>
      <c r="T487" t="s">
        <v>73</v>
      </c>
      <c r="V487" t="s">
        <v>135</v>
      </c>
      <c r="W487" t="s">
        <v>93</v>
      </c>
      <c r="X487">
        <v>3.1326442881418455E-2</v>
      </c>
      <c r="Y487" t="s">
        <v>73</v>
      </c>
    </row>
    <row r="488" spans="17:25" x14ac:dyDescent="0.25">
      <c r="Q488" t="s">
        <v>115</v>
      </c>
      <c r="R488" t="s">
        <v>94</v>
      </c>
      <c r="S488">
        <v>5.5466845463004455E-2</v>
      </c>
      <c r="T488" t="s">
        <v>73</v>
      </c>
      <c r="V488" t="s">
        <v>135</v>
      </c>
      <c r="W488" t="s">
        <v>94</v>
      </c>
      <c r="X488">
        <v>3.3806737777050046E-2</v>
      </c>
      <c r="Y488" t="s">
        <v>73</v>
      </c>
    </row>
    <row r="489" spans="17:25" x14ac:dyDescent="0.25">
      <c r="Q489" t="s">
        <v>115</v>
      </c>
      <c r="R489" t="s">
        <v>95</v>
      </c>
      <c r="S489">
        <v>2.8404097970391142E-2</v>
      </c>
      <c r="T489" t="s">
        <v>73</v>
      </c>
      <c r="V489" t="s">
        <v>135</v>
      </c>
      <c r="W489" t="s">
        <v>95</v>
      </c>
      <c r="X489">
        <v>3.488526115669438E-2</v>
      </c>
      <c r="Y489" t="s">
        <v>73</v>
      </c>
    </row>
    <row r="490" spans="17:25" x14ac:dyDescent="0.25">
      <c r="Q490" t="s">
        <v>115</v>
      </c>
      <c r="R490" t="s">
        <v>96</v>
      </c>
      <c r="S490">
        <v>1.319447686195139E-3</v>
      </c>
      <c r="T490" t="s">
        <v>73</v>
      </c>
      <c r="V490" t="s">
        <v>135</v>
      </c>
      <c r="W490" t="s">
        <v>96</v>
      </c>
      <c r="X490">
        <v>3.6528036302102974E-2</v>
      </c>
      <c r="Y490" t="s">
        <v>73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2BBD5-42CF-484A-9308-9FC084C2D893}">
  <dimension ref="B9:EB60"/>
  <sheetViews>
    <sheetView workbookViewId="0">
      <selection activeCell="L10" sqref="L10"/>
    </sheetView>
  </sheetViews>
  <sheetFormatPr defaultRowHeight="15" x14ac:dyDescent="0.25"/>
  <sheetData>
    <row r="9" spans="2:132" x14ac:dyDescent="0.25">
      <c r="B9" t="str">
        <f>IF(A11="x","DeActivated","~TFM_DINS-TSL: attribute=FLO_EMIS; other_indexes=ACT")</f>
        <v>~TFM_DINS-TSL: attribute=FLO_EMIS; other_indexes=ACT</v>
      </c>
      <c r="F9" t="str">
        <f>IF(A11="x","DeActivated","~TFM_INS-TSL: attribute=FLO_SHAR; limtype=FX")</f>
        <v>~TFM_INS-TSL: attribute=FLO_SHAR; limtype=FX</v>
      </c>
      <c r="J9" t="str">
        <f>IF(A11="x","DeActivated","~TFM_INS-TSL: attribute=FLO_SHAR; limtype=FX")</f>
        <v>~TFM_INS-TSL: attribute=FLO_SHAR; limtype=FX</v>
      </c>
      <c r="N9" t="str">
        <f>IF(A11="x","DeActivated","~TFM_DINS-TSL: attribute=NCAP_PKCNT")</f>
        <v>~TFM_DINS-TSL: attribute=NCAP_PKCNT</v>
      </c>
      <c r="Q9" t="str">
        <f>IF(A11="x","DeActivated","~TFM_DINS-AT")</f>
        <v>~TFM_DINS-AT</v>
      </c>
      <c r="V9" t="str">
        <f>IF(A11="x","DeActivated","~TFM_DINS-TSL: attribute=FLO_EMIS; other_indexes=ACT")</f>
        <v>~TFM_DINS-TSL: attribute=FLO_EMIS; other_indexes=ACT</v>
      </c>
      <c r="AW9" t="str">
        <f>IF(A11="x","DeActivated","~TFM_INS-TSL: attribute=FLO_SHAR; limtype=FX")</f>
        <v>~TFM_INS-TSL: attribute=FLO_SHAR; limtype=FX</v>
      </c>
      <c r="BX9" t="str">
        <f>IF(A11="x","DeActivated","~TFM_INS-TSL: attribute=FLO_SHAR; limtype=FX")</f>
        <v>~TFM_INS-TSL: attribute=FLO_SHAR; limtype=FX</v>
      </c>
      <c r="CY9" t="str">
        <f>IF(A11="x","DeActivated","~TFM_DINS-TSL: attribute=NCAP_PKCNT")</f>
        <v>~TFM_DINS-TSL: attribute=NCAP_PKCNT</v>
      </c>
      <c r="DY9" t="str">
        <f>IF(A11="x","DeActivated","~TFM_DINS-AT")</f>
        <v>~TFM_DINS-AT</v>
      </c>
    </row>
    <row r="10" spans="2:132" x14ac:dyDescent="0.25">
      <c r="B10" t="s">
        <v>43</v>
      </c>
      <c r="C10" t="s">
        <v>40</v>
      </c>
      <c r="D10" t="s">
        <v>44</v>
      </c>
      <c r="F10" t="s">
        <v>43</v>
      </c>
      <c r="G10" t="s">
        <v>40</v>
      </c>
      <c r="H10" t="s">
        <v>44</v>
      </c>
      <c r="J10" t="s">
        <v>43</v>
      </c>
      <c r="K10" t="s">
        <v>40</v>
      </c>
      <c r="L10" t="s">
        <v>44</v>
      </c>
      <c r="N10" t="s">
        <v>43</v>
      </c>
      <c r="O10" t="s">
        <v>44</v>
      </c>
      <c r="Q10" t="s">
        <v>43</v>
      </c>
      <c r="R10" t="s">
        <v>40</v>
      </c>
      <c r="S10" t="s">
        <v>45</v>
      </c>
      <c r="T10" t="s">
        <v>46</v>
      </c>
      <c r="V10" t="s">
        <v>43</v>
      </c>
      <c r="W10" t="s">
        <v>40</v>
      </c>
      <c r="X10" t="s">
        <v>72</v>
      </c>
      <c r="Y10" t="s">
        <v>74</v>
      </c>
      <c r="Z10" t="s">
        <v>75</v>
      </c>
      <c r="AA10" t="s">
        <v>76</v>
      </c>
      <c r="AB10" t="s">
        <v>77</v>
      </c>
      <c r="AC10" t="s">
        <v>78</v>
      </c>
      <c r="AD10" t="s">
        <v>79</v>
      </c>
      <c r="AE10" t="s">
        <v>80</v>
      </c>
      <c r="AF10" t="s">
        <v>81</v>
      </c>
      <c r="AG10" t="s">
        <v>82</v>
      </c>
      <c r="AH10" t="s">
        <v>83</v>
      </c>
      <c r="AI10" t="s">
        <v>84</v>
      </c>
      <c r="AJ10" t="s">
        <v>85</v>
      </c>
      <c r="AK10" t="s">
        <v>86</v>
      </c>
      <c r="AL10" t="s">
        <v>87</v>
      </c>
      <c r="AM10" t="s">
        <v>88</v>
      </c>
      <c r="AN10" t="s">
        <v>89</v>
      </c>
      <c r="AO10" t="s">
        <v>90</v>
      </c>
      <c r="AP10" t="s">
        <v>91</v>
      </c>
      <c r="AQ10" t="s">
        <v>92</v>
      </c>
      <c r="AR10" t="s">
        <v>93</v>
      </c>
      <c r="AS10" t="s">
        <v>94</v>
      </c>
      <c r="AT10" t="s">
        <v>95</v>
      </c>
      <c r="AU10" t="s">
        <v>96</v>
      </c>
      <c r="AW10" t="s">
        <v>43</v>
      </c>
      <c r="AX10" t="s">
        <v>40</v>
      </c>
      <c r="AY10" t="s">
        <v>72</v>
      </c>
      <c r="AZ10" t="s">
        <v>74</v>
      </c>
      <c r="BA10" t="s">
        <v>75</v>
      </c>
      <c r="BB10" t="s">
        <v>76</v>
      </c>
      <c r="BC10" t="s">
        <v>77</v>
      </c>
      <c r="BD10" t="s">
        <v>78</v>
      </c>
      <c r="BE10" t="s">
        <v>79</v>
      </c>
      <c r="BF10" t="s">
        <v>80</v>
      </c>
      <c r="BG10" t="s">
        <v>81</v>
      </c>
      <c r="BH10" t="s">
        <v>82</v>
      </c>
      <c r="BI10" t="s">
        <v>83</v>
      </c>
      <c r="BJ10" t="s">
        <v>84</v>
      </c>
      <c r="BK10" t="s">
        <v>85</v>
      </c>
      <c r="BL10" t="s">
        <v>86</v>
      </c>
      <c r="BM10" t="s">
        <v>87</v>
      </c>
      <c r="BN10" t="s">
        <v>88</v>
      </c>
      <c r="BO10" t="s">
        <v>89</v>
      </c>
      <c r="BP10" t="s">
        <v>90</v>
      </c>
      <c r="BQ10" t="s">
        <v>91</v>
      </c>
      <c r="BR10" t="s">
        <v>92</v>
      </c>
      <c r="BS10" t="s">
        <v>93</v>
      </c>
      <c r="BT10" t="s">
        <v>94</v>
      </c>
      <c r="BU10" t="s">
        <v>95</v>
      </c>
      <c r="BV10" t="s">
        <v>96</v>
      </c>
      <c r="BX10" t="s">
        <v>43</v>
      </c>
      <c r="BY10" t="s">
        <v>40</v>
      </c>
      <c r="BZ10" t="s">
        <v>72</v>
      </c>
      <c r="CA10" t="s">
        <v>74</v>
      </c>
      <c r="CB10" t="s">
        <v>75</v>
      </c>
      <c r="CC10" t="s">
        <v>76</v>
      </c>
      <c r="CD10" t="s">
        <v>77</v>
      </c>
      <c r="CE10" t="s">
        <v>78</v>
      </c>
      <c r="CF10" t="s">
        <v>79</v>
      </c>
      <c r="CG10" t="s">
        <v>80</v>
      </c>
      <c r="CH10" t="s">
        <v>81</v>
      </c>
      <c r="CI10" t="s">
        <v>82</v>
      </c>
      <c r="CJ10" t="s">
        <v>83</v>
      </c>
      <c r="CK10" t="s">
        <v>84</v>
      </c>
      <c r="CL10" t="s">
        <v>85</v>
      </c>
      <c r="CM10" t="s">
        <v>86</v>
      </c>
      <c r="CN10" t="s">
        <v>87</v>
      </c>
      <c r="CO10" t="s">
        <v>88</v>
      </c>
      <c r="CP10" t="s">
        <v>89</v>
      </c>
      <c r="CQ10" t="s">
        <v>90</v>
      </c>
      <c r="CR10" t="s">
        <v>91</v>
      </c>
      <c r="CS10" t="s">
        <v>92</v>
      </c>
      <c r="CT10" t="s">
        <v>93</v>
      </c>
      <c r="CU10" t="s">
        <v>94</v>
      </c>
      <c r="CV10" t="s">
        <v>95</v>
      </c>
      <c r="CW10" t="s">
        <v>96</v>
      </c>
      <c r="CY10" t="s">
        <v>43</v>
      </c>
      <c r="CZ10" t="s">
        <v>72</v>
      </c>
      <c r="DA10" t="s">
        <v>74</v>
      </c>
      <c r="DB10" t="s">
        <v>75</v>
      </c>
      <c r="DC10" t="s">
        <v>76</v>
      </c>
      <c r="DD10" t="s">
        <v>77</v>
      </c>
      <c r="DE10" t="s">
        <v>78</v>
      </c>
      <c r="DF10" t="s">
        <v>79</v>
      </c>
      <c r="DG10" t="s">
        <v>80</v>
      </c>
      <c r="DH10" t="s">
        <v>81</v>
      </c>
      <c r="DI10" t="s">
        <v>82</v>
      </c>
      <c r="DJ10" t="s">
        <v>83</v>
      </c>
      <c r="DK10" t="s">
        <v>84</v>
      </c>
      <c r="DL10" t="s">
        <v>85</v>
      </c>
      <c r="DM10" t="s">
        <v>86</v>
      </c>
      <c r="DN10" t="s">
        <v>87</v>
      </c>
      <c r="DO10" t="s">
        <v>88</v>
      </c>
      <c r="DP10" t="s">
        <v>89</v>
      </c>
      <c r="DQ10" t="s">
        <v>90</v>
      </c>
      <c r="DR10" t="s">
        <v>91</v>
      </c>
      <c r="DS10" t="s">
        <v>92</v>
      </c>
      <c r="DT10" t="s">
        <v>93</v>
      </c>
      <c r="DU10" t="s">
        <v>94</v>
      </c>
      <c r="DV10" t="s">
        <v>95</v>
      </c>
      <c r="DW10" t="s">
        <v>96</v>
      </c>
      <c r="DY10" t="s">
        <v>43</v>
      </c>
      <c r="DZ10" t="s">
        <v>40</v>
      </c>
      <c r="EA10" t="s">
        <v>45</v>
      </c>
      <c r="EB10" t="s">
        <v>46</v>
      </c>
    </row>
    <row r="11" spans="2:132" x14ac:dyDescent="0.25">
      <c r="V11" t="s">
        <v>146</v>
      </c>
      <c r="W11" t="s">
        <v>31</v>
      </c>
      <c r="X11">
        <v>0</v>
      </c>
      <c r="Y11">
        <v>0.95771913167992007</v>
      </c>
      <c r="Z11">
        <v>0.33270071509224408</v>
      </c>
      <c r="AA11">
        <v>0.23108599221039294</v>
      </c>
      <c r="AB11">
        <v>0.46352664382257369</v>
      </c>
      <c r="AC11">
        <v>0.99629629629629624</v>
      </c>
      <c r="AD11">
        <v>0</v>
      </c>
      <c r="AE11">
        <v>0.50316005869620406</v>
      </c>
      <c r="AF11">
        <v>0.22278170545949111</v>
      </c>
      <c r="AG11">
        <v>0.17154294779855253</v>
      </c>
      <c r="AH11">
        <v>0.25248328314216911</v>
      </c>
      <c r="AI11">
        <v>0.54260007399498944</v>
      </c>
      <c r="AJ11">
        <v>0</v>
      </c>
      <c r="AK11">
        <v>0.34018853535753113</v>
      </c>
      <c r="AL11">
        <v>0.14454476589543105</v>
      </c>
      <c r="AM11">
        <v>0.12018365721097012</v>
      </c>
      <c r="AN11">
        <v>0.16250531866594578</v>
      </c>
      <c r="AO11">
        <v>0.33162975653707288</v>
      </c>
      <c r="AP11">
        <v>0</v>
      </c>
      <c r="AQ11">
        <v>0.73995825047683284</v>
      </c>
      <c r="AR11">
        <v>0.32851763731286554</v>
      </c>
      <c r="AS11">
        <v>0.26313408308180025</v>
      </c>
      <c r="AT11">
        <v>0.40500467651116989</v>
      </c>
      <c r="AU11">
        <v>0.89664451016431046</v>
      </c>
      <c r="AW11" t="s">
        <v>196</v>
      </c>
      <c r="AX11" t="s">
        <v>197</v>
      </c>
      <c r="AY11">
        <v>0</v>
      </c>
      <c r="AZ11">
        <v>0.78433415813502005</v>
      </c>
      <c r="BA11">
        <v>0.15191056972017244</v>
      </c>
      <c r="BB11">
        <v>4.3302521422710911E-2</v>
      </c>
      <c r="BC11">
        <v>4.9955251894244004E-2</v>
      </c>
      <c r="BD11">
        <v>0</v>
      </c>
      <c r="BE11">
        <v>0.96248975643370871</v>
      </c>
      <c r="BF11">
        <v>0.24995805591568832</v>
      </c>
      <c r="BG11">
        <v>6.7407894966135903E-2</v>
      </c>
      <c r="BH11">
        <v>1.0987746049799833E-3</v>
      </c>
      <c r="BI11">
        <v>7.5243759309160079E-4</v>
      </c>
      <c r="BJ11">
        <v>9.3429627801484574E-2</v>
      </c>
      <c r="BK11">
        <v>0.88675092760953633</v>
      </c>
      <c r="BL11">
        <v>0.13839803845961743</v>
      </c>
      <c r="BM11">
        <v>3.9957577572136235E-2</v>
      </c>
      <c r="BN11">
        <v>3.5567154260441585E-3</v>
      </c>
      <c r="BO11">
        <v>5.6325027055194954E-3</v>
      </c>
      <c r="BP11">
        <v>7.2943083366615494E-2</v>
      </c>
      <c r="BQ11">
        <v>0</v>
      </c>
      <c r="BR11">
        <v>0.45850402693331699</v>
      </c>
      <c r="BS11">
        <v>0.13074792393125426</v>
      </c>
      <c r="BT11">
        <v>7.7155602171518584E-5</v>
      </c>
      <c r="BU11">
        <v>8.1271797684181728E-3</v>
      </c>
      <c r="BV11">
        <v>7.7358756495716718E-2</v>
      </c>
      <c r="BX11" t="s">
        <v>196</v>
      </c>
      <c r="BY11" t="s">
        <v>200</v>
      </c>
      <c r="BZ11">
        <v>0</v>
      </c>
      <c r="CA11">
        <v>0</v>
      </c>
      <c r="CB11">
        <v>0</v>
      </c>
      <c r="CC11">
        <v>6.6697172627272691E-2</v>
      </c>
      <c r="CD11">
        <v>0.26236907371343698</v>
      </c>
      <c r="CE11">
        <v>0</v>
      </c>
      <c r="CF11">
        <v>0</v>
      </c>
      <c r="CG11">
        <v>0</v>
      </c>
      <c r="CH11">
        <v>1.4864574309612411E-2</v>
      </c>
      <c r="CI11">
        <v>6.8854766217429822E-2</v>
      </c>
      <c r="CJ11">
        <v>8.9979913845625162E-2</v>
      </c>
      <c r="CK11">
        <v>2.5691308525893283E-2</v>
      </c>
      <c r="CL11">
        <v>0</v>
      </c>
      <c r="CM11">
        <v>0</v>
      </c>
      <c r="CN11">
        <v>1.2692652104878918E-2</v>
      </c>
      <c r="CO11">
        <v>4.3060888417514244E-2</v>
      </c>
      <c r="CP11">
        <v>4.4794176953265048E-2</v>
      </c>
      <c r="CQ11">
        <v>7.5741616007362926E-3</v>
      </c>
      <c r="CR11">
        <v>0</v>
      </c>
      <c r="CS11">
        <v>0</v>
      </c>
      <c r="CT11">
        <v>2.3240619945885267E-2</v>
      </c>
      <c r="CU11">
        <v>0.13432162300804021</v>
      </c>
      <c r="CV11">
        <v>0.16466008547934008</v>
      </c>
      <c r="CW11">
        <v>4.8456646614319816E-2</v>
      </c>
      <c r="CY11" t="s">
        <v>146</v>
      </c>
      <c r="CZ11">
        <v>0</v>
      </c>
      <c r="DA11">
        <v>9.3701215004307289E-4</v>
      </c>
      <c r="DB11">
        <v>0.11540828749551538</v>
      </c>
      <c r="DC11">
        <v>0.16561067296201512</v>
      </c>
      <c r="DD11">
        <v>6.7831644755431506E-2</v>
      </c>
      <c r="DE11">
        <v>1.4985244183047341E-5</v>
      </c>
      <c r="DF11">
        <v>0</v>
      </c>
      <c r="DG11">
        <v>0.14010000741463252</v>
      </c>
      <c r="DH11">
        <v>0.41638795370722392</v>
      </c>
      <c r="DI11">
        <v>0.40897747015723412</v>
      </c>
      <c r="DJ11">
        <v>0.30015365058466276</v>
      </c>
      <c r="DK11">
        <v>7.4646578343406225E-2</v>
      </c>
      <c r="DL11">
        <v>0</v>
      </c>
      <c r="DM11">
        <v>0.22102008505901161</v>
      </c>
      <c r="DN11">
        <v>0.4896432311080367</v>
      </c>
      <c r="DO11">
        <v>0.47312302099989328</v>
      </c>
      <c r="DP11">
        <v>0.38642230991929927</v>
      </c>
      <c r="DQ11">
        <v>0.15569430418942726</v>
      </c>
      <c r="DR11">
        <v>0</v>
      </c>
      <c r="DS11">
        <v>4.3855942021377048E-2</v>
      </c>
      <c r="DT11">
        <v>0.22775982151903659</v>
      </c>
      <c r="DU11">
        <v>0.25466735491824655</v>
      </c>
      <c r="DV11">
        <v>0.16071436318851925</v>
      </c>
      <c r="DW11">
        <v>1.1425953135917414E-2</v>
      </c>
      <c r="DY11" t="s">
        <v>146</v>
      </c>
      <c r="DZ11" t="s">
        <v>201</v>
      </c>
      <c r="EA11" t="s">
        <v>202</v>
      </c>
      <c r="EB11">
        <v>0.47723223346975913</v>
      </c>
    </row>
    <row r="12" spans="2:132" x14ac:dyDescent="0.25">
      <c r="V12" t="s">
        <v>147</v>
      </c>
      <c r="W12" t="s">
        <v>31</v>
      </c>
      <c r="X12">
        <v>0</v>
      </c>
      <c r="Y12">
        <v>0.93986172539282664</v>
      </c>
      <c r="Z12">
        <v>0.29817787488962194</v>
      </c>
      <c r="AA12">
        <v>0.20139815561807053</v>
      </c>
      <c r="AB12">
        <v>0.42441095122493799</v>
      </c>
      <c r="AC12">
        <v>0</v>
      </c>
      <c r="AD12">
        <v>0</v>
      </c>
      <c r="AE12">
        <v>0.49600803820674116</v>
      </c>
      <c r="AF12">
        <v>0.24146159269647616</v>
      </c>
      <c r="AG12">
        <v>0.1730937179426596</v>
      </c>
      <c r="AH12">
        <v>0.25010163465111973</v>
      </c>
      <c r="AI12">
        <v>0.5851061254644635</v>
      </c>
      <c r="AJ12">
        <v>0</v>
      </c>
      <c r="AK12">
        <v>0.34373619365884217</v>
      </c>
      <c r="AL12">
        <v>0.15307849629276118</v>
      </c>
      <c r="AM12">
        <v>0.12227438224110022</v>
      </c>
      <c r="AN12">
        <v>0.1572642478951958</v>
      </c>
      <c r="AO12">
        <v>0.35101364817082203</v>
      </c>
      <c r="AP12">
        <v>0</v>
      </c>
      <c r="AQ12">
        <v>0.70578132636290181</v>
      </c>
      <c r="AR12">
        <v>0.29726229558700729</v>
      </c>
      <c r="AS12">
        <v>0.22195662554192908</v>
      </c>
      <c r="AT12">
        <v>0.37730346265780956</v>
      </c>
      <c r="AU12">
        <v>0.91557214387885633</v>
      </c>
      <c r="AW12" t="s">
        <v>198</v>
      </c>
      <c r="AX12" t="s">
        <v>197</v>
      </c>
      <c r="AY12">
        <v>5.5084086294680543E-3</v>
      </c>
      <c r="AZ12">
        <v>3.7964320829682748E-3</v>
      </c>
      <c r="BA12">
        <v>3.4748667269467494E-3</v>
      </c>
      <c r="BB12">
        <v>1.6120793358453632E-3</v>
      </c>
      <c r="BC12">
        <v>5.5896236368427089E-3</v>
      </c>
      <c r="BD12">
        <v>2.0620529178097618E-3</v>
      </c>
      <c r="BE12">
        <v>7.9936096347944813E-3</v>
      </c>
      <c r="BF12">
        <v>3.8354106348134852E-3</v>
      </c>
      <c r="BG12">
        <v>2.9934049395980104E-3</v>
      </c>
      <c r="BH12">
        <v>1.4824241528974293E-2</v>
      </c>
      <c r="BI12">
        <v>1.4416429118076566E-2</v>
      </c>
      <c r="BJ12">
        <v>1.4607624377769071E-2</v>
      </c>
      <c r="BK12">
        <v>2.6903893532390567E-2</v>
      </c>
      <c r="BL12">
        <v>3.0307975268596394E-5</v>
      </c>
      <c r="BM12">
        <v>4.2273865787974081E-3</v>
      </c>
      <c r="BN12">
        <v>1.3452750356734773E-2</v>
      </c>
      <c r="BO12">
        <v>1.0374733057415306E-2</v>
      </c>
      <c r="BP12">
        <v>1.4713274531734268E-2</v>
      </c>
      <c r="BQ12">
        <v>4.0805723723736816E-3</v>
      </c>
      <c r="BR12">
        <v>3.1120794226271627E-3</v>
      </c>
      <c r="BS12">
        <v>9.788316940177599E-3</v>
      </c>
      <c r="BT12">
        <v>5.4688110229418547E-3</v>
      </c>
      <c r="BU12">
        <v>1.6025929878984142E-3</v>
      </c>
      <c r="BV12">
        <v>8.5200991411339359E-3</v>
      </c>
      <c r="BX12" t="s">
        <v>198</v>
      </c>
      <c r="BY12" t="s">
        <v>200</v>
      </c>
      <c r="BZ12">
        <v>1.192893216582871E-2</v>
      </c>
      <c r="CA12">
        <v>1.5996236163594513E-2</v>
      </c>
      <c r="CB12">
        <v>1.922291157977218E-2</v>
      </c>
      <c r="CC12">
        <v>1.2577675947368281E-2</v>
      </c>
      <c r="CD12">
        <v>8.3159135861520569E-3</v>
      </c>
      <c r="CE12">
        <v>2.0055289339086631E-2</v>
      </c>
      <c r="CF12">
        <v>2.386997557877275E-2</v>
      </c>
      <c r="CG12">
        <v>2.3743007942783622E-2</v>
      </c>
      <c r="CH12">
        <v>2.1887953629838378E-2</v>
      </c>
      <c r="CI12">
        <v>4.0252865265054619E-3</v>
      </c>
      <c r="CJ12">
        <v>1.6817132185485362E-2</v>
      </c>
      <c r="CK12">
        <v>2.8500119067058242E-2</v>
      </c>
      <c r="CL12">
        <v>4.3705738479396343E-2</v>
      </c>
      <c r="CM12">
        <v>4.1899488507573891E-2</v>
      </c>
      <c r="CN12">
        <v>1.4279314832199403E-2</v>
      </c>
      <c r="CO12">
        <v>4.0547567319135797E-3</v>
      </c>
      <c r="CP12">
        <v>1.2328209362005613E-2</v>
      </c>
      <c r="CQ12">
        <v>2.8108852241601825E-2</v>
      </c>
      <c r="CR12">
        <v>1.9946199454849125E-2</v>
      </c>
      <c r="CS12">
        <v>1.0602363519376977E-2</v>
      </c>
      <c r="CT12">
        <v>1.6584421655317521E-2</v>
      </c>
      <c r="CU12">
        <v>2.9129903154004263E-2</v>
      </c>
      <c r="CV12">
        <v>2.5009058867686191E-2</v>
      </c>
      <c r="CW12">
        <v>1.1585298706563109E-3</v>
      </c>
      <c r="CY12" t="s">
        <v>147</v>
      </c>
      <c r="CZ12">
        <v>0</v>
      </c>
      <c r="DA12">
        <v>2.6403115682416467E-3</v>
      </c>
      <c r="DB12">
        <v>0.13912799401844431</v>
      </c>
      <c r="DC12">
        <v>0.20052207033512848</v>
      </c>
      <c r="DD12">
        <v>8.6074902070586795E-2</v>
      </c>
      <c r="DE12">
        <v>0</v>
      </c>
      <c r="DF12">
        <v>0</v>
      </c>
      <c r="DG12">
        <v>0.14461496965428877</v>
      </c>
      <c r="DH12">
        <v>0.40332502884889238</v>
      </c>
      <c r="DI12">
        <v>0.4212549150686995</v>
      </c>
      <c r="DJ12">
        <v>0.3075780150549518</v>
      </c>
      <c r="DK12">
        <v>6.6638496658394566E-2</v>
      </c>
      <c r="DL12">
        <v>0</v>
      </c>
      <c r="DM12">
        <v>0.2349124058272099</v>
      </c>
      <c r="DN12">
        <v>0.49566482363898523</v>
      </c>
      <c r="DO12">
        <v>0.47824742048515739</v>
      </c>
      <c r="DP12">
        <v>0.39470746901011078</v>
      </c>
      <c r="DQ12">
        <v>0.14290446079863062</v>
      </c>
      <c r="DR12">
        <v>0</v>
      </c>
      <c r="DS12">
        <v>5.5663992684247141E-2</v>
      </c>
      <c r="DT12">
        <v>0.26077059139739994</v>
      </c>
      <c r="DU12">
        <v>0.28133446823902153</v>
      </c>
      <c r="DV12">
        <v>0.16800933072376353</v>
      </c>
      <c r="DW12">
        <v>8.3533911237236615E-3</v>
      </c>
      <c r="DY12" t="s">
        <v>147</v>
      </c>
      <c r="DZ12" t="s">
        <v>201</v>
      </c>
      <c r="EA12" t="s">
        <v>202</v>
      </c>
      <c r="EB12">
        <v>0.46019131892170617</v>
      </c>
    </row>
    <row r="13" spans="2:132" x14ac:dyDescent="0.25">
      <c r="V13" t="s">
        <v>148</v>
      </c>
      <c r="W13" t="s">
        <v>31</v>
      </c>
      <c r="X13">
        <v>0</v>
      </c>
      <c r="Y13">
        <v>0.94168534772585366</v>
      </c>
      <c r="Z13">
        <v>0.31052693901749107</v>
      </c>
      <c r="AA13">
        <v>0.21542372157355105</v>
      </c>
      <c r="AB13">
        <v>0.46371147392902645</v>
      </c>
      <c r="AC13">
        <v>0</v>
      </c>
      <c r="AD13">
        <v>0</v>
      </c>
      <c r="AE13">
        <v>0.48611038236116239</v>
      </c>
      <c r="AF13">
        <v>0.22553395477146079</v>
      </c>
      <c r="AG13">
        <v>0.17446192790589943</v>
      </c>
      <c r="AH13">
        <v>0.25120937554772566</v>
      </c>
      <c r="AI13">
        <v>0.57377699351260614</v>
      </c>
      <c r="AJ13">
        <v>0</v>
      </c>
      <c r="AK13">
        <v>0.3310125085891289</v>
      </c>
      <c r="AL13">
        <v>0.141669167714436</v>
      </c>
      <c r="AM13">
        <v>0.11642239595601546</v>
      </c>
      <c r="AN13">
        <v>0.15777798177428001</v>
      </c>
      <c r="AO13">
        <v>0.32521130668760329</v>
      </c>
      <c r="AP13">
        <v>0</v>
      </c>
      <c r="AQ13">
        <v>0.6864624948035728</v>
      </c>
      <c r="AR13">
        <v>0.28230491270521302</v>
      </c>
      <c r="AS13">
        <v>0.24508300768063565</v>
      </c>
      <c r="AT13">
        <v>0.39816454698360276</v>
      </c>
      <c r="AU13">
        <v>0.91585312228393623</v>
      </c>
      <c r="AW13" t="s">
        <v>199</v>
      </c>
      <c r="AX13" t="s">
        <v>197</v>
      </c>
      <c r="AY13">
        <v>7.6980717583196743E-3</v>
      </c>
      <c r="AZ13">
        <v>3.7726509291637232E-3</v>
      </c>
      <c r="BA13">
        <v>1.0201955695666351E-2</v>
      </c>
      <c r="BB13">
        <v>1.74278433409449E-3</v>
      </c>
      <c r="BC13">
        <v>4.5372655254880311E-3</v>
      </c>
      <c r="BD13">
        <v>1.2334123851778334E-2</v>
      </c>
      <c r="BE13">
        <v>8.5804848730547372E-3</v>
      </c>
      <c r="BF13">
        <v>1.3549645872738924E-2</v>
      </c>
      <c r="BG13">
        <v>2.7532961400132277E-3</v>
      </c>
      <c r="BH13">
        <v>9.5363050864162493E-3</v>
      </c>
      <c r="BI13">
        <v>9.8581880154002422E-3</v>
      </c>
      <c r="BJ13">
        <v>7.8155682719605601E-3</v>
      </c>
      <c r="BK13">
        <v>1.8356388181634691E-2</v>
      </c>
      <c r="BL13">
        <v>8.011005602403861E-3</v>
      </c>
      <c r="BM13">
        <v>1.3600147175488629E-2</v>
      </c>
      <c r="BN13">
        <v>1.6076966040676315E-2</v>
      </c>
      <c r="BO13">
        <v>1.8885519306793715E-2</v>
      </c>
      <c r="BP13">
        <v>1.0806793878210924E-2</v>
      </c>
      <c r="BQ13">
        <v>8.1778477128008308E-3</v>
      </c>
      <c r="BR13">
        <v>9.6704808159768646E-3</v>
      </c>
      <c r="BS13">
        <v>9.6749324849943873E-3</v>
      </c>
      <c r="BT13">
        <v>3.0256808882693428E-3</v>
      </c>
      <c r="BU13">
        <v>5.1210205432281617E-3</v>
      </c>
      <c r="BV13">
        <v>5.1052119626456335E-3</v>
      </c>
      <c r="BX13" t="s">
        <v>199</v>
      </c>
      <c r="BY13" t="s">
        <v>200</v>
      </c>
      <c r="BZ13">
        <v>1.3470539756647708E-2</v>
      </c>
      <c r="CA13">
        <v>2.3048265372373717E-2</v>
      </c>
      <c r="CB13">
        <v>1.0307809322342295E-2</v>
      </c>
      <c r="CC13">
        <v>2.1334163761805521E-2</v>
      </c>
      <c r="CD13">
        <v>1.6373794253045384E-2</v>
      </c>
      <c r="CE13">
        <v>7.8651127284984149E-3</v>
      </c>
      <c r="CF13">
        <v>2.0570462821408963E-2</v>
      </c>
      <c r="CG13">
        <v>2.6569795728505353E-2</v>
      </c>
      <c r="CH13">
        <v>2.4173287382053831E-2</v>
      </c>
      <c r="CI13">
        <v>1.1892285222689149E-2</v>
      </c>
      <c r="CJ13">
        <v>9.7201665871976695E-3</v>
      </c>
      <c r="CK13">
        <v>2.3709859026270867E-2</v>
      </c>
      <c r="CL13">
        <v>2.8842597224205842E-2</v>
      </c>
      <c r="CM13">
        <v>3.3035205071412402E-2</v>
      </c>
      <c r="CN13">
        <v>3.5054573901294808E-2</v>
      </c>
      <c r="CO13">
        <v>5.6437549634243328E-2</v>
      </c>
      <c r="CP13">
        <v>3.8128533365411235E-2</v>
      </c>
      <c r="CQ13">
        <v>4.4028279280318834E-2</v>
      </c>
      <c r="CR13">
        <v>1.0760739887818062E-2</v>
      </c>
      <c r="CS13">
        <v>1.2536294509504404E-2</v>
      </c>
      <c r="CT13">
        <v>2.1239863889177049E-2</v>
      </c>
      <c r="CU13">
        <v>2.6124853970543999E-2</v>
      </c>
      <c r="CV13">
        <v>1.732382675463293E-2</v>
      </c>
      <c r="CW13">
        <v>1.766543856623037E-2</v>
      </c>
      <c r="CY13" t="s">
        <v>148</v>
      </c>
      <c r="CZ13">
        <v>0</v>
      </c>
      <c r="DA13">
        <v>1.6573521439757742E-3</v>
      </c>
      <c r="DB13">
        <v>0.12202313903068995</v>
      </c>
      <c r="DC13">
        <v>0.17576189878388435</v>
      </c>
      <c r="DD13">
        <v>6.5482590987575778E-2</v>
      </c>
      <c r="DE13">
        <v>0</v>
      </c>
      <c r="DF13">
        <v>0</v>
      </c>
      <c r="DG13">
        <v>0.14922295869307248</v>
      </c>
      <c r="DH13">
        <v>0.40923677817822457</v>
      </c>
      <c r="DI13">
        <v>0.41496907993237686</v>
      </c>
      <c r="DJ13">
        <v>0.30410776379022514</v>
      </c>
      <c r="DK13">
        <v>7.0653293219889848E-2</v>
      </c>
      <c r="DL13">
        <v>0</v>
      </c>
      <c r="DM13">
        <v>0.23527254607040898</v>
      </c>
      <c r="DN13">
        <v>0.49343321072238172</v>
      </c>
      <c r="DO13">
        <v>0.47543890991229631</v>
      </c>
      <c r="DP13">
        <v>0.3881603806858645</v>
      </c>
      <c r="DQ13">
        <v>0.14872818725358616</v>
      </c>
      <c r="DR13">
        <v>0</v>
      </c>
      <c r="DS13">
        <v>5.2990249485886792E-2</v>
      </c>
      <c r="DT13">
        <v>0.2524037474444602</v>
      </c>
      <c r="DU13">
        <v>0.26538199845337018</v>
      </c>
      <c r="DV13">
        <v>0.15461486186464241</v>
      </c>
      <c r="DW13">
        <v>7.9644451709861043E-3</v>
      </c>
      <c r="DY13" t="s">
        <v>148</v>
      </c>
      <c r="DZ13" t="s">
        <v>201</v>
      </c>
      <c r="EA13" t="s">
        <v>202</v>
      </c>
      <c r="EB13">
        <v>0.47119571981581482</v>
      </c>
    </row>
    <row r="14" spans="2:132" x14ac:dyDescent="0.25">
      <c r="V14" t="s">
        <v>149</v>
      </c>
      <c r="W14" t="s">
        <v>31</v>
      </c>
      <c r="X14">
        <v>0</v>
      </c>
      <c r="Y14">
        <v>0.96377327308040506</v>
      </c>
      <c r="Z14">
        <v>0.37596023403561929</v>
      </c>
      <c r="AA14">
        <v>0.24847019488586528</v>
      </c>
      <c r="AB14">
        <v>0.49798106221295868</v>
      </c>
      <c r="AC14">
        <v>0</v>
      </c>
      <c r="AD14">
        <v>0</v>
      </c>
      <c r="AE14">
        <v>0.48473748100188419</v>
      </c>
      <c r="AF14">
        <v>0.19009562662712831</v>
      </c>
      <c r="AG14">
        <v>0.16208241043798813</v>
      </c>
      <c r="AH14">
        <v>0.24435494577886208</v>
      </c>
      <c r="AI14">
        <v>0.53471063745074177</v>
      </c>
      <c r="AJ14">
        <v>0</v>
      </c>
      <c r="AK14">
        <v>0.34021800689973086</v>
      </c>
      <c r="AL14">
        <v>0.13978217154710135</v>
      </c>
      <c r="AM14">
        <v>0.11615298251355453</v>
      </c>
      <c r="AN14">
        <v>0.16642960980348734</v>
      </c>
      <c r="AO14">
        <v>0.32112334148011812</v>
      </c>
      <c r="AP14">
        <v>0</v>
      </c>
      <c r="AQ14">
        <v>0.75090319772408576</v>
      </c>
      <c r="AR14">
        <v>0.35870201249688904</v>
      </c>
      <c r="AS14">
        <v>0.27875454918568121</v>
      </c>
      <c r="AT14">
        <v>0.41377811026922595</v>
      </c>
      <c r="AU14">
        <v>0.89929275476105874</v>
      </c>
      <c r="CY14" t="s">
        <v>149</v>
      </c>
      <c r="CZ14">
        <v>0</v>
      </c>
      <c r="DA14">
        <v>1.1036977038906849E-3</v>
      </c>
      <c r="DB14">
        <v>0.10187991070999253</v>
      </c>
      <c r="DC14">
        <v>0.14605960449451316</v>
      </c>
      <c r="DD14">
        <v>5.8428798057396154E-2</v>
      </c>
      <c r="DE14">
        <v>0</v>
      </c>
      <c r="DF14">
        <v>0</v>
      </c>
      <c r="DG14">
        <v>0.1533953439383009</v>
      </c>
      <c r="DH14">
        <v>0.45122201899368458</v>
      </c>
      <c r="DI14">
        <v>0.4375490317344734</v>
      </c>
      <c r="DJ14">
        <v>0.32282600182226395</v>
      </c>
      <c r="DK14">
        <v>7.5512652056505064E-2</v>
      </c>
      <c r="DL14">
        <v>0</v>
      </c>
      <c r="DM14">
        <v>0.22805918825873248</v>
      </c>
      <c r="DN14">
        <v>0.48855824050592844</v>
      </c>
      <c r="DO14">
        <v>0.48787460671790772</v>
      </c>
      <c r="DP14">
        <v>0.39819598260343075</v>
      </c>
      <c r="DQ14">
        <v>0.1648207215591726</v>
      </c>
      <c r="DR14">
        <v>0</v>
      </c>
      <c r="DS14">
        <v>4.1872873268113633E-2</v>
      </c>
      <c r="DT14">
        <v>0.2189529706229591</v>
      </c>
      <c r="DU14">
        <v>0.24551952545790026</v>
      </c>
      <c r="DV14">
        <v>0.15020734121574669</v>
      </c>
      <c r="DW14">
        <v>1.086552975405989E-2</v>
      </c>
      <c r="DY14" t="s">
        <v>149</v>
      </c>
      <c r="DZ14" t="s">
        <v>201</v>
      </c>
      <c r="EA14" t="s">
        <v>202</v>
      </c>
      <c r="EB14">
        <v>0.47527863625786126</v>
      </c>
    </row>
    <row r="15" spans="2:132" x14ac:dyDescent="0.25">
      <c r="V15" t="s">
        <v>150</v>
      </c>
      <c r="W15" t="s">
        <v>31</v>
      </c>
      <c r="X15">
        <v>0</v>
      </c>
      <c r="Y15">
        <v>0.94593008459714256</v>
      </c>
      <c r="Z15">
        <v>0.3618422716655848</v>
      </c>
      <c r="AA15">
        <v>0.2468918903023718</v>
      </c>
      <c r="AB15">
        <v>0.52636619483614722</v>
      </c>
      <c r="AC15">
        <v>0</v>
      </c>
      <c r="AD15">
        <v>0</v>
      </c>
      <c r="AE15">
        <v>0.48112623448095104</v>
      </c>
      <c r="AF15">
        <v>0.19406397139179146</v>
      </c>
      <c r="AG15">
        <v>0.15216491755989148</v>
      </c>
      <c r="AH15">
        <v>0.23636553097619775</v>
      </c>
      <c r="AI15">
        <v>0.5630453166592766</v>
      </c>
      <c r="AJ15">
        <v>0</v>
      </c>
      <c r="AK15">
        <v>0.31547186451584119</v>
      </c>
      <c r="AL15">
        <v>0.13744713182096113</v>
      </c>
      <c r="AM15">
        <v>0.11252852590436803</v>
      </c>
      <c r="AN15">
        <v>0.15299369336973012</v>
      </c>
      <c r="AO15">
        <v>0.31522603640594782</v>
      </c>
      <c r="AP15">
        <v>0</v>
      </c>
      <c r="AQ15">
        <v>0.71134112912349112</v>
      </c>
      <c r="AR15">
        <v>0.33224038617534529</v>
      </c>
      <c r="AS15">
        <v>0.27323497076025649</v>
      </c>
      <c r="AT15">
        <v>0.43554887961000682</v>
      </c>
      <c r="AU15">
        <v>0.91075514584681339</v>
      </c>
      <c r="CY15" t="s">
        <v>150</v>
      </c>
      <c r="CZ15">
        <v>0</v>
      </c>
      <c r="DA15">
        <v>1.4435157035495613E-3</v>
      </c>
      <c r="DB15">
        <v>0.10601920406518857</v>
      </c>
      <c r="DC15">
        <v>0.14314647350110235</v>
      </c>
      <c r="DD15">
        <v>5.0844360720298389E-2</v>
      </c>
      <c r="DE15">
        <v>0</v>
      </c>
      <c r="DF15">
        <v>0</v>
      </c>
      <c r="DG15">
        <v>0.16012401733324239</v>
      </c>
      <c r="DH15">
        <v>0.46041036457003082</v>
      </c>
      <c r="DI15">
        <v>0.44957085123057139</v>
      </c>
      <c r="DJ15">
        <v>0.32708568378663211</v>
      </c>
      <c r="DK15">
        <v>7.4075950190006318E-2</v>
      </c>
      <c r="DL15">
        <v>0</v>
      </c>
      <c r="DM15">
        <v>0.24291534494283645</v>
      </c>
      <c r="DN15">
        <v>0.4902452739001581</v>
      </c>
      <c r="DO15">
        <v>0.4806183795411248</v>
      </c>
      <c r="DP15">
        <v>0.39635049406825329</v>
      </c>
      <c r="DQ15">
        <v>0.15785911182272702</v>
      </c>
      <c r="DR15">
        <v>0</v>
      </c>
      <c r="DS15">
        <v>5.4643122794047559E-2</v>
      </c>
      <c r="DT15">
        <v>0.24232022808010126</v>
      </c>
      <c r="DU15">
        <v>0.24406952171289317</v>
      </c>
      <c r="DV15">
        <v>0.14018881182750989</v>
      </c>
      <c r="DW15">
        <v>8.9650525729085846E-3</v>
      </c>
      <c r="DY15" t="s">
        <v>150</v>
      </c>
      <c r="DZ15" t="s">
        <v>201</v>
      </c>
      <c r="EA15" t="s">
        <v>202</v>
      </c>
      <c r="EB15">
        <v>0.46529995587009387</v>
      </c>
    </row>
    <row r="16" spans="2:132" x14ac:dyDescent="0.25">
      <c r="V16" t="s">
        <v>151</v>
      </c>
      <c r="W16" t="s">
        <v>31</v>
      </c>
      <c r="X16">
        <v>0</v>
      </c>
      <c r="Y16">
        <v>0.93066758166643071</v>
      </c>
      <c r="Z16">
        <v>0.33278875843367434</v>
      </c>
      <c r="AA16">
        <v>0.25805686112582427</v>
      </c>
      <c r="AB16">
        <v>0.58708931935871955</v>
      </c>
      <c r="AC16">
        <v>0</v>
      </c>
      <c r="AD16">
        <v>0.9932065217391306</v>
      </c>
      <c r="AE16">
        <v>0.4342586207665281</v>
      </c>
      <c r="AF16">
        <v>0.16111001997413951</v>
      </c>
      <c r="AG16">
        <v>0.13694137886931487</v>
      </c>
      <c r="AH16">
        <v>0.23585933943904921</v>
      </c>
      <c r="AI16">
        <v>0.62232719242122281</v>
      </c>
      <c r="AJ16">
        <v>0.94779515325809371</v>
      </c>
      <c r="AK16">
        <v>0.28140858308870659</v>
      </c>
      <c r="AL16">
        <v>0.13792905947247583</v>
      </c>
      <c r="AM16">
        <v>0.1165711592788707</v>
      </c>
      <c r="AN16">
        <v>0.14914744183834949</v>
      </c>
      <c r="AO16">
        <v>0.35630566864609359</v>
      </c>
      <c r="AP16">
        <v>0</v>
      </c>
      <c r="AQ16">
        <v>0.69076464388004866</v>
      </c>
      <c r="AR16">
        <v>0.31886656825393006</v>
      </c>
      <c r="AS16">
        <v>0.28273851817855794</v>
      </c>
      <c r="AT16">
        <v>0.48733001052403707</v>
      </c>
      <c r="AU16">
        <v>0.93959439985970195</v>
      </c>
      <c r="CY16" t="s">
        <v>151</v>
      </c>
      <c r="CZ16">
        <v>0</v>
      </c>
      <c r="DA16">
        <v>3.6012075058526332E-3</v>
      </c>
      <c r="DB16">
        <v>0.11192835609431984</v>
      </c>
      <c r="DC16">
        <v>0.13861486620739757</v>
      </c>
      <c r="DD16">
        <v>4.0998253126608743E-2</v>
      </c>
      <c r="DE16">
        <v>0</v>
      </c>
      <c r="DF16">
        <v>1.554784548020344E-4</v>
      </c>
      <c r="DG16">
        <v>0.2041917221632121</v>
      </c>
      <c r="DH16">
        <v>0.49697616612066681</v>
      </c>
      <c r="DI16">
        <v>0.46964163077657584</v>
      </c>
      <c r="DJ16">
        <v>0.34762230600048655</v>
      </c>
      <c r="DK16">
        <v>6.639295997168243E-2</v>
      </c>
      <c r="DL16">
        <v>1.9450796242089477E-3</v>
      </c>
      <c r="DM16">
        <v>0.26566382100416708</v>
      </c>
      <c r="DN16">
        <v>0.48338139192116536</v>
      </c>
      <c r="DO16">
        <v>0.47083203558131137</v>
      </c>
      <c r="DP16">
        <v>0.38801865187955958</v>
      </c>
      <c r="DQ16">
        <v>0.14043437944487688</v>
      </c>
      <c r="DR16">
        <v>0</v>
      </c>
      <c r="DS16">
        <v>5.636280222384598E-2</v>
      </c>
      <c r="DT16">
        <v>0.23009901772515168</v>
      </c>
      <c r="DU16">
        <v>0.23035804833817053</v>
      </c>
      <c r="DV16">
        <v>0.12465430730857059</v>
      </c>
      <c r="DW16">
        <v>7.1867395141233439E-3</v>
      </c>
      <c r="DY16" t="s">
        <v>151</v>
      </c>
      <c r="DZ16" t="s">
        <v>201</v>
      </c>
      <c r="EA16" t="s">
        <v>202</v>
      </c>
      <c r="EB16">
        <v>0.4525053270396443</v>
      </c>
    </row>
    <row r="17" spans="22:132" x14ac:dyDescent="0.25">
      <c r="V17" t="s">
        <v>152</v>
      </c>
      <c r="W17" t="s">
        <v>31</v>
      </c>
      <c r="X17">
        <v>0</v>
      </c>
      <c r="Y17">
        <v>0.95230942280179109</v>
      </c>
      <c r="Z17">
        <v>0.38790389783920415</v>
      </c>
      <c r="AA17">
        <v>0.2790098813008548</v>
      </c>
      <c r="AB17">
        <v>0.53635738004345979</v>
      </c>
      <c r="AC17">
        <v>0</v>
      </c>
      <c r="AD17">
        <v>0</v>
      </c>
      <c r="AE17">
        <v>0.44412705984110684</v>
      </c>
      <c r="AF17">
        <v>0.14772561541676335</v>
      </c>
      <c r="AG17">
        <v>0.12776412501690873</v>
      </c>
      <c r="AH17">
        <v>0.20921461234188515</v>
      </c>
      <c r="AI17">
        <v>0.54822599117448645</v>
      </c>
      <c r="AJ17">
        <v>0.98641304347826086</v>
      </c>
      <c r="AK17">
        <v>0.30746415729514803</v>
      </c>
      <c r="AL17">
        <v>0.13968995355501265</v>
      </c>
      <c r="AM17">
        <v>0.10409791744830608</v>
      </c>
      <c r="AN17">
        <v>0.14293166097837692</v>
      </c>
      <c r="AO17">
        <v>0.31373316290343778</v>
      </c>
      <c r="AP17">
        <v>0</v>
      </c>
      <c r="AQ17">
        <v>0.71946962628130917</v>
      </c>
      <c r="AR17">
        <v>0.32897014286411519</v>
      </c>
      <c r="AS17">
        <v>0.2808287659932871</v>
      </c>
      <c r="AT17">
        <v>0.44529825302873582</v>
      </c>
      <c r="AU17">
        <v>0.90186157169352077</v>
      </c>
      <c r="CY17" t="s">
        <v>152</v>
      </c>
      <c r="CZ17">
        <v>0</v>
      </c>
      <c r="DA17">
        <v>1.8390284478325999E-3</v>
      </c>
      <c r="DB17">
        <v>9.8670841323073633E-2</v>
      </c>
      <c r="DC17">
        <v>0.1436442488185915</v>
      </c>
      <c r="DD17">
        <v>5.4408387088354528E-2</v>
      </c>
      <c r="DE17">
        <v>0</v>
      </c>
      <c r="DF17">
        <v>0</v>
      </c>
      <c r="DG17">
        <v>0.18010182372865935</v>
      </c>
      <c r="DH17">
        <v>0.50288266716923002</v>
      </c>
      <c r="DI17">
        <v>0.47960611488575033</v>
      </c>
      <c r="DJ17">
        <v>0.38315135275533346</v>
      </c>
      <c r="DK17">
        <v>9.3174375694227485E-2</v>
      </c>
      <c r="DL17">
        <v>3.3077928150963087E-6</v>
      </c>
      <c r="DM17">
        <v>0.23888752983553088</v>
      </c>
      <c r="DN17">
        <v>0.4744801474021027</v>
      </c>
      <c r="DO17">
        <v>0.48403123419657185</v>
      </c>
      <c r="DP17">
        <v>0.42635257628292023</v>
      </c>
      <c r="DQ17">
        <v>0.18249627318299885</v>
      </c>
      <c r="DR17">
        <v>0</v>
      </c>
      <c r="DS17">
        <v>5.6190274452206722E-2</v>
      </c>
      <c r="DT17">
        <v>0.24182751232345356</v>
      </c>
      <c r="DU17">
        <v>0.23983709040510026</v>
      </c>
      <c r="DV17">
        <v>0.15226595068354593</v>
      </c>
      <c r="DW17">
        <v>1.1087200133900086E-2</v>
      </c>
      <c r="DY17" t="s">
        <v>152</v>
      </c>
      <c r="DZ17" t="s">
        <v>201</v>
      </c>
      <c r="EA17" t="s">
        <v>202</v>
      </c>
      <c r="EB17">
        <v>0.46959011123980954</v>
      </c>
    </row>
    <row r="18" spans="22:132" x14ac:dyDescent="0.25">
      <c r="V18" t="s">
        <v>153</v>
      </c>
      <c r="W18" t="s">
        <v>31</v>
      </c>
      <c r="X18">
        <v>0</v>
      </c>
      <c r="Y18">
        <v>0.94062321334300059</v>
      </c>
      <c r="Z18">
        <v>0.35162739208061683</v>
      </c>
      <c r="AA18">
        <v>0.2664707871729215</v>
      </c>
      <c r="AB18">
        <v>0.56651232732370316</v>
      </c>
      <c r="AC18">
        <v>0</v>
      </c>
      <c r="AD18">
        <v>0</v>
      </c>
      <c r="AE18">
        <v>0.44894622163844206</v>
      </c>
      <c r="AF18">
        <v>0.14959363192969952</v>
      </c>
      <c r="AG18">
        <v>0.11980943157175743</v>
      </c>
      <c r="AH18">
        <v>0.2228988174233284</v>
      </c>
      <c r="AI18">
        <v>0.60120108129214223</v>
      </c>
      <c r="AJ18">
        <v>0.9617443781916839</v>
      </c>
      <c r="AK18">
        <v>0.29512614982729451</v>
      </c>
      <c r="AL18">
        <v>0.13643261178878538</v>
      </c>
      <c r="AM18">
        <v>0.11875720548720514</v>
      </c>
      <c r="AN18">
        <v>0.15364981238958167</v>
      </c>
      <c r="AO18">
        <v>0.3427181404787919</v>
      </c>
      <c r="AP18">
        <v>0</v>
      </c>
      <c r="AQ18">
        <v>0.69570118788309054</v>
      </c>
      <c r="AR18">
        <v>0.30765385652989025</v>
      </c>
      <c r="AS18">
        <v>0.2850065485198453</v>
      </c>
      <c r="AT18">
        <v>0.46847015666889885</v>
      </c>
      <c r="AU18">
        <v>0.93313438514450675</v>
      </c>
      <c r="CY18" t="s">
        <v>153</v>
      </c>
      <c r="CZ18">
        <v>0</v>
      </c>
      <c r="DA18">
        <v>2.7516099831657792E-3</v>
      </c>
      <c r="DB18">
        <v>0.11438175064135857</v>
      </c>
      <c r="DC18">
        <v>0.1483050583790676</v>
      </c>
      <c r="DD18">
        <v>4.8526415802924772E-2</v>
      </c>
      <c r="DE18">
        <v>0</v>
      </c>
      <c r="DF18">
        <v>0</v>
      </c>
      <c r="DG18">
        <v>0.18989653156498684</v>
      </c>
      <c r="DH18">
        <v>0.51229529881711666</v>
      </c>
      <c r="DI18">
        <v>0.49547028527318931</v>
      </c>
      <c r="DJ18">
        <v>0.36938076441549489</v>
      </c>
      <c r="DK18">
        <v>7.504599789683547E-2</v>
      </c>
      <c r="DL18">
        <v>6.5608028375521731E-4</v>
      </c>
      <c r="DM18">
        <v>0.25342747223921813</v>
      </c>
      <c r="DN18">
        <v>0.48384948536648192</v>
      </c>
      <c r="DO18">
        <v>0.46753193949873439</v>
      </c>
      <c r="DP18">
        <v>0.38870120331840013</v>
      </c>
      <c r="DQ18">
        <v>0.14834116893106822</v>
      </c>
      <c r="DR18">
        <v>0</v>
      </c>
      <c r="DS18">
        <v>5.9530627212913793E-2</v>
      </c>
      <c r="DT18">
        <v>0.24822664920411899</v>
      </c>
      <c r="DU18">
        <v>0.24031060181317401</v>
      </c>
      <c r="DV18">
        <v>0.137349990274551</v>
      </c>
      <c r="DW18">
        <v>8.3969489490144187E-3</v>
      </c>
      <c r="DY18" t="s">
        <v>153</v>
      </c>
      <c r="DZ18" t="s">
        <v>201</v>
      </c>
      <c r="EA18" t="s">
        <v>202</v>
      </c>
      <c r="EB18">
        <v>0.46365922990252728</v>
      </c>
    </row>
    <row r="19" spans="22:132" x14ac:dyDescent="0.25">
      <c r="V19" t="s">
        <v>154</v>
      </c>
      <c r="W19" t="s">
        <v>31</v>
      </c>
      <c r="X19">
        <v>0</v>
      </c>
      <c r="Y19">
        <v>0.89798361497840729</v>
      </c>
      <c r="Z19">
        <v>0.30253075242414962</v>
      </c>
      <c r="AA19">
        <v>0.23828050946165255</v>
      </c>
      <c r="AB19">
        <v>0.60814957382834944</v>
      </c>
      <c r="AC19">
        <v>0</v>
      </c>
      <c r="AD19">
        <v>0.99136256858654936</v>
      </c>
      <c r="AE19">
        <v>0.43232524015238399</v>
      </c>
      <c r="AF19">
        <v>0.20729323299817881</v>
      </c>
      <c r="AG19">
        <v>0.17481956964108686</v>
      </c>
      <c r="AH19">
        <v>0.28083575493518587</v>
      </c>
      <c r="AI19">
        <v>0.67020977675453552</v>
      </c>
      <c r="AJ19">
        <v>0.94613243684328618</v>
      </c>
      <c r="AK19">
        <v>0.25135209584080154</v>
      </c>
      <c r="AL19">
        <v>0.12791247067724582</v>
      </c>
      <c r="AM19">
        <v>0.11897305790436581</v>
      </c>
      <c r="AN19">
        <v>0.16115700926310361</v>
      </c>
      <c r="AO19">
        <v>0.39443720019286965</v>
      </c>
      <c r="AP19">
        <v>0</v>
      </c>
      <c r="AQ19">
        <v>0.65288602896544679</v>
      </c>
      <c r="AR19">
        <v>0.30239618595893591</v>
      </c>
      <c r="AS19">
        <v>0.27762231175922547</v>
      </c>
      <c r="AT19">
        <v>0.49646390171980553</v>
      </c>
      <c r="AU19">
        <v>0.95289279418031725</v>
      </c>
      <c r="CY19" t="s">
        <v>154</v>
      </c>
      <c r="CZ19">
        <v>0</v>
      </c>
      <c r="DA19">
        <v>5.4588052922769767E-3</v>
      </c>
      <c r="DB19">
        <v>0.13590786015951636</v>
      </c>
      <c r="DC19">
        <v>0.16483123945483771</v>
      </c>
      <c r="DD19">
        <v>4.9577404228165554E-2</v>
      </c>
      <c r="DE19">
        <v>0</v>
      </c>
      <c r="DF19">
        <v>1.9617589543678528E-4</v>
      </c>
      <c r="DG19">
        <v>0.2181510380467066</v>
      </c>
      <c r="DH19">
        <v>0.46287639252516455</v>
      </c>
      <c r="DI19">
        <v>0.44220977465052458</v>
      </c>
      <c r="DJ19">
        <v>0.30783042678104683</v>
      </c>
      <c r="DK19">
        <v>5.2025761199897949E-2</v>
      </c>
      <c r="DL19">
        <v>2.8534366008721363E-3</v>
      </c>
      <c r="DM19">
        <v>0.29575499208087097</v>
      </c>
      <c r="DN19">
        <v>0.4936459145421338</v>
      </c>
      <c r="DO19">
        <v>0.46258446311263596</v>
      </c>
      <c r="DP19">
        <v>0.36989631915248755</v>
      </c>
      <c r="DQ19">
        <v>0.11342445758586868</v>
      </c>
      <c r="DR19">
        <v>0</v>
      </c>
      <c r="DS19">
        <v>6.7819589823813572E-2</v>
      </c>
      <c r="DT19">
        <v>0.23949459429858819</v>
      </c>
      <c r="DU19">
        <v>0.23080098124231269</v>
      </c>
      <c r="DV19">
        <v>0.11799877816816301</v>
      </c>
      <c r="DW19">
        <v>5.2714565426958447E-3</v>
      </c>
      <c r="DY19" t="s">
        <v>154</v>
      </c>
      <c r="DZ19" t="s">
        <v>201</v>
      </c>
      <c r="EA19" t="s">
        <v>202</v>
      </c>
      <c r="EB19">
        <v>0.43322108076997556</v>
      </c>
    </row>
    <row r="20" spans="22:132" x14ac:dyDescent="0.25">
      <c r="V20" t="s">
        <v>155</v>
      </c>
      <c r="W20" t="s">
        <v>31</v>
      </c>
      <c r="X20">
        <v>0</v>
      </c>
      <c r="Y20">
        <v>0.92883156328552541</v>
      </c>
      <c r="Z20">
        <v>0.34502648146619397</v>
      </c>
      <c r="AA20">
        <v>0.28414067422828976</v>
      </c>
      <c r="AB20">
        <v>0.61662465417784007</v>
      </c>
      <c r="AC20">
        <v>0</v>
      </c>
      <c r="AD20">
        <v>0.98505133061508143</v>
      </c>
      <c r="AE20">
        <v>0.40833679467923639</v>
      </c>
      <c r="AF20">
        <v>0.17083160943992654</v>
      </c>
      <c r="AG20">
        <v>0.14273912939785935</v>
      </c>
      <c r="AH20">
        <v>0.25545077280995632</v>
      </c>
      <c r="AI20">
        <v>0.64639224327168243</v>
      </c>
      <c r="AJ20">
        <v>0.94275086042561274</v>
      </c>
      <c r="AK20">
        <v>0.29354689216499408</v>
      </c>
      <c r="AL20">
        <v>0.13855330195484991</v>
      </c>
      <c r="AM20">
        <v>0.10843805348302328</v>
      </c>
      <c r="AN20">
        <v>0.15196237600689597</v>
      </c>
      <c r="AO20">
        <v>0.36078796029532512</v>
      </c>
      <c r="AP20">
        <v>0</v>
      </c>
      <c r="AQ20">
        <v>0.70426998248853656</v>
      </c>
      <c r="AR20">
        <v>0.36898597096367625</v>
      </c>
      <c r="AS20">
        <v>0.33193184235866402</v>
      </c>
      <c r="AT20">
        <v>0.53267014392101253</v>
      </c>
      <c r="AU20">
        <v>0.94680411074729032</v>
      </c>
      <c r="CY20" t="s">
        <v>155</v>
      </c>
      <c r="CZ20">
        <v>0</v>
      </c>
      <c r="DA20">
        <v>4.3200058928859189E-3</v>
      </c>
      <c r="DB20">
        <v>0.11680409598262294</v>
      </c>
      <c r="DC20">
        <v>0.1372668632887461</v>
      </c>
      <c r="DD20">
        <v>3.9554551714796021E-2</v>
      </c>
      <c r="DE20">
        <v>0</v>
      </c>
      <c r="DF20">
        <v>5.693003853640289E-4</v>
      </c>
      <c r="DG20">
        <v>0.22336270704891395</v>
      </c>
      <c r="DH20">
        <v>0.49564947393909187</v>
      </c>
      <c r="DI20">
        <v>0.46461047765634816</v>
      </c>
      <c r="DJ20">
        <v>0.33732499202335681</v>
      </c>
      <c r="DK20">
        <v>6.0012846489625203E-2</v>
      </c>
      <c r="DL20">
        <v>3.2982295396964513E-3</v>
      </c>
      <c r="DM20">
        <v>0.26286473729358345</v>
      </c>
      <c r="DN20">
        <v>0.47677494996783487</v>
      </c>
      <c r="DO20">
        <v>0.46546048854615818</v>
      </c>
      <c r="DP20">
        <v>0.37773444318440486</v>
      </c>
      <c r="DQ20">
        <v>0.13173999991627025</v>
      </c>
      <c r="DR20">
        <v>0</v>
      </c>
      <c r="DS20">
        <v>5.6142780294841141E-2</v>
      </c>
      <c r="DT20">
        <v>0.20676736976726767</v>
      </c>
      <c r="DU20">
        <v>0.20392111126136533</v>
      </c>
      <c r="DV20">
        <v>0.11003194674796792</v>
      </c>
      <c r="DW20">
        <v>6.1155337996791521E-3</v>
      </c>
      <c r="DY20" t="s">
        <v>155</v>
      </c>
      <c r="DZ20" t="s">
        <v>201</v>
      </c>
      <c r="EA20" t="s">
        <v>202</v>
      </c>
      <c r="EB20">
        <v>0.43683759487125445</v>
      </c>
    </row>
    <row r="21" spans="22:132" x14ac:dyDescent="0.25">
      <c r="V21" t="s">
        <v>156</v>
      </c>
      <c r="W21" t="s">
        <v>31</v>
      </c>
      <c r="X21">
        <v>0</v>
      </c>
      <c r="Y21">
        <v>0.91438013843033539</v>
      </c>
      <c r="Z21">
        <v>0.31860555224566334</v>
      </c>
      <c r="AA21">
        <v>0.25341128040414329</v>
      </c>
      <c r="AB21">
        <v>0.61101172123910408</v>
      </c>
      <c r="AC21">
        <v>0</v>
      </c>
      <c r="AD21">
        <v>0.9809782608695653</v>
      </c>
      <c r="AE21">
        <v>0.41423866468889886</v>
      </c>
      <c r="AF21">
        <v>0.18069242739556543</v>
      </c>
      <c r="AG21">
        <v>0.15710181532895598</v>
      </c>
      <c r="AH21">
        <v>0.27372254144742847</v>
      </c>
      <c r="AI21">
        <v>0.65256686149529963</v>
      </c>
      <c r="AJ21">
        <v>0.93808049921164294</v>
      </c>
      <c r="AK21">
        <v>0.26332089922382379</v>
      </c>
      <c r="AL21">
        <v>0.13326732910623812</v>
      </c>
      <c r="AM21">
        <v>0.10451354853939154</v>
      </c>
      <c r="AN21">
        <v>0.14671422145233831</v>
      </c>
      <c r="AO21">
        <v>0.36862944423164357</v>
      </c>
      <c r="AP21">
        <v>0</v>
      </c>
      <c r="AQ21">
        <v>0.68270339027465188</v>
      </c>
      <c r="AR21">
        <v>0.34030255081369565</v>
      </c>
      <c r="AS21">
        <v>0.32359052754155804</v>
      </c>
      <c r="AT21">
        <v>0.50827042112165866</v>
      </c>
      <c r="AU21">
        <v>0.94969260901178998</v>
      </c>
      <c r="CY21" t="s">
        <v>156</v>
      </c>
      <c r="CZ21">
        <v>0</v>
      </c>
      <c r="DA21">
        <v>3.730445895435136E-3</v>
      </c>
      <c r="DB21">
        <v>0.12203223993435186</v>
      </c>
      <c r="DC21">
        <v>0.14957384872561438</v>
      </c>
      <c r="DD21">
        <v>4.5774482879680008E-2</v>
      </c>
      <c r="DE21">
        <v>0</v>
      </c>
      <c r="DF21">
        <v>4.268868738935965E-4</v>
      </c>
      <c r="DG21">
        <v>0.21839075025065369</v>
      </c>
      <c r="DH21">
        <v>0.48375556615841608</v>
      </c>
      <c r="DI21">
        <v>0.45679809963788842</v>
      </c>
      <c r="DJ21">
        <v>0.32020353226285431</v>
      </c>
      <c r="DK21">
        <v>5.2830881006356543E-2</v>
      </c>
      <c r="DL21">
        <v>3.3341350756073114E-3</v>
      </c>
      <c r="DM21">
        <v>0.28276223291653696</v>
      </c>
      <c r="DN21">
        <v>0.48745258698988131</v>
      </c>
      <c r="DO21">
        <v>0.46898799075069247</v>
      </c>
      <c r="DP21">
        <v>0.37573272815319969</v>
      </c>
      <c r="DQ21">
        <v>0.12080079083936923</v>
      </c>
      <c r="DR21">
        <v>0</v>
      </c>
      <c r="DS21">
        <v>6.2459620281710738E-2</v>
      </c>
      <c r="DT21">
        <v>0.2186474765844533</v>
      </c>
      <c r="DU21">
        <v>0.2160764216049659</v>
      </c>
      <c r="DV21">
        <v>0.11596270225680803</v>
      </c>
      <c r="DW21">
        <v>5.6579670362271696E-3</v>
      </c>
      <c r="DY21" t="s">
        <v>156</v>
      </c>
      <c r="DZ21" t="s">
        <v>201</v>
      </c>
      <c r="EA21" t="s">
        <v>202</v>
      </c>
      <c r="EB21">
        <v>0.42858606224831203</v>
      </c>
    </row>
    <row r="22" spans="22:132" x14ac:dyDescent="0.25">
      <c r="V22" t="s">
        <v>157</v>
      </c>
      <c r="W22" t="s">
        <v>31</v>
      </c>
      <c r="X22">
        <v>0</v>
      </c>
      <c r="Y22">
        <v>0.88044164885743947</v>
      </c>
      <c r="Z22">
        <v>0.29417820885405754</v>
      </c>
      <c r="AA22">
        <v>0.22877249550563947</v>
      </c>
      <c r="AB22">
        <v>0.55888790185626536</v>
      </c>
      <c r="AC22">
        <v>0</v>
      </c>
      <c r="AD22">
        <v>0</v>
      </c>
      <c r="AE22">
        <v>0.44890365263237803</v>
      </c>
      <c r="AF22">
        <v>0.21859062243133184</v>
      </c>
      <c r="AG22">
        <v>0.1940164025301726</v>
      </c>
      <c r="AH22">
        <v>0.27942211003704398</v>
      </c>
      <c r="AI22">
        <v>0.67385825531459831</v>
      </c>
      <c r="AJ22">
        <v>0</v>
      </c>
      <c r="AK22">
        <v>0.2979749568421014</v>
      </c>
      <c r="AL22">
        <v>0.14429481009591452</v>
      </c>
      <c r="AM22">
        <v>0.1247647542673148</v>
      </c>
      <c r="AN22">
        <v>0.17316752843815783</v>
      </c>
      <c r="AO22">
        <v>0.45740723928287824</v>
      </c>
      <c r="AP22">
        <v>0</v>
      </c>
      <c r="AQ22">
        <v>0.61510840357239271</v>
      </c>
      <c r="AR22">
        <v>0.24727885986585113</v>
      </c>
      <c r="AS22">
        <v>0.2282930946435254</v>
      </c>
      <c r="AT22">
        <v>0.42105567768084579</v>
      </c>
      <c r="AU22">
        <v>0.94421292133550672</v>
      </c>
      <c r="CY22" t="s">
        <v>157</v>
      </c>
      <c r="CZ22">
        <v>0</v>
      </c>
      <c r="DA22">
        <v>1.115895268835638E-2</v>
      </c>
      <c r="DB22">
        <v>0.18386044032645574</v>
      </c>
      <c r="DC22">
        <v>0.21078409718259589</v>
      </c>
      <c r="DD22">
        <v>7.1118523190927402E-2</v>
      </c>
      <c r="DE22">
        <v>0</v>
      </c>
      <c r="DF22">
        <v>0</v>
      </c>
      <c r="DG22">
        <v>0.19690120127362579</v>
      </c>
      <c r="DH22">
        <v>0.44590535707961237</v>
      </c>
      <c r="DI22">
        <v>0.42335132703107792</v>
      </c>
      <c r="DJ22">
        <v>0.28954323402262377</v>
      </c>
      <c r="DK22">
        <v>4.5133865558894211E-2</v>
      </c>
      <c r="DL22">
        <v>0</v>
      </c>
      <c r="DM22">
        <v>0.2695673286284061</v>
      </c>
      <c r="DN22">
        <v>0.49224086112360221</v>
      </c>
      <c r="DO22">
        <v>0.47318628488641101</v>
      </c>
      <c r="DP22">
        <v>0.36355222258608838</v>
      </c>
      <c r="DQ22">
        <v>9.9369278949994977E-2</v>
      </c>
      <c r="DR22">
        <v>0</v>
      </c>
      <c r="DS22">
        <v>8.3674664018221517E-2</v>
      </c>
      <c r="DT22">
        <v>0.29428116885389971</v>
      </c>
      <c r="DU22">
        <v>0.28576119701857272</v>
      </c>
      <c r="DV22">
        <v>0.14639309667087594</v>
      </c>
      <c r="DW22">
        <v>6.7201817569793919E-3</v>
      </c>
      <c r="DY22" t="s">
        <v>157</v>
      </c>
      <c r="DZ22" t="s">
        <v>201</v>
      </c>
      <c r="EA22" t="s">
        <v>202</v>
      </c>
      <c r="EB22">
        <v>0.45151133975097046</v>
      </c>
    </row>
    <row r="23" spans="22:132" x14ac:dyDescent="0.25">
      <c r="V23" t="s">
        <v>158</v>
      </c>
      <c r="W23" t="s">
        <v>31</v>
      </c>
      <c r="X23">
        <v>0</v>
      </c>
      <c r="Y23">
        <v>0.86705882699935866</v>
      </c>
      <c r="Z23">
        <v>0.29929334219727644</v>
      </c>
      <c r="AA23">
        <v>0.23155965854235186</v>
      </c>
      <c r="AB23">
        <v>0.58058414877049425</v>
      </c>
      <c r="AC23">
        <v>0</v>
      </c>
      <c r="AD23">
        <v>0.99320652173913038</v>
      </c>
      <c r="AE23">
        <v>0.42520278719414473</v>
      </c>
      <c r="AF23">
        <v>0.2091379530072999</v>
      </c>
      <c r="AG23">
        <v>0.18603392437148511</v>
      </c>
      <c r="AH23">
        <v>0.26723406766297753</v>
      </c>
      <c r="AI23">
        <v>0.67207191391493237</v>
      </c>
      <c r="AJ23">
        <v>0.9518873429877992</v>
      </c>
      <c r="AK23">
        <v>0.26379482721194403</v>
      </c>
      <c r="AL23">
        <v>0.12089627003421546</v>
      </c>
      <c r="AM23">
        <v>0.11455203667457077</v>
      </c>
      <c r="AN23">
        <v>0.16464441258946022</v>
      </c>
      <c r="AO23">
        <v>0.4476750077856006</v>
      </c>
      <c r="AP23">
        <v>0</v>
      </c>
      <c r="AQ23">
        <v>0.60824376365355504</v>
      </c>
      <c r="AR23">
        <v>0.24537438560811212</v>
      </c>
      <c r="AS23">
        <v>0.226801462054917</v>
      </c>
      <c r="AT23">
        <v>0.43433582258568154</v>
      </c>
      <c r="AU23">
        <v>0.95064473080325729</v>
      </c>
      <c r="CY23" t="s">
        <v>158</v>
      </c>
      <c r="CZ23">
        <v>0</v>
      </c>
      <c r="DA23">
        <v>9.8709018571916159E-3</v>
      </c>
      <c r="DB23">
        <v>0.16584490747502556</v>
      </c>
      <c r="DC23">
        <v>0.18676662453565435</v>
      </c>
      <c r="DD23">
        <v>5.4028348871089239E-2</v>
      </c>
      <c r="DE23">
        <v>0</v>
      </c>
      <c r="DF23">
        <v>1.4157835072115243E-5</v>
      </c>
      <c r="DG23">
        <v>0.21356318444957614</v>
      </c>
      <c r="DH23">
        <v>0.45620790352210161</v>
      </c>
      <c r="DI23">
        <v>0.43411826474273008</v>
      </c>
      <c r="DJ23">
        <v>0.30031705597943875</v>
      </c>
      <c r="DK23">
        <v>4.663534448285165E-2</v>
      </c>
      <c r="DL23">
        <v>9.7996303596994505E-4</v>
      </c>
      <c r="DM23">
        <v>0.287206891926644</v>
      </c>
      <c r="DN23">
        <v>0.50385319142138785</v>
      </c>
      <c r="DO23">
        <v>0.47611410180438957</v>
      </c>
      <c r="DP23">
        <v>0.36119714033784167</v>
      </c>
      <c r="DQ23">
        <v>9.9524545048409921E-2</v>
      </c>
      <c r="DR23">
        <v>0</v>
      </c>
      <c r="DS23">
        <v>8.1358867512897823E-2</v>
      </c>
      <c r="DT23">
        <v>0.28260989714791268</v>
      </c>
      <c r="DU23">
        <v>0.26414072555404727</v>
      </c>
      <c r="DV23">
        <v>0.12376965671471613</v>
      </c>
      <c r="DW23">
        <v>5.8613300987659881E-3</v>
      </c>
      <c r="DY23" t="s">
        <v>158</v>
      </c>
      <c r="DZ23" t="s">
        <v>201</v>
      </c>
      <c r="EA23" t="s">
        <v>202</v>
      </c>
      <c r="EB23">
        <v>0.42360456733647384</v>
      </c>
    </row>
    <row r="24" spans="22:132" x14ac:dyDescent="0.25">
      <c r="V24" t="s">
        <v>159</v>
      </c>
      <c r="W24" t="s">
        <v>31</v>
      </c>
      <c r="X24">
        <v>0</v>
      </c>
      <c r="Y24">
        <v>0.90382195237259644</v>
      </c>
      <c r="Z24">
        <v>0.27490202248260837</v>
      </c>
      <c r="AA24">
        <v>0.19835368917040525</v>
      </c>
      <c r="AB24">
        <v>0.50406511208790761</v>
      </c>
      <c r="AC24">
        <v>0</v>
      </c>
      <c r="AD24">
        <v>0</v>
      </c>
      <c r="AE24">
        <v>0.47879094404613964</v>
      </c>
      <c r="AF24">
        <v>0.2171136987614827</v>
      </c>
      <c r="AG24">
        <v>0.16364897751043983</v>
      </c>
      <c r="AH24">
        <v>0.2675429955675811</v>
      </c>
      <c r="AI24">
        <v>0.63675625200830976</v>
      </c>
      <c r="AJ24">
        <v>0</v>
      </c>
      <c r="AK24">
        <v>0.32993328433269908</v>
      </c>
      <c r="AL24">
        <v>0.15313665275730259</v>
      </c>
      <c r="AM24">
        <v>0.12811196069782868</v>
      </c>
      <c r="AN24">
        <v>0.16642360575182649</v>
      </c>
      <c r="AO24">
        <v>0.40002153026637438</v>
      </c>
      <c r="AP24">
        <v>0</v>
      </c>
      <c r="AQ24">
        <v>0.63581698747496584</v>
      </c>
      <c r="AR24">
        <v>0.26081434732025899</v>
      </c>
      <c r="AS24">
        <v>0.22822100681594715</v>
      </c>
      <c r="AT24">
        <v>0.39526424209105326</v>
      </c>
      <c r="AU24">
        <v>0.92717295459234828</v>
      </c>
      <c r="CY24" t="s">
        <v>159</v>
      </c>
      <c r="CZ24">
        <v>0</v>
      </c>
      <c r="DA24">
        <v>5.3562581641168521E-3</v>
      </c>
      <c r="DB24">
        <v>0.17674494186760401</v>
      </c>
      <c r="DC24">
        <v>0.22087585978996527</v>
      </c>
      <c r="DD24">
        <v>8.36123882835174E-2</v>
      </c>
      <c r="DE24">
        <v>0</v>
      </c>
      <c r="DF24">
        <v>0</v>
      </c>
      <c r="DG24">
        <v>0.16746452807910012</v>
      </c>
      <c r="DH24">
        <v>0.42410063653485325</v>
      </c>
      <c r="DI24">
        <v>0.42514186243313007</v>
      </c>
      <c r="DJ24">
        <v>0.29390873154730135</v>
      </c>
      <c r="DK24">
        <v>5.6186368451796843E-2</v>
      </c>
      <c r="DL24">
        <v>0</v>
      </c>
      <c r="DM24">
        <v>0.24887090004895795</v>
      </c>
      <c r="DN24">
        <v>0.49126162400484907</v>
      </c>
      <c r="DO24">
        <v>0.46759713820305776</v>
      </c>
      <c r="DP24">
        <v>0.36263358807560503</v>
      </c>
      <c r="DQ24">
        <v>0.11433339999568512</v>
      </c>
      <c r="DR24">
        <v>0</v>
      </c>
      <c r="DS24">
        <v>7.1771288872939557E-2</v>
      </c>
      <c r="DT24">
        <v>0.28268065251943136</v>
      </c>
      <c r="DU24">
        <v>0.29321456120945288</v>
      </c>
      <c r="DV24">
        <v>0.16464750207757003</v>
      </c>
      <c r="DW24">
        <v>8.5197647960362916E-3</v>
      </c>
      <c r="DY24" t="s">
        <v>159</v>
      </c>
      <c r="DZ24" t="s">
        <v>201</v>
      </c>
      <c r="EA24" t="s">
        <v>202</v>
      </c>
      <c r="EB24">
        <v>0.43471458566520127</v>
      </c>
    </row>
    <row r="25" spans="22:132" x14ac:dyDescent="0.25">
      <c r="V25" t="s">
        <v>160</v>
      </c>
      <c r="W25" t="s">
        <v>31</v>
      </c>
      <c r="X25">
        <v>0</v>
      </c>
      <c r="Y25">
        <v>0.92527565853033678</v>
      </c>
      <c r="Z25">
        <v>0.2856512082054779</v>
      </c>
      <c r="AA25">
        <v>0.19894331232862875</v>
      </c>
      <c r="AB25">
        <v>0.4604349870403131</v>
      </c>
      <c r="AC25">
        <v>0</v>
      </c>
      <c r="AD25">
        <v>0</v>
      </c>
      <c r="AE25">
        <v>0.48810016796015532</v>
      </c>
      <c r="AF25">
        <v>0.24023512671460329</v>
      </c>
      <c r="AG25">
        <v>0.18148253254234673</v>
      </c>
      <c r="AH25">
        <v>0.26007870000824496</v>
      </c>
      <c r="AI25">
        <v>0.61768959620396335</v>
      </c>
      <c r="AJ25">
        <v>0</v>
      </c>
      <c r="AK25">
        <v>0.32727829190658031</v>
      </c>
      <c r="AL25">
        <v>0.14171897622033566</v>
      </c>
      <c r="AM25">
        <v>0.12114336113905148</v>
      </c>
      <c r="AN25">
        <v>0.15128454846442863</v>
      </c>
      <c r="AO25">
        <v>0.37513301681538097</v>
      </c>
      <c r="AP25">
        <v>0</v>
      </c>
      <c r="AQ25">
        <v>0.65924369890529788</v>
      </c>
      <c r="AR25">
        <v>0.26808962356980415</v>
      </c>
      <c r="AS25">
        <v>0.22274044700801807</v>
      </c>
      <c r="AT25">
        <v>0.38335583793645639</v>
      </c>
      <c r="AU25">
        <v>0.92150967838646436</v>
      </c>
      <c r="CY25" t="s">
        <v>160</v>
      </c>
      <c r="CZ25">
        <v>0</v>
      </c>
      <c r="DA25">
        <v>2.976832796635603E-3</v>
      </c>
      <c r="DB25">
        <v>0.15056397833840637</v>
      </c>
      <c r="DC25">
        <v>0.19702118165353802</v>
      </c>
      <c r="DD25">
        <v>7.3310434327306051E-2</v>
      </c>
      <c r="DE25">
        <v>0</v>
      </c>
      <c r="DF25">
        <v>0</v>
      </c>
      <c r="DG25">
        <v>0.16283852752552647</v>
      </c>
      <c r="DH25">
        <v>0.40995456645755735</v>
      </c>
      <c r="DI25">
        <v>0.41361987487306096</v>
      </c>
      <c r="DJ25">
        <v>0.30032030600154547</v>
      </c>
      <c r="DK25">
        <v>5.8785190842861233E-2</v>
      </c>
      <c r="DL25">
        <v>0</v>
      </c>
      <c r="DM25">
        <v>0.24482960892423833</v>
      </c>
      <c r="DN25">
        <v>0.49897804113251698</v>
      </c>
      <c r="DO25">
        <v>0.47415267535021821</v>
      </c>
      <c r="DP25">
        <v>0.38143024695317734</v>
      </c>
      <c r="DQ25">
        <v>0.12879069973399793</v>
      </c>
      <c r="DR25">
        <v>0</v>
      </c>
      <c r="DS25">
        <v>6.6558930864061713E-2</v>
      </c>
      <c r="DT25">
        <v>0.27372142190020926</v>
      </c>
      <c r="DU25">
        <v>0.28591002319796788</v>
      </c>
      <c r="DV25">
        <v>0.16683171901894767</v>
      </c>
      <c r="DW25">
        <v>8.4900480091574387E-3</v>
      </c>
      <c r="DY25" t="s">
        <v>160</v>
      </c>
      <c r="DZ25" t="s">
        <v>201</v>
      </c>
      <c r="EA25" t="s">
        <v>202</v>
      </c>
      <c r="EB25">
        <v>0.45567651569592976</v>
      </c>
    </row>
    <row r="26" spans="22:132" x14ac:dyDescent="0.25">
      <c r="V26" t="s">
        <v>161</v>
      </c>
      <c r="W26" t="s">
        <v>31</v>
      </c>
      <c r="X26">
        <v>0</v>
      </c>
      <c r="Y26">
        <v>0.93423430078459291</v>
      </c>
      <c r="Z26">
        <v>0.31776358920656123</v>
      </c>
      <c r="AA26">
        <v>0.21851269908402296</v>
      </c>
      <c r="AB26">
        <v>0.52963432961647849</v>
      </c>
      <c r="AC26">
        <v>0</v>
      </c>
      <c r="AD26">
        <v>0</v>
      </c>
      <c r="AE26">
        <v>0.48565553130337835</v>
      </c>
      <c r="AF26">
        <v>0.22192557537024873</v>
      </c>
      <c r="AG26">
        <v>0.17526793164253954</v>
      </c>
      <c r="AH26">
        <v>0.25382331302180239</v>
      </c>
      <c r="AI26">
        <v>0.60064747025262621</v>
      </c>
      <c r="AJ26">
        <v>0</v>
      </c>
      <c r="AK26">
        <v>0.31599289577579776</v>
      </c>
      <c r="AL26">
        <v>0.14115146998526792</v>
      </c>
      <c r="AM26">
        <v>0.10641048268347299</v>
      </c>
      <c r="AN26">
        <v>0.14892081580710245</v>
      </c>
      <c r="AO26">
        <v>0.3421904312934434</v>
      </c>
      <c r="AP26">
        <v>0</v>
      </c>
      <c r="AQ26">
        <v>0.6877443614053762</v>
      </c>
      <c r="AR26">
        <v>0.28198268079347277</v>
      </c>
      <c r="AS26">
        <v>0.23834799078884075</v>
      </c>
      <c r="AT26">
        <v>0.42122742938219648</v>
      </c>
      <c r="AU26">
        <v>0.92926342400794615</v>
      </c>
      <c r="CY26" t="s">
        <v>161</v>
      </c>
      <c r="CZ26">
        <v>0</v>
      </c>
      <c r="DA26">
        <v>2.8905888422317135E-3</v>
      </c>
      <c r="DB26">
        <v>0.12208063583178022</v>
      </c>
      <c r="DC26">
        <v>0.16169994309464372</v>
      </c>
      <c r="DD26">
        <v>4.9989728889035273E-2</v>
      </c>
      <c r="DE26">
        <v>0</v>
      </c>
      <c r="DF26">
        <v>0</v>
      </c>
      <c r="DG26">
        <v>0.16724427122400817</v>
      </c>
      <c r="DH26">
        <v>0.43702561897079933</v>
      </c>
      <c r="DI26">
        <v>0.43007134176659489</v>
      </c>
      <c r="DJ26">
        <v>0.30366132124837231</v>
      </c>
      <c r="DK26">
        <v>6.4394674079616604E-2</v>
      </c>
      <c r="DL26">
        <v>0</v>
      </c>
      <c r="DM26">
        <v>0.25610780010327405</v>
      </c>
      <c r="DN26">
        <v>0.49990339369825904</v>
      </c>
      <c r="DO26">
        <v>0.47529725832304087</v>
      </c>
      <c r="DP26">
        <v>0.38584267380313608</v>
      </c>
      <c r="DQ26">
        <v>0.13911302706443313</v>
      </c>
      <c r="DR26">
        <v>0</v>
      </c>
      <c r="DS26">
        <v>6.3114809437565103E-2</v>
      </c>
      <c r="DT26">
        <v>0.26608662712054476</v>
      </c>
      <c r="DU26">
        <v>0.25842284607089444</v>
      </c>
      <c r="DV26">
        <v>0.14861925724636679</v>
      </c>
      <c r="DW26">
        <v>8.0026647076999174E-3</v>
      </c>
      <c r="DY26" t="s">
        <v>161</v>
      </c>
      <c r="DZ26" t="s">
        <v>201</v>
      </c>
      <c r="EA26" t="s">
        <v>202</v>
      </c>
      <c r="EB26">
        <v>0.47162752863607965</v>
      </c>
    </row>
    <row r="27" spans="22:132" x14ac:dyDescent="0.25">
      <c r="V27" t="s">
        <v>162</v>
      </c>
      <c r="W27" t="s">
        <v>31</v>
      </c>
      <c r="X27">
        <v>0</v>
      </c>
      <c r="Y27">
        <v>0.9357786300086417</v>
      </c>
      <c r="Z27">
        <v>0.35120179818443181</v>
      </c>
      <c r="AA27">
        <v>0.25141534049271641</v>
      </c>
      <c r="AB27">
        <v>0.56688544917035499</v>
      </c>
      <c r="AC27">
        <v>0</v>
      </c>
      <c r="AD27">
        <v>0</v>
      </c>
      <c r="AE27">
        <v>0.47775445601102684</v>
      </c>
      <c r="AF27">
        <v>0.19799965583021409</v>
      </c>
      <c r="AG27">
        <v>0.15446595348954961</v>
      </c>
      <c r="AH27">
        <v>0.24940416354203615</v>
      </c>
      <c r="AI27">
        <v>0.60821294090119338</v>
      </c>
      <c r="AJ27">
        <v>0.97503375277729876</v>
      </c>
      <c r="AK27">
        <v>0.30617538985300968</v>
      </c>
      <c r="AL27">
        <v>0.13604577874053564</v>
      </c>
      <c r="AM27">
        <v>0.11306233794272419</v>
      </c>
      <c r="AN27">
        <v>0.1542631688202861</v>
      </c>
      <c r="AO27">
        <v>0.33870777894493448</v>
      </c>
      <c r="AP27">
        <v>0</v>
      </c>
      <c r="AQ27">
        <v>0.69961651202463238</v>
      </c>
      <c r="AR27">
        <v>0.30946562064638161</v>
      </c>
      <c r="AS27">
        <v>0.25542771205086884</v>
      </c>
      <c r="AT27">
        <v>0.4535453220617735</v>
      </c>
      <c r="AU27">
        <v>0.93782090856038891</v>
      </c>
      <c r="CY27" t="s">
        <v>162</v>
      </c>
      <c r="CZ27">
        <v>0</v>
      </c>
      <c r="DA27">
        <v>2.3412243292813234E-3</v>
      </c>
      <c r="DB27">
        <v>0.11604882619917713</v>
      </c>
      <c r="DC27">
        <v>0.14954121880315249</v>
      </c>
      <c r="DD27">
        <v>4.6624974484126037E-2</v>
      </c>
      <c r="DE27">
        <v>0</v>
      </c>
      <c r="DF27">
        <v>0</v>
      </c>
      <c r="DG27">
        <v>0.17190285725463381</v>
      </c>
      <c r="DH27">
        <v>0.46140176894569401</v>
      </c>
      <c r="DI27">
        <v>0.45364427512660616</v>
      </c>
      <c r="DJ27">
        <v>0.31672800640416249</v>
      </c>
      <c r="DK27">
        <v>6.6993913800210331E-2</v>
      </c>
      <c r="DL27">
        <v>1.1520894113477536E-5</v>
      </c>
      <c r="DM27">
        <v>0.26203143359620146</v>
      </c>
      <c r="DN27">
        <v>0.4921758703823233</v>
      </c>
      <c r="DO27">
        <v>0.46884840126443345</v>
      </c>
      <c r="DP27">
        <v>0.38263945659198528</v>
      </c>
      <c r="DQ27">
        <v>0.14184544621306028</v>
      </c>
      <c r="DR27">
        <v>0</v>
      </c>
      <c r="DS27">
        <v>6.2668053785090758E-2</v>
      </c>
      <c r="DT27">
        <v>0.25582280927730755</v>
      </c>
      <c r="DU27">
        <v>0.24145161815353608</v>
      </c>
      <c r="DV27">
        <v>0.13760511930315975</v>
      </c>
      <c r="DW27">
        <v>8.4115569051661544E-3</v>
      </c>
      <c r="DY27" t="s">
        <v>162</v>
      </c>
      <c r="DZ27" t="s">
        <v>201</v>
      </c>
      <c r="EA27" t="s">
        <v>202</v>
      </c>
      <c r="EB27">
        <v>0.47622186190182525</v>
      </c>
    </row>
    <row r="28" spans="22:132" x14ac:dyDescent="0.25">
      <c r="V28" t="s">
        <v>163</v>
      </c>
      <c r="W28" t="s">
        <v>31</v>
      </c>
      <c r="X28">
        <v>0</v>
      </c>
      <c r="Y28">
        <v>0.92868101325888031</v>
      </c>
      <c r="Z28">
        <v>0.33202314576361208</v>
      </c>
      <c r="AA28">
        <v>0.24381871173112646</v>
      </c>
      <c r="AB28">
        <v>0.57815821159629655</v>
      </c>
      <c r="AC28">
        <v>0</v>
      </c>
      <c r="AD28">
        <v>0.99728260869565255</v>
      </c>
      <c r="AE28">
        <v>0.46533664130563357</v>
      </c>
      <c r="AF28">
        <v>0.21451622434040477</v>
      </c>
      <c r="AG28">
        <v>0.18007709465533267</v>
      </c>
      <c r="AH28">
        <v>0.27846275353399197</v>
      </c>
      <c r="AI28">
        <v>0.6410852568088552</v>
      </c>
      <c r="AJ28">
        <v>0.95637969766258268</v>
      </c>
      <c r="AK28">
        <v>0.27451306577738699</v>
      </c>
      <c r="AL28">
        <v>0.12039418066715173</v>
      </c>
      <c r="AM28">
        <v>0.10255907649061086</v>
      </c>
      <c r="AN28">
        <v>0.15628308022387696</v>
      </c>
      <c r="AO28">
        <v>0.37417808581127371</v>
      </c>
      <c r="AP28">
        <v>0</v>
      </c>
      <c r="AQ28">
        <v>0.66569252947456403</v>
      </c>
      <c r="AR28">
        <v>0.28784369280426775</v>
      </c>
      <c r="AS28">
        <v>0.26308311270622675</v>
      </c>
      <c r="AT28">
        <v>0.45347206801832285</v>
      </c>
      <c r="AU28">
        <v>0.94337513779945537</v>
      </c>
      <c r="CY28" t="s">
        <v>163</v>
      </c>
      <c r="CZ28">
        <v>0</v>
      </c>
      <c r="DA28">
        <v>3.3882303846220498E-3</v>
      </c>
      <c r="DB28">
        <v>0.12949498174236804</v>
      </c>
      <c r="DC28">
        <v>0.15569502207632652</v>
      </c>
      <c r="DD28">
        <v>4.3927042821495378E-2</v>
      </c>
      <c r="DE28">
        <v>0</v>
      </c>
      <c r="DF28">
        <v>1.5593905985401273E-6</v>
      </c>
      <c r="DG28">
        <v>0.19095378964665652</v>
      </c>
      <c r="DH28">
        <v>0.44840160418538627</v>
      </c>
      <c r="DI28">
        <v>0.42535778450240075</v>
      </c>
      <c r="DJ28">
        <v>0.29516459999056821</v>
      </c>
      <c r="DK28">
        <v>5.5011794941981336E-2</v>
      </c>
      <c r="DL28">
        <v>9.2750008073878907E-4</v>
      </c>
      <c r="DM28">
        <v>0.28542035905365226</v>
      </c>
      <c r="DN28">
        <v>0.50419895996757291</v>
      </c>
      <c r="DO28">
        <v>0.485908973007662</v>
      </c>
      <c r="DP28">
        <v>0.38765434217939609</v>
      </c>
      <c r="DQ28">
        <v>0.12455545846877895</v>
      </c>
      <c r="DR28">
        <v>0</v>
      </c>
      <c r="DS28">
        <v>6.4369891767543763E-2</v>
      </c>
      <c r="DT28">
        <v>0.24199320293638285</v>
      </c>
      <c r="DU28">
        <v>0.24451278901481474</v>
      </c>
      <c r="DV28">
        <v>0.1303685381478176</v>
      </c>
      <c r="DW28">
        <v>6.5210918965257934E-3</v>
      </c>
      <c r="DY28" t="s">
        <v>163</v>
      </c>
      <c r="DZ28" t="s">
        <v>201</v>
      </c>
      <c r="EA28" t="s">
        <v>202</v>
      </c>
      <c r="EB28">
        <v>0.44920085111757052</v>
      </c>
    </row>
    <row r="29" spans="22:132" x14ac:dyDescent="0.25">
      <c r="V29" t="s">
        <v>164</v>
      </c>
      <c r="W29" t="s">
        <v>31</v>
      </c>
      <c r="X29">
        <v>0</v>
      </c>
      <c r="Y29">
        <v>0.92129590290714758</v>
      </c>
      <c r="Z29">
        <v>0.29519422154369812</v>
      </c>
      <c r="AA29">
        <v>0.22887510662762328</v>
      </c>
      <c r="AB29">
        <v>0.54345497445399193</v>
      </c>
      <c r="AC29">
        <v>0</v>
      </c>
      <c r="AD29">
        <v>0</v>
      </c>
      <c r="AE29">
        <v>0.48056981488362277</v>
      </c>
      <c r="AF29">
        <v>0.22822861142889272</v>
      </c>
      <c r="AG29">
        <v>0.17952458637753985</v>
      </c>
      <c r="AH29">
        <v>0.26970510108338669</v>
      </c>
      <c r="AI29">
        <v>0.65936046734065623</v>
      </c>
      <c r="AJ29">
        <v>0</v>
      </c>
      <c r="AK29">
        <v>0.28965907340642921</v>
      </c>
      <c r="AL29">
        <v>0.13219575796363259</v>
      </c>
      <c r="AM29">
        <v>0.1026970738056676</v>
      </c>
      <c r="AN29">
        <v>0.15302007532420694</v>
      </c>
      <c r="AO29">
        <v>0.38116469660288299</v>
      </c>
      <c r="AP29">
        <v>0</v>
      </c>
      <c r="AQ29">
        <v>0.65862109827093762</v>
      </c>
      <c r="AR29">
        <v>0.26559902865956042</v>
      </c>
      <c r="AS29">
        <v>0.22781299001894556</v>
      </c>
      <c r="AT29">
        <v>0.43693064326413789</v>
      </c>
      <c r="AU29">
        <v>0.93956356228700089</v>
      </c>
      <c r="CY29" t="s">
        <v>164</v>
      </c>
      <c r="CZ29">
        <v>0</v>
      </c>
      <c r="DA29">
        <v>4.3366013916596455E-3</v>
      </c>
      <c r="DB29">
        <v>0.14952763742898861</v>
      </c>
      <c r="DC29">
        <v>0.17543506572995873</v>
      </c>
      <c r="DD29">
        <v>5.472379749254986E-2</v>
      </c>
      <c r="DE29">
        <v>0</v>
      </c>
      <c r="DF29">
        <v>0</v>
      </c>
      <c r="DG29">
        <v>0.17909623393569465</v>
      </c>
      <c r="DH29">
        <v>0.42999520239463257</v>
      </c>
      <c r="DI29">
        <v>0.41370767649490342</v>
      </c>
      <c r="DJ29">
        <v>0.28651410811044786</v>
      </c>
      <c r="DK29">
        <v>5.1015568062912318E-2</v>
      </c>
      <c r="DL29">
        <v>0</v>
      </c>
      <c r="DM29">
        <v>0.27133368216225312</v>
      </c>
      <c r="DN29">
        <v>0.49994322517043077</v>
      </c>
      <c r="DO29">
        <v>0.48120300368630642</v>
      </c>
      <c r="DP29">
        <v>0.37833338224096841</v>
      </c>
      <c r="DQ29">
        <v>0.11703037319699931</v>
      </c>
      <c r="DR29">
        <v>0</v>
      </c>
      <c r="DS29">
        <v>6.7575563091716598E-2</v>
      </c>
      <c r="DT29">
        <v>0.26263957058034632</v>
      </c>
      <c r="DU29">
        <v>0.25685397226250206</v>
      </c>
      <c r="DV29">
        <v>0.13705698411383074</v>
      </c>
      <c r="DW29">
        <v>7.3102031528765616E-3</v>
      </c>
      <c r="DY29" t="s">
        <v>164</v>
      </c>
      <c r="DZ29" t="s">
        <v>201</v>
      </c>
      <c r="EA29" t="s">
        <v>202</v>
      </c>
      <c r="EB29">
        <v>0.43544118607114773</v>
      </c>
    </row>
    <row r="30" spans="22:132" x14ac:dyDescent="0.25">
      <c r="V30" t="s">
        <v>165</v>
      </c>
      <c r="W30" t="s">
        <v>31</v>
      </c>
      <c r="X30">
        <v>0</v>
      </c>
      <c r="Y30">
        <v>0.91380842417940766</v>
      </c>
      <c r="Z30">
        <v>0.31833607046015228</v>
      </c>
      <c r="AA30">
        <v>0.24230304961326715</v>
      </c>
      <c r="AB30">
        <v>0.57167077021568824</v>
      </c>
      <c r="AC30">
        <v>0</v>
      </c>
      <c r="AD30">
        <v>0.99864130434782605</v>
      </c>
      <c r="AE30">
        <v>0.45729754235182696</v>
      </c>
      <c r="AF30">
        <v>0.22279522308676661</v>
      </c>
      <c r="AG30">
        <v>0.18556875564897313</v>
      </c>
      <c r="AH30">
        <v>0.27292818934292357</v>
      </c>
      <c r="AI30">
        <v>0.65648576784681834</v>
      </c>
      <c r="AJ30">
        <v>0.95865838466663766</v>
      </c>
      <c r="AK30">
        <v>0.26635053644679096</v>
      </c>
      <c r="AL30">
        <v>0.12322707795029841</v>
      </c>
      <c r="AM30">
        <v>0.10817876975692262</v>
      </c>
      <c r="AN30">
        <v>0.16055808893656137</v>
      </c>
      <c r="AO30">
        <v>0.38404088299611538</v>
      </c>
      <c r="AP30">
        <v>0</v>
      </c>
      <c r="AQ30">
        <v>0.64155002745439593</v>
      </c>
      <c r="AR30">
        <v>0.27434920919501127</v>
      </c>
      <c r="AS30">
        <v>0.23870847997915459</v>
      </c>
      <c r="AT30">
        <v>0.4368901270679364</v>
      </c>
      <c r="AU30">
        <v>0.94596518993501633</v>
      </c>
      <c r="CY30" t="s">
        <v>165</v>
      </c>
      <c r="CZ30">
        <v>0</v>
      </c>
      <c r="DA30">
        <v>4.4903859716989908E-3</v>
      </c>
      <c r="DB30">
        <v>0.14007382311025371</v>
      </c>
      <c r="DC30">
        <v>0.16262100542239483</v>
      </c>
      <c r="DD30">
        <v>4.3751573726793419E-2</v>
      </c>
      <c r="DE30">
        <v>0</v>
      </c>
      <c r="DF30">
        <v>7.4594790948747028E-7</v>
      </c>
      <c r="DG30">
        <v>0.19881740852125249</v>
      </c>
      <c r="DH30">
        <v>0.43859152645982763</v>
      </c>
      <c r="DI30">
        <v>0.41897336834775889</v>
      </c>
      <c r="DJ30">
        <v>0.29676851368191171</v>
      </c>
      <c r="DK30">
        <v>5.0430426708908883E-2</v>
      </c>
      <c r="DL30">
        <v>1.1504895124261985E-3</v>
      </c>
      <c r="DM30">
        <v>0.28781503252058982</v>
      </c>
      <c r="DN30">
        <v>0.499624240935026</v>
      </c>
      <c r="DO30">
        <v>0.47840088830527688</v>
      </c>
      <c r="DP30">
        <v>0.37709913178440302</v>
      </c>
      <c r="DQ30">
        <v>0.11667334350378324</v>
      </c>
      <c r="DR30">
        <v>0</v>
      </c>
      <c r="DS30">
        <v>6.8496281953887711E-2</v>
      </c>
      <c r="DT30">
        <v>0.25542323556282276</v>
      </c>
      <c r="DU30">
        <v>0.2461884506577183</v>
      </c>
      <c r="DV30">
        <v>0.12607100355697534</v>
      </c>
      <c r="DW30">
        <v>5.8563413671136409E-3</v>
      </c>
      <c r="DY30" t="s">
        <v>165</v>
      </c>
      <c r="DZ30" t="s">
        <v>201</v>
      </c>
      <c r="EA30" t="s">
        <v>202</v>
      </c>
      <c r="EB30">
        <v>0.44141185942327849</v>
      </c>
    </row>
    <row r="31" spans="22:132" x14ac:dyDescent="0.25">
      <c r="V31" t="s">
        <v>166</v>
      </c>
      <c r="W31" t="s">
        <v>31</v>
      </c>
      <c r="X31">
        <v>0.34691623470323124</v>
      </c>
      <c r="Y31">
        <v>0.3563048108757037</v>
      </c>
      <c r="Z31">
        <v>0.34559379679584057</v>
      </c>
      <c r="AA31">
        <v>0.3600363436271577</v>
      </c>
      <c r="AB31">
        <v>0.34887064800184708</v>
      </c>
      <c r="AC31">
        <v>0.33582328413186768</v>
      </c>
      <c r="AD31">
        <v>0.32941955722982813</v>
      </c>
      <c r="AE31">
        <v>0.33733671912853863</v>
      </c>
      <c r="AF31">
        <v>0.38791217357896324</v>
      </c>
      <c r="AG31">
        <v>0.39650875856489459</v>
      </c>
      <c r="AH31">
        <v>0.38602843396030057</v>
      </c>
      <c r="AI31">
        <v>0.37060118726063851</v>
      </c>
      <c r="AJ31">
        <v>0.42002200955966956</v>
      </c>
      <c r="AK31">
        <v>0.45450343272569876</v>
      </c>
      <c r="AL31">
        <v>0.4819374381732679</v>
      </c>
      <c r="AM31">
        <v>0.46995755761120289</v>
      </c>
      <c r="AN31">
        <v>0.42737594544376301</v>
      </c>
      <c r="AO31">
        <v>0.41326069435346219</v>
      </c>
      <c r="AP31">
        <v>0.37303038576872388</v>
      </c>
      <c r="AQ31">
        <v>0.38327134291192366</v>
      </c>
      <c r="AR31">
        <v>0.41180176667574325</v>
      </c>
      <c r="AS31">
        <v>0.42948466595488188</v>
      </c>
      <c r="AT31">
        <v>0.41630686041671405</v>
      </c>
      <c r="AU31">
        <v>0.36360544695394986</v>
      </c>
      <c r="CY31" t="s">
        <v>166</v>
      </c>
      <c r="CZ31">
        <v>0.42107814545863659</v>
      </c>
      <c r="DA31">
        <v>0.41257639007937846</v>
      </c>
      <c r="DB31">
        <v>0.40371328711906168</v>
      </c>
      <c r="DC31">
        <v>0.38214292674508482</v>
      </c>
      <c r="DD31">
        <v>0.40349845435903986</v>
      </c>
      <c r="DE31">
        <v>0.42908780564487486</v>
      </c>
      <c r="DF31">
        <v>0.30295567443154142</v>
      </c>
      <c r="DG31">
        <v>0.27673933645029225</v>
      </c>
      <c r="DH31">
        <v>0.23675379605071525</v>
      </c>
      <c r="DI31">
        <v>0.2420892358779988</v>
      </c>
      <c r="DJ31">
        <v>0.2601277392882948</v>
      </c>
      <c r="DK31">
        <v>0.28907823011664252</v>
      </c>
      <c r="DL31">
        <v>0.1737753784989822</v>
      </c>
      <c r="DM31">
        <v>0.15926948912049099</v>
      </c>
      <c r="DN31">
        <v>0.15280297660271852</v>
      </c>
      <c r="DO31">
        <v>0.17178933372599772</v>
      </c>
      <c r="DP31">
        <v>0.19561067046488509</v>
      </c>
      <c r="DQ31">
        <v>0.17842432021214005</v>
      </c>
      <c r="DR31">
        <v>0.33367841344369925</v>
      </c>
      <c r="DS31">
        <v>0.31167496018890534</v>
      </c>
      <c r="DT31">
        <v>0.30266894998287991</v>
      </c>
      <c r="DU31">
        <v>0.30399890024766879</v>
      </c>
      <c r="DV31">
        <v>0.32908524420754315</v>
      </c>
      <c r="DW31">
        <v>0.35218295447177311</v>
      </c>
      <c r="DY31" t="s">
        <v>176</v>
      </c>
      <c r="DZ31" t="s">
        <v>201</v>
      </c>
      <c r="EA31" t="s">
        <v>202</v>
      </c>
      <c r="EB31">
        <v>0.44328178316793598</v>
      </c>
    </row>
    <row r="32" spans="22:132" x14ac:dyDescent="0.25">
      <c r="V32" t="s">
        <v>167</v>
      </c>
      <c r="W32" t="s">
        <v>31</v>
      </c>
      <c r="X32">
        <v>0.29319945012932369</v>
      </c>
      <c r="Y32">
        <v>0.30457303677948044</v>
      </c>
      <c r="Z32">
        <v>0.2814327551469768</v>
      </c>
      <c r="AA32">
        <v>0.306855596836214</v>
      </c>
      <c r="AB32">
        <v>0.27997404310016483</v>
      </c>
      <c r="AC32">
        <v>0.26495803684128078</v>
      </c>
      <c r="AD32">
        <v>0.29928617921976247</v>
      </c>
      <c r="AE32">
        <v>0.29967102496050374</v>
      </c>
      <c r="AF32">
        <v>0.34062508607613678</v>
      </c>
      <c r="AG32">
        <v>0.35689219990028748</v>
      </c>
      <c r="AH32">
        <v>0.33530424323007518</v>
      </c>
      <c r="AI32">
        <v>0.32449944313499002</v>
      </c>
      <c r="AJ32">
        <v>0.39360917533246664</v>
      </c>
      <c r="AK32">
        <v>0.40219912771312438</v>
      </c>
      <c r="AL32">
        <v>0.42630601025630405</v>
      </c>
      <c r="AM32">
        <v>0.43551755996569669</v>
      </c>
      <c r="AN32">
        <v>0.40091891393565748</v>
      </c>
      <c r="AO32">
        <v>0.38260132434399236</v>
      </c>
      <c r="AP32">
        <v>0.34460447917199261</v>
      </c>
      <c r="AQ32">
        <v>0.34274896360666401</v>
      </c>
      <c r="AR32">
        <v>0.33856680663487293</v>
      </c>
      <c r="AS32">
        <v>0.36075277668531225</v>
      </c>
      <c r="AT32">
        <v>0.35601115426934482</v>
      </c>
      <c r="AU32">
        <v>0.33562682663867932</v>
      </c>
      <c r="CY32" t="s">
        <v>167</v>
      </c>
      <c r="CZ32">
        <v>0.59969972935804683</v>
      </c>
      <c r="DA32">
        <v>0.59157273188970616</v>
      </c>
      <c r="DB32">
        <v>0.60420285573560983</v>
      </c>
      <c r="DC32">
        <v>0.57803810396648536</v>
      </c>
      <c r="DD32">
        <v>0.60346592071120064</v>
      </c>
      <c r="DE32">
        <v>0.6252011711639337</v>
      </c>
      <c r="DF32">
        <v>0.52590264673686904</v>
      </c>
      <c r="DG32">
        <v>0.50692126203594945</v>
      </c>
      <c r="DH32">
        <v>0.46462312667310046</v>
      </c>
      <c r="DI32">
        <v>0.42084489208601816</v>
      </c>
      <c r="DJ32">
        <v>0.46604584642060215</v>
      </c>
      <c r="DK32">
        <v>0.51744818751076982</v>
      </c>
      <c r="DL32">
        <v>0.33404486373106035</v>
      </c>
      <c r="DM32">
        <v>0.32402113905335561</v>
      </c>
      <c r="DN32">
        <v>0.2976215573079603</v>
      </c>
      <c r="DO32">
        <v>0.29909754004854755</v>
      </c>
      <c r="DP32">
        <v>0.34044573991344967</v>
      </c>
      <c r="DQ32">
        <v>0.33952239572221687</v>
      </c>
      <c r="DR32">
        <v>0.49873357998615464</v>
      </c>
      <c r="DS32">
        <v>0.49398883459913001</v>
      </c>
      <c r="DT32">
        <v>0.49971134903166969</v>
      </c>
      <c r="DU32">
        <v>0.48418141013989391</v>
      </c>
      <c r="DV32">
        <v>0.49748770518867963</v>
      </c>
      <c r="DW32">
        <v>0.52225297810498805</v>
      </c>
      <c r="DY32" t="s">
        <v>177</v>
      </c>
      <c r="DZ32" t="s">
        <v>201</v>
      </c>
      <c r="EA32" t="s">
        <v>202</v>
      </c>
      <c r="EB32">
        <v>0.42207324731918372</v>
      </c>
    </row>
    <row r="33" spans="22:132" x14ac:dyDescent="0.25">
      <c r="V33" t="s">
        <v>168</v>
      </c>
      <c r="W33" t="s">
        <v>31</v>
      </c>
      <c r="X33">
        <v>0.31274113943242365</v>
      </c>
      <c r="Y33">
        <v>0.32410347344785911</v>
      </c>
      <c r="Z33">
        <v>0.30901727152704878</v>
      </c>
      <c r="AA33">
        <v>0.32560435002534821</v>
      </c>
      <c r="AB33">
        <v>0.30722219395174072</v>
      </c>
      <c r="AC33">
        <v>0.29452032045265814</v>
      </c>
      <c r="AD33">
        <v>0.31352432008142261</v>
      </c>
      <c r="AE33">
        <v>0.31594845423441192</v>
      </c>
      <c r="AF33">
        <v>0.36253974873990052</v>
      </c>
      <c r="AG33">
        <v>0.37454488225415045</v>
      </c>
      <c r="AH33">
        <v>0.34973464913351326</v>
      </c>
      <c r="AI33">
        <v>0.34972617853906901</v>
      </c>
      <c r="AJ33">
        <v>0.41482155106821217</v>
      </c>
      <c r="AK33">
        <v>0.42699825408895997</v>
      </c>
      <c r="AL33">
        <v>0.45221366334331886</v>
      </c>
      <c r="AM33">
        <v>0.45530623936391351</v>
      </c>
      <c r="AN33">
        <v>0.4024890575880683</v>
      </c>
      <c r="AO33">
        <v>0.39800646078788943</v>
      </c>
      <c r="AP33">
        <v>0.3575092851143935</v>
      </c>
      <c r="AQ33">
        <v>0.36248137086273619</v>
      </c>
      <c r="AR33">
        <v>0.37119921579360671</v>
      </c>
      <c r="AS33">
        <v>0.39316840502385675</v>
      </c>
      <c r="AT33">
        <v>0.37973588962316629</v>
      </c>
      <c r="AU33">
        <v>0.3437006752679283</v>
      </c>
      <c r="CY33" t="s">
        <v>168</v>
      </c>
      <c r="CZ33">
        <v>0.52977236341992717</v>
      </c>
      <c r="DA33">
        <v>0.51732272105562582</v>
      </c>
      <c r="DB33">
        <v>0.51717107501079262</v>
      </c>
      <c r="DC33">
        <v>0.49286712875597516</v>
      </c>
      <c r="DD33">
        <v>0.51950636140620921</v>
      </c>
      <c r="DE33">
        <v>0.54635029421576531</v>
      </c>
      <c r="DF33">
        <v>0.42166064714670126</v>
      </c>
      <c r="DG33">
        <v>0.40048450694310916</v>
      </c>
      <c r="DH33">
        <v>0.35230376502278321</v>
      </c>
      <c r="DI33">
        <v>0.32474375169314512</v>
      </c>
      <c r="DJ33">
        <v>0.36294335967817609</v>
      </c>
      <c r="DK33">
        <v>0.40652469907719502</v>
      </c>
      <c r="DL33">
        <v>0.25644848849599944</v>
      </c>
      <c r="DM33">
        <v>0.24804080332790535</v>
      </c>
      <c r="DN33">
        <v>0.22901028617798255</v>
      </c>
      <c r="DO33">
        <v>0.2374995351319939</v>
      </c>
      <c r="DP33">
        <v>0.27687894531847557</v>
      </c>
      <c r="DQ33">
        <v>0.26465446236913437</v>
      </c>
      <c r="DR33">
        <v>0.42947842137055398</v>
      </c>
      <c r="DS33">
        <v>0.41557884593066396</v>
      </c>
      <c r="DT33">
        <v>0.41078866658588548</v>
      </c>
      <c r="DU33">
        <v>0.40098794715478869</v>
      </c>
      <c r="DV33">
        <v>0.42861159444630947</v>
      </c>
      <c r="DW33">
        <v>0.45452071052597803</v>
      </c>
      <c r="DY33" t="s">
        <v>178</v>
      </c>
      <c r="DZ33" t="s">
        <v>201</v>
      </c>
      <c r="EA33" t="s">
        <v>202</v>
      </c>
      <c r="EB33">
        <v>0.43546879210436829</v>
      </c>
    </row>
    <row r="34" spans="22:132" x14ac:dyDescent="0.25">
      <c r="V34" t="s">
        <v>169</v>
      </c>
      <c r="W34" t="s">
        <v>31</v>
      </c>
      <c r="X34">
        <v>0.30188063546359545</v>
      </c>
      <c r="Y34">
        <v>0.29868234268044008</v>
      </c>
      <c r="Z34">
        <v>0.30662377581394978</v>
      </c>
      <c r="AA34">
        <v>0.30314700159181723</v>
      </c>
      <c r="AB34">
        <v>0.27411356269489523</v>
      </c>
      <c r="AC34">
        <v>0.27959286779219039</v>
      </c>
      <c r="AD34">
        <v>0.2731582547753208</v>
      </c>
      <c r="AE34">
        <v>0.32658408616787438</v>
      </c>
      <c r="AF34">
        <v>0.33731200577370674</v>
      </c>
      <c r="AG34">
        <v>0.35377769817057358</v>
      </c>
      <c r="AH34">
        <v>0.32201175138883426</v>
      </c>
      <c r="AI34">
        <v>0.28543295760066406</v>
      </c>
      <c r="AJ34">
        <v>0.34738435784610983</v>
      </c>
      <c r="AK34">
        <v>0.34706945667786876</v>
      </c>
      <c r="AL34">
        <v>0.37792291365269565</v>
      </c>
      <c r="AM34">
        <v>0.38990512983063608</v>
      </c>
      <c r="AN34">
        <v>0.38165530456898589</v>
      </c>
      <c r="AO34">
        <v>0.37769034020345266</v>
      </c>
      <c r="AP34">
        <v>0.33586448408071445</v>
      </c>
      <c r="AQ34">
        <v>0.3223876084041935</v>
      </c>
      <c r="AR34">
        <v>0.32461704581581058</v>
      </c>
      <c r="AS34">
        <v>0.34293352542568512</v>
      </c>
      <c r="AT34">
        <v>0.35601560773227031</v>
      </c>
      <c r="AU34">
        <v>0.35064654128343009</v>
      </c>
      <c r="CY34" t="s">
        <v>169</v>
      </c>
      <c r="CZ34">
        <v>0.59023356161365215</v>
      </c>
      <c r="DA34">
        <v>0.60736371555055313</v>
      </c>
      <c r="DB34">
        <v>0.60831081168350143</v>
      </c>
      <c r="DC34">
        <v>0.61040190670583461</v>
      </c>
      <c r="DD34">
        <v>0.62353584137395912</v>
      </c>
      <c r="DE34">
        <v>0.62587310452333289</v>
      </c>
      <c r="DF34">
        <v>0.58398151296469247</v>
      </c>
      <c r="DG34">
        <v>0.53757153530973734</v>
      </c>
      <c r="DH34">
        <v>0.51834246617046698</v>
      </c>
      <c r="DI34">
        <v>0.50682417088205844</v>
      </c>
      <c r="DJ34">
        <v>0.54441895797272943</v>
      </c>
      <c r="DK34">
        <v>0.58317247715195297</v>
      </c>
      <c r="DL34">
        <v>0.38398129407491999</v>
      </c>
      <c r="DM34">
        <v>0.35865661264320159</v>
      </c>
      <c r="DN34">
        <v>0.34744085655013063</v>
      </c>
      <c r="DO34">
        <v>0.34562796916610777</v>
      </c>
      <c r="DP34">
        <v>0.35688811076833782</v>
      </c>
      <c r="DQ34">
        <v>0.35822930669079278</v>
      </c>
      <c r="DR34">
        <v>0.53729141444032236</v>
      </c>
      <c r="DS34">
        <v>0.53767208824641921</v>
      </c>
      <c r="DT34">
        <v>0.55350609573383736</v>
      </c>
      <c r="DU34">
        <v>0.53085580259207543</v>
      </c>
      <c r="DV34">
        <v>0.52131194805387804</v>
      </c>
      <c r="DW34">
        <v>0.52756172428781267</v>
      </c>
      <c r="DY34" t="s">
        <v>179</v>
      </c>
      <c r="DZ34" t="s">
        <v>201</v>
      </c>
      <c r="EA34" t="s">
        <v>202</v>
      </c>
      <c r="EB34">
        <v>0.46273196495251684</v>
      </c>
    </row>
    <row r="35" spans="22:132" x14ac:dyDescent="0.25">
      <c r="V35" t="s">
        <v>170</v>
      </c>
      <c r="W35" t="s">
        <v>31</v>
      </c>
      <c r="X35">
        <v>0.30080108845755799</v>
      </c>
      <c r="Y35">
        <v>0.30119275729603479</v>
      </c>
      <c r="Z35">
        <v>0.28164651449007044</v>
      </c>
      <c r="AA35">
        <v>0.30200716222968005</v>
      </c>
      <c r="AB35">
        <v>0.28174487775002288</v>
      </c>
      <c r="AC35">
        <v>0.28011531102046572</v>
      </c>
      <c r="AD35">
        <v>0.28777847300480952</v>
      </c>
      <c r="AE35">
        <v>0.31731130424992304</v>
      </c>
      <c r="AF35">
        <v>0.34603675947907864</v>
      </c>
      <c r="AG35">
        <v>0.36514874974681732</v>
      </c>
      <c r="AH35">
        <v>0.33615729720881726</v>
      </c>
      <c r="AI35">
        <v>0.30346662790010043</v>
      </c>
      <c r="AJ35">
        <v>0.36051340518412367</v>
      </c>
      <c r="AK35">
        <v>0.3748223294888251</v>
      </c>
      <c r="AL35">
        <v>0.41574968053852535</v>
      </c>
      <c r="AM35">
        <v>0.42455966402156797</v>
      </c>
      <c r="AN35">
        <v>0.40905693532363341</v>
      </c>
      <c r="AO35">
        <v>0.37673951079048007</v>
      </c>
      <c r="AP35">
        <v>0.34633623738550362</v>
      </c>
      <c r="AQ35">
        <v>0.33094149758237923</v>
      </c>
      <c r="AR35">
        <v>0.32674269800021211</v>
      </c>
      <c r="AS35">
        <v>0.33450072556263599</v>
      </c>
      <c r="AT35">
        <v>0.34002169830588985</v>
      </c>
      <c r="AU35">
        <v>0.33783004402748951</v>
      </c>
      <c r="CY35" t="s">
        <v>170</v>
      </c>
      <c r="CZ35">
        <v>0.60213386970486182</v>
      </c>
      <c r="DA35">
        <v>0.60736450635804107</v>
      </c>
      <c r="DB35">
        <v>0.62219827878871214</v>
      </c>
      <c r="DC35">
        <v>0.60242157972701038</v>
      </c>
      <c r="DD35">
        <v>0.61069812759301334</v>
      </c>
      <c r="DE35">
        <v>0.62458061588113156</v>
      </c>
      <c r="DF35">
        <v>0.56636772073903241</v>
      </c>
      <c r="DG35">
        <v>0.52318399640408264</v>
      </c>
      <c r="DH35">
        <v>0.50394532731735209</v>
      </c>
      <c r="DI35">
        <v>0.48502096828257873</v>
      </c>
      <c r="DJ35">
        <v>0.52789113181735892</v>
      </c>
      <c r="DK35">
        <v>0.56871202714992042</v>
      </c>
      <c r="DL35">
        <v>0.3561203537171021</v>
      </c>
      <c r="DM35">
        <v>0.33712044708349131</v>
      </c>
      <c r="DN35">
        <v>0.32316347095744907</v>
      </c>
      <c r="DO35">
        <v>0.33648988851529554</v>
      </c>
      <c r="DP35">
        <v>0.3663989174070682</v>
      </c>
      <c r="DQ35">
        <v>0.35163751728379505</v>
      </c>
      <c r="DR35">
        <v>0.51784283841197143</v>
      </c>
      <c r="DS35">
        <v>0.52644769344947406</v>
      </c>
      <c r="DT35">
        <v>0.54243410888389687</v>
      </c>
      <c r="DU35">
        <v>0.53107116708922741</v>
      </c>
      <c r="DV35">
        <v>0.52661779989538271</v>
      </c>
      <c r="DW35">
        <v>0.53460793995463218</v>
      </c>
      <c r="DY35" t="s">
        <v>180</v>
      </c>
      <c r="DZ35" t="s">
        <v>201</v>
      </c>
      <c r="EA35" t="s">
        <v>202</v>
      </c>
      <c r="EB35">
        <v>0.45361718296635917</v>
      </c>
    </row>
    <row r="36" spans="22:132" x14ac:dyDescent="0.25">
      <c r="V36" t="s">
        <v>171</v>
      </c>
      <c r="W36" t="s">
        <v>31</v>
      </c>
      <c r="X36">
        <v>0.30525499314401128</v>
      </c>
      <c r="Y36">
        <v>0.31582708931795556</v>
      </c>
      <c r="Z36">
        <v>0.29824252766616793</v>
      </c>
      <c r="AA36">
        <v>0.31103529686601022</v>
      </c>
      <c r="AB36">
        <v>0.28755195341848244</v>
      </c>
      <c r="AC36">
        <v>0.27070395860836632</v>
      </c>
      <c r="AD36">
        <v>0.28953215767504126</v>
      </c>
      <c r="AE36">
        <v>0.32448297384609648</v>
      </c>
      <c r="AF36">
        <v>0.3422789954912504</v>
      </c>
      <c r="AG36">
        <v>0.35316369801134806</v>
      </c>
      <c r="AH36">
        <v>0.33541804256951696</v>
      </c>
      <c r="AI36">
        <v>0.31905294760826014</v>
      </c>
      <c r="AJ36">
        <v>0.3587806261230701</v>
      </c>
      <c r="AK36">
        <v>0.36074909342915623</v>
      </c>
      <c r="AL36">
        <v>0.40720481440600931</v>
      </c>
      <c r="AM36">
        <v>0.40461620883585592</v>
      </c>
      <c r="AN36">
        <v>0.38345316161549475</v>
      </c>
      <c r="AO36">
        <v>0.40042464159983104</v>
      </c>
      <c r="AP36">
        <v>0.34469690436968026</v>
      </c>
      <c r="AQ36">
        <v>0.3353300569649369</v>
      </c>
      <c r="AR36">
        <v>0.33088602924516847</v>
      </c>
      <c r="AS36">
        <v>0.34497822984739929</v>
      </c>
      <c r="AT36">
        <v>0.35196461613593516</v>
      </c>
      <c r="AU36">
        <v>0.34586054259693372</v>
      </c>
      <c r="CY36" t="s">
        <v>171</v>
      </c>
      <c r="CZ36">
        <v>0.58070782885961691</v>
      </c>
      <c r="DA36">
        <v>0.58839294339306836</v>
      </c>
      <c r="DB36">
        <v>0.59442355656815848</v>
      </c>
      <c r="DC36">
        <v>0.58126892369447547</v>
      </c>
      <c r="DD36">
        <v>0.60115307152297359</v>
      </c>
      <c r="DE36">
        <v>0.61523330133739795</v>
      </c>
      <c r="DF36">
        <v>0.53110471460579389</v>
      </c>
      <c r="DG36">
        <v>0.49437259249414472</v>
      </c>
      <c r="DH36">
        <v>0.47579867663567471</v>
      </c>
      <c r="DI36">
        <v>0.46306605247000443</v>
      </c>
      <c r="DJ36">
        <v>0.49632361836133043</v>
      </c>
      <c r="DK36">
        <v>0.52120082917373645</v>
      </c>
      <c r="DL36">
        <v>0.33296744993452687</v>
      </c>
      <c r="DM36">
        <v>0.32473004310286568</v>
      </c>
      <c r="DN36">
        <v>0.31196306605821217</v>
      </c>
      <c r="DO36">
        <v>0.32882176543099356</v>
      </c>
      <c r="DP36">
        <v>0.34117917177476936</v>
      </c>
      <c r="DQ36">
        <v>0.31924879066753148</v>
      </c>
      <c r="DR36">
        <v>0.49808887648209998</v>
      </c>
      <c r="DS36">
        <v>0.497580673508351</v>
      </c>
      <c r="DT36">
        <v>0.50932754925464163</v>
      </c>
      <c r="DU36">
        <v>0.49382245218484411</v>
      </c>
      <c r="DV36">
        <v>0.49534314153262143</v>
      </c>
      <c r="DW36">
        <v>0.50644825539088945</v>
      </c>
      <c r="DY36" t="s">
        <v>181</v>
      </c>
      <c r="DZ36" t="s">
        <v>201</v>
      </c>
      <c r="EA36" t="s">
        <v>202</v>
      </c>
      <c r="EB36">
        <v>0.44979337501045064</v>
      </c>
    </row>
    <row r="37" spans="22:132" x14ac:dyDescent="0.25">
      <c r="V37" t="s">
        <v>172</v>
      </c>
      <c r="W37" t="s">
        <v>31</v>
      </c>
      <c r="X37">
        <v>0.3309624913762374</v>
      </c>
      <c r="Y37">
        <v>0.33274302231403841</v>
      </c>
      <c r="Z37">
        <v>0.33043592782174375</v>
      </c>
      <c r="AA37">
        <v>0.32623322672469268</v>
      </c>
      <c r="AB37">
        <v>0.30735282269406006</v>
      </c>
      <c r="AC37">
        <v>0.2966949222128345</v>
      </c>
      <c r="AD37">
        <v>0.31910495052210341</v>
      </c>
      <c r="AE37">
        <v>0.35747782139003137</v>
      </c>
      <c r="AF37">
        <v>0.37368905791101659</v>
      </c>
      <c r="AG37">
        <v>0.37518197366397005</v>
      </c>
      <c r="AH37">
        <v>0.3670528640583835</v>
      </c>
      <c r="AI37">
        <v>0.34276231880348584</v>
      </c>
      <c r="AJ37">
        <v>0.4001059535388885</v>
      </c>
      <c r="AK37">
        <v>0.41888580704284695</v>
      </c>
      <c r="AL37">
        <v>0.43852315988426571</v>
      </c>
      <c r="AM37">
        <v>0.45514222992386943</v>
      </c>
      <c r="AN37">
        <v>0.43082153853490651</v>
      </c>
      <c r="AO37">
        <v>0.42043537653414825</v>
      </c>
      <c r="AP37">
        <v>0.32799565667553188</v>
      </c>
      <c r="AQ37">
        <v>0.32245575799334358</v>
      </c>
      <c r="AR37">
        <v>0.35884412915147262</v>
      </c>
      <c r="AS37">
        <v>0.37851705844428984</v>
      </c>
      <c r="AT37">
        <v>0.37069267289665558</v>
      </c>
      <c r="AU37">
        <v>0.33795003179861055</v>
      </c>
      <c r="CY37" t="s">
        <v>172</v>
      </c>
      <c r="CZ37">
        <v>0.46407757023016938</v>
      </c>
      <c r="DA37">
        <v>0.46802456362121192</v>
      </c>
      <c r="DB37">
        <v>0.47519552408850985</v>
      </c>
      <c r="DC37">
        <v>0.49048087883803815</v>
      </c>
      <c r="DD37">
        <v>0.50105634407557986</v>
      </c>
      <c r="DE37">
        <v>0.51226688952260158</v>
      </c>
      <c r="DF37">
        <v>0.3823053882969043</v>
      </c>
      <c r="DG37">
        <v>0.3508617776511892</v>
      </c>
      <c r="DH37">
        <v>0.33366698263085143</v>
      </c>
      <c r="DI37">
        <v>0.34157943557779963</v>
      </c>
      <c r="DJ37">
        <v>0.35945363784573142</v>
      </c>
      <c r="DK37">
        <v>0.3902629070000509</v>
      </c>
      <c r="DL37">
        <v>0.26392250592407435</v>
      </c>
      <c r="DM37">
        <v>0.25914514679042172</v>
      </c>
      <c r="DN37">
        <v>0.26037579915687115</v>
      </c>
      <c r="DO37">
        <v>0.2465832500609843</v>
      </c>
      <c r="DP37">
        <v>0.25625559751028287</v>
      </c>
      <c r="DQ37">
        <v>0.26237065734698178</v>
      </c>
      <c r="DR37">
        <v>0.42358638008507732</v>
      </c>
      <c r="DS37">
        <v>0.40606671346805401</v>
      </c>
      <c r="DT37">
        <v>0.41722855384237223</v>
      </c>
      <c r="DU37">
        <v>0.40209185398093528</v>
      </c>
      <c r="DV37">
        <v>0.40906736923568926</v>
      </c>
      <c r="DW37">
        <v>0.45286466472483072</v>
      </c>
      <c r="DY37" t="s">
        <v>182</v>
      </c>
      <c r="DZ37" t="s">
        <v>201</v>
      </c>
      <c r="EA37" t="s">
        <v>202</v>
      </c>
      <c r="EB37">
        <v>0.45861437361135005</v>
      </c>
    </row>
    <row r="38" spans="22:132" x14ac:dyDescent="0.25">
      <c r="V38" t="s">
        <v>173</v>
      </c>
      <c r="W38" t="s">
        <v>31</v>
      </c>
      <c r="X38">
        <v>0.29552061947327884</v>
      </c>
      <c r="Y38">
        <v>0.30737179058980463</v>
      </c>
      <c r="Z38">
        <v>0.30831795357134156</v>
      </c>
      <c r="AA38">
        <v>0.28800630707790703</v>
      </c>
      <c r="AB38">
        <v>0.27083373098405733</v>
      </c>
      <c r="AC38">
        <v>0.26923024072989205</v>
      </c>
      <c r="AD38">
        <v>0.29443046447165</v>
      </c>
      <c r="AE38">
        <v>0.32585749648180512</v>
      </c>
      <c r="AF38">
        <v>0.33050010800319707</v>
      </c>
      <c r="AG38">
        <v>0.35018117411546534</v>
      </c>
      <c r="AH38">
        <v>0.35504408820044769</v>
      </c>
      <c r="AI38">
        <v>0.33121044987219062</v>
      </c>
      <c r="AJ38">
        <v>0.38751745634440965</v>
      </c>
      <c r="AK38">
        <v>0.40036647497073247</v>
      </c>
      <c r="AL38">
        <v>0.41891264713424536</v>
      </c>
      <c r="AM38">
        <v>0.45129814073486313</v>
      </c>
      <c r="AN38">
        <v>0.4200869946786282</v>
      </c>
      <c r="AO38">
        <v>0.39277539898408975</v>
      </c>
      <c r="AP38">
        <v>0.30824110394525672</v>
      </c>
      <c r="AQ38">
        <v>0.31572401493043745</v>
      </c>
      <c r="AR38">
        <v>0.33237558352369206</v>
      </c>
      <c r="AS38">
        <v>0.36064550396562356</v>
      </c>
      <c r="AT38">
        <v>0.3395108879339625</v>
      </c>
      <c r="AU38">
        <v>0.30898499484982089</v>
      </c>
      <c r="CY38" t="s">
        <v>173</v>
      </c>
      <c r="CZ38">
        <v>0.58619156325896482</v>
      </c>
      <c r="DA38">
        <v>0.57665136144530493</v>
      </c>
      <c r="DB38">
        <v>0.58421434909432779</v>
      </c>
      <c r="DC38">
        <v>0.61404157683768312</v>
      </c>
      <c r="DD38">
        <v>0.63149522512620937</v>
      </c>
      <c r="DE38">
        <v>0.63839500937749061</v>
      </c>
      <c r="DF38">
        <v>0.53472144229889695</v>
      </c>
      <c r="DG38">
        <v>0.48910576465758909</v>
      </c>
      <c r="DH38">
        <v>0.48319607389570374</v>
      </c>
      <c r="DI38">
        <v>0.47982660939683774</v>
      </c>
      <c r="DJ38">
        <v>0.50464651822750906</v>
      </c>
      <c r="DK38">
        <v>0.54113458907912348</v>
      </c>
      <c r="DL38">
        <v>0.3812693828186165</v>
      </c>
      <c r="DM38">
        <v>0.35947554954071292</v>
      </c>
      <c r="DN38">
        <v>0.34721934880157218</v>
      </c>
      <c r="DO38">
        <v>0.32349112244278938</v>
      </c>
      <c r="DP38">
        <v>0.36169151858518411</v>
      </c>
      <c r="DQ38">
        <v>0.40587514420788084</v>
      </c>
      <c r="DR38">
        <v>0.5323535366243799</v>
      </c>
      <c r="DS38">
        <v>0.51163061590027925</v>
      </c>
      <c r="DT38">
        <v>0.52485537294995743</v>
      </c>
      <c r="DU38">
        <v>0.50318388878779152</v>
      </c>
      <c r="DV38">
        <v>0.51170579229739088</v>
      </c>
      <c r="DW38">
        <v>0.56338928121579979</v>
      </c>
      <c r="DY38" t="s">
        <v>183</v>
      </c>
      <c r="DZ38" t="s">
        <v>201</v>
      </c>
      <c r="EA38" t="s">
        <v>202</v>
      </c>
      <c r="EB38">
        <v>0.45386673837246916</v>
      </c>
    </row>
    <row r="39" spans="22:132" x14ac:dyDescent="0.25">
      <c r="V39" t="s">
        <v>174</v>
      </c>
      <c r="W39" t="s">
        <v>31</v>
      </c>
      <c r="X39">
        <v>0.29264898704845838</v>
      </c>
      <c r="Y39">
        <v>0.29857273851090627</v>
      </c>
      <c r="Z39">
        <v>0.30908503659671904</v>
      </c>
      <c r="AA39">
        <v>0.30021508056121654</v>
      </c>
      <c r="AB39">
        <v>0.27079033314327244</v>
      </c>
      <c r="AC39">
        <v>0.26856478782113541</v>
      </c>
      <c r="AD39">
        <v>0.27764281447752043</v>
      </c>
      <c r="AE39">
        <v>0.32567713911216639</v>
      </c>
      <c r="AF39">
        <v>0.32694494753891801</v>
      </c>
      <c r="AG39">
        <v>0.34093132744157578</v>
      </c>
      <c r="AH39">
        <v>0.3318320179198056</v>
      </c>
      <c r="AI39">
        <v>0.30952685515667405</v>
      </c>
      <c r="AJ39">
        <v>0.36681368056383901</v>
      </c>
      <c r="AK39">
        <v>0.36044371351244164</v>
      </c>
      <c r="AL39">
        <v>0.38554633650357689</v>
      </c>
      <c r="AM39">
        <v>0.40294005741259625</v>
      </c>
      <c r="AN39">
        <v>0.39468732857232353</v>
      </c>
      <c r="AO39">
        <v>0.39432163332233083</v>
      </c>
      <c r="AP39">
        <v>0.31864917466761522</v>
      </c>
      <c r="AQ39">
        <v>0.32077745700668525</v>
      </c>
      <c r="AR39">
        <v>0.32993850717465717</v>
      </c>
      <c r="AS39">
        <v>0.34896165990212091</v>
      </c>
      <c r="AT39">
        <v>0.34160616298859026</v>
      </c>
      <c r="AU39">
        <v>0.32532536940214435</v>
      </c>
      <c r="CY39" t="s">
        <v>174</v>
      </c>
      <c r="CZ39">
        <v>0.59114403420417316</v>
      </c>
      <c r="DA39">
        <v>0.60151908082019623</v>
      </c>
      <c r="DB39">
        <v>0.5979933873562342</v>
      </c>
      <c r="DC39">
        <v>0.61444196166788911</v>
      </c>
      <c r="DD39">
        <v>0.63608527100968404</v>
      </c>
      <c r="DE39">
        <v>0.63843392236432506</v>
      </c>
      <c r="DF39">
        <v>0.56405932996161912</v>
      </c>
      <c r="DG39">
        <v>0.52440355300586683</v>
      </c>
      <c r="DH39">
        <v>0.51116278321336428</v>
      </c>
      <c r="DI39">
        <v>0.50525156042222241</v>
      </c>
      <c r="DJ39">
        <v>0.53101793817189091</v>
      </c>
      <c r="DK39">
        <v>0.55941291393254244</v>
      </c>
      <c r="DL39">
        <v>0.38431144623186997</v>
      </c>
      <c r="DM39">
        <v>0.35890735530148882</v>
      </c>
      <c r="DN39">
        <v>0.34667036649938515</v>
      </c>
      <c r="DO39">
        <v>0.32964732139019265</v>
      </c>
      <c r="DP39">
        <v>0.35429936497726666</v>
      </c>
      <c r="DQ39">
        <v>0.36199178180560776</v>
      </c>
      <c r="DR39">
        <v>0.54158872483065867</v>
      </c>
      <c r="DS39">
        <v>0.52824716961082652</v>
      </c>
      <c r="DT39">
        <v>0.5342528156582349</v>
      </c>
      <c r="DU39">
        <v>0.51711359890657382</v>
      </c>
      <c r="DV39">
        <v>0.51767900323084037</v>
      </c>
      <c r="DW39">
        <v>0.54769263056997686</v>
      </c>
      <c r="DY39" t="s">
        <v>184</v>
      </c>
      <c r="DZ39" t="s">
        <v>201</v>
      </c>
      <c r="EA39" t="s">
        <v>202</v>
      </c>
      <c r="EB39">
        <v>0.4754568317197756</v>
      </c>
    </row>
    <row r="40" spans="22:132" x14ac:dyDescent="0.25">
      <c r="V40" t="s">
        <v>175</v>
      </c>
      <c r="W40" t="s">
        <v>31</v>
      </c>
      <c r="X40">
        <v>0.30903158665529523</v>
      </c>
      <c r="Y40">
        <v>0.31619393741335478</v>
      </c>
      <c r="Z40">
        <v>0.31616076841644741</v>
      </c>
      <c r="AA40">
        <v>0.31108390885351106</v>
      </c>
      <c r="AB40">
        <v>0.28872469210214485</v>
      </c>
      <c r="AC40">
        <v>0.27685380631528284</v>
      </c>
      <c r="AD40">
        <v>0.30334364759568139</v>
      </c>
      <c r="AE40">
        <v>0.34608250117751221</v>
      </c>
      <c r="AF40">
        <v>0.34924006410937869</v>
      </c>
      <c r="AG40">
        <v>0.35946882789263235</v>
      </c>
      <c r="AH40">
        <v>0.36044088611558578</v>
      </c>
      <c r="AI40">
        <v>0.34158637654715185</v>
      </c>
      <c r="AJ40">
        <v>0.39729727229839096</v>
      </c>
      <c r="AK40">
        <v>0.39647270657129674</v>
      </c>
      <c r="AL40">
        <v>0.41472957105103447</v>
      </c>
      <c r="AM40">
        <v>0.43714523961212604</v>
      </c>
      <c r="AN40">
        <v>0.42132261797953074</v>
      </c>
      <c r="AO40">
        <v>0.42282746544002597</v>
      </c>
      <c r="AP40">
        <v>0.32393861224392073</v>
      </c>
      <c r="AQ40">
        <v>0.32975694948187145</v>
      </c>
      <c r="AR40">
        <v>0.34698554828158529</v>
      </c>
      <c r="AS40">
        <v>0.36712911657984626</v>
      </c>
      <c r="AT40">
        <v>0.35514167563071153</v>
      </c>
      <c r="AU40">
        <v>0.32155115658232036</v>
      </c>
      <c r="CY40" t="s">
        <v>175</v>
      </c>
      <c r="CZ40">
        <v>0.54938346878421351</v>
      </c>
      <c r="DA40">
        <v>0.55787816235541798</v>
      </c>
      <c r="DB40">
        <v>0.56120266818933406</v>
      </c>
      <c r="DC40">
        <v>0.58024695715946695</v>
      </c>
      <c r="DD40">
        <v>0.59871766167903084</v>
      </c>
      <c r="DE40">
        <v>0.60599141488954711</v>
      </c>
      <c r="DF40">
        <v>0.483459261055594</v>
      </c>
      <c r="DG40">
        <v>0.44930102788174198</v>
      </c>
      <c r="DH40">
        <v>0.43636092195588</v>
      </c>
      <c r="DI40">
        <v>0.43626011555568023</v>
      </c>
      <c r="DJ40">
        <v>0.45529511408028644</v>
      </c>
      <c r="DK40">
        <v>0.47783012986240048</v>
      </c>
      <c r="DL40">
        <v>0.33423055278401492</v>
      </c>
      <c r="DM40">
        <v>0.32052278893700331</v>
      </c>
      <c r="DN40">
        <v>0.31905275650698489</v>
      </c>
      <c r="DO40">
        <v>0.30384068134843722</v>
      </c>
      <c r="DP40">
        <v>0.31832054798907156</v>
      </c>
      <c r="DQ40">
        <v>0.32171585668659153</v>
      </c>
      <c r="DR40">
        <v>0.50872922907371432</v>
      </c>
      <c r="DS40">
        <v>0.4855541012717387</v>
      </c>
      <c r="DT40">
        <v>0.49216239257713756</v>
      </c>
      <c r="DU40">
        <v>0.48063560905483566</v>
      </c>
      <c r="DV40">
        <v>0.4830362763857684</v>
      </c>
      <c r="DW40">
        <v>0.52520845304174446</v>
      </c>
      <c r="DY40" t="s">
        <v>185</v>
      </c>
      <c r="DZ40" t="s">
        <v>201</v>
      </c>
      <c r="EA40" t="s">
        <v>202</v>
      </c>
      <c r="EB40">
        <v>0.50053447822161301</v>
      </c>
    </row>
    <row r="41" spans="22:132" x14ac:dyDescent="0.25">
      <c r="V41" t="s">
        <v>176</v>
      </c>
      <c r="W41" t="s">
        <v>31</v>
      </c>
      <c r="X41">
        <v>0.35085778316579269</v>
      </c>
      <c r="Y41">
        <v>0.33090222613599313</v>
      </c>
      <c r="Z41">
        <v>0.37389687249132719</v>
      </c>
      <c r="AA41">
        <v>0.41659247851622822</v>
      </c>
      <c r="AB41">
        <v>0.39705057694333107</v>
      </c>
      <c r="AC41">
        <v>0.36337653327845365</v>
      </c>
      <c r="AD41">
        <v>0.3145808818398404</v>
      </c>
      <c r="AE41">
        <v>0.34024578627171148</v>
      </c>
      <c r="AF41">
        <v>0.37626348709392093</v>
      </c>
      <c r="AG41">
        <v>0.39314451783967674</v>
      </c>
      <c r="AH41">
        <v>0.37287928507325202</v>
      </c>
      <c r="AI41">
        <v>0.34998489602413652</v>
      </c>
      <c r="AJ41">
        <v>0.3241603990267608</v>
      </c>
      <c r="AK41">
        <v>0.40375777216651465</v>
      </c>
      <c r="AL41">
        <v>0.45428455807751833</v>
      </c>
      <c r="AM41">
        <v>0.46080006733553264</v>
      </c>
      <c r="AN41">
        <v>0.44251159682402436</v>
      </c>
      <c r="AO41">
        <v>0.38371304852460747</v>
      </c>
      <c r="AP41">
        <v>0.3569420513531813</v>
      </c>
      <c r="AQ41">
        <v>0.37446670141949656</v>
      </c>
      <c r="AR41">
        <v>0.42911751991467878</v>
      </c>
      <c r="AS41">
        <v>0.42722949607714783</v>
      </c>
      <c r="AT41">
        <v>0.39887409959318088</v>
      </c>
      <c r="AU41">
        <v>0.3501472932005919</v>
      </c>
      <c r="CY41" t="s">
        <v>176</v>
      </c>
      <c r="CZ41">
        <v>0.42592743600327221</v>
      </c>
      <c r="DA41">
        <v>0.42393911023104131</v>
      </c>
      <c r="DB41">
        <v>0.4021319670203265</v>
      </c>
      <c r="DC41">
        <v>0.36613093424654936</v>
      </c>
      <c r="DD41">
        <v>0.39834722733462868</v>
      </c>
      <c r="DE41">
        <v>0.44380148272810893</v>
      </c>
      <c r="DF41">
        <v>0.35344671158305624</v>
      </c>
      <c r="DG41">
        <v>0.30542045136593166</v>
      </c>
      <c r="DH41">
        <v>0.25352918743731384</v>
      </c>
      <c r="DI41">
        <v>0.25600980747816771</v>
      </c>
      <c r="DJ41">
        <v>0.26569251112437775</v>
      </c>
      <c r="DK41">
        <v>0.31488877964690531</v>
      </c>
      <c r="DL41">
        <v>0.19030557891699901</v>
      </c>
      <c r="DM41">
        <v>0.12428929482449838</v>
      </c>
      <c r="DN41">
        <v>0.11533980668211448</v>
      </c>
      <c r="DO41">
        <v>0.12955848943533368</v>
      </c>
      <c r="DP41">
        <v>0.14172462728320151</v>
      </c>
      <c r="DQ41">
        <v>0.14726125993033345</v>
      </c>
      <c r="DR41">
        <v>0.33244529544757673</v>
      </c>
      <c r="DS41">
        <v>0.29483190128364822</v>
      </c>
      <c r="DT41">
        <v>0.26085627169576858</v>
      </c>
      <c r="DU41">
        <v>0.25993853549278034</v>
      </c>
      <c r="DV41">
        <v>0.28578718956583798</v>
      </c>
      <c r="DW41">
        <v>0.34694799299867862</v>
      </c>
      <c r="DY41" t="s">
        <v>186</v>
      </c>
      <c r="DZ41" t="s">
        <v>201</v>
      </c>
      <c r="EA41" t="s">
        <v>202</v>
      </c>
      <c r="EB41">
        <v>0.38546377734706627</v>
      </c>
    </row>
    <row r="42" spans="22:132" x14ac:dyDescent="0.25">
      <c r="V42" t="s">
        <v>177</v>
      </c>
      <c r="W42" t="s">
        <v>31</v>
      </c>
      <c r="X42">
        <v>0.32606396599294446</v>
      </c>
      <c r="Y42">
        <v>0.32868673493696177</v>
      </c>
      <c r="Z42">
        <v>0.36416995194572838</v>
      </c>
      <c r="AA42">
        <v>0.40506298838390903</v>
      </c>
      <c r="AB42">
        <v>0.36634249997831309</v>
      </c>
      <c r="AC42">
        <v>0.32801850253720838</v>
      </c>
      <c r="AD42">
        <v>0.33705820127460534</v>
      </c>
      <c r="AE42">
        <v>0.39624246151635212</v>
      </c>
      <c r="AF42">
        <v>0.4526355224935254</v>
      </c>
      <c r="AG42">
        <v>0.42974114988954076</v>
      </c>
      <c r="AH42">
        <v>0.40006226067889966</v>
      </c>
      <c r="AI42">
        <v>0.33913496692091927</v>
      </c>
      <c r="AJ42">
        <v>0.31932067784328583</v>
      </c>
      <c r="AK42">
        <v>0.42118622876395539</v>
      </c>
      <c r="AL42">
        <v>0.46820233266819844</v>
      </c>
      <c r="AM42">
        <v>0.45431771419826017</v>
      </c>
      <c r="AN42">
        <v>0.44125315200616283</v>
      </c>
      <c r="AO42">
        <v>0.38030350111248346</v>
      </c>
      <c r="AP42">
        <v>0.35766272026380708</v>
      </c>
      <c r="AQ42">
        <v>0.38934252206825087</v>
      </c>
      <c r="AR42">
        <v>0.45784284722084989</v>
      </c>
      <c r="AS42">
        <v>0.45290052771176537</v>
      </c>
      <c r="AT42">
        <v>0.40671274567560445</v>
      </c>
      <c r="AU42">
        <v>0.34298703666750407</v>
      </c>
      <c r="CY42" t="s">
        <v>177</v>
      </c>
      <c r="CZ42">
        <v>0.40515217672612375</v>
      </c>
      <c r="DA42">
        <v>0.40341866206683136</v>
      </c>
      <c r="DB42">
        <v>0.3715685613569697</v>
      </c>
      <c r="DC42">
        <v>0.358750451244156</v>
      </c>
      <c r="DD42">
        <v>0.39373229394336251</v>
      </c>
      <c r="DE42">
        <v>0.42214517820990027</v>
      </c>
      <c r="DF42">
        <v>0.32193758582847232</v>
      </c>
      <c r="DG42">
        <v>0.2811748942437961</v>
      </c>
      <c r="DH42">
        <v>0.23477454121886601</v>
      </c>
      <c r="DI42">
        <v>0.23689218757100675</v>
      </c>
      <c r="DJ42">
        <v>0.2575670829503392</v>
      </c>
      <c r="DK42">
        <v>0.30617735937579094</v>
      </c>
      <c r="DL42">
        <v>0.16238892126916629</v>
      </c>
      <c r="DM42">
        <v>0.11709891543426618</v>
      </c>
      <c r="DN42">
        <v>0.11041461251951615</v>
      </c>
      <c r="DO42">
        <v>0.1159992033902265</v>
      </c>
      <c r="DP42">
        <v>0.14204161519819636</v>
      </c>
      <c r="DQ42">
        <v>0.15172595393290333</v>
      </c>
      <c r="DR42">
        <v>0.31158350639545468</v>
      </c>
      <c r="DS42">
        <v>0.26384963743589135</v>
      </c>
      <c r="DT42">
        <v>0.23834302540510785</v>
      </c>
      <c r="DU42">
        <v>0.25479129301987108</v>
      </c>
      <c r="DV42">
        <v>0.286700826218313</v>
      </c>
      <c r="DW42">
        <v>0.34059473722523081</v>
      </c>
      <c r="DY42" t="s">
        <v>187</v>
      </c>
      <c r="DZ42" t="s">
        <v>201</v>
      </c>
      <c r="EA42" t="s">
        <v>202</v>
      </c>
      <c r="EB42">
        <v>0.41728200541797644</v>
      </c>
    </row>
    <row r="43" spans="22:132" x14ac:dyDescent="0.25">
      <c r="V43" t="s">
        <v>178</v>
      </c>
      <c r="W43" t="s">
        <v>31</v>
      </c>
      <c r="X43">
        <v>0.35112854463870652</v>
      </c>
      <c r="Y43">
        <v>0.33367537301483746</v>
      </c>
      <c r="Z43">
        <v>0.35616056361148041</v>
      </c>
      <c r="AA43">
        <v>0.3783225360318358</v>
      </c>
      <c r="AB43">
        <v>0.37075009212004267</v>
      </c>
      <c r="AC43">
        <v>0.36403486775383453</v>
      </c>
      <c r="AD43">
        <v>0.33015698655403553</v>
      </c>
      <c r="AE43">
        <v>0.3582342146355838</v>
      </c>
      <c r="AF43">
        <v>0.39069100459525286</v>
      </c>
      <c r="AG43">
        <v>0.39972357696278704</v>
      </c>
      <c r="AH43">
        <v>0.39872103743063053</v>
      </c>
      <c r="AI43">
        <v>0.35656709402336312</v>
      </c>
      <c r="AJ43">
        <v>0.32278435220065022</v>
      </c>
      <c r="AK43">
        <v>0.41977354564784186</v>
      </c>
      <c r="AL43">
        <v>0.47483511094383446</v>
      </c>
      <c r="AM43">
        <v>0.46866469286918111</v>
      </c>
      <c r="AN43">
        <v>0.44940263484492243</v>
      </c>
      <c r="AO43">
        <v>0.4082809447979881</v>
      </c>
      <c r="AP43">
        <v>0.38312083177503964</v>
      </c>
      <c r="AQ43">
        <v>0.39507469455327932</v>
      </c>
      <c r="AR43">
        <v>0.43046641246503387</v>
      </c>
      <c r="AS43">
        <v>0.42320648421315532</v>
      </c>
      <c r="AT43">
        <v>0.39398228337970459</v>
      </c>
      <c r="AU43">
        <v>0.37108799125693059</v>
      </c>
      <c r="CY43" t="s">
        <v>178</v>
      </c>
      <c r="CZ43">
        <v>0.43035612343436974</v>
      </c>
      <c r="DA43">
        <v>0.43465945459011945</v>
      </c>
      <c r="DB43">
        <v>0.41504315238424144</v>
      </c>
      <c r="DC43">
        <v>0.3820499622078895</v>
      </c>
      <c r="DD43">
        <v>0.40706202484687115</v>
      </c>
      <c r="DE43">
        <v>0.43798570262795078</v>
      </c>
      <c r="DF43">
        <v>0.34493906283428355</v>
      </c>
      <c r="DG43">
        <v>0.30862552973233287</v>
      </c>
      <c r="DH43">
        <v>0.27430046162735888</v>
      </c>
      <c r="DI43">
        <v>0.29452131453411157</v>
      </c>
      <c r="DJ43">
        <v>0.29245345925350541</v>
      </c>
      <c r="DK43">
        <v>0.32546336807439946</v>
      </c>
      <c r="DL43">
        <v>0.18507994116202645</v>
      </c>
      <c r="DM43">
        <v>0.1224039891688963</v>
      </c>
      <c r="DN43">
        <v>0.12242747276242408</v>
      </c>
      <c r="DO43">
        <v>0.14269432173957253</v>
      </c>
      <c r="DP43">
        <v>0.15937041253370071</v>
      </c>
      <c r="DQ43">
        <v>0.16132212478098854</v>
      </c>
      <c r="DR43">
        <v>0.33351077979419197</v>
      </c>
      <c r="DS43">
        <v>0.29830476251037347</v>
      </c>
      <c r="DT43">
        <v>0.26142446110614304</v>
      </c>
      <c r="DU43">
        <v>0.26727505282867425</v>
      </c>
      <c r="DV43">
        <v>0.29756770915293246</v>
      </c>
      <c r="DW43">
        <v>0.33828377296408529</v>
      </c>
      <c r="DY43" t="s">
        <v>188</v>
      </c>
      <c r="DZ43" t="s">
        <v>201</v>
      </c>
      <c r="EA43" t="s">
        <v>202</v>
      </c>
      <c r="EB43">
        <v>0.39998748631496894</v>
      </c>
    </row>
    <row r="44" spans="22:132" x14ac:dyDescent="0.25">
      <c r="V44" t="s">
        <v>179</v>
      </c>
      <c r="W44" t="s">
        <v>31</v>
      </c>
      <c r="X44">
        <v>0.31925624304524441</v>
      </c>
      <c r="Y44">
        <v>0.31239537640768139</v>
      </c>
      <c r="Z44">
        <v>0.33970898822126466</v>
      </c>
      <c r="AA44">
        <v>0.35937408276245697</v>
      </c>
      <c r="AB44">
        <v>0.34579275455648217</v>
      </c>
      <c r="AC44">
        <v>0.31764546826311901</v>
      </c>
      <c r="AD44">
        <v>0.31762915384761747</v>
      </c>
      <c r="AE44">
        <v>0.37697503679181826</v>
      </c>
      <c r="AF44">
        <v>0.42177868125850509</v>
      </c>
      <c r="AG44">
        <v>0.4242964094090641</v>
      </c>
      <c r="AH44">
        <v>0.40012548224011091</v>
      </c>
      <c r="AI44">
        <v>0.33416532530129556</v>
      </c>
      <c r="AJ44">
        <v>0.34016454224274245</v>
      </c>
      <c r="AK44">
        <v>0.41931550540799545</v>
      </c>
      <c r="AL44">
        <v>0.4465690847625397</v>
      </c>
      <c r="AM44">
        <v>0.46063215721436224</v>
      </c>
      <c r="AN44">
        <v>0.42169248837872653</v>
      </c>
      <c r="AO44">
        <v>0.35444849223605479</v>
      </c>
      <c r="AP44">
        <v>0.34003111394666358</v>
      </c>
      <c r="AQ44">
        <v>0.35864217019329903</v>
      </c>
      <c r="AR44">
        <v>0.40584677025029536</v>
      </c>
      <c r="AS44">
        <v>0.42667991477493861</v>
      </c>
      <c r="AT44">
        <v>0.41837320959456781</v>
      </c>
      <c r="AU44">
        <v>0.35896263197934891</v>
      </c>
      <c r="CY44" t="s">
        <v>179</v>
      </c>
      <c r="CZ44">
        <v>0.45247743568656629</v>
      </c>
      <c r="DA44">
        <v>0.44995082729646013</v>
      </c>
      <c r="DB44">
        <v>0.42079845765778612</v>
      </c>
      <c r="DC44">
        <v>0.40378602889325466</v>
      </c>
      <c r="DD44">
        <v>0.43511063057170601</v>
      </c>
      <c r="DE44">
        <v>0.46417195853766768</v>
      </c>
      <c r="DF44">
        <v>0.36887360730370961</v>
      </c>
      <c r="DG44">
        <v>0.32669966457122018</v>
      </c>
      <c r="DH44">
        <v>0.28203574254167668</v>
      </c>
      <c r="DI44">
        <v>0.29211962955318022</v>
      </c>
      <c r="DJ44">
        <v>0.3051818459639874</v>
      </c>
      <c r="DK44">
        <v>0.35939579813680178</v>
      </c>
      <c r="DL44">
        <v>0.18167453211216103</v>
      </c>
      <c r="DM44">
        <v>0.12860178751313397</v>
      </c>
      <c r="DN44">
        <v>0.12067640993974008</v>
      </c>
      <c r="DO44">
        <v>0.1298314275159119</v>
      </c>
      <c r="DP44">
        <v>0.13945677200837903</v>
      </c>
      <c r="DQ44">
        <v>0.15258945737870105</v>
      </c>
      <c r="DR44">
        <v>0.36808203276889279</v>
      </c>
      <c r="DS44">
        <v>0.32982367876025709</v>
      </c>
      <c r="DT44">
        <v>0.28946135108139309</v>
      </c>
      <c r="DU44">
        <v>0.29640194118348695</v>
      </c>
      <c r="DV44">
        <v>0.32682079051767648</v>
      </c>
      <c r="DW44">
        <v>0.36685081239808637</v>
      </c>
      <c r="DY44" t="s">
        <v>189</v>
      </c>
      <c r="DZ44" t="s">
        <v>201</v>
      </c>
      <c r="EA44" t="s">
        <v>202</v>
      </c>
      <c r="EB44">
        <v>0.42448045341216861</v>
      </c>
    </row>
    <row r="45" spans="22:132" x14ac:dyDescent="0.25">
      <c r="V45" t="s">
        <v>180</v>
      </c>
      <c r="W45" t="s">
        <v>31</v>
      </c>
      <c r="X45">
        <v>0.32917808280445049</v>
      </c>
      <c r="Y45">
        <v>0.33176681514376649</v>
      </c>
      <c r="Z45">
        <v>0.3468490078437983</v>
      </c>
      <c r="AA45">
        <v>0.3593331995135618</v>
      </c>
      <c r="AB45">
        <v>0.34353034131758892</v>
      </c>
      <c r="AC45">
        <v>0.31626450346575591</v>
      </c>
      <c r="AD45">
        <v>0.31313394581659226</v>
      </c>
      <c r="AE45">
        <v>0.34205591596954821</v>
      </c>
      <c r="AF45">
        <v>0.36174156330318014</v>
      </c>
      <c r="AG45">
        <v>0.35060741930788053</v>
      </c>
      <c r="AH45">
        <v>0.35646755560574578</v>
      </c>
      <c r="AI45">
        <v>0.33344990678175834</v>
      </c>
      <c r="AJ45">
        <v>0.33529127879342013</v>
      </c>
      <c r="AK45">
        <v>0.43470915044455599</v>
      </c>
      <c r="AL45">
        <v>0.50507190198068275</v>
      </c>
      <c r="AM45">
        <v>0.46870767290608678</v>
      </c>
      <c r="AN45">
        <v>0.437976491921927</v>
      </c>
      <c r="AO45">
        <v>0.37847921627078734</v>
      </c>
      <c r="AP45">
        <v>0.37373369069329887</v>
      </c>
      <c r="AQ45">
        <v>0.37748905350274353</v>
      </c>
      <c r="AR45">
        <v>0.39678059955024236</v>
      </c>
      <c r="AS45">
        <v>0.39168792750032466</v>
      </c>
      <c r="AT45">
        <v>0.38754426884719639</v>
      </c>
      <c r="AU45">
        <v>0.36352794691133888</v>
      </c>
      <c r="CY45" t="s">
        <v>180</v>
      </c>
      <c r="CZ45">
        <v>0.44091860929406673</v>
      </c>
      <c r="DA45">
        <v>0.44505405714787544</v>
      </c>
      <c r="DB45">
        <v>0.41930619197090063</v>
      </c>
      <c r="DC45">
        <v>0.38717230379401379</v>
      </c>
      <c r="DD45">
        <v>0.41844425548350295</v>
      </c>
      <c r="DE45">
        <v>0.45363189719777114</v>
      </c>
      <c r="DF45">
        <v>0.35468372786089952</v>
      </c>
      <c r="DG45">
        <v>0.30905335059534167</v>
      </c>
      <c r="DH45">
        <v>0.27087193695464923</v>
      </c>
      <c r="DI45">
        <v>0.29159634380758281</v>
      </c>
      <c r="DJ45">
        <v>0.30673738355729607</v>
      </c>
      <c r="DK45">
        <v>0.35015633198586216</v>
      </c>
      <c r="DL45">
        <v>0.19649300748065765</v>
      </c>
      <c r="DM45">
        <v>0.14992616912763523</v>
      </c>
      <c r="DN45">
        <v>0.14684362105172136</v>
      </c>
      <c r="DO45">
        <v>0.1704993719651072</v>
      </c>
      <c r="DP45">
        <v>0.1942444985368941</v>
      </c>
      <c r="DQ45">
        <v>0.18632991249213418</v>
      </c>
      <c r="DR45">
        <v>0.34469944360443039</v>
      </c>
      <c r="DS45">
        <v>0.32342318563159278</v>
      </c>
      <c r="DT45">
        <v>0.29905070384773491</v>
      </c>
      <c r="DU45">
        <v>0.29534110942495939</v>
      </c>
      <c r="DV45">
        <v>0.32366827338341653</v>
      </c>
      <c r="DW45">
        <v>0.35323636428167482</v>
      </c>
      <c r="DY45" t="s">
        <v>190</v>
      </c>
      <c r="DZ45" t="s">
        <v>201</v>
      </c>
      <c r="EA45" t="s">
        <v>202</v>
      </c>
      <c r="EB45">
        <v>0.19647379391952155</v>
      </c>
    </row>
    <row r="46" spans="22:132" x14ac:dyDescent="0.25">
      <c r="V46" t="s">
        <v>181</v>
      </c>
      <c r="W46" t="s">
        <v>31</v>
      </c>
      <c r="X46">
        <v>0.34564828214945148</v>
      </c>
      <c r="Y46">
        <v>0.34503045674795801</v>
      </c>
      <c r="Z46">
        <v>0.37121225760649829</v>
      </c>
      <c r="AA46">
        <v>0.40321690759181394</v>
      </c>
      <c r="AB46">
        <v>0.37288187652669186</v>
      </c>
      <c r="AC46">
        <v>0.3408759056645877</v>
      </c>
      <c r="AD46">
        <v>0.30050613150259592</v>
      </c>
      <c r="AE46">
        <v>0.32723524446800395</v>
      </c>
      <c r="AF46">
        <v>0.35154088646124237</v>
      </c>
      <c r="AG46">
        <v>0.36350101995105161</v>
      </c>
      <c r="AH46">
        <v>0.37566497064074883</v>
      </c>
      <c r="AI46">
        <v>0.35453299617565681</v>
      </c>
      <c r="AJ46">
        <v>0.34551676207965221</v>
      </c>
      <c r="AK46">
        <v>0.42436637372046448</v>
      </c>
      <c r="AL46">
        <v>0.44966259878478387</v>
      </c>
      <c r="AM46">
        <v>0.42977992279036609</v>
      </c>
      <c r="AN46">
        <v>0.43088079723354378</v>
      </c>
      <c r="AO46">
        <v>0.38126741460248798</v>
      </c>
      <c r="AP46">
        <v>0.34804523691934625</v>
      </c>
      <c r="AQ46">
        <v>0.37421727222163592</v>
      </c>
      <c r="AR46">
        <v>0.40319954261580804</v>
      </c>
      <c r="AS46">
        <v>0.39514141785400608</v>
      </c>
      <c r="AT46">
        <v>0.37683451278221769</v>
      </c>
      <c r="AU46">
        <v>0.33283169777134686</v>
      </c>
      <c r="CY46" t="s">
        <v>181</v>
      </c>
      <c r="CZ46">
        <v>0.43119803854951394</v>
      </c>
      <c r="DA46">
        <v>0.42734177777982058</v>
      </c>
      <c r="DB46">
        <v>0.40944874490450089</v>
      </c>
      <c r="DC46">
        <v>0.38910038976052813</v>
      </c>
      <c r="DD46">
        <v>0.42224716838093912</v>
      </c>
      <c r="DE46">
        <v>0.44988294542411822</v>
      </c>
      <c r="DF46">
        <v>0.37115965307190457</v>
      </c>
      <c r="DG46">
        <v>0.33412476095934707</v>
      </c>
      <c r="DH46">
        <v>0.26554739354216217</v>
      </c>
      <c r="DI46">
        <v>0.26498308711479768</v>
      </c>
      <c r="DJ46">
        <v>0.28502558535882611</v>
      </c>
      <c r="DK46">
        <v>0.32946790845864493</v>
      </c>
      <c r="DL46">
        <v>0.20169729620920832</v>
      </c>
      <c r="DM46">
        <v>0.14846433750549837</v>
      </c>
      <c r="DN46">
        <v>0.14481293892530073</v>
      </c>
      <c r="DO46">
        <v>0.161511304175009</v>
      </c>
      <c r="DP46">
        <v>0.17733575537382745</v>
      </c>
      <c r="DQ46">
        <v>0.18436970394118438</v>
      </c>
      <c r="DR46">
        <v>0.34667162291238673</v>
      </c>
      <c r="DS46">
        <v>0.31987459545000868</v>
      </c>
      <c r="DT46">
        <v>0.29109016748934918</v>
      </c>
      <c r="DU46">
        <v>0.30418259338353637</v>
      </c>
      <c r="DV46">
        <v>0.32651629709158164</v>
      </c>
      <c r="DW46">
        <v>0.3782436191692356</v>
      </c>
      <c r="DY46" t="s">
        <v>191</v>
      </c>
      <c r="DZ46" t="s">
        <v>201</v>
      </c>
      <c r="EA46" t="s">
        <v>202</v>
      </c>
      <c r="EB46">
        <v>0.47492232493262232</v>
      </c>
    </row>
    <row r="47" spans="22:132" x14ac:dyDescent="0.25">
      <c r="V47" t="s">
        <v>182</v>
      </c>
      <c r="W47" t="s">
        <v>31</v>
      </c>
      <c r="X47">
        <v>0.34268286481570837</v>
      </c>
      <c r="Y47">
        <v>0.32428994959058077</v>
      </c>
      <c r="Z47">
        <v>0.33596667777602424</v>
      </c>
      <c r="AA47">
        <v>0.37616438700798033</v>
      </c>
      <c r="AB47">
        <v>0.37082227005680246</v>
      </c>
      <c r="AC47">
        <v>0.33394271553471383</v>
      </c>
      <c r="AD47">
        <v>0.31588392602178894</v>
      </c>
      <c r="AE47">
        <v>0.34475491873560371</v>
      </c>
      <c r="AF47">
        <v>0.38413255503346266</v>
      </c>
      <c r="AG47">
        <v>0.36439923460707152</v>
      </c>
      <c r="AH47">
        <v>0.36054147747971776</v>
      </c>
      <c r="AI47">
        <v>0.35055149332428726</v>
      </c>
      <c r="AJ47">
        <v>0.34243351794830118</v>
      </c>
      <c r="AK47">
        <v>0.42114654774973581</v>
      </c>
      <c r="AL47">
        <v>0.46620539793298299</v>
      </c>
      <c r="AM47">
        <v>0.43434858943648336</v>
      </c>
      <c r="AN47">
        <v>0.42735597890985072</v>
      </c>
      <c r="AO47">
        <v>0.37529327491550968</v>
      </c>
      <c r="AP47">
        <v>0.35690020447117177</v>
      </c>
      <c r="AQ47">
        <v>0.38548493512614757</v>
      </c>
      <c r="AR47">
        <v>0.43913669149374895</v>
      </c>
      <c r="AS47">
        <v>0.42812844867601108</v>
      </c>
      <c r="AT47">
        <v>0.39165779229242348</v>
      </c>
      <c r="AU47">
        <v>0.35131923771182372</v>
      </c>
      <c r="CY47" t="s">
        <v>182</v>
      </c>
      <c r="CZ47">
        <v>0.45279741891905179</v>
      </c>
      <c r="DA47">
        <v>0.45558917472712934</v>
      </c>
      <c r="DB47">
        <v>0.43437525203664518</v>
      </c>
      <c r="DC47">
        <v>0.39703244822691014</v>
      </c>
      <c r="DD47">
        <v>0.42182563037467874</v>
      </c>
      <c r="DE47">
        <v>0.45866374403282589</v>
      </c>
      <c r="DF47">
        <v>0.37365727863544412</v>
      </c>
      <c r="DG47">
        <v>0.32740420361534306</v>
      </c>
      <c r="DH47">
        <v>0.28322888885206149</v>
      </c>
      <c r="DI47">
        <v>0.29733813741040371</v>
      </c>
      <c r="DJ47">
        <v>0.31087418265954714</v>
      </c>
      <c r="DK47">
        <v>0.35446695136015793</v>
      </c>
      <c r="DL47">
        <v>0.20022425192531729</v>
      </c>
      <c r="DM47">
        <v>0.13993788458355369</v>
      </c>
      <c r="DN47">
        <v>0.13966881382781568</v>
      </c>
      <c r="DO47">
        <v>0.16308505451478666</v>
      </c>
      <c r="DP47">
        <v>0.19747212272491696</v>
      </c>
      <c r="DQ47">
        <v>0.18913067178099377</v>
      </c>
      <c r="DR47">
        <v>0.34838564051969662</v>
      </c>
      <c r="DS47">
        <v>0.30929811405219554</v>
      </c>
      <c r="DT47">
        <v>0.28716628993623156</v>
      </c>
      <c r="DU47">
        <v>0.29672920581829682</v>
      </c>
      <c r="DV47">
        <v>0.31696925326206865</v>
      </c>
      <c r="DW47">
        <v>0.36141640341091946</v>
      </c>
      <c r="DY47" t="s">
        <v>192</v>
      </c>
      <c r="DZ47" t="s">
        <v>201</v>
      </c>
      <c r="EA47" t="s">
        <v>202</v>
      </c>
      <c r="EB47">
        <v>0.32867621134344593</v>
      </c>
    </row>
    <row r="48" spans="22:132" x14ac:dyDescent="0.25">
      <c r="V48" t="s">
        <v>183</v>
      </c>
      <c r="W48" t="s">
        <v>31</v>
      </c>
      <c r="X48">
        <v>0.33526296576347719</v>
      </c>
      <c r="Y48">
        <v>0.34400170372290828</v>
      </c>
      <c r="Z48">
        <v>0.34934599010539985</v>
      </c>
      <c r="AA48">
        <v>0.37965226375215605</v>
      </c>
      <c r="AB48">
        <v>0.35657638819836435</v>
      </c>
      <c r="AC48">
        <v>0.32411620532691543</v>
      </c>
      <c r="AD48">
        <v>0.32795559808094538</v>
      </c>
      <c r="AE48">
        <v>0.34614030920456601</v>
      </c>
      <c r="AF48">
        <v>0.39880214152501553</v>
      </c>
      <c r="AG48">
        <v>0.39026553537213798</v>
      </c>
      <c r="AH48">
        <v>0.38379847672284412</v>
      </c>
      <c r="AI48">
        <v>0.35863273331669715</v>
      </c>
      <c r="AJ48">
        <v>0.38261621570369564</v>
      </c>
      <c r="AK48">
        <v>0.45349157355119152</v>
      </c>
      <c r="AL48">
        <v>0.49453533243148518</v>
      </c>
      <c r="AM48">
        <v>0.44729432692218635</v>
      </c>
      <c r="AN48">
        <v>0.40740963224033871</v>
      </c>
      <c r="AO48">
        <v>0.36974516832148935</v>
      </c>
      <c r="AP48">
        <v>0.37523612270526024</v>
      </c>
      <c r="AQ48">
        <v>0.37829956931365344</v>
      </c>
      <c r="AR48">
        <v>0.41554980891631138</v>
      </c>
      <c r="AS48">
        <v>0.41205409210974003</v>
      </c>
      <c r="AT48">
        <v>0.40961244615952258</v>
      </c>
      <c r="AU48">
        <v>0.36703087160412634</v>
      </c>
      <c r="CY48" t="s">
        <v>183</v>
      </c>
      <c r="CZ48">
        <v>0.44683595397074183</v>
      </c>
      <c r="DA48">
        <v>0.43902148821935733</v>
      </c>
      <c r="DB48">
        <v>0.40873650804395706</v>
      </c>
      <c r="DC48">
        <v>0.3802244725513913</v>
      </c>
      <c r="DD48">
        <v>0.41212390532485849</v>
      </c>
      <c r="DE48">
        <v>0.45387328896233164</v>
      </c>
      <c r="DF48">
        <v>0.33208135040337999</v>
      </c>
      <c r="DG48">
        <v>0.28860318441013949</v>
      </c>
      <c r="DH48">
        <v>0.26173974147076867</v>
      </c>
      <c r="DI48">
        <v>0.27788122234972867</v>
      </c>
      <c r="DJ48">
        <v>0.2837011830918611</v>
      </c>
      <c r="DK48">
        <v>0.31738325700113312</v>
      </c>
      <c r="DL48">
        <v>0.18891324456202704</v>
      </c>
      <c r="DM48">
        <v>0.16019972618874312</v>
      </c>
      <c r="DN48">
        <v>0.15740519182923093</v>
      </c>
      <c r="DO48">
        <v>0.17867806520069357</v>
      </c>
      <c r="DP48">
        <v>0.20879094563517819</v>
      </c>
      <c r="DQ48">
        <v>0.18164767759916661</v>
      </c>
      <c r="DR48">
        <v>0.35193356421691624</v>
      </c>
      <c r="DS48">
        <v>0.32481627713219663</v>
      </c>
      <c r="DT48">
        <v>0.30374290847070712</v>
      </c>
      <c r="DU48">
        <v>0.307633052937274</v>
      </c>
      <c r="DV48">
        <v>0.32168305773852562</v>
      </c>
      <c r="DW48">
        <v>0.35494813729394215</v>
      </c>
      <c r="DY48" t="s">
        <v>193</v>
      </c>
      <c r="DZ48" t="s">
        <v>201</v>
      </c>
      <c r="EA48" t="s">
        <v>202</v>
      </c>
      <c r="EB48">
        <v>0.34512946815122625</v>
      </c>
    </row>
    <row r="49" spans="22:132" x14ac:dyDescent="0.25">
      <c r="V49" t="s">
        <v>184</v>
      </c>
      <c r="W49" t="s">
        <v>31</v>
      </c>
      <c r="X49">
        <v>0.3366237993833528</v>
      </c>
      <c r="Y49">
        <v>0.34270332142634696</v>
      </c>
      <c r="Z49">
        <v>0.34285611634193708</v>
      </c>
      <c r="AA49">
        <v>0.35772072685710188</v>
      </c>
      <c r="AB49">
        <v>0.3423912607034662</v>
      </c>
      <c r="AC49">
        <v>0.32740643128692504</v>
      </c>
      <c r="AD49">
        <v>0.31892042730558201</v>
      </c>
      <c r="AE49">
        <v>0.3410499885733187</v>
      </c>
      <c r="AF49">
        <v>0.38721643454344334</v>
      </c>
      <c r="AG49">
        <v>0.38648070335702417</v>
      </c>
      <c r="AH49">
        <v>0.36536049845231905</v>
      </c>
      <c r="AI49">
        <v>0.33826840143339554</v>
      </c>
      <c r="AJ49">
        <v>0.39761551547132851</v>
      </c>
      <c r="AK49">
        <v>0.45299912326031977</v>
      </c>
      <c r="AL49">
        <v>0.47395763586837941</v>
      </c>
      <c r="AM49">
        <v>0.45514660025554798</v>
      </c>
      <c r="AN49">
        <v>0.44396465031243948</v>
      </c>
      <c r="AO49">
        <v>0.40739802724578145</v>
      </c>
      <c r="AP49">
        <v>0.34383262036312745</v>
      </c>
      <c r="AQ49">
        <v>0.36687321432820691</v>
      </c>
      <c r="AR49">
        <v>0.41723605901236155</v>
      </c>
      <c r="AS49">
        <v>0.42167493421311769</v>
      </c>
      <c r="AT49">
        <v>0.41132393350968727</v>
      </c>
      <c r="AU49">
        <v>0.34817480464923511</v>
      </c>
      <c r="CY49" t="s">
        <v>184</v>
      </c>
      <c r="CZ49">
        <v>0.46732231943554081</v>
      </c>
      <c r="DA49">
        <v>0.45812600186343932</v>
      </c>
      <c r="DB49">
        <v>0.44712260055285358</v>
      </c>
      <c r="DC49">
        <v>0.4210491958771701</v>
      </c>
      <c r="DD49">
        <v>0.44731745932789851</v>
      </c>
      <c r="DE49">
        <v>0.47546264189967674</v>
      </c>
      <c r="DF49">
        <v>0.35911408247057997</v>
      </c>
      <c r="DG49">
        <v>0.31851468829408131</v>
      </c>
      <c r="DH49">
        <v>0.27106373839512554</v>
      </c>
      <c r="DI49">
        <v>0.29224938909704395</v>
      </c>
      <c r="DJ49">
        <v>0.29788922533902901</v>
      </c>
      <c r="DK49">
        <v>0.33730103103888343</v>
      </c>
      <c r="DL49">
        <v>0.20445284723441512</v>
      </c>
      <c r="DM49">
        <v>0.17236651188460358</v>
      </c>
      <c r="DN49">
        <v>0.1698844375246723</v>
      </c>
      <c r="DO49">
        <v>0.20601991034888639</v>
      </c>
      <c r="DP49">
        <v>0.22146058383158984</v>
      </c>
      <c r="DQ49">
        <v>0.20351533556325468</v>
      </c>
      <c r="DR49">
        <v>0.3799939737207304</v>
      </c>
      <c r="DS49">
        <v>0.3481453499027572</v>
      </c>
      <c r="DT49">
        <v>0.33272906157036969</v>
      </c>
      <c r="DU49">
        <v>0.33781704597389078</v>
      </c>
      <c r="DV49">
        <v>0.3580052655762605</v>
      </c>
      <c r="DW49">
        <v>0.39434167389176095</v>
      </c>
      <c r="DY49" t="s">
        <v>194</v>
      </c>
      <c r="DZ49" t="s">
        <v>201</v>
      </c>
      <c r="EA49" t="s">
        <v>202</v>
      </c>
      <c r="EB49">
        <v>0.39520415088044214</v>
      </c>
    </row>
    <row r="50" spans="22:132" x14ac:dyDescent="0.25">
      <c r="V50" t="s">
        <v>185</v>
      </c>
      <c r="W50" t="s">
        <v>31</v>
      </c>
      <c r="X50">
        <v>0.34351493093107194</v>
      </c>
      <c r="Y50">
        <v>0.32571836361321449</v>
      </c>
      <c r="Z50">
        <v>0.33299123707032779</v>
      </c>
      <c r="AA50">
        <v>0.34167099637658283</v>
      </c>
      <c r="AB50">
        <v>0.33409858630288231</v>
      </c>
      <c r="AC50">
        <v>0.31044443835172641</v>
      </c>
      <c r="AD50">
        <v>0.31367384412174926</v>
      </c>
      <c r="AE50">
        <v>0.33016229784283735</v>
      </c>
      <c r="AF50">
        <v>0.37122391444307218</v>
      </c>
      <c r="AG50">
        <v>0.36394243298175832</v>
      </c>
      <c r="AH50">
        <v>0.35697541111926817</v>
      </c>
      <c r="AI50">
        <v>0.34544133344646766</v>
      </c>
      <c r="AJ50">
        <v>0.3580450323831017</v>
      </c>
      <c r="AK50">
        <v>0.39778327742149938</v>
      </c>
      <c r="AL50">
        <v>0.42275528246426164</v>
      </c>
      <c r="AM50">
        <v>0.42539910381266327</v>
      </c>
      <c r="AN50">
        <v>0.40002594710705047</v>
      </c>
      <c r="AO50">
        <v>0.37672293007277596</v>
      </c>
      <c r="AP50">
        <v>0.31836232760799976</v>
      </c>
      <c r="AQ50">
        <v>0.30696675234647558</v>
      </c>
      <c r="AR50">
        <v>0.35380166159911436</v>
      </c>
      <c r="AS50">
        <v>0.3578497667793053</v>
      </c>
      <c r="AT50">
        <v>0.36046104988697591</v>
      </c>
      <c r="AU50">
        <v>0.33016332231509843</v>
      </c>
      <c r="CY50" t="s">
        <v>185</v>
      </c>
      <c r="CZ50">
        <v>0.45676994243794022</v>
      </c>
      <c r="DA50">
        <v>0.46536754857615148</v>
      </c>
      <c r="DB50">
        <v>0.46831274532401618</v>
      </c>
      <c r="DC50">
        <v>0.4686131685488884</v>
      </c>
      <c r="DD50">
        <v>0.47847020550050062</v>
      </c>
      <c r="DE50">
        <v>0.50056455653665</v>
      </c>
      <c r="DF50">
        <v>0.38304101884047564</v>
      </c>
      <c r="DG50">
        <v>0.35323008702590625</v>
      </c>
      <c r="DH50">
        <v>0.32409337963050988</v>
      </c>
      <c r="DI50">
        <v>0.33605502385052344</v>
      </c>
      <c r="DJ50">
        <v>0.3344099866480168</v>
      </c>
      <c r="DK50">
        <v>0.34788656908233817</v>
      </c>
      <c r="DL50">
        <v>0.23470555462520545</v>
      </c>
      <c r="DM50">
        <v>0.22783401196632641</v>
      </c>
      <c r="DN50">
        <v>0.24092181940723192</v>
      </c>
      <c r="DO50">
        <v>0.26210011775509129</v>
      </c>
      <c r="DP50">
        <v>0.25934413363920916</v>
      </c>
      <c r="DQ50">
        <v>0.2124272382569885</v>
      </c>
      <c r="DR50">
        <v>0.42688782908257505</v>
      </c>
      <c r="DS50">
        <v>0.40657992493733774</v>
      </c>
      <c r="DT50">
        <v>0.39958120607461223</v>
      </c>
      <c r="DU50">
        <v>0.40232931520984833</v>
      </c>
      <c r="DV50">
        <v>0.40330258227842192</v>
      </c>
      <c r="DW50">
        <v>0.43758075967613425</v>
      </c>
      <c r="DY50" t="s">
        <v>195</v>
      </c>
      <c r="DZ50" t="s">
        <v>201</v>
      </c>
      <c r="EA50" t="s">
        <v>202</v>
      </c>
      <c r="EB50">
        <v>0.40835343051264172</v>
      </c>
    </row>
    <row r="51" spans="22:132" x14ac:dyDescent="0.25">
      <c r="V51" t="s">
        <v>186</v>
      </c>
      <c r="W51" t="s">
        <v>31</v>
      </c>
      <c r="X51">
        <v>0.37756853809849966</v>
      </c>
      <c r="Y51">
        <v>0.39199366803707925</v>
      </c>
      <c r="Z51">
        <v>0.4009763956310009</v>
      </c>
      <c r="AA51">
        <v>0.41385912126332136</v>
      </c>
      <c r="AB51">
        <v>0.38669662271532051</v>
      </c>
      <c r="AC51">
        <v>0.35171856216966146</v>
      </c>
      <c r="AD51">
        <v>0.34479421656501252</v>
      </c>
      <c r="AE51">
        <v>0.399748172038772</v>
      </c>
      <c r="AF51">
        <v>0.43057029544943221</v>
      </c>
      <c r="AG51">
        <v>0.42707410465637113</v>
      </c>
      <c r="AH51">
        <v>0.39327967329676877</v>
      </c>
      <c r="AI51">
        <v>0.35598735879950899</v>
      </c>
      <c r="AJ51">
        <v>0.41641686920382198</v>
      </c>
      <c r="AK51">
        <v>0.49403456986492483</v>
      </c>
      <c r="AL51">
        <v>0.53267633075940768</v>
      </c>
      <c r="AM51">
        <v>0.49247909948542334</v>
      </c>
      <c r="AN51">
        <v>0.4671797779295257</v>
      </c>
      <c r="AO51">
        <v>0.41094019588694486</v>
      </c>
      <c r="AP51">
        <v>0.36600398026073555</v>
      </c>
      <c r="AQ51">
        <v>0.33932673263322949</v>
      </c>
      <c r="AR51">
        <v>0.35893184880856055</v>
      </c>
      <c r="AS51">
        <v>0.37125046213998142</v>
      </c>
      <c r="AT51">
        <v>0.3805671032650409</v>
      </c>
      <c r="AU51">
        <v>0.36508824560206704</v>
      </c>
      <c r="CY51" t="s">
        <v>186</v>
      </c>
      <c r="CZ51">
        <v>0.34379841258519356</v>
      </c>
      <c r="DA51">
        <v>0.34784916655305526</v>
      </c>
      <c r="DB51">
        <v>0.35703947461610869</v>
      </c>
      <c r="DC51">
        <v>0.34969775006469683</v>
      </c>
      <c r="DD51">
        <v>0.36988360032641815</v>
      </c>
      <c r="DE51">
        <v>0.3855101707138936</v>
      </c>
      <c r="DF51">
        <v>0.24675846821009273</v>
      </c>
      <c r="DG51">
        <v>0.22236987460615718</v>
      </c>
      <c r="DH51">
        <v>0.21025824583977126</v>
      </c>
      <c r="DI51">
        <v>0.22475727309954535</v>
      </c>
      <c r="DJ51">
        <v>0.2298053482375754</v>
      </c>
      <c r="DK51">
        <v>0.24708963557049121</v>
      </c>
      <c r="DL51">
        <v>0.16831538768130933</v>
      </c>
      <c r="DM51">
        <v>0.15484315030869683</v>
      </c>
      <c r="DN51">
        <v>0.13387358665268195</v>
      </c>
      <c r="DO51">
        <v>0.13158077016548836</v>
      </c>
      <c r="DP51">
        <v>0.1377413806529636</v>
      </c>
      <c r="DQ51">
        <v>0.13662788103461324</v>
      </c>
      <c r="DR51">
        <v>0.31071380177614788</v>
      </c>
      <c r="DS51">
        <v>0.33260674623731978</v>
      </c>
      <c r="DT51">
        <v>0.31591229256333619</v>
      </c>
      <c r="DU51">
        <v>0.28581173777845403</v>
      </c>
      <c r="DV51">
        <v>0.27597060101301624</v>
      </c>
      <c r="DW51">
        <v>0.31095176912427919</v>
      </c>
      <c r="DY51" t="s">
        <v>166</v>
      </c>
      <c r="DZ51" t="s">
        <v>201</v>
      </c>
      <c r="EA51" t="s">
        <v>202</v>
      </c>
      <c r="EB51">
        <v>0.42908780564487486</v>
      </c>
    </row>
    <row r="52" spans="22:132" x14ac:dyDescent="0.25">
      <c r="V52" t="s">
        <v>187</v>
      </c>
      <c r="W52" t="s">
        <v>31</v>
      </c>
      <c r="X52">
        <v>0.37441521860644356</v>
      </c>
      <c r="Y52">
        <v>0.3780092838332989</v>
      </c>
      <c r="Z52">
        <v>0.38120627040206889</v>
      </c>
      <c r="AA52">
        <v>0.39418930447008771</v>
      </c>
      <c r="AB52">
        <v>0.37422500181350055</v>
      </c>
      <c r="AC52">
        <v>0.35850421547976197</v>
      </c>
      <c r="AD52">
        <v>0.31407295899791349</v>
      </c>
      <c r="AE52">
        <v>0.36238324020026785</v>
      </c>
      <c r="AF52">
        <v>0.43783528706541924</v>
      </c>
      <c r="AG52">
        <v>0.41952029033631222</v>
      </c>
      <c r="AH52">
        <v>0.40537355873230224</v>
      </c>
      <c r="AI52">
        <v>0.36237563903984543</v>
      </c>
      <c r="AJ52">
        <v>0.34831210641394877</v>
      </c>
      <c r="AK52">
        <v>0.45723469554333152</v>
      </c>
      <c r="AL52">
        <v>0.51771793281359657</v>
      </c>
      <c r="AM52">
        <v>0.49876633447983876</v>
      </c>
      <c r="AN52">
        <v>0.47065501622635619</v>
      </c>
      <c r="AO52">
        <v>0.39580498380134244</v>
      </c>
      <c r="AP52">
        <v>0.34696646230071659</v>
      </c>
      <c r="AQ52">
        <v>0.30929798039043555</v>
      </c>
      <c r="AR52">
        <v>0.35435971396754007</v>
      </c>
      <c r="AS52">
        <v>0.37250714233369697</v>
      </c>
      <c r="AT52">
        <v>0.38585190128031749</v>
      </c>
      <c r="AU52">
        <v>0.36133982225569355</v>
      </c>
      <c r="CY52" t="s">
        <v>187</v>
      </c>
      <c r="CZ52">
        <v>0.38496226362010777</v>
      </c>
      <c r="DA52">
        <v>0.39496482074367267</v>
      </c>
      <c r="DB52">
        <v>0.39868914315083104</v>
      </c>
      <c r="DC52">
        <v>0.38067712237824025</v>
      </c>
      <c r="DD52">
        <v>0.38842539662607345</v>
      </c>
      <c r="DE52">
        <v>0.41728200541797644</v>
      </c>
      <c r="DF52">
        <v>0.32322869192083897</v>
      </c>
      <c r="DG52">
        <v>0.26791893550951779</v>
      </c>
      <c r="DH52">
        <v>0.21133384158829926</v>
      </c>
      <c r="DI52">
        <v>0.24378474999300534</v>
      </c>
      <c r="DJ52">
        <v>0.25451292012794963</v>
      </c>
      <c r="DK52">
        <v>0.28702108364044071</v>
      </c>
      <c r="DL52">
        <v>0.2166804384806765</v>
      </c>
      <c r="DM52">
        <v>0.18331108318275308</v>
      </c>
      <c r="DN52">
        <v>0.17557501992642818</v>
      </c>
      <c r="DO52">
        <v>0.18924442454073753</v>
      </c>
      <c r="DP52">
        <v>0.18785041539464722</v>
      </c>
      <c r="DQ52">
        <v>0.17663215759422979</v>
      </c>
      <c r="DR52">
        <v>0.36110720620268627</v>
      </c>
      <c r="DS52">
        <v>0.3475972440259073</v>
      </c>
      <c r="DT52">
        <v>0.32009902575027838</v>
      </c>
      <c r="DU52">
        <v>0.32003867029557226</v>
      </c>
      <c r="DV52">
        <v>0.33534650631637891</v>
      </c>
      <c r="DW52">
        <v>0.36828250364591869</v>
      </c>
      <c r="DY52" t="s">
        <v>167</v>
      </c>
      <c r="DZ52" t="s">
        <v>201</v>
      </c>
      <c r="EA52" t="s">
        <v>202</v>
      </c>
      <c r="EB52">
        <v>0.6252011711639337</v>
      </c>
    </row>
    <row r="53" spans="22:132" x14ac:dyDescent="0.25">
      <c r="V53" t="s">
        <v>188</v>
      </c>
      <c r="W53" t="s">
        <v>31</v>
      </c>
      <c r="X53">
        <v>0.37350637347038818</v>
      </c>
      <c r="Y53">
        <v>0.39683561845791909</v>
      </c>
      <c r="Z53">
        <v>0.41498874702767496</v>
      </c>
      <c r="AA53">
        <v>0.43353472219377648</v>
      </c>
      <c r="AB53">
        <v>0.39859662241463489</v>
      </c>
      <c r="AC53">
        <v>0.36397543300858659</v>
      </c>
      <c r="AD53">
        <v>0.29786617078329547</v>
      </c>
      <c r="AE53">
        <v>0.35714428236498419</v>
      </c>
      <c r="AF53">
        <v>0.4233847053970991</v>
      </c>
      <c r="AG53">
        <v>0.4112154555634141</v>
      </c>
      <c r="AH53">
        <v>0.38803529502654982</v>
      </c>
      <c r="AI53">
        <v>0.34941122756449677</v>
      </c>
      <c r="AJ53">
        <v>0.35343900118681354</v>
      </c>
      <c r="AK53">
        <v>0.47457449460584011</v>
      </c>
      <c r="AL53">
        <v>0.53228477915586514</v>
      </c>
      <c r="AM53">
        <v>0.49598647203955271</v>
      </c>
      <c r="AN53">
        <v>0.49471628577563664</v>
      </c>
      <c r="AO53">
        <v>0.4420918508537996</v>
      </c>
      <c r="AP53">
        <v>0.35625222038661125</v>
      </c>
      <c r="AQ53">
        <v>0.35009151194064664</v>
      </c>
      <c r="AR53">
        <v>0.36849731939238334</v>
      </c>
      <c r="AS53">
        <v>0.37073938329061995</v>
      </c>
      <c r="AT53">
        <v>0.37374617169533375</v>
      </c>
      <c r="AU53">
        <v>0.34588218032385398</v>
      </c>
      <c r="CY53" t="s">
        <v>188</v>
      </c>
      <c r="CZ53">
        <v>0.37145997117391338</v>
      </c>
      <c r="DA53">
        <v>0.36586458292947549</v>
      </c>
      <c r="DB53">
        <v>0.36162465971212149</v>
      </c>
      <c r="DC53">
        <v>0.35367421246428338</v>
      </c>
      <c r="DD53">
        <v>0.37649651506395304</v>
      </c>
      <c r="DE53">
        <v>0.39998748631496894</v>
      </c>
      <c r="DF53">
        <v>0.32825904498212344</v>
      </c>
      <c r="DG53">
        <v>0.26957976959979585</v>
      </c>
      <c r="DH53">
        <v>0.21931505943977506</v>
      </c>
      <c r="DI53">
        <v>0.25189639397336028</v>
      </c>
      <c r="DJ53">
        <v>0.266768796075395</v>
      </c>
      <c r="DK53">
        <v>0.29352044702844854</v>
      </c>
      <c r="DL53">
        <v>0.21304659826586034</v>
      </c>
      <c r="DM53">
        <v>0.17138173284968158</v>
      </c>
      <c r="DN53">
        <v>0.15634204712170249</v>
      </c>
      <c r="DO53">
        <v>0.16316581633329186</v>
      </c>
      <c r="DP53">
        <v>0.16912565409773556</v>
      </c>
      <c r="DQ53">
        <v>0.16492582164291825</v>
      </c>
      <c r="DR53">
        <v>0.35148720239281672</v>
      </c>
      <c r="DS53">
        <v>0.33442435209693128</v>
      </c>
      <c r="DT53">
        <v>0.30325056734019556</v>
      </c>
      <c r="DU53">
        <v>0.30762380905269376</v>
      </c>
      <c r="DV53">
        <v>0.31761798924999457</v>
      </c>
      <c r="DW53">
        <v>0.36200952671747627</v>
      </c>
      <c r="DY53" t="s">
        <v>168</v>
      </c>
      <c r="DZ53" t="s">
        <v>201</v>
      </c>
      <c r="EA53" t="s">
        <v>202</v>
      </c>
      <c r="EB53">
        <v>0.54635029421576531</v>
      </c>
    </row>
    <row r="54" spans="22:132" x14ac:dyDescent="0.25">
      <c r="V54" t="s">
        <v>189</v>
      </c>
      <c r="W54" t="s">
        <v>31</v>
      </c>
      <c r="X54">
        <v>0.36326079480053169</v>
      </c>
      <c r="Y54">
        <v>0.37048036312756799</v>
      </c>
      <c r="Z54">
        <v>0.37283216756575333</v>
      </c>
      <c r="AA54">
        <v>0.3872612263640563</v>
      </c>
      <c r="AB54">
        <v>0.36380287293499386</v>
      </c>
      <c r="AC54">
        <v>0.33569316375874603</v>
      </c>
      <c r="AD54">
        <v>0.30614164685406597</v>
      </c>
      <c r="AE54">
        <v>0.34649515680180865</v>
      </c>
      <c r="AF54">
        <v>0.40845888311049577</v>
      </c>
      <c r="AG54">
        <v>0.40397757260849687</v>
      </c>
      <c r="AH54">
        <v>0.40487338138546441</v>
      </c>
      <c r="AI54">
        <v>0.37830524645125024</v>
      </c>
      <c r="AJ54">
        <v>0.3494706248227023</v>
      </c>
      <c r="AK54">
        <v>0.46197757757796204</v>
      </c>
      <c r="AL54">
        <v>0.49573026843820805</v>
      </c>
      <c r="AM54">
        <v>0.45873587991244608</v>
      </c>
      <c r="AN54">
        <v>0.44984381494348458</v>
      </c>
      <c r="AO54">
        <v>0.37992493895758866</v>
      </c>
      <c r="AP54">
        <v>0.34941461601624629</v>
      </c>
      <c r="AQ54">
        <v>0.35246078425349719</v>
      </c>
      <c r="AR54">
        <v>0.37662725937805513</v>
      </c>
      <c r="AS54">
        <v>0.37480375099063151</v>
      </c>
      <c r="AT54">
        <v>0.36593579793820669</v>
      </c>
      <c r="AU54">
        <v>0.33771446376583125</v>
      </c>
      <c r="CY54" t="s">
        <v>189</v>
      </c>
      <c r="CZ54">
        <v>0.38678735714219276</v>
      </c>
      <c r="DA54">
        <v>0.38774659040397758</v>
      </c>
      <c r="DB54">
        <v>0.37887119238887601</v>
      </c>
      <c r="DC54">
        <v>0.37883935707213806</v>
      </c>
      <c r="DD54">
        <v>0.39331453165248897</v>
      </c>
      <c r="DE54">
        <v>0.42460296712114737</v>
      </c>
      <c r="DF54">
        <v>0.34302321696122506</v>
      </c>
      <c r="DG54">
        <v>0.30401364340699039</v>
      </c>
      <c r="DH54">
        <v>0.23829140516261799</v>
      </c>
      <c r="DI54">
        <v>0.25662421057564855</v>
      </c>
      <c r="DJ54">
        <v>0.26456213625228114</v>
      </c>
      <c r="DK54">
        <v>0.30154504030554519</v>
      </c>
      <c r="DL54">
        <v>0.19650061576128347</v>
      </c>
      <c r="DM54">
        <v>0.16332306803852559</v>
      </c>
      <c r="DN54">
        <v>0.16711329677037659</v>
      </c>
      <c r="DO54">
        <v>0.18479904734133229</v>
      </c>
      <c r="DP54">
        <v>0.19187763391494886</v>
      </c>
      <c r="DQ54">
        <v>0.18840487910147879</v>
      </c>
      <c r="DR54">
        <v>0.34302789866551725</v>
      </c>
      <c r="DS54">
        <v>0.32382887155083712</v>
      </c>
      <c r="DT54">
        <v>0.30658156736658398</v>
      </c>
      <c r="DU54">
        <v>0.32362855776876515</v>
      </c>
      <c r="DV54">
        <v>0.33840263494920753</v>
      </c>
      <c r="DW54">
        <v>0.37551249406247161</v>
      </c>
      <c r="DY54" t="s">
        <v>169</v>
      </c>
      <c r="DZ54" t="s">
        <v>201</v>
      </c>
      <c r="EA54" t="s">
        <v>202</v>
      </c>
      <c r="EB54">
        <v>0.62587310452333289</v>
      </c>
    </row>
    <row r="55" spans="22:132" x14ac:dyDescent="0.25">
      <c r="V55" t="s">
        <v>190</v>
      </c>
      <c r="W55" t="s">
        <v>31</v>
      </c>
      <c r="X55">
        <v>0.47946318844959684</v>
      </c>
      <c r="Y55">
        <v>0.50007298598375483</v>
      </c>
      <c r="Z55">
        <v>0.51211525549570736</v>
      </c>
      <c r="AA55">
        <v>0.50656174694572209</v>
      </c>
      <c r="AB55">
        <v>0.47661559929203273</v>
      </c>
      <c r="AC55">
        <v>0.46348921443770502</v>
      </c>
      <c r="AD55">
        <v>0.48468150676125832</v>
      </c>
      <c r="AE55">
        <v>0.50607230864181174</v>
      </c>
      <c r="AF55">
        <v>0.49491436448604836</v>
      </c>
      <c r="AG55">
        <v>0.46317358822073801</v>
      </c>
      <c r="AH55">
        <v>0.42942013977353527</v>
      </c>
      <c r="AI55">
        <v>0.45287120224353583</v>
      </c>
      <c r="AJ55">
        <v>0.46107702068551737</v>
      </c>
      <c r="AK55">
        <v>0.55539473743284307</v>
      </c>
      <c r="AL55">
        <v>0.49789329270139532</v>
      </c>
      <c r="AM55">
        <v>0.40436351073156823</v>
      </c>
      <c r="AN55">
        <v>0.35672164061735862</v>
      </c>
      <c r="AO55">
        <v>0.38745578777877676</v>
      </c>
      <c r="AP55">
        <v>0.47177050106539653</v>
      </c>
      <c r="AQ55">
        <v>0.49334491201195257</v>
      </c>
      <c r="AR55">
        <v>0.50481208778482545</v>
      </c>
      <c r="AS55">
        <v>0.47353444139469802</v>
      </c>
      <c r="AT55">
        <v>0.46675890220967897</v>
      </c>
      <c r="AU55">
        <v>0.45479270449584747</v>
      </c>
      <c r="CY55" t="s">
        <v>190</v>
      </c>
      <c r="CZ55">
        <v>0.18510747170295577</v>
      </c>
      <c r="DA55">
        <v>0.18967650878867418</v>
      </c>
      <c r="DB55">
        <v>0.18026930579329437</v>
      </c>
      <c r="DC55">
        <v>0.18622721365653661</v>
      </c>
      <c r="DD55">
        <v>0.19647379391952155</v>
      </c>
      <c r="DE55">
        <v>0.19583465859809721</v>
      </c>
      <c r="DF55">
        <v>0.10476183583830759</v>
      </c>
      <c r="DG55">
        <v>0.1004828708262246</v>
      </c>
      <c r="DH55">
        <v>0.10775804951516466</v>
      </c>
      <c r="DI55">
        <v>0.13753629679655544</v>
      </c>
      <c r="DJ55">
        <v>0.14345250262919743</v>
      </c>
      <c r="DK55">
        <v>0.1226639043093234</v>
      </c>
      <c r="DL55">
        <v>3.2300384600521634E-2</v>
      </c>
      <c r="DM55">
        <v>3.490902260428156E-2</v>
      </c>
      <c r="DN55">
        <v>5.7843532763094146E-2</v>
      </c>
      <c r="DO55">
        <v>6.7469265736549502E-2</v>
      </c>
      <c r="DP55">
        <v>7.7795963282477607E-2</v>
      </c>
      <c r="DQ55">
        <v>5.8363215627019974E-2</v>
      </c>
      <c r="DR55">
        <v>0.11909587238784261</v>
      </c>
      <c r="DS55">
        <v>0.10977332539655736</v>
      </c>
      <c r="DT55">
        <v>0.11608284999960497</v>
      </c>
      <c r="DU55">
        <v>0.14644108522510099</v>
      </c>
      <c r="DV55">
        <v>0.15648464572797535</v>
      </c>
      <c r="DW55">
        <v>0.14888527889302644</v>
      </c>
      <c r="DY55" t="s">
        <v>170</v>
      </c>
      <c r="DZ55" t="s">
        <v>201</v>
      </c>
      <c r="EA55" t="s">
        <v>202</v>
      </c>
      <c r="EB55">
        <v>0.62458061588113156</v>
      </c>
    </row>
    <row r="56" spans="22:132" x14ac:dyDescent="0.25">
      <c r="V56" t="s">
        <v>191</v>
      </c>
      <c r="W56" t="s">
        <v>31</v>
      </c>
      <c r="X56">
        <v>0.34126141904937163</v>
      </c>
      <c r="Y56">
        <v>0.33707449957980812</v>
      </c>
      <c r="Z56">
        <v>0.36193970561997735</v>
      </c>
      <c r="AA56">
        <v>0.38616228732468072</v>
      </c>
      <c r="AB56">
        <v>0.35567612867154846</v>
      </c>
      <c r="AC56">
        <v>0.33188765955280164</v>
      </c>
      <c r="AD56">
        <v>0.40431182322944331</v>
      </c>
      <c r="AE56">
        <v>0.44330024264403312</v>
      </c>
      <c r="AF56">
        <v>0.46136905563441943</v>
      </c>
      <c r="AG56">
        <v>0.45801566539209859</v>
      </c>
      <c r="AH56">
        <v>0.40562483103140046</v>
      </c>
      <c r="AI56">
        <v>0.3645297933247138</v>
      </c>
      <c r="AJ56">
        <v>0.40137203049693593</v>
      </c>
      <c r="AK56">
        <v>0.48619128431350389</v>
      </c>
      <c r="AL56">
        <v>0.49923045360536139</v>
      </c>
      <c r="AM56">
        <v>0.49182605349508807</v>
      </c>
      <c r="AN56">
        <v>0.40812777566045727</v>
      </c>
      <c r="AO56">
        <v>0.37230142740367023</v>
      </c>
      <c r="AP56">
        <v>0.37143720451100676</v>
      </c>
      <c r="AQ56">
        <v>0.39829813504913542</v>
      </c>
      <c r="AR56">
        <v>0.43078732731125902</v>
      </c>
      <c r="AS56">
        <v>0.4328888854659747</v>
      </c>
      <c r="AT56">
        <v>0.41628624948017501</v>
      </c>
      <c r="AU56">
        <v>0.36901103345092096</v>
      </c>
      <c r="CY56" t="s">
        <v>191</v>
      </c>
      <c r="CZ56">
        <v>0.45034413214920277</v>
      </c>
      <c r="DA56">
        <v>0.44451165672160392</v>
      </c>
      <c r="DB56">
        <v>0.4225006138430642</v>
      </c>
      <c r="DC56">
        <v>0.41756250224382302</v>
      </c>
      <c r="DD56">
        <v>0.45057749038981121</v>
      </c>
      <c r="DE56">
        <v>0.47500152754079666</v>
      </c>
      <c r="DF56">
        <v>0.28549636113132459</v>
      </c>
      <c r="DG56">
        <v>0.27597544752055969</v>
      </c>
      <c r="DH56">
        <v>0.26419208248777398</v>
      </c>
      <c r="DI56">
        <v>0.27410025762081736</v>
      </c>
      <c r="DJ56">
        <v>0.28435092469145473</v>
      </c>
      <c r="DK56">
        <v>0.30328594121738051</v>
      </c>
      <c r="DL56">
        <v>0.12869988844111352</v>
      </c>
      <c r="DM56">
        <v>0.11517547234257182</v>
      </c>
      <c r="DN56">
        <v>0.11592504591264124</v>
      </c>
      <c r="DO56">
        <v>0.12342107959375606</v>
      </c>
      <c r="DP56">
        <v>0.13033674970672091</v>
      </c>
      <c r="DQ56">
        <v>0.13138620718637367</v>
      </c>
      <c r="DR56">
        <v>0.35406640239978543</v>
      </c>
      <c r="DS56">
        <v>0.33501043873815345</v>
      </c>
      <c r="DT56">
        <v>0.3282990807771709</v>
      </c>
      <c r="DU56">
        <v>0.330014328937971</v>
      </c>
      <c r="DV56">
        <v>0.33633414700845055</v>
      </c>
      <c r="DW56">
        <v>0.35791402858258325</v>
      </c>
      <c r="DY56" t="s">
        <v>171</v>
      </c>
      <c r="DZ56" t="s">
        <v>201</v>
      </c>
      <c r="EA56" t="s">
        <v>202</v>
      </c>
      <c r="EB56">
        <v>0.61215447825322877</v>
      </c>
    </row>
    <row r="57" spans="22:132" x14ac:dyDescent="0.25">
      <c r="V57" t="s">
        <v>192</v>
      </c>
      <c r="W57" t="s">
        <v>31</v>
      </c>
      <c r="X57">
        <v>0.36424548240321808</v>
      </c>
      <c r="Y57">
        <v>0.38566707370081993</v>
      </c>
      <c r="Z57">
        <v>0.40595320676182606</v>
      </c>
      <c r="AA57">
        <v>0.41686120910538249</v>
      </c>
      <c r="AB57">
        <v>0.38860653230717379</v>
      </c>
      <c r="AC57">
        <v>0.3500169119636421</v>
      </c>
      <c r="AD57">
        <v>0.41250829941854883</v>
      </c>
      <c r="AE57">
        <v>0.45283689907161229</v>
      </c>
      <c r="AF57">
        <v>0.45820460777864952</v>
      </c>
      <c r="AG57">
        <v>0.43357047488363198</v>
      </c>
      <c r="AH57">
        <v>0.38420978612796614</v>
      </c>
      <c r="AI57">
        <v>0.35307048236301708</v>
      </c>
      <c r="AJ57">
        <v>0.3825905886551646</v>
      </c>
      <c r="AK57">
        <v>0.49259016235556263</v>
      </c>
      <c r="AL57">
        <v>0.50447389075390103</v>
      </c>
      <c r="AM57">
        <v>0.47068327397827392</v>
      </c>
      <c r="AN57">
        <v>0.42664175896236955</v>
      </c>
      <c r="AO57">
        <v>0.37135841269784808</v>
      </c>
      <c r="AP57">
        <v>0.3825400368853113</v>
      </c>
      <c r="AQ57">
        <v>0.40388660504964868</v>
      </c>
      <c r="AR57">
        <v>0.44681916887855316</v>
      </c>
      <c r="AS57">
        <v>0.44828931711428205</v>
      </c>
      <c r="AT57">
        <v>0.42301782113487069</v>
      </c>
      <c r="AU57">
        <v>0.37193185189650629</v>
      </c>
      <c r="CY57" t="s">
        <v>192</v>
      </c>
      <c r="CZ57">
        <v>0.31426425078240183</v>
      </c>
      <c r="DA57">
        <v>0.32002545316920972</v>
      </c>
      <c r="DB57">
        <v>0.2947371203578017</v>
      </c>
      <c r="DC57">
        <v>0.28822881577267173</v>
      </c>
      <c r="DD57">
        <v>0.31476224093203337</v>
      </c>
      <c r="DE57">
        <v>0.32873175494178203</v>
      </c>
      <c r="DF57">
        <v>0.22808778689507267</v>
      </c>
      <c r="DG57">
        <v>0.22168915611000753</v>
      </c>
      <c r="DH57">
        <v>0.21027881883671362</v>
      </c>
      <c r="DI57">
        <v>0.21677185570102339</v>
      </c>
      <c r="DJ57">
        <v>0.22077715809139431</v>
      </c>
      <c r="DK57">
        <v>0.23775577094543757</v>
      </c>
      <c r="DL57">
        <v>0.10983419210968404</v>
      </c>
      <c r="DM57">
        <v>0.10003434956899458</v>
      </c>
      <c r="DN57">
        <v>0.10347725715277459</v>
      </c>
      <c r="DO57">
        <v>0.10568747253683335</v>
      </c>
      <c r="DP57">
        <v>0.12994526155798317</v>
      </c>
      <c r="DQ57">
        <v>0.12408371873464041</v>
      </c>
      <c r="DR57">
        <v>0.250499262094729</v>
      </c>
      <c r="DS57">
        <v>0.22501423486448754</v>
      </c>
      <c r="DT57">
        <v>0.21975512214072293</v>
      </c>
      <c r="DU57">
        <v>0.24186621162917968</v>
      </c>
      <c r="DV57">
        <v>0.26684763694808922</v>
      </c>
      <c r="DW57">
        <v>0.29389901121627221</v>
      </c>
      <c r="DY57" t="s">
        <v>172</v>
      </c>
      <c r="DZ57" t="s">
        <v>201</v>
      </c>
      <c r="EA57" t="s">
        <v>202</v>
      </c>
      <c r="EB57">
        <v>0.51226688952260158</v>
      </c>
    </row>
    <row r="58" spans="22:132" x14ac:dyDescent="0.25">
      <c r="V58" t="s">
        <v>193</v>
      </c>
      <c r="W58" t="s">
        <v>31</v>
      </c>
      <c r="X58">
        <v>0.38240671219705508</v>
      </c>
      <c r="Y58">
        <v>0.40616617169961433</v>
      </c>
      <c r="Z58">
        <v>0.42751873422665826</v>
      </c>
      <c r="AA58">
        <v>0.4308993884181439</v>
      </c>
      <c r="AB58">
        <v>0.41110078173354431</v>
      </c>
      <c r="AC58">
        <v>0.3810951806487316</v>
      </c>
      <c r="AD58">
        <v>0.3523213679243638</v>
      </c>
      <c r="AE58">
        <v>0.40949751412766189</v>
      </c>
      <c r="AF58">
        <v>0.42912209266406964</v>
      </c>
      <c r="AG58">
        <v>0.40830715011193058</v>
      </c>
      <c r="AH58">
        <v>0.38932712574984935</v>
      </c>
      <c r="AI58">
        <v>0.37248430757210249</v>
      </c>
      <c r="AJ58">
        <v>0.41298601772676713</v>
      </c>
      <c r="AK58">
        <v>0.47269525436247584</v>
      </c>
      <c r="AL58">
        <v>0.4797339210689866</v>
      </c>
      <c r="AM58">
        <v>0.46680131815758802</v>
      </c>
      <c r="AN58">
        <v>0.41767146865784449</v>
      </c>
      <c r="AO58">
        <v>0.37419463161411287</v>
      </c>
      <c r="AP58">
        <v>0.40023771878145475</v>
      </c>
      <c r="AQ58">
        <v>0.39345276289588638</v>
      </c>
      <c r="AR58">
        <v>0.39665373710162355</v>
      </c>
      <c r="AS58">
        <v>0.36738829015405466</v>
      </c>
      <c r="AT58">
        <v>0.3711029153521222</v>
      </c>
      <c r="AU58">
        <v>0.37671086467822334</v>
      </c>
      <c r="CY58" t="s">
        <v>193</v>
      </c>
      <c r="CZ58">
        <v>0.31356908637741143</v>
      </c>
      <c r="DA58">
        <v>0.30908111787384279</v>
      </c>
      <c r="DB58">
        <v>0.30766759514807496</v>
      </c>
      <c r="DC58">
        <v>0.30959823068446063</v>
      </c>
      <c r="DD58">
        <v>0.33411973545243823</v>
      </c>
      <c r="DE58">
        <v>0.34519046247553392</v>
      </c>
      <c r="DF58">
        <v>0.23381543414693173</v>
      </c>
      <c r="DG58">
        <v>0.22370818355840158</v>
      </c>
      <c r="DH58">
        <v>0.23388353074781554</v>
      </c>
      <c r="DI58">
        <v>0.25166633476022376</v>
      </c>
      <c r="DJ58">
        <v>0.25813378491312849</v>
      </c>
      <c r="DK58">
        <v>0.25884641000147313</v>
      </c>
      <c r="DL58">
        <v>0.13155224624658229</v>
      </c>
      <c r="DM58">
        <v>0.12344663098359589</v>
      </c>
      <c r="DN58">
        <v>0.12978133933788738</v>
      </c>
      <c r="DO58">
        <v>0.13191260463387805</v>
      </c>
      <c r="DP58">
        <v>0.13502633520051346</v>
      </c>
      <c r="DQ58">
        <v>0.12449048578788932</v>
      </c>
      <c r="DR58">
        <v>0.25634116794620088</v>
      </c>
      <c r="DS58">
        <v>0.25375799015916112</v>
      </c>
      <c r="DT58">
        <v>0.27801052554640399</v>
      </c>
      <c r="DU58">
        <v>0.28204825778725223</v>
      </c>
      <c r="DV58">
        <v>0.2761128728274207</v>
      </c>
      <c r="DW58">
        <v>0.28476345796784408</v>
      </c>
      <c r="DY58" t="s">
        <v>173</v>
      </c>
      <c r="DZ58" t="s">
        <v>201</v>
      </c>
      <c r="EA58" t="s">
        <v>202</v>
      </c>
      <c r="EB58">
        <v>0.63839500937749061</v>
      </c>
    </row>
    <row r="59" spans="22:132" x14ac:dyDescent="0.25">
      <c r="V59" t="s">
        <v>194</v>
      </c>
      <c r="W59" t="s">
        <v>31</v>
      </c>
      <c r="X59">
        <v>0.3504637026941369</v>
      </c>
      <c r="Y59">
        <v>0.36892457112505134</v>
      </c>
      <c r="Z59">
        <v>0.40431627782737101</v>
      </c>
      <c r="AA59">
        <v>0.41642224781631998</v>
      </c>
      <c r="AB59">
        <v>0.35919409187017515</v>
      </c>
      <c r="AC59">
        <v>0.34394935238294266</v>
      </c>
      <c r="AD59">
        <v>0.33712300545637808</v>
      </c>
      <c r="AE59">
        <v>0.395907050623445</v>
      </c>
      <c r="AF59">
        <v>0.45027271197249652</v>
      </c>
      <c r="AG59">
        <v>0.42075936373201378</v>
      </c>
      <c r="AH59">
        <v>0.37303308638553401</v>
      </c>
      <c r="AI59">
        <v>0.35596664958636992</v>
      </c>
      <c r="AJ59">
        <v>0.3463607819959319</v>
      </c>
      <c r="AK59">
        <v>0.46500533329267313</v>
      </c>
      <c r="AL59">
        <v>0.5107343191409055</v>
      </c>
      <c r="AM59">
        <v>0.49019527957519604</v>
      </c>
      <c r="AN59">
        <v>0.45967794706573689</v>
      </c>
      <c r="AO59">
        <v>0.40852979842321413</v>
      </c>
      <c r="AP59">
        <v>0.36696967329485397</v>
      </c>
      <c r="AQ59">
        <v>0.39999793083003626</v>
      </c>
      <c r="AR59">
        <v>0.449801736909405</v>
      </c>
      <c r="AS59">
        <v>0.43978413426150265</v>
      </c>
      <c r="AT59">
        <v>0.38489864140059049</v>
      </c>
      <c r="AU59">
        <v>0.3399458948169562</v>
      </c>
      <c r="CY59" t="s">
        <v>194</v>
      </c>
      <c r="CZ59">
        <v>0.36027428047800436</v>
      </c>
      <c r="DA59">
        <v>0.35978353825733334</v>
      </c>
      <c r="DB59">
        <v>0.34869681973661626</v>
      </c>
      <c r="DC59">
        <v>0.34729349319719238</v>
      </c>
      <c r="DD59">
        <v>0.38351738284734149</v>
      </c>
      <c r="DE59">
        <v>0.39520548013185403</v>
      </c>
      <c r="DF59">
        <v>0.26928555082313776</v>
      </c>
      <c r="DG59">
        <v>0.22679352221356969</v>
      </c>
      <c r="DH59">
        <v>0.19090696420947253</v>
      </c>
      <c r="DI59">
        <v>0.20814172033972289</v>
      </c>
      <c r="DJ59">
        <v>0.23148882588308448</v>
      </c>
      <c r="DK59">
        <v>0.26363785989911404</v>
      </c>
      <c r="DL59">
        <v>0.13931922289256365</v>
      </c>
      <c r="DM59">
        <v>0.11574240366355307</v>
      </c>
      <c r="DN59">
        <v>0.11551124066546502</v>
      </c>
      <c r="DO59">
        <v>0.11449001712482042</v>
      </c>
      <c r="DP59">
        <v>0.12781716720408817</v>
      </c>
      <c r="DQ59">
        <v>0.12735324474407392</v>
      </c>
      <c r="DR59">
        <v>0.27513907574116458</v>
      </c>
      <c r="DS59">
        <v>0.24758398020494721</v>
      </c>
      <c r="DT59">
        <v>0.23554608647602102</v>
      </c>
      <c r="DU59">
        <v>0.25495206096724321</v>
      </c>
      <c r="DV59">
        <v>0.28940309660690677</v>
      </c>
      <c r="DW59">
        <v>0.31965241334179151</v>
      </c>
      <c r="DY59" t="s">
        <v>174</v>
      </c>
      <c r="DZ59" t="s">
        <v>201</v>
      </c>
      <c r="EA59" t="s">
        <v>202</v>
      </c>
      <c r="EB59">
        <v>0.63843392236432506</v>
      </c>
    </row>
    <row r="60" spans="22:132" x14ac:dyDescent="0.25">
      <c r="V60" t="s">
        <v>195</v>
      </c>
      <c r="W60" t="s">
        <v>31</v>
      </c>
      <c r="X60">
        <v>0.35822178644744701</v>
      </c>
      <c r="Y60">
        <v>0.37916600576752524</v>
      </c>
      <c r="Z60">
        <v>0.39038497984326598</v>
      </c>
      <c r="AA60">
        <v>0.40237757334018759</v>
      </c>
      <c r="AB60">
        <v>0.37995572450617421</v>
      </c>
      <c r="AC60">
        <v>0.3660397088285795</v>
      </c>
      <c r="AD60">
        <v>0.3355689519691975</v>
      </c>
      <c r="AE60">
        <v>0.40058331924077767</v>
      </c>
      <c r="AF60">
        <v>0.42903961607255814</v>
      </c>
      <c r="AG60">
        <v>0.40743028394996961</v>
      </c>
      <c r="AH60">
        <v>0.39297525806665101</v>
      </c>
      <c r="AI60">
        <v>0.37615530974154998</v>
      </c>
      <c r="AJ60">
        <v>0.38045962555777457</v>
      </c>
      <c r="AK60">
        <v>0.47766068552871588</v>
      </c>
      <c r="AL60">
        <v>0.49604662446558501</v>
      </c>
      <c r="AM60">
        <v>0.44736959058898024</v>
      </c>
      <c r="AN60">
        <v>0.41681640630880451</v>
      </c>
      <c r="AO60">
        <v>0.41178292079550127</v>
      </c>
      <c r="AP60">
        <v>0.38347186987189313</v>
      </c>
      <c r="AQ60">
        <v>0.42483872268511597</v>
      </c>
      <c r="AR60">
        <v>0.45244172143052053</v>
      </c>
      <c r="AS60">
        <v>0.41993677996274809</v>
      </c>
      <c r="AT60">
        <v>0.3892857233201506</v>
      </c>
      <c r="AU60">
        <v>0.35115392957830882</v>
      </c>
      <c r="CY60" t="s">
        <v>195</v>
      </c>
      <c r="CZ60">
        <v>0.38349770714868109</v>
      </c>
      <c r="DA60">
        <v>0.39040482373698188</v>
      </c>
      <c r="DB60">
        <v>0.37239819232333482</v>
      </c>
      <c r="DC60">
        <v>0.36045265525682935</v>
      </c>
      <c r="DD60">
        <v>0.39998295751130769</v>
      </c>
      <c r="DE60">
        <v>0.40835343051264172</v>
      </c>
      <c r="DF60">
        <v>0.27526220804949042</v>
      </c>
      <c r="DG60">
        <v>0.23748196419799644</v>
      </c>
      <c r="DH60">
        <v>0.22280388024557615</v>
      </c>
      <c r="DI60">
        <v>0.23809786233458841</v>
      </c>
      <c r="DJ60">
        <v>0.24874516070105346</v>
      </c>
      <c r="DK60">
        <v>0.2686651005067715</v>
      </c>
      <c r="DL60">
        <v>0.13701204133696485</v>
      </c>
      <c r="DM60">
        <v>0.12358811096297492</v>
      </c>
      <c r="DN60">
        <v>0.12826285729640874</v>
      </c>
      <c r="DO60">
        <v>0.11879491609265595</v>
      </c>
      <c r="DP60">
        <v>0.12252392510078203</v>
      </c>
      <c r="DQ60">
        <v>0.12475732121369842</v>
      </c>
      <c r="DR60">
        <v>0.28668182101368594</v>
      </c>
      <c r="DS60">
        <v>0.2743334758378726</v>
      </c>
      <c r="DT60">
        <v>0.26367823182050043</v>
      </c>
      <c r="DU60">
        <v>0.28455515598802139</v>
      </c>
      <c r="DV60">
        <v>0.29363320991192776</v>
      </c>
      <c r="DW60">
        <v>0.30746063510857963</v>
      </c>
      <c r="DY60" t="s">
        <v>175</v>
      </c>
      <c r="DZ60" t="s">
        <v>201</v>
      </c>
      <c r="EA60" t="s">
        <v>202</v>
      </c>
      <c r="EB60">
        <v>0.60599141488954711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6D508-FF1F-4B0A-8527-DC66A740F138}">
  <dimension ref="B9:J34"/>
  <sheetViews>
    <sheetView workbookViewId="0"/>
  </sheetViews>
  <sheetFormatPr defaultRowHeight="15" x14ac:dyDescent="0.25"/>
  <sheetData>
    <row r="9" spans="2:10" x14ac:dyDescent="0.25">
      <c r="B9" t="str">
        <f>IF(A11="x","DeActivated","~TFM_DINS-AT")</f>
        <v>~TFM_DINS-AT</v>
      </c>
      <c r="G9" t="str">
        <f>IF(A11="x","DeActivated","~TFM_DINS-AT")</f>
        <v>~TFM_DINS-AT</v>
      </c>
    </row>
    <row r="10" spans="2:10" x14ac:dyDescent="0.25">
      <c r="B10" t="s">
        <v>47</v>
      </c>
      <c r="C10" t="s">
        <v>42</v>
      </c>
      <c r="D10" t="s">
        <v>41</v>
      </c>
      <c r="E10" t="s">
        <v>40</v>
      </c>
      <c r="G10" t="s">
        <v>47</v>
      </c>
      <c r="H10" t="s">
        <v>42</v>
      </c>
      <c r="I10" t="s">
        <v>41</v>
      </c>
      <c r="J10" t="s">
        <v>40</v>
      </c>
    </row>
    <row r="11" spans="2:10" x14ac:dyDescent="0.25">
      <c r="B11">
        <v>1</v>
      </c>
      <c r="C11">
        <v>1.0000000000000002</v>
      </c>
      <c r="D11" t="s">
        <v>44</v>
      </c>
      <c r="E11" t="s">
        <v>48</v>
      </c>
      <c r="G11">
        <v>8.2191780821917804E-2</v>
      </c>
      <c r="H11">
        <v>2.291226412748925E-2</v>
      </c>
      <c r="I11" t="s">
        <v>72</v>
      </c>
      <c r="J11" t="s">
        <v>48</v>
      </c>
    </row>
    <row r="12" spans="2:10" x14ac:dyDescent="0.25">
      <c r="G12">
        <v>4.1095890410958902E-2</v>
      </c>
      <c r="H12">
        <v>5.0687417646620103E-2</v>
      </c>
      <c r="I12" t="s">
        <v>74</v>
      </c>
      <c r="J12" t="s">
        <v>48</v>
      </c>
    </row>
    <row r="13" spans="2:10" x14ac:dyDescent="0.25">
      <c r="G13">
        <v>3.0821917808219176E-2</v>
      </c>
      <c r="H13">
        <v>3.8336275265395424E-2</v>
      </c>
      <c r="I13" t="s">
        <v>75</v>
      </c>
      <c r="J13" t="s">
        <v>48</v>
      </c>
    </row>
    <row r="14" spans="2:10" x14ac:dyDescent="0.25">
      <c r="G14">
        <v>3.0821917808219176E-2</v>
      </c>
      <c r="H14">
        <v>3.9768291773363502E-2</v>
      </c>
      <c r="I14" t="s">
        <v>76</v>
      </c>
      <c r="J14" t="s">
        <v>48</v>
      </c>
    </row>
    <row r="15" spans="2:10" x14ac:dyDescent="0.25">
      <c r="G15">
        <v>3.0821917808219176E-2</v>
      </c>
      <c r="H15">
        <v>5.5490639683763034E-2</v>
      </c>
      <c r="I15" t="s">
        <v>77</v>
      </c>
      <c r="J15" t="s">
        <v>48</v>
      </c>
    </row>
    <row r="16" spans="2:10" x14ac:dyDescent="0.25">
      <c r="G16">
        <v>3.0821917808219176E-2</v>
      </c>
      <c r="H16">
        <v>3.9380453969122146E-2</v>
      </c>
      <c r="I16" t="s">
        <v>78</v>
      </c>
      <c r="J16" t="s">
        <v>48</v>
      </c>
    </row>
    <row r="17" spans="7:10" x14ac:dyDescent="0.25">
      <c r="G17">
        <v>8.4018264840182655E-2</v>
      </c>
      <c r="H17">
        <v>2.3421425552544572E-2</v>
      </c>
      <c r="I17" t="s">
        <v>79</v>
      </c>
      <c r="J17" t="s">
        <v>48</v>
      </c>
    </row>
    <row r="18" spans="7:10" x14ac:dyDescent="0.25">
      <c r="G18">
        <v>4.2009132420091327E-2</v>
      </c>
      <c r="H18">
        <v>5.1813804705433876E-2</v>
      </c>
      <c r="I18" t="s">
        <v>80</v>
      </c>
      <c r="J18" t="s">
        <v>48</v>
      </c>
    </row>
    <row r="19" spans="7:10" x14ac:dyDescent="0.25">
      <c r="G19">
        <v>3.1506849315068496E-2</v>
      </c>
      <c r="H19">
        <v>3.9188192493515323E-2</v>
      </c>
      <c r="I19" t="s">
        <v>81</v>
      </c>
      <c r="J19" t="s">
        <v>48</v>
      </c>
    </row>
    <row r="20" spans="7:10" x14ac:dyDescent="0.25">
      <c r="G20">
        <v>3.1506849315068496E-2</v>
      </c>
      <c r="H20">
        <v>4.0652031590549358E-2</v>
      </c>
      <c r="I20" t="s">
        <v>82</v>
      </c>
      <c r="J20" t="s">
        <v>48</v>
      </c>
    </row>
    <row r="21" spans="7:10" x14ac:dyDescent="0.25">
      <c r="G21">
        <v>3.1506849315068496E-2</v>
      </c>
      <c r="H21">
        <v>5.6723765010068872E-2</v>
      </c>
      <c r="I21" t="s">
        <v>83</v>
      </c>
      <c r="J21" t="s">
        <v>48</v>
      </c>
    </row>
    <row r="22" spans="7:10" x14ac:dyDescent="0.25">
      <c r="G22">
        <v>3.1506849315068496E-2</v>
      </c>
      <c r="H22">
        <v>4.0255575168435975E-2</v>
      </c>
      <c r="I22" t="s">
        <v>84</v>
      </c>
      <c r="J22" t="s">
        <v>48</v>
      </c>
    </row>
    <row r="23" spans="7:10" x14ac:dyDescent="0.25">
      <c r="G23">
        <v>8.4018264840182655E-2</v>
      </c>
      <c r="H23">
        <v>2.3421425552544572E-2</v>
      </c>
      <c r="I23" t="s">
        <v>85</v>
      </c>
      <c r="J23" t="s">
        <v>48</v>
      </c>
    </row>
    <row r="24" spans="7:10" x14ac:dyDescent="0.25">
      <c r="G24">
        <v>4.2009132420091327E-2</v>
      </c>
      <c r="H24">
        <v>5.1813804705433876E-2</v>
      </c>
      <c r="I24" t="s">
        <v>86</v>
      </c>
      <c r="J24" t="s">
        <v>48</v>
      </c>
    </row>
    <row r="25" spans="7:10" x14ac:dyDescent="0.25">
      <c r="G25">
        <v>3.1506849315068496E-2</v>
      </c>
      <c r="H25">
        <v>3.9188192493515323E-2</v>
      </c>
      <c r="I25" t="s">
        <v>87</v>
      </c>
      <c r="J25" t="s">
        <v>48</v>
      </c>
    </row>
    <row r="26" spans="7:10" x14ac:dyDescent="0.25">
      <c r="G26">
        <v>3.1506849315068496E-2</v>
      </c>
      <c r="H26">
        <v>4.0652031590549358E-2</v>
      </c>
      <c r="I26" t="s">
        <v>88</v>
      </c>
      <c r="J26" t="s">
        <v>48</v>
      </c>
    </row>
    <row r="27" spans="7:10" x14ac:dyDescent="0.25">
      <c r="G27">
        <v>3.1506849315068496E-2</v>
      </c>
      <c r="H27">
        <v>5.6723765010068872E-2</v>
      </c>
      <c r="I27" t="s">
        <v>89</v>
      </c>
      <c r="J27" t="s">
        <v>48</v>
      </c>
    </row>
    <row r="28" spans="7:10" x14ac:dyDescent="0.25">
      <c r="G28">
        <v>3.1506849315068496E-2</v>
      </c>
      <c r="H28">
        <v>4.0255575168435975E-2</v>
      </c>
      <c r="I28" t="s">
        <v>90</v>
      </c>
      <c r="J28" t="s">
        <v>48</v>
      </c>
    </row>
    <row r="29" spans="7:10" x14ac:dyDescent="0.25">
      <c r="G29">
        <v>8.3105022831050229E-2</v>
      </c>
      <c r="H29">
        <v>2.3166844840016909E-2</v>
      </c>
      <c r="I29" t="s">
        <v>91</v>
      </c>
      <c r="J29" t="s">
        <v>48</v>
      </c>
    </row>
    <row r="30" spans="7:10" x14ac:dyDescent="0.25">
      <c r="G30">
        <v>4.1552511415525115E-2</v>
      </c>
      <c r="H30">
        <v>5.1250611176026986E-2</v>
      </c>
      <c r="I30" t="s">
        <v>92</v>
      </c>
      <c r="J30" t="s">
        <v>48</v>
      </c>
    </row>
    <row r="31" spans="7:10" x14ac:dyDescent="0.25">
      <c r="G31">
        <v>3.1164383561643836E-2</v>
      </c>
      <c r="H31">
        <v>3.8762233879455377E-2</v>
      </c>
      <c r="I31" t="s">
        <v>93</v>
      </c>
      <c r="J31" t="s">
        <v>48</v>
      </c>
    </row>
    <row r="32" spans="7:10" x14ac:dyDescent="0.25">
      <c r="G32">
        <v>3.1164383561643836E-2</v>
      </c>
      <c r="H32">
        <v>4.021016168195643E-2</v>
      </c>
      <c r="I32" t="s">
        <v>94</v>
      </c>
      <c r="J32" t="s">
        <v>48</v>
      </c>
    </row>
    <row r="33" spans="7:10" x14ac:dyDescent="0.25">
      <c r="G33">
        <v>3.1164383561643836E-2</v>
      </c>
      <c r="H33">
        <v>5.6107202346915949E-2</v>
      </c>
      <c r="I33" t="s">
        <v>95</v>
      </c>
      <c r="J33" t="s">
        <v>48</v>
      </c>
    </row>
    <row r="34" spans="7:10" x14ac:dyDescent="0.25">
      <c r="G34">
        <v>3.1164383561643836E-2</v>
      </c>
      <c r="H34">
        <v>3.9818014568779057E-2</v>
      </c>
      <c r="I34" t="s">
        <v>96</v>
      </c>
      <c r="J34" t="s">
        <v>48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53089-BEB4-42D3-BC8F-B2A17AAAC3E6}">
  <dimension ref="B9:H58"/>
  <sheetViews>
    <sheetView workbookViewId="0">
      <selection activeCell="B12" sqref="B12"/>
    </sheetView>
  </sheetViews>
  <sheetFormatPr defaultRowHeight="15" x14ac:dyDescent="0.25"/>
  <sheetData>
    <row r="9" spans="2:8" x14ac:dyDescent="0.25">
      <c r="B9" t="str">
        <f>IF(A11="x","DeActivated","~TFM_DINS-AT")</f>
        <v>~TFM_DINS-AT</v>
      </c>
      <c r="F9" t="str">
        <f>IF(A11="x","DeActivated","~TFM_DINS-AT")</f>
        <v>~TFM_DINS-AT</v>
      </c>
    </row>
    <row r="10" spans="2:8" x14ac:dyDescent="0.25">
      <c r="B10" t="s">
        <v>40</v>
      </c>
      <c r="C10" t="s">
        <v>41</v>
      </c>
      <c r="D10" t="s">
        <v>42</v>
      </c>
      <c r="F10" t="s">
        <v>40</v>
      </c>
      <c r="G10" t="s">
        <v>41</v>
      </c>
      <c r="H10" t="s">
        <v>42</v>
      </c>
    </row>
    <row r="11" spans="2:8" x14ac:dyDescent="0.25">
      <c r="B11" t="s">
        <v>52</v>
      </c>
      <c r="C11" t="s">
        <v>44</v>
      </c>
      <c r="D11">
        <v>1</v>
      </c>
      <c r="F11" t="s">
        <v>52</v>
      </c>
      <c r="G11" t="s">
        <v>72</v>
      </c>
      <c r="H11">
        <v>7.6610893807482552E-2</v>
      </c>
    </row>
    <row r="12" spans="2:8" x14ac:dyDescent="0.25">
      <c r="B12" t="s">
        <v>53</v>
      </c>
      <c r="C12" t="s">
        <v>44</v>
      </c>
      <c r="D12">
        <v>1</v>
      </c>
      <c r="F12" t="s">
        <v>52</v>
      </c>
      <c r="G12" t="s">
        <v>74</v>
      </c>
      <c r="H12">
        <v>4.4966934842034026E-2</v>
      </c>
    </row>
    <row r="13" spans="2:8" x14ac:dyDescent="0.25">
      <c r="F13" t="s">
        <v>52</v>
      </c>
      <c r="G13" t="s">
        <v>75</v>
      </c>
      <c r="H13">
        <v>3.7080703412005034E-2</v>
      </c>
    </row>
    <row r="14" spans="2:8" x14ac:dyDescent="0.25">
      <c r="F14" t="s">
        <v>52</v>
      </c>
      <c r="G14" t="s">
        <v>76</v>
      </c>
      <c r="H14">
        <v>3.7121284304132522E-2</v>
      </c>
    </row>
    <row r="15" spans="2:8" x14ac:dyDescent="0.25">
      <c r="F15" t="s">
        <v>52</v>
      </c>
      <c r="G15" t="s">
        <v>77</v>
      </c>
      <c r="H15">
        <v>3.7376980693107499E-2</v>
      </c>
    </row>
    <row r="16" spans="2:8" x14ac:dyDescent="0.25">
      <c r="F16" t="s">
        <v>52</v>
      </c>
      <c r="G16" t="s">
        <v>78</v>
      </c>
      <c r="H16">
        <v>3.7570741390497341E-2</v>
      </c>
    </row>
    <row r="17" spans="6:8" x14ac:dyDescent="0.25">
      <c r="F17" t="s">
        <v>52</v>
      </c>
      <c r="G17" t="s">
        <v>79</v>
      </c>
      <c r="H17">
        <v>7.0032484103469045E-2</v>
      </c>
    </row>
    <row r="18" spans="6:8" x14ac:dyDescent="0.25">
      <c r="F18" t="s">
        <v>52</v>
      </c>
      <c r="G18" t="s">
        <v>80</v>
      </c>
      <c r="H18">
        <v>4.0737891429302106E-2</v>
      </c>
    </row>
    <row r="19" spans="6:8" x14ac:dyDescent="0.25">
      <c r="F19" t="s">
        <v>52</v>
      </c>
      <c r="G19" t="s">
        <v>81</v>
      </c>
      <c r="H19">
        <v>3.5554401523488259E-2</v>
      </c>
    </row>
    <row r="20" spans="6:8" x14ac:dyDescent="0.25">
      <c r="F20" t="s">
        <v>52</v>
      </c>
      <c r="G20" t="s">
        <v>82</v>
      </c>
      <c r="H20">
        <v>3.5581784433531362E-2</v>
      </c>
    </row>
    <row r="21" spans="6:8" x14ac:dyDescent="0.25">
      <c r="F21" t="s">
        <v>52</v>
      </c>
      <c r="G21" t="s">
        <v>83</v>
      </c>
      <c r="H21">
        <v>3.5518871472011826E-2</v>
      </c>
    </row>
    <row r="22" spans="6:8" x14ac:dyDescent="0.25">
      <c r="F22" t="s">
        <v>52</v>
      </c>
      <c r="G22" t="s">
        <v>84</v>
      </c>
      <c r="H22">
        <v>3.5758767051057329E-2</v>
      </c>
    </row>
    <row r="23" spans="6:8" x14ac:dyDescent="0.25">
      <c r="F23" t="s">
        <v>52</v>
      </c>
      <c r="G23" t="s">
        <v>85</v>
      </c>
      <c r="H23">
        <v>6.3463495900156056E-2</v>
      </c>
    </row>
    <row r="24" spans="6:8" x14ac:dyDescent="0.25">
      <c r="F24" t="s">
        <v>52</v>
      </c>
      <c r="G24" t="s">
        <v>86</v>
      </c>
      <c r="H24">
        <v>3.5334574512495498E-2</v>
      </c>
    </row>
    <row r="25" spans="6:8" x14ac:dyDescent="0.25">
      <c r="F25" t="s">
        <v>52</v>
      </c>
      <c r="G25" t="s">
        <v>87</v>
      </c>
      <c r="H25">
        <v>3.388527201114775E-2</v>
      </c>
    </row>
    <row r="26" spans="6:8" x14ac:dyDescent="0.25">
      <c r="F26" t="s">
        <v>52</v>
      </c>
      <c r="G26" t="s">
        <v>88</v>
      </c>
      <c r="H26">
        <v>3.4302440485917574E-2</v>
      </c>
    </row>
    <row r="27" spans="6:8" x14ac:dyDescent="0.25">
      <c r="F27" t="s">
        <v>52</v>
      </c>
      <c r="G27" t="s">
        <v>89</v>
      </c>
      <c r="H27">
        <v>3.3980512288022069E-2</v>
      </c>
    </row>
    <row r="28" spans="6:8" x14ac:dyDescent="0.25">
      <c r="F28" t="s">
        <v>52</v>
      </c>
      <c r="G28" t="s">
        <v>90</v>
      </c>
      <c r="H28">
        <v>3.3676039485786562E-2</v>
      </c>
    </row>
    <row r="29" spans="6:8" x14ac:dyDescent="0.25">
      <c r="F29" t="s">
        <v>52</v>
      </c>
      <c r="G29" t="s">
        <v>91</v>
      </c>
      <c r="H29">
        <v>6.6905067598941298E-2</v>
      </c>
    </row>
    <row r="30" spans="6:8" x14ac:dyDescent="0.25">
      <c r="F30" t="s">
        <v>52</v>
      </c>
      <c r="G30" t="s">
        <v>92</v>
      </c>
      <c r="H30">
        <v>3.796092674332964E-2</v>
      </c>
    </row>
    <row r="31" spans="6:8" x14ac:dyDescent="0.25">
      <c r="F31" t="s">
        <v>52</v>
      </c>
      <c r="G31" t="s">
        <v>93</v>
      </c>
      <c r="H31">
        <v>3.4091484856067701E-2</v>
      </c>
    </row>
    <row r="32" spans="6:8" x14ac:dyDescent="0.25">
      <c r="F32" t="s">
        <v>52</v>
      </c>
      <c r="G32" t="s">
        <v>94</v>
      </c>
      <c r="H32">
        <v>3.4121925363133285E-2</v>
      </c>
    </row>
    <row r="33" spans="6:8" x14ac:dyDescent="0.25">
      <c r="F33" t="s">
        <v>52</v>
      </c>
      <c r="G33" t="s">
        <v>95</v>
      </c>
      <c r="H33">
        <v>3.4025523973465623E-2</v>
      </c>
    </row>
    <row r="34" spans="6:8" x14ac:dyDescent="0.25">
      <c r="F34" t="s">
        <v>52</v>
      </c>
      <c r="G34" t="s">
        <v>96</v>
      </c>
      <c r="H34">
        <v>3.4340998319418101E-2</v>
      </c>
    </row>
    <row r="35" spans="6:8" x14ac:dyDescent="0.25">
      <c r="F35" t="s">
        <v>53</v>
      </c>
      <c r="G35" t="s">
        <v>72</v>
      </c>
      <c r="H35">
        <v>8.1412534757371285E-2</v>
      </c>
    </row>
    <row r="36" spans="6:8" x14ac:dyDescent="0.25">
      <c r="F36" t="s">
        <v>53</v>
      </c>
      <c r="G36" t="s">
        <v>74</v>
      </c>
      <c r="H36">
        <v>4.1110009716573456E-2</v>
      </c>
    </row>
    <row r="37" spans="6:8" x14ac:dyDescent="0.25">
      <c r="F37" t="s">
        <v>53</v>
      </c>
      <c r="G37" t="s">
        <v>75</v>
      </c>
      <c r="H37">
        <v>3.1035879018799749E-2</v>
      </c>
    </row>
    <row r="38" spans="6:8" x14ac:dyDescent="0.25">
      <c r="F38" t="s">
        <v>53</v>
      </c>
      <c r="G38" t="s">
        <v>76</v>
      </c>
      <c r="H38">
        <v>3.1038338563035648E-2</v>
      </c>
    </row>
    <row r="39" spans="6:8" x14ac:dyDescent="0.25">
      <c r="F39" t="s">
        <v>53</v>
      </c>
      <c r="G39" t="s">
        <v>77</v>
      </c>
      <c r="H39">
        <v>3.1053835920207277E-2</v>
      </c>
    </row>
    <row r="40" spans="6:8" x14ac:dyDescent="0.25">
      <c r="F40" t="s">
        <v>53</v>
      </c>
      <c r="G40" t="s">
        <v>78</v>
      </c>
      <c r="H40">
        <v>3.1065579452234895E-2</v>
      </c>
    </row>
    <row r="41" spans="6:8" x14ac:dyDescent="0.25">
      <c r="F41" t="s">
        <v>53</v>
      </c>
      <c r="G41" t="s">
        <v>79</v>
      </c>
      <c r="H41">
        <v>8.3149986678400595E-2</v>
      </c>
    </row>
    <row r="42" spans="6:8" x14ac:dyDescent="0.25">
      <c r="F42" t="s">
        <v>53</v>
      </c>
      <c r="G42" t="s">
        <v>80</v>
      </c>
      <c r="H42">
        <v>4.19217735357078E-2</v>
      </c>
    </row>
    <row r="43" spans="6:8" x14ac:dyDescent="0.25">
      <c r="F43" t="s">
        <v>53</v>
      </c>
      <c r="G43" t="s">
        <v>81</v>
      </c>
      <c r="H43">
        <v>3.1744431886300821E-2</v>
      </c>
    </row>
    <row r="44" spans="6:8" x14ac:dyDescent="0.25">
      <c r="F44" t="s">
        <v>53</v>
      </c>
      <c r="G44" t="s">
        <v>82</v>
      </c>
      <c r="H44">
        <v>3.1746091521538684E-2</v>
      </c>
    </row>
    <row r="45" spans="6:8" x14ac:dyDescent="0.25">
      <c r="F45" t="s">
        <v>53</v>
      </c>
      <c r="G45" t="s">
        <v>83</v>
      </c>
      <c r="H45">
        <v>3.1742278465596428E-2</v>
      </c>
    </row>
    <row r="46" spans="6:8" x14ac:dyDescent="0.25">
      <c r="F46" t="s">
        <v>53</v>
      </c>
      <c r="G46" t="s">
        <v>84</v>
      </c>
      <c r="H46">
        <v>3.1756818160455898E-2</v>
      </c>
    </row>
    <row r="47" spans="6:8" x14ac:dyDescent="0.25">
      <c r="F47" t="s">
        <v>53</v>
      </c>
      <c r="G47" t="s">
        <v>85</v>
      </c>
      <c r="H47">
        <v>8.3090408295068641E-2</v>
      </c>
    </row>
    <row r="48" spans="6:8" x14ac:dyDescent="0.25">
      <c r="F48" t="s">
        <v>53</v>
      </c>
      <c r="G48" t="s">
        <v>86</v>
      </c>
      <c r="H48">
        <v>4.1763565815796613E-2</v>
      </c>
    </row>
    <row r="49" spans="6:8" x14ac:dyDescent="0.25">
      <c r="F49" t="s">
        <v>53</v>
      </c>
      <c r="G49" t="s">
        <v>87</v>
      </c>
      <c r="H49">
        <v>3.1770227697964407E-2</v>
      </c>
    </row>
    <row r="50" spans="6:8" x14ac:dyDescent="0.25">
      <c r="F50" t="s">
        <v>53</v>
      </c>
      <c r="G50" t="s">
        <v>88</v>
      </c>
      <c r="H50">
        <v>3.1795511625047491E-2</v>
      </c>
    </row>
    <row r="51" spans="6:8" x14ac:dyDescent="0.25">
      <c r="F51" t="s">
        <v>53</v>
      </c>
      <c r="G51" t="s">
        <v>89</v>
      </c>
      <c r="H51">
        <v>3.1776000061797011E-2</v>
      </c>
    </row>
    <row r="52" spans="6:8" x14ac:dyDescent="0.25">
      <c r="F52" t="s">
        <v>53</v>
      </c>
      <c r="G52" t="s">
        <v>90</v>
      </c>
      <c r="H52">
        <v>3.1757546442705217E-2</v>
      </c>
    </row>
    <row r="53" spans="6:8" x14ac:dyDescent="0.25">
      <c r="F53" t="s">
        <v>53</v>
      </c>
      <c r="G53" t="s">
        <v>91</v>
      </c>
      <c r="H53">
        <v>8.2266852357058814E-2</v>
      </c>
    </row>
    <row r="54" spans="6:8" x14ac:dyDescent="0.25">
      <c r="F54" t="s">
        <v>53</v>
      </c>
      <c r="G54" t="s">
        <v>92</v>
      </c>
      <c r="H54">
        <v>4.1406672805128726E-2</v>
      </c>
    </row>
    <row r="55" spans="6:8" x14ac:dyDescent="0.25">
      <c r="F55" t="s">
        <v>53</v>
      </c>
      <c r="G55" t="s">
        <v>93</v>
      </c>
      <c r="H55">
        <v>3.1395671859431547E-2</v>
      </c>
    </row>
    <row r="56" spans="6:8" x14ac:dyDescent="0.25">
      <c r="F56" t="s">
        <v>53</v>
      </c>
      <c r="G56" t="s">
        <v>94</v>
      </c>
      <c r="H56">
        <v>3.139751681083025E-2</v>
      </c>
    </row>
    <row r="57" spans="6:8" x14ac:dyDescent="0.25">
      <c r="F57" t="s">
        <v>53</v>
      </c>
      <c r="G57" t="s">
        <v>95</v>
      </c>
      <c r="H57">
        <v>3.1391674073772011E-2</v>
      </c>
    </row>
    <row r="58" spans="6:8" x14ac:dyDescent="0.25">
      <c r="F58" t="s">
        <v>53</v>
      </c>
      <c r="G58" t="s">
        <v>96</v>
      </c>
      <c r="H58">
        <v>3.1410794479176676E-2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EBC6E-F68A-4634-93A1-292B1461986D}">
  <dimension ref="B9:H34"/>
  <sheetViews>
    <sheetView workbookViewId="0"/>
  </sheetViews>
  <sheetFormatPr defaultRowHeight="15" x14ac:dyDescent="0.25"/>
  <sheetData>
    <row r="9" spans="2:8" x14ac:dyDescent="0.25">
      <c r="B9" t="str">
        <f>IF(A11="x","DeActivated","~TFM_DINS-AT")</f>
        <v>~TFM_DINS-AT</v>
      </c>
      <c r="F9" t="str">
        <f>IF(A11="x","DeActivated","~TFM_DINS-AT")</f>
        <v>~TFM_DINS-AT</v>
      </c>
    </row>
    <row r="10" spans="2:8" x14ac:dyDescent="0.25">
      <c r="B10" t="s">
        <v>40</v>
      </c>
      <c r="C10" t="s">
        <v>41</v>
      </c>
      <c r="D10" t="s">
        <v>54</v>
      </c>
      <c r="F10" t="s">
        <v>40</v>
      </c>
      <c r="G10" t="s">
        <v>41</v>
      </c>
      <c r="H10" t="s">
        <v>54</v>
      </c>
    </row>
    <row r="11" spans="2:8" x14ac:dyDescent="0.25">
      <c r="B11" t="s">
        <v>12</v>
      </c>
      <c r="C11" t="s">
        <v>44</v>
      </c>
      <c r="D11">
        <v>0.2276946866804006</v>
      </c>
      <c r="F11" t="s">
        <v>12</v>
      </c>
      <c r="G11" t="s">
        <v>72</v>
      </c>
      <c r="H11">
        <v>0.24967740684330098</v>
      </c>
    </row>
    <row r="12" spans="2:8" x14ac:dyDescent="0.25">
      <c r="F12" t="s">
        <v>12</v>
      </c>
      <c r="G12" t="s">
        <v>74</v>
      </c>
      <c r="H12">
        <v>0.16299503689757611</v>
      </c>
    </row>
    <row r="13" spans="2:8" x14ac:dyDescent="0.25">
      <c r="F13" t="s">
        <v>12</v>
      </c>
      <c r="G13" t="s">
        <v>75</v>
      </c>
      <c r="H13">
        <v>8.1054195136442742E-2</v>
      </c>
    </row>
    <row r="14" spans="2:8" x14ac:dyDescent="0.25">
      <c r="F14" t="s">
        <v>12</v>
      </c>
      <c r="G14" t="s">
        <v>76</v>
      </c>
      <c r="H14">
        <v>6.4254384774477868E-2</v>
      </c>
    </row>
    <row r="15" spans="2:8" x14ac:dyDescent="0.25">
      <c r="F15" t="s">
        <v>12</v>
      </c>
      <c r="G15" t="s">
        <v>77</v>
      </c>
      <c r="H15">
        <v>6.424695636313893E-2</v>
      </c>
    </row>
    <row r="16" spans="2:8" x14ac:dyDescent="0.25">
      <c r="F16" t="s">
        <v>12</v>
      </c>
      <c r="G16" t="s">
        <v>78</v>
      </c>
      <c r="H16">
        <v>6.0659996515969761E-2</v>
      </c>
    </row>
    <row r="17" spans="6:8" x14ac:dyDescent="0.25">
      <c r="F17" t="s">
        <v>12</v>
      </c>
      <c r="G17" t="s">
        <v>79</v>
      </c>
      <c r="H17">
        <v>0.31555807594358032</v>
      </c>
    </row>
    <row r="18" spans="6:8" x14ac:dyDescent="0.25">
      <c r="F18" t="s">
        <v>12</v>
      </c>
      <c r="G18" t="s">
        <v>80</v>
      </c>
      <c r="H18">
        <v>0.21549203250117732</v>
      </c>
    </row>
    <row r="19" spans="6:8" x14ac:dyDescent="0.25">
      <c r="F19" t="s">
        <v>12</v>
      </c>
      <c r="G19" t="s">
        <v>81</v>
      </c>
      <c r="H19">
        <v>9.6509378550666103E-2</v>
      </c>
    </row>
    <row r="20" spans="6:8" x14ac:dyDescent="0.25">
      <c r="F20" t="s">
        <v>12</v>
      </c>
      <c r="G20" t="s">
        <v>82</v>
      </c>
      <c r="H20">
        <v>9.564022269876471E-2</v>
      </c>
    </row>
    <row r="21" spans="6:8" x14ac:dyDescent="0.25">
      <c r="F21" t="s">
        <v>12</v>
      </c>
      <c r="G21" t="s">
        <v>83</v>
      </c>
      <c r="H21">
        <v>0.10097319417310446</v>
      </c>
    </row>
    <row r="22" spans="6:8" x14ac:dyDescent="0.25">
      <c r="F22" t="s">
        <v>12</v>
      </c>
      <c r="G22" t="s">
        <v>84</v>
      </c>
      <c r="H22">
        <v>9.6276152009977745E-2</v>
      </c>
    </row>
    <row r="23" spans="6:8" x14ac:dyDescent="0.25">
      <c r="F23" t="s">
        <v>12</v>
      </c>
      <c r="G23" t="s">
        <v>85</v>
      </c>
      <c r="H23">
        <v>0.29371754643701986</v>
      </c>
    </row>
    <row r="24" spans="6:8" x14ac:dyDescent="0.25">
      <c r="F24" t="s">
        <v>12</v>
      </c>
      <c r="G24" t="s">
        <v>86</v>
      </c>
      <c r="H24">
        <v>0.2379916572718066</v>
      </c>
    </row>
    <row r="25" spans="6:8" x14ac:dyDescent="0.25">
      <c r="F25" t="s">
        <v>12</v>
      </c>
      <c r="G25" t="s">
        <v>87</v>
      </c>
      <c r="H25">
        <v>9.9367284998281624E-2</v>
      </c>
    </row>
    <row r="26" spans="6:8" x14ac:dyDescent="0.25">
      <c r="F26" t="s">
        <v>12</v>
      </c>
      <c r="G26" t="s">
        <v>88</v>
      </c>
      <c r="H26">
        <v>9.4609924274811741E-2</v>
      </c>
    </row>
    <row r="27" spans="6:8" x14ac:dyDescent="0.25">
      <c r="F27" t="s">
        <v>12</v>
      </c>
      <c r="G27" t="s">
        <v>89</v>
      </c>
      <c r="H27">
        <v>8.3198783686568634E-2</v>
      </c>
    </row>
    <row r="28" spans="6:8" x14ac:dyDescent="0.25">
      <c r="F28" t="s">
        <v>12</v>
      </c>
      <c r="G28" t="s">
        <v>90</v>
      </c>
      <c r="H28">
        <v>7.9677972639163652E-2</v>
      </c>
    </row>
    <row r="29" spans="6:8" x14ac:dyDescent="0.25">
      <c r="F29" t="s">
        <v>12</v>
      </c>
      <c r="G29" t="s">
        <v>91</v>
      </c>
      <c r="H29">
        <v>0.23981363777411446</v>
      </c>
    </row>
    <row r="30" spans="6:8" x14ac:dyDescent="0.25">
      <c r="F30" t="s">
        <v>12</v>
      </c>
      <c r="G30" t="s">
        <v>92</v>
      </c>
      <c r="H30">
        <v>0.18358278545936524</v>
      </c>
    </row>
    <row r="31" spans="6:8" x14ac:dyDescent="0.25">
      <c r="F31" t="s">
        <v>12</v>
      </c>
      <c r="G31" t="s">
        <v>93</v>
      </c>
      <c r="H31">
        <v>5.0568294837930683E-2</v>
      </c>
    </row>
    <row r="32" spans="6:8" x14ac:dyDescent="0.25">
      <c r="F32" t="s">
        <v>12</v>
      </c>
      <c r="G32" t="s">
        <v>94</v>
      </c>
      <c r="H32">
        <v>5.1679658242947069E-2</v>
      </c>
    </row>
    <row r="33" spans="6:8" x14ac:dyDescent="0.25">
      <c r="F33" t="s">
        <v>12</v>
      </c>
      <c r="G33" t="s">
        <v>95</v>
      </c>
      <c r="H33">
        <v>5.2622156478075555E-2</v>
      </c>
    </row>
    <row r="34" spans="6:8" x14ac:dyDescent="0.25">
      <c r="F34" t="s">
        <v>12</v>
      </c>
      <c r="G34" t="s">
        <v>96</v>
      </c>
      <c r="H34">
        <v>4.9831703500620383E-2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564CF-15A2-40C8-A97F-3BCF46BDB489}">
  <dimension ref="B9:J126"/>
  <sheetViews>
    <sheetView tabSelected="1" workbookViewId="0"/>
  </sheetViews>
  <sheetFormatPr defaultRowHeight="15" x14ac:dyDescent="0.25"/>
  <sheetData>
    <row r="9" spans="2:10" x14ac:dyDescent="0.25">
      <c r="B9" t="str">
        <f>IF(A11="x","DeActivated","~TFM_INS-AT")</f>
        <v>~TFM_INS-AT</v>
      </c>
      <c r="G9" t="str">
        <f>IF(A11="x","DeActivated","~TFM_INS-AT")</f>
        <v>~TFM_INS-AT</v>
      </c>
    </row>
    <row r="10" spans="2:10" x14ac:dyDescent="0.25">
      <c r="B10" t="s">
        <v>55</v>
      </c>
      <c r="C10" t="s">
        <v>41</v>
      </c>
      <c r="D10" t="s">
        <v>56</v>
      </c>
      <c r="E10" t="s">
        <v>57</v>
      </c>
      <c r="G10" t="s">
        <v>55</v>
      </c>
      <c r="H10" t="s">
        <v>41</v>
      </c>
      <c r="I10" t="s">
        <v>56</v>
      </c>
      <c r="J10" t="s">
        <v>57</v>
      </c>
    </row>
    <row r="11" spans="2:10" x14ac:dyDescent="0.25">
      <c r="B11">
        <v>2020</v>
      </c>
      <c r="C11" t="s">
        <v>37</v>
      </c>
      <c r="D11">
        <v>0.56919999999999993</v>
      </c>
      <c r="E11" t="s">
        <v>58</v>
      </c>
      <c r="G11">
        <v>2020</v>
      </c>
      <c r="H11" t="s">
        <v>59</v>
      </c>
      <c r="I11">
        <v>0.19280051657296213</v>
      </c>
      <c r="J11" t="s">
        <v>58</v>
      </c>
    </row>
    <row r="12" spans="2:10" x14ac:dyDescent="0.25">
      <c r="B12">
        <v>2021</v>
      </c>
      <c r="C12" t="s">
        <v>37</v>
      </c>
      <c r="D12">
        <v>0.48831666666666673</v>
      </c>
      <c r="E12" t="s">
        <v>58</v>
      </c>
      <c r="G12">
        <v>2020</v>
      </c>
      <c r="H12" t="s">
        <v>62</v>
      </c>
      <c r="I12">
        <v>0.17524931119401163</v>
      </c>
      <c r="J12" t="s">
        <v>58</v>
      </c>
    </row>
    <row r="13" spans="2:10" x14ac:dyDescent="0.25">
      <c r="B13">
        <v>2022</v>
      </c>
      <c r="C13" t="s">
        <v>37</v>
      </c>
      <c r="D13">
        <v>0.40083333333333337</v>
      </c>
      <c r="E13" t="s">
        <v>58</v>
      </c>
      <c r="G13">
        <v>2020</v>
      </c>
      <c r="H13" t="s">
        <v>64</v>
      </c>
      <c r="I13">
        <v>0.19460293077804594</v>
      </c>
      <c r="J13" t="s">
        <v>58</v>
      </c>
    </row>
    <row r="14" spans="2:10" x14ac:dyDescent="0.25">
      <c r="B14">
        <v>2025</v>
      </c>
      <c r="C14" t="s">
        <v>37</v>
      </c>
      <c r="D14">
        <v>0.41761666666666675</v>
      </c>
      <c r="E14" t="s">
        <v>58</v>
      </c>
      <c r="G14">
        <v>2020</v>
      </c>
      <c r="H14" t="s">
        <v>66</v>
      </c>
      <c r="I14">
        <v>0.19109794455416573</v>
      </c>
      <c r="J14" t="s">
        <v>58</v>
      </c>
    </row>
    <row r="15" spans="2:10" x14ac:dyDescent="0.25">
      <c r="B15">
        <v>2026</v>
      </c>
      <c r="C15" t="s">
        <v>37</v>
      </c>
      <c r="D15">
        <v>0.43812500000000004</v>
      </c>
      <c r="E15" t="s">
        <v>58</v>
      </c>
      <c r="G15">
        <v>2021</v>
      </c>
      <c r="H15" t="s">
        <v>59</v>
      </c>
      <c r="I15">
        <v>0.20652868175315797</v>
      </c>
      <c r="J15" t="s">
        <v>58</v>
      </c>
    </row>
    <row r="16" spans="2:10" x14ac:dyDescent="0.25">
      <c r="B16">
        <v>2027</v>
      </c>
      <c r="C16" t="s">
        <v>37</v>
      </c>
      <c r="D16">
        <v>0.39147499999999996</v>
      </c>
      <c r="E16" t="s">
        <v>58</v>
      </c>
      <c r="G16">
        <v>2021</v>
      </c>
      <c r="H16" t="s">
        <v>62</v>
      </c>
      <c r="I16">
        <v>0.28960203968517906</v>
      </c>
      <c r="J16" t="s">
        <v>58</v>
      </c>
    </row>
    <row r="17" spans="2:10" x14ac:dyDescent="0.25">
      <c r="B17">
        <v>2028</v>
      </c>
      <c r="C17" t="s">
        <v>37</v>
      </c>
      <c r="D17">
        <v>0.44040000000000007</v>
      </c>
      <c r="E17" t="s">
        <v>58</v>
      </c>
      <c r="G17">
        <v>2021</v>
      </c>
      <c r="H17" t="s">
        <v>64</v>
      </c>
      <c r="I17">
        <v>0.17736392861101871</v>
      </c>
      <c r="J17" t="s">
        <v>58</v>
      </c>
    </row>
    <row r="18" spans="2:10" x14ac:dyDescent="0.25">
      <c r="B18">
        <v>2029</v>
      </c>
      <c r="C18" t="s">
        <v>37</v>
      </c>
      <c r="D18">
        <v>0.41259999999999991</v>
      </c>
      <c r="E18" t="s">
        <v>58</v>
      </c>
      <c r="G18">
        <v>2021</v>
      </c>
      <c r="H18" t="s">
        <v>66</v>
      </c>
      <c r="I18">
        <v>0.18891105937996525</v>
      </c>
      <c r="J18" t="s">
        <v>58</v>
      </c>
    </row>
    <row r="19" spans="2:10" x14ac:dyDescent="0.25">
      <c r="B19">
        <v>2030</v>
      </c>
      <c r="C19" t="s">
        <v>37</v>
      </c>
      <c r="D19">
        <v>0.41924166666666668</v>
      </c>
      <c r="E19" t="s">
        <v>58</v>
      </c>
      <c r="G19">
        <v>2022</v>
      </c>
      <c r="H19" t="s">
        <v>59</v>
      </c>
      <c r="I19">
        <v>0.23838260342539472</v>
      </c>
      <c r="J19" t="s">
        <v>58</v>
      </c>
    </row>
    <row r="20" spans="2:10" x14ac:dyDescent="0.25">
      <c r="B20">
        <v>2031</v>
      </c>
      <c r="C20" t="s">
        <v>37</v>
      </c>
      <c r="D20">
        <v>0.46263333333333329</v>
      </c>
      <c r="E20" t="s">
        <v>58</v>
      </c>
      <c r="G20">
        <v>2022</v>
      </c>
      <c r="H20" t="s">
        <v>62</v>
      </c>
      <c r="I20">
        <v>0.23148148148148143</v>
      </c>
      <c r="J20" t="s">
        <v>58</v>
      </c>
    </row>
    <row r="21" spans="2:10" x14ac:dyDescent="0.25">
      <c r="B21">
        <v>2032</v>
      </c>
      <c r="C21" t="s">
        <v>37</v>
      </c>
      <c r="D21">
        <v>0.38890000000000002</v>
      </c>
      <c r="E21" t="s">
        <v>58</v>
      </c>
      <c r="G21">
        <v>2022</v>
      </c>
      <c r="H21" t="s">
        <v>64</v>
      </c>
      <c r="I21">
        <v>0.1203886572550167</v>
      </c>
      <c r="J21" t="s">
        <v>58</v>
      </c>
    </row>
    <row r="22" spans="2:10" x14ac:dyDescent="0.25">
      <c r="B22">
        <v>2033</v>
      </c>
      <c r="C22" t="s">
        <v>37</v>
      </c>
      <c r="D22">
        <v>0.39654166666666663</v>
      </c>
      <c r="E22" t="s">
        <v>58</v>
      </c>
      <c r="G22">
        <v>2022</v>
      </c>
      <c r="H22" t="s">
        <v>66</v>
      </c>
      <c r="I22">
        <v>0.13532294638285416</v>
      </c>
      <c r="J22" t="s">
        <v>58</v>
      </c>
    </row>
    <row r="23" spans="2:10" x14ac:dyDescent="0.25">
      <c r="B23">
        <v>2034</v>
      </c>
      <c r="C23" t="s">
        <v>37</v>
      </c>
      <c r="D23">
        <v>0.42930833333333335</v>
      </c>
      <c r="E23" t="s">
        <v>58</v>
      </c>
      <c r="G23">
        <v>2025</v>
      </c>
      <c r="H23" t="s">
        <v>59</v>
      </c>
      <c r="I23">
        <v>0.23149999999999996</v>
      </c>
      <c r="J23" t="s">
        <v>58</v>
      </c>
    </row>
    <row r="24" spans="2:10" x14ac:dyDescent="0.25">
      <c r="B24">
        <v>2035</v>
      </c>
      <c r="C24" t="s">
        <v>37</v>
      </c>
      <c r="D24">
        <v>0.39865833333333334</v>
      </c>
      <c r="E24" t="s">
        <v>58</v>
      </c>
      <c r="G24">
        <v>2025</v>
      </c>
      <c r="H24" t="s">
        <v>62</v>
      </c>
      <c r="I24">
        <v>0.23829999999999998</v>
      </c>
      <c r="J24" t="s">
        <v>58</v>
      </c>
    </row>
    <row r="25" spans="2:10" x14ac:dyDescent="0.25">
      <c r="B25">
        <v>2036</v>
      </c>
      <c r="C25" t="s">
        <v>37</v>
      </c>
      <c r="D25">
        <v>0.45432499999999992</v>
      </c>
      <c r="E25" t="s">
        <v>58</v>
      </c>
      <c r="G25">
        <v>2025</v>
      </c>
      <c r="H25" t="s">
        <v>64</v>
      </c>
      <c r="I25">
        <v>0.14673333333333335</v>
      </c>
      <c r="J25" t="s">
        <v>58</v>
      </c>
    </row>
    <row r="26" spans="2:10" x14ac:dyDescent="0.25">
      <c r="B26">
        <v>2037</v>
      </c>
      <c r="C26" t="s">
        <v>37</v>
      </c>
      <c r="D26">
        <v>0.43140000000000001</v>
      </c>
      <c r="E26" t="s">
        <v>58</v>
      </c>
      <c r="G26">
        <v>2025</v>
      </c>
      <c r="H26" t="s">
        <v>66</v>
      </c>
      <c r="I26">
        <v>0.16193333333333332</v>
      </c>
      <c r="J26" t="s">
        <v>58</v>
      </c>
    </row>
    <row r="27" spans="2:10" x14ac:dyDescent="0.25">
      <c r="B27">
        <v>2038</v>
      </c>
      <c r="C27" t="s">
        <v>37</v>
      </c>
      <c r="D27">
        <v>0.53756666666666664</v>
      </c>
      <c r="E27" t="s">
        <v>58</v>
      </c>
      <c r="G27">
        <v>2026</v>
      </c>
      <c r="H27" t="s">
        <v>59</v>
      </c>
      <c r="I27">
        <v>0.21083333333333334</v>
      </c>
      <c r="J27" t="s">
        <v>58</v>
      </c>
    </row>
    <row r="28" spans="2:10" x14ac:dyDescent="0.25">
      <c r="B28">
        <v>2039</v>
      </c>
      <c r="C28" t="s">
        <v>37</v>
      </c>
      <c r="D28">
        <v>0.44751666666666673</v>
      </c>
      <c r="E28" t="s">
        <v>58</v>
      </c>
      <c r="G28">
        <v>2026</v>
      </c>
      <c r="H28" t="s">
        <v>62</v>
      </c>
      <c r="I28">
        <v>0.24223333333333333</v>
      </c>
      <c r="J28" t="s">
        <v>58</v>
      </c>
    </row>
    <row r="29" spans="2:10" x14ac:dyDescent="0.25">
      <c r="B29">
        <v>2040</v>
      </c>
      <c r="C29" t="s">
        <v>37</v>
      </c>
      <c r="D29">
        <v>0.43783333333333335</v>
      </c>
      <c r="E29" t="s">
        <v>58</v>
      </c>
      <c r="G29">
        <v>2026</v>
      </c>
      <c r="H29" t="s">
        <v>64</v>
      </c>
      <c r="I29">
        <v>0.153</v>
      </c>
      <c r="J29" t="s">
        <v>58</v>
      </c>
    </row>
    <row r="30" spans="2:10" x14ac:dyDescent="0.25">
      <c r="B30">
        <v>2041</v>
      </c>
      <c r="C30" t="s">
        <v>37</v>
      </c>
      <c r="D30">
        <v>0.48789166666666661</v>
      </c>
      <c r="E30" t="s">
        <v>58</v>
      </c>
      <c r="G30">
        <v>2026</v>
      </c>
      <c r="H30" t="s">
        <v>66</v>
      </c>
      <c r="I30">
        <v>0.16739999999999999</v>
      </c>
      <c r="J30" t="s">
        <v>58</v>
      </c>
    </row>
    <row r="31" spans="2:10" x14ac:dyDescent="0.25">
      <c r="B31">
        <v>2042</v>
      </c>
      <c r="C31" t="s">
        <v>37</v>
      </c>
      <c r="D31">
        <v>0.48406666666666665</v>
      </c>
      <c r="E31" t="s">
        <v>58</v>
      </c>
      <c r="G31">
        <v>2027</v>
      </c>
      <c r="H31" t="s">
        <v>59</v>
      </c>
      <c r="I31">
        <v>0.24223333333333338</v>
      </c>
      <c r="J31" t="s">
        <v>58</v>
      </c>
    </row>
    <row r="32" spans="2:10" x14ac:dyDescent="0.25">
      <c r="B32">
        <v>2043</v>
      </c>
      <c r="C32" t="s">
        <v>37</v>
      </c>
      <c r="D32">
        <v>0.43420833333333331</v>
      </c>
      <c r="E32" t="s">
        <v>58</v>
      </c>
      <c r="G32">
        <v>2027</v>
      </c>
      <c r="H32" t="s">
        <v>62</v>
      </c>
      <c r="I32">
        <v>0.24816666666666665</v>
      </c>
      <c r="J32" t="s">
        <v>58</v>
      </c>
    </row>
    <row r="33" spans="2:10" x14ac:dyDescent="0.25">
      <c r="B33">
        <v>2044</v>
      </c>
      <c r="C33" t="s">
        <v>37</v>
      </c>
      <c r="D33">
        <v>0.54013333333333335</v>
      </c>
      <c r="E33" t="s">
        <v>58</v>
      </c>
      <c r="G33">
        <v>2027</v>
      </c>
      <c r="H33" t="s">
        <v>64</v>
      </c>
      <c r="I33">
        <v>0.14873333333333336</v>
      </c>
      <c r="J33" t="s">
        <v>58</v>
      </c>
    </row>
    <row r="34" spans="2:10" x14ac:dyDescent="0.25">
      <c r="B34">
        <v>2045</v>
      </c>
      <c r="C34" t="s">
        <v>37</v>
      </c>
      <c r="D34">
        <v>0.45367499999999999</v>
      </c>
      <c r="E34" t="s">
        <v>58</v>
      </c>
      <c r="G34">
        <v>2027</v>
      </c>
      <c r="H34" t="s">
        <v>66</v>
      </c>
      <c r="I34">
        <v>0.1718666666666667</v>
      </c>
      <c r="J34" t="s">
        <v>58</v>
      </c>
    </row>
    <row r="35" spans="2:10" x14ac:dyDescent="0.25">
      <c r="B35">
        <v>2046</v>
      </c>
      <c r="C35" t="s">
        <v>37</v>
      </c>
      <c r="D35">
        <v>0.47832499999999994</v>
      </c>
      <c r="E35" t="s">
        <v>58</v>
      </c>
      <c r="G35">
        <v>2028</v>
      </c>
      <c r="H35" t="s">
        <v>59</v>
      </c>
      <c r="I35">
        <v>0.20206666666666664</v>
      </c>
      <c r="J35" t="s">
        <v>58</v>
      </c>
    </row>
    <row r="36" spans="2:10" x14ac:dyDescent="0.25">
      <c r="B36">
        <v>2047</v>
      </c>
      <c r="C36" t="s">
        <v>37</v>
      </c>
      <c r="D36">
        <v>0.46139166666666664</v>
      </c>
      <c r="E36" t="s">
        <v>58</v>
      </c>
      <c r="G36">
        <v>2028</v>
      </c>
      <c r="H36" t="s">
        <v>62</v>
      </c>
      <c r="I36">
        <v>0.20676666666666668</v>
      </c>
      <c r="J36" t="s">
        <v>58</v>
      </c>
    </row>
    <row r="37" spans="2:10" x14ac:dyDescent="0.25">
      <c r="B37">
        <v>2048</v>
      </c>
      <c r="C37" t="s">
        <v>37</v>
      </c>
      <c r="D37">
        <v>0.39425833333333332</v>
      </c>
      <c r="E37" t="s">
        <v>58</v>
      </c>
      <c r="G37">
        <v>2028</v>
      </c>
      <c r="H37" t="s">
        <v>64</v>
      </c>
      <c r="I37">
        <v>0.12963333333333335</v>
      </c>
      <c r="J37" t="s">
        <v>58</v>
      </c>
    </row>
    <row r="38" spans="2:10" x14ac:dyDescent="0.25">
      <c r="B38">
        <v>2049</v>
      </c>
      <c r="C38" t="s">
        <v>37</v>
      </c>
      <c r="D38">
        <v>0.44047500000000001</v>
      </c>
      <c r="E38" t="s">
        <v>58</v>
      </c>
      <c r="G38">
        <v>2028</v>
      </c>
      <c r="H38" t="s">
        <v>66</v>
      </c>
      <c r="I38">
        <v>0.14180000000000001</v>
      </c>
      <c r="J38" t="s">
        <v>58</v>
      </c>
    </row>
    <row r="39" spans="2:10" x14ac:dyDescent="0.25">
      <c r="B39">
        <v>2050</v>
      </c>
      <c r="C39" t="s">
        <v>37</v>
      </c>
      <c r="D39">
        <v>0.40086666666666665</v>
      </c>
      <c r="E39" t="s">
        <v>58</v>
      </c>
      <c r="G39">
        <v>2029</v>
      </c>
      <c r="H39" t="s">
        <v>59</v>
      </c>
      <c r="I39">
        <v>0.19369999999999998</v>
      </c>
      <c r="J39" t="s">
        <v>58</v>
      </c>
    </row>
    <row r="40" spans="2:10" x14ac:dyDescent="0.25">
      <c r="G40">
        <v>2029</v>
      </c>
      <c r="H40" t="s">
        <v>62</v>
      </c>
      <c r="I40">
        <v>0.22176666666666667</v>
      </c>
      <c r="J40" t="s">
        <v>58</v>
      </c>
    </row>
    <row r="41" spans="2:10" x14ac:dyDescent="0.25">
      <c r="G41">
        <v>2029</v>
      </c>
      <c r="H41" t="s">
        <v>64</v>
      </c>
      <c r="I41">
        <v>0.13126666666666667</v>
      </c>
      <c r="J41" t="s">
        <v>58</v>
      </c>
    </row>
    <row r="42" spans="2:10" x14ac:dyDescent="0.25">
      <c r="G42">
        <v>2029</v>
      </c>
      <c r="H42" t="s">
        <v>66</v>
      </c>
      <c r="I42">
        <v>0.1318</v>
      </c>
      <c r="J42" t="s">
        <v>58</v>
      </c>
    </row>
    <row r="43" spans="2:10" x14ac:dyDescent="0.25">
      <c r="G43">
        <v>2030</v>
      </c>
      <c r="H43" t="s">
        <v>59</v>
      </c>
      <c r="I43">
        <v>0.20263333333333333</v>
      </c>
      <c r="J43" t="s">
        <v>58</v>
      </c>
    </row>
    <row r="44" spans="2:10" x14ac:dyDescent="0.25">
      <c r="G44">
        <v>2030</v>
      </c>
      <c r="H44" t="s">
        <v>62</v>
      </c>
      <c r="I44">
        <v>0.20966666666666667</v>
      </c>
      <c r="J44" t="s">
        <v>58</v>
      </c>
    </row>
    <row r="45" spans="2:10" x14ac:dyDescent="0.25">
      <c r="G45">
        <v>2030</v>
      </c>
      <c r="H45" t="s">
        <v>64</v>
      </c>
      <c r="I45">
        <v>0.12216666666666666</v>
      </c>
      <c r="J45" t="s">
        <v>58</v>
      </c>
    </row>
    <row r="46" spans="2:10" x14ac:dyDescent="0.25">
      <c r="G46">
        <v>2030</v>
      </c>
      <c r="H46" t="s">
        <v>66</v>
      </c>
      <c r="I46">
        <v>0.14249999999999999</v>
      </c>
      <c r="J46" t="s">
        <v>58</v>
      </c>
    </row>
    <row r="47" spans="2:10" x14ac:dyDescent="0.25">
      <c r="G47">
        <v>2031</v>
      </c>
      <c r="H47" t="s">
        <v>59</v>
      </c>
      <c r="I47">
        <v>0.19099999999999998</v>
      </c>
      <c r="J47" t="s">
        <v>58</v>
      </c>
    </row>
    <row r="48" spans="2:10" x14ac:dyDescent="0.25">
      <c r="G48">
        <v>2031</v>
      </c>
      <c r="H48" t="s">
        <v>62</v>
      </c>
      <c r="I48">
        <v>0.2084</v>
      </c>
      <c r="J48" t="s">
        <v>58</v>
      </c>
    </row>
    <row r="49" spans="7:10" x14ac:dyDescent="0.25">
      <c r="G49">
        <v>2031</v>
      </c>
      <c r="H49" t="s">
        <v>64</v>
      </c>
      <c r="I49">
        <v>0.127</v>
      </c>
      <c r="J49" t="s">
        <v>58</v>
      </c>
    </row>
    <row r="50" spans="7:10" x14ac:dyDescent="0.25">
      <c r="G50">
        <v>2031</v>
      </c>
      <c r="H50" t="s">
        <v>66</v>
      </c>
      <c r="I50">
        <v>0.13183333333333333</v>
      </c>
      <c r="J50" t="s">
        <v>58</v>
      </c>
    </row>
    <row r="51" spans="7:10" x14ac:dyDescent="0.25">
      <c r="G51">
        <v>2032</v>
      </c>
      <c r="H51" t="s">
        <v>59</v>
      </c>
      <c r="I51">
        <v>0.2034</v>
      </c>
      <c r="J51" t="s">
        <v>58</v>
      </c>
    </row>
    <row r="52" spans="7:10" x14ac:dyDescent="0.25">
      <c r="G52">
        <v>2032</v>
      </c>
      <c r="H52" t="s">
        <v>62</v>
      </c>
      <c r="I52">
        <v>0.20650000000000002</v>
      </c>
      <c r="J52" t="s">
        <v>58</v>
      </c>
    </row>
    <row r="53" spans="7:10" x14ac:dyDescent="0.25">
      <c r="G53">
        <v>2032</v>
      </c>
      <c r="H53" t="s">
        <v>64</v>
      </c>
      <c r="I53">
        <v>0.1303</v>
      </c>
      <c r="J53" t="s">
        <v>58</v>
      </c>
    </row>
    <row r="54" spans="7:10" x14ac:dyDescent="0.25">
      <c r="G54">
        <v>2032</v>
      </c>
      <c r="H54" t="s">
        <v>66</v>
      </c>
      <c r="I54">
        <v>0.14176666666666668</v>
      </c>
      <c r="J54" t="s">
        <v>58</v>
      </c>
    </row>
    <row r="55" spans="7:10" x14ac:dyDescent="0.25">
      <c r="G55">
        <v>2033</v>
      </c>
      <c r="H55" t="s">
        <v>59</v>
      </c>
      <c r="I55">
        <v>0.26986666666666664</v>
      </c>
      <c r="J55" t="s">
        <v>58</v>
      </c>
    </row>
    <row r="56" spans="7:10" x14ac:dyDescent="0.25">
      <c r="G56">
        <v>2033</v>
      </c>
      <c r="H56" t="s">
        <v>62</v>
      </c>
      <c r="I56">
        <v>0.30043333333333333</v>
      </c>
      <c r="J56" t="s">
        <v>58</v>
      </c>
    </row>
    <row r="57" spans="7:10" x14ac:dyDescent="0.25">
      <c r="G57">
        <v>2033</v>
      </c>
      <c r="H57" t="s">
        <v>64</v>
      </c>
      <c r="I57">
        <v>0.17813333333333334</v>
      </c>
      <c r="J57" t="s">
        <v>58</v>
      </c>
    </row>
    <row r="58" spans="7:10" x14ac:dyDescent="0.25">
      <c r="G58">
        <v>2033</v>
      </c>
      <c r="H58" t="s">
        <v>66</v>
      </c>
      <c r="I58">
        <v>0.18843333333333334</v>
      </c>
      <c r="J58" t="s">
        <v>58</v>
      </c>
    </row>
    <row r="59" spans="7:10" x14ac:dyDescent="0.25">
      <c r="G59">
        <v>2034</v>
      </c>
      <c r="H59" t="s">
        <v>59</v>
      </c>
      <c r="I59">
        <v>0.24139999999999998</v>
      </c>
      <c r="J59" t="s">
        <v>58</v>
      </c>
    </row>
    <row r="60" spans="7:10" x14ac:dyDescent="0.25">
      <c r="G60">
        <v>2034</v>
      </c>
      <c r="H60" t="s">
        <v>62</v>
      </c>
      <c r="I60">
        <v>0.28463333333333335</v>
      </c>
      <c r="J60" t="s">
        <v>58</v>
      </c>
    </row>
    <row r="61" spans="7:10" x14ac:dyDescent="0.25">
      <c r="G61">
        <v>2034</v>
      </c>
      <c r="H61" t="s">
        <v>64</v>
      </c>
      <c r="I61">
        <v>0.16866666666666666</v>
      </c>
      <c r="J61" t="s">
        <v>58</v>
      </c>
    </row>
    <row r="62" spans="7:10" x14ac:dyDescent="0.25">
      <c r="G62">
        <v>2034</v>
      </c>
      <c r="H62" t="s">
        <v>66</v>
      </c>
      <c r="I62">
        <v>0.18399999999999997</v>
      </c>
      <c r="J62" t="s">
        <v>58</v>
      </c>
    </row>
    <row r="63" spans="7:10" x14ac:dyDescent="0.25">
      <c r="G63">
        <v>2035</v>
      </c>
      <c r="H63" t="s">
        <v>59</v>
      </c>
      <c r="I63">
        <v>0.25866666666666666</v>
      </c>
      <c r="J63" t="s">
        <v>58</v>
      </c>
    </row>
    <row r="64" spans="7:10" x14ac:dyDescent="0.25">
      <c r="G64">
        <v>2035</v>
      </c>
      <c r="H64" t="s">
        <v>62</v>
      </c>
      <c r="I64">
        <v>0.28186666666666665</v>
      </c>
      <c r="J64" t="s">
        <v>58</v>
      </c>
    </row>
    <row r="65" spans="7:10" x14ac:dyDescent="0.25">
      <c r="G65">
        <v>2035</v>
      </c>
      <c r="H65" t="s">
        <v>64</v>
      </c>
      <c r="I65">
        <v>0.16829999999999998</v>
      </c>
      <c r="J65" t="s">
        <v>58</v>
      </c>
    </row>
    <row r="66" spans="7:10" x14ac:dyDescent="0.25">
      <c r="G66">
        <v>2035</v>
      </c>
      <c r="H66" t="s">
        <v>66</v>
      </c>
      <c r="I66">
        <v>0.17983333333333332</v>
      </c>
      <c r="J66" t="s">
        <v>58</v>
      </c>
    </row>
    <row r="67" spans="7:10" x14ac:dyDescent="0.25">
      <c r="G67">
        <v>2036</v>
      </c>
      <c r="H67" t="s">
        <v>59</v>
      </c>
      <c r="I67">
        <v>0.24666666666666667</v>
      </c>
      <c r="J67" t="s">
        <v>58</v>
      </c>
    </row>
    <row r="68" spans="7:10" x14ac:dyDescent="0.25">
      <c r="G68">
        <v>2036</v>
      </c>
      <c r="H68" t="s">
        <v>62</v>
      </c>
      <c r="I68">
        <v>0.30520000000000003</v>
      </c>
      <c r="J68" t="s">
        <v>58</v>
      </c>
    </row>
    <row r="69" spans="7:10" x14ac:dyDescent="0.25">
      <c r="G69">
        <v>2036</v>
      </c>
      <c r="H69" t="s">
        <v>64</v>
      </c>
      <c r="I69">
        <v>0.16900000000000001</v>
      </c>
      <c r="J69" t="s">
        <v>58</v>
      </c>
    </row>
    <row r="70" spans="7:10" x14ac:dyDescent="0.25">
      <c r="G70">
        <v>2036</v>
      </c>
      <c r="H70" t="s">
        <v>66</v>
      </c>
      <c r="I70">
        <v>0.18996666666666664</v>
      </c>
      <c r="J70" t="s">
        <v>58</v>
      </c>
    </row>
    <row r="71" spans="7:10" x14ac:dyDescent="0.25">
      <c r="G71">
        <v>2037</v>
      </c>
      <c r="H71" t="s">
        <v>59</v>
      </c>
      <c r="I71">
        <v>0.25940000000000002</v>
      </c>
      <c r="J71" t="s">
        <v>58</v>
      </c>
    </row>
    <row r="72" spans="7:10" x14ac:dyDescent="0.25">
      <c r="G72">
        <v>2037</v>
      </c>
      <c r="H72" t="s">
        <v>62</v>
      </c>
      <c r="I72">
        <v>0.28876666666666667</v>
      </c>
      <c r="J72" t="s">
        <v>58</v>
      </c>
    </row>
    <row r="73" spans="7:10" x14ac:dyDescent="0.25">
      <c r="G73">
        <v>2037</v>
      </c>
      <c r="H73" t="s">
        <v>64</v>
      </c>
      <c r="I73">
        <v>0.17</v>
      </c>
      <c r="J73" t="s">
        <v>58</v>
      </c>
    </row>
    <row r="74" spans="7:10" x14ac:dyDescent="0.25">
      <c r="G74">
        <v>2037</v>
      </c>
      <c r="H74" t="s">
        <v>66</v>
      </c>
      <c r="I74">
        <v>0.1988</v>
      </c>
      <c r="J74" t="s">
        <v>58</v>
      </c>
    </row>
    <row r="75" spans="7:10" x14ac:dyDescent="0.25">
      <c r="G75">
        <v>2038</v>
      </c>
      <c r="H75" t="s">
        <v>59</v>
      </c>
      <c r="I75">
        <v>0.27460000000000001</v>
      </c>
      <c r="J75" t="s">
        <v>58</v>
      </c>
    </row>
    <row r="76" spans="7:10" x14ac:dyDescent="0.25">
      <c r="G76">
        <v>2038</v>
      </c>
      <c r="H76" t="s">
        <v>62</v>
      </c>
      <c r="I76">
        <v>0.27763333333333334</v>
      </c>
      <c r="J76" t="s">
        <v>58</v>
      </c>
    </row>
    <row r="77" spans="7:10" x14ac:dyDescent="0.25">
      <c r="G77">
        <v>2038</v>
      </c>
      <c r="H77" t="s">
        <v>64</v>
      </c>
      <c r="I77">
        <v>0.17176666666666665</v>
      </c>
      <c r="J77" t="s">
        <v>58</v>
      </c>
    </row>
    <row r="78" spans="7:10" x14ac:dyDescent="0.25">
      <c r="G78">
        <v>2038</v>
      </c>
      <c r="H78" t="s">
        <v>66</v>
      </c>
      <c r="I78">
        <v>0.18346666666666667</v>
      </c>
      <c r="J78" t="s">
        <v>58</v>
      </c>
    </row>
    <row r="79" spans="7:10" x14ac:dyDescent="0.25">
      <c r="G79">
        <v>2039</v>
      </c>
      <c r="H79" t="s">
        <v>59</v>
      </c>
      <c r="I79">
        <v>0.23576666666666668</v>
      </c>
      <c r="J79" t="s">
        <v>58</v>
      </c>
    </row>
    <row r="80" spans="7:10" x14ac:dyDescent="0.25">
      <c r="G80">
        <v>2039</v>
      </c>
      <c r="H80" t="s">
        <v>62</v>
      </c>
      <c r="I80">
        <v>0.24663333333333334</v>
      </c>
      <c r="J80" t="s">
        <v>58</v>
      </c>
    </row>
    <row r="81" spans="7:10" x14ac:dyDescent="0.25">
      <c r="G81">
        <v>2039</v>
      </c>
      <c r="H81" t="s">
        <v>64</v>
      </c>
      <c r="I81">
        <v>0.15043333333333334</v>
      </c>
      <c r="J81" t="s">
        <v>58</v>
      </c>
    </row>
    <row r="82" spans="7:10" x14ac:dyDescent="0.25">
      <c r="G82">
        <v>2039</v>
      </c>
      <c r="H82" t="s">
        <v>66</v>
      </c>
      <c r="I82">
        <v>0.17120000000000002</v>
      </c>
      <c r="J82" t="s">
        <v>58</v>
      </c>
    </row>
    <row r="83" spans="7:10" x14ac:dyDescent="0.25">
      <c r="G83">
        <v>2040</v>
      </c>
      <c r="H83" t="s">
        <v>59</v>
      </c>
      <c r="I83">
        <v>0.22436666666666669</v>
      </c>
      <c r="J83" t="s">
        <v>58</v>
      </c>
    </row>
    <row r="84" spans="7:10" x14ac:dyDescent="0.25">
      <c r="G84">
        <v>2040</v>
      </c>
      <c r="H84" t="s">
        <v>62</v>
      </c>
      <c r="I84">
        <v>0.24586666666666668</v>
      </c>
      <c r="J84" t="s">
        <v>58</v>
      </c>
    </row>
    <row r="85" spans="7:10" x14ac:dyDescent="0.25">
      <c r="G85">
        <v>2040</v>
      </c>
      <c r="H85" t="s">
        <v>64</v>
      </c>
      <c r="I85">
        <v>0.14873333333333336</v>
      </c>
      <c r="J85" t="s">
        <v>58</v>
      </c>
    </row>
    <row r="86" spans="7:10" x14ac:dyDescent="0.25">
      <c r="G86">
        <v>2040</v>
      </c>
      <c r="H86" t="s">
        <v>66</v>
      </c>
      <c r="I86">
        <v>0.17123333333333332</v>
      </c>
      <c r="J86" t="s">
        <v>58</v>
      </c>
    </row>
    <row r="87" spans="7:10" x14ac:dyDescent="0.25">
      <c r="G87">
        <v>2041</v>
      </c>
      <c r="H87" t="s">
        <v>59</v>
      </c>
      <c r="I87">
        <v>0.22919999999999999</v>
      </c>
      <c r="J87" t="s">
        <v>58</v>
      </c>
    </row>
    <row r="88" spans="7:10" x14ac:dyDescent="0.25">
      <c r="G88">
        <v>2041</v>
      </c>
      <c r="H88" t="s">
        <v>62</v>
      </c>
      <c r="I88">
        <v>0.2588333333333333</v>
      </c>
      <c r="J88" t="s">
        <v>58</v>
      </c>
    </row>
    <row r="89" spans="7:10" x14ac:dyDescent="0.25">
      <c r="G89">
        <v>2041</v>
      </c>
      <c r="H89" t="s">
        <v>64</v>
      </c>
      <c r="I89">
        <v>0.15066666666666667</v>
      </c>
      <c r="J89" t="s">
        <v>58</v>
      </c>
    </row>
    <row r="90" spans="7:10" x14ac:dyDescent="0.25">
      <c r="G90">
        <v>2041</v>
      </c>
      <c r="H90" t="s">
        <v>66</v>
      </c>
      <c r="I90">
        <v>0.16469999999999999</v>
      </c>
      <c r="J90" t="s">
        <v>58</v>
      </c>
    </row>
    <row r="91" spans="7:10" x14ac:dyDescent="0.25">
      <c r="G91">
        <v>2042</v>
      </c>
      <c r="H91" t="s">
        <v>59</v>
      </c>
      <c r="I91">
        <v>0.25779999999999997</v>
      </c>
      <c r="J91" t="s">
        <v>58</v>
      </c>
    </row>
    <row r="92" spans="7:10" x14ac:dyDescent="0.25">
      <c r="G92">
        <v>2042</v>
      </c>
      <c r="H92" t="s">
        <v>62</v>
      </c>
      <c r="I92">
        <v>0.27343333333333336</v>
      </c>
      <c r="J92" t="s">
        <v>58</v>
      </c>
    </row>
    <row r="93" spans="7:10" x14ac:dyDescent="0.25">
      <c r="G93">
        <v>2042</v>
      </c>
      <c r="H93" t="s">
        <v>64</v>
      </c>
      <c r="I93">
        <v>0.17646666666666666</v>
      </c>
      <c r="J93" t="s">
        <v>58</v>
      </c>
    </row>
    <row r="94" spans="7:10" x14ac:dyDescent="0.25">
      <c r="G94">
        <v>2042</v>
      </c>
      <c r="H94" t="s">
        <v>66</v>
      </c>
      <c r="I94">
        <v>0.17419999999999999</v>
      </c>
      <c r="J94" t="s">
        <v>58</v>
      </c>
    </row>
    <row r="95" spans="7:10" x14ac:dyDescent="0.25">
      <c r="G95">
        <v>2043</v>
      </c>
      <c r="H95" t="s">
        <v>59</v>
      </c>
      <c r="I95">
        <v>0.26630000000000004</v>
      </c>
      <c r="J95" t="s">
        <v>58</v>
      </c>
    </row>
    <row r="96" spans="7:10" x14ac:dyDescent="0.25">
      <c r="G96">
        <v>2043</v>
      </c>
      <c r="H96" t="s">
        <v>62</v>
      </c>
      <c r="I96">
        <v>0.28320000000000001</v>
      </c>
      <c r="J96" t="s">
        <v>58</v>
      </c>
    </row>
    <row r="97" spans="7:10" x14ac:dyDescent="0.25">
      <c r="G97">
        <v>2043</v>
      </c>
      <c r="H97" t="s">
        <v>64</v>
      </c>
      <c r="I97">
        <v>0.17396666666666669</v>
      </c>
      <c r="J97" t="s">
        <v>58</v>
      </c>
    </row>
    <row r="98" spans="7:10" x14ac:dyDescent="0.25">
      <c r="G98">
        <v>2043</v>
      </c>
      <c r="H98" t="s">
        <v>66</v>
      </c>
      <c r="I98">
        <v>0.1859666666666667</v>
      </c>
      <c r="J98" t="s">
        <v>58</v>
      </c>
    </row>
    <row r="99" spans="7:10" x14ac:dyDescent="0.25">
      <c r="G99">
        <v>2044</v>
      </c>
      <c r="H99" t="s">
        <v>59</v>
      </c>
      <c r="I99">
        <v>0.26203333333333334</v>
      </c>
      <c r="J99" t="s">
        <v>58</v>
      </c>
    </row>
    <row r="100" spans="7:10" x14ac:dyDescent="0.25">
      <c r="G100">
        <v>2044</v>
      </c>
      <c r="H100" t="s">
        <v>62</v>
      </c>
      <c r="I100">
        <v>0.28893333333333332</v>
      </c>
      <c r="J100" t="s">
        <v>58</v>
      </c>
    </row>
    <row r="101" spans="7:10" x14ac:dyDescent="0.25">
      <c r="G101">
        <v>2044</v>
      </c>
      <c r="H101" t="s">
        <v>64</v>
      </c>
      <c r="I101">
        <v>0.17733333333333334</v>
      </c>
      <c r="J101" t="s">
        <v>58</v>
      </c>
    </row>
    <row r="102" spans="7:10" x14ac:dyDescent="0.25">
      <c r="G102">
        <v>2044</v>
      </c>
      <c r="H102" t="s">
        <v>66</v>
      </c>
      <c r="I102">
        <v>0.19473333333333334</v>
      </c>
      <c r="J102" t="s">
        <v>58</v>
      </c>
    </row>
    <row r="103" spans="7:10" x14ac:dyDescent="0.25">
      <c r="G103">
        <v>2045</v>
      </c>
      <c r="H103" t="s">
        <v>59</v>
      </c>
      <c r="I103">
        <v>0.19556666666666667</v>
      </c>
      <c r="J103" t="s">
        <v>58</v>
      </c>
    </row>
    <row r="104" spans="7:10" x14ac:dyDescent="0.25">
      <c r="G104">
        <v>2045</v>
      </c>
      <c r="H104" t="s">
        <v>62</v>
      </c>
      <c r="I104">
        <v>0.20860000000000001</v>
      </c>
      <c r="J104" t="s">
        <v>58</v>
      </c>
    </row>
    <row r="105" spans="7:10" x14ac:dyDescent="0.25">
      <c r="G105">
        <v>2045</v>
      </c>
      <c r="H105" t="s">
        <v>64</v>
      </c>
      <c r="I105">
        <v>0.12883333333333336</v>
      </c>
      <c r="J105" t="s">
        <v>58</v>
      </c>
    </row>
    <row r="106" spans="7:10" x14ac:dyDescent="0.25">
      <c r="G106">
        <v>2045</v>
      </c>
      <c r="H106" t="s">
        <v>66</v>
      </c>
      <c r="I106">
        <v>0.13870000000000002</v>
      </c>
      <c r="J106" t="s">
        <v>58</v>
      </c>
    </row>
    <row r="107" spans="7:10" x14ac:dyDescent="0.25">
      <c r="G107">
        <v>2046</v>
      </c>
      <c r="H107" t="s">
        <v>59</v>
      </c>
      <c r="I107">
        <v>0.19033333333333335</v>
      </c>
      <c r="J107" t="s">
        <v>58</v>
      </c>
    </row>
    <row r="108" spans="7:10" x14ac:dyDescent="0.25">
      <c r="G108">
        <v>2046</v>
      </c>
      <c r="H108" t="s">
        <v>62</v>
      </c>
      <c r="I108">
        <v>0.2114</v>
      </c>
      <c r="J108" t="s">
        <v>58</v>
      </c>
    </row>
    <row r="109" spans="7:10" x14ac:dyDescent="0.25">
      <c r="G109">
        <v>2046</v>
      </c>
      <c r="H109" t="s">
        <v>64</v>
      </c>
      <c r="I109">
        <v>0.13186666666666666</v>
      </c>
      <c r="J109" t="s">
        <v>58</v>
      </c>
    </row>
    <row r="110" spans="7:10" x14ac:dyDescent="0.25">
      <c r="G110">
        <v>2046</v>
      </c>
      <c r="H110" t="s">
        <v>66</v>
      </c>
      <c r="I110">
        <v>0.13133333333333333</v>
      </c>
      <c r="J110" t="s">
        <v>58</v>
      </c>
    </row>
    <row r="111" spans="7:10" x14ac:dyDescent="0.25">
      <c r="G111">
        <v>2047</v>
      </c>
      <c r="H111" t="s">
        <v>59</v>
      </c>
      <c r="I111">
        <v>0.2268</v>
      </c>
      <c r="J111" t="s">
        <v>58</v>
      </c>
    </row>
    <row r="112" spans="7:10" x14ac:dyDescent="0.25">
      <c r="G112">
        <v>2047</v>
      </c>
      <c r="H112" t="s">
        <v>62</v>
      </c>
      <c r="I112">
        <v>0.25869999999999999</v>
      </c>
      <c r="J112" t="s">
        <v>58</v>
      </c>
    </row>
    <row r="113" spans="7:10" x14ac:dyDescent="0.25">
      <c r="G113">
        <v>2047</v>
      </c>
      <c r="H113" t="s">
        <v>64</v>
      </c>
      <c r="I113">
        <v>0.1474</v>
      </c>
      <c r="J113" t="s">
        <v>58</v>
      </c>
    </row>
    <row r="114" spans="7:10" x14ac:dyDescent="0.25">
      <c r="G114">
        <v>2047</v>
      </c>
      <c r="H114" t="s">
        <v>66</v>
      </c>
      <c r="I114">
        <v>0.16766666666666666</v>
      </c>
      <c r="J114" t="s">
        <v>58</v>
      </c>
    </row>
    <row r="115" spans="7:10" x14ac:dyDescent="0.25">
      <c r="G115">
        <v>2048</v>
      </c>
      <c r="H115" t="s">
        <v>59</v>
      </c>
      <c r="I115">
        <v>0.22896666666666665</v>
      </c>
      <c r="J115" t="s">
        <v>58</v>
      </c>
    </row>
    <row r="116" spans="7:10" x14ac:dyDescent="0.25">
      <c r="G116">
        <v>2048</v>
      </c>
      <c r="H116" t="s">
        <v>62</v>
      </c>
      <c r="I116">
        <v>0.25863333333333333</v>
      </c>
      <c r="J116" t="s">
        <v>58</v>
      </c>
    </row>
    <row r="117" spans="7:10" x14ac:dyDescent="0.25">
      <c r="G117">
        <v>2048</v>
      </c>
      <c r="H117" t="s">
        <v>64</v>
      </c>
      <c r="I117">
        <v>0.15126666666666666</v>
      </c>
      <c r="J117" t="s">
        <v>58</v>
      </c>
    </row>
    <row r="118" spans="7:10" x14ac:dyDescent="0.25">
      <c r="G118">
        <v>2048</v>
      </c>
      <c r="H118" t="s">
        <v>66</v>
      </c>
      <c r="I118">
        <v>0.161</v>
      </c>
      <c r="J118" t="s">
        <v>58</v>
      </c>
    </row>
    <row r="119" spans="7:10" x14ac:dyDescent="0.25">
      <c r="G119">
        <v>2049</v>
      </c>
      <c r="H119" t="s">
        <v>59</v>
      </c>
      <c r="I119">
        <v>0.22430000000000003</v>
      </c>
      <c r="J119" t="s">
        <v>58</v>
      </c>
    </row>
    <row r="120" spans="7:10" x14ac:dyDescent="0.25">
      <c r="G120">
        <v>2049</v>
      </c>
      <c r="H120" t="s">
        <v>62</v>
      </c>
      <c r="I120">
        <v>0.23553333333333334</v>
      </c>
      <c r="J120" t="s">
        <v>58</v>
      </c>
    </row>
    <row r="121" spans="7:10" x14ac:dyDescent="0.25">
      <c r="G121">
        <v>2049</v>
      </c>
      <c r="H121" t="s">
        <v>64</v>
      </c>
      <c r="I121">
        <v>0.15030000000000002</v>
      </c>
      <c r="J121" t="s">
        <v>58</v>
      </c>
    </row>
    <row r="122" spans="7:10" x14ac:dyDescent="0.25">
      <c r="G122">
        <v>2049</v>
      </c>
      <c r="H122" t="s">
        <v>66</v>
      </c>
      <c r="I122">
        <v>0.1527</v>
      </c>
      <c r="J122" t="s">
        <v>58</v>
      </c>
    </row>
    <row r="123" spans="7:10" x14ac:dyDescent="0.25">
      <c r="G123">
        <v>2050</v>
      </c>
      <c r="H123" t="s">
        <v>59</v>
      </c>
      <c r="I123">
        <v>0.22690000000000002</v>
      </c>
      <c r="J123" t="s">
        <v>58</v>
      </c>
    </row>
    <row r="124" spans="7:10" x14ac:dyDescent="0.25">
      <c r="G124">
        <v>2050</v>
      </c>
      <c r="H124" t="s">
        <v>62</v>
      </c>
      <c r="I124">
        <v>0.24580000000000002</v>
      </c>
      <c r="J124" t="s">
        <v>58</v>
      </c>
    </row>
    <row r="125" spans="7:10" x14ac:dyDescent="0.25">
      <c r="G125">
        <v>2050</v>
      </c>
      <c r="H125" t="s">
        <v>64</v>
      </c>
      <c r="I125">
        <v>0.13863333333333336</v>
      </c>
      <c r="J125" t="s">
        <v>58</v>
      </c>
    </row>
    <row r="126" spans="7:10" x14ac:dyDescent="0.25">
      <c r="G126">
        <v>2050</v>
      </c>
      <c r="H126" t="s">
        <v>66</v>
      </c>
      <c r="I126">
        <v>0.16236666666666666</v>
      </c>
      <c r="J126" t="s">
        <v>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2026-06-30T11:26:06Z</dcterms:modified>
</cp:coreProperties>
</file>