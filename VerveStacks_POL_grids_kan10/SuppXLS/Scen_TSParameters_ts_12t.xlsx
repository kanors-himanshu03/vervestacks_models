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7763EF28-2133-4714-8643-675ACD054881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/>
  <c r="F9" i="12"/>
  <c r="F9" i="11"/>
  <c r="A10" i="6"/>
  <c r="H23" i="6" s="1"/>
  <c r="G9" i="10"/>
  <c r="CC9" i="9"/>
  <c r="BO9" i="9"/>
  <c r="AZ9" i="9"/>
  <c r="AK9" i="9"/>
  <c r="V9" i="9"/>
  <c r="AA9" i="8"/>
  <c r="V9" i="8"/>
  <c r="Q9" i="8"/>
  <c r="A11" i="7"/>
  <c r="B9" i="13"/>
  <c r="B9" i="12"/>
  <c r="B9" i="11"/>
  <c r="B9" i="10"/>
  <c r="Q9" i="9"/>
  <c r="N9" i="9"/>
  <c r="J9" i="9"/>
  <c r="F9" i="9"/>
  <c r="B9" i="9"/>
  <c r="L9" i="8"/>
  <c r="G9" i="8"/>
  <c r="B9" i="8"/>
  <c r="C9" i="7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<sst xmlns="http://schemas.openxmlformats.org/spreadsheetml/2006/main" count="2702" uniqueCount="188">
  <si>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</si>
  <si>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</si>
  <si>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</si>
  <si>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</si>
  <si>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</si>
  <si>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</si>
  <si>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</si>
  <si>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</si>
  <si>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</si>
  <si>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</si>
  <si>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</si>
  <si>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</si>
  <si>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</si>
  <si>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</si>
  <si>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</si>
  <si>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</si>
  <si>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</si>
  <si>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</si>
  <si>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</si>
  <si>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</si>
  <si>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</si>
  <si>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</si>
  <si>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</si>
  <si>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</si>
  <si>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</si>
  <si>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</si>
  <si>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</si>
  <si>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</si>
  <si>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</si>
  <si>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</si>
  <si>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</si>
  <si>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</si>
  <si>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</si>
  <si>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</si>
  <si>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</si>
  <si>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</si>
  <si>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</si>
  <si>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</si>
  <si>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</si>
  <si>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ts_annual</t>
  </si>
  <si>
    <t>commodity</t>
  </si>
  <si>
    <t>timeslice</t>
  </si>
  <si>
    <t>com_fr</t>
  </si>
  <si>
    <t>process</t>
  </si>
  <si>
    <t>AllSaAllH</t>
  </si>
  <si>
    <t>other_indexes</t>
  </si>
  <si>
    <t>ncap_com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</si>
  <si>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</si>
  <si>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</si>
  <si>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</si>
  <si>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</si>
  <si>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</si>
  <si>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</si>
  <si>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</si>
  <si>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</si>
  <si>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</si>
  <si>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</si>
  <si>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</si>
  <si>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</si>
  <si>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</si>
  <si>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</si>
  <si>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</si>
  <si>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</si>
  <si>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</si>
  <si>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</si>
  <si>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ts_12t</t>
  </si>
  <si>
    <t>elc_spv_POL_001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</si>
  <si>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</si>
  <si>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</si>
  <si>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</si>
  <si>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</si>
  <si>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</si>
  <si>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</si>
  <si>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</si>
  <si>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</si>
  <si>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</si>
  <si>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</si>
  <si>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</si>
  <si>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</si>
  <si>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</si>
  <si>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</si>
  <si>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</si>
  <si>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</si>
  <si>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</si>
  <si>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</si>
  <si>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</si>
  <si>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</si>
  <si>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</si>
  <si>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</si>
  <si>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</si>
  <si>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</si>
  <si>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</si>
  <si>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</si>
  <si>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</si>
  <si>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</si>
  <si>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</si>
  <si>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</si>
  <si>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</si>
  <si>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</si>
  <si>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</si>
  <si>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</si>
  <si>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</si>
  <si>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</si>
  <si>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</si>
  <si>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</si>
  <si>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</si>
  <si>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</si>
  <si>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</si>
  <si>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</si>
  <si>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</si>
  <si>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</si>
  <si>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</si>
  <si>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</si>
  <si>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</si>
  <si>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</si>
  <si>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</si>
  <si>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</si>
  <si>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</si>
  <si>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</si>
  <si>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</si>
  <si>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</si>
  <si>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</si>
  <si>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</si>
  <si>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</si>
  <si>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</si>
  <si>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</si>
  <si>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</si>
  <si>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</si>
  <si>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</si>
  <si>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</si>
  <si>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</si>
  <si>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</si>
  <si>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</si>
  <si>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</si>
  <si>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</si>
  <si>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</si>
  <si>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</si>
  <si>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</si>
  <si>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</si>
  <si>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</si>
  <si>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</si>
  <si>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</si>
  <si>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</si>
  <si>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</si>
  <si>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</si>
  <si>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</si>
  <si>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</si>
  <si>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</si>
  <si>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</si>
  <si>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</si>
  <si>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</si>
  <si>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</si>
  <si>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</si>
  <si>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</si>
  <si>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</si>
  <si>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</si>
  <si>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</si>
  <si>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</si>
  <si>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</si>
  <si>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</si>
  <si>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</si>
  <si>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</si>
  <si>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</si>
  <si>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</si>
  <si>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</si>
  <si>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</si>
  <si>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</si>
  <si>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</si>
  <si>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</si>
  <si>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</si>
  <si>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</si>
  <si>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</si>
  <si>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</si>
  <si>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</si>
  <si>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</si>
  <si>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</si>
  <si>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</si>
  <si>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</si>
  <si>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</si>
  <si>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</si>
  <si>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</si>
  <si>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</si>
  <si>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</si>
  <si>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</si>
  <si>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DEF_C</t>
  </si>
  <si>
    <t>OUT</t>
  </si>
  <si>
    <t>SaD,WaP,FaD,FaP,SaP,WaD,RaD,RaP</t>
  </si>
  <si>
    <t>FaP,SaP,FaN,RaN,RaP,SaN,WaN,WaP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</si>
</sst>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7" x14ac:dyDescent="0.25">
      <c r="A10" t="str">
        <f>IFERROR([1]Veda!D5,"ts_12t")</f>
        <v>ts_12t</v>
      </c>
      <c r="B10" s="5"/>
      <c r="C10" s="5" t="s">
        <v>49</v>
      </c>
      <c r="D10" t="s">
        <v>39</v>
      </c>
      <c r="F10" t="s">
        <v>49</v>
      </c>
      <c r="G10" t="s">
        <v>65</v>
      </c>
    </row>
    <row r="11" spans="1:7" x14ac:dyDescent="0.25">
      <c r="B11" s="5"/>
      <c r="C11" s="5" t="s">
        <v>50</v>
      </c>
      <c r="D11" t="s">
        <v>44</v>
      </c>
      <c r="F11" t="s">
        <v>50</v>
      </c>
      <c r="G11" t="s">
        <v>186</v>
      </c>
    </row>
    <row r="12" spans="1:7" x14ac:dyDescent="0.25">
      <c r="B12" s="5"/>
      <c r="C12" s="5" t="s">
        <v>51</v>
      </c>
      <c r="D12" t="s">
        <v>44</v>
      </c>
      <c r="F12" t="s">
        <v>51</v>
      </c>
      <c r="G12" t="s">
        <v>187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FaP,SaP,FaN,RaN,RaP,SaN,WaN,WaP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SaD,WaP,FaD,FaP,SaP,WaD,RaD,RaP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4D15-152D-46E7-A881-1C1F55214BE6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65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59</v>
      </c>
      <c r="D11" t="s">
        <v>38</v>
      </c>
      <c r="E11" t="s">
        <v>50</v>
      </c>
      <c r="F11" t="s">
        <v>60</v>
      </c>
      <c r="G11" t="s">
        <v>38</v>
      </c>
    </row>
    <row r="12" spans="1:7" x14ac:dyDescent="0.25">
      <c r="C12" t="s">
        <v>61</v>
      </c>
      <c r="E12" t="s">
        <v>51</v>
      </c>
      <c r="G12" t="s">
        <v>38</v>
      </c>
    </row>
    <row r="13" spans="1:7" x14ac:dyDescent="0.25">
      <c r="C13" t="s">
        <v>62</v>
      </c>
      <c r="E13" t="s">
        <v>63</v>
      </c>
      <c r="G13" t="s">
        <v>38</v>
      </c>
    </row>
    <row r="14" spans="1:7" x14ac:dyDescent="0.25">
      <c r="C14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3EE19-87D7-4F03-9338-BBBD1C0EBDD7}">
  <dimension ref="B9:AD250"/>
  <sheetViews>
    <sheetView workbookViewId="0">
      <selection activeCell="L28" sqref="L28"/>
    </sheetView>
  </sheetViews>
  <sheetFormatPr defaultRowHeight="15" x14ac:dyDescent="0.25"/>
  <sheetData>
    <row r="9" spans="2:30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  <c r="Q9" t="str">
        <f>IF(A11="x","DeActivated","~TFM_DINS-AT")</f>
        <v>~TFM_DINS-AT</v>
      </c>
      <c r="V9" t="str">
        <f>IF(A11="x","DeActivated","~TFM_DINS-AT")</f>
        <v>~TFM_DINS-AT</v>
      </c>
      <c r="AA9" t="str">
        <f>IF(A11="x","DeActivated","~TFM_DINS-AT")</f>
        <v>~TFM_DINS-AT</v>
      </c>
    </row>
    <row r="10" spans="2:30" x14ac:dyDescent="0.25">
      <c r="B10" t="s">
        <v>40</v>
      </c>
      <c r="C10" t="s">
        <v>41</v>
      </c>
      <c r="D10" t="s">
        <v>42</v>
      </c>
      <c r="E10" t="s">
        <v>43</v>
      </c>
      <c r="G10" t="s">
        <v>40</v>
      </c>
      <c r="H10" t="s">
        <v>41</v>
      </c>
      <c r="I10" t="s">
        <v>42</v>
      </c>
      <c r="J10" t="s">
        <v>43</v>
      </c>
      <c r="L10" t="s">
        <v>40</v>
      </c>
      <c r="M10" t="s">
        <v>41</v>
      </c>
      <c r="N10" t="s">
        <v>42</v>
      </c>
      <c r="O10" t="s">
        <v>43</v>
      </c>
      <c r="Q10" t="s">
        <v>40</v>
      </c>
      <c r="R10" t="s">
        <v>41</v>
      </c>
      <c r="S10" t="s">
        <v>42</v>
      </c>
      <c r="T10" t="s">
        <v>43</v>
      </c>
      <c r="V10" t="s">
        <v>40</v>
      </c>
      <c r="W10" t="s">
        <v>41</v>
      </c>
      <c r="X10" t="s">
        <v>42</v>
      </c>
      <c r="Y10" t="s">
        <v>43</v>
      </c>
      <c r="AA10" t="s">
        <v>40</v>
      </c>
      <c r="AB10" t="s">
        <v>41</v>
      </c>
      <c r="AC10" t="s">
        <v>42</v>
      </c>
      <c r="AD10" t="s">
        <v>43</v>
      </c>
    </row>
    <row r="11" spans="2:30" x14ac:dyDescent="0.25">
      <c r="Q11" t="s">
        <v>66</v>
      </c>
      <c r="R11" t="s">
        <v>67</v>
      </c>
      <c r="S11">
        <v>0.15704947325716187</v>
      </c>
      <c r="T11" t="s">
        <v>68</v>
      </c>
      <c r="V11" t="s">
        <v>99</v>
      </c>
      <c r="W11" t="s">
        <v>67</v>
      </c>
      <c r="X11">
        <v>0.10619002366058101</v>
      </c>
      <c r="Y11" t="s">
        <v>68</v>
      </c>
      <c r="AA11" t="s">
        <v>119</v>
      </c>
      <c r="AB11" t="s">
        <v>67</v>
      </c>
      <c r="AC11">
        <v>0.11977587456047273</v>
      </c>
      <c r="AD11" t="s">
        <v>68</v>
      </c>
    </row>
    <row r="12" spans="2:30" x14ac:dyDescent="0.25">
      <c r="Q12" t="s">
        <v>66</v>
      </c>
      <c r="R12" t="s">
        <v>69</v>
      </c>
      <c r="S12">
        <v>6.2460298604412919E-5</v>
      </c>
      <c r="T12" t="s">
        <v>68</v>
      </c>
      <c r="V12" t="s">
        <v>99</v>
      </c>
      <c r="W12" t="s">
        <v>69</v>
      </c>
      <c r="X12">
        <v>0.13016706527147004</v>
      </c>
      <c r="Y12" t="s">
        <v>68</v>
      </c>
      <c r="AA12" t="s">
        <v>119</v>
      </c>
      <c r="AB12" t="s">
        <v>69</v>
      </c>
      <c r="AC12">
        <v>0.12993875866802634</v>
      </c>
      <c r="AD12" t="s">
        <v>68</v>
      </c>
    </row>
    <row r="13" spans="2:30" x14ac:dyDescent="0.25">
      <c r="Q13" t="s">
        <v>66</v>
      </c>
      <c r="R13" t="s">
        <v>70</v>
      </c>
      <c r="S13">
        <v>9.4528833397579549E-3</v>
      </c>
      <c r="T13" t="s">
        <v>68</v>
      </c>
      <c r="V13" t="s">
        <v>99</v>
      </c>
      <c r="W13" t="s">
        <v>70</v>
      </c>
      <c r="X13">
        <v>2.2619927568028726E-2</v>
      </c>
      <c r="Y13" t="s">
        <v>68</v>
      </c>
      <c r="AA13" t="s">
        <v>119</v>
      </c>
      <c r="AB13" t="s">
        <v>70</v>
      </c>
      <c r="AC13">
        <v>2.4211348988096439E-2</v>
      </c>
      <c r="AD13" t="s">
        <v>68</v>
      </c>
    </row>
    <row r="14" spans="2:30" x14ac:dyDescent="0.25">
      <c r="Q14" t="s">
        <v>66</v>
      </c>
      <c r="R14" t="s">
        <v>71</v>
      </c>
      <c r="S14">
        <v>0.29014308397215793</v>
      </c>
      <c r="T14" t="s">
        <v>68</v>
      </c>
      <c r="V14" t="s">
        <v>99</v>
      </c>
      <c r="W14" t="s">
        <v>71</v>
      </c>
      <c r="X14">
        <v>0.10545880879142761</v>
      </c>
      <c r="Y14" t="s">
        <v>68</v>
      </c>
      <c r="AA14" t="s">
        <v>119</v>
      </c>
      <c r="AB14" t="s">
        <v>71</v>
      </c>
      <c r="AC14">
        <v>9.8171165887551565E-2</v>
      </c>
      <c r="AD14" t="s">
        <v>68</v>
      </c>
    </row>
    <row r="15" spans="2:30" x14ac:dyDescent="0.25">
      <c r="Q15" t="s">
        <v>66</v>
      </c>
      <c r="R15" t="s">
        <v>72</v>
      </c>
      <c r="S15">
        <v>6.7850140434783275E-3</v>
      </c>
      <c r="T15" t="s">
        <v>68</v>
      </c>
      <c r="V15" t="s">
        <v>99</v>
      </c>
      <c r="W15" t="s">
        <v>72</v>
      </c>
      <c r="X15">
        <v>0.13711718392146482</v>
      </c>
      <c r="Y15" t="s">
        <v>68</v>
      </c>
      <c r="AA15" t="s">
        <v>119</v>
      </c>
      <c r="AB15" t="s">
        <v>72</v>
      </c>
      <c r="AC15">
        <v>0.11787996782800067</v>
      </c>
      <c r="AD15" t="s">
        <v>68</v>
      </c>
    </row>
    <row r="16" spans="2:30" x14ac:dyDescent="0.25">
      <c r="Q16" t="s">
        <v>66</v>
      </c>
      <c r="R16" t="s">
        <v>73</v>
      </c>
      <c r="S16">
        <v>3.0623901116240377E-2</v>
      </c>
      <c r="T16" t="s">
        <v>68</v>
      </c>
      <c r="V16" t="s">
        <v>99</v>
      </c>
      <c r="W16" t="s">
        <v>73</v>
      </c>
      <c r="X16">
        <v>1.996919234582064E-2</v>
      </c>
      <c r="Y16" t="s">
        <v>68</v>
      </c>
      <c r="AA16" t="s">
        <v>119</v>
      </c>
      <c r="AB16" t="s">
        <v>73</v>
      </c>
      <c r="AC16">
        <v>1.9408842504092538E-2</v>
      </c>
      <c r="AD16" t="s">
        <v>68</v>
      </c>
    </row>
    <row r="17" spans="17:30" x14ac:dyDescent="0.25">
      <c r="Q17" t="s">
        <v>66</v>
      </c>
      <c r="R17" t="s">
        <v>74</v>
      </c>
      <c r="S17">
        <v>0.3583383275776188</v>
      </c>
      <c r="T17" t="s">
        <v>68</v>
      </c>
      <c r="V17" t="s">
        <v>99</v>
      </c>
      <c r="W17" t="s">
        <v>74</v>
      </c>
      <c r="X17">
        <v>4.8857798607780722E-2</v>
      </c>
      <c r="Y17" t="s">
        <v>68</v>
      </c>
      <c r="AA17" t="s">
        <v>119</v>
      </c>
      <c r="AB17" t="s">
        <v>74</v>
      </c>
      <c r="AC17">
        <v>6.5430588925638952E-2</v>
      </c>
      <c r="AD17" t="s">
        <v>68</v>
      </c>
    </row>
    <row r="18" spans="17:30" x14ac:dyDescent="0.25">
      <c r="Q18" t="s">
        <v>66</v>
      </c>
      <c r="R18" t="s">
        <v>75</v>
      </c>
      <c r="S18">
        <v>2.0720344022222004E-2</v>
      </c>
      <c r="T18" t="s">
        <v>68</v>
      </c>
      <c r="V18" t="s">
        <v>99</v>
      </c>
      <c r="W18" t="s">
        <v>75</v>
      </c>
      <c r="X18">
        <v>7.1291838820718476E-2</v>
      </c>
      <c r="Y18" t="s">
        <v>68</v>
      </c>
      <c r="AA18" t="s">
        <v>119</v>
      </c>
      <c r="AB18" t="s">
        <v>75</v>
      </c>
      <c r="AC18">
        <v>6.8131390996298488E-2</v>
      </c>
      <c r="AD18" t="s">
        <v>68</v>
      </c>
    </row>
    <row r="19" spans="17:30" x14ac:dyDescent="0.25">
      <c r="Q19" t="s">
        <v>66</v>
      </c>
      <c r="R19" t="s">
        <v>76</v>
      </c>
      <c r="S19">
        <v>4.593729965054924E-2</v>
      </c>
      <c r="T19" t="s">
        <v>68</v>
      </c>
      <c r="V19" t="s">
        <v>99</v>
      </c>
      <c r="W19" t="s">
        <v>76</v>
      </c>
      <c r="X19">
        <v>9.7400794801665615E-3</v>
      </c>
      <c r="Y19" t="s">
        <v>68</v>
      </c>
      <c r="AA19" t="s">
        <v>119</v>
      </c>
      <c r="AB19" t="s">
        <v>76</v>
      </c>
      <c r="AC19">
        <v>1.3206964154119595E-2</v>
      </c>
      <c r="AD19" t="s">
        <v>68</v>
      </c>
    </row>
    <row r="20" spans="17:30" x14ac:dyDescent="0.25">
      <c r="Q20" t="s">
        <v>66</v>
      </c>
      <c r="R20" t="s">
        <v>77</v>
      </c>
      <c r="S20">
        <v>7.9513510648108535E-2</v>
      </c>
      <c r="T20" t="s">
        <v>68</v>
      </c>
      <c r="V20" t="s">
        <v>99</v>
      </c>
      <c r="W20" t="s">
        <v>77</v>
      </c>
      <c r="X20">
        <v>0.15271752550072551</v>
      </c>
      <c r="Y20" t="s">
        <v>68</v>
      </c>
      <c r="AA20" t="s">
        <v>119</v>
      </c>
      <c r="AB20" t="s">
        <v>77</v>
      </c>
      <c r="AC20">
        <v>0.15297048099838223</v>
      </c>
      <c r="AD20" t="s">
        <v>68</v>
      </c>
    </row>
    <row r="21" spans="17:30" x14ac:dyDescent="0.25">
      <c r="Q21" t="s">
        <v>66</v>
      </c>
      <c r="R21" t="s">
        <v>78</v>
      </c>
      <c r="S21">
        <v>0</v>
      </c>
      <c r="T21" t="s">
        <v>68</v>
      </c>
      <c r="V21" t="s">
        <v>99</v>
      </c>
      <c r="W21" t="s">
        <v>78</v>
      </c>
      <c r="X21">
        <v>0.16577296163355129</v>
      </c>
      <c r="Y21" t="s">
        <v>68</v>
      </c>
      <c r="AA21" t="s">
        <v>119</v>
      </c>
      <c r="AB21" t="s">
        <v>78</v>
      </c>
      <c r="AC21">
        <v>0.16155047872894576</v>
      </c>
      <c r="AD21" t="s">
        <v>68</v>
      </c>
    </row>
    <row r="22" spans="17:30" x14ac:dyDescent="0.25">
      <c r="Q22" t="s">
        <v>66</v>
      </c>
      <c r="R22" t="s">
        <v>79</v>
      </c>
      <c r="S22">
        <v>1.3737020741010923E-3</v>
      </c>
      <c r="T22" t="s">
        <v>68</v>
      </c>
      <c r="V22" t="s">
        <v>99</v>
      </c>
      <c r="W22" t="s">
        <v>79</v>
      </c>
      <c r="X22">
        <v>3.0097594398266342E-2</v>
      </c>
      <c r="Y22" t="s">
        <v>68</v>
      </c>
      <c r="AA22" t="s">
        <v>119</v>
      </c>
      <c r="AB22" t="s">
        <v>79</v>
      </c>
      <c r="AC22">
        <v>2.9324137760378774E-2</v>
      </c>
      <c r="AD22" t="s">
        <v>68</v>
      </c>
    </row>
    <row r="23" spans="17:30" x14ac:dyDescent="0.25">
      <c r="Q23" t="s">
        <v>80</v>
      </c>
      <c r="R23" t="s">
        <v>67</v>
      </c>
      <c r="S23">
        <v>0.16904573890231012</v>
      </c>
      <c r="T23" t="s">
        <v>68</v>
      </c>
      <c r="V23" t="s">
        <v>100</v>
      </c>
      <c r="W23" t="s">
        <v>67</v>
      </c>
      <c r="X23">
        <v>0.10610932795149053</v>
      </c>
      <c r="Y23" t="s">
        <v>68</v>
      </c>
      <c r="AA23" t="s">
        <v>120</v>
      </c>
      <c r="AB23" t="s">
        <v>67</v>
      </c>
      <c r="AC23">
        <v>0.11784339278006627</v>
      </c>
      <c r="AD23" t="s">
        <v>68</v>
      </c>
    </row>
    <row r="24" spans="17:30" x14ac:dyDescent="0.25">
      <c r="Q24" t="s">
        <v>80</v>
      </c>
      <c r="R24" t="s">
        <v>69</v>
      </c>
      <c r="S24">
        <v>6.1182494558961802E-7</v>
      </c>
      <c r="T24" t="s">
        <v>68</v>
      </c>
      <c r="V24" t="s">
        <v>100</v>
      </c>
      <c r="W24" t="s">
        <v>69</v>
      </c>
      <c r="X24">
        <v>0.13014211742007759</v>
      </c>
      <c r="Y24" t="s">
        <v>68</v>
      </c>
      <c r="AA24" t="s">
        <v>120</v>
      </c>
      <c r="AB24" t="s">
        <v>69</v>
      </c>
      <c r="AC24">
        <v>0.11986269027403917</v>
      </c>
      <c r="AD24" t="s">
        <v>68</v>
      </c>
    </row>
    <row r="25" spans="17:30" x14ac:dyDescent="0.25">
      <c r="Q25" t="s">
        <v>80</v>
      </c>
      <c r="R25" t="s">
        <v>70</v>
      </c>
      <c r="S25">
        <v>8.3314161561162513E-3</v>
      </c>
      <c r="T25" t="s">
        <v>68</v>
      </c>
      <c r="V25" t="s">
        <v>100</v>
      </c>
      <c r="W25" t="s">
        <v>70</v>
      </c>
      <c r="X25">
        <v>2.4043189614494049E-2</v>
      </c>
      <c r="Y25" t="s">
        <v>68</v>
      </c>
      <c r="AA25" t="s">
        <v>120</v>
      </c>
      <c r="AB25" t="s">
        <v>70</v>
      </c>
      <c r="AC25">
        <v>2.2254788644095701E-2</v>
      </c>
      <c r="AD25" t="s">
        <v>68</v>
      </c>
    </row>
    <row r="26" spans="17:30" x14ac:dyDescent="0.25">
      <c r="Q26" t="s">
        <v>80</v>
      </c>
      <c r="R26" t="s">
        <v>71</v>
      </c>
      <c r="S26">
        <v>0.28048692326410113</v>
      </c>
      <c r="T26" t="s">
        <v>68</v>
      </c>
      <c r="V26" t="s">
        <v>100</v>
      </c>
      <c r="W26" t="s">
        <v>71</v>
      </c>
      <c r="X26">
        <v>0.10434682938346045</v>
      </c>
      <c r="Y26" t="s">
        <v>68</v>
      </c>
      <c r="AA26" t="s">
        <v>120</v>
      </c>
      <c r="AB26" t="s">
        <v>71</v>
      </c>
      <c r="AC26">
        <v>0.11163800182108354</v>
      </c>
      <c r="AD26" t="s">
        <v>68</v>
      </c>
    </row>
    <row r="27" spans="17:30" x14ac:dyDescent="0.25">
      <c r="Q27" t="s">
        <v>80</v>
      </c>
      <c r="R27" t="s">
        <v>72</v>
      </c>
      <c r="S27">
        <v>5.4728047216081235E-3</v>
      </c>
      <c r="T27" t="s">
        <v>68</v>
      </c>
      <c r="V27" t="s">
        <v>100</v>
      </c>
      <c r="W27" t="s">
        <v>72</v>
      </c>
      <c r="X27">
        <v>0.13431092838783354</v>
      </c>
      <c r="Y27" t="s">
        <v>68</v>
      </c>
      <c r="AA27" t="s">
        <v>120</v>
      </c>
      <c r="AB27" t="s">
        <v>72</v>
      </c>
      <c r="AC27">
        <v>0.12660973146342233</v>
      </c>
      <c r="AD27" t="s">
        <v>68</v>
      </c>
    </row>
    <row r="28" spans="17:30" x14ac:dyDescent="0.25">
      <c r="Q28" t="s">
        <v>80</v>
      </c>
      <c r="R28" t="s">
        <v>73</v>
      </c>
      <c r="S28">
        <v>2.886130007615682E-2</v>
      </c>
      <c r="T28" t="s">
        <v>68</v>
      </c>
      <c r="V28" t="s">
        <v>100</v>
      </c>
      <c r="W28" t="s">
        <v>73</v>
      </c>
      <c r="X28">
        <v>2.0577274087415078E-2</v>
      </c>
      <c r="Y28" t="s">
        <v>68</v>
      </c>
      <c r="AA28" t="s">
        <v>120</v>
      </c>
      <c r="AB28" t="s">
        <v>73</v>
      </c>
      <c r="AC28">
        <v>2.1608901212045915E-2</v>
      </c>
      <c r="AD28" t="s">
        <v>68</v>
      </c>
    </row>
    <row r="29" spans="17:30" x14ac:dyDescent="0.25">
      <c r="Q29" t="s">
        <v>80</v>
      </c>
      <c r="R29" t="s">
        <v>74</v>
      </c>
      <c r="S29">
        <v>0.35171552699942954</v>
      </c>
      <c r="T29" t="s">
        <v>68</v>
      </c>
      <c r="V29" t="s">
        <v>100</v>
      </c>
      <c r="W29" t="s">
        <v>74</v>
      </c>
      <c r="X29">
        <v>4.9275316879766627E-2</v>
      </c>
      <c r="Y29" t="s">
        <v>68</v>
      </c>
      <c r="AA29" t="s">
        <v>120</v>
      </c>
      <c r="AB29" t="s">
        <v>74</v>
      </c>
      <c r="AC29">
        <v>7.5393694394900332E-2</v>
      </c>
      <c r="AD29" t="s">
        <v>68</v>
      </c>
    </row>
    <row r="30" spans="17:30" x14ac:dyDescent="0.25">
      <c r="Q30" t="s">
        <v>80</v>
      </c>
      <c r="R30" t="s">
        <v>75</v>
      </c>
      <c r="S30">
        <v>1.791202786289596E-2</v>
      </c>
      <c r="T30" t="s">
        <v>68</v>
      </c>
      <c r="V30" t="s">
        <v>100</v>
      </c>
      <c r="W30" t="s">
        <v>75</v>
      </c>
      <c r="X30">
        <v>6.6951898596864554E-2</v>
      </c>
      <c r="Y30" t="s">
        <v>68</v>
      </c>
      <c r="AA30" t="s">
        <v>120</v>
      </c>
      <c r="AB30" t="s">
        <v>75</v>
      </c>
      <c r="AC30">
        <v>8.0666497258462297E-2</v>
      </c>
      <c r="AD30" t="s">
        <v>68</v>
      </c>
    </row>
    <row r="31" spans="17:30" x14ac:dyDescent="0.25">
      <c r="Q31" t="s">
        <v>80</v>
      </c>
      <c r="R31" t="s">
        <v>76</v>
      </c>
      <c r="S31">
        <v>4.3177828569251807E-2</v>
      </c>
      <c r="T31" t="s">
        <v>68</v>
      </c>
      <c r="V31" t="s">
        <v>100</v>
      </c>
      <c r="W31" t="s">
        <v>76</v>
      </c>
      <c r="X31">
        <v>1.0527482176386769E-2</v>
      </c>
      <c r="Y31" t="s">
        <v>68</v>
      </c>
      <c r="AA31" t="s">
        <v>120</v>
      </c>
      <c r="AB31" t="s">
        <v>76</v>
      </c>
      <c r="AC31">
        <v>1.5070431249181422E-2</v>
      </c>
      <c r="AD31" t="s">
        <v>68</v>
      </c>
    </row>
    <row r="32" spans="17:30" x14ac:dyDescent="0.25">
      <c r="Q32" t="s">
        <v>80</v>
      </c>
      <c r="R32" t="s">
        <v>77</v>
      </c>
      <c r="S32">
        <v>9.3502468883265924E-2</v>
      </c>
      <c r="T32" t="s">
        <v>68</v>
      </c>
      <c r="V32" t="s">
        <v>100</v>
      </c>
      <c r="W32" t="s">
        <v>77</v>
      </c>
      <c r="X32">
        <v>0.15541004304255518</v>
      </c>
      <c r="Y32" t="s">
        <v>68</v>
      </c>
      <c r="AA32" t="s">
        <v>120</v>
      </c>
      <c r="AB32" t="s">
        <v>77</v>
      </c>
      <c r="AC32">
        <v>0.14000201496505257</v>
      </c>
      <c r="AD32" t="s">
        <v>68</v>
      </c>
    </row>
    <row r="33" spans="17:30" x14ac:dyDescent="0.25">
      <c r="Q33" t="s">
        <v>80</v>
      </c>
      <c r="R33" t="s">
        <v>78</v>
      </c>
      <c r="S33">
        <v>0</v>
      </c>
      <c r="T33" t="s">
        <v>68</v>
      </c>
      <c r="V33" t="s">
        <v>100</v>
      </c>
      <c r="W33" t="s">
        <v>78</v>
      </c>
      <c r="X33">
        <v>0.16717652632684349</v>
      </c>
      <c r="Y33" t="s">
        <v>68</v>
      </c>
      <c r="AA33" t="s">
        <v>120</v>
      </c>
      <c r="AB33" t="s">
        <v>78</v>
      </c>
      <c r="AC33">
        <v>0.14233039667495415</v>
      </c>
      <c r="AD33" t="s">
        <v>68</v>
      </c>
    </row>
    <row r="34" spans="17:30" x14ac:dyDescent="0.25">
      <c r="Q34" t="s">
        <v>80</v>
      </c>
      <c r="R34" t="s">
        <v>79</v>
      </c>
      <c r="S34">
        <v>1.4933527399181509E-3</v>
      </c>
      <c r="T34" t="s">
        <v>68</v>
      </c>
      <c r="V34" t="s">
        <v>100</v>
      </c>
      <c r="W34" t="s">
        <v>79</v>
      </c>
      <c r="X34">
        <v>3.1129066132813101E-2</v>
      </c>
      <c r="Y34" t="s">
        <v>68</v>
      </c>
      <c r="AA34" t="s">
        <v>120</v>
      </c>
      <c r="AB34" t="s">
        <v>79</v>
      </c>
      <c r="AC34">
        <v>2.6719459262698739E-2</v>
      </c>
      <c r="AD34" t="s">
        <v>68</v>
      </c>
    </row>
    <row r="35" spans="17:30" x14ac:dyDescent="0.25">
      <c r="Q35" t="s">
        <v>81</v>
      </c>
      <c r="R35" t="s">
        <v>67</v>
      </c>
      <c r="S35">
        <v>0.16411220502530638</v>
      </c>
      <c r="T35" t="s">
        <v>68</v>
      </c>
      <c r="V35" t="s">
        <v>101</v>
      </c>
      <c r="W35" t="s">
        <v>67</v>
      </c>
      <c r="X35">
        <v>0.10620723888449389</v>
      </c>
      <c r="Y35" t="s">
        <v>68</v>
      </c>
      <c r="AA35" t="s">
        <v>121</v>
      </c>
      <c r="AB35" t="s">
        <v>67</v>
      </c>
      <c r="AC35">
        <v>0.11886582634933017</v>
      </c>
      <c r="AD35" t="s">
        <v>68</v>
      </c>
    </row>
    <row r="36" spans="17:30" x14ac:dyDescent="0.25">
      <c r="Q36" t="s">
        <v>81</v>
      </c>
      <c r="R36" t="s">
        <v>69</v>
      </c>
      <c r="S36">
        <v>2.1109788960211287E-5</v>
      </c>
      <c r="T36" t="s">
        <v>68</v>
      </c>
      <c r="V36" t="s">
        <v>101</v>
      </c>
      <c r="W36" t="s">
        <v>69</v>
      </c>
      <c r="X36">
        <v>0.12733335076759505</v>
      </c>
      <c r="Y36" t="s">
        <v>68</v>
      </c>
      <c r="AA36" t="s">
        <v>121</v>
      </c>
      <c r="AB36" t="s">
        <v>69</v>
      </c>
      <c r="AC36">
        <v>0.12481707032146837</v>
      </c>
      <c r="AD36" t="s">
        <v>68</v>
      </c>
    </row>
    <row r="37" spans="17:30" x14ac:dyDescent="0.25">
      <c r="Q37" t="s">
        <v>81</v>
      </c>
      <c r="R37" t="s">
        <v>70</v>
      </c>
      <c r="S37">
        <v>7.9125413713990456E-3</v>
      </c>
      <c r="T37" t="s">
        <v>68</v>
      </c>
      <c r="V37" t="s">
        <v>101</v>
      </c>
      <c r="W37" t="s">
        <v>70</v>
      </c>
      <c r="X37">
        <v>2.2215567132539665E-2</v>
      </c>
      <c r="Y37" t="s">
        <v>68</v>
      </c>
      <c r="AA37" t="s">
        <v>121</v>
      </c>
      <c r="AB37" t="s">
        <v>70</v>
      </c>
      <c r="AC37">
        <v>2.3359971434760145E-2</v>
      </c>
      <c r="AD37" t="s">
        <v>68</v>
      </c>
    </row>
    <row r="38" spans="17:30" x14ac:dyDescent="0.25">
      <c r="Q38" t="s">
        <v>81</v>
      </c>
      <c r="R38" t="s">
        <v>71</v>
      </c>
      <c r="S38">
        <v>0.28729683295397757</v>
      </c>
      <c r="T38" t="s">
        <v>68</v>
      </c>
      <c r="V38" t="s">
        <v>101</v>
      </c>
      <c r="W38" t="s">
        <v>71</v>
      </c>
      <c r="X38">
        <v>0.11246395064981476</v>
      </c>
      <c r="Y38" t="s">
        <v>68</v>
      </c>
      <c r="AA38" t="s">
        <v>121</v>
      </c>
      <c r="AB38" t="s">
        <v>71</v>
      </c>
      <c r="AC38">
        <v>0.10414744151670946</v>
      </c>
      <c r="AD38" t="s">
        <v>68</v>
      </c>
    </row>
    <row r="39" spans="17:30" x14ac:dyDescent="0.25">
      <c r="Q39" t="s">
        <v>81</v>
      </c>
      <c r="R39" t="s">
        <v>72</v>
      </c>
      <c r="S39">
        <v>6.5837544965065727E-3</v>
      </c>
      <c r="T39" t="s">
        <v>68</v>
      </c>
      <c r="V39" t="s">
        <v>101</v>
      </c>
      <c r="W39" t="s">
        <v>72</v>
      </c>
      <c r="X39">
        <v>0.13252835356487708</v>
      </c>
      <c r="Y39" t="s">
        <v>68</v>
      </c>
      <c r="AA39" t="s">
        <v>121</v>
      </c>
      <c r="AB39" t="s">
        <v>72</v>
      </c>
      <c r="AC39">
        <v>0.12234670824840609</v>
      </c>
      <c r="AD39" t="s">
        <v>68</v>
      </c>
    </row>
    <row r="40" spans="17:30" x14ac:dyDescent="0.25">
      <c r="Q40" t="s">
        <v>81</v>
      </c>
      <c r="R40" t="s">
        <v>73</v>
      </c>
      <c r="S40">
        <v>2.9881194995554736E-2</v>
      </c>
      <c r="T40" t="s">
        <v>68</v>
      </c>
      <c r="V40" t="s">
        <v>101</v>
      </c>
      <c r="W40" t="s">
        <v>73</v>
      </c>
      <c r="X40">
        <v>2.0579856561667213E-2</v>
      </c>
      <c r="Y40" t="s">
        <v>68</v>
      </c>
      <c r="AA40" t="s">
        <v>121</v>
      </c>
      <c r="AB40" t="s">
        <v>73</v>
      </c>
      <c r="AC40">
        <v>2.0467417665696246E-2</v>
      </c>
      <c r="AD40" t="s">
        <v>68</v>
      </c>
    </row>
    <row r="41" spans="17:30" x14ac:dyDescent="0.25">
      <c r="Q41" t="s">
        <v>81</v>
      </c>
      <c r="R41" t="s">
        <v>74</v>
      </c>
      <c r="S41">
        <v>0.35700154315346849</v>
      </c>
      <c r="T41" t="s">
        <v>68</v>
      </c>
      <c r="V41" t="s">
        <v>101</v>
      </c>
      <c r="W41" t="s">
        <v>74</v>
      </c>
      <c r="X41">
        <v>5.144341544157497E-2</v>
      </c>
      <c r="Y41" t="s">
        <v>68</v>
      </c>
      <c r="AA41" t="s">
        <v>121</v>
      </c>
      <c r="AB41" t="s">
        <v>74</v>
      </c>
      <c r="AC41">
        <v>7.1321343806205292E-2</v>
      </c>
      <c r="AD41" t="s">
        <v>68</v>
      </c>
    </row>
    <row r="42" spans="17:30" x14ac:dyDescent="0.25">
      <c r="Q42" t="s">
        <v>81</v>
      </c>
      <c r="R42" t="s">
        <v>75</v>
      </c>
      <c r="S42">
        <v>1.9573012815205081E-2</v>
      </c>
      <c r="T42" t="s">
        <v>68</v>
      </c>
      <c r="V42" t="s">
        <v>101</v>
      </c>
      <c r="W42" t="s">
        <v>75</v>
      </c>
      <c r="X42">
        <v>6.909883921848034E-2</v>
      </c>
      <c r="Y42" t="s">
        <v>68</v>
      </c>
      <c r="AA42" t="s">
        <v>121</v>
      </c>
      <c r="AB42" t="s">
        <v>75</v>
      </c>
      <c r="AC42">
        <v>7.5028304261776951E-2</v>
      </c>
      <c r="AD42" t="s">
        <v>68</v>
      </c>
    </row>
    <row r="43" spans="17:30" x14ac:dyDescent="0.25">
      <c r="Q43" t="s">
        <v>81</v>
      </c>
      <c r="R43" t="s">
        <v>76</v>
      </c>
      <c r="S43">
        <v>4.4813077097968661E-2</v>
      </c>
      <c r="T43" t="s">
        <v>68</v>
      </c>
      <c r="V43" t="s">
        <v>101</v>
      </c>
      <c r="W43" t="s">
        <v>76</v>
      </c>
      <c r="X43">
        <v>1.0506559555485762E-2</v>
      </c>
      <c r="Y43" t="s">
        <v>68</v>
      </c>
      <c r="AA43" t="s">
        <v>121</v>
      </c>
      <c r="AB43" t="s">
        <v>76</v>
      </c>
      <c r="AC43">
        <v>1.4527471435440966E-2</v>
      </c>
      <c r="AD43" t="s">
        <v>68</v>
      </c>
    </row>
    <row r="44" spans="17:30" x14ac:dyDescent="0.25">
      <c r="Q44" t="s">
        <v>81</v>
      </c>
      <c r="R44" t="s">
        <v>77</v>
      </c>
      <c r="S44">
        <v>8.176833554098363E-2</v>
      </c>
      <c r="T44" t="s">
        <v>68</v>
      </c>
      <c r="V44" t="s">
        <v>101</v>
      </c>
      <c r="W44" t="s">
        <v>77</v>
      </c>
      <c r="X44">
        <v>0.15449440797567227</v>
      </c>
      <c r="Y44" t="s">
        <v>68</v>
      </c>
      <c r="AA44" t="s">
        <v>121</v>
      </c>
      <c r="AB44" t="s">
        <v>77</v>
      </c>
      <c r="AC44">
        <v>0.14550375738478172</v>
      </c>
      <c r="AD44" t="s">
        <v>68</v>
      </c>
    </row>
    <row r="45" spans="17:30" x14ac:dyDescent="0.25">
      <c r="Q45" t="s">
        <v>81</v>
      </c>
      <c r="R45" t="s">
        <v>78</v>
      </c>
      <c r="S45">
        <v>0</v>
      </c>
      <c r="T45" t="s">
        <v>68</v>
      </c>
      <c r="V45" t="s">
        <v>101</v>
      </c>
      <c r="W45" t="s">
        <v>78</v>
      </c>
      <c r="X45">
        <v>0.1635169377530723</v>
      </c>
      <c r="Y45" t="s">
        <v>68</v>
      </c>
      <c r="AA45" t="s">
        <v>121</v>
      </c>
      <c r="AB45" t="s">
        <v>78</v>
      </c>
      <c r="AC45">
        <v>0.1516236980068669</v>
      </c>
      <c r="AD45" t="s">
        <v>68</v>
      </c>
    </row>
    <row r="46" spans="17:30" x14ac:dyDescent="0.25">
      <c r="Q46" t="s">
        <v>81</v>
      </c>
      <c r="R46" t="s">
        <v>79</v>
      </c>
      <c r="S46">
        <v>1.036392760669398E-3</v>
      </c>
      <c r="T46" t="s">
        <v>68</v>
      </c>
      <c r="V46" t="s">
        <v>101</v>
      </c>
      <c r="W46" t="s">
        <v>79</v>
      </c>
      <c r="X46">
        <v>2.961152249472403E-2</v>
      </c>
      <c r="Y46" t="s">
        <v>68</v>
      </c>
      <c r="AA46" t="s">
        <v>121</v>
      </c>
      <c r="AB46" t="s">
        <v>79</v>
      </c>
      <c r="AC46">
        <v>2.7990989568558462E-2</v>
      </c>
      <c r="AD46" t="s">
        <v>68</v>
      </c>
    </row>
    <row r="47" spans="17:30" x14ac:dyDescent="0.25">
      <c r="Q47" t="s">
        <v>82</v>
      </c>
      <c r="R47" t="s">
        <v>67</v>
      </c>
      <c r="S47">
        <v>0.14753375447235645</v>
      </c>
      <c r="T47" t="s">
        <v>68</v>
      </c>
      <c r="V47" t="s">
        <v>102</v>
      </c>
      <c r="W47" t="s">
        <v>67</v>
      </c>
      <c r="X47">
        <v>0.11150584718610347</v>
      </c>
      <c r="Y47" t="s">
        <v>68</v>
      </c>
      <c r="AA47" t="s">
        <v>122</v>
      </c>
      <c r="AB47" t="s">
        <v>67</v>
      </c>
      <c r="AC47">
        <v>0.11956140249241794</v>
      </c>
      <c r="AD47" t="s">
        <v>68</v>
      </c>
    </row>
    <row r="48" spans="17:30" x14ac:dyDescent="0.25">
      <c r="Q48" t="s">
        <v>82</v>
      </c>
      <c r="R48" t="s">
        <v>69</v>
      </c>
      <c r="S48">
        <v>8.5777209637607135E-5</v>
      </c>
      <c r="T48" t="s">
        <v>68</v>
      </c>
      <c r="V48" t="s">
        <v>102</v>
      </c>
      <c r="W48" t="s">
        <v>69</v>
      </c>
      <c r="X48">
        <v>0.13327389781438456</v>
      </c>
      <c r="Y48" t="s">
        <v>68</v>
      </c>
      <c r="AA48" t="s">
        <v>122</v>
      </c>
      <c r="AB48" t="s">
        <v>69</v>
      </c>
      <c r="AC48">
        <v>0.11894802707727387</v>
      </c>
      <c r="AD48" t="s">
        <v>68</v>
      </c>
    </row>
    <row r="49" spans="17:30" x14ac:dyDescent="0.25">
      <c r="Q49" t="s">
        <v>82</v>
      </c>
      <c r="R49" t="s">
        <v>70</v>
      </c>
      <c r="S49">
        <v>8.7436725997844609E-3</v>
      </c>
      <c r="T49" t="s">
        <v>68</v>
      </c>
      <c r="V49" t="s">
        <v>102</v>
      </c>
      <c r="W49" t="s">
        <v>70</v>
      </c>
      <c r="X49">
        <v>2.2861154211922068E-2</v>
      </c>
      <c r="Y49" t="s">
        <v>68</v>
      </c>
      <c r="AA49" t="s">
        <v>122</v>
      </c>
      <c r="AB49" t="s">
        <v>70</v>
      </c>
      <c r="AC49">
        <v>2.1072368000136444E-2</v>
      </c>
      <c r="AD49" t="s">
        <v>68</v>
      </c>
    </row>
    <row r="50" spans="17:30" x14ac:dyDescent="0.25">
      <c r="Q50" t="s">
        <v>82</v>
      </c>
      <c r="R50" t="s">
        <v>71</v>
      </c>
      <c r="S50">
        <v>0.30813609863342512</v>
      </c>
      <c r="T50" t="s">
        <v>68</v>
      </c>
      <c r="V50" t="s">
        <v>102</v>
      </c>
      <c r="W50" t="s">
        <v>71</v>
      </c>
      <c r="X50">
        <v>0.10964947797512055</v>
      </c>
      <c r="Y50" t="s">
        <v>68</v>
      </c>
      <c r="AA50" t="s">
        <v>122</v>
      </c>
      <c r="AB50" t="s">
        <v>71</v>
      </c>
      <c r="AC50">
        <v>0.11749859182515809</v>
      </c>
      <c r="AD50" t="s">
        <v>68</v>
      </c>
    </row>
    <row r="51" spans="17:30" x14ac:dyDescent="0.25">
      <c r="Q51" t="s">
        <v>82</v>
      </c>
      <c r="R51" t="s">
        <v>72</v>
      </c>
      <c r="S51">
        <v>6.8338993356955912E-3</v>
      </c>
      <c r="T51" t="s">
        <v>68</v>
      </c>
      <c r="V51" t="s">
        <v>102</v>
      </c>
      <c r="W51" t="s">
        <v>72</v>
      </c>
      <c r="X51">
        <v>0.13531020992316825</v>
      </c>
      <c r="Y51" t="s">
        <v>68</v>
      </c>
      <c r="AA51" t="s">
        <v>122</v>
      </c>
      <c r="AB51" t="s">
        <v>72</v>
      </c>
      <c r="AC51">
        <v>0.13076166089391525</v>
      </c>
      <c r="AD51" t="s">
        <v>68</v>
      </c>
    </row>
    <row r="52" spans="17:30" x14ac:dyDescent="0.25">
      <c r="Q52" t="s">
        <v>82</v>
      </c>
      <c r="R52" t="s">
        <v>73</v>
      </c>
      <c r="S52">
        <v>3.1094739212780064E-2</v>
      </c>
      <c r="T52" t="s">
        <v>68</v>
      </c>
      <c r="V52" t="s">
        <v>102</v>
      </c>
      <c r="W52" t="s">
        <v>73</v>
      </c>
      <c r="X52">
        <v>2.1328800126252115E-2</v>
      </c>
      <c r="Y52" t="s">
        <v>68</v>
      </c>
      <c r="AA52" t="s">
        <v>122</v>
      </c>
      <c r="AB52" t="s">
        <v>73</v>
      </c>
      <c r="AC52">
        <v>2.2991250327636971E-2</v>
      </c>
      <c r="AD52" t="s">
        <v>68</v>
      </c>
    </row>
    <row r="53" spans="17:30" x14ac:dyDescent="0.25">
      <c r="Q53" t="s">
        <v>82</v>
      </c>
      <c r="R53" t="s">
        <v>74</v>
      </c>
      <c r="S53">
        <v>0.359053265760998</v>
      </c>
      <c r="T53" t="s">
        <v>68</v>
      </c>
      <c r="V53" t="s">
        <v>102</v>
      </c>
      <c r="W53" t="s">
        <v>74</v>
      </c>
      <c r="X53">
        <v>4.6599398843905258E-2</v>
      </c>
      <c r="Y53" t="s">
        <v>68</v>
      </c>
      <c r="AA53" t="s">
        <v>122</v>
      </c>
      <c r="AB53" t="s">
        <v>74</v>
      </c>
      <c r="AC53">
        <v>7.8755967892195439E-2</v>
      </c>
      <c r="AD53" t="s">
        <v>68</v>
      </c>
    </row>
    <row r="54" spans="17:30" x14ac:dyDescent="0.25">
      <c r="Q54" t="s">
        <v>82</v>
      </c>
      <c r="R54" t="s">
        <v>75</v>
      </c>
      <c r="S54">
        <v>2.2328809610445945E-2</v>
      </c>
      <c r="T54" t="s">
        <v>68</v>
      </c>
      <c r="V54" t="s">
        <v>102</v>
      </c>
      <c r="W54" t="s">
        <v>75</v>
      </c>
      <c r="X54">
        <v>6.4673177527652934E-2</v>
      </c>
      <c r="Y54" t="s">
        <v>68</v>
      </c>
      <c r="AA54" t="s">
        <v>122</v>
      </c>
      <c r="AB54" t="s">
        <v>75</v>
      </c>
      <c r="AC54">
        <v>8.4897551735946625E-2</v>
      </c>
      <c r="AD54" t="s">
        <v>68</v>
      </c>
    </row>
    <row r="55" spans="17:30" x14ac:dyDescent="0.25">
      <c r="Q55" t="s">
        <v>82</v>
      </c>
      <c r="R55" t="s">
        <v>76</v>
      </c>
      <c r="S55">
        <v>4.6322699922271893E-2</v>
      </c>
      <c r="T55" t="s">
        <v>68</v>
      </c>
      <c r="V55" t="s">
        <v>102</v>
      </c>
      <c r="W55" t="s">
        <v>76</v>
      </c>
      <c r="X55">
        <v>8.7967380822415054E-3</v>
      </c>
      <c r="Y55" t="s">
        <v>68</v>
      </c>
      <c r="AA55" t="s">
        <v>122</v>
      </c>
      <c r="AB55" t="s">
        <v>76</v>
      </c>
      <c r="AC55">
        <v>1.4677275312639864E-2</v>
      </c>
      <c r="AD55" t="s">
        <v>68</v>
      </c>
    </row>
    <row r="56" spans="17:30" x14ac:dyDescent="0.25">
      <c r="Q56" t="s">
        <v>82</v>
      </c>
      <c r="R56" t="s">
        <v>77</v>
      </c>
      <c r="S56">
        <v>6.8620559357985805E-2</v>
      </c>
      <c r="T56" t="s">
        <v>68</v>
      </c>
      <c r="V56" t="s">
        <v>102</v>
      </c>
      <c r="W56" t="s">
        <v>77</v>
      </c>
      <c r="X56">
        <v>0.15284627525837347</v>
      </c>
      <c r="Y56" t="s">
        <v>68</v>
      </c>
      <c r="AA56" t="s">
        <v>122</v>
      </c>
      <c r="AB56" t="s">
        <v>77</v>
      </c>
      <c r="AC56">
        <v>0.13429729061649234</v>
      </c>
      <c r="AD56" t="s">
        <v>68</v>
      </c>
    </row>
    <row r="57" spans="17:30" x14ac:dyDescent="0.25">
      <c r="Q57" t="s">
        <v>82</v>
      </c>
      <c r="R57" t="s">
        <v>78</v>
      </c>
      <c r="S57">
        <v>0</v>
      </c>
      <c r="T57" t="s">
        <v>68</v>
      </c>
      <c r="V57" t="s">
        <v>102</v>
      </c>
      <c r="W57" t="s">
        <v>78</v>
      </c>
      <c r="X57">
        <v>0.16323500320003939</v>
      </c>
      <c r="Y57" t="s">
        <v>68</v>
      </c>
      <c r="AA57" t="s">
        <v>122</v>
      </c>
      <c r="AB57" t="s">
        <v>78</v>
      </c>
      <c r="AC57">
        <v>0.13141265945010849</v>
      </c>
      <c r="AD57" t="s">
        <v>68</v>
      </c>
    </row>
    <row r="58" spans="17:30" x14ac:dyDescent="0.25">
      <c r="Q58" t="s">
        <v>82</v>
      </c>
      <c r="R58" t="s">
        <v>79</v>
      </c>
      <c r="S58">
        <v>1.2467238846203303E-3</v>
      </c>
      <c r="T58" t="s">
        <v>68</v>
      </c>
      <c r="V58" t="s">
        <v>102</v>
      </c>
      <c r="W58" t="s">
        <v>79</v>
      </c>
      <c r="X58">
        <v>2.9920019850836432E-2</v>
      </c>
      <c r="Y58" t="s">
        <v>68</v>
      </c>
      <c r="AA58" t="s">
        <v>122</v>
      </c>
      <c r="AB58" t="s">
        <v>79</v>
      </c>
      <c r="AC58">
        <v>2.5125954376079236E-2</v>
      </c>
      <c r="AD58" t="s">
        <v>68</v>
      </c>
    </row>
    <row r="59" spans="17:30" x14ac:dyDescent="0.25">
      <c r="Q59" t="s">
        <v>83</v>
      </c>
      <c r="R59" t="s">
        <v>67</v>
      </c>
      <c r="S59">
        <v>0.15273182134345273</v>
      </c>
      <c r="T59" t="s">
        <v>68</v>
      </c>
      <c r="V59" t="s">
        <v>103</v>
      </c>
      <c r="W59" t="s">
        <v>67</v>
      </c>
      <c r="X59">
        <v>0.11185640992824869</v>
      </c>
      <c r="Y59" t="s">
        <v>68</v>
      </c>
      <c r="AA59" t="s">
        <v>123</v>
      </c>
      <c r="AB59" t="s">
        <v>67</v>
      </c>
      <c r="AC59">
        <v>0.12068916108644824</v>
      </c>
      <c r="AD59" t="s">
        <v>68</v>
      </c>
    </row>
    <row r="60" spans="17:30" x14ac:dyDescent="0.25">
      <c r="Q60" t="s">
        <v>83</v>
      </c>
      <c r="R60" t="s">
        <v>69</v>
      </c>
      <c r="S60">
        <v>5.5125578995303035E-5</v>
      </c>
      <c r="T60" t="s">
        <v>68</v>
      </c>
      <c r="V60" t="s">
        <v>103</v>
      </c>
      <c r="W60" t="s">
        <v>69</v>
      </c>
      <c r="X60">
        <v>0.12567933201195067</v>
      </c>
      <c r="Y60" t="s">
        <v>68</v>
      </c>
      <c r="AA60" t="s">
        <v>123</v>
      </c>
      <c r="AB60" t="s">
        <v>69</v>
      </c>
      <c r="AC60">
        <v>0.11787918131371074</v>
      </c>
      <c r="AD60" t="s">
        <v>68</v>
      </c>
    </row>
    <row r="61" spans="17:30" x14ac:dyDescent="0.25">
      <c r="Q61" t="s">
        <v>83</v>
      </c>
      <c r="R61" t="s">
        <v>70</v>
      </c>
      <c r="S61">
        <v>7.5685182325715009E-3</v>
      </c>
      <c r="T61" t="s">
        <v>68</v>
      </c>
      <c r="V61" t="s">
        <v>103</v>
      </c>
      <c r="W61" t="s">
        <v>70</v>
      </c>
      <c r="X61">
        <v>2.2695933987768944E-2</v>
      </c>
      <c r="Y61" t="s">
        <v>68</v>
      </c>
      <c r="AA61" t="s">
        <v>123</v>
      </c>
      <c r="AB61" t="s">
        <v>70</v>
      </c>
      <c r="AC61">
        <v>2.1978416026379309E-2</v>
      </c>
      <c r="AD61" t="s">
        <v>68</v>
      </c>
    </row>
    <row r="62" spans="17:30" x14ac:dyDescent="0.25">
      <c r="Q62" t="s">
        <v>83</v>
      </c>
      <c r="R62" t="s">
        <v>71</v>
      </c>
      <c r="S62">
        <v>0.31080690758053953</v>
      </c>
      <c r="T62" t="s">
        <v>68</v>
      </c>
      <c r="V62" t="s">
        <v>103</v>
      </c>
      <c r="W62" t="s">
        <v>71</v>
      </c>
      <c r="X62">
        <v>0.10715411391607138</v>
      </c>
      <c r="Y62" t="s">
        <v>68</v>
      </c>
      <c r="AA62" t="s">
        <v>123</v>
      </c>
      <c r="AB62" t="s">
        <v>71</v>
      </c>
      <c r="AC62">
        <v>0.11611014308678286</v>
      </c>
      <c r="AD62" t="s">
        <v>68</v>
      </c>
    </row>
    <row r="63" spans="17:30" x14ac:dyDescent="0.25">
      <c r="Q63" t="s">
        <v>83</v>
      </c>
      <c r="R63" t="s">
        <v>72</v>
      </c>
      <c r="S63">
        <v>6.9658509867382926E-3</v>
      </c>
      <c r="T63" t="s">
        <v>68</v>
      </c>
      <c r="V63" t="s">
        <v>103</v>
      </c>
      <c r="W63" t="s">
        <v>72</v>
      </c>
      <c r="X63">
        <v>0.13046811976255887</v>
      </c>
      <c r="Y63" t="s">
        <v>68</v>
      </c>
      <c r="AA63" t="s">
        <v>123</v>
      </c>
      <c r="AB63" t="s">
        <v>72</v>
      </c>
      <c r="AC63">
        <v>0.12931017432073663</v>
      </c>
      <c r="AD63" t="s">
        <v>68</v>
      </c>
    </row>
    <row r="64" spans="17:30" x14ac:dyDescent="0.25">
      <c r="Q64" t="s">
        <v>83</v>
      </c>
      <c r="R64" t="s">
        <v>73</v>
      </c>
      <c r="S64">
        <v>3.1141498251261078E-2</v>
      </c>
      <c r="T64" t="s">
        <v>68</v>
      </c>
      <c r="V64" t="s">
        <v>103</v>
      </c>
      <c r="W64" t="s">
        <v>73</v>
      </c>
      <c r="X64">
        <v>2.1006599125174476E-2</v>
      </c>
      <c r="Y64" t="s">
        <v>68</v>
      </c>
      <c r="AA64" t="s">
        <v>123</v>
      </c>
      <c r="AB64" t="s">
        <v>73</v>
      </c>
      <c r="AC64">
        <v>2.2729107524652892E-2</v>
      </c>
      <c r="AD64" t="s">
        <v>68</v>
      </c>
    </row>
    <row r="65" spans="17:30" x14ac:dyDescent="0.25">
      <c r="Q65" t="s">
        <v>83</v>
      </c>
      <c r="R65" t="s">
        <v>74</v>
      </c>
      <c r="S65">
        <v>0.35628048551215263</v>
      </c>
      <c r="T65" t="s">
        <v>68</v>
      </c>
      <c r="V65" t="s">
        <v>103</v>
      </c>
      <c r="W65" t="s">
        <v>74</v>
      </c>
      <c r="X65">
        <v>5.9428641096036863E-2</v>
      </c>
      <c r="Y65" t="s">
        <v>68</v>
      </c>
      <c r="AA65" t="s">
        <v>123</v>
      </c>
      <c r="AB65" t="s">
        <v>74</v>
      </c>
      <c r="AC65">
        <v>7.7583888899749306E-2</v>
      </c>
      <c r="AD65" t="s">
        <v>68</v>
      </c>
    </row>
    <row r="66" spans="17:30" x14ac:dyDescent="0.25">
      <c r="Q66" t="s">
        <v>83</v>
      </c>
      <c r="R66" t="s">
        <v>75</v>
      </c>
      <c r="S66">
        <v>2.2194742012789544E-2</v>
      </c>
      <c r="T66" t="s">
        <v>68</v>
      </c>
      <c r="V66" t="s">
        <v>103</v>
      </c>
      <c r="W66" t="s">
        <v>75</v>
      </c>
      <c r="X66">
        <v>7.0947753361983917E-2</v>
      </c>
      <c r="Y66" t="s">
        <v>68</v>
      </c>
      <c r="AA66" t="s">
        <v>123</v>
      </c>
      <c r="AB66" t="s">
        <v>75</v>
      </c>
      <c r="AC66">
        <v>8.0976245763470761E-2</v>
      </c>
      <c r="AD66" t="s">
        <v>68</v>
      </c>
    </row>
    <row r="67" spans="17:30" x14ac:dyDescent="0.25">
      <c r="Q67" t="s">
        <v>83</v>
      </c>
      <c r="R67" t="s">
        <v>76</v>
      </c>
      <c r="S67">
        <v>4.4659405898124838E-2</v>
      </c>
      <c r="T67" t="s">
        <v>68</v>
      </c>
      <c r="V67" t="s">
        <v>103</v>
      </c>
      <c r="W67" t="s">
        <v>76</v>
      </c>
      <c r="X67">
        <v>1.2301903120394893E-2</v>
      </c>
      <c r="Y67" t="s">
        <v>68</v>
      </c>
      <c r="AA67" t="s">
        <v>123</v>
      </c>
      <c r="AB67" t="s">
        <v>76</v>
      </c>
      <c r="AC67">
        <v>1.4868093237390379E-2</v>
      </c>
      <c r="AD67" t="s">
        <v>68</v>
      </c>
    </row>
    <row r="68" spans="17:30" x14ac:dyDescent="0.25">
      <c r="Q68" t="s">
        <v>83</v>
      </c>
      <c r="R68" t="s">
        <v>77</v>
      </c>
      <c r="S68">
        <v>6.6656678167259079E-2</v>
      </c>
      <c r="T68" t="s">
        <v>68</v>
      </c>
      <c r="V68" t="s">
        <v>103</v>
      </c>
      <c r="W68" t="s">
        <v>77</v>
      </c>
      <c r="X68">
        <v>0.14964258839090797</v>
      </c>
      <c r="Y68" t="s">
        <v>68</v>
      </c>
      <c r="AA68" t="s">
        <v>123</v>
      </c>
      <c r="AB68" t="s">
        <v>77</v>
      </c>
      <c r="AC68">
        <v>0.13686363777930605</v>
      </c>
      <c r="AD68" t="s">
        <v>68</v>
      </c>
    </row>
    <row r="69" spans="17:30" x14ac:dyDescent="0.25">
      <c r="Q69" t="s">
        <v>83</v>
      </c>
      <c r="R69" t="s">
        <v>78</v>
      </c>
      <c r="S69">
        <v>0</v>
      </c>
      <c r="T69" t="s">
        <v>68</v>
      </c>
      <c r="V69" t="s">
        <v>103</v>
      </c>
      <c r="W69" t="s">
        <v>78</v>
      </c>
      <c r="X69">
        <v>0.15983601034303774</v>
      </c>
      <c r="Y69" t="s">
        <v>68</v>
      </c>
      <c r="AA69" t="s">
        <v>123</v>
      </c>
      <c r="AB69" t="s">
        <v>78</v>
      </c>
      <c r="AC69">
        <v>0.13568959336496106</v>
      </c>
      <c r="AD69" t="s">
        <v>68</v>
      </c>
    </row>
    <row r="70" spans="17:30" x14ac:dyDescent="0.25">
      <c r="Q70" t="s">
        <v>83</v>
      </c>
      <c r="R70" t="s">
        <v>79</v>
      </c>
      <c r="S70">
        <v>9.3896643611606769E-4</v>
      </c>
      <c r="T70" t="s">
        <v>68</v>
      </c>
      <c r="V70" t="s">
        <v>103</v>
      </c>
      <c r="W70" t="s">
        <v>79</v>
      </c>
      <c r="X70">
        <v>2.8982594955870092E-2</v>
      </c>
      <c r="Y70" t="s">
        <v>68</v>
      </c>
      <c r="AA70" t="s">
        <v>123</v>
      </c>
      <c r="AB70" t="s">
        <v>79</v>
      </c>
      <c r="AC70">
        <v>2.5322357596411223E-2</v>
      </c>
      <c r="AD70" t="s">
        <v>68</v>
      </c>
    </row>
    <row r="71" spans="17:30" x14ac:dyDescent="0.25">
      <c r="Q71" t="s">
        <v>84</v>
      </c>
      <c r="R71" t="s">
        <v>67</v>
      </c>
      <c r="S71">
        <v>0.14193511222077712</v>
      </c>
      <c r="T71" t="s">
        <v>68</v>
      </c>
      <c r="V71" t="s">
        <v>104</v>
      </c>
      <c r="W71" t="s">
        <v>67</v>
      </c>
      <c r="X71">
        <v>0.11217313865476763</v>
      </c>
      <c r="Y71" t="s">
        <v>68</v>
      </c>
      <c r="AA71" t="s">
        <v>124</v>
      </c>
      <c r="AB71" t="s">
        <v>67</v>
      </c>
      <c r="AC71">
        <v>0.11903227266897078</v>
      </c>
      <c r="AD71" t="s">
        <v>68</v>
      </c>
    </row>
    <row r="72" spans="17:30" x14ac:dyDescent="0.25">
      <c r="Q72" t="s">
        <v>84</v>
      </c>
      <c r="R72" t="s">
        <v>69</v>
      </c>
      <c r="S72">
        <v>0</v>
      </c>
      <c r="T72" t="s">
        <v>68</v>
      </c>
      <c r="V72" t="s">
        <v>104</v>
      </c>
      <c r="W72" t="s">
        <v>69</v>
      </c>
      <c r="X72">
        <v>0.12842567840988087</v>
      </c>
      <c r="Y72" t="s">
        <v>68</v>
      </c>
      <c r="AA72" t="s">
        <v>124</v>
      </c>
      <c r="AB72" t="s">
        <v>69</v>
      </c>
      <c r="AC72">
        <v>0.11884762149511184</v>
      </c>
      <c r="AD72" t="s">
        <v>68</v>
      </c>
    </row>
    <row r="73" spans="17:30" x14ac:dyDescent="0.25">
      <c r="Q73" t="s">
        <v>84</v>
      </c>
      <c r="R73" t="s">
        <v>70</v>
      </c>
      <c r="S73">
        <v>6.5742033573930707E-3</v>
      </c>
      <c r="T73" t="s">
        <v>68</v>
      </c>
      <c r="V73" t="s">
        <v>104</v>
      </c>
      <c r="W73" t="s">
        <v>70</v>
      </c>
      <c r="X73">
        <v>2.3655366619797349E-2</v>
      </c>
      <c r="Y73" t="s">
        <v>68</v>
      </c>
      <c r="AA73" t="s">
        <v>124</v>
      </c>
      <c r="AB73" t="s">
        <v>70</v>
      </c>
      <c r="AC73">
        <v>2.1693042998971821E-2</v>
      </c>
      <c r="AD73" t="s">
        <v>68</v>
      </c>
    </row>
    <row r="74" spans="17:30" x14ac:dyDescent="0.25">
      <c r="Q74" t="s">
        <v>84</v>
      </c>
      <c r="R74" t="s">
        <v>71</v>
      </c>
      <c r="S74">
        <v>0.33405340173754983</v>
      </c>
      <c r="T74" t="s">
        <v>68</v>
      </c>
      <c r="V74" t="s">
        <v>104</v>
      </c>
      <c r="W74" t="s">
        <v>71</v>
      </c>
      <c r="X74">
        <v>0.10554750915620482</v>
      </c>
      <c r="Y74" t="s">
        <v>68</v>
      </c>
      <c r="AA74" t="s">
        <v>124</v>
      </c>
      <c r="AB74" t="s">
        <v>71</v>
      </c>
      <c r="AC74">
        <v>0.11558442388260019</v>
      </c>
      <c r="AD74" t="s">
        <v>68</v>
      </c>
    </row>
    <row r="75" spans="17:30" x14ac:dyDescent="0.25">
      <c r="Q75" t="s">
        <v>84</v>
      </c>
      <c r="R75" t="s">
        <v>72</v>
      </c>
      <c r="S75">
        <v>7.0643047120664331E-3</v>
      </c>
      <c r="T75" t="s">
        <v>68</v>
      </c>
      <c r="V75" t="s">
        <v>104</v>
      </c>
      <c r="W75" t="s">
        <v>72</v>
      </c>
      <c r="X75">
        <v>0.13505022112603923</v>
      </c>
      <c r="Y75" t="s">
        <v>68</v>
      </c>
      <c r="AA75" t="s">
        <v>124</v>
      </c>
      <c r="AB75" t="s">
        <v>72</v>
      </c>
      <c r="AC75">
        <v>0.12688821898192923</v>
      </c>
      <c r="AD75" t="s">
        <v>68</v>
      </c>
    </row>
    <row r="76" spans="17:30" x14ac:dyDescent="0.25">
      <c r="Q76" t="s">
        <v>84</v>
      </c>
      <c r="R76" t="s">
        <v>73</v>
      </c>
      <c r="S76">
        <v>3.0789756209675046E-2</v>
      </c>
      <c r="T76" t="s">
        <v>68</v>
      </c>
      <c r="V76" t="s">
        <v>104</v>
      </c>
      <c r="W76" t="s">
        <v>73</v>
      </c>
      <c r="X76">
        <v>1.9434718604116125E-2</v>
      </c>
      <c r="Y76" t="s">
        <v>68</v>
      </c>
      <c r="AA76" t="s">
        <v>124</v>
      </c>
      <c r="AB76" t="s">
        <v>73</v>
      </c>
      <c r="AC76">
        <v>2.2264866508946487E-2</v>
      </c>
      <c r="AD76" t="s">
        <v>68</v>
      </c>
    </row>
    <row r="77" spans="17:30" x14ac:dyDescent="0.25">
      <c r="Q77" t="s">
        <v>84</v>
      </c>
      <c r="R77" t="s">
        <v>74</v>
      </c>
      <c r="S77">
        <v>0.3501079773422251</v>
      </c>
      <c r="T77" t="s">
        <v>68</v>
      </c>
      <c r="V77" t="s">
        <v>104</v>
      </c>
      <c r="W77" t="s">
        <v>74</v>
      </c>
      <c r="X77">
        <v>5.6875907797893741E-2</v>
      </c>
      <c r="Y77" t="s">
        <v>68</v>
      </c>
      <c r="AA77" t="s">
        <v>124</v>
      </c>
      <c r="AB77" t="s">
        <v>74</v>
      </c>
      <c r="AC77">
        <v>7.8454127919518793E-2</v>
      </c>
      <c r="AD77" t="s">
        <v>68</v>
      </c>
    </row>
    <row r="78" spans="17:30" x14ac:dyDescent="0.25">
      <c r="Q78" t="s">
        <v>84</v>
      </c>
      <c r="R78" t="s">
        <v>75</v>
      </c>
      <c r="S78">
        <v>2.1837803069141206E-2</v>
      </c>
      <c r="T78" t="s">
        <v>68</v>
      </c>
      <c r="V78" t="s">
        <v>104</v>
      </c>
      <c r="W78" t="s">
        <v>75</v>
      </c>
      <c r="X78">
        <v>7.3077080074970158E-2</v>
      </c>
      <c r="Y78" t="s">
        <v>68</v>
      </c>
      <c r="AA78" t="s">
        <v>124</v>
      </c>
      <c r="AB78" t="s">
        <v>75</v>
      </c>
      <c r="AC78">
        <v>7.9435210059930816E-2</v>
      </c>
      <c r="AD78" t="s">
        <v>68</v>
      </c>
    </row>
    <row r="79" spans="17:30" x14ac:dyDescent="0.25">
      <c r="Q79" t="s">
        <v>84</v>
      </c>
      <c r="R79" t="s">
        <v>76</v>
      </c>
      <c r="S79">
        <v>4.2424792604215972E-2</v>
      </c>
      <c r="T79" t="s">
        <v>68</v>
      </c>
      <c r="V79" t="s">
        <v>104</v>
      </c>
      <c r="W79" t="s">
        <v>76</v>
      </c>
      <c r="X79">
        <v>1.1521575011645965E-2</v>
      </c>
      <c r="Y79" t="s">
        <v>68</v>
      </c>
      <c r="AA79" t="s">
        <v>124</v>
      </c>
      <c r="AB79" t="s">
        <v>76</v>
      </c>
      <c r="AC79">
        <v>1.428253882334546E-2</v>
      </c>
      <c r="AD79" t="s">
        <v>68</v>
      </c>
    </row>
    <row r="80" spans="17:30" x14ac:dyDescent="0.25">
      <c r="Q80" t="s">
        <v>84</v>
      </c>
      <c r="R80" t="s">
        <v>77</v>
      </c>
      <c r="S80">
        <v>6.458010407143544E-2</v>
      </c>
      <c r="T80" t="s">
        <v>68</v>
      </c>
      <c r="V80" t="s">
        <v>104</v>
      </c>
      <c r="W80" t="s">
        <v>77</v>
      </c>
      <c r="X80">
        <v>0.14824386728073277</v>
      </c>
      <c r="Y80" t="s">
        <v>68</v>
      </c>
      <c r="AA80" t="s">
        <v>124</v>
      </c>
      <c r="AB80" t="s">
        <v>77</v>
      </c>
      <c r="AC80">
        <v>0.13913605104102486</v>
      </c>
      <c r="AD80" t="s">
        <v>68</v>
      </c>
    </row>
    <row r="81" spans="17:30" x14ac:dyDescent="0.25">
      <c r="Q81" t="s">
        <v>84</v>
      </c>
      <c r="R81" t="s">
        <v>78</v>
      </c>
      <c r="S81">
        <v>0</v>
      </c>
      <c r="T81" t="s">
        <v>68</v>
      </c>
      <c r="V81" t="s">
        <v>104</v>
      </c>
      <c r="W81" t="s">
        <v>78</v>
      </c>
      <c r="X81">
        <v>0.15694123154358508</v>
      </c>
      <c r="Y81" t="s">
        <v>68</v>
      </c>
      <c r="AA81" t="s">
        <v>124</v>
      </c>
      <c r="AB81" t="s">
        <v>78</v>
      </c>
      <c r="AC81">
        <v>0.1381401172899521</v>
      </c>
      <c r="AD81" t="s">
        <v>68</v>
      </c>
    </row>
    <row r="82" spans="17:30" x14ac:dyDescent="0.25">
      <c r="Q82" t="s">
        <v>84</v>
      </c>
      <c r="R82" t="s">
        <v>79</v>
      </c>
      <c r="S82">
        <v>6.3254467552021579E-4</v>
      </c>
      <c r="T82" t="s">
        <v>68</v>
      </c>
      <c r="V82" t="s">
        <v>104</v>
      </c>
      <c r="W82" t="s">
        <v>79</v>
      </c>
      <c r="X82">
        <v>2.905370572036637E-2</v>
      </c>
      <c r="Y82" t="s">
        <v>68</v>
      </c>
      <c r="AA82" t="s">
        <v>124</v>
      </c>
      <c r="AB82" t="s">
        <v>79</v>
      </c>
      <c r="AC82">
        <v>2.6241508329695767E-2</v>
      </c>
      <c r="AD82" t="s">
        <v>68</v>
      </c>
    </row>
    <row r="83" spans="17:30" x14ac:dyDescent="0.25">
      <c r="Q83" t="s">
        <v>85</v>
      </c>
      <c r="R83" t="s">
        <v>67</v>
      </c>
      <c r="S83">
        <v>0.14630419827322477</v>
      </c>
      <c r="T83" t="s">
        <v>68</v>
      </c>
      <c r="V83" t="s">
        <v>105</v>
      </c>
      <c r="W83" t="s">
        <v>67</v>
      </c>
      <c r="X83">
        <v>0.10718347358889699</v>
      </c>
      <c r="Y83" t="s">
        <v>68</v>
      </c>
      <c r="AA83" t="s">
        <v>125</v>
      </c>
      <c r="AB83" t="s">
        <v>67</v>
      </c>
      <c r="AC83">
        <v>0.12283268737584453</v>
      </c>
      <c r="AD83" t="s">
        <v>68</v>
      </c>
    </row>
    <row r="84" spans="17:30" x14ac:dyDescent="0.25">
      <c r="Q84" t="s">
        <v>85</v>
      </c>
      <c r="R84" t="s">
        <v>69</v>
      </c>
      <c r="S84">
        <v>5.0956862641853029E-5</v>
      </c>
      <c r="T84" t="s">
        <v>68</v>
      </c>
      <c r="V84" t="s">
        <v>105</v>
      </c>
      <c r="W84" t="s">
        <v>69</v>
      </c>
      <c r="X84">
        <v>0.12499067039730273</v>
      </c>
      <c r="Y84" t="s">
        <v>68</v>
      </c>
      <c r="AA84" t="s">
        <v>125</v>
      </c>
      <c r="AB84" t="s">
        <v>69</v>
      </c>
      <c r="AC84">
        <v>0.12838243157074261</v>
      </c>
      <c r="AD84" t="s">
        <v>68</v>
      </c>
    </row>
    <row r="85" spans="17:30" x14ac:dyDescent="0.25">
      <c r="Q85" t="s">
        <v>85</v>
      </c>
      <c r="R85" t="s">
        <v>70</v>
      </c>
      <c r="S85">
        <v>8.8020555046988257E-3</v>
      </c>
      <c r="T85" t="s">
        <v>68</v>
      </c>
      <c r="V85" t="s">
        <v>105</v>
      </c>
      <c r="W85" t="s">
        <v>70</v>
      </c>
      <c r="X85">
        <v>2.2456432746282357E-2</v>
      </c>
      <c r="Y85" t="s">
        <v>68</v>
      </c>
      <c r="AA85" t="s">
        <v>125</v>
      </c>
      <c r="AB85" t="s">
        <v>70</v>
      </c>
      <c r="AC85">
        <v>2.3725826592165735E-2</v>
      </c>
      <c r="AD85" t="s">
        <v>68</v>
      </c>
    </row>
    <row r="86" spans="17:30" x14ac:dyDescent="0.25">
      <c r="Q86" t="s">
        <v>85</v>
      </c>
      <c r="R86" t="s">
        <v>71</v>
      </c>
      <c r="S86">
        <v>0.3253336970461625</v>
      </c>
      <c r="T86" t="s">
        <v>68</v>
      </c>
      <c r="V86" t="s">
        <v>105</v>
      </c>
      <c r="W86" t="s">
        <v>71</v>
      </c>
      <c r="X86">
        <v>0.10916086593758198</v>
      </c>
      <c r="Y86" t="s">
        <v>68</v>
      </c>
      <c r="AA86" t="s">
        <v>125</v>
      </c>
      <c r="AB86" t="s">
        <v>71</v>
      </c>
      <c r="AC86">
        <v>0.10441693642189907</v>
      </c>
      <c r="AD86" t="s">
        <v>68</v>
      </c>
    </row>
    <row r="87" spans="17:30" x14ac:dyDescent="0.25">
      <c r="Q87" t="s">
        <v>85</v>
      </c>
      <c r="R87" t="s">
        <v>72</v>
      </c>
      <c r="S87">
        <v>8.4980139914713065E-3</v>
      </c>
      <c r="T87" t="s">
        <v>68</v>
      </c>
      <c r="V87" t="s">
        <v>105</v>
      </c>
      <c r="W87" t="s">
        <v>72</v>
      </c>
      <c r="X87">
        <v>0.13435044736369769</v>
      </c>
      <c r="Y87" t="s">
        <v>68</v>
      </c>
      <c r="AA87" t="s">
        <v>125</v>
      </c>
      <c r="AB87" t="s">
        <v>72</v>
      </c>
      <c r="AC87">
        <v>0.11628973136859229</v>
      </c>
      <c r="AD87" t="s">
        <v>68</v>
      </c>
    </row>
    <row r="88" spans="17:30" x14ac:dyDescent="0.25">
      <c r="Q88" t="s">
        <v>85</v>
      </c>
      <c r="R88" t="s">
        <v>73</v>
      </c>
      <c r="S88">
        <v>3.6340571884965318E-2</v>
      </c>
      <c r="T88" t="s">
        <v>68</v>
      </c>
      <c r="V88" t="s">
        <v>105</v>
      </c>
      <c r="W88" t="s">
        <v>73</v>
      </c>
      <c r="X88">
        <v>2.1348426813670607E-2</v>
      </c>
      <c r="Y88" t="s">
        <v>68</v>
      </c>
      <c r="AA88" t="s">
        <v>125</v>
      </c>
      <c r="AB88" t="s">
        <v>73</v>
      </c>
      <c r="AC88">
        <v>2.0773272728011601E-2</v>
      </c>
      <c r="AD88" t="s">
        <v>68</v>
      </c>
    </row>
    <row r="89" spans="17:30" x14ac:dyDescent="0.25">
      <c r="Q89" t="s">
        <v>85</v>
      </c>
      <c r="R89" t="s">
        <v>74</v>
      </c>
      <c r="S89">
        <v>0.33844493842429063</v>
      </c>
      <c r="T89" t="s">
        <v>68</v>
      </c>
      <c r="V89" t="s">
        <v>105</v>
      </c>
      <c r="W89" t="s">
        <v>74</v>
      </c>
      <c r="X89">
        <v>5.6050204243644944E-2</v>
      </c>
      <c r="Y89" t="s">
        <v>68</v>
      </c>
      <c r="AA89" t="s">
        <v>125</v>
      </c>
      <c r="AB89" t="s">
        <v>74</v>
      </c>
      <c r="AC89">
        <v>7.7620617138781253E-2</v>
      </c>
      <c r="AD89" t="s">
        <v>68</v>
      </c>
    </row>
    <row r="90" spans="17:30" x14ac:dyDescent="0.25">
      <c r="Q90" t="s">
        <v>85</v>
      </c>
      <c r="R90" t="s">
        <v>75</v>
      </c>
      <c r="S90">
        <v>2.4130272422265425E-2</v>
      </c>
      <c r="T90" t="s">
        <v>68</v>
      </c>
      <c r="V90" t="s">
        <v>105</v>
      </c>
      <c r="W90" t="s">
        <v>75</v>
      </c>
      <c r="X90">
        <v>7.0987426067300727E-2</v>
      </c>
      <c r="Y90" t="s">
        <v>68</v>
      </c>
      <c r="AA90" t="s">
        <v>125</v>
      </c>
      <c r="AB90" t="s">
        <v>75</v>
      </c>
      <c r="AC90">
        <v>8.0298483392462164E-2</v>
      </c>
      <c r="AD90" t="s">
        <v>68</v>
      </c>
    </row>
    <row r="91" spans="17:30" x14ac:dyDescent="0.25">
      <c r="Q91" t="s">
        <v>85</v>
      </c>
      <c r="R91" t="s">
        <v>76</v>
      </c>
      <c r="S91">
        <v>4.8327124881215891E-2</v>
      </c>
      <c r="T91" t="s">
        <v>68</v>
      </c>
      <c r="V91" t="s">
        <v>105</v>
      </c>
      <c r="W91" t="s">
        <v>76</v>
      </c>
      <c r="X91">
        <v>1.2356508953430927E-2</v>
      </c>
      <c r="Y91" t="s">
        <v>68</v>
      </c>
      <c r="AA91" t="s">
        <v>125</v>
      </c>
      <c r="AB91" t="s">
        <v>76</v>
      </c>
      <c r="AC91">
        <v>1.4128763240881598E-2</v>
      </c>
      <c r="AD91" t="s">
        <v>68</v>
      </c>
    </row>
    <row r="92" spans="17:30" x14ac:dyDescent="0.25">
      <c r="Q92" t="s">
        <v>85</v>
      </c>
      <c r="R92" t="s">
        <v>77</v>
      </c>
      <c r="S92">
        <v>6.2623092557069909E-2</v>
      </c>
      <c r="T92" t="s">
        <v>68</v>
      </c>
      <c r="V92" t="s">
        <v>105</v>
      </c>
      <c r="W92" t="s">
        <v>77</v>
      </c>
      <c r="X92">
        <v>0.15107686939116952</v>
      </c>
      <c r="Y92" t="s">
        <v>68</v>
      </c>
      <c r="AA92" t="s">
        <v>125</v>
      </c>
      <c r="AB92" t="s">
        <v>77</v>
      </c>
      <c r="AC92">
        <v>0.1433882684856338</v>
      </c>
      <c r="AD92" t="s">
        <v>68</v>
      </c>
    </row>
    <row r="93" spans="17:30" x14ac:dyDescent="0.25">
      <c r="Q93" t="s">
        <v>85</v>
      </c>
      <c r="R93" t="s">
        <v>78</v>
      </c>
      <c r="S93">
        <v>0</v>
      </c>
      <c r="T93" t="s">
        <v>68</v>
      </c>
      <c r="V93" t="s">
        <v>105</v>
      </c>
      <c r="W93" t="s">
        <v>78</v>
      </c>
      <c r="X93">
        <v>0.16106427547633898</v>
      </c>
      <c r="Y93" t="s">
        <v>68</v>
      </c>
      <c r="AA93" t="s">
        <v>125</v>
      </c>
      <c r="AB93" t="s">
        <v>78</v>
      </c>
      <c r="AC93">
        <v>0.14049487799107058</v>
      </c>
      <c r="AD93" t="s">
        <v>68</v>
      </c>
    </row>
    <row r="94" spans="17:30" x14ac:dyDescent="0.25">
      <c r="Q94" t="s">
        <v>85</v>
      </c>
      <c r="R94" t="s">
        <v>79</v>
      </c>
      <c r="S94">
        <v>1.1450781519910021E-3</v>
      </c>
      <c r="T94" t="s">
        <v>68</v>
      </c>
      <c r="V94" t="s">
        <v>105</v>
      </c>
      <c r="W94" t="s">
        <v>79</v>
      </c>
      <c r="X94">
        <v>2.8974399020685611E-2</v>
      </c>
      <c r="Y94" t="s">
        <v>68</v>
      </c>
      <c r="AA94" t="s">
        <v>125</v>
      </c>
      <c r="AB94" t="s">
        <v>79</v>
      </c>
      <c r="AC94">
        <v>2.7648103693916234E-2</v>
      </c>
      <c r="AD94" t="s">
        <v>68</v>
      </c>
    </row>
    <row r="95" spans="17:30" x14ac:dyDescent="0.25">
      <c r="Q95" t="s">
        <v>86</v>
      </c>
      <c r="R95" t="s">
        <v>67</v>
      </c>
      <c r="S95">
        <v>0.14779522197064945</v>
      </c>
      <c r="T95" t="s">
        <v>68</v>
      </c>
      <c r="V95" t="s">
        <v>106</v>
      </c>
      <c r="W95" t="s">
        <v>67</v>
      </c>
      <c r="X95">
        <v>0.11503056599230858</v>
      </c>
      <c r="Y95" t="s">
        <v>68</v>
      </c>
      <c r="AA95" t="s">
        <v>126</v>
      </c>
      <c r="AB95" t="s">
        <v>67</v>
      </c>
      <c r="AC95">
        <v>0.11708902545883484</v>
      </c>
      <c r="AD95" t="s">
        <v>68</v>
      </c>
    </row>
    <row r="96" spans="17:30" x14ac:dyDescent="0.25">
      <c r="Q96" t="s">
        <v>86</v>
      </c>
      <c r="R96" t="s">
        <v>69</v>
      </c>
      <c r="S96">
        <v>0</v>
      </c>
      <c r="T96" t="s">
        <v>68</v>
      </c>
      <c r="V96" t="s">
        <v>106</v>
      </c>
      <c r="W96" t="s">
        <v>69</v>
      </c>
      <c r="X96">
        <v>0.12934262156926371</v>
      </c>
      <c r="Y96" t="s">
        <v>68</v>
      </c>
      <c r="AA96" t="s">
        <v>126</v>
      </c>
      <c r="AB96" t="s">
        <v>69</v>
      </c>
      <c r="AC96">
        <v>0.12245151409614499</v>
      </c>
      <c r="AD96" t="s">
        <v>68</v>
      </c>
    </row>
    <row r="97" spans="17:30" x14ac:dyDescent="0.25">
      <c r="Q97" t="s">
        <v>86</v>
      </c>
      <c r="R97" t="s">
        <v>70</v>
      </c>
      <c r="S97">
        <v>7.4365236602778849E-3</v>
      </c>
      <c r="T97" t="s">
        <v>68</v>
      </c>
      <c r="V97" t="s">
        <v>106</v>
      </c>
      <c r="W97" t="s">
        <v>70</v>
      </c>
      <c r="X97">
        <v>2.2893132162487048E-2</v>
      </c>
      <c r="Y97" t="s">
        <v>68</v>
      </c>
      <c r="AA97" t="s">
        <v>126</v>
      </c>
      <c r="AB97" t="s">
        <v>70</v>
      </c>
      <c r="AC97">
        <v>2.2436996408549174E-2</v>
      </c>
      <c r="AD97" t="s">
        <v>68</v>
      </c>
    </row>
    <row r="98" spans="17:30" x14ac:dyDescent="0.25">
      <c r="Q98" t="s">
        <v>86</v>
      </c>
      <c r="R98" t="s">
        <v>71</v>
      </c>
      <c r="S98">
        <v>0.33547986096984211</v>
      </c>
      <c r="T98" t="s">
        <v>68</v>
      </c>
      <c r="V98" t="s">
        <v>106</v>
      </c>
      <c r="W98" t="s">
        <v>71</v>
      </c>
      <c r="X98">
        <v>0.10270020280436673</v>
      </c>
      <c r="Y98" t="s">
        <v>68</v>
      </c>
      <c r="AA98" t="s">
        <v>126</v>
      </c>
      <c r="AB98" t="s">
        <v>71</v>
      </c>
      <c r="AC98">
        <v>0.11229572618257144</v>
      </c>
      <c r="AD98" t="s">
        <v>68</v>
      </c>
    </row>
    <row r="99" spans="17:30" x14ac:dyDescent="0.25">
      <c r="Q99" t="s">
        <v>86</v>
      </c>
      <c r="R99" t="s">
        <v>72</v>
      </c>
      <c r="S99">
        <v>7.1654605252725575E-3</v>
      </c>
      <c r="T99" t="s">
        <v>68</v>
      </c>
      <c r="V99" t="s">
        <v>106</v>
      </c>
      <c r="W99" t="s">
        <v>72</v>
      </c>
      <c r="X99">
        <v>0.12290689123107147</v>
      </c>
      <c r="Y99" t="s">
        <v>68</v>
      </c>
      <c r="AA99" t="s">
        <v>126</v>
      </c>
      <c r="AB99" t="s">
        <v>72</v>
      </c>
      <c r="AC99">
        <v>0.12303139458617937</v>
      </c>
      <c r="AD99" t="s">
        <v>68</v>
      </c>
    </row>
    <row r="100" spans="17:30" x14ac:dyDescent="0.25">
      <c r="Q100" t="s">
        <v>86</v>
      </c>
      <c r="R100" t="s">
        <v>73</v>
      </c>
      <c r="S100">
        <v>3.2379273478281047E-2</v>
      </c>
      <c r="T100" t="s">
        <v>68</v>
      </c>
      <c r="V100" t="s">
        <v>106</v>
      </c>
      <c r="W100" t="s">
        <v>73</v>
      </c>
      <c r="X100">
        <v>1.9347050415575162E-2</v>
      </c>
      <c r="Y100" t="s">
        <v>68</v>
      </c>
      <c r="AA100" t="s">
        <v>126</v>
      </c>
      <c r="AB100" t="s">
        <v>73</v>
      </c>
      <c r="AC100">
        <v>2.2093685242979472E-2</v>
      </c>
      <c r="AD100" t="s">
        <v>68</v>
      </c>
    </row>
    <row r="101" spans="17:30" x14ac:dyDescent="0.25">
      <c r="Q101" t="s">
        <v>86</v>
      </c>
      <c r="R101" t="s">
        <v>74</v>
      </c>
      <c r="S101">
        <v>0.33880276097165618</v>
      </c>
      <c r="T101" t="s">
        <v>68</v>
      </c>
      <c r="V101" t="s">
        <v>106</v>
      </c>
      <c r="W101" t="s">
        <v>74</v>
      </c>
      <c r="X101">
        <v>6.4249018670686942E-2</v>
      </c>
      <c r="Y101" t="s">
        <v>68</v>
      </c>
      <c r="AA101" t="s">
        <v>126</v>
      </c>
      <c r="AB101" t="s">
        <v>74</v>
      </c>
      <c r="AC101">
        <v>7.9830896179515054E-2</v>
      </c>
      <c r="AD101" t="s">
        <v>68</v>
      </c>
    </row>
    <row r="102" spans="17:30" x14ac:dyDescent="0.25">
      <c r="Q102" t="s">
        <v>86</v>
      </c>
      <c r="R102" t="s">
        <v>75</v>
      </c>
      <c r="S102">
        <v>2.1125687960248829E-2</v>
      </c>
      <c r="T102" t="s">
        <v>68</v>
      </c>
      <c r="V102" t="s">
        <v>106</v>
      </c>
      <c r="W102" t="s">
        <v>75</v>
      </c>
      <c r="X102">
        <v>6.9579772439664858E-2</v>
      </c>
      <c r="Y102" t="s">
        <v>68</v>
      </c>
      <c r="AA102" t="s">
        <v>126</v>
      </c>
      <c r="AB102" t="s">
        <v>75</v>
      </c>
      <c r="AC102">
        <v>8.8842918619551389E-2</v>
      </c>
      <c r="AD102" t="s">
        <v>68</v>
      </c>
    </row>
    <row r="103" spans="17:30" x14ac:dyDescent="0.25">
      <c r="Q103" t="s">
        <v>86</v>
      </c>
      <c r="R103" t="s">
        <v>76</v>
      </c>
      <c r="S103">
        <v>4.2076146882246375E-2</v>
      </c>
      <c r="T103" t="s">
        <v>68</v>
      </c>
      <c r="V103" t="s">
        <v>106</v>
      </c>
      <c r="W103" t="s">
        <v>76</v>
      </c>
      <c r="X103">
        <v>1.2864734857849301E-2</v>
      </c>
      <c r="Y103" t="s">
        <v>68</v>
      </c>
      <c r="AA103" t="s">
        <v>126</v>
      </c>
      <c r="AB103" t="s">
        <v>76</v>
      </c>
      <c r="AC103">
        <v>1.6149569997628021E-2</v>
      </c>
      <c r="AD103" t="s">
        <v>68</v>
      </c>
    </row>
    <row r="104" spans="17:30" x14ac:dyDescent="0.25">
      <c r="Q104" t="s">
        <v>86</v>
      </c>
      <c r="R104" t="s">
        <v>77</v>
      </c>
      <c r="S104">
        <v>6.6967904636665035E-2</v>
      </c>
      <c r="T104" t="s">
        <v>68</v>
      </c>
      <c r="V104" t="s">
        <v>106</v>
      </c>
      <c r="W104" t="s">
        <v>77</v>
      </c>
      <c r="X104">
        <v>0.14848860443850015</v>
      </c>
      <c r="Y104" t="s">
        <v>68</v>
      </c>
      <c r="AA104" t="s">
        <v>126</v>
      </c>
      <c r="AB104" t="s">
        <v>77</v>
      </c>
      <c r="AC104">
        <v>0.13516783823985315</v>
      </c>
      <c r="AD104" t="s">
        <v>68</v>
      </c>
    </row>
    <row r="105" spans="17:30" x14ac:dyDescent="0.25">
      <c r="Q105" t="s">
        <v>86</v>
      </c>
      <c r="R105" t="s">
        <v>78</v>
      </c>
      <c r="S105">
        <v>0</v>
      </c>
      <c r="T105" t="s">
        <v>68</v>
      </c>
      <c r="V105" t="s">
        <v>106</v>
      </c>
      <c r="W105" t="s">
        <v>78</v>
      </c>
      <c r="X105">
        <v>0.16336682229918856</v>
      </c>
      <c r="Y105" t="s">
        <v>68</v>
      </c>
      <c r="AA105" t="s">
        <v>126</v>
      </c>
      <c r="AB105" t="s">
        <v>78</v>
      </c>
      <c r="AC105">
        <v>0.13422500999387665</v>
      </c>
      <c r="AD105" t="s">
        <v>68</v>
      </c>
    </row>
    <row r="106" spans="17:30" x14ac:dyDescent="0.25">
      <c r="Q106" t="s">
        <v>86</v>
      </c>
      <c r="R106" t="s">
        <v>79</v>
      </c>
      <c r="S106">
        <v>7.711589448614356E-4</v>
      </c>
      <c r="T106" t="s">
        <v>68</v>
      </c>
      <c r="V106" t="s">
        <v>106</v>
      </c>
      <c r="W106" t="s">
        <v>79</v>
      </c>
      <c r="X106">
        <v>2.9230583119036448E-2</v>
      </c>
      <c r="Y106" t="s">
        <v>68</v>
      </c>
      <c r="AA106" t="s">
        <v>126</v>
      </c>
      <c r="AB106" t="s">
        <v>79</v>
      </c>
      <c r="AC106">
        <v>2.638542499431637E-2</v>
      </c>
      <c r="AD106" t="s">
        <v>68</v>
      </c>
    </row>
    <row r="107" spans="17:30" x14ac:dyDescent="0.25">
      <c r="Q107" t="s">
        <v>87</v>
      </c>
      <c r="R107" t="s">
        <v>67</v>
      </c>
      <c r="S107">
        <v>0.14703602134797272</v>
      </c>
      <c r="T107" t="s">
        <v>68</v>
      </c>
      <c r="V107" t="s">
        <v>107</v>
      </c>
      <c r="W107" t="s">
        <v>67</v>
      </c>
      <c r="X107">
        <v>0.11680764038792726</v>
      </c>
      <c r="Y107" t="s">
        <v>68</v>
      </c>
      <c r="AA107" t="s">
        <v>127</v>
      </c>
      <c r="AB107" t="s">
        <v>67</v>
      </c>
      <c r="AC107">
        <v>0.11773990743224662</v>
      </c>
      <c r="AD107" t="s">
        <v>68</v>
      </c>
    </row>
    <row r="108" spans="17:30" x14ac:dyDescent="0.25">
      <c r="Q108" t="s">
        <v>87</v>
      </c>
      <c r="R108" t="s">
        <v>69</v>
      </c>
      <c r="S108">
        <v>0</v>
      </c>
      <c r="T108" t="s">
        <v>68</v>
      </c>
      <c r="V108" t="s">
        <v>107</v>
      </c>
      <c r="W108" t="s">
        <v>69</v>
      </c>
      <c r="X108">
        <v>0.13032521553106968</v>
      </c>
      <c r="Y108" t="s">
        <v>68</v>
      </c>
      <c r="AA108" t="s">
        <v>127</v>
      </c>
      <c r="AB108" t="s">
        <v>69</v>
      </c>
      <c r="AC108">
        <v>0.12124156572989619</v>
      </c>
      <c r="AD108" t="s">
        <v>68</v>
      </c>
    </row>
    <row r="109" spans="17:30" x14ac:dyDescent="0.25">
      <c r="Q109" t="s">
        <v>87</v>
      </c>
      <c r="R109" t="s">
        <v>70</v>
      </c>
      <c r="S109">
        <v>5.8854945201738847E-3</v>
      </c>
      <c r="T109" t="s">
        <v>68</v>
      </c>
      <c r="V109" t="s">
        <v>107</v>
      </c>
      <c r="W109" t="s">
        <v>70</v>
      </c>
      <c r="X109">
        <v>2.3661867151817048E-2</v>
      </c>
      <c r="Y109" t="s">
        <v>68</v>
      </c>
      <c r="AA109" t="s">
        <v>127</v>
      </c>
      <c r="AB109" t="s">
        <v>70</v>
      </c>
      <c r="AC109">
        <v>2.1692797580794565E-2</v>
      </c>
      <c r="AD109" t="s">
        <v>68</v>
      </c>
    </row>
    <row r="110" spans="17:30" x14ac:dyDescent="0.25">
      <c r="Q110" t="s">
        <v>87</v>
      </c>
      <c r="R110" t="s">
        <v>71</v>
      </c>
      <c r="S110">
        <v>0.31846141308986659</v>
      </c>
      <c r="T110" t="s">
        <v>68</v>
      </c>
      <c r="V110" t="s">
        <v>107</v>
      </c>
      <c r="W110" t="s">
        <v>71</v>
      </c>
      <c r="X110">
        <v>0.10078946308152373</v>
      </c>
      <c r="Y110" t="s">
        <v>68</v>
      </c>
      <c r="AA110" t="s">
        <v>127</v>
      </c>
      <c r="AB110" t="s">
        <v>71</v>
      </c>
      <c r="AC110">
        <v>0.11676855719126078</v>
      </c>
      <c r="AD110" t="s">
        <v>68</v>
      </c>
    </row>
    <row r="111" spans="17:30" x14ac:dyDescent="0.25">
      <c r="Q111" t="s">
        <v>87</v>
      </c>
      <c r="R111" t="s">
        <v>72</v>
      </c>
      <c r="S111">
        <v>7.0973100995198983E-3</v>
      </c>
      <c r="T111" t="s">
        <v>68</v>
      </c>
      <c r="V111" t="s">
        <v>107</v>
      </c>
      <c r="W111" t="s">
        <v>72</v>
      </c>
      <c r="X111">
        <v>0.12338189715351572</v>
      </c>
      <c r="Y111" t="s">
        <v>68</v>
      </c>
      <c r="AA111" t="s">
        <v>127</v>
      </c>
      <c r="AB111" t="s">
        <v>72</v>
      </c>
      <c r="AC111">
        <v>0.12717128435694536</v>
      </c>
      <c r="AD111" t="s">
        <v>68</v>
      </c>
    </row>
    <row r="112" spans="17:30" x14ac:dyDescent="0.25">
      <c r="Q112" t="s">
        <v>87</v>
      </c>
      <c r="R112" t="s">
        <v>73</v>
      </c>
      <c r="S112">
        <v>2.6217700182756404E-2</v>
      </c>
      <c r="T112" t="s">
        <v>68</v>
      </c>
      <c r="V112" t="s">
        <v>107</v>
      </c>
      <c r="W112" t="s">
        <v>73</v>
      </c>
      <c r="X112">
        <v>1.9434115129861197E-2</v>
      </c>
      <c r="Y112" t="s">
        <v>68</v>
      </c>
      <c r="AA112" t="s">
        <v>127</v>
      </c>
      <c r="AB112" t="s">
        <v>73</v>
      </c>
      <c r="AC112">
        <v>2.2373445209102814E-2</v>
      </c>
      <c r="AD112" t="s">
        <v>68</v>
      </c>
    </row>
    <row r="113" spans="17:30" x14ac:dyDescent="0.25">
      <c r="Q113" t="s">
        <v>87</v>
      </c>
      <c r="R113" t="s">
        <v>74</v>
      </c>
      <c r="S113">
        <v>0.35666257908904153</v>
      </c>
      <c r="T113" t="s">
        <v>68</v>
      </c>
      <c r="V113" t="s">
        <v>107</v>
      </c>
      <c r="W113" t="s">
        <v>74</v>
      </c>
      <c r="X113">
        <v>6.5515389235463475E-2</v>
      </c>
      <c r="Y113" t="s">
        <v>68</v>
      </c>
      <c r="AA113" t="s">
        <v>127</v>
      </c>
      <c r="AB113" t="s">
        <v>74</v>
      </c>
      <c r="AC113">
        <v>7.8328257807392443E-2</v>
      </c>
      <c r="AD113" t="s">
        <v>68</v>
      </c>
    </row>
    <row r="114" spans="17:30" x14ac:dyDescent="0.25">
      <c r="Q114" t="s">
        <v>87</v>
      </c>
      <c r="R114" t="s">
        <v>75</v>
      </c>
      <c r="S114">
        <v>2.0586374515531951E-2</v>
      </c>
      <c r="T114" t="s">
        <v>68</v>
      </c>
      <c r="V114" t="s">
        <v>107</v>
      </c>
      <c r="W114" t="s">
        <v>75</v>
      </c>
      <c r="X114">
        <v>7.0464214923634153E-2</v>
      </c>
      <c r="Y114" t="s">
        <v>68</v>
      </c>
      <c r="AA114" t="s">
        <v>127</v>
      </c>
      <c r="AB114" t="s">
        <v>75</v>
      </c>
      <c r="AC114">
        <v>8.5592197042095794E-2</v>
      </c>
      <c r="AD114" t="s">
        <v>68</v>
      </c>
    </row>
    <row r="115" spans="17:30" x14ac:dyDescent="0.25">
      <c r="Q115" t="s">
        <v>87</v>
      </c>
      <c r="R115" t="s">
        <v>76</v>
      </c>
      <c r="S115">
        <v>3.8983412212392321E-2</v>
      </c>
      <c r="T115" t="s">
        <v>68</v>
      </c>
      <c r="V115" t="s">
        <v>107</v>
      </c>
      <c r="W115" t="s">
        <v>76</v>
      </c>
      <c r="X115">
        <v>1.2771259970619349E-2</v>
      </c>
      <c r="Y115" t="s">
        <v>68</v>
      </c>
      <c r="AA115" t="s">
        <v>127</v>
      </c>
      <c r="AB115" t="s">
        <v>76</v>
      </c>
      <c r="AC115">
        <v>1.5012578393840783E-2</v>
      </c>
      <c r="AD115" t="s">
        <v>68</v>
      </c>
    </row>
    <row r="116" spans="17:30" x14ac:dyDescent="0.25">
      <c r="Q116" t="s">
        <v>87</v>
      </c>
      <c r="R116" t="s">
        <v>77</v>
      </c>
      <c r="S116">
        <v>7.8401456365796415E-2</v>
      </c>
      <c r="T116" t="s">
        <v>68</v>
      </c>
      <c r="V116" t="s">
        <v>107</v>
      </c>
      <c r="W116" t="s">
        <v>77</v>
      </c>
      <c r="X116">
        <v>0.14968398186622028</v>
      </c>
      <c r="Y116" t="s">
        <v>68</v>
      </c>
      <c r="AA116" t="s">
        <v>127</v>
      </c>
      <c r="AB116" t="s">
        <v>77</v>
      </c>
      <c r="AC116">
        <v>0.1352089448475865</v>
      </c>
      <c r="AD116" t="s">
        <v>68</v>
      </c>
    </row>
    <row r="117" spans="17:30" x14ac:dyDescent="0.25">
      <c r="Q117" t="s">
        <v>87</v>
      </c>
      <c r="R117" t="s">
        <v>78</v>
      </c>
      <c r="S117">
        <v>0</v>
      </c>
      <c r="T117" t="s">
        <v>68</v>
      </c>
      <c r="V117" t="s">
        <v>107</v>
      </c>
      <c r="W117" t="s">
        <v>78</v>
      </c>
      <c r="X117">
        <v>0.15834728213348795</v>
      </c>
      <c r="Y117" t="s">
        <v>68</v>
      </c>
      <c r="AA117" t="s">
        <v>127</v>
      </c>
      <c r="AB117" t="s">
        <v>78</v>
      </c>
      <c r="AC117">
        <v>0.13299789641464102</v>
      </c>
      <c r="AD117" t="s">
        <v>68</v>
      </c>
    </row>
    <row r="118" spans="17:30" x14ac:dyDescent="0.25">
      <c r="Q118" t="s">
        <v>87</v>
      </c>
      <c r="R118" t="s">
        <v>79</v>
      </c>
      <c r="S118">
        <v>6.6823857694563637E-4</v>
      </c>
      <c r="T118" t="s">
        <v>68</v>
      </c>
      <c r="V118" t="s">
        <v>107</v>
      </c>
      <c r="W118" t="s">
        <v>79</v>
      </c>
      <c r="X118">
        <v>2.8817673434862634E-2</v>
      </c>
      <c r="Y118" t="s">
        <v>68</v>
      </c>
      <c r="AA118" t="s">
        <v>127</v>
      </c>
      <c r="AB118" t="s">
        <v>79</v>
      </c>
      <c r="AC118">
        <v>2.5872567994200492E-2</v>
      </c>
      <c r="AD118" t="s">
        <v>68</v>
      </c>
    </row>
    <row r="119" spans="17:30" x14ac:dyDescent="0.25">
      <c r="Q119" t="s">
        <v>88</v>
      </c>
      <c r="R119" t="s">
        <v>67</v>
      </c>
      <c r="S119">
        <v>0.13073235397617408</v>
      </c>
      <c r="T119" t="s">
        <v>68</v>
      </c>
      <c r="V119" t="s">
        <v>108</v>
      </c>
      <c r="W119" t="s">
        <v>67</v>
      </c>
      <c r="X119">
        <v>0.12472947575762296</v>
      </c>
      <c r="Y119" t="s">
        <v>68</v>
      </c>
      <c r="AA119" t="s">
        <v>128</v>
      </c>
      <c r="AB119" t="s">
        <v>67</v>
      </c>
      <c r="AC119">
        <v>0.11997954193614779</v>
      </c>
      <c r="AD119" t="s">
        <v>68</v>
      </c>
    </row>
    <row r="120" spans="17:30" x14ac:dyDescent="0.25">
      <c r="Q120" t="s">
        <v>88</v>
      </c>
      <c r="R120" t="s">
        <v>69</v>
      </c>
      <c r="S120">
        <v>0</v>
      </c>
      <c r="T120" t="s">
        <v>68</v>
      </c>
      <c r="V120" t="s">
        <v>108</v>
      </c>
      <c r="W120" t="s">
        <v>69</v>
      </c>
      <c r="X120">
        <v>0.1325608530663622</v>
      </c>
      <c r="Y120" t="s">
        <v>68</v>
      </c>
      <c r="AA120" t="s">
        <v>128</v>
      </c>
      <c r="AB120" t="s">
        <v>69</v>
      </c>
      <c r="AC120">
        <v>0.12601201376789581</v>
      </c>
      <c r="AD120" t="s">
        <v>68</v>
      </c>
    </row>
    <row r="121" spans="17:30" x14ac:dyDescent="0.25">
      <c r="Q121" t="s">
        <v>88</v>
      </c>
      <c r="R121" t="s">
        <v>70</v>
      </c>
      <c r="S121">
        <v>5.8973748573326957E-3</v>
      </c>
      <c r="T121" t="s">
        <v>68</v>
      </c>
      <c r="V121" t="s">
        <v>108</v>
      </c>
      <c r="W121" t="s">
        <v>70</v>
      </c>
      <c r="X121">
        <v>2.3678022415982689E-2</v>
      </c>
      <c r="Y121" t="s">
        <v>68</v>
      </c>
      <c r="AA121" t="s">
        <v>128</v>
      </c>
      <c r="AB121" t="s">
        <v>70</v>
      </c>
      <c r="AC121">
        <v>2.2641199912306474E-2</v>
      </c>
      <c r="AD121" t="s">
        <v>68</v>
      </c>
    </row>
    <row r="122" spans="17:30" x14ac:dyDescent="0.25">
      <c r="Q122" t="s">
        <v>88</v>
      </c>
      <c r="R122" t="s">
        <v>71</v>
      </c>
      <c r="S122">
        <v>0.34286232811058182</v>
      </c>
      <c r="T122" t="s">
        <v>68</v>
      </c>
      <c r="V122" t="s">
        <v>108</v>
      </c>
      <c r="W122" t="s">
        <v>71</v>
      </c>
      <c r="X122">
        <v>0.10520739532810028</v>
      </c>
      <c r="Y122" t="s">
        <v>68</v>
      </c>
      <c r="AA122" t="s">
        <v>128</v>
      </c>
      <c r="AB122" t="s">
        <v>71</v>
      </c>
      <c r="AC122">
        <v>0.11049988921113765</v>
      </c>
      <c r="AD122" t="s">
        <v>68</v>
      </c>
    </row>
    <row r="123" spans="17:30" x14ac:dyDescent="0.25">
      <c r="Q123" t="s">
        <v>88</v>
      </c>
      <c r="R123" t="s">
        <v>72</v>
      </c>
      <c r="S123">
        <v>8.2152322946636349E-3</v>
      </c>
      <c r="T123" t="s">
        <v>68</v>
      </c>
      <c r="V123" t="s">
        <v>108</v>
      </c>
      <c r="W123" t="s">
        <v>72</v>
      </c>
      <c r="X123">
        <v>0.11838822588472499</v>
      </c>
      <c r="Y123" t="s">
        <v>68</v>
      </c>
      <c r="AA123" t="s">
        <v>128</v>
      </c>
      <c r="AB123" t="s">
        <v>72</v>
      </c>
      <c r="AC123">
        <v>0.12009541050423642</v>
      </c>
      <c r="AD123" t="s">
        <v>68</v>
      </c>
    </row>
    <row r="124" spans="17:30" x14ac:dyDescent="0.25">
      <c r="Q124" t="s">
        <v>88</v>
      </c>
      <c r="R124" t="s">
        <v>73</v>
      </c>
      <c r="S124">
        <v>2.930587267815226E-2</v>
      </c>
      <c r="T124" t="s">
        <v>68</v>
      </c>
      <c r="V124" t="s">
        <v>108</v>
      </c>
      <c r="W124" t="s">
        <v>73</v>
      </c>
      <c r="X124">
        <v>1.8713779869737494E-2</v>
      </c>
      <c r="Y124" t="s">
        <v>68</v>
      </c>
      <c r="AA124" t="s">
        <v>128</v>
      </c>
      <c r="AB124" t="s">
        <v>73</v>
      </c>
      <c r="AC124">
        <v>2.1156203503485033E-2</v>
      </c>
      <c r="AD124" t="s">
        <v>68</v>
      </c>
    </row>
    <row r="125" spans="17:30" x14ac:dyDescent="0.25">
      <c r="Q125" t="s">
        <v>88</v>
      </c>
      <c r="R125" t="s">
        <v>74</v>
      </c>
      <c r="S125">
        <v>0.35109202116804983</v>
      </c>
      <c r="T125" t="s">
        <v>68</v>
      </c>
      <c r="V125" t="s">
        <v>108</v>
      </c>
      <c r="W125" t="s">
        <v>74</v>
      </c>
      <c r="X125">
        <v>7.727644121307807E-2</v>
      </c>
      <c r="Y125" t="s">
        <v>68</v>
      </c>
      <c r="AA125" t="s">
        <v>128</v>
      </c>
      <c r="AB125" t="s">
        <v>74</v>
      </c>
      <c r="AC125">
        <v>7.8636587386576015E-2</v>
      </c>
      <c r="AD125" t="s">
        <v>68</v>
      </c>
    </row>
    <row r="126" spans="17:30" x14ac:dyDescent="0.25">
      <c r="Q126" t="s">
        <v>88</v>
      </c>
      <c r="R126" t="s">
        <v>75</v>
      </c>
      <c r="S126">
        <v>2.2995981649096567E-2</v>
      </c>
      <c r="T126" t="s">
        <v>68</v>
      </c>
      <c r="V126" t="s">
        <v>108</v>
      </c>
      <c r="W126" t="s">
        <v>75</v>
      </c>
      <c r="X126">
        <v>7.2310211702868055E-2</v>
      </c>
      <c r="Y126" t="s">
        <v>68</v>
      </c>
      <c r="AA126" t="s">
        <v>128</v>
      </c>
      <c r="AB126" t="s">
        <v>75</v>
      </c>
      <c r="AC126">
        <v>8.2669025166627913E-2</v>
      </c>
      <c r="AD126" t="s">
        <v>68</v>
      </c>
    </row>
    <row r="127" spans="17:30" x14ac:dyDescent="0.25">
      <c r="Q127" t="s">
        <v>88</v>
      </c>
      <c r="R127" t="s">
        <v>76</v>
      </c>
      <c r="S127">
        <v>4.1662791230050539E-2</v>
      </c>
      <c r="T127" t="s">
        <v>68</v>
      </c>
      <c r="V127" t="s">
        <v>108</v>
      </c>
      <c r="W127" t="s">
        <v>76</v>
      </c>
      <c r="X127">
        <v>1.3196269930397601E-2</v>
      </c>
      <c r="Y127" t="s">
        <v>68</v>
      </c>
      <c r="AA127" t="s">
        <v>128</v>
      </c>
      <c r="AB127" t="s">
        <v>76</v>
      </c>
      <c r="AC127">
        <v>1.463064399010533E-2</v>
      </c>
      <c r="AD127" t="s">
        <v>68</v>
      </c>
    </row>
    <row r="128" spans="17:30" x14ac:dyDescent="0.25">
      <c r="Q128" t="s">
        <v>88</v>
      </c>
      <c r="R128" t="s">
        <v>77</v>
      </c>
      <c r="S128">
        <v>6.6596398298140028E-2</v>
      </c>
      <c r="T128" t="s">
        <v>68</v>
      </c>
      <c r="V128" t="s">
        <v>108</v>
      </c>
      <c r="W128" t="s">
        <v>77</v>
      </c>
      <c r="X128">
        <v>0.14387616480913329</v>
      </c>
      <c r="Y128" t="s">
        <v>68</v>
      </c>
      <c r="AA128" t="s">
        <v>128</v>
      </c>
      <c r="AB128" t="s">
        <v>77</v>
      </c>
      <c r="AC128">
        <v>0.14000318469266435</v>
      </c>
      <c r="AD128" t="s">
        <v>68</v>
      </c>
    </row>
    <row r="129" spans="17:30" x14ac:dyDescent="0.25">
      <c r="Q129" t="s">
        <v>88</v>
      </c>
      <c r="R129" t="s">
        <v>78</v>
      </c>
      <c r="S129">
        <v>0</v>
      </c>
      <c r="T129" t="s">
        <v>68</v>
      </c>
      <c r="V129" t="s">
        <v>108</v>
      </c>
      <c r="W129" t="s">
        <v>78</v>
      </c>
      <c r="X129">
        <v>0.14264633479943978</v>
      </c>
      <c r="Y129" t="s">
        <v>68</v>
      </c>
      <c r="AA129" t="s">
        <v>128</v>
      </c>
      <c r="AB129" t="s">
        <v>78</v>
      </c>
      <c r="AC129">
        <v>0.13677922862293782</v>
      </c>
      <c r="AD129" t="s">
        <v>68</v>
      </c>
    </row>
    <row r="130" spans="17:30" x14ac:dyDescent="0.25">
      <c r="Q130" t="s">
        <v>88</v>
      </c>
      <c r="R130" t="s">
        <v>79</v>
      </c>
      <c r="S130">
        <v>6.3964573775768274E-4</v>
      </c>
      <c r="T130" t="s">
        <v>68</v>
      </c>
      <c r="V130" t="s">
        <v>108</v>
      </c>
      <c r="W130" t="s">
        <v>79</v>
      </c>
      <c r="X130">
        <v>2.7416825222554165E-2</v>
      </c>
      <c r="Y130" t="s">
        <v>68</v>
      </c>
      <c r="AA130" t="s">
        <v>128</v>
      </c>
      <c r="AB130" t="s">
        <v>79</v>
      </c>
      <c r="AC130">
        <v>2.6897071305879813E-2</v>
      </c>
      <c r="AD130" t="s">
        <v>68</v>
      </c>
    </row>
    <row r="131" spans="17:30" x14ac:dyDescent="0.25">
      <c r="Q131" t="s">
        <v>89</v>
      </c>
      <c r="R131" t="s">
        <v>67</v>
      </c>
      <c r="S131">
        <v>0.13806021513741601</v>
      </c>
      <c r="T131" t="s">
        <v>68</v>
      </c>
      <c r="V131" t="s">
        <v>109</v>
      </c>
      <c r="W131" t="s">
        <v>67</v>
      </c>
      <c r="X131">
        <v>0.13381798842532061</v>
      </c>
      <c r="Y131" t="s">
        <v>68</v>
      </c>
    </row>
    <row r="132" spans="17:30" x14ac:dyDescent="0.25">
      <c r="Q132" t="s">
        <v>89</v>
      </c>
      <c r="R132" t="s">
        <v>69</v>
      </c>
      <c r="S132">
        <v>0</v>
      </c>
      <c r="T132" t="s">
        <v>68</v>
      </c>
      <c r="V132" t="s">
        <v>109</v>
      </c>
      <c r="W132" t="s">
        <v>69</v>
      </c>
      <c r="X132">
        <v>0.13722216095543277</v>
      </c>
      <c r="Y132" t="s">
        <v>68</v>
      </c>
    </row>
    <row r="133" spans="17:30" x14ac:dyDescent="0.25">
      <c r="Q133" t="s">
        <v>89</v>
      </c>
      <c r="R133" t="s">
        <v>70</v>
      </c>
      <c r="S133">
        <v>5.9640096418165731E-3</v>
      </c>
      <c r="T133" t="s">
        <v>68</v>
      </c>
      <c r="V133" t="s">
        <v>109</v>
      </c>
      <c r="W133" t="s">
        <v>70</v>
      </c>
      <c r="X133">
        <v>2.3041733625472155E-2</v>
      </c>
      <c r="Y133" t="s">
        <v>68</v>
      </c>
    </row>
    <row r="134" spans="17:30" x14ac:dyDescent="0.25">
      <c r="Q134" t="s">
        <v>89</v>
      </c>
      <c r="R134" t="s">
        <v>71</v>
      </c>
      <c r="S134">
        <v>0.33123532909576658</v>
      </c>
      <c r="T134" t="s">
        <v>68</v>
      </c>
      <c r="V134" t="s">
        <v>109</v>
      </c>
      <c r="W134" t="s">
        <v>71</v>
      </c>
      <c r="X134">
        <v>9.7921977644963923E-2</v>
      </c>
      <c r="Y134" t="s">
        <v>68</v>
      </c>
    </row>
    <row r="135" spans="17:30" x14ac:dyDescent="0.25">
      <c r="Q135" t="s">
        <v>89</v>
      </c>
      <c r="R135" t="s">
        <v>72</v>
      </c>
      <c r="S135">
        <v>7.4003683845377827E-3</v>
      </c>
      <c r="T135" t="s">
        <v>68</v>
      </c>
      <c r="V135" t="s">
        <v>109</v>
      </c>
      <c r="W135" t="s">
        <v>72</v>
      </c>
      <c r="X135">
        <v>0.10904848299493274</v>
      </c>
      <c r="Y135" t="s">
        <v>68</v>
      </c>
    </row>
    <row r="136" spans="17:30" x14ac:dyDescent="0.25">
      <c r="Q136" t="s">
        <v>89</v>
      </c>
      <c r="R136" t="s">
        <v>73</v>
      </c>
      <c r="S136">
        <v>2.6941839897119544E-2</v>
      </c>
      <c r="T136" t="s">
        <v>68</v>
      </c>
      <c r="V136" t="s">
        <v>109</v>
      </c>
      <c r="W136" t="s">
        <v>73</v>
      </c>
      <c r="X136">
        <v>1.8540807374525181E-2</v>
      </c>
      <c r="Y136" t="s">
        <v>68</v>
      </c>
    </row>
    <row r="137" spans="17:30" x14ac:dyDescent="0.25">
      <c r="Q137" t="s">
        <v>89</v>
      </c>
      <c r="R137" t="s">
        <v>74</v>
      </c>
      <c r="S137">
        <v>0.35650018319328403</v>
      </c>
      <c r="T137" t="s">
        <v>68</v>
      </c>
      <c r="V137" t="s">
        <v>109</v>
      </c>
      <c r="W137" t="s">
        <v>74</v>
      </c>
      <c r="X137">
        <v>6.1440002530370234E-2</v>
      </c>
      <c r="Y137" t="s">
        <v>68</v>
      </c>
    </row>
    <row r="138" spans="17:30" x14ac:dyDescent="0.25">
      <c r="Q138" t="s">
        <v>89</v>
      </c>
      <c r="R138" t="s">
        <v>75</v>
      </c>
      <c r="S138">
        <v>2.2150667461591441E-2</v>
      </c>
      <c r="T138" t="s">
        <v>68</v>
      </c>
      <c r="V138" t="s">
        <v>109</v>
      </c>
      <c r="W138" t="s">
        <v>75</v>
      </c>
      <c r="X138">
        <v>7.2845549610853169E-2</v>
      </c>
      <c r="Y138" t="s">
        <v>68</v>
      </c>
    </row>
    <row r="139" spans="17:30" x14ac:dyDescent="0.25">
      <c r="Q139" t="s">
        <v>89</v>
      </c>
      <c r="R139" t="s">
        <v>76</v>
      </c>
      <c r="S139">
        <v>3.99604197716271E-2</v>
      </c>
      <c r="T139" t="s">
        <v>68</v>
      </c>
      <c r="V139" t="s">
        <v>109</v>
      </c>
      <c r="W139" t="s">
        <v>76</v>
      </c>
      <c r="X139">
        <v>1.0115288502362348E-2</v>
      </c>
      <c r="Y139" t="s">
        <v>68</v>
      </c>
    </row>
    <row r="140" spans="17:30" x14ac:dyDescent="0.25">
      <c r="Q140" t="s">
        <v>89</v>
      </c>
      <c r="R140" t="s">
        <v>77</v>
      </c>
      <c r="S140">
        <v>7.1066904144908752E-2</v>
      </c>
      <c r="T140" t="s">
        <v>68</v>
      </c>
      <c r="V140" t="s">
        <v>109</v>
      </c>
      <c r="W140" t="s">
        <v>77</v>
      </c>
      <c r="X140">
        <v>0.15374590358185411</v>
      </c>
      <c r="Y140" t="s">
        <v>68</v>
      </c>
    </row>
    <row r="141" spans="17:30" x14ac:dyDescent="0.25">
      <c r="Q141" t="s">
        <v>89</v>
      </c>
      <c r="R141" t="s">
        <v>78</v>
      </c>
      <c r="S141">
        <v>0</v>
      </c>
      <c r="T141" t="s">
        <v>68</v>
      </c>
      <c r="V141" t="s">
        <v>109</v>
      </c>
      <c r="W141" t="s">
        <v>78</v>
      </c>
      <c r="X141">
        <v>0.15216355588466671</v>
      </c>
      <c r="Y141" t="s">
        <v>68</v>
      </c>
    </row>
    <row r="142" spans="17:30" x14ac:dyDescent="0.25">
      <c r="Q142" t="s">
        <v>89</v>
      </c>
      <c r="R142" t="s">
        <v>79</v>
      </c>
      <c r="S142">
        <v>7.2006327193004105E-4</v>
      </c>
      <c r="T142" t="s">
        <v>68</v>
      </c>
      <c r="V142" t="s">
        <v>109</v>
      </c>
      <c r="W142" t="s">
        <v>79</v>
      </c>
      <c r="X142">
        <v>3.0096548869244868E-2</v>
      </c>
      <c r="Y142" t="s">
        <v>68</v>
      </c>
    </row>
    <row r="143" spans="17:30" x14ac:dyDescent="0.25">
      <c r="Q143" t="s">
        <v>90</v>
      </c>
      <c r="R143" t="s">
        <v>67</v>
      </c>
      <c r="S143">
        <v>0.17667415426475058</v>
      </c>
      <c r="T143" t="s">
        <v>68</v>
      </c>
      <c r="V143" t="s">
        <v>110</v>
      </c>
      <c r="W143" t="s">
        <v>67</v>
      </c>
      <c r="X143">
        <v>0.12487346428303892</v>
      </c>
      <c r="Y143" t="s">
        <v>68</v>
      </c>
    </row>
    <row r="144" spans="17:30" x14ac:dyDescent="0.25">
      <c r="Q144" t="s">
        <v>90</v>
      </c>
      <c r="R144" t="s">
        <v>69</v>
      </c>
      <c r="S144">
        <v>0</v>
      </c>
      <c r="T144" t="s">
        <v>68</v>
      </c>
      <c r="V144" t="s">
        <v>110</v>
      </c>
      <c r="W144" t="s">
        <v>69</v>
      </c>
      <c r="X144">
        <v>0.13719064284022486</v>
      </c>
      <c r="Y144" t="s">
        <v>68</v>
      </c>
    </row>
    <row r="145" spans="17:25" x14ac:dyDescent="0.25">
      <c r="Q145" t="s">
        <v>90</v>
      </c>
      <c r="R145" t="s">
        <v>70</v>
      </c>
      <c r="S145">
        <v>6.5593891532138206E-3</v>
      </c>
      <c r="T145" t="s">
        <v>68</v>
      </c>
      <c r="V145" t="s">
        <v>110</v>
      </c>
      <c r="W145" t="s">
        <v>70</v>
      </c>
      <c r="X145">
        <v>2.4031734452422716E-2</v>
      </c>
      <c r="Y145" t="s">
        <v>68</v>
      </c>
    </row>
    <row r="146" spans="17:25" x14ac:dyDescent="0.25">
      <c r="Q146" t="s">
        <v>90</v>
      </c>
      <c r="R146" t="s">
        <v>71</v>
      </c>
      <c r="S146">
        <v>0.29316659741862761</v>
      </c>
      <c r="T146" t="s">
        <v>68</v>
      </c>
      <c r="V146" t="s">
        <v>110</v>
      </c>
      <c r="W146" t="s">
        <v>71</v>
      </c>
      <c r="X146">
        <v>9.2342616311385226E-2</v>
      </c>
      <c r="Y146" t="s">
        <v>68</v>
      </c>
    </row>
    <row r="147" spans="17:25" x14ac:dyDescent="0.25">
      <c r="Q147" t="s">
        <v>90</v>
      </c>
      <c r="R147" t="s">
        <v>72</v>
      </c>
      <c r="S147">
        <v>4.7294197422644013E-3</v>
      </c>
      <c r="T147" t="s">
        <v>68</v>
      </c>
      <c r="V147" t="s">
        <v>110</v>
      </c>
      <c r="W147" t="s">
        <v>72</v>
      </c>
      <c r="X147">
        <v>0.12122932182400124</v>
      </c>
      <c r="Y147" t="s">
        <v>68</v>
      </c>
    </row>
    <row r="148" spans="17:25" x14ac:dyDescent="0.25">
      <c r="Q148" t="s">
        <v>90</v>
      </c>
      <c r="R148" t="s">
        <v>73</v>
      </c>
      <c r="S148">
        <v>2.3699868520813624E-2</v>
      </c>
      <c r="T148" t="s">
        <v>68</v>
      </c>
      <c r="V148" t="s">
        <v>110</v>
      </c>
      <c r="W148" t="s">
        <v>73</v>
      </c>
      <c r="X148">
        <v>1.7785952828238766E-2</v>
      </c>
      <c r="Y148" t="s">
        <v>68</v>
      </c>
    </row>
    <row r="149" spans="17:25" x14ac:dyDescent="0.25">
      <c r="Q149" t="s">
        <v>90</v>
      </c>
      <c r="R149" t="s">
        <v>74</v>
      </c>
      <c r="S149">
        <v>0.34165347588574996</v>
      </c>
      <c r="T149" t="s">
        <v>68</v>
      </c>
      <c r="V149" t="s">
        <v>110</v>
      </c>
      <c r="W149" t="s">
        <v>74</v>
      </c>
      <c r="X149">
        <v>6.9910091539802904E-2</v>
      </c>
      <c r="Y149" t="s">
        <v>68</v>
      </c>
    </row>
    <row r="150" spans="17:25" x14ac:dyDescent="0.25">
      <c r="Q150" t="s">
        <v>90</v>
      </c>
      <c r="R150" t="s">
        <v>75</v>
      </c>
      <c r="S150">
        <v>1.3959277636817535E-2</v>
      </c>
      <c r="T150" t="s">
        <v>68</v>
      </c>
      <c r="V150" t="s">
        <v>110</v>
      </c>
      <c r="W150" t="s">
        <v>75</v>
      </c>
      <c r="X150">
        <v>8.0203647963091859E-2</v>
      </c>
      <c r="Y150" t="s">
        <v>68</v>
      </c>
    </row>
    <row r="151" spans="17:25" x14ac:dyDescent="0.25">
      <c r="Q151" t="s">
        <v>90</v>
      </c>
      <c r="R151" t="s">
        <v>76</v>
      </c>
      <c r="S151">
        <v>3.6444733121291789E-2</v>
      </c>
      <c r="T151" t="s">
        <v>68</v>
      </c>
      <c r="V151" t="s">
        <v>110</v>
      </c>
      <c r="W151" t="s">
        <v>76</v>
      </c>
      <c r="X151">
        <v>1.1884456814167785E-2</v>
      </c>
      <c r="Y151" t="s">
        <v>68</v>
      </c>
    </row>
    <row r="152" spans="17:25" x14ac:dyDescent="0.25">
      <c r="Q152" t="s">
        <v>90</v>
      </c>
      <c r="R152" t="s">
        <v>77</v>
      </c>
      <c r="S152">
        <v>0.10213281210528735</v>
      </c>
      <c r="T152" t="s">
        <v>68</v>
      </c>
      <c r="V152" t="s">
        <v>110</v>
      </c>
      <c r="W152" t="s">
        <v>77</v>
      </c>
      <c r="X152">
        <v>0.14632244876089931</v>
      </c>
      <c r="Y152" t="s">
        <v>68</v>
      </c>
    </row>
    <row r="153" spans="17:25" x14ac:dyDescent="0.25">
      <c r="Q153" t="s">
        <v>90</v>
      </c>
      <c r="R153" t="s">
        <v>78</v>
      </c>
      <c r="S153">
        <v>0</v>
      </c>
      <c r="T153" t="s">
        <v>68</v>
      </c>
      <c r="V153" t="s">
        <v>110</v>
      </c>
      <c r="W153" t="s">
        <v>78</v>
      </c>
      <c r="X153">
        <v>0.14643616144441718</v>
      </c>
      <c r="Y153" t="s">
        <v>68</v>
      </c>
    </row>
    <row r="154" spans="17:25" x14ac:dyDescent="0.25">
      <c r="Q154" t="s">
        <v>90</v>
      </c>
      <c r="R154" t="s">
        <v>79</v>
      </c>
      <c r="S154">
        <v>9.8027215118461639E-4</v>
      </c>
      <c r="T154" t="s">
        <v>68</v>
      </c>
      <c r="V154" t="s">
        <v>110</v>
      </c>
      <c r="W154" t="s">
        <v>79</v>
      </c>
      <c r="X154">
        <v>2.7789460938308631E-2</v>
      </c>
      <c r="Y154" t="s">
        <v>68</v>
      </c>
    </row>
    <row r="155" spans="17:25" x14ac:dyDescent="0.25">
      <c r="Q155" t="s">
        <v>91</v>
      </c>
      <c r="R155" t="s">
        <v>67</v>
      </c>
      <c r="S155">
        <v>0.16566290739330897</v>
      </c>
      <c r="T155" t="s">
        <v>68</v>
      </c>
      <c r="V155" t="s">
        <v>111</v>
      </c>
      <c r="W155" t="s">
        <v>67</v>
      </c>
      <c r="X155">
        <v>0.12306216269958761</v>
      </c>
      <c r="Y155" t="s">
        <v>68</v>
      </c>
    </row>
    <row r="156" spans="17:25" x14ac:dyDescent="0.25">
      <c r="Q156" t="s">
        <v>91</v>
      </c>
      <c r="R156" t="s">
        <v>69</v>
      </c>
      <c r="S156">
        <v>0</v>
      </c>
      <c r="T156" t="s">
        <v>68</v>
      </c>
      <c r="V156" t="s">
        <v>111</v>
      </c>
      <c r="W156" t="s">
        <v>69</v>
      </c>
      <c r="X156">
        <v>0.13825523360012748</v>
      </c>
      <c r="Y156" t="s">
        <v>68</v>
      </c>
    </row>
    <row r="157" spans="17:25" x14ac:dyDescent="0.25">
      <c r="Q157" t="s">
        <v>91</v>
      </c>
      <c r="R157" t="s">
        <v>70</v>
      </c>
      <c r="S157">
        <v>5.5112773940484052E-3</v>
      </c>
      <c r="T157" t="s">
        <v>68</v>
      </c>
      <c r="V157" t="s">
        <v>111</v>
      </c>
      <c r="W157" t="s">
        <v>70</v>
      </c>
      <c r="X157">
        <v>2.4073513313771895E-2</v>
      </c>
      <c r="Y157" t="s">
        <v>68</v>
      </c>
    </row>
    <row r="158" spans="17:25" x14ac:dyDescent="0.25">
      <c r="Q158" t="s">
        <v>91</v>
      </c>
      <c r="R158" t="s">
        <v>71</v>
      </c>
      <c r="S158">
        <v>0.30534367181527983</v>
      </c>
      <c r="T158" t="s">
        <v>68</v>
      </c>
      <c r="V158" t="s">
        <v>111</v>
      </c>
      <c r="W158" t="s">
        <v>71</v>
      </c>
      <c r="X158">
        <v>9.8492749116702388E-2</v>
      </c>
      <c r="Y158" t="s">
        <v>68</v>
      </c>
    </row>
    <row r="159" spans="17:25" x14ac:dyDescent="0.25">
      <c r="Q159" t="s">
        <v>91</v>
      </c>
      <c r="R159" t="s">
        <v>72</v>
      </c>
      <c r="S159">
        <v>5.6350027752877976E-3</v>
      </c>
      <c r="T159" t="s">
        <v>68</v>
      </c>
      <c r="V159" t="s">
        <v>111</v>
      </c>
      <c r="W159" t="s">
        <v>72</v>
      </c>
      <c r="X159">
        <v>0.12724855434702073</v>
      </c>
      <c r="Y159" t="s">
        <v>68</v>
      </c>
    </row>
    <row r="160" spans="17:25" x14ac:dyDescent="0.25">
      <c r="Q160" t="s">
        <v>91</v>
      </c>
      <c r="R160" t="s">
        <v>73</v>
      </c>
      <c r="S160">
        <v>2.4624677055315541E-2</v>
      </c>
      <c r="T160" t="s">
        <v>68</v>
      </c>
      <c r="V160" t="s">
        <v>111</v>
      </c>
      <c r="W160" t="s">
        <v>73</v>
      </c>
      <c r="X160">
        <v>1.8821746490909296E-2</v>
      </c>
      <c r="Y160" t="s">
        <v>68</v>
      </c>
    </row>
    <row r="161" spans="17:25" x14ac:dyDescent="0.25">
      <c r="Q161" t="s">
        <v>91</v>
      </c>
      <c r="R161" t="s">
        <v>74</v>
      </c>
      <c r="S161">
        <v>0.35080909622675366</v>
      </c>
      <c r="T161" t="s">
        <v>68</v>
      </c>
      <c r="V161" t="s">
        <v>111</v>
      </c>
      <c r="W161" t="s">
        <v>74</v>
      </c>
      <c r="X161">
        <v>6.441890844293513E-2</v>
      </c>
      <c r="Y161" t="s">
        <v>68</v>
      </c>
    </row>
    <row r="162" spans="17:25" x14ac:dyDescent="0.25">
      <c r="Q162" t="s">
        <v>91</v>
      </c>
      <c r="R162" t="s">
        <v>75</v>
      </c>
      <c r="S162">
        <v>1.5601723492612875E-2</v>
      </c>
      <c r="T162" t="s">
        <v>68</v>
      </c>
      <c r="V162" t="s">
        <v>111</v>
      </c>
      <c r="W162" t="s">
        <v>75</v>
      </c>
      <c r="X162">
        <v>8.1068330562320379E-2</v>
      </c>
      <c r="Y162" t="s">
        <v>68</v>
      </c>
    </row>
    <row r="163" spans="17:25" x14ac:dyDescent="0.25">
      <c r="Q163" t="s">
        <v>91</v>
      </c>
      <c r="R163" t="s">
        <v>76</v>
      </c>
      <c r="S163">
        <v>3.626117793744902E-2</v>
      </c>
      <c r="T163" t="s">
        <v>68</v>
      </c>
      <c r="V163" t="s">
        <v>111</v>
      </c>
      <c r="W163" t="s">
        <v>76</v>
      </c>
      <c r="X163">
        <v>1.1007425253300536E-2</v>
      </c>
      <c r="Y163" t="s">
        <v>68</v>
      </c>
    </row>
    <row r="164" spans="17:25" x14ac:dyDescent="0.25">
      <c r="Q164" t="s">
        <v>91</v>
      </c>
      <c r="R164" t="s">
        <v>77</v>
      </c>
      <c r="S164">
        <v>8.9964335224913927E-2</v>
      </c>
      <c r="T164" t="s">
        <v>68</v>
      </c>
      <c r="V164" t="s">
        <v>111</v>
      </c>
      <c r="W164" t="s">
        <v>77</v>
      </c>
      <c r="X164">
        <v>0.14072355542656201</v>
      </c>
      <c r="Y164" t="s">
        <v>68</v>
      </c>
    </row>
    <row r="165" spans="17:25" x14ac:dyDescent="0.25">
      <c r="Q165" t="s">
        <v>91</v>
      </c>
      <c r="R165" t="s">
        <v>78</v>
      </c>
      <c r="S165">
        <v>0</v>
      </c>
      <c r="T165" t="s">
        <v>68</v>
      </c>
      <c r="V165" t="s">
        <v>111</v>
      </c>
      <c r="W165" t="s">
        <v>78</v>
      </c>
      <c r="X165">
        <v>0.14553879993375382</v>
      </c>
      <c r="Y165" t="s">
        <v>68</v>
      </c>
    </row>
    <row r="166" spans="17:25" x14ac:dyDescent="0.25">
      <c r="Q166" t="s">
        <v>91</v>
      </c>
      <c r="R166" t="s">
        <v>79</v>
      </c>
      <c r="S166">
        <v>5.8613068503061364E-4</v>
      </c>
      <c r="T166" t="s">
        <v>68</v>
      </c>
      <c r="V166" t="s">
        <v>111</v>
      </c>
      <c r="W166" t="s">
        <v>79</v>
      </c>
      <c r="X166">
        <v>2.7289020813007655E-2</v>
      </c>
      <c r="Y166" t="s">
        <v>68</v>
      </c>
    </row>
    <row r="167" spans="17:25" x14ac:dyDescent="0.25">
      <c r="Q167" t="s">
        <v>92</v>
      </c>
      <c r="R167" t="s">
        <v>67</v>
      </c>
      <c r="S167">
        <v>0.17768732709435256</v>
      </c>
      <c r="T167" t="s">
        <v>68</v>
      </c>
      <c r="V167" t="s">
        <v>112</v>
      </c>
      <c r="W167" t="s">
        <v>67</v>
      </c>
      <c r="X167">
        <v>0.12142429405575889</v>
      </c>
      <c r="Y167" t="s">
        <v>68</v>
      </c>
    </row>
    <row r="168" spans="17:25" x14ac:dyDescent="0.25">
      <c r="Q168" t="s">
        <v>92</v>
      </c>
      <c r="R168" t="s">
        <v>69</v>
      </c>
      <c r="S168">
        <v>0</v>
      </c>
      <c r="T168" t="s">
        <v>68</v>
      </c>
      <c r="V168" t="s">
        <v>112</v>
      </c>
      <c r="W168" t="s">
        <v>69</v>
      </c>
      <c r="X168">
        <v>0.13175163586155475</v>
      </c>
      <c r="Y168" t="s">
        <v>68</v>
      </c>
    </row>
    <row r="169" spans="17:25" x14ac:dyDescent="0.25">
      <c r="Q169" t="s">
        <v>92</v>
      </c>
      <c r="R169" t="s">
        <v>70</v>
      </c>
      <c r="S169">
        <v>7.8472246644067482E-3</v>
      </c>
      <c r="T169" t="s">
        <v>68</v>
      </c>
      <c r="V169" t="s">
        <v>112</v>
      </c>
      <c r="W169" t="s">
        <v>70</v>
      </c>
      <c r="X169">
        <v>2.4845997796699847E-2</v>
      </c>
      <c r="Y169" t="s">
        <v>68</v>
      </c>
    </row>
    <row r="170" spans="17:25" x14ac:dyDescent="0.25">
      <c r="Q170" t="s">
        <v>92</v>
      </c>
      <c r="R170" t="s">
        <v>71</v>
      </c>
      <c r="S170">
        <v>0.28488836745957086</v>
      </c>
      <c r="T170" t="s">
        <v>68</v>
      </c>
      <c r="V170" t="s">
        <v>112</v>
      </c>
      <c r="W170" t="s">
        <v>71</v>
      </c>
      <c r="X170">
        <v>0.10117688120893226</v>
      </c>
      <c r="Y170" t="s">
        <v>68</v>
      </c>
    </row>
    <row r="171" spans="17:25" x14ac:dyDescent="0.25">
      <c r="Q171" t="s">
        <v>92</v>
      </c>
      <c r="R171" t="s">
        <v>72</v>
      </c>
      <c r="S171">
        <v>4.5108833959786295E-3</v>
      </c>
      <c r="T171" t="s">
        <v>68</v>
      </c>
      <c r="V171" t="s">
        <v>112</v>
      </c>
      <c r="W171" t="s">
        <v>72</v>
      </c>
      <c r="X171">
        <v>0.12909985296649984</v>
      </c>
      <c r="Y171" t="s">
        <v>68</v>
      </c>
    </row>
    <row r="172" spans="17:25" x14ac:dyDescent="0.25">
      <c r="Q172" t="s">
        <v>92</v>
      </c>
      <c r="R172" t="s">
        <v>73</v>
      </c>
      <c r="S172">
        <v>2.6485878520460332E-2</v>
      </c>
      <c r="T172" t="s">
        <v>68</v>
      </c>
      <c r="V172" t="s">
        <v>112</v>
      </c>
      <c r="W172" t="s">
        <v>73</v>
      </c>
      <c r="X172">
        <v>1.8464825643044198E-2</v>
      </c>
      <c r="Y172" t="s">
        <v>68</v>
      </c>
    </row>
    <row r="173" spans="17:25" x14ac:dyDescent="0.25">
      <c r="Q173" t="s">
        <v>92</v>
      </c>
      <c r="R173" t="s">
        <v>74</v>
      </c>
      <c r="S173">
        <v>0.34003274971925812</v>
      </c>
      <c r="T173" t="s">
        <v>68</v>
      </c>
      <c r="V173" t="s">
        <v>112</v>
      </c>
      <c r="W173" t="s">
        <v>74</v>
      </c>
      <c r="X173">
        <v>6.6885657191662659E-2</v>
      </c>
      <c r="Y173" t="s">
        <v>68</v>
      </c>
    </row>
    <row r="174" spans="17:25" x14ac:dyDescent="0.25">
      <c r="Q174" t="s">
        <v>92</v>
      </c>
      <c r="R174" t="s">
        <v>75</v>
      </c>
      <c r="S174">
        <v>1.4881071860185245E-2</v>
      </c>
      <c r="T174" t="s">
        <v>68</v>
      </c>
      <c r="V174" t="s">
        <v>112</v>
      </c>
      <c r="W174" t="s">
        <v>75</v>
      </c>
      <c r="X174">
        <v>7.4684490083044258E-2</v>
      </c>
      <c r="Y174" t="s">
        <v>68</v>
      </c>
    </row>
    <row r="175" spans="17:25" x14ac:dyDescent="0.25">
      <c r="Q175" t="s">
        <v>92</v>
      </c>
      <c r="R175" t="s">
        <v>76</v>
      </c>
      <c r="S175">
        <v>3.7583165826316732E-2</v>
      </c>
      <c r="T175" t="s">
        <v>68</v>
      </c>
      <c r="V175" t="s">
        <v>112</v>
      </c>
      <c r="W175" t="s">
        <v>76</v>
      </c>
      <c r="X175">
        <v>1.2406926519444018E-2</v>
      </c>
      <c r="Y175" t="s">
        <v>68</v>
      </c>
    </row>
    <row r="176" spans="17:25" x14ac:dyDescent="0.25">
      <c r="Q176" t="s">
        <v>92</v>
      </c>
      <c r="R176" t="s">
        <v>77</v>
      </c>
      <c r="S176">
        <v>0.10471242738846694</v>
      </c>
      <c r="T176" t="s">
        <v>68</v>
      </c>
      <c r="V176" t="s">
        <v>112</v>
      </c>
      <c r="W176" t="s">
        <v>77</v>
      </c>
      <c r="X176">
        <v>0.14366647809159055</v>
      </c>
      <c r="Y176" t="s">
        <v>68</v>
      </c>
    </row>
    <row r="177" spans="17:25" x14ac:dyDescent="0.25">
      <c r="Q177" t="s">
        <v>92</v>
      </c>
      <c r="R177" t="s">
        <v>78</v>
      </c>
      <c r="S177">
        <v>0</v>
      </c>
      <c r="T177" t="s">
        <v>68</v>
      </c>
      <c r="V177" t="s">
        <v>112</v>
      </c>
      <c r="W177" t="s">
        <v>78</v>
      </c>
      <c r="X177">
        <v>0.14743930044184522</v>
      </c>
      <c r="Y177" t="s">
        <v>68</v>
      </c>
    </row>
    <row r="178" spans="17:25" x14ac:dyDescent="0.25">
      <c r="Q178" t="s">
        <v>92</v>
      </c>
      <c r="R178" t="s">
        <v>79</v>
      </c>
      <c r="S178">
        <v>1.370904071000884E-3</v>
      </c>
      <c r="T178" t="s">
        <v>68</v>
      </c>
      <c r="V178" t="s">
        <v>112</v>
      </c>
      <c r="W178" t="s">
        <v>79</v>
      </c>
      <c r="X178">
        <v>2.8153660139926418E-2</v>
      </c>
      <c r="Y178" t="s">
        <v>68</v>
      </c>
    </row>
    <row r="179" spans="17:25" x14ac:dyDescent="0.25">
      <c r="Q179" t="s">
        <v>93</v>
      </c>
      <c r="R179" t="s">
        <v>67</v>
      </c>
      <c r="S179">
        <v>0.17527383020181506</v>
      </c>
      <c r="T179" t="s">
        <v>68</v>
      </c>
      <c r="V179" t="s">
        <v>113</v>
      </c>
      <c r="W179" t="s">
        <v>67</v>
      </c>
      <c r="X179">
        <v>0.12401512692679206</v>
      </c>
      <c r="Y179" t="s">
        <v>68</v>
      </c>
    </row>
    <row r="180" spans="17:25" x14ac:dyDescent="0.25">
      <c r="Q180" t="s">
        <v>93</v>
      </c>
      <c r="R180" t="s">
        <v>69</v>
      </c>
      <c r="S180">
        <v>0</v>
      </c>
      <c r="T180" t="s">
        <v>68</v>
      </c>
      <c r="V180" t="s">
        <v>113</v>
      </c>
      <c r="W180" t="s">
        <v>69</v>
      </c>
      <c r="X180">
        <v>0.11726418291210775</v>
      </c>
      <c r="Y180" t="s">
        <v>68</v>
      </c>
    </row>
    <row r="181" spans="17:25" x14ac:dyDescent="0.25">
      <c r="Q181" t="s">
        <v>93</v>
      </c>
      <c r="R181" t="s">
        <v>70</v>
      </c>
      <c r="S181">
        <v>8.2288787937961991E-3</v>
      </c>
      <c r="T181" t="s">
        <v>68</v>
      </c>
      <c r="V181" t="s">
        <v>113</v>
      </c>
      <c r="W181" t="s">
        <v>70</v>
      </c>
      <c r="X181">
        <v>2.6452715629520233E-2</v>
      </c>
      <c r="Y181" t="s">
        <v>68</v>
      </c>
    </row>
    <row r="182" spans="17:25" x14ac:dyDescent="0.25">
      <c r="Q182" t="s">
        <v>93</v>
      </c>
      <c r="R182" t="s">
        <v>71</v>
      </c>
      <c r="S182">
        <v>0.28291249851491174</v>
      </c>
      <c r="T182" t="s">
        <v>68</v>
      </c>
      <c r="V182" t="s">
        <v>113</v>
      </c>
      <c r="W182" t="s">
        <v>71</v>
      </c>
      <c r="X182">
        <v>0.11659578309093385</v>
      </c>
      <c r="Y182" t="s">
        <v>68</v>
      </c>
    </row>
    <row r="183" spans="17:25" x14ac:dyDescent="0.25">
      <c r="Q183" t="s">
        <v>93</v>
      </c>
      <c r="R183" t="s">
        <v>72</v>
      </c>
      <c r="S183">
        <v>5.0538395406029158E-3</v>
      </c>
      <c r="T183" t="s">
        <v>68</v>
      </c>
      <c r="V183" t="s">
        <v>113</v>
      </c>
      <c r="W183" t="s">
        <v>72</v>
      </c>
      <c r="X183">
        <v>0.10328776738815762</v>
      </c>
      <c r="Y183" t="s">
        <v>68</v>
      </c>
    </row>
    <row r="184" spans="17:25" x14ac:dyDescent="0.25">
      <c r="Q184" t="s">
        <v>93</v>
      </c>
      <c r="R184" t="s">
        <v>73</v>
      </c>
      <c r="S184">
        <v>2.7306114643982072E-2</v>
      </c>
      <c r="T184" t="s">
        <v>68</v>
      </c>
      <c r="V184" t="s">
        <v>113</v>
      </c>
      <c r="W184" t="s">
        <v>73</v>
      </c>
      <c r="X184">
        <v>2.2697566630582394E-2</v>
      </c>
      <c r="Y184" t="s">
        <v>68</v>
      </c>
    </row>
    <row r="185" spans="17:25" x14ac:dyDescent="0.25">
      <c r="Q185" t="s">
        <v>93</v>
      </c>
      <c r="R185" t="s">
        <v>74</v>
      </c>
      <c r="S185">
        <v>0.34998878433827874</v>
      </c>
      <c r="T185" t="s">
        <v>68</v>
      </c>
      <c r="V185" t="s">
        <v>113</v>
      </c>
      <c r="W185" t="s">
        <v>74</v>
      </c>
      <c r="X185">
        <v>5.6226982518499599E-2</v>
      </c>
      <c r="Y185" t="s">
        <v>68</v>
      </c>
    </row>
    <row r="186" spans="17:25" x14ac:dyDescent="0.25">
      <c r="Q186" t="s">
        <v>93</v>
      </c>
      <c r="R186" t="s">
        <v>75</v>
      </c>
      <c r="S186">
        <v>1.6648847156017679E-2</v>
      </c>
      <c r="T186" t="s">
        <v>68</v>
      </c>
      <c r="V186" t="s">
        <v>113</v>
      </c>
      <c r="W186" t="s">
        <v>75</v>
      </c>
      <c r="X186">
        <v>3.5029743634873503E-2</v>
      </c>
      <c r="Y186" t="s">
        <v>68</v>
      </c>
    </row>
    <row r="187" spans="17:25" x14ac:dyDescent="0.25">
      <c r="Q187" t="s">
        <v>93</v>
      </c>
      <c r="R187" t="s">
        <v>76</v>
      </c>
      <c r="S187">
        <v>4.0976397365438511E-2</v>
      </c>
      <c r="T187" t="s">
        <v>68</v>
      </c>
      <c r="V187" t="s">
        <v>113</v>
      </c>
      <c r="W187" t="s">
        <v>76</v>
      </c>
      <c r="X187">
        <v>1.2137130698276074E-2</v>
      </c>
      <c r="Y187" t="s">
        <v>68</v>
      </c>
    </row>
    <row r="188" spans="17:25" x14ac:dyDescent="0.25">
      <c r="Q188" t="s">
        <v>93</v>
      </c>
      <c r="R188" t="s">
        <v>77</v>
      </c>
      <c r="S188">
        <v>9.2502279174395019E-2</v>
      </c>
      <c r="T188" t="s">
        <v>68</v>
      </c>
      <c r="V188" t="s">
        <v>113</v>
      </c>
      <c r="W188" t="s">
        <v>77</v>
      </c>
      <c r="X188">
        <v>0.17602421629054005</v>
      </c>
      <c r="Y188" t="s">
        <v>68</v>
      </c>
    </row>
    <row r="189" spans="17:25" x14ac:dyDescent="0.25">
      <c r="Q189" t="s">
        <v>93</v>
      </c>
      <c r="R189" t="s">
        <v>78</v>
      </c>
      <c r="S189">
        <v>0</v>
      </c>
      <c r="T189" t="s">
        <v>68</v>
      </c>
      <c r="V189" t="s">
        <v>113</v>
      </c>
      <c r="W189" t="s">
        <v>78</v>
      </c>
      <c r="X189">
        <v>0.17647249520408298</v>
      </c>
      <c r="Y189" t="s">
        <v>68</v>
      </c>
    </row>
    <row r="190" spans="17:25" x14ac:dyDescent="0.25">
      <c r="Q190" t="s">
        <v>93</v>
      </c>
      <c r="R190" t="s">
        <v>79</v>
      </c>
      <c r="S190">
        <v>1.1085302707623586E-3</v>
      </c>
      <c r="T190" t="s">
        <v>68</v>
      </c>
      <c r="V190" t="s">
        <v>113</v>
      </c>
      <c r="W190" t="s">
        <v>79</v>
      </c>
      <c r="X190">
        <v>3.3796289075635089E-2</v>
      </c>
      <c r="Y190" t="s">
        <v>68</v>
      </c>
    </row>
    <row r="191" spans="17:25" x14ac:dyDescent="0.25">
      <c r="Q191" t="s">
        <v>94</v>
      </c>
      <c r="R191" t="s">
        <v>67</v>
      </c>
      <c r="S191">
        <v>0.16500861786940943</v>
      </c>
      <c r="T191" t="s">
        <v>68</v>
      </c>
      <c r="V191" t="s">
        <v>114</v>
      </c>
      <c r="W191" t="s">
        <v>67</v>
      </c>
      <c r="X191">
        <v>0.12727350596824549</v>
      </c>
      <c r="Y191" t="s">
        <v>68</v>
      </c>
    </row>
    <row r="192" spans="17:25" x14ac:dyDescent="0.25">
      <c r="Q192" t="s">
        <v>94</v>
      </c>
      <c r="R192" t="s">
        <v>69</v>
      </c>
      <c r="S192">
        <v>0</v>
      </c>
      <c r="T192" t="s">
        <v>68</v>
      </c>
      <c r="V192" t="s">
        <v>114</v>
      </c>
      <c r="W192" t="s">
        <v>69</v>
      </c>
      <c r="X192">
        <v>0.13589569221568817</v>
      </c>
      <c r="Y192" t="s">
        <v>68</v>
      </c>
    </row>
    <row r="193" spans="17:25" x14ac:dyDescent="0.25">
      <c r="Q193" t="s">
        <v>94</v>
      </c>
      <c r="R193" t="s">
        <v>70</v>
      </c>
      <c r="S193">
        <v>7.5377796545978357E-3</v>
      </c>
      <c r="T193" t="s">
        <v>68</v>
      </c>
      <c r="V193" t="s">
        <v>114</v>
      </c>
      <c r="W193" t="s">
        <v>70</v>
      </c>
      <c r="X193">
        <v>2.4029077319016691E-2</v>
      </c>
      <c r="Y193" t="s">
        <v>68</v>
      </c>
    </row>
    <row r="194" spans="17:25" x14ac:dyDescent="0.25">
      <c r="Q194" t="s">
        <v>94</v>
      </c>
      <c r="R194" t="s">
        <v>71</v>
      </c>
      <c r="S194">
        <v>0.29812251124310363</v>
      </c>
      <c r="T194" t="s">
        <v>68</v>
      </c>
      <c r="V194" t="s">
        <v>114</v>
      </c>
      <c r="W194" t="s">
        <v>71</v>
      </c>
      <c r="X194">
        <v>0.10595686282772397</v>
      </c>
      <c r="Y194" t="s">
        <v>68</v>
      </c>
    </row>
    <row r="195" spans="17:25" x14ac:dyDescent="0.25">
      <c r="Q195" t="s">
        <v>94</v>
      </c>
      <c r="R195" t="s">
        <v>72</v>
      </c>
      <c r="S195">
        <v>6.192390977376552E-3</v>
      </c>
      <c r="T195" t="s">
        <v>68</v>
      </c>
      <c r="V195" t="s">
        <v>114</v>
      </c>
      <c r="W195" t="s">
        <v>72</v>
      </c>
      <c r="X195">
        <v>0.11239644638988468</v>
      </c>
      <c r="Y195" t="s">
        <v>68</v>
      </c>
    </row>
    <row r="196" spans="17:25" x14ac:dyDescent="0.25">
      <c r="Q196" t="s">
        <v>94</v>
      </c>
      <c r="R196" t="s">
        <v>73</v>
      </c>
      <c r="S196">
        <v>2.8061541145804378E-2</v>
      </c>
      <c r="T196" t="s">
        <v>68</v>
      </c>
      <c r="V196" t="s">
        <v>114</v>
      </c>
      <c r="W196" t="s">
        <v>73</v>
      </c>
      <c r="X196">
        <v>2.0331629637956202E-2</v>
      </c>
      <c r="Y196" t="s">
        <v>68</v>
      </c>
    </row>
    <row r="197" spans="17:25" x14ac:dyDescent="0.25">
      <c r="Q197" t="s">
        <v>94</v>
      </c>
      <c r="R197" t="s">
        <v>74</v>
      </c>
      <c r="S197">
        <v>0.3575326109506114</v>
      </c>
      <c r="T197" t="s">
        <v>68</v>
      </c>
      <c r="V197" t="s">
        <v>114</v>
      </c>
      <c r="W197" t="s">
        <v>74</v>
      </c>
      <c r="X197">
        <v>4.6622050620787558E-2</v>
      </c>
      <c r="Y197" t="s">
        <v>68</v>
      </c>
    </row>
    <row r="198" spans="17:25" x14ac:dyDescent="0.25">
      <c r="Q198" t="s">
        <v>94</v>
      </c>
      <c r="R198" t="s">
        <v>75</v>
      </c>
      <c r="S198">
        <v>1.9530472404912097E-2</v>
      </c>
      <c r="T198" t="s">
        <v>68</v>
      </c>
      <c r="V198" t="s">
        <v>114</v>
      </c>
      <c r="W198" t="s">
        <v>75</v>
      </c>
      <c r="X198">
        <v>5.046464273892496E-2</v>
      </c>
      <c r="Y198" t="s">
        <v>68</v>
      </c>
    </row>
    <row r="199" spans="17:25" x14ac:dyDescent="0.25">
      <c r="Q199" t="s">
        <v>94</v>
      </c>
      <c r="R199" t="s">
        <v>76</v>
      </c>
      <c r="S199">
        <v>4.2727426268536109E-2</v>
      </c>
      <c r="T199" t="s">
        <v>68</v>
      </c>
      <c r="V199" t="s">
        <v>114</v>
      </c>
      <c r="W199" t="s">
        <v>76</v>
      </c>
      <c r="X199">
        <v>8.5209341032500101E-3</v>
      </c>
      <c r="Y199" t="s">
        <v>68</v>
      </c>
    </row>
    <row r="200" spans="17:25" x14ac:dyDescent="0.25">
      <c r="Q200" t="s">
        <v>94</v>
      </c>
      <c r="R200" t="s">
        <v>77</v>
      </c>
      <c r="S200">
        <v>7.462470834065521E-2</v>
      </c>
      <c r="T200" t="s">
        <v>68</v>
      </c>
      <c r="V200" t="s">
        <v>114</v>
      </c>
      <c r="W200" t="s">
        <v>77</v>
      </c>
      <c r="X200">
        <v>0.16346663149422994</v>
      </c>
      <c r="Y200" t="s">
        <v>68</v>
      </c>
    </row>
    <row r="201" spans="17:25" x14ac:dyDescent="0.25">
      <c r="Q201" t="s">
        <v>94</v>
      </c>
      <c r="R201" t="s">
        <v>78</v>
      </c>
      <c r="S201">
        <v>0</v>
      </c>
      <c r="T201" t="s">
        <v>68</v>
      </c>
      <c r="V201" t="s">
        <v>114</v>
      </c>
      <c r="W201" t="s">
        <v>78</v>
      </c>
      <c r="X201">
        <v>0.17249285156844349</v>
      </c>
      <c r="Y201" t="s">
        <v>68</v>
      </c>
    </row>
    <row r="202" spans="17:25" x14ac:dyDescent="0.25">
      <c r="Q202" t="s">
        <v>94</v>
      </c>
      <c r="R202" t="s">
        <v>79</v>
      </c>
      <c r="S202">
        <v>6.6194114499329632E-4</v>
      </c>
      <c r="T202" t="s">
        <v>68</v>
      </c>
      <c r="V202" t="s">
        <v>114</v>
      </c>
      <c r="W202" t="s">
        <v>79</v>
      </c>
      <c r="X202">
        <v>3.254967511584491E-2</v>
      </c>
      <c r="Y202" t="s">
        <v>68</v>
      </c>
    </row>
    <row r="203" spans="17:25" x14ac:dyDescent="0.25">
      <c r="Q203" t="s">
        <v>95</v>
      </c>
      <c r="R203" t="s">
        <v>67</v>
      </c>
      <c r="S203">
        <v>0.15611116842422296</v>
      </c>
      <c r="T203" t="s">
        <v>68</v>
      </c>
      <c r="V203" t="s">
        <v>115</v>
      </c>
      <c r="W203" t="s">
        <v>67</v>
      </c>
      <c r="X203">
        <v>0.12017721498074961</v>
      </c>
      <c r="Y203" t="s">
        <v>68</v>
      </c>
    </row>
    <row r="204" spans="17:25" x14ac:dyDescent="0.25">
      <c r="Q204" t="s">
        <v>95</v>
      </c>
      <c r="R204" t="s">
        <v>69</v>
      </c>
      <c r="S204">
        <v>0</v>
      </c>
      <c r="T204" t="s">
        <v>68</v>
      </c>
      <c r="V204" t="s">
        <v>115</v>
      </c>
      <c r="W204" t="s">
        <v>69</v>
      </c>
      <c r="X204">
        <v>0.13115639235139226</v>
      </c>
      <c r="Y204" t="s">
        <v>68</v>
      </c>
    </row>
    <row r="205" spans="17:25" x14ac:dyDescent="0.25">
      <c r="Q205" t="s">
        <v>95</v>
      </c>
      <c r="R205" t="s">
        <v>70</v>
      </c>
      <c r="S205">
        <v>7.6465007749158109E-3</v>
      </c>
      <c r="T205" t="s">
        <v>68</v>
      </c>
      <c r="V205" t="s">
        <v>115</v>
      </c>
      <c r="W205" t="s">
        <v>70</v>
      </c>
      <c r="X205">
        <v>2.6555587238579086E-2</v>
      </c>
      <c r="Y205" t="s">
        <v>68</v>
      </c>
    </row>
    <row r="206" spans="17:25" x14ac:dyDescent="0.25">
      <c r="Q206" t="s">
        <v>95</v>
      </c>
      <c r="R206" t="s">
        <v>71</v>
      </c>
      <c r="S206">
        <v>0.31261927214793556</v>
      </c>
      <c r="T206" t="s">
        <v>68</v>
      </c>
      <c r="V206" t="s">
        <v>115</v>
      </c>
      <c r="W206" t="s">
        <v>71</v>
      </c>
      <c r="X206">
        <v>0.11200328027496201</v>
      </c>
      <c r="Y206" t="s">
        <v>68</v>
      </c>
    </row>
    <row r="207" spans="17:25" x14ac:dyDescent="0.25">
      <c r="Q207" t="s">
        <v>95</v>
      </c>
      <c r="R207" t="s">
        <v>72</v>
      </c>
      <c r="S207">
        <v>6.5885025625431548E-3</v>
      </c>
      <c r="T207" t="s">
        <v>68</v>
      </c>
      <c r="V207" t="s">
        <v>115</v>
      </c>
      <c r="W207" t="s">
        <v>72</v>
      </c>
      <c r="X207">
        <v>0.11958089495166686</v>
      </c>
      <c r="Y207" t="s">
        <v>68</v>
      </c>
    </row>
    <row r="208" spans="17:25" x14ac:dyDescent="0.25">
      <c r="Q208" t="s">
        <v>95</v>
      </c>
      <c r="R208" t="s">
        <v>73</v>
      </c>
      <c r="S208">
        <v>2.8824492951869948E-2</v>
      </c>
      <c r="T208" t="s">
        <v>68</v>
      </c>
      <c r="V208" t="s">
        <v>115</v>
      </c>
      <c r="W208" t="s">
        <v>73</v>
      </c>
      <c r="X208">
        <v>2.0990164578597939E-2</v>
      </c>
      <c r="Y208" t="s">
        <v>68</v>
      </c>
    </row>
    <row r="209" spans="17:25" x14ac:dyDescent="0.25">
      <c r="Q209" t="s">
        <v>95</v>
      </c>
      <c r="R209" t="s">
        <v>74</v>
      </c>
      <c r="S209">
        <v>0.35472577740709565</v>
      </c>
      <c r="T209" t="s">
        <v>68</v>
      </c>
      <c r="V209" t="s">
        <v>115</v>
      </c>
      <c r="W209" t="s">
        <v>74</v>
      </c>
      <c r="X209">
        <v>5.5799462514748308E-2</v>
      </c>
      <c r="Y209" t="s">
        <v>68</v>
      </c>
    </row>
    <row r="210" spans="17:25" x14ac:dyDescent="0.25">
      <c r="Q210" t="s">
        <v>95</v>
      </c>
      <c r="R210" t="s">
        <v>75</v>
      </c>
      <c r="S210">
        <v>2.0595739865168907E-2</v>
      </c>
      <c r="T210" t="s">
        <v>68</v>
      </c>
      <c r="V210" t="s">
        <v>115</v>
      </c>
      <c r="W210" t="s">
        <v>75</v>
      </c>
      <c r="X210">
        <v>5.8084839794147393E-2</v>
      </c>
      <c r="Y210" t="s">
        <v>68</v>
      </c>
    </row>
    <row r="211" spans="17:25" x14ac:dyDescent="0.25">
      <c r="Q211" t="s">
        <v>95</v>
      </c>
      <c r="R211" t="s">
        <v>76</v>
      </c>
      <c r="S211">
        <v>4.2624474006844833E-2</v>
      </c>
      <c r="T211" t="s">
        <v>68</v>
      </c>
      <c r="V211" t="s">
        <v>115</v>
      </c>
      <c r="W211" t="s">
        <v>76</v>
      </c>
      <c r="X211">
        <v>1.1663580140074396E-2</v>
      </c>
      <c r="Y211" t="s">
        <v>68</v>
      </c>
    </row>
    <row r="212" spans="17:25" x14ac:dyDescent="0.25">
      <c r="Q212" t="s">
        <v>95</v>
      </c>
      <c r="R212" t="s">
        <v>77</v>
      </c>
      <c r="S212">
        <v>6.958572254888469E-2</v>
      </c>
      <c r="T212" t="s">
        <v>68</v>
      </c>
      <c r="V212" t="s">
        <v>115</v>
      </c>
      <c r="W212" t="s">
        <v>77</v>
      </c>
      <c r="X212">
        <v>0.15299382218862889</v>
      </c>
      <c r="Y212" t="s">
        <v>68</v>
      </c>
    </row>
    <row r="213" spans="17:25" x14ac:dyDescent="0.25">
      <c r="Q213" t="s">
        <v>95</v>
      </c>
      <c r="R213" t="s">
        <v>78</v>
      </c>
      <c r="S213">
        <v>0</v>
      </c>
      <c r="T213" t="s">
        <v>68</v>
      </c>
      <c r="V213" t="s">
        <v>115</v>
      </c>
      <c r="W213" t="s">
        <v>78</v>
      </c>
      <c r="X213">
        <v>0.16062636194263219</v>
      </c>
      <c r="Y213" t="s">
        <v>68</v>
      </c>
    </row>
    <row r="214" spans="17:25" x14ac:dyDescent="0.25">
      <c r="Q214" t="s">
        <v>95</v>
      </c>
      <c r="R214" t="s">
        <v>79</v>
      </c>
      <c r="S214">
        <v>6.7834931051908079E-4</v>
      </c>
      <c r="T214" t="s">
        <v>68</v>
      </c>
      <c r="V214" t="s">
        <v>115</v>
      </c>
      <c r="W214" t="s">
        <v>79</v>
      </c>
      <c r="X214">
        <v>3.0368399043818932E-2</v>
      </c>
      <c r="Y214" t="s">
        <v>68</v>
      </c>
    </row>
    <row r="215" spans="17:25" x14ac:dyDescent="0.25">
      <c r="Q215" t="s">
        <v>96</v>
      </c>
      <c r="R215" t="s">
        <v>67</v>
      </c>
      <c r="S215">
        <v>0.15334446348951555</v>
      </c>
      <c r="T215" t="s">
        <v>68</v>
      </c>
      <c r="V215" t="s">
        <v>116</v>
      </c>
      <c r="W215" t="s">
        <v>67</v>
      </c>
      <c r="X215">
        <v>0.13080030223433761</v>
      </c>
      <c r="Y215" t="s">
        <v>68</v>
      </c>
    </row>
    <row r="216" spans="17:25" x14ac:dyDescent="0.25">
      <c r="Q216" t="s">
        <v>96</v>
      </c>
      <c r="R216" t="s">
        <v>69</v>
      </c>
      <c r="S216">
        <v>0</v>
      </c>
      <c r="T216" t="s">
        <v>68</v>
      </c>
      <c r="V216" t="s">
        <v>116</v>
      </c>
      <c r="W216" t="s">
        <v>69</v>
      </c>
      <c r="X216">
        <v>0.12491788154025736</v>
      </c>
      <c r="Y216" t="s">
        <v>68</v>
      </c>
    </row>
    <row r="217" spans="17:25" x14ac:dyDescent="0.25">
      <c r="Q217" t="s">
        <v>96</v>
      </c>
      <c r="R217" t="s">
        <v>70</v>
      </c>
      <c r="S217">
        <v>6.3883486743517128E-3</v>
      </c>
      <c r="T217" t="s">
        <v>68</v>
      </c>
      <c r="V217" t="s">
        <v>116</v>
      </c>
      <c r="W217" t="s">
        <v>70</v>
      </c>
      <c r="X217">
        <v>2.4275661210240915E-2</v>
      </c>
      <c r="Y217" t="s">
        <v>68</v>
      </c>
    </row>
    <row r="218" spans="17:25" x14ac:dyDescent="0.25">
      <c r="Q218" t="s">
        <v>96</v>
      </c>
      <c r="R218" t="s">
        <v>71</v>
      </c>
      <c r="S218">
        <v>0.30412219909926269</v>
      </c>
      <c r="T218" t="s">
        <v>68</v>
      </c>
      <c r="V218" t="s">
        <v>116</v>
      </c>
      <c r="W218" t="s">
        <v>71</v>
      </c>
      <c r="X218">
        <v>0.1168421208299278</v>
      </c>
      <c r="Y218" t="s">
        <v>68</v>
      </c>
    </row>
    <row r="219" spans="17:25" x14ac:dyDescent="0.25">
      <c r="Q219" t="s">
        <v>96</v>
      </c>
      <c r="R219" t="s">
        <v>72</v>
      </c>
      <c r="S219">
        <v>6.2348851321132655E-3</v>
      </c>
      <c r="T219" t="s">
        <v>68</v>
      </c>
      <c r="V219" t="s">
        <v>116</v>
      </c>
      <c r="W219" t="s">
        <v>72</v>
      </c>
      <c r="X219">
        <v>0.11523098601234358</v>
      </c>
      <c r="Y219" t="s">
        <v>68</v>
      </c>
    </row>
    <row r="220" spans="17:25" x14ac:dyDescent="0.25">
      <c r="Q220" t="s">
        <v>96</v>
      </c>
      <c r="R220" t="s">
        <v>73</v>
      </c>
      <c r="S220">
        <v>2.6303932618914623E-2</v>
      </c>
      <c r="T220" t="s">
        <v>68</v>
      </c>
      <c r="V220" t="s">
        <v>116</v>
      </c>
      <c r="W220" t="s">
        <v>73</v>
      </c>
      <c r="X220">
        <v>2.212850101076104E-2</v>
      </c>
      <c r="Y220" t="s">
        <v>68</v>
      </c>
    </row>
    <row r="221" spans="17:25" x14ac:dyDescent="0.25">
      <c r="Q221" t="s">
        <v>96</v>
      </c>
      <c r="R221" t="s">
        <v>74</v>
      </c>
      <c r="S221">
        <v>0.36773816180711583</v>
      </c>
      <c r="T221" t="s">
        <v>68</v>
      </c>
      <c r="V221" t="s">
        <v>116</v>
      </c>
      <c r="W221" t="s">
        <v>74</v>
      </c>
      <c r="X221">
        <v>6.2653436712275842E-2</v>
      </c>
      <c r="Y221" t="s">
        <v>68</v>
      </c>
    </row>
    <row r="222" spans="17:25" x14ac:dyDescent="0.25">
      <c r="Q222" t="s">
        <v>96</v>
      </c>
      <c r="R222" t="s">
        <v>75</v>
      </c>
      <c r="S222">
        <v>1.9888615066184914E-2</v>
      </c>
      <c r="T222" t="s">
        <v>68</v>
      </c>
      <c r="V222" t="s">
        <v>116</v>
      </c>
      <c r="W222" t="s">
        <v>75</v>
      </c>
      <c r="X222">
        <v>6.3243219165703385E-2</v>
      </c>
      <c r="Y222" t="s">
        <v>68</v>
      </c>
    </row>
    <row r="223" spans="17:25" x14ac:dyDescent="0.25">
      <c r="Q223" t="s">
        <v>96</v>
      </c>
      <c r="R223" t="s">
        <v>76</v>
      </c>
      <c r="S223">
        <v>4.1663079555854972E-2</v>
      </c>
      <c r="T223" t="s">
        <v>68</v>
      </c>
      <c r="V223" t="s">
        <v>116</v>
      </c>
      <c r="W223" t="s">
        <v>76</v>
      </c>
      <c r="X223">
        <v>1.103957367385529E-2</v>
      </c>
      <c r="Y223" t="s">
        <v>68</v>
      </c>
    </row>
    <row r="224" spans="17:25" x14ac:dyDescent="0.25">
      <c r="Q224" t="s">
        <v>96</v>
      </c>
      <c r="R224" t="s">
        <v>77</v>
      </c>
      <c r="S224">
        <v>7.3762455045951608E-2</v>
      </c>
      <c r="T224" t="s">
        <v>68</v>
      </c>
      <c r="V224" t="s">
        <v>116</v>
      </c>
      <c r="W224" t="s">
        <v>77</v>
      </c>
      <c r="X224">
        <v>0.14820865370964284</v>
      </c>
      <c r="Y224" t="s">
        <v>68</v>
      </c>
    </row>
    <row r="225" spans="17:25" x14ac:dyDescent="0.25">
      <c r="Q225" t="s">
        <v>96</v>
      </c>
      <c r="R225" t="s">
        <v>78</v>
      </c>
      <c r="S225">
        <v>0</v>
      </c>
      <c r="T225" t="s">
        <v>68</v>
      </c>
      <c r="V225" t="s">
        <v>116</v>
      </c>
      <c r="W225" t="s">
        <v>78</v>
      </c>
      <c r="X225">
        <v>0.15109978530543383</v>
      </c>
      <c r="Y225" t="s">
        <v>68</v>
      </c>
    </row>
    <row r="226" spans="17:25" x14ac:dyDescent="0.25">
      <c r="Q226" t="s">
        <v>96</v>
      </c>
      <c r="R226" t="s">
        <v>79</v>
      </c>
      <c r="S226">
        <v>5.5385951073383313E-4</v>
      </c>
      <c r="T226" t="s">
        <v>68</v>
      </c>
      <c r="V226" t="s">
        <v>116</v>
      </c>
      <c r="W226" t="s">
        <v>79</v>
      </c>
      <c r="X226">
        <v>2.9559878595220739E-2</v>
      </c>
      <c r="Y226" t="s">
        <v>68</v>
      </c>
    </row>
    <row r="227" spans="17:25" x14ac:dyDescent="0.25">
      <c r="Q227" t="s">
        <v>97</v>
      </c>
      <c r="R227" t="s">
        <v>67</v>
      </c>
      <c r="S227">
        <v>0.16335840978319419</v>
      </c>
      <c r="T227" t="s">
        <v>68</v>
      </c>
      <c r="V227" t="s">
        <v>117</v>
      </c>
      <c r="W227" t="s">
        <v>67</v>
      </c>
      <c r="X227">
        <v>0.11549413988350511</v>
      </c>
      <c r="Y227" t="s">
        <v>68</v>
      </c>
    </row>
    <row r="228" spans="17:25" x14ac:dyDescent="0.25">
      <c r="Q228" t="s">
        <v>97</v>
      </c>
      <c r="R228" t="s">
        <v>69</v>
      </c>
      <c r="S228">
        <v>0</v>
      </c>
      <c r="T228" t="s">
        <v>68</v>
      </c>
      <c r="V228" t="s">
        <v>117</v>
      </c>
      <c r="W228" t="s">
        <v>69</v>
      </c>
      <c r="X228">
        <v>0.12876915040791642</v>
      </c>
      <c r="Y228" t="s">
        <v>68</v>
      </c>
    </row>
    <row r="229" spans="17:25" x14ac:dyDescent="0.25">
      <c r="Q229" t="s">
        <v>97</v>
      </c>
      <c r="R229" t="s">
        <v>70</v>
      </c>
      <c r="S229">
        <v>6.862352187573903E-3</v>
      </c>
      <c r="T229" t="s">
        <v>68</v>
      </c>
      <c r="V229" t="s">
        <v>117</v>
      </c>
      <c r="W229" t="s">
        <v>70</v>
      </c>
      <c r="X229">
        <v>2.6012134291100678E-2</v>
      </c>
      <c r="Y229" t="s">
        <v>68</v>
      </c>
    </row>
    <row r="230" spans="17:25" x14ac:dyDescent="0.25">
      <c r="Q230" t="s">
        <v>97</v>
      </c>
      <c r="R230" t="s">
        <v>71</v>
      </c>
      <c r="S230">
        <v>0.29402588588819656</v>
      </c>
      <c r="T230" t="s">
        <v>68</v>
      </c>
      <c r="V230" t="s">
        <v>117</v>
      </c>
      <c r="W230" t="s">
        <v>71</v>
      </c>
      <c r="X230">
        <v>9.7535868870115242E-2</v>
      </c>
      <c r="Y230" t="s">
        <v>68</v>
      </c>
    </row>
    <row r="231" spans="17:25" x14ac:dyDescent="0.25">
      <c r="Q231" t="s">
        <v>97</v>
      </c>
      <c r="R231" t="s">
        <v>72</v>
      </c>
      <c r="S231">
        <v>5.1484473355099909E-3</v>
      </c>
      <c r="T231" t="s">
        <v>68</v>
      </c>
      <c r="V231" t="s">
        <v>117</v>
      </c>
      <c r="W231" t="s">
        <v>72</v>
      </c>
      <c r="X231">
        <v>0.12429257892001416</v>
      </c>
      <c r="Y231" t="s">
        <v>68</v>
      </c>
    </row>
    <row r="232" spans="17:25" x14ac:dyDescent="0.25">
      <c r="Q232" t="s">
        <v>97</v>
      </c>
      <c r="R232" t="s">
        <v>73</v>
      </c>
      <c r="S232">
        <v>2.4946220147590896E-2</v>
      </c>
      <c r="T232" t="s">
        <v>68</v>
      </c>
      <c r="V232" t="s">
        <v>117</v>
      </c>
      <c r="W232" t="s">
        <v>73</v>
      </c>
      <c r="X232">
        <v>2.000381332100936E-2</v>
      </c>
      <c r="Y232" t="s">
        <v>68</v>
      </c>
    </row>
    <row r="233" spans="17:25" x14ac:dyDescent="0.25">
      <c r="Q233" t="s">
        <v>97</v>
      </c>
      <c r="R233" t="s">
        <v>74</v>
      </c>
      <c r="S233">
        <v>0.36232157362439543</v>
      </c>
      <c r="T233" t="s">
        <v>68</v>
      </c>
      <c r="V233" t="s">
        <v>117</v>
      </c>
      <c r="W233" t="s">
        <v>74</v>
      </c>
      <c r="X233">
        <v>5.4195108405917632E-2</v>
      </c>
      <c r="Y233" t="s">
        <v>68</v>
      </c>
    </row>
    <row r="234" spans="17:25" x14ac:dyDescent="0.25">
      <c r="Q234" t="s">
        <v>97</v>
      </c>
      <c r="R234" t="s">
        <v>75</v>
      </c>
      <c r="S234">
        <v>1.7633106340885531E-2</v>
      </c>
      <c r="T234" t="s">
        <v>68</v>
      </c>
      <c r="V234" t="s">
        <v>117</v>
      </c>
      <c r="W234" t="s">
        <v>75</v>
      </c>
      <c r="X234">
        <v>6.3402965540948042E-2</v>
      </c>
      <c r="Y234" t="s">
        <v>68</v>
      </c>
    </row>
    <row r="235" spans="17:25" x14ac:dyDescent="0.25">
      <c r="Q235" t="s">
        <v>97</v>
      </c>
      <c r="R235" t="s">
        <v>76</v>
      </c>
      <c r="S235">
        <v>3.9633661339535144E-2</v>
      </c>
      <c r="T235" t="s">
        <v>68</v>
      </c>
      <c r="V235" t="s">
        <v>117</v>
      </c>
      <c r="W235" t="s">
        <v>76</v>
      </c>
      <c r="X235">
        <v>1.0098392227961281E-2</v>
      </c>
      <c r="Y235" t="s">
        <v>68</v>
      </c>
    </row>
    <row r="236" spans="17:25" x14ac:dyDescent="0.25">
      <c r="Q236" t="s">
        <v>97</v>
      </c>
      <c r="R236" t="s">
        <v>77</v>
      </c>
      <c r="S236">
        <v>8.5363356404277141E-2</v>
      </c>
      <c r="T236" t="s">
        <v>68</v>
      </c>
      <c r="V236" t="s">
        <v>117</v>
      </c>
      <c r="W236" t="s">
        <v>77</v>
      </c>
      <c r="X236">
        <v>0.16170256627316251</v>
      </c>
      <c r="Y236" t="s">
        <v>68</v>
      </c>
    </row>
    <row r="237" spans="17:25" x14ac:dyDescent="0.25">
      <c r="Q237" t="s">
        <v>97</v>
      </c>
      <c r="R237" t="s">
        <v>78</v>
      </c>
      <c r="S237">
        <v>0</v>
      </c>
      <c r="T237" t="s">
        <v>68</v>
      </c>
      <c r="V237" t="s">
        <v>117</v>
      </c>
      <c r="W237" t="s">
        <v>78</v>
      </c>
      <c r="X237">
        <v>0.1657090777953493</v>
      </c>
      <c r="Y237" t="s">
        <v>68</v>
      </c>
    </row>
    <row r="238" spans="17:25" x14ac:dyDescent="0.25">
      <c r="Q238" t="s">
        <v>97</v>
      </c>
      <c r="R238" t="s">
        <v>79</v>
      </c>
      <c r="S238">
        <v>7.0698694884020123E-4</v>
      </c>
      <c r="T238" t="s">
        <v>68</v>
      </c>
      <c r="V238" t="s">
        <v>117</v>
      </c>
      <c r="W238" t="s">
        <v>79</v>
      </c>
      <c r="X238">
        <v>3.2784204063002163E-2</v>
      </c>
      <c r="Y238" t="s">
        <v>68</v>
      </c>
    </row>
    <row r="239" spans="17:25" x14ac:dyDescent="0.25">
      <c r="Q239" t="s">
        <v>98</v>
      </c>
      <c r="R239" t="s">
        <v>67</v>
      </c>
      <c r="S239">
        <v>0.15717494299761378</v>
      </c>
      <c r="T239" t="s">
        <v>68</v>
      </c>
      <c r="V239" t="s">
        <v>118</v>
      </c>
      <c r="W239" t="s">
        <v>67</v>
      </c>
      <c r="X239">
        <v>0.12058485057512092</v>
      </c>
      <c r="Y239" t="s">
        <v>68</v>
      </c>
    </row>
    <row r="240" spans="17:25" x14ac:dyDescent="0.25">
      <c r="Q240" t="s">
        <v>98</v>
      </c>
      <c r="R240" t="s">
        <v>69</v>
      </c>
      <c r="S240">
        <v>0</v>
      </c>
      <c r="T240" t="s">
        <v>68</v>
      </c>
      <c r="V240" t="s">
        <v>118</v>
      </c>
      <c r="W240" t="s">
        <v>69</v>
      </c>
      <c r="X240">
        <v>0.12610358764663276</v>
      </c>
      <c r="Y240" t="s">
        <v>68</v>
      </c>
    </row>
    <row r="241" spans="17:25" x14ac:dyDescent="0.25">
      <c r="Q241" t="s">
        <v>98</v>
      </c>
      <c r="R241" t="s">
        <v>70</v>
      </c>
      <c r="S241">
        <v>6.1394137174750575E-3</v>
      </c>
      <c r="T241" t="s">
        <v>68</v>
      </c>
      <c r="V241" t="s">
        <v>118</v>
      </c>
      <c r="W241" t="s">
        <v>70</v>
      </c>
      <c r="X241">
        <v>2.4139560015465227E-2</v>
      </c>
      <c r="Y241" t="s">
        <v>68</v>
      </c>
    </row>
    <row r="242" spans="17:25" x14ac:dyDescent="0.25">
      <c r="Q242" t="s">
        <v>98</v>
      </c>
      <c r="R242" t="s">
        <v>71</v>
      </c>
      <c r="S242">
        <v>0.30289469844349082</v>
      </c>
      <c r="T242" t="s">
        <v>68</v>
      </c>
      <c r="V242" t="s">
        <v>118</v>
      </c>
      <c r="W242" t="s">
        <v>71</v>
      </c>
      <c r="X242">
        <v>0.10354798540326358</v>
      </c>
      <c r="Y242" t="s">
        <v>68</v>
      </c>
    </row>
    <row r="243" spans="17:25" x14ac:dyDescent="0.25">
      <c r="Q243" t="s">
        <v>98</v>
      </c>
      <c r="R243" t="s">
        <v>72</v>
      </c>
      <c r="S243">
        <v>5.9066706468528475E-3</v>
      </c>
      <c r="T243" t="s">
        <v>68</v>
      </c>
      <c r="V243" t="s">
        <v>118</v>
      </c>
      <c r="W243" t="s">
        <v>72</v>
      </c>
      <c r="X243">
        <v>0.12037870414604641</v>
      </c>
      <c r="Y243" t="s">
        <v>68</v>
      </c>
    </row>
    <row r="244" spans="17:25" x14ac:dyDescent="0.25">
      <c r="Q244" t="s">
        <v>98</v>
      </c>
      <c r="R244" t="s">
        <v>73</v>
      </c>
      <c r="S244">
        <v>2.5999771312713717E-2</v>
      </c>
      <c r="T244" t="s">
        <v>68</v>
      </c>
      <c r="V244" t="s">
        <v>118</v>
      </c>
      <c r="W244" t="s">
        <v>73</v>
      </c>
      <c r="X244">
        <v>1.9777246373403487E-2</v>
      </c>
      <c r="Y244" t="s">
        <v>68</v>
      </c>
    </row>
    <row r="245" spans="17:25" x14ac:dyDescent="0.25">
      <c r="Q245" t="s">
        <v>98</v>
      </c>
      <c r="R245" t="s">
        <v>74</v>
      </c>
      <c r="S245">
        <v>0.36416747139593703</v>
      </c>
      <c r="T245" t="s">
        <v>68</v>
      </c>
      <c r="V245" t="s">
        <v>118</v>
      </c>
      <c r="W245" t="s">
        <v>74</v>
      </c>
      <c r="X245">
        <v>5.4133113368719087E-2</v>
      </c>
      <c r="Y245" t="s">
        <v>68</v>
      </c>
    </row>
    <row r="246" spans="17:25" x14ac:dyDescent="0.25">
      <c r="Q246" t="s">
        <v>98</v>
      </c>
      <c r="R246" t="s">
        <v>75</v>
      </c>
      <c r="S246">
        <v>1.8596262976886158E-2</v>
      </c>
      <c r="T246" t="s">
        <v>68</v>
      </c>
      <c r="V246" t="s">
        <v>118</v>
      </c>
      <c r="W246" t="s">
        <v>75</v>
      </c>
      <c r="X246">
        <v>5.9743014472234263E-2</v>
      </c>
      <c r="Y246" t="s">
        <v>68</v>
      </c>
    </row>
    <row r="247" spans="17:25" x14ac:dyDescent="0.25">
      <c r="Q247" t="s">
        <v>98</v>
      </c>
      <c r="R247" t="s">
        <v>76</v>
      </c>
      <c r="S247">
        <v>4.0589213879002689E-2</v>
      </c>
      <c r="T247" t="s">
        <v>68</v>
      </c>
      <c r="V247" t="s">
        <v>118</v>
      </c>
      <c r="W247" t="s">
        <v>76</v>
      </c>
      <c r="X247">
        <v>9.1763535294169044E-3</v>
      </c>
      <c r="Y247" t="s">
        <v>68</v>
      </c>
    </row>
    <row r="248" spans="17:25" x14ac:dyDescent="0.25">
      <c r="Q248" t="s">
        <v>98</v>
      </c>
      <c r="R248" t="s">
        <v>77</v>
      </c>
      <c r="S248">
        <v>7.8038781570797314E-2</v>
      </c>
      <c r="T248" t="s">
        <v>68</v>
      </c>
      <c r="V248" t="s">
        <v>118</v>
      </c>
      <c r="W248" t="s">
        <v>77</v>
      </c>
      <c r="X248">
        <v>0.1630126889121338</v>
      </c>
      <c r="Y248" t="s">
        <v>68</v>
      </c>
    </row>
    <row r="249" spans="17:25" x14ac:dyDescent="0.25">
      <c r="Q249" t="s">
        <v>98</v>
      </c>
      <c r="R249" t="s">
        <v>78</v>
      </c>
      <c r="S249">
        <v>0</v>
      </c>
      <c r="T249" t="s">
        <v>68</v>
      </c>
      <c r="V249" t="s">
        <v>118</v>
      </c>
      <c r="W249" t="s">
        <v>78</v>
      </c>
      <c r="X249">
        <v>0.16716614740748062</v>
      </c>
      <c r="Y249" t="s">
        <v>68</v>
      </c>
    </row>
    <row r="250" spans="17:25" x14ac:dyDescent="0.25">
      <c r="Q250" t="s">
        <v>98</v>
      </c>
      <c r="R250" t="s">
        <v>79</v>
      </c>
      <c r="S250">
        <v>4.9277305922839352E-4</v>
      </c>
      <c r="T250" t="s">
        <v>68</v>
      </c>
      <c r="V250" t="s">
        <v>118</v>
      </c>
      <c r="W250" t="s">
        <v>79</v>
      </c>
      <c r="X250">
        <v>3.2236748150084538E-2</v>
      </c>
      <c r="Y250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BBD5-42CF-484A-9308-9FC084C2D893}">
  <dimension ref="B9:CF60"/>
  <sheetViews>
    <sheetView workbookViewId="0">
      <selection activeCell="L10" sqref="L10"/>
    </sheetView>
  </sheetViews>
  <sheetFormatPr defaultRowHeight="15" x14ac:dyDescent="0.25"/>
  <sheetData>
    <row r="9" spans="2:84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  <c r="V9" t="str">
        <f>IF(A11="x","DeActivated","~TFM_DINS-TSL: attribute=FLO_EMIS; other_indexes=ACT")</f>
        <v>~TFM_DINS-TSL: attribute=FLO_EMIS; other_indexes=ACT</v>
      </c>
      <c r="AK9" t="str">
        <f>IF(A11="x","DeActivated","~TFM_INS-TSL: attribute=FLO_SHAR; limtype=FX")</f>
        <v>~TFM_INS-TSL: attribute=FLO_SHAR; limtype=FX</v>
      </c>
      <c r="AZ9" t="str">
        <f>IF(A11="x","DeActivated","~TFM_INS-TSL: attribute=FLO_SHAR; limtype=FX")</f>
        <v>~TFM_INS-TSL: attribute=FLO_SHAR; limtype=FX</v>
      </c>
      <c r="BO9" t="str">
        <f>IF(A11="x","DeActivated","~TFM_DINS-TSL: attribute=NCAP_PKCNT")</f>
        <v>~TFM_DINS-TSL: attribute=NCAP_PKCNT</v>
      </c>
      <c r="CC9" t="str">
        <f>IF(A11="x","DeActivated","~TFM_DINS-AT")</f>
        <v>~TFM_DINS-AT</v>
      </c>
    </row>
    <row r="10" spans="2:84" x14ac:dyDescent="0.25">
      <c r="B10" t="s">
        <v>43</v>
      </c>
      <c r="C10" t="s">
        <v>40</v>
      </c>
      <c r="D10" t="s">
        <v>44</v>
      </c>
      <c r="F10" t="s">
        <v>43</v>
      </c>
      <c r="G10" t="s">
        <v>40</v>
      </c>
      <c r="H10" t="s">
        <v>44</v>
      </c>
      <c r="J10" t="s">
        <v>43</v>
      </c>
      <c r="K10" t="s">
        <v>40</v>
      </c>
      <c r="L10" t="s">
        <v>44</v>
      </c>
      <c r="N10" t="s">
        <v>43</v>
      </c>
      <c r="O10" t="s">
        <v>44</v>
      </c>
      <c r="Q10" t="s">
        <v>43</v>
      </c>
      <c r="R10" t="s">
        <v>40</v>
      </c>
      <c r="S10" t="s">
        <v>45</v>
      </c>
      <c r="T10" t="s">
        <v>46</v>
      </c>
      <c r="V10" t="s">
        <v>43</v>
      </c>
      <c r="W10" t="s">
        <v>40</v>
      </c>
      <c r="X10" t="s">
        <v>78</v>
      </c>
      <c r="Y10" t="s">
        <v>77</v>
      </c>
      <c r="Z10" t="s">
        <v>79</v>
      </c>
      <c r="AA10" t="s">
        <v>72</v>
      </c>
      <c r="AB10" t="s">
        <v>71</v>
      </c>
      <c r="AC10" t="s">
        <v>73</v>
      </c>
      <c r="AD10" t="s">
        <v>75</v>
      </c>
      <c r="AE10" t="s">
        <v>74</v>
      </c>
      <c r="AF10" t="s">
        <v>76</v>
      </c>
      <c r="AG10" t="s">
        <v>69</v>
      </c>
      <c r="AH10" t="s">
        <v>67</v>
      </c>
      <c r="AI10" t="s">
        <v>70</v>
      </c>
      <c r="AK10" t="s">
        <v>43</v>
      </c>
      <c r="AL10" t="s">
        <v>40</v>
      </c>
      <c r="AM10" t="s">
        <v>78</v>
      </c>
      <c r="AN10" t="s">
        <v>77</v>
      </c>
      <c r="AO10" t="s">
        <v>79</v>
      </c>
      <c r="AP10" t="s">
        <v>72</v>
      </c>
      <c r="AQ10" t="s">
        <v>71</v>
      </c>
      <c r="AR10" t="s">
        <v>73</v>
      </c>
      <c r="AS10" t="s">
        <v>75</v>
      </c>
      <c r="AT10" t="s">
        <v>74</v>
      </c>
      <c r="AU10" t="s">
        <v>76</v>
      </c>
      <c r="AV10" t="s">
        <v>69</v>
      </c>
      <c r="AW10" t="s">
        <v>67</v>
      </c>
      <c r="AX10" t="s">
        <v>70</v>
      </c>
      <c r="AZ10" t="s">
        <v>43</v>
      </c>
      <c r="BA10" t="s">
        <v>40</v>
      </c>
      <c r="BB10" t="s">
        <v>78</v>
      </c>
      <c r="BC10" t="s">
        <v>77</v>
      </c>
      <c r="BD10" t="s">
        <v>79</v>
      </c>
      <c r="BE10" t="s">
        <v>72</v>
      </c>
      <c r="BF10" t="s">
        <v>71</v>
      </c>
      <c r="BG10" t="s">
        <v>73</v>
      </c>
      <c r="BH10" t="s">
        <v>75</v>
      </c>
      <c r="BI10" t="s">
        <v>74</v>
      </c>
      <c r="BJ10" t="s">
        <v>76</v>
      </c>
      <c r="BK10" t="s">
        <v>69</v>
      </c>
      <c r="BL10" t="s">
        <v>67</v>
      </c>
      <c r="BM10" t="s">
        <v>70</v>
      </c>
      <c r="BO10" t="s">
        <v>43</v>
      </c>
      <c r="BP10" t="s">
        <v>78</v>
      </c>
      <c r="BQ10" t="s">
        <v>77</v>
      </c>
      <c r="BR10" t="s">
        <v>79</v>
      </c>
      <c r="BS10" t="s">
        <v>72</v>
      </c>
      <c r="BT10" t="s">
        <v>71</v>
      </c>
      <c r="BU10" t="s">
        <v>73</v>
      </c>
      <c r="BV10" t="s">
        <v>75</v>
      </c>
      <c r="BW10" t="s">
        <v>74</v>
      </c>
      <c r="BX10" t="s">
        <v>76</v>
      </c>
      <c r="BY10" t="s">
        <v>69</v>
      </c>
      <c r="BZ10" t="s">
        <v>67</v>
      </c>
      <c r="CA10" t="s">
        <v>70</v>
      </c>
      <c r="CC10" t="s">
        <v>43</v>
      </c>
      <c r="CD10" t="s">
        <v>40</v>
      </c>
      <c r="CE10" t="s">
        <v>45</v>
      </c>
      <c r="CF10" t="s">
        <v>46</v>
      </c>
    </row>
    <row r="11" spans="2:84" x14ac:dyDescent="0.25">
      <c r="V11" t="s">
        <v>129</v>
      </c>
      <c r="W11" t="s">
        <v>31</v>
      </c>
      <c r="X11">
        <v>0</v>
      </c>
      <c r="Y11">
        <v>0.44659254761409067</v>
      </c>
      <c r="Z11">
        <v>0.83253562620274646</v>
      </c>
      <c r="AA11">
        <v>0.90964993621615353</v>
      </c>
      <c r="AB11">
        <v>0.26912595265232392</v>
      </c>
      <c r="AC11">
        <v>0.29758670669424281</v>
      </c>
      <c r="AD11">
        <v>0.80553365566809598</v>
      </c>
      <c r="AE11">
        <v>0.18352841804327902</v>
      </c>
      <c r="AF11">
        <v>0.19465926986663803</v>
      </c>
      <c r="AG11">
        <v>0.99700299700299699</v>
      </c>
      <c r="AH11">
        <v>0.39792357383093774</v>
      </c>
      <c r="AI11">
        <v>0.62060676767866751</v>
      </c>
      <c r="AK11" t="s">
        <v>179</v>
      </c>
      <c r="AL11" t="s">
        <v>180</v>
      </c>
      <c r="AM11">
        <v>0</v>
      </c>
      <c r="AN11">
        <v>0.18603470572983191</v>
      </c>
      <c r="AO11">
        <v>0.11096649074515588</v>
      </c>
      <c r="AP11">
        <v>0.55400149544069022</v>
      </c>
      <c r="AQ11">
        <v>6.9592756262186944E-2</v>
      </c>
      <c r="AR11">
        <v>4.039791400074033E-3</v>
      </c>
      <c r="AS11">
        <v>0.39564789871782041</v>
      </c>
      <c r="AT11">
        <v>4.4482828147723023E-2</v>
      </c>
      <c r="AU11">
        <v>7.0161512523009345E-3</v>
      </c>
      <c r="AV11">
        <v>2.5294241502519299E-2</v>
      </c>
      <c r="AW11">
        <v>0.10543061129310441</v>
      </c>
      <c r="AX11">
        <v>2.4947132209796004E-2</v>
      </c>
      <c r="AZ11" t="s">
        <v>179</v>
      </c>
      <c r="BA11" t="s">
        <v>183</v>
      </c>
      <c r="BB11">
        <v>0</v>
      </c>
      <c r="BC11">
        <v>5.3027491378762753E-2</v>
      </c>
      <c r="BD11">
        <v>0.63683192410126965</v>
      </c>
      <c r="BE11">
        <v>0</v>
      </c>
      <c r="BF11">
        <v>4.4694582326353829E-2</v>
      </c>
      <c r="BG11">
        <v>6.4527725565039704E-2</v>
      </c>
      <c r="BH11">
        <v>5.0674311859617944E-3</v>
      </c>
      <c r="BI11">
        <v>2.5291722750098451E-2</v>
      </c>
      <c r="BJ11">
        <v>3.0457434562889511E-2</v>
      </c>
      <c r="BK11">
        <v>0</v>
      </c>
      <c r="BL11">
        <v>9.2624237360575748E-2</v>
      </c>
      <c r="BM11">
        <v>9.2772929000391621E-2</v>
      </c>
      <c r="BO11" t="s">
        <v>129</v>
      </c>
      <c r="BP11">
        <v>0</v>
      </c>
      <c r="BQ11">
        <v>9.3864262253460271E-2</v>
      </c>
      <c r="BR11">
        <v>8.918967591772152E-3</v>
      </c>
      <c r="BS11">
        <v>7.8354650065597751E-3</v>
      </c>
      <c r="BT11">
        <v>0.3350628262213175</v>
      </c>
      <c r="BU11">
        <v>0.19450789226473042</v>
      </c>
      <c r="BV11">
        <v>2.3928252685939941E-2</v>
      </c>
      <c r="BW11">
        <v>0.41381600808068447</v>
      </c>
      <c r="BX11">
        <v>0.29177103522657338</v>
      </c>
      <c r="BY11">
        <v>7.2922998108109364E-5</v>
      </c>
      <c r="BZ11">
        <v>0.18335676737226564</v>
      </c>
      <c r="CA11">
        <v>6.0699826148278284E-2</v>
      </c>
      <c r="CC11" t="s">
        <v>129</v>
      </c>
      <c r="CD11" t="s">
        <v>184</v>
      </c>
      <c r="CE11" t="s">
        <v>185</v>
      </c>
      <c r="CF11">
        <v>0.41324540199205212</v>
      </c>
    </row>
    <row r="12" spans="2:84" x14ac:dyDescent="0.25">
      <c r="V12" t="s">
        <v>130</v>
      </c>
      <c r="W12" t="s">
        <v>31</v>
      </c>
      <c r="X12">
        <v>0</v>
      </c>
      <c r="Y12">
        <v>0.40780344553628128</v>
      </c>
      <c r="Z12">
        <v>0.85048645449855997</v>
      </c>
      <c r="AA12">
        <v>0.91659243158250614</v>
      </c>
      <c r="AB12">
        <v>0.27222395887372292</v>
      </c>
      <c r="AC12">
        <v>0.31879465298946819</v>
      </c>
      <c r="AD12">
        <v>0.81079038306274565</v>
      </c>
      <c r="AE12">
        <v>0.18161320216873494</v>
      </c>
      <c r="AF12">
        <v>0.19734982965910056</v>
      </c>
      <c r="AG12">
        <v>0.99900099900099903</v>
      </c>
      <c r="AH12">
        <v>0.35915416112330184</v>
      </c>
      <c r="AI12">
        <v>0.64101986996416871</v>
      </c>
      <c r="AK12" t="s">
        <v>181</v>
      </c>
      <c r="AL12" t="s">
        <v>180</v>
      </c>
      <c r="AM12">
        <v>4.8125358925744941E-3</v>
      </c>
      <c r="AN12">
        <v>2.5195896310235433E-3</v>
      </c>
      <c r="AO12">
        <v>8.8323384943250951E-3</v>
      </c>
      <c r="AP12">
        <v>9.3772980389090488E-3</v>
      </c>
      <c r="AQ12">
        <v>8.2930425728576472E-3</v>
      </c>
      <c r="AR12">
        <v>1.4209430009853238E-2</v>
      </c>
      <c r="AS12">
        <v>2.2658819383809779E-2</v>
      </c>
      <c r="AT12">
        <v>9.1741191369875599E-3</v>
      </c>
      <c r="AU12">
        <v>9.406498652632626E-3</v>
      </c>
      <c r="AV12">
        <v>5.7294254208830392E-3</v>
      </c>
      <c r="AW12">
        <v>4.6235169572098273E-3</v>
      </c>
      <c r="AX12">
        <v>2.6616845981241072E-3</v>
      </c>
      <c r="AZ12" t="s">
        <v>181</v>
      </c>
      <c r="BA12" t="s">
        <v>183</v>
      </c>
      <c r="BB12">
        <v>1.5950576583261863E-2</v>
      </c>
      <c r="BC12">
        <v>1.5388455231628946E-2</v>
      </c>
      <c r="BD12">
        <v>7.5003247644492982E-3</v>
      </c>
      <c r="BE12">
        <v>2.4838319461521475E-2</v>
      </c>
      <c r="BF12">
        <v>1.7287252305977885E-2</v>
      </c>
      <c r="BG12">
        <v>2.5131474484017747E-2</v>
      </c>
      <c r="BH12">
        <v>4.2862708815784099E-2</v>
      </c>
      <c r="BI12">
        <v>1.5487662594783173E-2</v>
      </c>
      <c r="BJ12">
        <v>1.3843580207679805E-2</v>
      </c>
      <c r="BK12">
        <v>1.5192751205901781E-2</v>
      </c>
      <c r="BL12">
        <v>2.0727501127228012E-2</v>
      </c>
      <c r="BM12">
        <v>8.9269549342331934E-3</v>
      </c>
      <c r="BO12" t="s">
        <v>130</v>
      </c>
      <c r="BP12">
        <v>0</v>
      </c>
      <c r="BQ12">
        <v>0.11522660759881652</v>
      </c>
      <c r="BR12">
        <v>1.0121730979231847E-2</v>
      </c>
      <c r="BS12">
        <v>6.5977268543767785E-3</v>
      </c>
      <c r="BT12">
        <v>0.33814035034257678</v>
      </c>
      <c r="BU12">
        <v>0.19136519817174047</v>
      </c>
      <c r="BV12">
        <v>2.1593803042299728E-2</v>
      </c>
      <c r="BW12">
        <v>0.42400982597156461</v>
      </c>
      <c r="BX12">
        <v>0.28629111297749193</v>
      </c>
      <c r="BY12">
        <v>7.4568944354220151E-7</v>
      </c>
      <c r="BZ12">
        <v>0.20603217290161915</v>
      </c>
      <c r="CA12">
        <v>5.5848605343512492E-2</v>
      </c>
      <c r="CC12" t="s">
        <v>130</v>
      </c>
      <c r="CD12" t="s">
        <v>184</v>
      </c>
      <c r="CE12" t="s">
        <v>185</v>
      </c>
      <c r="CF12">
        <v>0.42228891935256591</v>
      </c>
    </row>
    <row r="13" spans="2:84" x14ac:dyDescent="0.25">
      <c r="V13" t="s">
        <v>131</v>
      </c>
      <c r="W13" t="s">
        <v>31</v>
      </c>
      <c r="X13">
        <v>0</v>
      </c>
      <c r="Y13">
        <v>0.42937604669733004</v>
      </c>
      <c r="Z13">
        <v>0.85434566469730377</v>
      </c>
      <c r="AA13">
        <v>0.91123963160459465</v>
      </c>
      <c r="AB13">
        <v>0.26521460777109018</v>
      </c>
      <c r="AC13">
        <v>0.31808602188429735</v>
      </c>
      <c r="AD13">
        <v>0.80741992512475802</v>
      </c>
      <c r="AE13">
        <v>0.17707838941015358</v>
      </c>
      <c r="AF13">
        <v>0.18058404384853396</v>
      </c>
      <c r="AG13">
        <v>0.99900099900099915</v>
      </c>
      <c r="AH13">
        <v>0.36159526185852675</v>
      </c>
      <c r="AI13">
        <v>0.65005969517714757</v>
      </c>
      <c r="AK13" t="s">
        <v>182</v>
      </c>
      <c r="AL13" t="s">
        <v>180</v>
      </c>
      <c r="AM13">
        <v>7.9127977088113543E-3</v>
      </c>
      <c r="AN13">
        <v>4.924480989624995E-3</v>
      </c>
      <c r="AO13">
        <v>1.087501122351126E-2</v>
      </c>
      <c r="AP13">
        <v>9.1775710927551775E-3</v>
      </c>
      <c r="AQ13">
        <v>1.0428624907339371E-2</v>
      </c>
      <c r="AR13">
        <v>2.2480041572122138E-3</v>
      </c>
      <c r="AS13">
        <v>1.5997040432129957E-2</v>
      </c>
      <c r="AT13">
        <v>1.6198664515112971E-2</v>
      </c>
      <c r="AU13">
        <v>1.3677720158062231E-2</v>
      </c>
      <c r="AV13">
        <v>7.3882557169969911E-3</v>
      </c>
      <c r="AW13">
        <v>7.8302929759224565E-3</v>
      </c>
      <c r="AX13">
        <v>2.9991904671132635E-3</v>
      </c>
      <c r="AZ13" t="s">
        <v>182</v>
      </c>
      <c r="BA13" t="s">
        <v>183</v>
      </c>
      <c r="BB13">
        <v>1.3176106746221741E-2</v>
      </c>
      <c r="BC13">
        <v>1.9278661603686957E-2</v>
      </c>
      <c r="BD13">
        <v>5.4924350401468801E-3</v>
      </c>
      <c r="BE13">
        <v>2.2148095935958151E-2</v>
      </c>
      <c r="BF13">
        <v>1.7934351516206332E-2</v>
      </c>
      <c r="BG13">
        <v>1.9481658740433186E-2</v>
      </c>
      <c r="BH13">
        <v>3.4753278872187279E-2</v>
      </c>
      <c r="BI13">
        <v>3.7493346308243129E-2</v>
      </c>
      <c r="BJ13">
        <v>4.7398196783529287E-2</v>
      </c>
      <c r="BK13">
        <v>1.225179453607031E-2</v>
      </c>
      <c r="BL13">
        <v>1.8963568388846871E-2</v>
      </c>
      <c r="BM13">
        <v>1.9927169978854999E-2</v>
      </c>
      <c r="BO13" t="s">
        <v>131</v>
      </c>
      <c r="BP13">
        <v>0</v>
      </c>
      <c r="BQ13">
        <v>9.8428112009481664E-2</v>
      </c>
      <c r="BR13">
        <v>6.8615314390275007E-3</v>
      </c>
      <c r="BS13">
        <v>7.752866530524127E-3</v>
      </c>
      <c r="BT13">
        <v>0.33831364789138901</v>
      </c>
      <c r="BU13">
        <v>0.1935304607466973</v>
      </c>
      <c r="BV13">
        <v>2.3048696004239259E-2</v>
      </c>
      <c r="BW13">
        <v>0.42039619137205286</v>
      </c>
      <c r="BX13">
        <v>0.29023924443240429</v>
      </c>
      <c r="BY13">
        <v>2.513153445293851E-5</v>
      </c>
      <c r="BZ13">
        <v>0.19537815098554706</v>
      </c>
      <c r="CA13">
        <v>5.1810024511961927E-2</v>
      </c>
      <c r="CC13" t="s">
        <v>131</v>
      </c>
      <c r="CD13" t="s">
        <v>184</v>
      </c>
      <c r="CE13" t="s">
        <v>185</v>
      </c>
      <c r="CF13">
        <v>0.41991118535182487</v>
      </c>
    </row>
    <row r="14" spans="2:84" x14ac:dyDescent="0.25">
      <c r="V14" t="s">
        <v>132</v>
      </c>
      <c r="W14" t="s">
        <v>31</v>
      </c>
      <c r="X14">
        <v>0</v>
      </c>
      <c r="Y14">
        <v>0.46703802934014038</v>
      </c>
      <c r="Z14">
        <v>0.85418811539997386</v>
      </c>
      <c r="AA14">
        <v>0.90506459976118703</v>
      </c>
      <c r="AB14">
        <v>0.25123180377378929</v>
      </c>
      <c r="AC14">
        <v>0.3093715080736128</v>
      </c>
      <c r="AD14">
        <v>0.80519977050544056</v>
      </c>
      <c r="AE14">
        <v>0.17938355394767605</v>
      </c>
      <c r="AF14">
        <v>0.1992239230334317</v>
      </c>
      <c r="AG14">
        <v>0.99700299700299733</v>
      </c>
      <c r="AH14">
        <v>0.41603619903460703</v>
      </c>
      <c r="AI14">
        <v>0.64084176278607474</v>
      </c>
      <c r="BO14" t="s">
        <v>132</v>
      </c>
      <c r="BP14">
        <v>0</v>
      </c>
      <c r="BQ14">
        <v>8.2458207710938106E-2</v>
      </c>
      <c r="BR14">
        <v>8.2397228904744959E-3</v>
      </c>
      <c r="BS14">
        <v>8.0334648238012032E-3</v>
      </c>
      <c r="BT14">
        <v>0.36222373021873006</v>
      </c>
      <c r="BU14">
        <v>0.20104067205307044</v>
      </c>
      <c r="BV14">
        <v>2.6248221952279271E-2</v>
      </c>
      <c r="BW14">
        <v>0.42207847067567733</v>
      </c>
      <c r="BX14">
        <v>0.29949589414336286</v>
      </c>
      <c r="BY14">
        <v>1.0194188703223704E-4</v>
      </c>
      <c r="BZ14">
        <v>0.17533642555410031</v>
      </c>
      <c r="CA14">
        <v>5.7152776185997137E-2</v>
      </c>
      <c r="CC14" t="s">
        <v>132</v>
      </c>
      <c r="CD14" t="s">
        <v>184</v>
      </c>
      <c r="CE14" t="s">
        <v>185</v>
      </c>
      <c r="CF14">
        <v>0.42201005145045095</v>
      </c>
    </row>
    <row r="15" spans="2:84" x14ac:dyDescent="0.25">
      <c r="V15" t="s">
        <v>133</v>
      </c>
      <c r="W15" t="s">
        <v>31</v>
      </c>
      <c r="X15">
        <v>0</v>
      </c>
      <c r="Y15">
        <v>0.46682484386149087</v>
      </c>
      <c r="Z15">
        <v>0.86068015605209935</v>
      </c>
      <c r="AA15">
        <v>0.90625704501568283</v>
      </c>
      <c r="AB15">
        <v>0.24753688145448408</v>
      </c>
      <c r="AC15">
        <v>0.31476331969178178</v>
      </c>
      <c r="AD15">
        <v>0.79385462577139521</v>
      </c>
      <c r="AE15">
        <v>0.16823653817213824</v>
      </c>
      <c r="AF15">
        <v>0.18619402019252904</v>
      </c>
      <c r="AG15">
        <v>0.99800199800199785</v>
      </c>
      <c r="AH15">
        <v>0.39712397090840468</v>
      </c>
      <c r="AI15">
        <v>0.65520060499251709</v>
      </c>
      <c r="BO15" t="s">
        <v>133</v>
      </c>
      <c r="BP15">
        <v>0</v>
      </c>
      <c r="BQ15">
        <v>8.1201974029871116E-2</v>
      </c>
      <c r="BR15">
        <v>6.2912316726919833E-3</v>
      </c>
      <c r="BS15">
        <v>8.3014084394540978E-3</v>
      </c>
      <c r="BT15">
        <v>0.37039768587381877</v>
      </c>
      <c r="BU15">
        <v>0.20411729060934469</v>
      </c>
      <c r="BV15">
        <v>2.645012346764973E-2</v>
      </c>
      <c r="BW15">
        <v>0.42458987923717778</v>
      </c>
      <c r="BX15">
        <v>0.29272056400751645</v>
      </c>
      <c r="BY15">
        <v>6.6416685944803165E-5</v>
      </c>
      <c r="BZ15">
        <v>0.18401514499848065</v>
      </c>
      <c r="CA15">
        <v>5.0153077613874449E-2</v>
      </c>
      <c r="CC15" t="s">
        <v>133</v>
      </c>
      <c r="CD15" t="s">
        <v>184</v>
      </c>
      <c r="CE15" t="s">
        <v>185</v>
      </c>
      <c r="CF15">
        <v>0.42372751412448756</v>
      </c>
    </row>
    <row r="16" spans="2:84" x14ac:dyDescent="0.25">
      <c r="V16" t="s">
        <v>134</v>
      </c>
      <c r="W16" t="s">
        <v>31</v>
      </c>
      <c r="X16">
        <v>0</v>
      </c>
      <c r="Y16">
        <v>0.46656454706588402</v>
      </c>
      <c r="Z16">
        <v>0.91672231599239751</v>
      </c>
      <c r="AA16">
        <v>0.90975146334641388</v>
      </c>
      <c r="AB16">
        <v>0.22080922754327598</v>
      </c>
      <c r="AC16">
        <v>0.33229260950124578</v>
      </c>
      <c r="AD16">
        <v>0.77004832376351495</v>
      </c>
      <c r="AE16">
        <v>0.16205228426070953</v>
      </c>
      <c r="AF16">
        <v>0.18825448883626622</v>
      </c>
      <c r="AG16">
        <v>0</v>
      </c>
      <c r="AH16">
        <v>0.40018786562773362</v>
      </c>
      <c r="AI16">
        <v>0.7272678182330985</v>
      </c>
      <c r="BO16" t="s">
        <v>134</v>
      </c>
      <c r="BP16">
        <v>0</v>
      </c>
      <c r="BQ16">
        <v>8.0036901649846198E-2</v>
      </c>
      <c r="BR16">
        <v>4.3116690800404037E-3</v>
      </c>
      <c r="BS16">
        <v>8.5647685930131286E-3</v>
      </c>
      <c r="BT16">
        <v>0.40500660719008608</v>
      </c>
      <c r="BU16">
        <v>0.20531238564270432</v>
      </c>
      <c r="BV16">
        <v>2.6476169628911018E-2</v>
      </c>
      <c r="BW16">
        <v>0.42447118728927258</v>
      </c>
      <c r="BX16">
        <v>0.28289718569552991</v>
      </c>
      <c r="BY16">
        <v>0</v>
      </c>
      <c r="BZ16">
        <v>0.17397325541518582</v>
      </c>
      <c r="CA16">
        <v>4.4319868993194081E-2</v>
      </c>
      <c r="CC16" t="s">
        <v>134</v>
      </c>
      <c r="CD16" t="s">
        <v>184</v>
      </c>
      <c r="CE16" t="s">
        <v>185</v>
      </c>
      <c r="CF16">
        <v>0.41790948939142419</v>
      </c>
    </row>
    <row r="17" spans="22:84" x14ac:dyDescent="0.25">
      <c r="V17" t="s">
        <v>135</v>
      </c>
      <c r="W17" t="s">
        <v>31</v>
      </c>
      <c r="X17">
        <v>0</v>
      </c>
      <c r="Y17">
        <v>0.48845538245298692</v>
      </c>
      <c r="Z17">
        <v>0.88090305718926565</v>
      </c>
      <c r="AA17">
        <v>0.90078895411982129</v>
      </c>
      <c r="AB17">
        <v>0.22083548841694056</v>
      </c>
      <c r="AC17">
        <v>0.28146396430965986</v>
      </c>
      <c r="AD17">
        <v>0.7898250390608138</v>
      </c>
      <c r="AE17">
        <v>0.16665247448540038</v>
      </c>
      <c r="AF17">
        <v>0.17942522580014128</v>
      </c>
      <c r="AG17">
        <v>0.99700299700299722</v>
      </c>
      <c r="AH17">
        <v>0.40404671188922214</v>
      </c>
      <c r="AI17">
        <v>0.66930727947822766</v>
      </c>
      <c r="BO17" t="s">
        <v>135</v>
      </c>
      <c r="BP17">
        <v>0</v>
      </c>
      <c r="BQ17">
        <v>8.0128159842890928E-2</v>
      </c>
      <c r="BR17">
        <v>8.0583936047946315E-3</v>
      </c>
      <c r="BS17">
        <v>1.0637088736938196E-2</v>
      </c>
      <c r="BT17">
        <v>0.40722495962813132</v>
      </c>
      <c r="BU17">
        <v>0.25018414720624838</v>
      </c>
      <c r="BV17">
        <v>3.0204215862639477E-2</v>
      </c>
      <c r="BW17">
        <v>0.4236364927381655</v>
      </c>
      <c r="BX17">
        <v>0.33270474013478513</v>
      </c>
      <c r="BY17">
        <v>6.4484369311561097E-5</v>
      </c>
      <c r="BZ17">
        <v>0.18514354032333349</v>
      </c>
      <c r="CA17">
        <v>6.1263043413865445E-2</v>
      </c>
      <c r="CC17" t="s">
        <v>135</v>
      </c>
      <c r="CD17" t="s">
        <v>184</v>
      </c>
      <c r="CE17" t="s">
        <v>185</v>
      </c>
      <c r="CF17">
        <v>0.42255848041020749</v>
      </c>
    </row>
    <row r="18" spans="22:84" x14ac:dyDescent="0.25">
      <c r="V18" t="s">
        <v>136</v>
      </c>
      <c r="W18" t="s">
        <v>31</v>
      </c>
      <c r="X18">
        <v>0</v>
      </c>
      <c r="Y18">
        <v>0.47535328598594973</v>
      </c>
      <c r="Z18">
        <v>0.89493823712156328</v>
      </c>
      <c r="AA18">
        <v>0.90999393594950861</v>
      </c>
      <c r="AB18">
        <v>0.21622147773995826</v>
      </c>
      <c r="AC18">
        <v>0.31260618354452258</v>
      </c>
      <c r="AD18">
        <v>0.78086276936053911</v>
      </c>
      <c r="AE18">
        <v>0.16642122430646825</v>
      </c>
      <c r="AF18">
        <v>0.19293704595504091</v>
      </c>
      <c r="AG18">
        <v>0</v>
      </c>
      <c r="AH18">
        <v>0.39804991979756105</v>
      </c>
      <c r="AI18">
        <v>0.70074221378843538</v>
      </c>
      <c r="BO18" t="s">
        <v>136</v>
      </c>
      <c r="BP18">
        <v>0</v>
      </c>
      <c r="BQ18">
        <v>8.4899274523521528E-2</v>
      </c>
      <c r="BR18">
        <v>5.3770473219895499E-3</v>
      </c>
      <c r="BS18">
        <v>8.8866087219533017E-3</v>
      </c>
      <c r="BT18">
        <v>0.41606233793617609</v>
      </c>
      <c r="BU18">
        <v>0.22086237611421658</v>
      </c>
      <c r="BV18">
        <v>2.620009170696954E-2</v>
      </c>
      <c r="BW18">
        <v>0.42018340064165738</v>
      </c>
      <c r="BX18">
        <v>0.28700575336803608</v>
      </c>
      <c r="BY18">
        <v>0</v>
      </c>
      <c r="BZ18">
        <v>0.18530996750182291</v>
      </c>
      <c r="CA18">
        <v>5.1282718527089134E-2</v>
      </c>
      <c r="CC18" t="s">
        <v>136</v>
      </c>
      <c r="CD18" t="s">
        <v>184</v>
      </c>
      <c r="CE18" t="s">
        <v>185</v>
      </c>
      <c r="CF18">
        <v>0.4166276009604864</v>
      </c>
    </row>
    <row r="19" spans="22:84" x14ac:dyDescent="0.25">
      <c r="V19" t="s">
        <v>137</v>
      </c>
      <c r="W19" t="s">
        <v>31</v>
      </c>
      <c r="X19">
        <v>0</v>
      </c>
      <c r="Y19">
        <v>0.44847629655015014</v>
      </c>
      <c r="Z19">
        <v>0.92745832347017032</v>
      </c>
      <c r="AA19">
        <v>0.92153685516055694</v>
      </c>
      <c r="AB19">
        <v>0.24893743405684865</v>
      </c>
      <c r="AC19">
        <v>0.37671777950211799</v>
      </c>
      <c r="AD19">
        <v>0.77719049005442986</v>
      </c>
      <c r="AE19">
        <v>0.15227839958962344</v>
      </c>
      <c r="AF19">
        <v>0.18782666278167587</v>
      </c>
      <c r="AG19">
        <v>0</v>
      </c>
      <c r="AH19">
        <v>0.38420504848748266</v>
      </c>
      <c r="AI19">
        <v>0.75837349223772954</v>
      </c>
      <c r="BO19" t="s">
        <v>137</v>
      </c>
      <c r="BP19">
        <v>0</v>
      </c>
      <c r="BQ19">
        <v>9.6701668148376302E-2</v>
      </c>
      <c r="BR19">
        <v>4.5331915322637077E-3</v>
      </c>
      <c r="BS19">
        <v>8.5636379678436757E-3</v>
      </c>
      <c r="BT19">
        <v>0.38425660006232681</v>
      </c>
      <c r="BU19">
        <v>0.17398900324417332</v>
      </c>
      <c r="BV19">
        <v>2.4839587949437969E-2</v>
      </c>
      <c r="BW19">
        <v>0.43035025399306931</v>
      </c>
      <c r="BX19">
        <v>0.25870633147112959</v>
      </c>
      <c r="BY19">
        <v>0</v>
      </c>
      <c r="BZ19">
        <v>0.17936375838911936</v>
      </c>
      <c r="CA19">
        <v>3.9487223885110251E-2</v>
      </c>
      <c r="CC19" t="s">
        <v>137</v>
      </c>
      <c r="CD19" t="s">
        <v>184</v>
      </c>
      <c r="CE19" t="s">
        <v>185</v>
      </c>
      <c r="CF19">
        <v>0.42138388644960695</v>
      </c>
    </row>
    <row r="20" spans="22:84" x14ac:dyDescent="0.25">
      <c r="V20" t="s">
        <v>138</v>
      </c>
      <c r="W20" t="s">
        <v>31</v>
      </c>
      <c r="X20">
        <v>0</v>
      </c>
      <c r="Y20">
        <v>0.48020565523617614</v>
      </c>
      <c r="Z20">
        <v>0.93583465834370039</v>
      </c>
      <c r="AA20">
        <v>0.90844009134451231</v>
      </c>
      <c r="AB20">
        <v>0.22127990863884578</v>
      </c>
      <c r="AC20">
        <v>0.35627352619994795</v>
      </c>
      <c r="AD20">
        <v>0.76493729354820494</v>
      </c>
      <c r="AE20">
        <v>0.16442606327633461</v>
      </c>
      <c r="AF20">
        <v>0.1880215482254996</v>
      </c>
      <c r="AG20">
        <v>0</v>
      </c>
      <c r="AH20">
        <v>0.44098788256653465</v>
      </c>
      <c r="AI20">
        <v>0.76935908208623083</v>
      </c>
      <c r="BO20" t="s">
        <v>138</v>
      </c>
      <c r="BP20">
        <v>0</v>
      </c>
      <c r="BQ20">
        <v>8.0873818406126091E-2</v>
      </c>
      <c r="BR20">
        <v>4.2722770313258366E-3</v>
      </c>
      <c r="BS20">
        <v>9.7595936698888896E-3</v>
      </c>
      <c r="BT20">
        <v>0.40731617646953089</v>
      </c>
      <c r="BU20">
        <v>0.19148256503510877</v>
      </c>
      <c r="BV20">
        <v>2.7318939852886175E-2</v>
      </c>
      <c r="BW20">
        <v>0.41709294934556573</v>
      </c>
      <c r="BX20">
        <v>0.27222182457646932</v>
      </c>
      <c r="BY20">
        <v>0</v>
      </c>
      <c r="BZ20">
        <v>0.15701509445211012</v>
      </c>
      <c r="CA20">
        <v>3.8956483467496757E-2</v>
      </c>
      <c r="CC20" t="s">
        <v>138</v>
      </c>
      <c r="CD20" t="s">
        <v>184</v>
      </c>
      <c r="CE20" t="s">
        <v>185</v>
      </c>
      <c r="CF20">
        <v>0.40964298189946224</v>
      </c>
    </row>
    <row r="21" spans="22:84" x14ac:dyDescent="0.25">
      <c r="V21" t="s">
        <v>139</v>
      </c>
      <c r="W21" t="s">
        <v>31</v>
      </c>
      <c r="X21">
        <v>0</v>
      </c>
      <c r="Y21">
        <v>0.46434822074651882</v>
      </c>
      <c r="Z21">
        <v>0.93666007643469551</v>
      </c>
      <c r="AA21">
        <v>0.90696858993387852</v>
      </c>
      <c r="AB21">
        <v>0.23315814968040682</v>
      </c>
      <c r="AC21">
        <v>0.36414781465496199</v>
      </c>
      <c r="AD21">
        <v>0.76245777380837987</v>
      </c>
      <c r="AE21">
        <v>0.15246338508217158</v>
      </c>
      <c r="AF21">
        <v>0.18484473367274992</v>
      </c>
      <c r="AG21">
        <v>0</v>
      </c>
      <c r="AH21">
        <v>0.41757886329935867</v>
      </c>
      <c r="AI21">
        <v>0.75606187053512797</v>
      </c>
      <c r="BO21" t="s">
        <v>139</v>
      </c>
      <c r="BP21">
        <v>0</v>
      </c>
      <c r="BQ21">
        <v>8.7033028419416222E-2</v>
      </c>
      <c r="BR21">
        <v>4.8500927935503863E-3</v>
      </c>
      <c r="BS21">
        <v>8.8659386119832699E-3</v>
      </c>
      <c r="BT21">
        <v>0.39683323062931086</v>
      </c>
      <c r="BU21">
        <v>0.17752573576803704</v>
      </c>
      <c r="BV21">
        <v>2.6537389454726588E-2</v>
      </c>
      <c r="BW21">
        <v>0.42710154077685952</v>
      </c>
      <c r="BX21">
        <v>0.26330803496149352</v>
      </c>
      <c r="BY21">
        <v>0</v>
      </c>
      <c r="BZ21">
        <v>0.16721928480594808</v>
      </c>
      <c r="CA21">
        <v>3.9730025354388729E-2</v>
      </c>
      <c r="CC21" t="s">
        <v>139</v>
      </c>
      <c r="CD21" t="s">
        <v>184</v>
      </c>
      <c r="CE21" t="s">
        <v>185</v>
      </c>
      <c r="CF21">
        <v>0.4117543932160565</v>
      </c>
    </row>
    <row r="22" spans="22:84" x14ac:dyDescent="0.25">
      <c r="V22" t="s">
        <v>140</v>
      </c>
      <c r="W22" t="s">
        <v>31</v>
      </c>
      <c r="X22">
        <v>0</v>
      </c>
      <c r="Y22">
        <v>0.42472467371147898</v>
      </c>
      <c r="Z22">
        <v>0.90703919412922362</v>
      </c>
      <c r="AA22">
        <v>0.92975104688201415</v>
      </c>
      <c r="AB22">
        <v>0.26455401326647765</v>
      </c>
      <c r="AC22">
        <v>0.3860892357919018</v>
      </c>
      <c r="AD22">
        <v>0.84387642547914676</v>
      </c>
      <c r="AE22">
        <v>0.17402148762612174</v>
      </c>
      <c r="AF22">
        <v>0.21494336529617294</v>
      </c>
      <c r="AG22">
        <v>0</v>
      </c>
      <c r="AH22">
        <v>0.33665489886221162</v>
      </c>
      <c r="AI22">
        <v>0.71454143535217129</v>
      </c>
      <c r="BO22" t="s">
        <v>140</v>
      </c>
      <c r="BP22">
        <v>0</v>
      </c>
      <c r="BQ22">
        <v>0.12983790424846278</v>
      </c>
      <c r="BR22">
        <v>6.8540230601360878E-3</v>
      </c>
      <c r="BS22">
        <v>5.8816441988226182E-3</v>
      </c>
      <c r="BT22">
        <v>0.36459052293173222</v>
      </c>
      <c r="BU22">
        <v>0.16210615886751228</v>
      </c>
      <c r="BV22">
        <v>1.7360164419035422E-2</v>
      </c>
      <c r="BW22">
        <v>0.42489021781959285</v>
      </c>
      <c r="BX22">
        <v>0.24928052626350147</v>
      </c>
      <c r="BY22">
        <v>0</v>
      </c>
      <c r="BZ22">
        <v>0.22213160014619743</v>
      </c>
      <c r="CA22">
        <v>4.535899368284884E-2</v>
      </c>
      <c r="CC22" t="s">
        <v>140</v>
      </c>
      <c r="CD22" t="s">
        <v>184</v>
      </c>
      <c r="CE22" t="s">
        <v>185</v>
      </c>
      <c r="CF22">
        <v>0.42169414629867957</v>
      </c>
    </row>
    <row r="23" spans="22:84" x14ac:dyDescent="0.25">
      <c r="V23" t="s">
        <v>141</v>
      </c>
      <c r="W23" t="s">
        <v>31</v>
      </c>
      <c r="X23">
        <v>0</v>
      </c>
      <c r="Y23">
        <v>0.43648853097071449</v>
      </c>
      <c r="Z23">
        <v>0.91710977107775404</v>
      </c>
      <c r="AA23">
        <v>0.92445624499083934</v>
      </c>
      <c r="AB23">
        <v>0.2496926149871605</v>
      </c>
      <c r="AC23">
        <v>0.36401476964365598</v>
      </c>
      <c r="AD23">
        <v>0.81050727327964323</v>
      </c>
      <c r="AE23">
        <v>0.1538246259832548</v>
      </c>
      <c r="AF23">
        <v>0.197105967162192</v>
      </c>
      <c r="AG23">
        <v>0</v>
      </c>
      <c r="AH23">
        <v>0.33888032645576305</v>
      </c>
      <c r="AI23">
        <v>0.72891977242149775</v>
      </c>
      <c r="BO23" t="s">
        <v>141</v>
      </c>
      <c r="BP23">
        <v>0</v>
      </c>
      <c r="BQ23">
        <v>0.11375010612182933</v>
      </c>
      <c r="BR23">
        <v>4.0760413669756138E-3</v>
      </c>
      <c r="BS23">
        <v>6.9699594539926772E-3</v>
      </c>
      <c r="BT23">
        <v>0.37768091639973528</v>
      </c>
      <c r="BU23">
        <v>0.16752103613462016</v>
      </c>
      <c r="BV23">
        <v>1.9297839680365178E-2</v>
      </c>
      <c r="BW23">
        <v>0.43391729770131443</v>
      </c>
      <c r="BX23">
        <v>0.24668384831597337</v>
      </c>
      <c r="BY23">
        <v>0</v>
      </c>
      <c r="BZ23">
        <v>0.20716092018479215</v>
      </c>
      <c r="CA23">
        <v>3.7905088282602084E-2</v>
      </c>
      <c r="CC23" t="s">
        <v>141</v>
      </c>
      <c r="CD23" t="s">
        <v>184</v>
      </c>
      <c r="CE23" t="s">
        <v>185</v>
      </c>
      <c r="CF23">
        <v>0.42500693504384135</v>
      </c>
    </row>
    <row r="24" spans="22:84" x14ac:dyDescent="0.25">
      <c r="V24" t="s">
        <v>142</v>
      </c>
      <c r="W24" t="s">
        <v>31</v>
      </c>
      <c r="X24">
        <v>0</v>
      </c>
      <c r="Y24">
        <v>0.41418344610669183</v>
      </c>
      <c r="Z24">
        <v>0.87693496091072964</v>
      </c>
      <c r="AA24">
        <v>0.93194294114298515</v>
      </c>
      <c r="AB24">
        <v>0.25824224947653091</v>
      </c>
      <c r="AC24">
        <v>0.34500444395937285</v>
      </c>
      <c r="AD24">
        <v>0.82218628159456375</v>
      </c>
      <c r="AE24">
        <v>0.18253715792059461</v>
      </c>
      <c r="AF24">
        <v>0.20319558724035924</v>
      </c>
      <c r="AG24">
        <v>0</v>
      </c>
      <c r="AH24">
        <v>0.33960244040182691</v>
      </c>
      <c r="AI24">
        <v>0.67573875750608237</v>
      </c>
      <c r="BO24" t="s">
        <v>142</v>
      </c>
      <c r="BP24">
        <v>0</v>
      </c>
      <c r="BQ24">
        <v>0.13147190424524655</v>
      </c>
      <c r="BR24">
        <v>9.466827891007704E-3</v>
      </c>
      <c r="BS24">
        <v>5.5405261511013836E-3</v>
      </c>
      <c r="BT24">
        <v>0.34991626062901027</v>
      </c>
      <c r="BU24">
        <v>0.17892312731820847</v>
      </c>
      <c r="BV24">
        <v>1.8277787422143751E-2</v>
      </c>
      <c r="BW24">
        <v>0.41764775913515695</v>
      </c>
      <c r="BX24">
        <v>0.25388991945155753</v>
      </c>
      <c r="BY24">
        <v>0</v>
      </c>
      <c r="BZ24">
        <v>0.22064408913885186</v>
      </c>
      <c r="CA24">
        <v>5.3593808385929878E-2</v>
      </c>
      <c r="CC24" t="s">
        <v>142</v>
      </c>
      <c r="CD24" t="s">
        <v>184</v>
      </c>
      <c r="CE24" t="s">
        <v>185</v>
      </c>
      <c r="CF24">
        <v>0.41645945681912921</v>
      </c>
    </row>
    <row r="25" spans="22:84" x14ac:dyDescent="0.25">
      <c r="V25" t="s">
        <v>143</v>
      </c>
      <c r="W25" t="s">
        <v>31</v>
      </c>
      <c r="X25">
        <v>0</v>
      </c>
      <c r="Y25">
        <v>0.41187594817647777</v>
      </c>
      <c r="Z25">
        <v>0.86511782878958121</v>
      </c>
      <c r="AA25">
        <v>0.92479590009356549</v>
      </c>
      <c r="AB25">
        <v>0.27314366764322184</v>
      </c>
      <c r="AC25">
        <v>0.33559076576714186</v>
      </c>
      <c r="AD25">
        <v>0.81258824612092817</v>
      </c>
      <c r="AE25">
        <v>0.1746810290670637</v>
      </c>
      <c r="AF25">
        <v>0.19754555317791533</v>
      </c>
      <c r="AG25">
        <v>0</v>
      </c>
      <c r="AH25">
        <v>0.34380995308826501</v>
      </c>
      <c r="AI25">
        <v>0.65399969741044717</v>
      </c>
      <c r="BO25" t="s">
        <v>143</v>
      </c>
      <c r="BP25">
        <v>0</v>
      </c>
      <c r="BQ25">
        <v>0.11450004475438907</v>
      </c>
      <c r="BR25">
        <v>7.5468109230070095E-3</v>
      </c>
      <c r="BS25">
        <v>6.1196890271566183E-3</v>
      </c>
      <c r="BT25">
        <v>0.34257844929532977</v>
      </c>
      <c r="BU25">
        <v>0.18185720153991533</v>
      </c>
      <c r="BV25">
        <v>2.0160071651846356E-2</v>
      </c>
      <c r="BW25">
        <v>0.42380105381963362</v>
      </c>
      <c r="BX25">
        <v>0.27290052251020275</v>
      </c>
      <c r="BY25">
        <v>0</v>
      </c>
      <c r="BZ25">
        <v>0.21457119371592093</v>
      </c>
      <c r="CA25">
        <v>5.5406114479981651E-2</v>
      </c>
      <c r="CC25" t="s">
        <v>143</v>
      </c>
      <c r="CD25" t="s">
        <v>184</v>
      </c>
      <c r="CE25" t="s">
        <v>185</v>
      </c>
      <c r="CF25">
        <v>0.42066107331382491</v>
      </c>
    </row>
    <row r="26" spans="22:84" x14ac:dyDescent="0.25">
      <c r="V26" t="s">
        <v>144</v>
      </c>
      <c r="W26" t="s">
        <v>31</v>
      </c>
      <c r="X26">
        <v>0</v>
      </c>
      <c r="Y26">
        <v>0.44439860058725028</v>
      </c>
      <c r="Z26">
        <v>0.87528640257629742</v>
      </c>
      <c r="AA26">
        <v>0.91821381893716492</v>
      </c>
      <c r="AB26">
        <v>0.26125410254073472</v>
      </c>
      <c r="AC26">
        <v>0.3248226851409225</v>
      </c>
      <c r="AD26">
        <v>0.80549866261460268</v>
      </c>
      <c r="AE26">
        <v>0.16488266098572538</v>
      </c>
      <c r="AF26">
        <v>0.1851037431634755</v>
      </c>
      <c r="AG26">
        <v>0</v>
      </c>
      <c r="AH26">
        <v>0.36437796605611966</v>
      </c>
      <c r="AI26">
        <v>0.67293756394940352</v>
      </c>
      <c r="BO26" t="s">
        <v>144</v>
      </c>
      <c r="BP26">
        <v>0</v>
      </c>
      <c r="BQ26">
        <v>9.1269801405727435E-2</v>
      </c>
      <c r="BR26">
        <v>4.4527316761514522E-3</v>
      </c>
      <c r="BS26">
        <v>7.4089644349401252E-3</v>
      </c>
      <c r="BT26">
        <v>0.35669244579756121</v>
      </c>
      <c r="BU26">
        <v>0.18466022026733384</v>
      </c>
      <c r="BV26">
        <v>2.3367480505385761E-2</v>
      </c>
      <c r="BW26">
        <v>0.42777441032746422</v>
      </c>
      <c r="BX26">
        <v>0.28116972995917677</v>
      </c>
      <c r="BY26">
        <v>0</v>
      </c>
      <c r="BZ26">
        <v>0.19959616956102452</v>
      </c>
      <c r="CA26">
        <v>5.0147779007754335E-2</v>
      </c>
      <c r="CC26" t="s">
        <v>144</v>
      </c>
      <c r="CD26" t="s">
        <v>184</v>
      </c>
      <c r="CE26" t="s">
        <v>185</v>
      </c>
      <c r="CF26">
        <v>0.42673680784630857</v>
      </c>
    </row>
    <row r="27" spans="22:84" x14ac:dyDescent="0.25">
      <c r="V27" t="s">
        <v>145</v>
      </c>
      <c r="W27" t="s">
        <v>31</v>
      </c>
      <c r="X27">
        <v>0</v>
      </c>
      <c r="Y27">
        <v>0.46771716849640821</v>
      </c>
      <c r="Z27">
        <v>0.87785880879891554</v>
      </c>
      <c r="AA27">
        <v>0.91710954738439621</v>
      </c>
      <c r="AB27">
        <v>0.24978613090880608</v>
      </c>
      <c r="AC27">
        <v>0.32914054287021688</v>
      </c>
      <c r="AD27">
        <v>0.79613608363440203</v>
      </c>
      <c r="AE27">
        <v>0.16386657598701865</v>
      </c>
      <c r="AF27">
        <v>0.1776655416914121</v>
      </c>
      <c r="AG27">
        <v>0</v>
      </c>
      <c r="AH27">
        <v>0.38283821612492552</v>
      </c>
      <c r="AI27">
        <v>0.69715991439061353</v>
      </c>
      <c r="BO27" t="s">
        <v>145</v>
      </c>
      <c r="BP27">
        <v>0</v>
      </c>
      <c r="BQ27">
        <v>8.5170627901692483E-2</v>
      </c>
      <c r="BR27">
        <v>4.5665244289374652E-3</v>
      </c>
      <c r="BS27">
        <v>7.8888029673314253E-3</v>
      </c>
      <c r="BT27">
        <v>0.3743175051317999</v>
      </c>
      <c r="BU27">
        <v>0.18982296637905466</v>
      </c>
      <c r="BV27">
        <v>2.4660494887933249E-2</v>
      </c>
      <c r="BW27">
        <v>0.42473410897754565</v>
      </c>
      <c r="BX27">
        <v>0.28070239118642665</v>
      </c>
      <c r="BY27">
        <v>0</v>
      </c>
      <c r="BZ27">
        <v>0.18897519372812399</v>
      </c>
      <c r="CA27">
        <v>5.0909197524253741E-2</v>
      </c>
      <c r="CC27" t="s">
        <v>145</v>
      </c>
      <c r="CD27" t="s">
        <v>184</v>
      </c>
      <c r="CE27" t="s">
        <v>185</v>
      </c>
      <c r="CF27">
        <v>0.42397090954184707</v>
      </c>
    </row>
    <row r="28" spans="22:84" x14ac:dyDescent="0.25">
      <c r="V28" t="s">
        <v>146</v>
      </c>
      <c r="W28" t="s">
        <v>31</v>
      </c>
      <c r="X28">
        <v>0</v>
      </c>
      <c r="Y28">
        <v>0.46159349058253996</v>
      </c>
      <c r="Z28">
        <v>0.90813312588877448</v>
      </c>
      <c r="AA28">
        <v>0.92279102953620229</v>
      </c>
      <c r="AB28">
        <v>0.25956487838457093</v>
      </c>
      <c r="AC28">
        <v>0.36283678117727935</v>
      </c>
      <c r="AD28">
        <v>0.78421277702058756</v>
      </c>
      <c r="AE28">
        <v>0.14985905077774095</v>
      </c>
      <c r="AF28">
        <v>0.19205384794205893</v>
      </c>
      <c r="AG28">
        <v>0</v>
      </c>
      <c r="AH28">
        <v>0.37197149193421586</v>
      </c>
      <c r="AI28">
        <v>0.71504137816854019</v>
      </c>
      <c r="BO28" t="s">
        <v>146</v>
      </c>
      <c r="BP28">
        <v>0</v>
      </c>
      <c r="BQ28">
        <v>9.0313144782288329E-2</v>
      </c>
      <c r="BR28">
        <v>3.7297344269432054E-3</v>
      </c>
      <c r="BS28">
        <v>7.4679042480531761E-3</v>
      </c>
      <c r="BT28">
        <v>0.36426580674003012</v>
      </c>
      <c r="BU28">
        <v>0.17328208185175378</v>
      </c>
      <c r="BV28">
        <v>2.3821813841551066E-2</v>
      </c>
      <c r="BW28">
        <v>0.44046254622814718</v>
      </c>
      <c r="BX28">
        <v>0.27446333848203447</v>
      </c>
      <c r="BY28">
        <v>0</v>
      </c>
      <c r="BZ28">
        <v>0.18568841944237999</v>
      </c>
      <c r="CA28">
        <v>4.2546909595308879E-2</v>
      </c>
      <c r="CC28" t="s">
        <v>146</v>
      </c>
      <c r="CD28" t="s">
        <v>184</v>
      </c>
      <c r="CE28" t="s">
        <v>185</v>
      </c>
      <c r="CF28">
        <v>0.43115606978220977</v>
      </c>
    </row>
    <row r="29" spans="22:84" x14ac:dyDescent="0.25">
      <c r="V29" t="s">
        <v>147</v>
      </c>
      <c r="W29" t="s">
        <v>31</v>
      </c>
      <c r="X29">
        <v>0</v>
      </c>
      <c r="Y29">
        <v>0.43579764595939308</v>
      </c>
      <c r="Z29">
        <v>0.88435477375169347</v>
      </c>
      <c r="AA29">
        <v>0.92924715777835476</v>
      </c>
      <c r="AB29">
        <v>0.26379999793438952</v>
      </c>
      <c r="AC29">
        <v>0.3673395532091841</v>
      </c>
      <c r="AD29">
        <v>0.81187320434616339</v>
      </c>
      <c r="AE29">
        <v>0.15791943154345547</v>
      </c>
      <c r="AF29">
        <v>0.196761272253029</v>
      </c>
      <c r="AG29">
        <v>0</v>
      </c>
      <c r="AH29">
        <v>0.35416878866685886</v>
      </c>
      <c r="AI29">
        <v>0.71015084048583033</v>
      </c>
      <c r="BO29" t="s">
        <v>147</v>
      </c>
      <c r="BP29">
        <v>0</v>
      </c>
      <c r="BQ29">
        <v>0.10426428365664603</v>
      </c>
      <c r="BR29">
        <v>4.7493936490119555E-3</v>
      </c>
      <c r="BS29">
        <v>6.1516984365810887E-3</v>
      </c>
      <c r="BT29">
        <v>0.35132117795153039</v>
      </c>
      <c r="BU29">
        <v>0.16394048033112024</v>
      </c>
      <c r="BV29">
        <v>2.106917787837263E-2</v>
      </c>
      <c r="BW29">
        <v>0.4329252904330243</v>
      </c>
      <c r="BX29">
        <v>0.26046276505388027</v>
      </c>
      <c r="BY29">
        <v>0</v>
      </c>
      <c r="BZ29">
        <v>0.19733617012409846</v>
      </c>
      <c r="CA29">
        <v>4.5593285665225233E-2</v>
      </c>
      <c r="CC29" t="s">
        <v>147</v>
      </c>
      <c r="CD29" t="s">
        <v>184</v>
      </c>
      <c r="CE29" t="s">
        <v>185</v>
      </c>
      <c r="CF29">
        <v>0.43192132078248796</v>
      </c>
    </row>
    <row r="30" spans="22:84" x14ac:dyDescent="0.25">
      <c r="V30" t="s">
        <v>148</v>
      </c>
      <c r="W30" t="s">
        <v>31</v>
      </c>
      <c r="X30">
        <v>0</v>
      </c>
      <c r="Y30">
        <v>0.45574178782538205</v>
      </c>
      <c r="Z30">
        <v>0.90677461588218844</v>
      </c>
      <c r="AA30">
        <v>0.92661974549992465</v>
      </c>
      <c r="AB30">
        <v>0.26165487615659355</v>
      </c>
      <c r="AC30">
        <v>0.36484206743739067</v>
      </c>
      <c r="AD30">
        <v>0.78943455176888944</v>
      </c>
      <c r="AE30">
        <v>0.15041955410399899</v>
      </c>
      <c r="AF30">
        <v>0.19235841692488623</v>
      </c>
      <c r="AG30">
        <v>0</v>
      </c>
      <c r="AH30">
        <v>0.35461427458922723</v>
      </c>
      <c r="AI30">
        <v>0.72446557735787498</v>
      </c>
      <c r="BO30" t="s">
        <v>148</v>
      </c>
      <c r="BP30">
        <v>0</v>
      </c>
      <c r="BQ30">
        <v>9.5515123274639013E-2</v>
      </c>
      <c r="BR30">
        <v>3.3171973220464343E-3</v>
      </c>
      <c r="BS30">
        <v>7.0722743239180243E-3</v>
      </c>
      <c r="BT30">
        <v>0.36266697886637056</v>
      </c>
      <c r="BU30">
        <v>0.17121766108516634</v>
      </c>
      <c r="BV30">
        <v>2.226599061221296E-2</v>
      </c>
      <c r="BW30">
        <v>0.43603112676206068</v>
      </c>
      <c r="BX30">
        <v>0.26729428432511282</v>
      </c>
      <c r="BY30">
        <v>0</v>
      </c>
      <c r="BZ30">
        <v>0.19025938521945823</v>
      </c>
      <c r="CA30">
        <v>4.0874491917700012E-2</v>
      </c>
      <c r="CC30" t="s">
        <v>148</v>
      </c>
      <c r="CD30" t="s">
        <v>184</v>
      </c>
      <c r="CE30" t="s">
        <v>185</v>
      </c>
      <c r="CF30">
        <v>0.43211703324388612</v>
      </c>
    </row>
    <row r="31" spans="22:84" x14ac:dyDescent="0.25">
      <c r="V31" t="s">
        <v>149</v>
      </c>
      <c r="W31" t="s">
        <v>31</v>
      </c>
      <c r="X31">
        <v>0.34664096508194286</v>
      </c>
      <c r="Y31">
        <v>0.35322378842703439</v>
      </c>
      <c r="Z31">
        <v>0.33871164254817548</v>
      </c>
      <c r="AA31">
        <v>0.33405802770842541</v>
      </c>
      <c r="AB31">
        <v>0.37879258170037866</v>
      </c>
      <c r="AC31">
        <v>0.38422768185563183</v>
      </c>
      <c r="AD31">
        <v>0.41703153646597624</v>
      </c>
      <c r="AE31">
        <v>0.46565853022585862</v>
      </c>
      <c r="AF31">
        <v>0.4212930844374288</v>
      </c>
      <c r="AG31">
        <v>0.37109735602126814</v>
      </c>
      <c r="AH31">
        <v>0.41162272472452599</v>
      </c>
      <c r="AI31">
        <v>0.38525757315279119</v>
      </c>
      <c r="BO31" t="s">
        <v>149</v>
      </c>
      <c r="BP31">
        <v>0.42175205219088946</v>
      </c>
      <c r="BQ31">
        <v>0.39935266545351056</v>
      </c>
      <c r="BR31">
        <v>0.42105312575119497</v>
      </c>
      <c r="BS31">
        <v>0.30105347594712684</v>
      </c>
      <c r="BT31">
        <v>0.25071919574454699</v>
      </c>
      <c r="BU31">
        <v>0.27262517832302113</v>
      </c>
      <c r="BV31">
        <v>0.17400065896248323</v>
      </c>
      <c r="BW31">
        <v>0.16710308453827208</v>
      </c>
      <c r="BX31">
        <v>0.18551085449136867</v>
      </c>
      <c r="BY31">
        <v>0.33549711182232955</v>
      </c>
      <c r="BZ31">
        <v>0.30925691758913432</v>
      </c>
      <c r="CA31">
        <v>0.34382048575435409</v>
      </c>
      <c r="CC31" t="s">
        <v>159</v>
      </c>
      <c r="CD31" t="s">
        <v>184</v>
      </c>
      <c r="CE31" t="s">
        <v>185</v>
      </c>
      <c r="CF31">
        <v>0.42948756100385038</v>
      </c>
    </row>
    <row r="32" spans="22:84" x14ac:dyDescent="0.25">
      <c r="V32" t="s">
        <v>150</v>
      </c>
      <c r="W32" t="s">
        <v>31</v>
      </c>
      <c r="X32">
        <v>0.29004833551324827</v>
      </c>
      <c r="Y32">
        <v>0.29434117284088052</v>
      </c>
      <c r="Z32">
        <v>0.26680322161443631</v>
      </c>
      <c r="AA32">
        <v>0.30380958593934904</v>
      </c>
      <c r="AB32">
        <v>0.3348097333203629</v>
      </c>
      <c r="AC32">
        <v>0.32365786518122019</v>
      </c>
      <c r="AD32">
        <v>0.3910933715713249</v>
      </c>
      <c r="AE32">
        <v>0.41907594406267035</v>
      </c>
      <c r="AF32">
        <v>0.38934078484232593</v>
      </c>
      <c r="AG32">
        <v>0.34248427956219735</v>
      </c>
      <c r="AH32">
        <v>0.34922254394279423</v>
      </c>
      <c r="AI32">
        <v>0.34582794362692465</v>
      </c>
      <c r="BO32" t="s">
        <v>150</v>
      </c>
      <c r="BP32">
        <v>0.60274542889965854</v>
      </c>
      <c r="BQ32">
        <v>0.59288512171888264</v>
      </c>
      <c r="BR32">
        <v>0.62233843017546842</v>
      </c>
      <c r="BS32">
        <v>0.52451514841008906</v>
      </c>
      <c r="BT32">
        <v>0.46249069812069099</v>
      </c>
      <c r="BU32">
        <v>0.49236403413582169</v>
      </c>
      <c r="BV32">
        <v>0.33418284117811287</v>
      </c>
      <c r="BW32">
        <v>0.31233882536233537</v>
      </c>
      <c r="BX32">
        <v>0.34338341654674914</v>
      </c>
      <c r="BY32">
        <v>0.50202044448654704</v>
      </c>
      <c r="BZ32">
        <v>0.49356302856206558</v>
      </c>
      <c r="CA32">
        <v>0.5126530510733569</v>
      </c>
      <c r="CC32" t="s">
        <v>160</v>
      </c>
      <c r="CD32" t="s">
        <v>184</v>
      </c>
      <c r="CE32" t="s">
        <v>185</v>
      </c>
      <c r="CF32">
        <v>0.41665387309015284</v>
      </c>
    </row>
    <row r="33" spans="22:84" x14ac:dyDescent="0.25">
      <c r="V33" t="s">
        <v>151</v>
      </c>
      <c r="W33" t="s">
        <v>31</v>
      </c>
      <c r="X33">
        <v>0.3112673129071587</v>
      </c>
      <c r="Y33">
        <v>0.31705160181555281</v>
      </c>
      <c r="Z33">
        <v>0.29919775110174984</v>
      </c>
      <c r="AA33">
        <v>0.31942567340083095</v>
      </c>
      <c r="AB33">
        <v>0.35316759869562958</v>
      </c>
      <c r="AC33">
        <v>0.34374501602154311</v>
      </c>
      <c r="AD33">
        <v>0.41162860516827082</v>
      </c>
      <c r="AE33">
        <v>0.43931691342728624</v>
      </c>
      <c r="AF33">
        <v>0.39447298785905643</v>
      </c>
      <c r="AG33">
        <v>0.35496623928035265</v>
      </c>
      <c r="AH33">
        <v>0.3773608494912461</v>
      </c>
      <c r="AI33">
        <v>0.35836604433185137</v>
      </c>
      <c r="BO33" t="s">
        <v>151</v>
      </c>
      <c r="BP33">
        <v>0.53145008033800167</v>
      </c>
      <c r="BQ33">
        <v>0.50999932443358065</v>
      </c>
      <c r="BR33">
        <v>0.53960545863036991</v>
      </c>
      <c r="BS33">
        <v>0.41951004436141942</v>
      </c>
      <c r="BT33">
        <v>0.35710726047565988</v>
      </c>
      <c r="BU33">
        <v>0.38598978907603632</v>
      </c>
      <c r="BV33">
        <v>0.25726174165074173</v>
      </c>
      <c r="BW33">
        <v>0.24455108382081886</v>
      </c>
      <c r="BX33">
        <v>0.27396986404260454</v>
      </c>
      <c r="BY33">
        <v>0.43268365958133626</v>
      </c>
      <c r="BZ33">
        <v>0.4120534203496819</v>
      </c>
      <c r="CA33">
        <v>0.44538081579238636</v>
      </c>
      <c r="CC33" t="s">
        <v>161</v>
      </c>
      <c r="CD33" t="s">
        <v>184</v>
      </c>
      <c r="CE33" t="s">
        <v>185</v>
      </c>
      <c r="CF33">
        <v>0.43223601868860995</v>
      </c>
    </row>
    <row r="34" spans="22:84" x14ac:dyDescent="0.25">
      <c r="V34" t="s">
        <v>152</v>
      </c>
      <c r="W34" t="s">
        <v>31</v>
      </c>
      <c r="X34">
        <v>0.29818648123534586</v>
      </c>
      <c r="Y34">
        <v>0.29800660102776572</v>
      </c>
      <c r="Z34">
        <v>0.27164246936123415</v>
      </c>
      <c r="AA34">
        <v>0.27759633794604427</v>
      </c>
      <c r="AB34">
        <v>0.33887992247093107</v>
      </c>
      <c r="AC34">
        <v>0.30361813835905843</v>
      </c>
      <c r="AD34">
        <v>0.35208257222216338</v>
      </c>
      <c r="AE34">
        <v>0.3745032293806454</v>
      </c>
      <c r="AF34">
        <v>0.37678208428856791</v>
      </c>
      <c r="AG34">
        <v>0.33681709304158786</v>
      </c>
      <c r="AH34">
        <v>0.33459984293416678</v>
      </c>
      <c r="AI34">
        <v>0.35541875334840378</v>
      </c>
      <c r="BO34" t="s">
        <v>152</v>
      </c>
      <c r="BP34">
        <v>0.59790095524181952</v>
      </c>
      <c r="BQ34">
        <v>0.61102544216049437</v>
      </c>
      <c r="BR34">
        <v>0.62874898827293024</v>
      </c>
      <c r="BS34">
        <v>0.58200558633365185</v>
      </c>
      <c r="BT34">
        <v>0.52297314335934497</v>
      </c>
      <c r="BU34">
        <v>0.5628232174325748</v>
      </c>
      <c r="BV34">
        <v>0.37786954554253754</v>
      </c>
      <c r="BW34">
        <v>0.35053404000089744</v>
      </c>
      <c r="BX34">
        <v>0.35929804586024433</v>
      </c>
      <c r="BY34">
        <v>0.53524226895496396</v>
      </c>
      <c r="BZ34">
        <v>0.53800233532167741</v>
      </c>
      <c r="CA34">
        <v>0.52151786673400502</v>
      </c>
      <c r="CC34" t="s">
        <v>162</v>
      </c>
      <c r="CD34" t="s">
        <v>184</v>
      </c>
      <c r="CE34" t="s">
        <v>185</v>
      </c>
      <c r="CF34">
        <v>0.45649128372682257</v>
      </c>
    </row>
    <row r="35" spans="22:84" x14ac:dyDescent="0.25">
      <c r="V35" t="s">
        <v>153</v>
      </c>
      <c r="W35" t="s">
        <v>31</v>
      </c>
      <c r="X35">
        <v>0.29821534769093938</v>
      </c>
      <c r="Y35">
        <v>0.29205496249012969</v>
      </c>
      <c r="Z35">
        <v>0.27749249968081074</v>
      </c>
      <c r="AA35">
        <v>0.29180241171006921</v>
      </c>
      <c r="AB35">
        <v>0.34255779977977041</v>
      </c>
      <c r="AC35">
        <v>0.32323319008558704</v>
      </c>
      <c r="AD35">
        <v>0.36218534221185855</v>
      </c>
      <c r="AE35">
        <v>0.4092519825205288</v>
      </c>
      <c r="AF35">
        <v>0.3866073190183163</v>
      </c>
      <c r="AG35">
        <v>0.34318044209045645</v>
      </c>
      <c r="AH35">
        <v>0.33235162990112121</v>
      </c>
      <c r="AI35">
        <v>0.34009297693532858</v>
      </c>
      <c r="BO35" t="s">
        <v>153</v>
      </c>
      <c r="BP35">
        <v>0.60569109115160202</v>
      </c>
      <c r="BQ35">
        <v>0.61093178960717487</v>
      </c>
      <c r="BR35">
        <v>0.62168655034705689</v>
      </c>
      <c r="BS35">
        <v>0.56466650138685481</v>
      </c>
      <c r="BT35">
        <v>0.50702513252916392</v>
      </c>
      <c r="BU35">
        <v>0.54588907107700602</v>
      </c>
      <c r="BV35">
        <v>0.35360383381192778</v>
      </c>
      <c r="BW35">
        <v>0.33879022543381204</v>
      </c>
      <c r="BX35">
        <v>0.35708967442923373</v>
      </c>
      <c r="BY35">
        <v>0.52040669244257587</v>
      </c>
      <c r="BZ35">
        <v>0.53281204055463272</v>
      </c>
      <c r="CA35">
        <v>0.53366023279689501</v>
      </c>
      <c r="CC35" t="s">
        <v>163</v>
      </c>
      <c r="CD35" t="s">
        <v>184</v>
      </c>
      <c r="CE35" t="s">
        <v>185</v>
      </c>
      <c r="CF35">
        <v>0.4438120434180024</v>
      </c>
    </row>
    <row r="36" spans="22:84" x14ac:dyDescent="0.25">
      <c r="V36" t="s">
        <v>154</v>
      </c>
      <c r="W36" t="s">
        <v>31</v>
      </c>
      <c r="X36">
        <v>0.30071328447206935</v>
      </c>
      <c r="Y36">
        <v>0.304691486008968</v>
      </c>
      <c r="Z36">
        <v>0.27433782500860532</v>
      </c>
      <c r="AA36">
        <v>0.29638838402582046</v>
      </c>
      <c r="AB36">
        <v>0.3404725911639383</v>
      </c>
      <c r="AC36">
        <v>0.32870798009692515</v>
      </c>
      <c r="AD36">
        <v>0.36361824888514577</v>
      </c>
      <c r="AE36">
        <v>0.39164444418686617</v>
      </c>
      <c r="AF36">
        <v>0.39707890474694169</v>
      </c>
      <c r="AG36">
        <v>0.34371995934646393</v>
      </c>
      <c r="AH36">
        <v>0.33932676309535953</v>
      </c>
      <c r="AI36">
        <v>0.35337909456488548</v>
      </c>
      <c r="BO36" t="s">
        <v>154</v>
      </c>
      <c r="BP36">
        <v>0.5865170517568461</v>
      </c>
      <c r="BQ36">
        <v>0.59074559983457975</v>
      </c>
      <c r="BR36">
        <v>0.61279089815627086</v>
      </c>
      <c r="BS36">
        <v>0.52703178265647677</v>
      </c>
      <c r="BT36">
        <v>0.48008133028365746</v>
      </c>
      <c r="BU36">
        <v>0.50862568720184576</v>
      </c>
      <c r="BV36">
        <v>0.32993512478521914</v>
      </c>
      <c r="BW36">
        <v>0.32586018801376504</v>
      </c>
      <c r="BX36">
        <v>0.3262748564466853</v>
      </c>
      <c r="BY36">
        <v>0.49905962293632483</v>
      </c>
      <c r="BZ36">
        <v>0.49983500189672408</v>
      </c>
      <c r="CA36">
        <v>0.50100851390782764</v>
      </c>
      <c r="CC36" t="s">
        <v>164</v>
      </c>
      <c r="CD36" t="s">
        <v>184</v>
      </c>
      <c r="CE36" t="s">
        <v>185</v>
      </c>
      <c r="CF36">
        <v>0.44196701018794066</v>
      </c>
    </row>
    <row r="37" spans="22:84" x14ac:dyDescent="0.25">
      <c r="V37" t="s">
        <v>155</v>
      </c>
      <c r="W37" t="s">
        <v>31</v>
      </c>
      <c r="X37">
        <v>0.32518195291614554</v>
      </c>
      <c r="Y37">
        <v>0.32674939274151094</v>
      </c>
      <c r="Z37">
        <v>0.29781925446383722</v>
      </c>
      <c r="AA37">
        <v>0.32440598359641076</v>
      </c>
      <c r="AB37">
        <v>0.36962787375739414</v>
      </c>
      <c r="AC37">
        <v>0.36297651291400307</v>
      </c>
      <c r="AD37">
        <v>0.40273826892200365</v>
      </c>
      <c r="AE37">
        <v>0.4385166923549772</v>
      </c>
      <c r="AF37">
        <v>0.43012413015744427</v>
      </c>
      <c r="AG37">
        <v>0.3296605776445603</v>
      </c>
      <c r="AH37">
        <v>0.3572529394982189</v>
      </c>
      <c r="AI37">
        <v>0.3515976682550358</v>
      </c>
      <c r="BO37" t="s">
        <v>155</v>
      </c>
      <c r="BP37">
        <v>0.47237120900577145</v>
      </c>
      <c r="BQ37">
        <v>0.48209935273304322</v>
      </c>
      <c r="BR37">
        <v>0.51127077338671501</v>
      </c>
      <c r="BS37">
        <v>0.38248902432776316</v>
      </c>
      <c r="BT37">
        <v>0.34343816659716575</v>
      </c>
      <c r="BU37">
        <v>0.37579000298453691</v>
      </c>
      <c r="BV37">
        <v>0.26411006549179317</v>
      </c>
      <c r="BW37">
        <v>0.2553022847995825</v>
      </c>
      <c r="BX37">
        <v>0.25559034678725495</v>
      </c>
      <c r="BY37">
        <v>0.4269034279726247</v>
      </c>
      <c r="BZ37">
        <v>0.40844915200833393</v>
      </c>
      <c r="CA37">
        <v>0.43391842005688563</v>
      </c>
      <c r="CC37" t="s">
        <v>165</v>
      </c>
      <c r="CD37" t="s">
        <v>184</v>
      </c>
      <c r="CE37" t="s">
        <v>185</v>
      </c>
      <c r="CF37">
        <v>0.45415932404300219</v>
      </c>
    </row>
    <row r="38" spans="22:84" x14ac:dyDescent="0.25">
      <c r="V38" t="s">
        <v>156</v>
      </c>
      <c r="W38" t="s">
        <v>31</v>
      </c>
      <c r="X38">
        <v>0.29275327331400308</v>
      </c>
      <c r="Y38">
        <v>0.29705246459095991</v>
      </c>
      <c r="Z38">
        <v>0.26339332359186168</v>
      </c>
      <c r="AA38">
        <v>0.30252250655703472</v>
      </c>
      <c r="AB38">
        <v>0.33978054811315306</v>
      </c>
      <c r="AC38">
        <v>0.34953396222284866</v>
      </c>
      <c r="AD38">
        <v>0.38893403475162586</v>
      </c>
      <c r="AE38">
        <v>0.4241128873971321</v>
      </c>
      <c r="AF38">
        <v>0.40522007501554008</v>
      </c>
      <c r="AG38">
        <v>0.30967485507103432</v>
      </c>
      <c r="AH38">
        <v>0.33830723689097425</v>
      </c>
      <c r="AI38">
        <v>0.31793086172969687</v>
      </c>
      <c r="BO38" t="s">
        <v>156</v>
      </c>
      <c r="BP38">
        <v>0.59409290693671635</v>
      </c>
      <c r="BQ38">
        <v>0.59826595615772049</v>
      </c>
      <c r="BR38">
        <v>0.64231446956063309</v>
      </c>
      <c r="BS38">
        <v>0.53271086082603381</v>
      </c>
      <c r="BT38">
        <v>0.48622673231505553</v>
      </c>
      <c r="BU38">
        <v>0.52614622213353623</v>
      </c>
      <c r="BV38">
        <v>0.38467894975348821</v>
      </c>
      <c r="BW38">
        <v>0.34565799702867378</v>
      </c>
      <c r="BX38">
        <v>0.38459112411013996</v>
      </c>
      <c r="BY38">
        <v>0.53602642353854246</v>
      </c>
      <c r="BZ38">
        <v>0.51255235197037452</v>
      </c>
      <c r="CA38">
        <v>0.54019361587544457</v>
      </c>
      <c r="CC38" t="s">
        <v>166</v>
      </c>
      <c r="CD38" t="s">
        <v>184</v>
      </c>
      <c r="CE38" t="s">
        <v>185</v>
      </c>
      <c r="CF38">
        <v>0.44828542016875661</v>
      </c>
    </row>
    <row r="39" spans="22:84" x14ac:dyDescent="0.25">
      <c r="V39" t="s">
        <v>157</v>
      </c>
      <c r="W39" t="s">
        <v>31</v>
      </c>
      <c r="X39">
        <v>0.28927811571902917</v>
      </c>
      <c r="Y39">
        <v>0.29764592565382042</v>
      </c>
      <c r="Z39">
        <v>0.26546674570369155</v>
      </c>
      <c r="AA39">
        <v>0.28520459482306809</v>
      </c>
      <c r="AB39">
        <v>0.33260414440903341</v>
      </c>
      <c r="AC39">
        <v>0.32767026993009724</v>
      </c>
      <c r="AD39">
        <v>0.37179495743263635</v>
      </c>
      <c r="AE39">
        <v>0.38539804430354685</v>
      </c>
      <c r="AF39">
        <v>0.39126494405978124</v>
      </c>
      <c r="AG39">
        <v>0.32015834310084024</v>
      </c>
      <c r="AH39">
        <v>0.33509148246751547</v>
      </c>
      <c r="AI39">
        <v>0.33063610712490471</v>
      </c>
      <c r="BO39" t="s">
        <v>157</v>
      </c>
      <c r="BP39">
        <v>0.60010060998921</v>
      </c>
      <c r="BQ39">
        <v>0.61007709494946527</v>
      </c>
      <c r="BR39">
        <v>0.64206873489157001</v>
      </c>
      <c r="BS39">
        <v>0.56133618124574469</v>
      </c>
      <c r="BT39">
        <v>0.51541836912916172</v>
      </c>
      <c r="BU39">
        <v>0.54316219240625496</v>
      </c>
      <c r="BV39">
        <v>0.37780539274249597</v>
      </c>
      <c r="BW39">
        <v>0.34574224317671248</v>
      </c>
      <c r="BX39">
        <v>0.36446174998348957</v>
      </c>
      <c r="BY39">
        <v>0.54104320824854879</v>
      </c>
      <c r="BZ39">
        <v>0.52541697950311017</v>
      </c>
      <c r="CA39">
        <v>0.53242527845860277</v>
      </c>
      <c r="CC39" t="s">
        <v>167</v>
      </c>
      <c r="CD39" t="s">
        <v>184</v>
      </c>
      <c r="CE39" t="s">
        <v>185</v>
      </c>
      <c r="CF39">
        <v>0.46812809268534256</v>
      </c>
    </row>
    <row r="40" spans="22:84" x14ac:dyDescent="0.25">
      <c r="V40" t="s">
        <v>158</v>
      </c>
      <c r="W40" t="s">
        <v>31</v>
      </c>
      <c r="X40">
        <v>0.30465736552815609</v>
      </c>
      <c r="Y40">
        <v>0.31057724213356558</v>
      </c>
      <c r="Z40">
        <v>0.27705551474270074</v>
      </c>
      <c r="AA40">
        <v>0.31228210882207985</v>
      </c>
      <c r="AB40">
        <v>0.35445165465747974</v>
      </c>
      <c r="AC40">
        <v>0.35424857632447715</v>
      </c>
      <c r="AD40">
        <v>0.40143238022899769</v>
      </c>
      <c r="AE40">
        <v>0.41748730694483893</v>
      </c>
      <c r="AF40">
        <v>0.42165379243331613</v>
      </c>
      <c r="AG40">
        <v>0.32417129000543643</v>
      </c>
      <c r="AH40">
        <v>0.35013698341606098</v>
      </c>
      <c r="AI40">
        <v>0.33376588596748114</v>
      </c>
      <c r="BO40" t="s">
        <v>158</v>
      </c>
      <c r="BP40">
        <v>0.55953008548819871</v>
      </c>
      <c r="BQ40">
        <v>0.57271849452855927</v>
      </c>
      <c r="BR40">
        <v>0.60516106263158898</v>
      </c>
      <c r="BS40">
        <v>0.48060068566116609</v>
      </c>
      <c r="BT40">
        <v>0.44220109908764826</v>
      </c>
      <c r="BU40">
        <v>0.46564870604875197</v>
      </c>
      <c r="BV40">
        <v>0.33082688182010128</v>
      </c>
      <c r="BW40">
        <v>0.31468977588206393</v>
      </c>
      <c r="BX40">
        <v>0.32202093544478544</v>
      </c>
      <c r="BY40">
        <v>0.50981940536425163</v>
      </c>
      <c r="BZ40">
        <v>0.48541323082439275</v>
      </c>
      <c r="CA40">
        <v>0.50380971639001926</v>
      </c>
      <c r="CC40" t="s">
        <v>168</v>
      </c>
      <c r="CD40" t="s">
        <v>184</v>
      </c>
      <c r="CE40" t="s">
        <v>185</v>
      </c>
      <c r="CF40">
        <v>0.49182262691355516</v>
      </c>
    </row>
    <row r="41" spans="22:84" x14ac:dyDescent="0.25">
      <c r="V41" t="s">
        <v>159</v>
      </c>
      <c r="W41" t="s">
        <v>31</v>
      </c>
      <c r="X41">
        <v>0.3507593187279297</v>
      </c>
      <c r="Y41">
        <v>0.37930651911534891</v>
      </c>
      <c r="Z41">
        <v>0.37561909356990481</v>
      </c>
      <c r="AA41">
        <v>0.31884151381083231</v>
      </c>
      <c r="AB41">
        <v>0.37476134088285229</v>
      </c>
      <c r="AC41">
        <v>0.37185439715707985</v>
      </c>
      <c r="AD41">
        <v>0.33314154629214454</v>
      </c>
      <c r="AE41">
        <v>0.44812984076925083</v>
      </c>
      <c r="AF41">
        <v>0.43211949391754462</v>
      </c>
      <c r="AG41">
        <v>0.3552539706607577</v>
      </c>
      <c r="AH41">
        <v>0.41130195342877668</v>
      </c>
      <c r="AI41">
        <v>0.37390683674244063</v>
      </c>
      <c r="BO41" t="s">
        <v>159</v>
      </c>
      <c r="BP41">
        <v>0.42948756100385038</v>
      </c>
      <c r="BQ41">
        <v>0.3956633030110196</v>
      </c>
      <c r="BR41">
        <v>0.42887562938780699</v>
      </c>
      <c r="BS41">
        <v>0.34752292665857742</v>
      </c>
      <c r="BT41">
        <v>0.26728490787934722</v>
      </c>
      <c r="BU41">
        <v>0.27836508763564988</v>
      </c>
      <c r="BV41">
        <v>0.18068886601432901</v>
      </c>
      <c r="BW41">
        <v>0.12382988533367435</v>
      </c>
      <c r="BX41">
        <v>0.13577404789944891</v>
      </c>
      <c r="BY41">
        <v>0.33353324145581348</v>
      </c>
      <c r="BZ41">
        <v>0.27209573118912433</v>
      </c>
      <c r="CA41">
        <v>0.31878061944004399</v>
      </c>
      <c r="CC41" t="s">
        <v>169</v>
      </c>
      <c r="CD41" t="s">
        <v>184</v>
      </c>
      <c r="CE41" t="s">
        <v>185</v>
      </c>
      <c r="CF41">
        <v>0.38186032259932551</v>
      </c>
    </row>
    <row r="42" spans="22:84" x14ac:dyDescent="0.25">
      <c r="V42" t="s">
        <v>160</v>
      </c>
      <c r="W42" t="s">
        <v>31</v>
      </c>
      <c r="X42">
        <v>0.32640097595461576</v>
      </c>
      <c r="Y42">
        <v>0.36652970525711631</v>
      </c>
      <c r="Z42">
        <v>0.34239645876479136</v>
      </c>
      <c r="AA42">
        <v>0.33631845844293612</v>
      </c>
      <c r="AB42">
        <v>0.42713354378739893</v>
      </c>
      <c r="AC42">
        <v>0.37298710811476993</v>
      </c>
      <c r="AD42">
        <v>0.32699376895971977</v>
      </c>
      <c r="AE42">
        <v>0.45860443988032323</v>
      </c>
      <c r="AF42">
        <v>0.42699245417708198</v>
      </c>
      <c r="AG42">
        <v>0.35487917129688151</v>
      </c>
      <c r="AH42">
        <v>0.43203984003277612</v>
      </c>
      <c r="AI42">
        <v>0.37140602390614369</v>
      </c>
      <c r="BO42" t="s">
        <v>160</v>
      </c>
      <c r="BP42">
        <v>0.40790014847953276</v>
      </c>
      <c r="BQ42">
        <v>0.37919067362563108</v>
      </c>
      <c r="BR42">
        <v>0.41774123659133883</v>
      </c>
      <c r="BS42">
        <v>0.320586034519246</v>
      </c>
      <c r="BT42">
        <v>0.24906488733444093</v>
      </c>
      <c r="BU42">
        <v>0.27013681828020786</v>
      </c>
      <c r="BV42">
        <v>0.15980712762795377</v>
      </c>
      <c r="BW42">
        <v>0.11761498954536752</v>
      </c>
      <c r="BX42">
        <v>0.13820394905319389</v>
      </c>
      <c r="BY42">
        <v>0.31404909914663032</v>
      </c>
      <c r="BZ42">
        <v>0.25605499214875227</v>
      </c>
      <c r="CA42">
        <v>0.31910562113178154</v>
      </c>
      <c r="CC42" t="s">
        <v>170</v>
      </c>
      <c r="CD42" t="s">
        <v>184</v>
      </c>
      <c r="CE42" t="s">
        <v>185</v>
      </c>
      <c r="CF42">
        <v>0.40810043795875456</v>
      </c>
    </row>
    <row r="43" spans="22:84" x14ac:dyDescent="0.25">
      <c r="V43" t="s">
        <v>161</v>
      </c>
      <c r="W43" t="s">
        <v>31</v>
      </c>
      <c r="X43">
        <v>0.35256600726490078</v>
      </c>
      <c r="Y43">
        <v>0.35933912573686011</v>
      </c>
      <c r="Z43">
        <v>0.36064633183994504</v>
      </c>
      <c r="AA43">
        <v>0.33205902982855634</v>
      </c>
      <c r="AB43">
        <v>0.38853557587333726</v>
      </c>
      <c r="AC43">
        <v>0.39208165067931505</v>
      </c>
      <c r="AD43">
        <v>0.33565320594253106</v>
      </c>
      <c r="AE43">
        <v>0.46385028387377542</v>
      </c>
      <c r="AF43">
        <v>0.44938585791272539</v>
      </c>
      <c r="AG43">
        <v>0.38148978993432164</v>
      </c>
      <c r="AH43">
        <v>0.41403516726929712</v>
      </c>
      <c r="AI43">
        <v>0.37778252599454609</v>
      </c>
      <c r="BO43" t="s">
        <v>161</v>
      </c>
      <c r="BP43">
        <v>0.4322381136532995</v>
      </c>
      <c r="BQ43">
        <v>0.40838809967338185</v>
      </c>
      <c r="BR43">
        <v>0.43051049272140035</v>
      </c>
      <c r="BS43">
        <v>0.34270764973853562</v>
      </c>
      <c r="BT43">
        <v>0.29082271959744027</v>
      </c>
      <c r="BU43">
        <v>0.2926981846879953</v>
      </c>
      <c r="BV43">
        <v>0.17868403365196753</v>
      </c>
      <c r="BW43">
        <v>0.13302852956574873</v>
      </c>
      <c r="BX43">
        <v>0.14943014301348764</v>
      </c>
      <c r="BY43">
        <v>0.33289218416732547</v>
      </c>
      <c r="BZ43">
        <v>0.27766142580485431</v>
      </c>
      <c r="CA43">
        <v>0.31943428342827862</v>
      </c>
      <c r="CC43" t="s">
        <v>171</v>
      </c>
      <c r="CD43" t="s">
        <v>184</v>
      </c>
      <c r="CE43" t="s">
        <v>185</v>
      </c>
      <c r="CF43">
        <v>0.38774898801614494</v>
      </c>
    </row>
    <row r="44" spans="22:84" x14ac:dyDescent="0.25">
      <c r="V44" t="s">
        <v>162</v>
      </c>
      <c r="W44" t="s">
        <v>31</v>
      </c>
      <c r="X44">
        <v>0.31798684779534969</v>
      </c>
      <c r="Y44">
        <v>0.33882702906941997</v>
      </c>
      <c r="Z44">
        <v>0.32979747931487058</v>
      </c>
      <c r="AA44">
        <v>0.31996989546756566</v>
      </c>
      <c r="AB44">
        <v>0.41074918865043053</v>
      </c>
      <c r="AC44">
        <v>0.37593902276247038</v>
      </c>
      <c r="AD44">
        <v>0.34275680307838324</v>
      </c>
      <c r="AE44">
        <v>0.44695487517908522</v>
      </c>
      <c r="AF44">
        <v>0.38468782971216858</v>
      </c>
      <c r="AG44">
        <v>0.34219411273260031</v>
      </c>
      <c r="AH44">
        <v>0.40339950605900599</v>
      </c>
      <c r="AI44">
        <v>0.39235510634791565</v>
      </c>
      <c r="BO44" t="s">
        <v>162</v>
      </c>
      <c r="BP44">
        <v>0.45424382549379411</v>
      </c>
      <c r="BQ44">
        <v>0.42533448969126658</v>
      </c>
      <c r="BR44">
        <v>0.45793127731197342</v>
      </c>
      <c r="BS44">
        <v>0.36835026829181267</v>
      </c>
      <c r="BT44">
        <v>0.29849495210395988</v>
      </c>
      <c r="BU44">
        <v>0.31934457047399883</v>
      </c>
      <c r="BV44">
        <v>0.17605753702637664</v>
      </c>
      <c r="BW44">
        <v>0.12685591926977463</v>
      </c>
      <c r="BX44">
        <v>0.13170879411017819</v>
      </c>
      <c r="BY44">
        <v>0.36679377567897237</v>
      </c>
      <c r="BZ44">
        <v>0.30688417890077663</v>
      </c>
      <c r="CA44">
        <v>0.34604908117843014</v>
      </c>
      <c r="CC44" t="s">
        <v>172</v>
      </c>
      <c r="CD44" t="s">
        <v>184</v>
      </c>
      <c r="CE44" t="s">
        <v>185</v>
      </c>
      <c r="CF44">
        <v>0.41319411753678281</v>
      </c>
    </row>
    <row r="45" spans="22:84" x14ac:dyDescent="0.25">
      <c r="V45" t="s">
        <v>163</v>
      </c>
      <c r="W45" t="s">
        <v>31</v>
      </c>
      <c r="X45">
        <v>0.32671569382257948</v>
      </c>
      <c r="Y45">
        <v>0.34741531970461981</v>
      </c>
      <c r="Z45">
        <v>0.32458077551587988</v>
      </c>
      <c r="AA45">
        <v>0.31440282747327314</v>
      </c>
      <c r="AB45">
        <v>0.35489035659225793</v>
      </c>
      <c r="AC45">
        <v>0.3642951087019794</v>
      </c>
      <c r="AD45">
        <v>0.34328994822229042</v>
      </c>
      <c r="AE45">
        <v>0.47293093793318064</v>
      </c>
      <c r="AF45">
        <v>0.42164350016855667</v>
      </c>
      <c r="AG45">
        <v>0.37165665577713342</v>
      </c>
      <c r="AH45">
        <v>0.38893535571060978</v>
      </c>
      <c r="AI45">
        <v>0.37531905207567628</v>
      </c>
      <c r="BO45" t="s">
        <v>163</v>
      </c>
      <c r="BP45">
        <v>0.44404727147559903</v>
      </c>
      <c r="BQ45">
        <v>0.41572848902395809</v>
      </c>
      <c r="BR45">
        <v>0.44284784139373617</v>
      </c>
      <c r="BS45">
        <v>0.35457953071442544</v>
      </c>
      <c r="BT45">
        <v>0.29121792738048036</v>
      </c>
      <c r="BU45">
        <v>0.31399858757038518</v>
      </c>
      <c r="BV45">
        <v>0.19281814697811248</v>
      </c>
      <c r="BW45">
        <v>0.16151209743175871</v>
      </c>
      <c r="BX45">
        <v>0.18388412999239487</v>
      </c>
      <c r="BY45">
        <v>0.34531826966398826</v>
      </c>
      <c r="BZ45">
        <v>0.30733821789867327</v>
      </c>
      <c r="CA45">
        <v>0.34297814049294745</v>
      </c>
      <c r="CC45" t="s">
        <v>173</v>
      </c>
      <c r="CD45" t="s">
        <v>184</v>
      </c>
      <c r="CE45" t="s">
        <v>185</v>
      </c>
      <c r="CF45">
        <v>0.19754873865951125</v>
      </c>
    </row>
    <row r="46" spans="22:84" x14ac:dyDescent="0.25">
      <c r="V46" t="s">
        <v>164</v>
      </c>
      <c r="W46" t="s">
        <v>31</v>
      </c>
      <c r="X46">
        <v>0.34436267024418837</v>
      </c>
      <c r="Y46">
        <v>0.37443004607165725</v>
      </c>
      <c r="Z46">
        <v>0.3497162416164683</v>
      </c>
      <c r="AA46">
        <v>0.30713684182769529</v>
      </c>
      <c r="AB46">
        <v>0.35801840035578936</v>
      </c>
      <c r="AC46">
        <v>0.37522021619423179</v>
      </c>
      <c r="AD46">
        <v>0.35044693682015315</v>
      </c>
      <c r="AE46">
        <v>0.44272003394574799</v>
      </c>
      <c r="AF46">
        <v>0.41929707724304677</v>
      </c>
      <c r="AG46">
        <v>0.34634419514749298</v>
      </c>
      <c r="AH46">
        <v>0.39094696856653882</v>
      </c>
      <c r="AI46">
        <v>0.34730469355978966</v>
      </c>
      <c r="BO46" t="s">
        <v>164</v>
      </c>
      <c r="BP46">
        <v>0.43416088460638069</v>
      </c>
      <c r="BQ46">
        <v>0.41010057027747715</v>
      </c>
      <c r="BR46">
        <v>0.44205658060160824</v>
      </c>
      <c r="BS46">
        <v>0.36548000223807225</v>
      </c>
      <c r="BT46">
        <v>0.28563821340678203</v>
      </c>
      <c r="BU46">
        <v>0.28927390987126045</v>
      </c>
      <c r="BV46">
        <v>0.19776503264238066</v>
      </c>
      <c r="BW46">
        <v>0.15392056922192349</v>
      </c>
      <c r="BX46">
        <v>0.17149160321713947</v>
      </c>
      <c r="BY46">
        <v>0.3513715729983426</v>
      </c>
      <c r="BZ46">
        <v>0.30690476130087085</v>
      </c>
      <c r="CA46">
        <v>0.35596485960444424</v>
      </c>
      <c r="CC46" t="s">
        <v>174</v>
      </c>
      <c r="CD46" t="s">
        <v>184</v>
      </c>
      <c r="CE46" t="s">
        <v>185</v>
      </c>
      <c r="CF46">
        <v>0.47037394455849146</v>
      </c>
    </row>
    <row r="47" spans="22:84" x14ac:dyDescent="0.25">
      <c r="V47" t="s">
        <v>165</v>
      </c>
      <c r="W47" t="s">
        <v>31</v>
      </c>
      <c r="X47">
        <v>0.33970720749588595</v>
      </c>
      <c r="Y47">
        <v>0.35106824399388897</v>
      </c>
      <c r="Z47">
        <v>0.34307343690639314</v>
      </c>
      <c r="AA47">
        <v>0.31961744548850329</v>
      </c>
      <c r="AB47">
        <v>0.36726644300843914</v>
      </c>
      <c r="AC47">
        <v>0.36633183689200105</v>
      </c>
      <c r="AD47">
        <v>0.34683854795778302</v>
      </c>
      <c r="AE47">
        <v>0.44946981914961082</v>
      </c>
      <c r="AF47">
        <v>0.41285378553992996</v>
      </c>
      <c r="AG47">
        <v>0.3571524436985139</v>
      </c>
      <c r="AH47">
        <v>0.41462693475807089</v>
      </c>
      <c r="AI47">
        <v>0.36629971901936764</v>
      </c>
      <c r="BO47" t="s">
        <v>165</v>
      </c>
      <c r="BP47">
        <v>0.45415932404300219</v>
      </c>
      <c r="BQ47">
        <v>0.42599743908639748</v>
      </c>
      <c r="BR47">
        <v>0.44935143992535764</v>
      </c>
      <c r="BS47">
        <v>0.37059777749682837</v>
      </c>
      <c r="BT47">
        <v>0.30111380423306461</v>
      </c>
      <c r="BU47">
        <v>0.32388606268130632</v>
      </c>
      <c r="BV47">
        <v>0.19581462397028529</v>
      </c>
      <c r="BW47">
        <v>0.15461117940833038</v>
      </c>
      <c r="BX47">
        <v>0.18746585255876</v>
      </c>
      <c r="BY47">
        <v>0.34856816975567706</v>
      </c>
      <c r="BZ47">
        <v>0.29890828730000968</v>
      </c>
      <c r="CA47">
        <v>0.34444000501817512</v>
      </c>
      <c r="CC47" t="s">
        <v>175</v>
      </c>
      <c r="CD47" t="s">
        <v>184</v>
      </c>
      <c r="CE47" t="s">
        <v>185</v>
      </c>
      <c r="CF47">
        <v>0.32984077422711283</v>
      </c>
    </row>
    <row r="48" spans="22:84" x14ac:dyDescent="0.25">
      <c r="V48" t="s">
        <v>166</v>
      </c>
      <c r="W48" t="s">
        <v>31</v>
      </c>
      <c r="X48">
        <v>0.33399413595301181</v>
      </c>
      <c r="Y48">
        <v>0.36017702420799497</v>
      </c>
      <c r="Z48">
        <v>0.33073861146064271</v>
      </c>
      <c r="AA48">
        <v>0.3301009100400531</v>
      </c>
      <c r="AB48">
        <v>0.38228633123073247</v>
      </c>
      <c r="AC48">
        <v>0.38433666216030399</v>
      </c>
      <c r="AD48">
        <v>0.37981092456108245</v>
      </c>
      <c r="AE48">
        <v>0.46130660700525289</v>
      </c>
      <c r="AF48">
        <v>0.39665927030440046</v>
      </c>
      <c r="AG48">
        <v>0.3727744081117409</v>
      </c>
      <c r="AH48">
        <v>0.40492347112720323</v>
      </c>
      <c r="AI48">
        <v>0.38705162054078934</v>
      </c>
      <c r="BO48" t="s">
        <v>166</v>
      </c>
      <c r="BP48">
        <v>0.4482919707586191</v>
      </c>
      <c r="BQ48">
        <v>0.40746491963358039</v>
      </c>
      <c r="BR48">
        <v>0.44116115748839285</v>
      </c>
      <c r="BS48">
        <v>0.32993471607475983</v>
      </c>
      <c r="BT48">
        <v>0.27569131326716745</v>
      </c>
      <c r="BU48">
        <v>0.28564671492343663</v>
      </c>
      <c r="BV48">
        <v>0.18678189834992459</v>
      </c>
      <c r="BW48">
        <v>0.17247187298344169</v>
      </c>
      <c r="BX48">
        <v>0.18993950868848408</v>
      </c>
      <c r="BY48">
        <v>0.35102647680828147</v>
      </c>
      <c r="BZ48">
        <v>0.31218459789698577</v>
      </c>
      <c r="CA48">
        <v>0.34171663491376214</v>
      </c>
      <c r="CC48" t="s">
        <v>176</v>
      </c>
      <c r="CD48" t="s">
        <v>184</v>
      </c>
      <c r="CE48" t="s">
        <v>185</v>
      </c>
      <c r="CF48">
        <v>0.34306485279285243</v>
      </c>
    </row>
    <row r="49" spans="22:84" x14ac:dyDescent="0.25">
      <c r="V49" t="s">
        <v>167</v>
      </c>
      <c r="W49" t="s">
        <v>31</v>
      </c>
      <c r="X49">
        <v>0.33638011852947886</v>
      </c>
      <c r="Y49">
        <v>0.34765958536988267</v>
      </c>
      <c r="Z49">
        <v>0.32656071899309358</v>
      </c>
      <c r="AA49">
        <v>0.31952875280547194</v>
      </c>
      <c r="AB49">
        <v>0.37382001191963832</v>
      </c>
      <c r="AC49">
        <v>0.36407435091616419</v>
      </c>
      <c r="AD49">
        <v>0.39667683044245661</v>
      </c>
      <c r="AE49">
        <v>0.46487039103558486</v>
      </c>
      <c r="AF49">
        <v>0.43711060707486249</v>
      </c>
      <c r="AG49">
        <v>0.34397283540127654</v>
      </c>
      <c r="AH49">
        <v>0.40645401173903634</v>
      </c>
      <c r="AI49">
        <v>0.37993771800915427</v>
      </c>
      <c r="BO49" t="s">
        <v>167</v>
      </c>
      <c r="BP49">
        <v>0.46768816578791061</v>
      </c>
      <c r="BQ49">
        <v>0.44210059044668887</v>
      </c>
      <c r="BR49">
        <v>0.46813096866514348</v>
      </c>
      <c r="BS49">
        <v>0.35649372773726046</v>
      </c>
      <c r="BT49">
        <v>0.29121623381964312</v>
      </c>
      <c r="BU49">
        <v>0.30883599371263548</v>
      </c>
      <c r="BV49">
        <v>0.20359591828086959</v>
      </c>
      <c r="BW49">
        <v>0.18929701902417578</v>
      </c>
      <c r="BX49">
        <v>0.20295365843172303</v>
      </c>
      <c r="BY49">
        <v>0.38069339000786756</v>
      </c>
      <c r="BZ49">
        <v>0.34120715946561198</v>
      </c>
      <c r="CA49">
        <v>0.38015314310272119</v>
      </c>
      <c r="CC49" t="s">
        <v>177</v>
      </c>
      <c r="CD49" t="s">
        <v>184</v>
      </c>
      <c r="CE49" t="s">
        <v>185</v>
      </c>
      <c r="CF49">
        <v>0.39765897939195255</v>
      </c>
    </row>
    <row r="50" spans="22:84" x14ac:dyDescent="0.25">
      <c r="V50" t="s">
        <v>168</v>
      </c>
      <c r="W50" t="s">
        <v>31</v>
      </c>
      <c r="X50">
        <v>0.33629650174765868</v>
      </c>
      <c r="Y50">
        <v>0.33405333881080795</v>
      </c>
      <c r="Z50">
        <v>0.31856845484988772</v>
      </c>
      <c r="AA50">
        <v>0.31887436110413275</v>
      </c>
      <c r="AB50">
        <v>0.35740072417947316</v>
      </c>
      <c r="AC50">
        <v>0.35331081165167944</v>
      </c>
      <c r="AD50">
        <v>0.35881214223209695</v>
      </c>
      <c r="AE50">
        <v>0.41773113700223169</v>
      </c>
      <c r="AF50">
        <v>0.38991379025286926</v>
      </c>
      <c r="AG50">
        <v>0.31989972789256371</v>
      </c>
      <c r="AH50">
        <v>0.34361846948583918</v>
      </c>
      <c r="AI50">
        <v>0.34241824502801804</v>
      </c>
      <c r="BO50" t="s">
        <v>168</v>
      </c>
      <c r="BP50">
        <v>0.46526033497312003</v>
      </c>
      <c r="BQ50">
        <v>0.46927159206622709</v>
      </c>
      <c r="BR50">
        <v>0.4918302820527376</v>
      </c>
      <c r="BS50">
        <v>0.37774489720008397</v>
      </c>
      <c r="BT50">
        <v>0.33568842201924981</v>
      </c>
      <c r="BU50">
        <v>0.32840843252446178</v>
      </c>
      <c r="BV50">
        <v>0.23072238207887938</v>
      </c>
      <c r="BW50">
        <v>0.24656828095764916</v>
      </c>
      <c r="BX50">
        <v>0.23158155932034891</v>
      </c>
      <c r="BY50">
        <v>0.4276139051342896</v>
      </c>
      <c r="BZ50">
        <v>0.40235150106773165</v>
      </c>
      <c r="CA50">
        <v>0.42009222695238363</v>
      </c>
      <c r="CC50" t="s">
        <v>178</v>
      </c>
      <c r="CD50" t="s">
        <v>184</v>
      </c>
      <c r="CE50" t="s">
        <v>185</v>
      </c>
      <c r="CF50">
        <v>0.4115216841857684</v>
      </c>
    </row>
    <row r="51" spans="22:84" x14ac:dyDescent="0.25">
      <c r="V51" t="s">
        <v>169</v>
      </c>
      <c r="W51" t="s">
        <v>31</v>
      </c>
      <c r="X51">
        <v>0.37543075841322543</v>
      </c>
      <c r="Y51">
        <v>0.40077233413293151</v>
      </c>
      <c r="Z51">
        <v>0.36253843136413377</v>
      </c>
      <c r="AA51">
        <v>0.3470163308377891</v>
      </c>
      <c r="AB51">
        <v>0.41877840109365605</v>
      </c>
      <c r="AC51">
        <v>0.37910500985701828</v>
      </c>
      <c r="AD51">
        <v>0.41805021644757118</v>
      </c>
      <c r="AE51">
        <v>0.50459066380086126</v>
      </c>
      <c r="AF51">
        <v>0.44356969908063976</v>
      </c>
      <c r="AG51">
        <v>0.36297746834987982</v>
      </c>
      <c r="AH51">
        <v>0.36168196682212927</v>
      </c>
      <c r="AI51">
        <v>0.38011245131666827</v>
      </c>
      <c r="BO51" t="s">
        <v>169</v>
      </c>
      <c r="BP51">
        <v>0.3510970037736641</v>
      </c>
      <c r="BQ51">
        <v>0.35474805893060157</v>
      </c>
      <c r="BR51">
        <v>0.38194063215509949</v>
      </c>
      <c r="BS51">
        <v>0.2461448678113819</v>
      </c>
      <c r="BT51">
        <v>0.22103005545128723</v>
      </c>
      <c r="BU51">
        <v>0.23017729822907987</v>
      </c>
      <c r="BV51">
        <v>0.16442739676116461</v>
      </c>
      <c r="BW51">
        <v>0.13868272978975499</v>
      </c>
      <c r="BX51">
        <v>0.1255775830711939</v>
      </c>
      <c r="BY51">
        <v>0.31314237849093318</v>
      </c>
      <c r="BZ51">
        <v>0.30537402186798923</v>
      </c>
      <c r="CA51">
        <v>0.28919809832378679</v>
      </c>
      <c r="CC51" t="s">
        <v>149</v>
      </c>
      <c r="CD51" t="s">
        <v>184</v>
      </c>
      <c r="CE51" t="s">
        <v>185</v>
      </c>
      <c r="CF51">
        <v>0.42175205219088946</v>
      </c>
    </row>
    <row r="52" spans="22:84" x14ac:dyDescent="0.25">
      <c r="V52" t="s">
        <v>170</v>
      </c>
      <c r="W52" t="s">
        <v>31</v>
      </c>
      <c r="X52">
        <v>0.372621370122308</v>
      </c>
      <c r="Y52">
        <v>0.38321576704459404</v>
      </c>
      <c r="Z52">
        <v>0.35962106037742203</v>
      </c>
      <c r="AA52">
        <v>0.32168255569018317</v>
      </c>
      <c r="AB52">
        <v>0.4110132995305133</v>
      </c>
      <c r="AC52">
        <v>0.39339518623679193</v>
      </c>
      <c r="AD52">
        <v>0.35606067265235941</v>
      </c>
      <c r="AE52">
        <v>0.49630298320361338</v>
      </c>
      <c r="AF52">
        <v>0.44982820853835331</v>
      </c>
      <c r="AG52">
        <v>0.34590824002595616</v>
      </c>
      <c r="AH52">
        <v>0.35368424693072986</v>
      </c>
      <c r="AI52">
        <v>0.37087226962649766</v>
      </c>
      <c r="BO52" t="s">
        <v>170</v>
      </c>
      <c r="BP52">
        <v>0.39099624364222463</v>
      </c>
      <c r="BQ52">
        <v>0.39069262169753965</v>
      </c>
      <c r="BR52">
        <v>0.40810043795875456</v>
      </c>
      <c r="BS52">
        <v>0.31665518721040764</v>
      </c>
      <c r="BT52">
        <v>0.24120211196126137</v>
      </c>
      <c r="BU52">
        <v>0.25551638628275436</v>
      </c>
      <c r="BV52">
        <v>0.20949470621951752</v>
      </c>
      <c r="BW52">
        <v>0.18260758033911739</v>
      </c>
      <c r="BX52">
        <v>0.17073437039978426</v>
      </c>
      <c r="BY52">
        <v>0.36228458644215294</v>
      </c>
      <c r="BZ52">
        <v>0.32975814114426782</v>
      </c>
      <c r="CA52">
        <v>0.34903837014946759</v>
      </c>
      <c r="CC52" t="s">
        <v>150</v>
      </c>
      <c r="CD52" t="s">
        <v>184</v>
      </c>
      <c r="CE52" t="s">
        <v>185</v>
      </c>
      <c r="CF52">
        <v>0.62233843017546842</v>
      </c>
    </row>
    <row r="53" spans="22:84" x14ac:dyDescent="0.25">
      <c r="V53" t="s">
        <v>171</v>
      </c>
      <c r="W53" t="s">
        <v>31</v>
      </c>
      <c r="X53">
        <v>0.37315514121012283</v>
      </c>
      <c r="Y53">
        <v>0.41391003397965093</v>
      </c>
      <c r="Z53">
        <v>0.37677472025578668</v>
      </c>
      <c r="AA53">
        <v>0.30564428322093568</v>
      </c>
      <c r="AB53">
        <v>0.40215682426673027</v>
      </c>
      <c r="AC53">
        <v>0.38300843815175273</v>
      </c>
      <c r="AD53">
        <v>0.37095363877671983</v>
      </c>
      <c r="AE53">
        <v>0.50607415621660978</v>
      </c>
      <c r="AF53">
        <v>0.48518415084996885</v>
      </c>
      <c r="AG53">
        <v>0.35360594001624474</v>
      </c>
      <c r="AH53">
        <v>0.36593438384705229</v>
      </c>
      <c r="AI53">
        <v>0.35651906234993852</v>
      </c>
      <c r="BO53" t="s">
        <v>171</v>
      </c>
      <c r="BP53">
        <v>0.37599218700170073</v>
      </c>
      <c r="BQ53">
        <v>0.36355224442947204</v>
      </c>
      <c r="BR53">
        <v>0.38774898801614494</v>
      </c>
      <c r="BS53">
        <v>0.32159372798037505</v>
      </c>
      <c r="BT53">
        <v>0.24891953020618118</v>
      </c>
      <c r="BU53">
        <v>0.26162384387749466</v>
      </c>
      <c r="BV53">
        <v>0.20488300853763206</v>
      </c>
      <c r="BW53">
        <v>0.16280512595917757</v>
      </c>
      <c r="BX53">
        <v>0.15300412782382372</v>
      </c>
      <c r="BY53">
        <v>0.35325045380039438</v>
      </c>
      <c r="BZ53">
        <v>0.31443124203905154</v>
      </c>
      <c r="CA53">
        <v>0.33830102518871702</v>
      </c>
      <c r="CC53" t="s">
        <v>151</v>
      </c>
      <c r="CD53" t="s">
        <v>184</v>
      </c>
      <c r="CE53" t="s">
        <v>185</v>
      </c>
      <c r="CF53">
        <v>0.53960545863036991</v>
      </c>
    </row>
    <row r="54" spans="22:84" x14ac:dyDescent="0.25">
      <c r="V54" t="s">
        <v>172</v>
      </c>
      <c r="W54" t="s">
        <v>31</v>
      </c>
      <c r="X54">
        <v>0.35977411070727067</v>
      </c>
      <c r="Y54">
        <v>0.37525545213711098</v>
      </c>
      <c r="Z54">
        <v>0.34207606987134243</v>
      </c>
      <c r="AA54">
        <v>0.3165611593287106</v>
      </c>
      <c r="AB54">
        <v>0.39321740141877709</v>
      </c>
      <c r="AC54">
        <v>0.41059172596480309</v>
      </c>
      <c r="AD54">
        <v>0.35506646138852543</v>
      </c>
      <c r="AE54">
        <v>0.47625739575755566</v>
      </c>
      <c r="AF54">
        <v>0.42699612269138304</v>
      </c>
      <c r="AG54">
        <v>0.34744726038659557</v>
      </c>
      <c r="AH54">
        <v>0.36797642057055913</v>
      </c>
      <c r="AI54">
        <v>0.34981682489751348</v>
      </c>
      <c r="BO54" t="s">
        <v>172</v>
      </c>
      <c r="BP54">
        <v>0.39347483217372109</v>
      </c>
      <c r="BQ54">
        <v>0.38340620978715967</v>
      </c>
      <c r="BR54">
        <v>0.41323895094385787</v>
      </c>
      <c r="BS54">
        <v>0.33704208049091505</v>
      </c>
      <c r="BT54">
        <v>0.26414334142649676</v>
      </c>
      <c r="BU54">
        <v>0.26513452255725589</v>
      </c>
      <c r="BV54">
        <v>0.19497943134392404</v>
      </c>
      <c r="BW54">
        <v>0.17461895220539</v>
      </c>
      <c r="BX54">
        <v>0.17814977529316237</v>
      </c>
      <c r="BY54">
        <v>0.34774494897552749</v>
      </c>
      <c r="BZ54">
        <v>0.32048698799595349</v>
      </c>
      <c r="CA54">
        <v>0.36068156564114057</v>
      </c>
      <c r="CC54" t="s">
        <v>152</v>
      </c>
      <c r="CD54" t="s">
        <v>184</v>
      </c>
      <c r="CE54" t="s">
        <v>185</v>
      </c>
      <c r="CF54">
        <v>0.62874898827293024</v>
      </c>
    </row>
    <row r="55" spans="22:84" x14ac:dyDescent="0.25">
      <c r="V55" t="s">
        <v>173</v>
      </c>
      <c r="W55" t="s">
        <v>31</v>
      </c>
      <c r="X55">
        <v>0.47963741153422312</v>
      </c>
      <c r="Y55">
        <v>0.50152031918945439</v>
      </c>
      <c r="Z55">
        <v>0.45842187105274629</v>
      </c>
      <c r="AA55">
        <v>0.48204290466657707</v>
      </c>
      <c r="AB55">
        <v>0.47752024624471467</v>
      </c>
      <c r="AC55">
        <v>0.43000149721872472</v>
      </c>
      <c r="AD55">
        <v>0.46231403782235087</v>
      </c>
      <c r="AE55">
        <v>0.46786226618747945</v>
      </c>
      <c r="AF55">
        <v>0.36625717812128339</v>
      </c>
      <c r="AG55">
        <v>0.47041381720450159</v>
      </c>
      <c r="AH55">
        <v>0.48729822885161239</v>
      </c>
      <c r="AI55">
        <v>0.45240683292064149</v>
      </c>
      <c r="BO55" t="s">
        <v>173</v>
      </c>
      <c r="BP55">
        <v>0.18755108536348097</v>
      </c>
      <c r="BQ55">
        <v>0.18707466439667075</v>
      </c>
      <c r="BR55">
        <v>0.19754873865951125</v>
      </c>
      <c r="BS55">
        <v>0.1073856196610832</v>
      </c>
      <c r="BT55">
        <v>0.12122161930401772</v>
      </c>
      <c r="BU55">
        <v>0.12978940057298594</v>
      </c>
      <c r="BV55">
        <v>3.6419518224876164E-2</v>
      </c>
      <c r="BW55">
        <v>5.8457739111846187E-2</v>
      </c>
      <c r="BX55">
        <v>6.9402634372388569E-2</v>
      </c>
      <c r="BY55">
        <v>0.12325627947454552</v>
      </c>
      <c r="BZ55">
        <v>0.13035219078801638</v>
      </c>
      <c r="CA55">
        <v>0.15292434366895646</v>
      </c>
      <c r="CC55" t="s">
        <v>153</v>
      </c>
      <c r="CD55" t="s">
        <v>184</v>
      </c>
      <c r="CE55" t="s">
        <v>185</v>
      </c>
      <c r="CF55">
        <v>0.62168655034705689</v>
      </c>
    </row>
    <row r="56" spans="22:84" x14ac:dyDescent="0.25">
      <c r="V56" t="s">
        <v>174</v>
      </c>
      <c r="W56" t="s">
        <v>31</v>
      </c>
      <c r="X56">
        <v>0.33969778577529458</v>
      </c>
      <c r="Y56">
        <v>0.36120593834428955</v>
      </c>
      <c r="Z56">
        <v>0.33811200333142027</v>
      </c>
      <c r="AA56">
        <v>0.39805303559781341</v>
      </c>
      <c r="AB56">
        <v>0.44893504000442513</v>
      </c>
      <c r="AC56">
        <v>0.382950311560733</v>
      </c>
      <c r="AD56">
        <v>0.4005901640121296</v>
      </c>
      <c r="AE56">
        <v>0.48083732623581227</v>
      </c>
      <c r="AF56">
        <v>0.37731484118048486</v>
      </c>
      <c r="AG56">
        <v>0.37105776420871733</v>
      </c>
      <c r="AH56">
        <v>0.42301129610307842</v>
      </c>
      <c r="AI56">
        <v>0.38789580844317517</v>
      </c>
      <c r="BO56" t="s">
        <v>174</v>
      </c>
      <c r="BP56">
        <v>0.45436922356597143</v>
      </c>
      <c r="BQ56">
        <v>0.43059295359556826</v>
      </c>
      <c r="BR56">
        <v>0.47157106867779353</v>
      </c>
      <c r="BS56">
        <v>0.28963101603570768</v>
      </c>
      <c r="BT56">
        <v>0.27303704718827881</v>
      </c>
      <c r="BU56">
        <v>0.28815580086063181</v>
      </c>
      <c r="BV56">
        <v>0.13004081730175804</v>
      </c>
      <c r="BW56">
        <v>0.12013895745535011</v>
      </c>
      <c r="BX56">
        <v>0.12076536088474095</v>
      </c>
      <c r="BY56">
        <v>0.35403370700564007</v>
      </c>
      <c r="BZ56">
        <v>0.33157129844871319</v>
      </c>
      <c r="CA56">
        <v>0.34430133503576937</v>
      </c>
      <c r="CC56" t="s">
        <v>154</v>
      </c>
      <c r="CD56" t="s">
        <v>184</v>
      </c>
      <c r="CE56" t="s">
        <v>185</v>
      </c>
      <c r="CF56">
        <v>0.61279089815627086</v>
      </c>
    </row>
    <row r="57" spans="22:84" x14ac:dyDescent="0.25">
      <c r="V57" t="s">
        <v>175</v>
      </c>
      <c r="W57" t="s">
        <v>31</v>
      </c>
      <c r="X57">
        <v>0.36359691608157052</v>
      </c>
      <c r="Y57">
        <v>0.40046957769102315</v>
      </c>
      <c r="Z57">
        <v>0.36746025621849959</v>
      </c>
      <c r="AA57">
        <v>0.40296466017372301</v>
      </c>
      <c r="AB57">
        <v>0.43977625033317003</v>
      </c>
      <c r="AC57">
        <v>0.36194928951723032</v>
      </c>
      <c r="AD57">
        <v>0.38273505724164264</v>
      </c>
      <c r="AE57">
        <v>0.48455730153459214</v>
      </c>
      <c r="AF57">
        <v>0.40074986386562295</v>
      </c>
      <c r="AG57">
        <v>0.38182946756206942</v>
      </c>
      <c r="AH57">
        <v>0.43543052744710159</v>
      </c>
      <c r="AI57">
        <v>0.39044476270148548</v>
      </c>
      <c r="BO57" t="s">
        <v>175</v>
      </c>
      <c r="BP57">
        <v>0.31725589769161749</v>
      </c>
      <c r="BQ57">
        <v>0.30218073679002094</v>
      </c>
      <c r="BR57">
        <v>0.32989631782544893</v>
      </c>
      <c r="BS57">
        <v>0.23105180343248208</v>
      </c>
      <c r="BT57">
        <v>0.21641048855123152</v>
      </c>
      <c r="BU57">
        <v>0.22306225925173437</v>
      </c>
      <c r="BV57">
        <v>0.11223036081097237</v>
      </c>
      <c r="BW57">
        <v>0.10781460073372755</v>
      </c>
      <c r="BX57">
        <v>0.12394874405422307</v>
      </c>
      <c r="BY57">
        <v>0.25620255742005538</v>
      </c>
      <c r="BZ57">
        <v>0.2347556933343859</v>
      </c>
      <c r="CA57">
        <v>0.28530711185986041</v>
      </c>
      <c r="CC57" t="s">
        <v>155</v>
      </c>
      <c r="CD57" t="s">
        <v>184</v>
      </c>
      <c r="CE57" t="s">
        <v>185</v>
      </c>
      <c r="CF57">
        <v>0.51127077338671501</v>
      </c>
    </row>
    <row r="58" spans="22:84" x14ac:dyDescent="0.25">
      <c r="V58" t="s">
        <v>176</v>
      </c>
      <c r="W58" t="s">
        <v>31</v>
      </c>
      <c r="X58">
        <v>0.38268626869221573</v>
      </c>
      <c r="Y58">
        <v>0.4222557146200655</v>
      </c>
      <c r="Z58">
        <v>0.39378589637550648</v>
      </c>
      <c r="AA58">
        <v>0.3590989307758809</v>
      </c>
      <c r="AB58">
        <v>0.41301068481754788</v>
      </c>
      <c r="AC58">
        <v>0.38600667583711851</v>
      </c>
      <c r="AD58">
        <v>0.4080615172536336</v>
      </c>
      <c r="AE58">
        <v>0.46693604202790306</v>
      </c>
      <c r="AF58">
        <v>0.39086258215160469</v>
      </c>
      <c r="AG58">
        <v>0.39475625201263809</v>
      </c>
      <c r="AH58">
        <v>0.38255927818431074</v>
      </c>
      <c r="AI58">
        <v>0.3758587569677071</v>
      </c>
      <c r="BO58" t="s">
        <v>176</v>
      </c>
      <c r="BP58">
        <v>0.31888618965703625</v>
      </c>
      <c r="BQ58">
        <v>0.31278464598829286</v>
      </c>
      <c r="BR58">
        <v>0.34311302084878265</v>
      </c>
      <c r="BS58">
        <v>0.23790075708449188</v>
      </c>
      <c r="BT58">
        <v>0.24122703420953023</v>
      </c>
      <c r="BU58">
        <v>0.25127034222136996</v>
      </c>
      <c r="BV58">
        <v>0.13056913110480189</v>
      </c>
      <c r="BW58">
        <v>0.1293514925421107</v>
      </c>
      <c r="BX58">
        <v>0.12535496433575397</v>
      </c>
      <c r="BY58">
        <v>0.26073395450280418</v>
      </c>
      <c r="BZ58">
        <v>0.27301199500993845</v>
      </c>
      <c r="CA58">
        <v>0.27868060097642222</v>
      </c>
      <c r="CC58" t="s">
        <v>156</v>
      </c>
      <c r="CD58" t="s">
        <v>184</v>
      </c>
      <c r="CE58" t="s">
        <v>185</v>
      </c>
      <c r="CF58">
        <v>0.64231446956063309</v>
      </c>
    </row>
    <row r="59" spans="22:84" x14ac:dyDescent="0.25">
      <c r="V59" t="s">
        <v>177</v>
      </c>
      <c r="W59" t="s">
        <v>31</v>
      </c>
      <c r="X59">
        <v>0.35112076974005646</v>
      </c>
      <c r="Y59">
        <v>0.39214895323989002</v>
      </c>
      <c r="Z59">
        <v>0.33978332579664011</v>
      </c>
      <c r="AA59">
        <v>0.3415866516404929</v>
      </c>
      <c r="AB59">
        <v>0.41774572599388099</v>
      </c>
      <c r="AC59">
        <v>0.36653999669856463</v>
      </c>
      <c r="AD59">
        <v>0.35808677910538267</v>
      </c>
      <c r="AE59">
        <v>0.49250475596487292</v>
      </c>
      <c r="AF59">
        <v>0.44935044296212506</v>
      </c>
      <c r="AG59">
        <v>0.36375303833001132</v>
      </c>
      <c r="AH59">
        <v>0.42582142025364556</v>
      </c>
      <c r="AI59">
        <v>0.35049042257295399</v>
      </c>
      <c r="BO59" t="s">
        <v>177</v>
      </c>
      <c r="BP59">
        <v>0.36576147827018229</v>
      </c>
      <c r="BQ59">
        <v>0.35691810290078119</v>
      </c>
      <c r="BR59">
        <v>0.39799626585589143</v>
      </c>
      <c r="BS59">
        <v>0.26838086288337282</v>
      </c>
      <c r="BT59">
        <v>0.21060598208591788</v>
      </c>
      <c r="BU59">
        <v>0.23756465588568254</v>
      </c>
      <c r="BV59">
        <v>0.1369039306215922</v>
      </c>
      <c r="BW59">
        <v>0.11702170865243842</v>
      </c>
      <c r="BX59">
        <v>0.11992818749786362</v>
      </c>
      <c r="BY59">
        <v>0.28110243720383105</v>
      </c>
      <c r="BZ59">
        <v>0.2521231529537028</v>
      </c>
      <c r="CA59">
        <v>0.31231400359606015</v>
      </c>
      <c r="CC59" t="s">
        <v>157</v>
      </c>
      <c r="CD59" t="s">
        <v>184</v>
      </c>
      <c r="CE59" t="s">
        <v>185</v>
      </c>
      <c r="CF59">
        <v>0.64206873489157001</v>
      </c>
    </row>
    <row r="60" spans="22:84" x14ac:dyDescent="0.25">
      <c r="V60" t="s">
        <v>178</v>
      </c>
      <c r="W60" t="s">
        <v>31</v>
      </c>
      <c r="X60">
        <v>0.36168083491868158</v>
      </c>
      <c r="Y60">
        <v>0.38922607183063801</v>
      </c>
      <c r="Z60">
        <v>0.36930814453968119</v>
      </c>
      <c r="AA60">
        <v>0.34613413572587798</v>
      </c>
      <c r="AB60">
        <v>0.40987205547561878</v>
      </c>
      <c r="AC60">
        <v>0.39455805843669417</v>
      </c>
      <c r="AD60">
        <v>0.38832151406614085</v>
      </c>
      <c r="AE60">
        <v>0.46800781194847879</v>
      </c>
      <c r="AF60">
        <v>0.42742301576443431</v>
      </c>
      <c r="AG60">
        <v>0.37979761588705024</v>
      </c>
      <c r="AH60">
        <v>0.42647486650450039</v>
      </c>
      <c r="AI60">
        <v>0.36121200776947759</v>
      </c>
      <c r="BO60" t="s">
        <v>178</v>
      </c>
      <c r="BP60">
        <v>0.38800648138762034</v>
      </c>
      <c r="BQ60">
        <v>0.37836596001793943</v>
      </c>
      <c r="BR60">
        <v>0.41153290174427964</v>
      </c>
      <c r="BS60">
        <v>0.27333484067689107</v>
      </c>
      <c r="BT60">
        <v>0.23511859754093936</v>
      </c>
      <c r="BU60">
        <v>0.2469868560778716</v>
      </c>
      <c r="BV60">
        <v>0.13565395522544896</v>
      </c>
      <c r="BW60">
        <v>0.12291597606858666</v>
      </c>
      <c r="BX60">
        <v>0.11459829471193103</v>
      </c>
      <c r="BY60">
        <v>0.28948042807928426</v>
      </c>
      <c r="BZ60">
        <v>0.27681174513590157</v>
      </c>
      <c r="CA60">
        <v>0.30477813229051082</v>
      </c>
      <c r="CC60" t="s">
        <v>158</v>
      </c>
      <c r="CD60" t="s">
        <v>184</v>
      </c>
      <c r="CE60" t="s">
        <v>185</v>
      </c>
      <c r="CF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D508-FF1F-4B0A-8527-DC66A740F138}">
  <dimension ref="B9:J22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47</v>
      </c>
      <c r="C10" t="s">
        <v>42</v>
      </c>
      <c r="D10" t="s">
        <v>41</v>
      </c>
      <c r="E10" t="s">
        <v>40</v>
      </c>
      <c r="G10" t="s">
        <v>47</v>
      </c>
      <c r="H10" t="s">
        <v>42</v>
      </c>
      <c r="I10" t="s">
        <v>41</v>
      </c>
      <c r="J10" t="s">
        <v>40</v>
      </c>
    </row>
    <row r="11" spans="2:10" x14ac:dyDescent="0.25">
      <c r="B11">
        <v>1</v>
      </c>
      <c r="C11">
        <v>1.0000000000000002</v>
      </c>
      <c r="D11" t="s">
        <v>44</v>
      </c>
      <c r="E11" t="s">
        <v>48</v>
      </c>
      <c r="G11">
        <v>0.11426940639269406</v>
      </c>
      <c r="H11">
        <v>0.16087081189037786</v>
      </c>
      <c r="I11" t="s">
        <v>67</v>
      </c>
      <c r="J11" t="s">
        <v>48</v>
      </c>
    </row>
    <row r="12" spans="2:10" x14ac:dyDescent="0.25">
      <c r="G12">
        <v>0.11426940639269406</v>
      </c>
      <c r="H12">
        <v>5.2547713165767528E-2</v>
      </c>
      <c r="I12" t="s">
        <v>69</v>
      </c>
      <c r="J12" t="s">
        <v>48</v>
      </c>
    </row>
    <row r="13" spans="2:10" x14ac:dyDescent="0.25">
      <c r="G13">
        <v>2.0776255707762557E-2</v>
      </c>
      <c r="H13">
        <v>3.5896543437005365E-2</v>
      </c>
      <c r="I13" t="s">
        <v>70</v>
      </c>
      <c r="J13" t="s">
        <v>48</v>
      </c>
    </row>
    <row r="14" spans="2:10" x14ac:dyDescent="0.25">
      <c r="G14">
        <v>0.11552511415525114</v>
      </c>
      <c r="H14">
        <v>0.16263862301005233</v>
      </c>
      <c r="I14" t="s">
        <v>71</v>
      </c>
      <c r="J14" t="s">
        <v>48</v>
      </c>
    </row>
    <row r="15" spans="2:10" x14ac:dyDescent="0.25">
      <c r="G15">
        <v>0.11552511415525114</v>
      </c>
      <c r="H15">
        <v>5.3125160563193538E-2</v>
      </c>
      <c r="I15" t="s">
        <v>72</v>
      </c>
      <c r="J15" t="s">
        <v>48</v>
      </c>
    </row>
    <row r="16" spans="2:10" x14ac:dyDescent="0.25">
      <c r="G16">
        <v>2.1004566210045664E-2</v>
      </c>
      <c r="H16">
        <v>3.6291010947302131E-2</v>
      </c>
      <c r="I16" t="s">
        <v>73</v>
      </c>
      <c r="J16" t="s">
        <v>48</v>
      </c>
    </row>
    <row r="17" spans="7:10" x14ac:dyDescent="0.25">
      <c r="G17">
        <v>0.11552511415525114</v>
      </c>
      <c r="H17">
        <v>0.16263862301005233</v>
      </c>
      <c r="I17" t="s">
        <v>74</v>
      </c>
      <c r="J17" t="s">
        <v>48</v>
      </c>
    </row>
    <row r="18" spans="7:10" x14ac:dyDescent="0.25">
      <c r="G18">
        <v>0.11552511415525114</v>
      </c>
      <c r="H18">
        <v>5.3125160563193538E-2</v>
      </c>
      <c r="I18" t="s">
        <v>75</v>
      </c>
      <c r="J18" t="s">
        <v>48</v>
      </c>
    </row>
    <row r="19" spans="7:10" x14ac:dyDescent="0.25">
      <c r="G19">
        <v>2.1004566210045664E-2</v>
      </c>
      <c r="H19">
        <v>3.6291010947302131E-2</v>
      </c>
      <c r="I19" t="s">
        <v>76</v>
      </c>
      <c r="J19" t="s">
        <v>48</v>
      </c>
    </row>
    <row r="20" spans="7:10" x14ac:dyDescent="0.25">
      <c r="G20">
        <v>0.11301369863013698</v>
      </c>
      <c r="H20">
        <v>0.15910300077070333</v>
      </c>
      <c r="I20" t="s">
        <v>77</v>
      </c>
      <c r="J20" t="s">
        <v>48</v>
      </c>
    </row>
    <row r="21" spans="7:10" x14ac:dyDescent="0.25">
      <c r="G21">
        <v>0.11301369863013698</v>
      </c>
      <c r="H21">
        <v>5.197026576834151E-2</v>
      </c>
      <c r="I21" t="s">
        <v>78</v>
      </c>
      <c r="J21" t="s">
        <v>48</v>
      </c>
    </row>
    <row r="22" spans="7:10" x14ac:dyDescent="0.25">
      <c r="G22">
        <v>2.0547945205479451E-2</v>
      </c>
      <c r="H22">
        <v>3.5502075926708607E-2</v>
      </c>
      <c r="I22" t="s">
        <v>79</v>
      </c>
      <c r="J22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3089-BEB4-42D3-BC8F-B2A17AAAC3E6}">
  <dimension ref="B9:H34"/>
  <sheetViews>
    <sheetView workbookViewId="0">
      <selection activeCell="B12" sqref="B12"/>
    </sheetView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42</v>
      </c>
      <c r="F10" t="s">
        <v>40</v>
      </c>
      <c r="G10" t="s">
        <v>41</v>
      </c>
      <c r="H10" t="s">
        <v>42</v>
      </c>
    </row>
    <row r="11" spans="2:8" x14ac:dyDescent="0.25">
      <c r="B11" t="s">
        <v>52</v>
      </c>
      <c r="C11" t="s">
        <v>44</v>
      </c>
      <c r="D11">
        <v>1</v>
      </c>
      <c r="F11" t="s">
        <v>52</v>
      </c>
      <c r="G11" t="s">
        <v>67</v>
      </c>
      <c r="H11">
        <v>0.12094558297781025</v>
      </c>
    </row>
    <row r="12" spans="2:8" x14ac:dyDescent="0.25">
      <c r="B12" t="s">
        <v>53</v>
      </c>
      <c r="C12" t="s">
        <v>44</v>
      </c>
      <c r="D12">
        <v>1</v>
      </c>
      <c r="F12" t="s">
        <v>52</v>
      </c>
      <c r="G12" t="s">
        <v>69</v>
      </c>
      <c r="H12">
        <v>9.7629702715959499E-2</v>
      </c>
    </row>
    <row r="13" spans="2:8" x14ac:dyDescent="0.25">
      <c r="F13" t="s">
        <v>52</v>
      </c>
      <c r="G13" t="s">
        <v>70</v>
      </c>
      <c r="H13">
        <v>2.2870641160585892E-2</v>
      </c>
    </row>
    <row r="14" spans="2:8" x14ac:dyDescent="0.25">
      <c r="F14" t="s">
        <v>52</v>
      </c>
      <c r="G14" t="s">
        <v>71</v>
      </c>
      <c r="H14">
        <v>0.12698295296846768</v>
      </c>
    </row>
    <row r="15" spans="2:8" x14ac:dyDescent="0.25">
      <c r="F15" t="s">
        <v>52</v>
      </c>
      <c r="G15" t="s">
        <v>72</v>
      </c>
      <c r="H15">
        <v>0.10239355451893362</v>
      </c>
    </row>
    <row r="16" spans="2:8" x14ac:dyDescent="0.25">
      <c r="F16" t="s">
        <v>52</v>
      </c>
      <c r="G16" t="s">
        <v>73</v>
      </c>
      <c r="H16">
        <v>2.3807692525458619E-2</v>
      </c>
    </row>
    <row r="17" spans="6:8" x14ac:dyDescent="0.25">
      <c r="F17" t="s">
        <v>52</v>
      </c>
      <c r="G17" t="s">
        <v>74</v>
      </c>
      <c r="H17">
        <v>0.11909737812469431</v>
      </c>
    </row>
    <row r="18" spans="6:8" x14ac:dyDescent="0.25">
      <c r="F18" t="s">
        <v>52</v>
      </c>
      <c r="G18" t="s">
        <v>75</v>
      </c>
      <c r="H18">
        <v>9.2957468354683936E-2</v>
      </c>
    </row>
    <row r="19" spans="6:8" x14ac:dyDescent="0.25">
      <c r="F19" t="s">
        <v>52</v>
      </c>
      <c r="G19" t="s">
        <v>76</v>
      </c>
      <c r="H19">
        <v>2.2587488204147264E-2</v>
      </c>
    </row>
    <row r="20" spans="6:8" x14ac:dyDescent="0.25">
      <c r="F20" t="s">
        <v>52</v>
      </c>
      <c r="G20" t="s">
        <v>77</v>
      </c>
      <c r="H20">
        <v>0.13476211756156323</v>
      </c>
    </row>
    <row r="21" spans="6:8" x14ac:dyDescent="0.25">
      <c r="F21" t="s">
        <v>52</v>
      </c>
      <c r="G21" t="s">
        <v>78</v>
      </c>
      <c r="H21">
        <v>0.11086365863159037</v>
      </c>
    </row>
    <row r="22" spans="6:8" x14ac:dyDescent="0.25">
      <c r="F22" t="s">
        <v>52</v>
      </c>
      <c r="G22" t="s">
        <v>79</v>
      </c>
      <c r="H22">
        <v>2.5101762256105387E-2</v>
      </c>
    </row>
    <row r="23" spans="6:8" x14ac:dyDescent="0.25">
      <c r="F23" t="s">
        <v>53</v>
      </c>
      <c r="G23" t="s">
        <v>67</v>
      </c>
      <c r="H23">
        <v>0.11487160367388488</v>
      </c>
    </row>
    <row r="24" spans="6:8" x14ac:dyDescent="0.25">
      <c r="F24" t="s">
        <v>53</v>
      </c>
      <c r="G24" t="s">
        <v>69</v>
      </c>
      <c r="H24">
        <v>0.11345846473345103</v>
      </c>
    </row>
    <row r="25" spans="6:8" x14ac:dyDescent="0.25">
      <c r="F25" t="s">
        <v>53</v>
      </c>
      <c r="G25" t="s">
        <v>70</v>
      </c>
      <c r="H25">
        <v>2.0939113978062123E-2</v>
      </c>
    </row>
    <row r="26" spans="6:8" x14ac:dyDescent="0.25">
      <c r="F26" t="s">
        <v>53</v>
      </c>
      <c r="G26" t="s">
        <v>71</v>
      </c>
      <c r="H26">
        <v>0.1161912006545419</v>
      </c>
    </row>
    <row r="27" spans="6:8" x14ac:dyDescent="0.25">
      <c r="F27" t="s">
        <v>53</v>
      </c>
      <c r="G27" t="s">
        <v>72</v>
      </c>
      <c r="H27">
        <v>0.11470087577378948</v>
      </c>
    </row>
    <row r="28" spans="6:8" x14ac:dyDescent="0.25">
      <c r="F28" t="s">
        <v>53</v>
      </c>
      <c r="G28" t="s">
        <v>73</v>
      </c>
      <c r="H28">
        <v>2.116930381966883E-2</v>
      </c>
    </row>
    <row r="29" spans="6:8" x14ac:dyDescent="0.25">
      <c r="F29" t="s">
        <v>53</v>
      </c>
      <c r="G29" t="s">
        <v>74</v>
      </c>
      <c r="H29">
        <v>0.11617878515350658</v>
      </c>
    </row>
    <row r="30" spans="6:8" x14ac:dyDescent="0.25">
      <c r="F30" t="s">
        <v>53</v>
      </c>
      <c r="G30" t="s">
        <v>75</v>
      </c>
      <c r="H30">
        <v>0.11459448621301711</v>
      </c>
    </row>
    <row r="31" spans="6:8" x14ac:dyDescent="0.25">
      <c r="F31" t="s">
        <v>53</v>
      </c>
      <c r="G31" t="s">
        <v>76</v>
      </c>
      <c r="H31">
        <v>2.1179988571855702E-2</v>
      </c>
    </row>
    <row r="32" spans="6:8" x14ac:dyDescent="0.25">
      <c r="F32" t="s">
        <v>53</v>
      </c>
      <c r="G32" t="s">
        <v>77</v>
      </c>
      <c r="H32">
        <v>0.11372546497287447</v>
      </c>
    </row>
    <row r="33" spans="6:8" x14ac:dyDescent="0.25">
      <c r="F33" t="s">
        <v>53</v>
      </c>
      <c r="G33" t="s">
        <v>78</v>
      </c>
      <c r="H33">
        <v>0.11227701685292248</v>
      </c>
    </row>
    <row r="34" spans="6:8" x14ac:dyDescent="0.25">
      <c r="F34" t="s">
        <v>53</v>
      </c>
      <c r="G34" t="s">
        <v>79</v>
      </c>
      <c r="H34">
        <v>2.0713695602425357E-2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BC6E-F68A-4634-93A1-292B1461986D}">
  <dimension ref="B9:H22"/>
  <sheetViews>
    <sheetView workbookViewId="0"/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54</v>
      </c>
      <c r="F10" t="s">
        <v>40</v>
      </c>
      <c r="G10" t="s">
        <v>41</v>
      </c>
      <c r="H10" t="s">
        <v>54</v>
      </c>
    </row>
    <row r="11" spans="2:8" x14ac:dyDescent="0.25">
      <c r="B11" t="s">
        <v>12</v>
      </c>
      <c r="C11" t="s">
        <v>44</v>
      </c>
      <c r="D11">
        <v>0.2276946866804006</v>
      </c>
      <c r="F11" t="s">
        <v>12</v>
      </c>
      <c r="G11" t="s">
        <v>67</v>
      </c>
      <c r="H11">
        <v>8.3291586702510134E-2</v>
      </c>
    </row>
    <row r="12" spans="2:8" x14ac:dyDescent="0.25">
      <c r="F12" t="s">
        <v>12</v>
      </c>
      <c r="G12" t="s">
        <v>69</v>
      </c>
      <c r="H12">
        <v>0.22245381752030347</v>
      </c>
    </row>
    <row r="13" spans="2:8" x14ac:dyDescent="0.25">
      <c r="F13" t="s">
        <v>12</v>
      </c>
      <c r="G13" t="s">
        <v>70</v>
      </c>
      <c r="H13">
        <v>4.818309224153694E-2</v>
      </c>
    </row>
    <row r="14" spans="2:8" x14ac:dyDescent="0.25">
      <c r="F14" t="s">
        <v>12</v>
      </c>
      <c r="G14" t="s">
        <v>71</v>
      </c>
      <c r="H14">
        <v>0.12553203441358796</v>
      </c>
    </row>
    <row r="15" spans="2:8" x14ac:dyDescent="0.25">
      <c r="F15" t="s">
        <v>12</v>
      </c>
      <c r="G15" t="s">
        <v>72</v>
      </c>
      <c r="H15">
        <v>0.27271755731017966</v>
      </c>
    </row>
    <row r="16" spans="2:8" x14ac:dyDescent="0.25">
      <c r="F16" t="s">
        <v>12</v>
      </c>
      <c r="G16" t="s">
        <v>73</v>
      </c>
      <c r="H16">
        <v>9.7197688050016717E-2</v>
      </c>
    </row>
    <row r="17" spans="6:8" x14ac:dyDescent="0.25">
      <c r="F17" t="s">
        <v>12</v>
      </c>
      <c r="G17" t="s">
        <v>74</v>
      </c>
      <c r="H17">
        <v>0.13219695277377475</v>
      </c>
    </row>
    <row r="18" spans="6:8" x14ac:dyDescent="0.25">
      <c r="F18" t="s">
        <v>12</v>
      </c>
      <c r="G18" t="s">
        <v>75</v>
      </c>
      <c r="H18">
        <v>0.27531118906943464</v>
      </c>
    </row>
    <row r="19" spans="6:8" x14ac:dyDescent="0.25">
      <c r="F19" t="s">
        <v>12</v>
      </c>
      <c r="G19" t="s">
        <v>76</v>
      </c>
      <c r="H19">
        <v>7.5608583715701894E-2</v>
      </c>
    </row>
    <row r="20" spans="6:8" x14ac:dyDescent="0.25">
      <c r="F20" t="s">
        <v>12</v>
      </c>
      <c r="G20" t="s">
        <v>77</v>
      </c>
      <c r="H20">
        <v>0.10085283825409119</v>
      </c>
    </row>
    <row r="21" spans="6:8" x14ac:dyDescent="0.25">
      <c r="F21" t="s">
        <v>12</v>
      </c>
      <c r="G21" t="s">
        <v>78</v>
      </c>
      <c r="H21">
        <v>0.214380705760159</v>
      </c>
    </row>
    <row r="22" spans="6:8" x14ac:dyDescent="0.25">
      <c r="F22" t="s">
        <v>12</v>
      </c>
      <c r="G22" t="s">
        <v>79</v>
      </c>
      <c r="H22">
        <v>5.9151060625885377E-2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64CF-15A2-40C8-A97F-3BCF46BDB489}">
  <dimension ref="B9:J126"/>
  <sheetViews>
    <sheetView tabSelected="1" workbookViewId="0"/>
  </sheetViews>
  <sheetFormatPr defaultRowHeight="15" x14ac:dyDescent="0.25"/>
  <sheetData>
    <row r="9" spans="2:10" x14ac:dyDescent="0.25">
      <c r="B9" t="str">
        <f>IF(A11="x","DeActivated","~TFM_INS-AT")</f>
        <v>~TFM_INS-AT</v>
      </c>
      <c r="G9" t="str">
        <f>IF(A11="x","DeActivated","~TFM_INS-AT")</f>
        <v>~TFM_INS-AT</v>
      </c>
    </row>
    <row r="10" spans="2:10" x14ac:dyDescent="0.25">
      <c r="B10" t="s">
        <v>55</v>
      </c>
      <c r="C10" t="s">
        <v>41</v>
      </c>
      <c r="D10" t="s">
        <v>56</v>
      </c>
      <c r="E10" t="s">
        <v>57</v>
      </c>
      <c r="G10" t="s">
        <v>55</v>
      </c>
      <c r="H10" t="s">
        <v>41</v>
      </c>
      <c r="I10" t="s">
        <v>56</v>
      </c>
      <c r="J10" t="s">
        <v>57</v>
      </c>
    </row>
    <row r="11" spans="2:10" x14ac:dyDescent="0.25">
      <c r="B11">
        <v>2020</v>
      </c>
      <c r="C11" t="s">
        <v>37</v>
      </c>
      <c r="D11">
        <v>0.56919999999999993</v>
      </c>
      <c r="E11" t="s">
        <v>58</v>
      </c>
      <c r="G11">
        <v>2020</v>
      </c>
      <c r="H11" t="s">
        <v>59</v>
      </c>
      <c r="I11">
        <v>0.19109794455416573</v>
      </c>
      <c r="J11" t="s">
        <v>58</v>
      </c>
    </row>
    <row r="12" spans="2:10" x14ac:dyDescent="0.25">
      <c r="B12">
        <v>2021</v>
      </c>
      <c r="C12" t="s">
        <v>37</v>
      </c>
      <c r="D12">
        <v>0.48831666666666673</v>
      </c>
      <c r="E12" t="s">
        <v>58</v>
      </c>
      <c r="G12">
        <v>2020</v>
      </c>
      <c r="H12" t="s">
        <v>61</v>
      </c>
      <c r="I12">
        <v>0.17524931119401163</v>
      </c>
      <c r="J12" t="s">
        <v>58</v>
      </c>
    </row>
    <row r="13" spans="2:10" x14ac:dyDescent="0.25">
      <c r="B13">
        <v>2022</v>
      </c>
      <c r="C13" t="s">
        <v>37</v>
      </c>
      <c r="D13">
        <v>0.40083333333333337</v>
      </c>
      <c r="E13" t="s">
        <v>58</v>
      </c>
      <c r="G13">
        <v>2020</v>
      </c>
      <c r="H13" t="s">
        <v>62</v>
      </c>
      <c r="I13">
        <v>0.19460293077804594</v>
      </c>
      <c r="J13" t="s">
        <v>58</v>
      </c>
    </row>
    <row r="14" spans="2:10" x14ac:dyDescent="0.25">
      <c r="B14">
        <v>2025</v>
      </c>
      <c r="C14" t="s">
        <v>37</v>
      </c>
      <c r="D14">
        <v>0.41761666666666675</v>
      </c>
      <c r="E14" t="s">
        <v>58</v>
      </c>
      <c r="G14">
        <v>2020</v>
      </c>
      <c r="H14" t="s">
        <v>64</v>
      </c>
      <c r="I14">
        <v>0.19280051657296213</v>
      </c>
      <c r="J14" t="s">
        <v>58</v>
      </c>
    </row>
    <row r="15" spans="2:10" x14ac:dyDescent="0.25">
      <c r="B15">
        <v>2026</v>
      </c>
      <c r="C15" t="s">
        <v>37</v>
      </c>
      <c r="D15">
        <v>0.43812500000000004</v>
      </c>
      <c r="E15" t="s">
        <v>58</v>
      </c>
      <c r="G15">
        <v>2021</v>
      </c>
      <c r="H15" t="s">
        <v>59</v>
      </c>
      <c r="I15">
        <v>0.18891105937996525</v>
      </c>
      <c r="J15" t="s">
        <v>58</v>
      </c>
    </row>
    <row r="16" spans="2:10" x14ac:dyDescent="0.25">
      <c r="B16">
        <v>2027</v>
      </c>
      <c r="C16" t="s">
        <v>37</v>
      </c>
      <c r="D16">
        <v>0.39147499999999996</v>
      </c>
      <c r="E16" t="s">
        <v>58</v>
      </c>
      <c r="G16">
        <v>2021</v>
      </c>
      <c r="H16" t="s">
        <v>61</v>
      </c>
      <c r="I16">
        <v>0.28960203968517906</v>
      </c>
      <c r="J16" t="s">
        <v>58</v>
      </c>
    </row>
    <row r="17" spans="2:10" x14ac:dyDescent="0.25">
      <c r="B17">
        <v>2028</v>
      </c>
      <c r="C17" t="s">
        <v>37</v>
      </c>
      <c r="D17">
        <v>0.44040000000000007</v>
      </c>
      <c r="E17" t="s">
        <v>58</v>
      </c>
      <c r="G17">
        <v>2021</v>
      </c>
      <c r="H17" t="s">
        <v>62</v>
      </c>
      <c r="I17">
        <v>0.17736392861101871</v>
      </c>
      <c r="J17" t="s">
        <v>58</v>
      </c>
    </row>
    <row r="18" spans="2:10" x14ac:dyDescent="0.25">
      <c r="B18">
        <v>2029</v>
      </c>
      <c r="C18" t="s">
        <v>37</v>
      </c>
      <c r="D18">
        <v>0.41259999999999991</v>
      </c>
      <c r="E18" t="s">
        <v>58</v>
      </c>
      <c r="G18">
        <v>2021</v>
      </c>
      <c r="H18" t="s">
        <v>64</v>
      </c>
      <c r="I18">
        <v>0.20652868175315797</v>
      </c>
      <c r="J18" t="s">
        <v>58</v>
      </c>
    </row>
    <row r="19" spans="2:10" x14ac:dyDescent="0.25">
      <c r="B19">
        <v>2030</v>
      </c>
      <c r="C19" t="s">
        <v>37</v>
      </c>
      <c r="D19">
        <v>0.41924166666666668</v>
      </c>
      <c r="E19" t="s">
        <v>58</v>
      </c>
      <c r="G19">
        <v>2022</v>
      </c>
      <c r="H19" t="s">
        <v>59</v>
      </c>
      <c r="I19">
        <v>0.13532294638285416</v>
      </c>
      <c r="J19" t="s">
        <v>58</v>
      </c>
    </row>
    <row r="20" spans="2:10" x14ac:dyDescent="0.25">
      <c r="B20">
        <v>2031</v>
      </c>
      <c r="C20" t="s">
        <v>37</v>
      </c>
      <c r="D20">
        <v>0.46263333333333329</v>
      </c>
      <c r="E20" t="s">
        <v>58</v>
      </c>
      <c r="G20">
        <v>2022</v>
      </c>
      <c r="H20" t="s">
        <v>61</v>
      </c>
      <c r="I20">
        <v>0.23148148148148143</v>
      </c>
      <c r="J20" t="s">
        <v>58</v>
      </c>
    </row>
    <row r="21" spans="2:10" x14ac:dyDescent="0.25">
      <c r="B21">
        <v>2032</v>
      </c>
      <c r="C21" t="s">
        <v>37</v>
      </c>
      <c r="D21">
        <v>0.38890000000000002</v>
      </c>
      <c r="E21" t="s">
        <v>58</v>
      </c>
      <c r="G21">
        <v>2022</v>
      </c>
      <c r="H21" t="s">
        <v>62</v>
      </c>
      <c r="I21">
        <v>0.1203886572550167</v>
      </c>
      <c r="J21" t="s">
        <v>58</v>
      </c>
    </row>
    <row r="22" spans="2:10" x14ac:dyDescent="0.25">
      <c r="B22">
        <v>2033</v>
      </c>
      <c r="C22" t="s">
        <v>37</v>
      </c>
      <c r="D22">
        <v>0.39654166666666663</v>
      </c>
      <c r="E22" t="s">
        <v>58</v>
      </c>
      <c r="G22">
        <v>2022</v>
      </c>
      <c r="H22" t="s">
        <v>64</v>
      </c>
      <c r="I22">
        <v>0.23838260342539472</v>
      </c>
      <c r="J22" t="s">
        <v>58</v>
      </c>
    </row>
    <row r="23" spans="2:10" x14ac:dyDescent="0.25">
      <c r="B23">
        <v>2034</v>
      </c>
      <c r="C23" t="s">
        <v>37</v>
      </c>
      <c r="D23">
        <v>0.42930833333333335</v>
      </c>
      <c r="E23" t="s">
        <v>58</v>
      </c>
      <c r="G23">
        <v>2025</v>
      </c>
      <c r="H23" t="s">
        <v>59</v>
      </c>
      <c r="I23">
        <v>0.16193333333333332</v>
      </c>
      <c r="J23" t="s">
        <v>58</v>
      </c>
    </row>
    <row r="24" spans="2:10" x14ac:dyDescent="0.25">
      <c r="B24">
        <v>2035</v>
      </c>
      <c r="C24" t="s">
        <v>37</v>
      </c>
      <c r="D24">
        <v>0.39865833333333334</v>
      </c>
      <c r="E24" t="s">
        <v>58</v>
      </c>
      <c r="G24">
        <v>2025</v>
      </c>
      <c r="H24" t="s">
        <v>61</v>
      </c>
      <c r="I24">
        <v>0.23829999999999998</v>
      </c>
      <c r="J24" t="s">
        <v>58</v>
      </c>
    </row>
    <row r="25" spans="2:10" x14ac:dyDescent="0.25">
      <c r="B25">
        <v>2036</v>
      </c>
      <c r="C25" t="s">
        <v>37</v>
      </c>
      <c r="D25">
        <v>0.45432499999999992</v>
      </c>
      <c r="E25" t="s">
        <v>58</v>
      </c>
      <c r="G25">
        <v>2025</v>
      </c>
      <c r="H25" t="s">
        <v>62</v>
      </c>
      <c r="I25">
        <v>0.14673333333333335</v>
      </c>
      <c r="J25" t="s">
        <v>58</v>
      </c>
    </row>
    <row r="26" spans="2:10" x14ac:dyDescent="0.25">
      <c r="B26">
        <v>2037</v>
      </c>
      <c r="C26" t="s">
        <v>37</v>
      </c>
      <c r="D26">
        <v>0.43140000000000001</v>
      </c>
      <c r="E26" t="s">
        <v>58</v>
      </c>
      <c r="G26">
        <v>2025</v>
      </c>
      <c r="H26" t="s">
        <v>64</v>
      </c>
      <c r="I26">
        <v>0.23149999999999996</v>
      </c>
      <c r="J26" t="s">
        <v>58</v>
      </c>
    </row>
    <row r="27" spans="2:10" x14ac:dyDescent="0.25">
      <c r="B27">
        <v>2038</v>
      </c>
      <c r="C27" t="s">
        <v>37</v>
      </c>
      <c r="D27">
        <v>0.53756666666666664</v>
      </c>
      <c r="E27" t="s">
        <v>58</v>
      </c>
      <c r="G27">
        <v>2026</v>
      </c>
      <c r="H27" t="s">
        <v>59</v>
      </c>
      <c r="I27">
        <v>0.16739999999999999</v>
      </c>
      <c r="J27" t="s">
        <v>58</v>
      </c>
    </row>
    <row r="28" spans="2:10" x14ac:dyDescent="0.25">
      <c r="B28">
        <v>2039</v>
      </c>
      <c r="C28" t="s">
        <v>37</v>
      </c>
      <c r="D28">
        <v>0.44751666666666673</v>
      </c>
      <c r="E28" t="s">
        <v>58</v>
      </c>
      <c r="G28">
        <v>2026</v>
      </c>
      <c r="H28" t="s">
        <v>61</v>
      </c>
      <c r="I28">
        <v>0.24223333333333333</v>
      </c>
      <c r="J28" t="s">
        <v>58</v>
      </c>
    </row>
    <row r="29" spans="2:10" x14ac:dyDescent="0.25">
      <c r="B29">
        <v>2040</v>
      </c>
      <c r="C29" t="s">
        <v>37</v>
      </c>
      <c r="D29">
        <v>0.43783333333333335</v>
      </c>
      <c r="E29" t="s">
        <v>58</v>
      </c>
      <c r="G29">
        <v>2026</v>
      </c>
      <c r="H29" t="s">
        <v>62</v>
      </c>
      <c r="I29">
        <v>0.153</v>
      </c>
      <c r="J29" t="s">
        <v>58</v>
      </c>
    </row>
    <row r="30" spans="2:10" x14ac:dyDescent="0.25">
      <c r="B30">
        <v>2041</v>
      </c>
      <c r="C30" t="s">
        <v>37</v>
      </c>
      <c r="D30">
        <v>0.48789166666666661</v>
      </c>
      <c r="E30" t="s">
        <v>58</v>
      </c>
      <c r="G30">
        <v>2026</v>
      </c>
      <c r="H30" t="s">
        <v>64</v>
      </c>
      <c r="I30">
        <v>0.21083333333333334</v>
      </c>
      <c r="J30" t="s">
        <v>58</v>
      </c>
    </row>
    <row r="31" spans="2:10" x14ac:dyDescent="0.25">
      <c r="B31">
        <v>2042</v>
      </c>
      <c r="C31" t="s">
        <v>37</v>
      </c>
      <c r="D31">
        <v>0.48406666666666665</v>
      </c>
      <c r="E31" t="s">
        <v>58</v>
      </c>
      <c r="G31">
        <v>2027</v>
      </c>
      <c r="H31" t="s">
        <v>59</v>
      </c>
      <c r="I31">
        <v>0.1718666666666667</v>
      </c>
      <c r="J31" t="s">
        <v>58</v>
      </c>
    </row>
    <row r="32" spans="2:10" x14ac:dyDescent="0.25">
      <c r="B32">
        <v>2043</v>
      </c>
      <c r="C32" t="s">
        <v>37</v>
      </c>
      <c r="D32">
        <v>0.43420833333333331</v>
      </c>
      <c r="E32" t="s">
        <v>58</v>
      </c>
      <c r="G32">
        <v>2027</v>
      </c>
      <c r="H32" t="s">
        <v>61</v>
      </c>
      <c r="I32">
        <v>0.24816666666666665</v>
      </c>
      <c r="J32" t="s">
        <v>58</v>
      </c>
    </row>
    <row r="33" spans="2:10" x14ac:dyDescent="0.25">
      <c r="B33">
        <v>2044</v>
      </c>
      <c r="C33" t="s">
        <v>37</v>
      </c>
      <c r="D33">
        <v>0.54013333333333335</v>
      </c>
      <c r="E33" t="s">
        <v>58</v>
      </c>
      <c r="G33">
        <v>2027</v>
      </c>
      <c r="H33" t="s">
        <v>62</v>
      </c>
      <c r="I33">
        <v>0.14873333333333336</v>
      </c>
      <c r="J33" t="s">
        <v>58</v>
      </c>
    </row>
    <row r="34" spans="2:10" x14ac:dyDescent="0.25">
      <c r="B34">
        <v>2045</v>
      </c>
      <c r="C34" t="s">
        <v>37</v>
      </c>
      <c r="D34">
        <v>0.45367499999999999</v>
      </c>
      <c r="E34" t="s">
        <v>58</v>
      </c>
      <c r="G34">
        <v>2027</v>
      </c>
      <c r="H34" t="s">
        <v>64</v>
      </c>
      <c r="I34">
        <v>0.24223333333333338</v>
      </c>
      <c r="J34" t="s">
        <v>58</v>
      </c>
    </row>
    <row r="35" spans="2:10" x14ac:dyDescent="0.25">
      <c r="B35">
        <v>2046</v>
      </c>
      <c r="C35" t="s">
        <v>37</v>
      </c>
      <c r="D35">
        <v>0.47832499999999994</v>
      </c>
      <c r="E35" t="s">
        <v>58</v>
      </c>
      <c r="G35">
        <v>2028</v>
      </c>
      <c r="H35" t="s">
        <v>59</v>
      </c>
      <c r="I35">
        <v>0.14180000000000001</v>
      </c>
      <c r="J35" t="s">
        <v>58</v>
      </c>
    </row>
    <row r="36" spans="2:10" x14ac:dyDescent="0.25">
      <c r="B36">
        <v>2047</v>
      </c>
      <c r="C36" t="s">
        <v>37</v>
      </c>
      <c r="D36">
        <v>0.46139166666666664</v>
      </c>
      <c r="E36" t="s">
        <v>58</v>
      </c>
      <c r="G36">
        <v>2028</v>
      </c>
      <c r="H36" t="s">
        <v>61</v>
      </c>
      <c r="I36">
        <v>0.20676666666666668</v>
      </c>
      <c r="J36" t="s">
        <v>58</v>
      </c>
    </row>
    <row r="37" spans="2:10" x14ac:dyDescent="0.25">
      <c r="B37">
        <v>2048</v>
      </c>
      <c r="C37" t="s">
        <v>37</v>
      </c>
      <c r="D37">
        <v>0.39425833333333332</v>
      </c>
      <c r="E37" t="s">
        <v>58</v>
      </c>
      <c r="G37">
        <v>2028</v>
      </c>
      <c r="H37" t="s">
        <v>62</v>
      </c>
      <c r="I37">
        <v>0.12963333333333335</v>
      </c>
      <c r="J37" t="s">
        <v>58</v>
      </c>
    </row>
    <row r="38" spans="2:10" x14ac:dyDescent="0.25">
      <c r="B38">
        <v>2049</v>
      </c>
      <c r="C38" t="s">
        <v>37</v>
      </c>
      <c r="D38">
        <v>0.44047500000000001</v>
      </c>
      <c r="E38" t="s">
        <v>58</v>
      </c>
      <c r="G38">
        <v>2028</v>
      </c>
      <c r="H38" t="s">
        <v>64</v>
      </c>
      <c r="I38">
        <v>0.20206666666666664</v>
      </c>
      <c r="J38" t="s">
        <v>58</v>
      </c>
    </row>
    <row r="39" spans="2:10" x14ac:dyDescent="0.25">
      <c r="B39">
        <v>2050</v>
      </c>
      <c r="C39" t="s">
        <v>37</v>
      </c>
      <c r="D39">
        <v>0.40086666666666665</v>
      </c>
      <c r="E39" t="s">
        <v>58</v>
      </c>
      <c r="G39">
        <v>2029</v>
      </c>
      <c r="H39" t="s">
        <v>59</v>
      </c>
      <c r="I39">
        <v>0.1318</v>
      </c>
      <c r="J39" t="s">
        <v>58</v>
      </c>
    </row>
    <row r="40" spans="2:10" x14ac:dyDescent="0.25">
      <c r="G40">
        <v>2029</v>
      </c>
      <c r="H40" t="s">
        <v>61</v>
      </c>
      <c r="I40">
        <v>0.22176666666666667</v>
      </c>
      <c r="J40" t="s">
        <v>58</v>
      </c>
    </row>
    <row r="41" spans="2:10" x14ac:dyDescent="0.25">
      <c r="G41">
        <v>2029</v>
      </c>
      <c r="H41" t="s">
        <v>62</v>
      </c>
      <c r="I41">
        <v>0.13126666666666667</v>
      </c>
      <c r="J41" t="s">
        <v>58</v>
      </c>
    </row>
    <row r="42" spans="2:10" x14ac:dyDescent="0.25">
      <c r="G42">
        <v>2029</v>
      </c>
      <c r="H42" t="s">
        <v>64</v>
      </c>
      <c r="I42">
        <v>0.19369999999999998</v>
      </c>
      <c r="J42" t="s">
        <v>58</v>
      </c>
    </row>
    <row r="43" spans="2:10" x14ac:dyDescent="0.25">
      <c r="G43">
        <v>2030</v>
      </c>
      <c r="H43" t="s">
        <v>59</v>
      </c>
      <c r="I43">
        <v>0.14249999999999999</v>
      </c>
      <c r="J43" t="s">
        <v>58</v>
      </c>
    </row>
    <row r="44" spans="2:10" x14ac:dyDescent="0.25">
      <c r="G44">
        <v>2030</v>
      </c>
      <c r="H44" t="s">
        <v>61</v>
      </c>
      <c r="I44">
        <v>0.20966666666666667</v>
      </c>
      <c r="J44" t="s">
        <v>58</v>
      </c>
    </row>
    <row r="45" spans="2:10" x14ac:dyDescent="0.25">
      <c r="G45">
        <v>2030</v>
      </c>
      <c r="H45" t="s">
        <v>62</v>
      </c>
      <c r="I45">
        <v>0.12216666666666666</v>
      </c>
      <c r="J45" t="s">
        <v>58</v>
      </c>
    </row>
    <row r="46" spans="2:10" x14ac:dyDescent="0.25">
      <c r="G46">
        <v>2030</v>
      </c>
      <c r="H46" t="s">
        <v>64</v>
      </c>
      <c r="I46">
        <v>0.20263333333333333</v>
      </c>
      <c r="J46" t="s">
        <v>58</v>
      </c>
    </row>
    <row r="47" spans="2:10" x14ac:dyDescent="0.25">
      <c r="G47">
        <v>2031</v>
      </c>
      <c r="H47" t="s">
        <v>59</v>
      </c>
      <c r="I47">
        <v>0.13183333333333333</v>
      </c>
      <c r="J47" t="s">
        <v>58</v>
      </c>
    </row>
    <row r="48" spans="2:10" x14ac:dyDescent="0.25">
      <c r="G48">
        <v>2031</v>
      </c>
      <c r="H48" t="s">
        <v>61</v>
      </c>
      <c r="I48">
        <v>0.2084</v>
      </c>
      <c r="J48" t="s">
        <v>58</v>
      </c>
    </row>
    <row r="49" spans="7:10" x14ac:dyDescent="0.25">
      <c r="G49">
        <v>2031</v>
      </c>
      <c r="H49" t="s">
        <v>62</v>
      </c>
      <c r="I49">
        <v>0.127</v>
      </c>
      <c r="J49" t="s">
        <v>58</v>
      </c>
    </row>
    <row r="50" spans="7:10" x14ac:dyDescent="0.25">
      <c r="G50">
        <v>2031</v>
      </c>
      <c r="H50" t="s">
        <v>64</v>
      </c>
      <c r="I50">
        <v>0.19099999999999998</v>
      </c>
      <c r="J50" t="s">
        <v>58</v>
      </c>
    </row>
    <row r="51" spans="7:10" x14ac:dyDescent="0.25">
      <c r="G51">
        <v>2032</v>
      </c>
      <c r="H51" t="s">
        <v>59</v>
      </c>
      <c r="I51">
        <v>0.14176666666666668</v>
      </c>
      <c r="J51" t="s">
        <v>58</v>
      </c>
    </row>
    <row r="52" spans="7:10" x14ac:dyDescent="0.25">
      <c r="G52">
        <v>2032</v>
      </c>
      <c r="H52" t="s">
        <v>61</v>
      </c>
      <c r="I52">
        <v>0.20650000000000002</v>
      </c>
      <c r="J52" t="s">
        <v>58</v>
      </c>
    </row>
    <row r="53" spans="7:10" x14ac:dyDescent="0.25">
      <c r="G53">
        <v>2032</v>
      </c>
      <c r="H53" t="s">
        <v>62</v>
      </c>
      <c r="I53">
        <v>0.1303</v>
      </c>
      <c r="J53" t="s">
        <v>58</v>
      </c>
    </row>
    <row r="54" spans="7:10" x14ac:dyDescent="0.25">
      <c r="G54">
        <v>2032</v>
      </c>
      <c r="H54" t="s">
        <v>64</v>
      </c>
      <c r="I54">
        <v>0.2034</v>
      </c>
      <c r="J54" t="s">
        <v>58</v>
      </c>
    </row>
    <row r="55" spans="7:10" x14ac:dyDescent="0.25">
      <c r="G55">
        <v>2033</v>
      </c>
      <c r="H55" t="s">
        <v>59</v>
      </c>
      <c r="I55">
        <v>0.18843333333333334</v>
      </c>
      <c r="J55" t="s">
        <v>58</v>
      </c>
    </row>
    <row r="56" spans="7:10" x14ac:dyDescent="0.25">
      <c r="G56">
        <v>2033</v>
      </c>
      <c r="H56" t="s">
        <v>61</v>
      </c>
      <c r="I56">
        <v>0.30043333333333333</v>
      </c>
      <c r="J56" t="s">
        <v>58</v>
      </c>
    </row>
    <row r="57" spans="7:10" x14ac:dyDescent="0.25">
      <c r="G57">
        <v>2033</v>
      </c>
      <c r="H57" t="s">
        <v>62</v>
      </c>
      <c r="I57">
        <v>0.17813333333333334</v>
      </c>
      <c r="J57" t="s">
        <v>58</v>
      </c>
    </row>
    <row r="58" spans="7:10" x14ac:dyDescent="0.25">
      <c r="G58">
        <v>2033</v>
      </c>
      <c r="H58" t="s">
        <v>64</v>
      </c>
      <c r="I58">
        <v>0.26986666666666664</v>
      </c>
      <c r="J58" t="s">
        <v>58</v>
      </c>
    </row>
    <row r="59" spans="7:10" x14ac:dyDescent="0.25">
      <c r="G59">
        <v>2034</v>
      </c>
      <c r="H59" t="s">
        <v>59</v>
      </c>
      <c r="I59">
        <v>0.18399999999999997</v>
      </c>
      <c r="J59" t="s">
        <v>58</v>
      </c>
    </row>
    <row r="60" spans="7:10" x14ac:dyDescent="0.25">
      <c r="G60">
        <v>2034</v>
      </c>
      <c r="H60" t="s">
        <v>61</v>
      </c>
      <c r="I60">
        <v>0.28463333333333335</v>
      </c>
      <c r="J60" t="s">
        <v>58</v>
      </c>
    </row>
    <row r="61" spans="7:10" x14ac:dyDescent="0.25">
      <c r="G61">
        <v>2034</v>
      </c>
      <c r="H61" t="s">
        <v>62</v>
      </c>
      <c r="I61">
        <v>0.16866666666666666</v>
      </c>
      <c r="J61" t="s">
        <v>58</v>
      </c>
    </row>
    <row r="62" spans="7:10" x14ac:dyDescent="0.25">
      <c r="G62">
        <v>2034</v>
      </c>
      <c r="H62" t="s">
        <v>64</v>
      </c>
      <c r="I62">
        <v>0.24139999999999998</v>
      </c>
      <c r="J62" t="s">
        <v>58</v>
      </c>
    </row>
    <row r="63" spans="7:10" x14ac:dyDescent="0.25">
      <c r="G63">
        <v>2035</v>
      </c>
      <c r="H63" t="s">
        <v>59</v>
      </c>
      <c r="I63">
        <v>0.17983333333333332</v>
      </c>
      <c r="J63" t="s">
        <v>58</v>
      </c>
    </row>
    <row r="64" spans="7:10" x14ac:dyDescent="0.25">
      <c r="G64">
        <v>2035</v>
      </c>
      <c r="H64" t="s">
        <v>61</v>
      </c>
      <c r="I64">
        <v>0.28186666666666665</v>
      </c>
      <c r="J64" t="s">
        <v>58</v>
      </c>
    </row>
    <row r="65" spans="7:10" x14ac:dyDescent="0.25">
      <c r="G65">
        <v>2035</v>
      </c>
      <c r="H65" t="s">
        <v>62</v>
      </c>
      <c r="I65">
        <v>0.16829999999999998</v>
      </c>
      <c r="J65" t="s">
        <v>58</v>
      </c>
    </row>
    <row r="66" spans="7:10" x14ac:dyDescent="0.25">
      <c r="G66">
        <v>2035</v>
      </c>
      <c r="H66" t="s">
        <v>64</v>
      </c>
      <c r="I66">
        <v>0.25866666666666666</v>
      </c>
      <c r="J66" t="s">
        <v>58</v>
      </c>
    </row>
    <row r="67" spans="7:10" x14ac:dyDescent="0.25">
      <c r="G67">
        <v>2036</v>
      </c>
      <c r="H67" t="s">
        <v>59</v>
      </c>
      <c r="I67">
        <v>0.18996666666666664</v>
      </c>
      <c r="J67" t="s">
        <v>58</v>
      </c>
    </row>
    <row r="68" spans="7:10" x14ac:dyDescent="0.25">
      <c r="G68">
        <v>2036</v>
      </c>
      <c r="H68" t="s">
        <v>61</v>
      </c>
      <c r="I68">
        <v>0.30520000000000003</v>
      </c>
      <c r="J68" t="s">
        <v>58</v>
      </c>
    </row>
    <row r="69" spans="7:10" x14ac:dyDescent="0.25">
      <c r="G69">
        <v>2036</v>
      </c>
      <c r="H69" t="s">
        <v>62</v>
      </c>
      <c r="I69">
        <v>0.16900000000000001</v>
      </c>
      <c r="J69" t="s">
        <v>58</v>
      </c>
    </row>
    <row r="70" spans="7:10" x14ac:dyDescent="0.25">
      <c r="G70">
        <v>2036</v>
      </c>
      <c r="H70" t="s">
        <v>64</v>
      </c>
      <c r="I70">
        <v>0.24666666666666667</v>
      </c>
      <c r="J70" t="s">
        <v>58</v>
      </c>
    </row>
    <row r="71" spans="7:10" x14ac:dyDescent="0.25">
      <c r="G71">
        <v>2037</v>
      </c>
      <c r="H71" t="s">
        <v>59</v>
      </c>
      <c r="I71">
        <v>0.1988</v>
      </c>
      <c r="J71" t="s">
        <v>58</v>
      </c>
    </row>
    <row r="72" spans="7:10" x14ac:dyDescent="0.25">
      <c r="G72">
        <v>2037</v>
      </c>
      <c r="H72" t="s">
        <v>61</v>
      </c>
      <c r="I72">
        <v>0.28876666666666667</v>
      </c>
      <c r="J72" t="s">
        <v>58</v>
      </c>
    </row>
    <row r="73" spans="7:10" x14ac:dyDescent="0.25">
      <c r="G73">
        <v>2037</v>
      </c>
      <c r="H73" t="s">
        <v>62</v>
      </c>
      <c r="I73">
        <v>0.17</v>
      </c>
      <c r="J73" t="s">
        <v>58</v>
      </c>
    </row>
    <row r="74" spans="7:10" x14ac:dyDescent="0.25">
      <c r="G74">
        <v>2037</v>
      </c>
      <c r="H74" t="s">
        <v>64</v>
      </c>
      <c r="I74">
        <v>0.25940000000000002</v>
      </c>
      <c r="J74" t="s">
        <v>58</v>
      </c>
    </row>
    <row r="75" spans="7:10" x14ac:dyDescent="0.25">
      <c r="G75">
        <v>2038</v>
      </c>
      <c r="H75" t="s">
        <v>59</v>
      </c>
      <c r="I75">
        <v>0.18346666666666667</v>
      </c>
      <c r="J75" t="s">
        <v>58</v>
      </c>
    </row>
    <row r="76" spans="7:10" x14ac:dyDescent="0.25">
      <c r="G76">
        <v>2038</v>
      </c>
      <c r="H76" t="s">
        <v>61</v>
      </c>
      <c r="I76">
        <v>0.27763333333333334</v>
      </c>
      <c r="J76" t="s">
        <v>58</v>
      </c>
    </row>
    <row r="77" spans="7:10" x14ac:dyDescent="0.25">
      <c r="G77">
        <v>2038</v>
      </c>
      <c r="H77" t="s">
        <v>62</v>
      </c>
      <c r="I77">
        <v>0.17176666666666665</v>
      </c>
      <c r="J77" t="s">
        <v>58</v>
      </c>
    </row>
    <row r="78" spans="7:10" x14ac:dyDescent="0.25">
      <c r="G78">
        <v>2038</v>
      </c>
      <c r="H78" t="s">
        <v>64</v>
      </c>
      <c r="I78">
        <v>0.27460000000000001</v>
      </c>
      <c r="J78" t="s">
        <v>58</v>
      </c>
    </row>
    <row r="79" spans="7:10" x14ac:dyDescent="0.25">
      <c r="G79">
        <v>2039</v>
      </c>
      <c r="H79" t="s">
        <v>59</v>
      </c>
      <c r="I79">
        <v>0.17120000000000002</v>
      </c>
      <c r="J79" t="s">
        <v>58</v>
      </c>
    </row>
    <row r="80" spans="7:10" x14ac:dyDescent="0.25">
      <c r="G80">
        <v>2039</v>
      </c>
      <c r="H80" t="s">
        <v>61</v>
      </c>
      <c r="I80">
        <v>0.24663333333333334</v>
      </c>
      <c r="J80" t="s">
        <v>58</v>
      </c>
    </row>
    <row r="81" spans="7:10" x14ac:dyDescent="0.25">
      <c r="G81">
        <v>2039</v>
      </c>
      <c r="H81" t="s">
        <v>62</v>
      </c>
      <c r="I81">
        <v>0.15043333333333334</v>
      </c>
      <c r="J81" t="s">
        <v>58</v>
      </c>
    </row>
    <row r="82" spans="7:10" x14ac:dyDescent="0.25">
      <c r="G82">
        <v>2039</v>
      </c>
      <c r="H82" t="s">
        <v>64</v>
      </c>
      <c r="I82">
        <v>0.23576666666666668</v>
      </c>
      <c r="J82" t="s">
        <v>58</v>
      </c>
    </row>
    <row r="83" spans="7:10" x14ac:dyDescent="0.25">
      <c r="G83">
        <v>2040</v>
      </c>
      <c r="H83" t="s">
        <v>59</v>
      </c>
      <c r="I83">
        <v>0.17123333333333332</v>
      </c>
      <c r="J83" t="s">
        <v>58</v>
      </c>
    </row>
    <row r="84" spans="7:10" x14ac:dyDescent="0.25">
      <c r="G84">
        <v>2040</v>
      </c>
      <c r="H84" t="s">
        <v>61</v>
      </c>
      <c r="I84">
        <v>0.24586666666666668</v>
      </c>
      <c r="J84" t="s">
        <v>58</v>
      </c>
    </row>
    <row r="85" spans="7:10" x14ac:dyDescent="0.25">
      <c r="G85">
        <v>2040</v>
      </c>
      <c r="H85" t="s">
        <v>62</v>
      </c>
      <c r="I85">
        <v>0.14873333333333336</v>
      </c>
      <c r="J85" t="s">
        <v>58</v>
      </c>
    </row>
    <row r="86" spans="7:10" x14ac:dyDescent="0.25">
      <c r="G86">
        <v>2040</v>
      </c>
      <c r="H86" t="s">
        <v>64</v>
      </c>
      <c r="I86">
        <v>0.22436666666666669</v>
      </c>
      <c r="J86" t="s">
        <v>58</v>
      </c>
    </row>
    <row r="87" spans="7:10" x14ac:dyDescent="0.25">
      <c r="G87">
        <v>2041</v>
      </c>
      <c r="H87" t="s">
        <v>59</v>
      </c>
      <c r="I87">
        <v>0.16469999999999999</v>
      </c>
      <c r="J87" t="s">
        <v>58</v>
      </c>
    </row>
    <row r="88" spans="7:10" x14ac:dyDescent="0.25">
      <c r="G88">
        <v>2041</v>
      </c>
      <c r="H88" t="s">
        <v>61</v>
      </c>
      <c r="I88">
        <v>0.2588333333333333</v>
      </c>
      <c r="J88" t="s">
        <v>58</v>
      </c>
    </row>
    <row r="89" spans="7:10" x14ac:dyDescent="0.25">
      <c r="G89">
        <v>2041</v>
      </c>
      <c r="H89" t="s">
        <v>62</v>
      </c>
      <c r="I89">
        <v>0.15066666666666667</v>
      </c>
      <c r="J89" t="s">
        <v>58</v>
      </c>
    </row>
    <row r="90" spans="7:10" x14ac:dyDescent="0.25">
      <c r="G90">
        <v>2041</v>
      </c>
      <c r="H90" t="s">
        <v>64</v>
      </c>
      <c r="I90">
        <v>0.22919999999999999</v>
      </c>
      <c r="J90" t="s">
        <v>58</v>
      </c>
    </row>
    <row r="91" spans="7:10" x14ac:dyDescent="0.25">
      <c r="G91">
        <v>2042</v>
      </c>
      <c r="H91" t="s">
        <v>59</v>
      </c>
      <c r="I91">
        <v>0.17419999999999999</v>
      </c>
      <c r="J91" t="s">
        <v>58</v>
      </c>
    </row>
    <row r="92" spans="7:10" x14ac:dyDescent="0.25">
      <c r="G92">
        <v>2042</v>
      </c>
      <c r="H92" t="s">
        <v>61</v>
      </c>
      <c r="I92">
        <v>0.27343333333333336</v>
      </c>
      <c r="J92" t="s">
        <v>58</v>
      </c>
    </row>
    <row r="93" spans="7:10" x14ac:dyDescent="0.25">
      <c r="G93">
        <v>2042</v>
      </c>
      <c r="H93" t="s">
        <v>62</v>
      </c>
      <c r="I93">
        <v>0.17646666666666666</v>
      </c>
      <c r="J93" t="s">
        <v>58</v>
      </c>
    </row>
    <row r="94" spans="7:10" x14ac:dyDescent="0.25">
      <c r="G94">
        <v>2042</v>
      </c>
      <c r="H94" t="s">
        <v>64</v>
      </c>
      <c r="I94">
        <v>0.25779999999999997</v>
      </c>
      <c r="J94" t="s">
        <v>58</v>
      </c>
    </row>
    <row r="95" spans="7:10" x14ac:dyDescent="0.25">
      <c r="G95">
        <v>2043</v>
      </c>
      <c r="H95" t="s">
        <v>59</v>
      </c>
      <c r="I95">
        <v>0.1859666666666667</v>
      </c>
      <c r="J95" t="s">
        <v>58</v>
      </c>
    </row>
    <row r="96" spans="7:10" x14ac:dyDescent="0.25">
      <c r="G96">
        <v>2043</v>
      </c>
      <c r="H96" t="s">
        <v>61</v>
      </c>
      <c r="I96">
        <v>0.28320000000000001</v>
      </c>
      <c r="J96" t="s">
        <v>58</v>
      </c>
    </row>
    <row r="97" spans="7:10" x14ac:dyDescent="0.25">
      <c r="G97">
        <v>2043</v>
      </c>
      <c r="H97" t="s">
        <v>62</v>
      </c>
      <c r="I97">
        <v>0.17396666666666669</v>
      </c>
      <c r="J97" t="s">
        <v>58</v>
      </c>
    </row>
    <row r="98" spans="7:10" x14ac:dyDescent="0.25">
      <c r="G98">
        <v>2043</v>
      </c>
      <c r="H98" t="s">
        <v>64</v>
      </c>
      <c r="I98">
        <v>0.26630000000000004</v>
      </c>
      <c r="J98" t="s">
        <v>58</v>
      </c>
    </row>
    <row r="99" spans="7:10" x14ac:dyDescent="0.25">
      <c r="G99">
        <v>2044</v>
      </c>
      <c r="H99" t="s">
        <v>59</v>
      </c>
      <c r="I99">
        <v>0.19473333333333334</v>
      </c>
      <c r="J99" t="s">
        <v>58</v>
      </c>
    </row>
    <row r="100" spans="7:10" x14ac:dyDescent="0.25">
      <c r="G100">
        <v>2044</v>
      </c>
      <c r="H100" t="s">
        <v>61</v>
      </c>
      <c r="I100">
        <v>0.28893333333333332</v>
      </c>
      <c r="J100" t="s">
        <v>58</v>
      </c>
    </row>
    <row r="101" spans="7:10" x14ac:dyDescent="0.25">
      <c r="G101">
        <v>2044</v>
      </c>
      <c r="H101" t="s">
        <v>62</v>
      </c>
      <c r="I101">
        <v>0.17733333333333334</v>
      </c>
      <c r="J101" t="s">
        <v>58</v>
      </c>
    </row>
    <row r="102" spans="7:10" x14ac:dyDescent="0.25">
      <c r="G102">
        <v>2044</v>
      </c>
      <c r="H102" t="s">
        <v>64</v>
      </c>
      <c r="I102">
        <v>0.26203333333333334</v>
      </c>
      <c r="J102" t="s">
        <v>58</v>
      </c>
    </row>
    <row r="103" spans="7:10" x14ac:dyDescent="0.25">
      <c r="G103">
        <v>2045</v>
      </c>
      <c r="H103" t="s">
        <v>59</v>
      </c>
      <c r="I103">
        <v>0.13870000000000002</v>
      </c>
      <c r="J103" t="s">
        <v>58</v>
      </c>
    </row>
    <row r="104" spans="7:10" x14ac:dyDescent="0.25">
      <c r="G104">
        <v>2045</v>
      </c>
      <c r="H104" t="s">
        <v>61</v>
      </c>
      <c r="I104">
        <v>0.20860000000000001</v>
      </c>
      <c r="J104" t="s">
        <v>58</v>
      </c>
    </row>
    <row r="105" spans="7:10" x14ac:dyDescent="0.25">
      <c r="G105">
        <v>2045</v>
      </c>
      <c r="H105" t="s">
        <v>62</v>
      </c>
      <c r="I105">
        <v>0.12883333333333336</v>
      </c>
      <c r="J105" t="s">
        <v>58</v>
      </c>
    </row>
    <row r="106" spans="7:10" x14ac:dyDescent="0.25">
      <c r="G106">
        <v>2045</v>
      </c>
      <c r="H106" t="s">
        <v>64</v>
      </c>
      <c r="I106">
        <v>0.19556666666666667</v>
      </c>
      <c r="J106" t="s">
        <v>58</v>
      </c>
    </row>
    <row r="107" spans="7:10" x14ac:dyDescent="0.25">
      <c r="G107">
        <v>2046</v>
      </c>
      <c r="H107" t="s">
        <v>59</v>
      </c>
      <c r="I107">
        <v>0.13133333333333333</v>
      </c>
      <c r="J107" t="s">
        <v>58</v>
      </c>
    </row>
    <row r="108" spans="7:10" x14ac:dyDescent="0.25">
      <c r="G108">
        <v>2046</v>
      </c>
      <c r="H108" t="s">
        <v>61</v>
      </c>
      <c r="I108">
        <v>0.2114</v>
      </c>
      <c r="J108" t="s">
        <v>58</v>
      </c>
    </row>
    <row r="109" spans="7:10" x14ac:dyDescent="0.25">
      <c r="G109">
        <v>2046</v>
      </c>
      <c r="H109" t="s">
        <v>62</v>
      </c>
      <c r="I109">
        <v>0.13186666666666666</v>
      </c>
      <c r="J109" t="s">
        <v>58</v>
      </c>
    </row>
    <row r="110" spans="7:10" x14ac:dyDescent="0.25">
      <c r="G110">
        <v>2046</v>
      </c>
      <c r="H110" t="s">
        <v>64</v>
      </c>
      <c r="I110">
        <v>0.19033333333333335</v>
      </c>
      <c r="J110" t="s">
        <v>58</v>
      </c>
    </row>
    <row r="111" spans="7:10" x14ac:dyDescent="0.25">
      <c r="G111">
        <v>2047</v>
      </c>
      <c r="H111" t="s">
        <v>59</v>
      </c>
      <c r="I111">
        <v>0.16766666666666666</v>
      </c>
      <c r="J111" t="s">
        <v>58</v>
      </c>
    </row>
    <row r="112" spans="7:10" x14ac:dyDescent="0.25">
      <c r="G112">
        <v>2047</v>
      </c>
      <c r="H112" t="s">
        <v>61</v>
      </c>
      <c r="I112">
        <v>0.25869999999999999</v>
      </c>
      <c r="J112" t="s">
        <v>58</v>
      </c>
    </row>
    <row r="113" spans="7:10" x14ac:dyDescent="0.25">
      <c r="G113">
        <v>2047</v>
      </c>
      <c r="H113" t="s">
        <v>62</v>
      </c>
      <c r="I113">
        <v>0.1474</v>
      </c>
      <c r="J113" t="s">
        <v>58</v>
      </c>
    </row>
    <row r="114" spans="7:10" x14ac:dyDescent="0.25">
      <c r="G114">
        <v>2047</v>
      </c>
      <c r="H114" t="s">
        <v>64</v>
      </c>
      <c r="I114">
        <v>0.2268</v>
      </c>
      <c r="J114" t="s">
        <v>58</v>
      </c>
    </row>
    <row r="115" spans="7:10" x14ac:dyDescent="0.25">
      <c r="G115">
        <v>2048</v>
      </c>
      <c r="H115" t="s">
        <v>59</v>
      </c>
      <c r="I115">
        <v>0.161</v>
      </c>
      <c r="J115" t="s">
        <v>58</v>
      </c>
    </row>
    <row r="116" spans="7:10" x14ac:dyDescent="0.25">
      <c r="G116">
        <v>2048</v>
      </c>
      <c r="H116" t="s">
        <v>61</v>
      </c>
      <c r="I116">
        <v>0.25863333333333333</v>
      </c>
      <c r="J116" t="s">
        <v>58</v>
      </c>
    </row>
    <row r="117" spans="7:10" x14ac:dyDescent="0.25">
      <c r="G117">
        <v>2048</v>
      </c>
      <c r="H117" t="s">
        <v>62</v>
      </c>
      <c r="I117">
        <v>0.15126666666666666</v>
      </c>
      <c r="J117" t="s">
        <v>58</v>
      </c>
    </row>
    <row r="118" spans="7:10" x14ac:dyDescent="0.25">
      <c r="G118">
        <v>2048</v>
      </c>
      <c r="H118" t="s">
        <v>64</v>
      </c>
      <c r="I118">
        <v>0.22896666666666665</v>
      </c>
      <c r="J118" t="s">
        <v>58</v>
      </c>
    </row>
    <row r="119" spans="7:10" x14ac:dyDescent="0.25">
      <c r="G119">
        <v>2049</v>
      </c>
      <c r="H119" t="s">
        <v>59</v>
      </c>
      <c r="I119">
        <v>0.1527</v>
      </c>
      <c r="J119" t="s">
        <v>58</v>
      </c>
    </row>
    <row r="120" spans="7:10" x14ac:dyDescent="0.25">
      <c r="G120">
        <v>2049</v>
      </c>
      <c r="H120" t="s">
        <v>61</v>
      </c>
      <c r="I120">
        <v>0.23553333333333334</v>
      </c>
      <c r="J120" t="s">
        <v>58</v>
      </c>
    </row>
    <row r="121" spans="7:10" x14ac:dyDescent="0.25">
      <c r="G121">
        <v>2049</v>
      </c>
      <c r="H121" t="s">
        <v>62</v>
      </c>
      <c r="I121">
        <v>0.15030000000000002</v>
      </c>
      <c r="J121" t="s">
        <v>58</v>
      </c>
    </row>
    <row r="122" spans="7:10" x14ac:dyDescent="0.25">
      <c r="G122">
        <v>2049</v>
      </c>
      <c r="H122" t="s">
        <v>64</v>
      </c>
      <c r="I122">
        <v>0.22430000000000003</v>
      </c>
      <c r="J122" t="s">
        <v>58</v>
      </c>
    </row>
    <row r="123" spans="7:10" x14ac:dyDescent="0.25">
      <c r="G123">
        <v>2050</v>
      </c>
      <c r="H123" t="s">
        <v>59</v>
      </c>
      <c r="I123">
        <v>0.16236666666666666</v>
      </c>
      <c r="J123" t="s">
        <v>58</v>
      </c>
    </row>
    <row r="124" spans="7:10" x14ac:dyDescent="0.25">
      <c r="G124">
        <v>2050</v>
      </c>
      <c r="H124" t="s">
        <v>61</v>
      </c>
      <c r="I124">
        <v>0.24580000000000002</v>
      </c>
      <c r="J124" t="s">
        <v>58</v>
      </c>
    </row>
    <row r="125" spans="7:10" x14ac:dyDescent="0.25">
      <c r="G125">
        <v>2050</v>
      </c>
      <c r="H125" t="s">
        <v>62</v>
      </c>
      <c r="I125">
        <v>0.13863333333333336</v>
      </c>
      <c r="J125" t="s">
        <v>58</v>
      </c>
    </row>
    <row r="126" spans="7:10" x14ac:dyDescent="0.25">
      <c r="G126">
        <v>2050</v>
      </c>
      <c r="H126" t="s">
        <v>64</v>
      </c>
      <c r="I126">
        <v>0.22690000000000002</v>
      </c>
      <c r="J126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2026-06-30T11:25:59Z</dcterms:modified>
</cp:coreProperties>
</file>