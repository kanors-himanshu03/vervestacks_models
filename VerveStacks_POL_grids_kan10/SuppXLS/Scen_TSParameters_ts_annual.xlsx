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473DF43C-280E-4160-BD17-4EE1F6115C9C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3" l="1"/>
  <c r="F9" i="12"/>
  <c r="F9" i="11"/>
  <c r="A10" i="6"/>
  <c r="G9" i="10"/>
  <c r="AK9" i="9"/>
  <c r="AH9" i="9"/>
  <c r="AD9" i="9"/>
  <c r="Z9" i="9"/>
  <c r="V9" i="9"/>
  <c r="AA9" i="8"/>
  <c r="V9" i="8"/>
  <c r="Q9" i="8"/>
  <c r="A11" i="7"/>
  <c r="B9" i="13"/>
  <c r="B9" i="12"/>
  <c r="B9" i="11"/>
  <c r="H23" i="6"/>
  <c r="B9" i="10"/>
  <c r="Q9" i="9"/>
  <c r="N9" i="9"/>
  <c r="J9" i="9"/>
  <c r="F9" i="9"/>
  <c r="B9" i="9"/>
  <c r="L9" i="8"/>
  <c r="G9" i="8"/>
  <c r="B9" i="8"/>
  <c r="C9" i="7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<sst xmlns="http://schemas.openxmlformats.org/spreadsheetml/2006/main" count="739" uniqueCount="168">
  <si>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</si>
  <si>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</si>
  <si>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</si>
  <si>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</si>
  <si>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</si>
  <si>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</si>
  <si>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</si>
  <si>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</si>
  <si>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</si>
  <si>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</si>
  <si>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</si>
  <si>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</si>
  <si>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</si>
  <si>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</si>
  <si>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</si>
  <si>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</si>
  <si>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</si>
  <si>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</si>
  <si>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</si>
  <si>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</si>
  <si>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</si>
  <si>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</si>
  <si>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</si>
  <si>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</si>
  <si>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</si>
  <si>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</si>
  <si>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</si>
  <si>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</si>
  <si>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</si>
  <si>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</si>
  <si>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</si>
  <si>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</si>
  <si>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</si>
  <si>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</si>
  <si>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</si>
  <si>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</si>
  <si>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</si>
  <si>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</si>
  <si>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</si>
  <si>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</si>
  <si>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</si>
  <si>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</si>
  <si>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</si>
  <si>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</si>
  <si>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</si>
  <si>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AllSaAllH</t>
  </si>
  <si>
    <t>other_indexes</t>
  </si>
  <si>
    <t>ncap_com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</si>
  <si>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</si>
  <si>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</si>
  <si>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</si>
  <si>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</si>
  <si>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</si>
  <si>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</si>
  <si>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</si>
  <si>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</si>
  <si>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</si>
  <si>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</si>
  <si>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</si>
  <si>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</si>
  <si>
    <t>elc_spv_POL_001</t>
  </si>
  <si>
    <t>IMPNRGZ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</si>
  <si>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</si>
  <si>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</si>
  <si>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</si>
  <si>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</si>
  <si>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</si>
  <si>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</si>
  <si>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</si>
  <si>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</si>
  <si>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</si>
  <si>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</si>
  <si>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</si>
  <si>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</si>
  <si>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</si>
  <si>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</si>
  <si>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</si>
  <si>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</si>
  <si>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</si>
  <si>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</si>
  <si>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</si>
  <si>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</si>
  <si>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</si>
  <si>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</si>
  <si>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</si>
  <si>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</si>
  <si>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</si>
  <si>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</si>
  <si>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</si>
  <si>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</si>
  <si>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</si>
  <si>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</si>
  <si>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</si>
  <si>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</si>
  <si>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</si>
  <si>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</si>
  <si>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</si>
  <si>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</si>
  <si>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</si>
  <si>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</si>
  <si>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</si>
  <si>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</si>
  <si>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</si>
  <si>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</si>
  <si>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</si>
  <si>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</si>
  <si>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</si>
  <si>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</si>
  <si>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</si>
  <si>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</si>
  <si>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</si>
  <si>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</si>
  <si>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</si>
  <si>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</si>
  <si>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</si>
  <si>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</si>
  <si>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</si>
  <si>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</si>
  <si>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</si>
  <si>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</si>
  <si>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</si>
  <si>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</si>
  <si>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</si>
  <si>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</si>
  <si>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</si>
  <si>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</si>
  <si>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</si>
  <si>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</si>
  <si>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</si>
  <si>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</si>
  <si>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</si>
  <si>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</si>
  <si>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</si>
  <si>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</si>
  <si>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</si>
  <si>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</si>
  <si>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</si>
  <si>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</si>
  <si>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</si>
  <si>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</si>
  <si>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</si>
  <si>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</si>
  <si>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</si>
  <si>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</si>
  <si>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</si>
  <si>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</si>
  <si>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</si>
  <si>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</si>
  <si>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</si>
  <si>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</si>
  <si>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</si>
  <si>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</si>
  <si>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</si>
  <si>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</si>
  <si>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</si>
  <si>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</si>
  <si>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</si>
  <si>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</si>
  <si>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</si>
  <si>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</si>
  <si>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</si>
  <si>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</si>
  <si>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</si>
  <si>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</si>
  <si>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</si>
  <si>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</si>
  <si>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DEF_C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</si>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</sst>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7" x14ac:dyDescent="0.25">
      <c r="A10" t="str">
        <f>IFERROR([1]Veda!D5,"ts_annual")</f>
        <v>ts_annual</v>
      </c>
      <c r="B10" s="5"/>
      <c r="C10" s="5" t="s">
        <v>50</v>
      </c>
      <c r="D10" t="s">
        <v>40</v>
      </c>
      <c r="F10" t="s">
        <v>50</v>
      </c>
      <c r="G10" t="s">
        <v>40</v>
      </c>
    </row>
    <row r="11" spans="1:7" x14ac:dyDescent="0.25">
      <c r="B11" s="5"/>
      <c r="C11" s="5" t="s">
        <v>51</v>
      </c>
      <c r="D11" t="s">
        <v>45</v>
      </c>
      <c r="F11" t="s">
        <v>51</v>
      </c>
      <c r="G11" t="s">
        <v>45</v>
      </c>
    </row>
    <row r="12" spans="1:7" x14ac:dyDescent="0.25">
      <c r="B12" s="5"/>
      <c r="C12" s="5" t="s">
        <v>52</v>
      </c>
      <c r="D12" t="s">
        <v>45</v>
      </c>
      <c r="F12" t="s">
        <v>52</v>
      </c>
      <c r="G12" t="s">
        <v>45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Not Required!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4D15-152D-46E7-A881-1C1F55214BE6}">
  <dimension ref="A9:G11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E19-87D7-4F03-9338-BBBD1C0EBDD7}">
  <dimension ref="B9:AD30"/>
  <sheetViews>
    <sheetView workbookViewId="0">
      <selection activeCell="L28" sqref="L28"/>
    </sheetView>
  </sheetViews>
  <sheetFormatPr defaultRowHeight="15" x14ac:dyDescent="0.25"/>
  <sheetData>
    <row r="9" spans="2:30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  <c r="Q9" t="str">
        <f>IF(A11="x","DeActivated","~TFM_DINS-AT")</f>
        <v>~TFM_DINS-AT</v>
      </c>
      <c r="V9" t="str">
        <f>IF(A11="x","DeActivated","~TFM_DINS-AT")</f>
        <v>~TFM_DINS-AT</v>
      </c>
      <c r="AA9" t="str">
        <f>IF(A11="x","DeActivated","~TFM_DINS-AT")</f>
        <v>~TFM_DINS-AT</v>
      </c>
    </row>
    <row r="10" spans="2:30" x14ac:dyDescent="0.2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  <c r="Q10" t="s">
        <v>41</v>
      </c>
      <c r="R10" t="s">
        <v>42</v>
      </c>
      <c r="S10" t="s">
        <v>43</v>
      </c>
      <c r="T10" t="s">
        <v>44</v>
      </c>
      <c r="V10" t="s">
        <v>41</v>
      </c>
      <c r="W10" t="s">
        <v>42</v>
      </c>
      <c r="X10" t="s">
        <v>43</v>
      </c>
      <c r="Y10" t="s">
        <v>44</v>
      </c>
      <c r="AA10" t="s">
        <v>41</v>
      </c>
      <c r="AB10" t="s">
        <v>42</v>
      </c>
      <c r="AC10" t="s">
        <v>43</v>
      </c>
      <c r="AD10" t="s">
        <v>44</v>
      </c>
    </row>
    <row r="11" spans="2:30" x14ac:dyDescent="0.25">
      <c r="Q11" t="s">
        <v>60</v>
      </c>
      <c r="R11" t="s">
        <v>45</v>
      </c>
      <c r="S11">
        <v>1.0000000000000007</v>
      </c>
      <c r="T11" t="s">
        <v>61</v>
      </c>
      <c r="V11" t="s">
        <v>81</v>
      </c>
      <c r="W11" t="s">
        <v>45</v>
      </c>
      <c r="X11">
        <v>1.0000000000000018</v>
      </c>
      <c r="Y11" t="s">
        <v>61</v>
      </c>
      <c r="AA11" t="s">
        <v>101</v>
      </c>
      <c r="AB11" t="s">
        <v>45</v>
      </c>
      <c r="AC11">
        <v>1.000000000000004</v>
      </c>
      <c r="AD11" t="s">
        <v>61</v>
      </c>
    </row>
    <row r="12" spans="2:30" x14ac:dyDescent="0.25">
      <c r="Q12" t="s">
        <v>62</v>
      </c>
      <c r="R12" t="s">
        <v>45</v>
      </c>
      <c r="S12">
        <v>0.99999999999999944</v>
      </c>
      <c r="T12" t="s">
        <v>61</v>
      </c>
      <c r="V12" t="s">
        <v>82</v>
      </c>
      <c r="W12" t="s">
        <v>45</v>
      </c>
      <c r="X12">
        <v>1.0000000000000009</v>
      </c>
      <c r="Y12" t="s">
        <v>61</v>
      </c>
      <c r="AA12" t="s">
        <v>102</v>
      </c>
      <c r="AB12" t="s">
        <v>45</v>
      </c>
      <c r="AC12">
        <v>1.0000000000000024</v>
      </c>
      <c r="AD12" t="s">
        <v>61</v>
      </c>
    </row>
    <row r="13" spans="2:30" x14ac:dyDescent="0.25">
      <c r="Q13" t="s">
        <v>63</v>
      </c>
      <c r="R13" t="s">
        <v>45</v>
      </c>
      <c r="S13">
        <v>0.99999999999999978</v>
      </c>
      <c r="T13" t="s">
        <v>61</v>
      </c>
      <c r="V13" t="s">
        <v>83</v>
      </c>
      <c r="W13" t="s">
        <v>45</v>
      </c>
      <c r="X13">
        <v>0.99999999999999734</v>
      </c>
      <c r="Y13" t="s">
        <v>61</v>
      </c>
      <c r="AA13" t="s">
        <v>103</v>
      </c>
      <c r="AB13" t="s">
        <v>45</v>
      </c>
      <c r="AC13">
        <v>1.0000000000000007</v>
      </c>
      <c r="AD13" t="s">
        <v>61</v>
      </c>
    </row>
    <row r="14" spans="2:30" x14ac:dyDescent="0.25">
      <c r="Q14" t="s">
        <v>64</v>
      </c>
      <c r="R14" t="s">
        <v>45</v>
      </c>
      <c r="S14">
        <v>1.0000000000000013</v>
      </c>
      <c r="T14" t="s">
        <v>61</v>
      </c>
      <c r="V14" t="s">
        <v>84</v>
      </c>
      <c r="W14" t="s">
        <v>45</v>
      </c>
      <c r="X14">
        <v>1</v>
      </c>
      <c r="Y14" t="s">
        <v>61</v>
      </c>
      <c r="AA14" t="s">
        <v>104</v>
      </c>
      <c r="AB14" t="s">
        <v>45</v>
      </c>
      <c r="AC14">
        <v>1.0000000000000007</v>
      </c>
      <c r="AD14" t="s">
        <v>61</v>
      </c>
    </row>
    <row r="15" spans="2:30" x14ac:dyDescent="0.25">
      <c r="Q15" t="s">
        <v>65</v>
      </c>
      <c r="R15" t="s">
        <v>45</v>
      </c>
      <c r="S15">
        <v>1.0000000000000007</v>
      </c>
      <c r="T15" t="s">
        <v>61</v>
      </c>
      <c r="V15" t="s">
        <v>85</v>
      </c>
      <c r="W15" t="s">
        <v>45</v>
      </c>
      <c r="X15">
        <v>1.0000000000000044</v>
      </c>
      <c r="Y15" t="s">
        <v>61</v>
      </c>
      <c r="AA15" t="s">
        <v>105</v>
      </c>
      <c r="AB15" t="s">
        <v>45</v>
      </c>
      <c r="AC15">
        <v>0.99999999999999944</v>
      </c>
      <c r="AD15" t="s">
        <v>61</v>
      </c>
    </row>
    <row r="16" spans="2:30" x14ac:dyDescent="0.25">
      <c r="Q16" t="s">
        <v>66</v>
      </c>
      <c r="R16" t="s">
        <v>45</v>
      </c>
      <c r="S16">
        <v>0.99999999999999944</v>
      </c>
      <c r="T16" t="s">
        <v>61</v>
      </c>
      <c r="V16" t="s">
        <v>86</v>
      </c>
      <c r="W16" t="s">
        <v>45</v>
      </c>
      <c r="X16">
        <v>1.0000000000000002</v>
      </c>
      <c r="Y16" t="s">
        <v>61</v>
      </c>
      <c r="AA16" t="s">
        <v>106</v>
      </c>
      <c r="AB16" t="s">
        <v>45</v>
      </c>
      <c r="AC16">
        <v>0.99999999999999811</v>
      </c>
      <c r="AD16" t="s">
        <v>61</v>
      </c>
    </row>
    <row r="17" spans="17:30" x14ac:dyDescent="0.25">
      <c r="Q17" t="s">
        <v>67</v>
      </c>
      <c r="R17" t="s">
        <v>45</v>
      </c>
      <c r="S17">
        <v>0.99999999999999745</v>
      </c>
      <c r="T17" t="s">
        <v>61</v>
      </c>
      <c r="V17" t="s">
        <v>87</v>
      </c>
      <c r="W17" t="s">
        <v>45</v>
      </c>
      <c r="X17">
        <v>1.0000000000000031</v>
      </c>
      <c r="Y17" t="s">
        <v>61</v>
      </c>
      <c r="AA17" t="s">
        <v>107</v>
      </c>
      <c r="AB17" t="s">
        <v>45</v>
      </c>
      <c r="AC17">
        <v>1.0000000000000016</v>
      </c>
      <c r="AD17" t="s">
        <v>61</v>
      </c>
    </row>
    <row r="18" spans="17:30" x14ac:dyDescent="0.25">
      <c r="Q18" t="s">
        <v>68</v>
      </c>
      <c r="R18" t="s">
        <v>45</v>
      </c>
      <c r="S18">
        <v>1.0000000000000009</v>
      </c>
      <c r="T18" t="s">
        <v>61</v>
      </c>
      <c r="V18" t="s">
        <v>88</v>
      </c>
      <c r="W18" t="s">
        <v>45</v>
      </c>
      <c r="X18">
        <v>0.999999999999999</v>
      </c>
      <c r="Y18" t="s">
        <v>61</v>
      </c>
      <c r="AA18" t="s">
        <v>108</v>
      </c>
      <c r="AB18" t="s">
        <v>45</v>
      </c>
      <c r="AC18">
        <v>1</v>
      </c>
      <c r="AD18" t="s">
        <v>61</v>
      </c>
    </row>
    <row r="19" spans="17:30" x14ac:dyDescent="0.25">
      <c r="Q19" t="s">
        <v>69</v>
      </c>
      <c r="R19" t="s">
        <v>45</v>
      </c>
      <c r="S19">
        <v>0.99999999999999734</v>
      </c>
      <c r="T19" t="s">
        <v>61</v>
      </c>
      <c r="V19" t="s">
        <v>89</v>
      </c>
      <c r="W19" t="s">
        <v>45</v>
      </c>
      <c r="X19">
        <v>1.0000000000000024</v>
      </c>
      <c r="Y19" t="s">
        <v>61</v>
      </c>
      <c r="AA19" t="s">
        <v>109</v>
      </c>
      <c r="AB19" t="s">
        <v>45</v>
      </c>
      <c r="AC19">
        <v>1.0000000000000033</v>
      </c>
      <c r="AD19" t="s">
        <v>61</v>
      </c>
    </row>
    <row r="20" spans="17:30" x14ac:dyDescent="0.25">
      <c r="Q20" t="s">
        <v>70</v>
      </c>
      <c r="R20" t="s">
        <v>45</v>
      </c>
      <c r="S20">
        <v>0.99999999999999911</v>
      </c>
      <c r="T20" t="s">
        <v>61</v>
      </c>
      <c r="V20" t="s">
        <v>90</v>
      </c>
      <c r="W20" t="s">
        <v>45</v>
      </c>
      <c r="X20">
        <v>1.0000000000000016</v>
      </c>
      <c r="Y20" t="s">
        <v>61</v>
      </c>
      <c r="AA20" t="s">
        <v>110</v>
      </c>
      <c r="AB20" t="s">
        <v>45</v>
      </c>
      <c r="AC20">
        <v>1.0000000000000004</v>
      </c>
      <c r="AD20" t="s">
        <v>61</v>
      </c>
    </row>
    <row r="21" spans="17:30" x14ac:dyDescent="0.25">
      <c r="Q21" t="s">
        <v>71</v>
      </c>
      <c r="R21" t="s">
        <v>45</v>
      </c>
      <c r="S21">
        <v>0.99999999999999789</v>
      </c>
      <c r="T21" t="s">
        <v>61</v>
      </c>
      <c r="V21" t="s">
        <v>91</v>
      </c>
      <c r="W21" t="s">
        <v>45</v>
      </c>
      <c r="X21">
        <v>0.99999999999999878</v>
      </c>
      <c r="Y21" t="s">
        <v>61</v>
      </c>
    </row>
    <row r="22" spans="17:30" x14ac:dyDescent="0.25">
      <c r="Q22" t="s">
        <v>72</v>
      </c>
      <c r="R22" t="s">
        <v>45</v>
      </c>
      <c r="S22">
        <v>1.0000000000000013</v>
      </c>
      <c r="T22" t="s">
        <v>61</v>
      </c>
      <c r="V22" t="s">
        <v>92</v>
      </c>
      <c r="W22" t="s">
        <v>45</v>
      </c>
      <c r="X22">
        <v>0.99999999999999944</v>
      </c>
      <c r="Y22" t="s">
        <v>61</v>
      </c>
    </row>
    <row r="23" spans="17:30" x14ac:dyDescent="0.25">
      <c r="Q23" t="s">
        <v>73</v>
      </c>
      <c r="R23" t="s">
        <v>45</v>
      </c>
      <c r="S23">
        <v>1.0000000000000007</v>
      </c>
      <c r="T23" t="s">
        <v>61</v>
      </c>
      <c r="V23" t="s">
        <v>93</v>
      </c>
      <c r="W23" t="s">
        <v>45</v>
      </c>
      <c r="X23">
        <v>0.99999999999999889</v>
      </c>
      <c r="Y23" t="s">
        <v>61</v>
      </c>
    </row>
    <row r="24" spans="17:30" x14ac:dyDescent="0.25">
      <c r="Q24" t="s">
        <v>74</v>
      </c>
      <c r="R24" t="s">
        <v>45</v>
      </c>
      <c r="S24">
        <v>0.999999999999997</v>
      </c>
      <c r="T24" t="s">
        <v>61</v>
      </c>
      <c r="V24" t="s">
        <v>94</v>
      </c>
      <c r="W24" t="s">
        <v>45</v>
      </c>
      <c r="X24">
        <v>1.0000000000000029</v>
      </c>
      <c r="Y24" t="s">
        <v>61</v>
      </c>
    </row>
    <row r="25" spans="17:30" x14ac:dyDescent="0.25">
      <c r="Q25" t="s">
        <v>75</v>
      </c>
      <c r="R25" t="s">
        <v>45</v>
      </c>
      <c r="S25">
        <v>1.0000000000000002</v>
      </c>
      <c r="T25" t="s">
        <v>61</v>
      </c>
      <c r="V25" t="s">
        <v>95</v>
      </c>
      <c r="W25" t="s">
        <v>45</v>
      </c>
      <c r="X25">
        <v>1.0000000000000011</v>
      </c>
      <c r="Y25" t="s">
        <v>61</v>
      </c>
    </row>
    <row r="26" spans="17:30" x14ac:dyDescent="0.25">
      <c r="Q26" t="s">
        <v>76</v>
      </c>
      <c r="R26" t="s">
        <v>45</v>
      </c>
      <c r="S26">
        <v>1</v>
      </c>
      <c r="T26" t="s">
        <v>61</v>
      </c>
      <c r="V26" t="s">
        <v>96</v>
      </c>
      <c r="W26" t="s">
        <v>45</v>
      </c>
      <c r="X26">
        <v>0.99999999999999611</v>
      </c>
      <c r="Y26" t="s">
        <v>61</v>
      </c>
    </row>
    <row r="27" spans="17:30" x14ac:dyDescent="0.25">
      <c r="Q27" t="s">
        <v>77</v>
      </c>
      <c r="R27" t="s">
        <v>45</v>
      </c>
      <c r="S27">
        <v>1.0000000000000007</v>
      </c>
      <c r="T27" t="s">
        <v>61</v>
      </c>
      <c r="V27" t="s">
        <v>97</v>
      </c>
      <c r="W27" t="s">
        <v>45</v>
      </c>
      <c r="X27">
        <v>0.99999999999999789</v>
      </c>
      <c r="Y27" t="s">
        <v>61</v>
      </c>
    </row>
    <row r="28" spans="17:30" x14ac:dyDescent="0.25">
      <c r="Q28" t="s">
        <v>78</v>
      </c>
      <c r="R28" t="s">
        <v>45</v>
      </c>
      <c r="S28">
        <v>0.999999999999999</v>
      </c>
      <c r="T28" t="s">
        <v>61</v>
      </c>
      <c r="V28" t="s">
        <v>98</v>
      </c>
      <c r="W28" t="s">
        <v>45</v>
      </c>
      <c r="X28">
        <v>1.0000000000000002</v>
      </c>
      <c r="Y28" t="s">
        <v>61</v>
      </c>
    </row>
    <row r="29" spans="17:30" x14ac:dyDescent="0.25">
      <c r="Q29" t="s">
        <v>79</v>
      </c>
      <c r="R29" t="s">
        <v>45</v>
      </c>
      <c r="S29">
        <v>0.999999999999999</v>
      </c>
      <c r="T29" t="s">
        <v>61</v>
      </c>
      <c r="V29" t="s">
        <v>99</v>
      </c>
      <c r="W29" t="s">
        <v>45</v>
      </c>
      <c r="X29">
        <v>1.000000000000002</v>
      </c>
      <c r="Y29" t="s">
        <v>61</v>
      </c>
    </row>
    <row r="30" spans="17:30" x14ac:dyDescent="0.25">
      <c r="Q30" t="s">
        <v>80</v>
      </c>
      <c r="R30" t="s">
        <v>45</v>
      </c>
      <c r="S30">
        <v>0.99999999999999778</v>
      </c>
      <c r="T30" t="s">
        <v>61</v>
      </c>
      <c r="V30" t="s">
        <v>100</v>
      </c>
      <c r="W30" t="s">
        <v>45</v>
      </c>
      <c r="X30">
        <v>1.0000000000000016</v>
      </c>
      <c r="Y3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BBD5-42CF-484A-9308-9FC084C2D893}">
  <dimension ref="B9:AN60"/>
  <sheetViews>
    <sheetView workbookViewId="0">
      <selection activeCell="L10" sqref="L10"/>
    </sheetView>
  </sheetViews>
  <sheetFormatPr defaultRowHeight="15" x14ac:dyDescent="0.25"/>
  <sheetData>
    <row r="9" spans="2:40" x14ac:dyDescent="0.2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  <c r="V9" t="str">
        <f>IF(A11="x","DeActivated","~TFM_DINS-TSL: attribute=FLO_EMIS; other_indexes=ACT")</f>
        <v>~TFM_DINS-TSL: attribute=FLO_EMIS; other_indexes=ACT</v>
      </c>
      <c r="Z9" t="str">
        <f>IF(A11="x","DeActivated","~TFM_INS-TSL: attribute=FLO_SHAR; limtype=FX")</f>
        <v>~TFM_INS-TSL: attribute=FLO_SHAR; limtype=FX</v>
      </c>
      <c r="AD9" t="str">
        <f>IF(A11="x","DeActivated","~TFM_INS-TSL: attribute=FLO_SHAR; limtype=FX")</f>
        <v>~TFM_INS-TSL: attribute=FLO_SHAR; limtype=FX</v>
      </c>
      <c r="AH9" t="str">
        <f>IF(A11="x","DeActivated","~TFM_DINS-TSL: attribute=NCAP_PKCNT")</f>
        <v>~TFM_DINS-TSL: attribute=NCAP_PKCNT</v>
      </c>
      <c r="AK9" t="str">
        <f>IF(A11="x","DeActivated","~TFM_DINS-AT")</f>
        <v>~TFM_DINS-AT</v>
      </c>
    </row>
    <row r="10" spans="2:40" x14ac:dyDescent="0.25">
      <c r="B10" t="s">
        <v>44</v>
      </c>
      <c r="C10" t="s">
        <v>41</v>
      </c>
      <c r="D10" t="s">
        <v>45</v>
      </c>
      <c r="F10" t="s">
        <v>44</v>
      </c>
      <c r="G10" t="s">
        <v>41</v>
      </c>
      <c r="H10" t="s">
        <v>45</v>
      </c>
      <c r="J10" t="s">
        <v>44</v>
      </c>
      <c r="K10" t="s">
        <v>41</v>
      </c>
      <c r="L10" t="s">
        <v>45</v>
      </c>
      <c r="N10" t="s">
        <v>44</v>
      </c>
      <c r="O10" t="s">
        <v>45</v>
      </c>
      <c r="Q10" t="s">
        <v>44</v>
      </c>
      <c r="R10" t="s">
        <v>41</v>
      </c>
      <c r="S10" t="s">
        <v>46</v>
      </c>
      <c r="T10" t="s">
        <v>47</v>
      </c>
      <c r="V10" t="s">
        <v>44</v>
      </c>
      <c r="W10" t="s">
        <v>41</v>
      </c>
      <c r="X10" t="s">
        <v>45</v>
      </c>
      <c r="Z10" t="s">
        <v>44</v>
      </c>
      <c r="AA10" t="s">
        <v>41</v>
      </c>
      <c r="AB10" t="s">
        <v>45</v>
      </c>
      <c r="AD10" t="s">
        <v>44</v>
      </c>
      <c r="AE10" t="s">
        <v>41</v>
      </c>
      <c r="AF10" t="s">
        <v>45</v>
      </c>
      <c r="AH10" t="s">
        <v>44</v>
      </c>
      <c r="AI10" t="s">
        <v>45</v>
      </c>
      <c r="AK10" t="s">
        <v>44</v>
      </c>
      <c r="AL10" t="s">
        <v>41</v>
      </c>
      <c r="AM10" t="s">
        <v>46</v>
      </c>
      <c r="AN10" t="s">
        <v>47</v>
      </c>
    </row>
    <row r="11" spans="2:40" x14ac:dyDescent="0.25">
      <c r="V11" t="s">
        <v>111</v>
      </c>
      <c r="W11" t="s">
        <v>31</v>
      </c>
      <c r="X11">
        <v>0.59167811303806361</v>
      </c>
      <c r="Z11" t="s">
        <v>161</v>
      </c>
      <c r="AA11" t="s">
        <v>162</v>
      </c>
      <c r="AB11">
        <v>0.15059754415215146</v>
      </c>
      <c r="AD11" t="s">
        <v>161</v>
      </c>
      <c r="AE11" t="s">
        <v>165</v>
      </c>
      <c r="AF11">
        <v>0.19260001900193646</v>
      </c>
      <c r="AH11" t="s">
        <v>111</v>
      </c>
      <c r="AI11">
        <v>0.13341062870936199</v>
      </c>
      <c r="AK11" t="s">
        <v>111</v>
      </c>
      <c r="AL11" t="s">
        <v>166</v>
      </c>
      <c r="AM11" t="s">
        <v>167</v>
      </c>
      <c r="AN11">
        <v>0.13341062870936199</v>
      </c>
    </row>
    <row r="12" spans="2:40" x14ac:dyDescent="0.25">
      <c r="V12" t="s">
        <v>112</v>
      </c>
      <c r="W12" t="s">
        <v>31</v>
      </c>
      <c r="X12">
        <v>0.58221216558475308</v>
      </c>
      <c r="Z12" t="s">
        <v>163</v>
      </c>
      <c r="AA12" t="s">
        <v>162</v>
      </c>
      <c r="AB12">
        <v>6.5541277396278406E-3</v>
      </c>
      <c r="AD12" t="s">
        <v>163</v>
      </c>
      <c r="AE12" t="s">
        <v>165</v>
      </c>
      <c r="AF12">
        <v>1.8263654773970857E-2</v>
      </c>
      <c r="AH12" t="s">
        <v>112</v>
      </c>
      <c r="AI12">
        <v>0.1392710295340262</v>
      </c>
      <c r="AK12" t="s">
        <v>112</v>
      </c>
      <c r="AL12" t="s">
        <v>166</v>
      </c>
      <c r="AM12" t="s">
        <v>167</v>
      </c>
      <c r="AN12">
        <v>0.1392710295340262</v>
      </c>
    </row>
    <row r="13" spans="2:40" x14ac:dyDescent="0.25">
      <c r="V13" t="s">
        <v>113</v>
      </c>
      <c r="W13" t="s">
        <v>31</v>
      </c>
      <c r="X13">
        <v>0.58502178783051673</v>
      </c>
      <c r="Z13" t="s">
        <v>164</v>
      </c>
      <c r="AA13" t="s">
        <v>162</v>
      </c>
      <c r="AB13">
        <v>8.9437099423020899E-3</v>
      </c>
      <c r="AD13" t="s">
        <v>164</v>
      </c>
      <c r="AE13" t="s">
        <v>165</v>
      </c>
      <c r="AF13">
        <v>2.0952925883228626E-2</v>
      </c>
      <c r="AH13" t="s">
        <v>113</v>
      </c>
      <c r="AI13">
        <v>0.13603951840009673</v>
      </c>
      <c r="AK13" t="s">
        <v>113</v>
      </c>
      <c r="AL13" t="s">
        <v>166</v>
      </c>
      <c r="AM13" t="s">
        <v>167</v>
      </c>
      <c r="AN13">
        <v>0.13603951840009673</v>
      </c>
    </row>
    <row r="14" spans="2:40" x14ac:dyDescent="0.25">
      <c r="V14" t="s">
        <v>114</v>
      </c>
      <c r="W14" t="s">
        <v>31</v>
      </c>
      <c r="X14">
        <v>0.5990269419409523</v>
      </c>
      <c r="AH14" t="s">
        <v>114</v>
      </c>
      <c r="AI14">
        <v>0.13580342572274165</v>
      </c>
      <c r="AK14" t="s">
        <v>114</v>
      </c>
      <c r="AL14" t="s">
        <v>166</v>
      </c>
      <c r="AM14" t="s">
        <v>167</v>
      </c>
      <c r="AN14">
        <v>0.13580342572274165</v>
      </c>
    </row>
    <row r="15" spans="2:40" x14ac:dyDescent="0.25">
      <c r="V15" t="s">
        <v>115</v>
      </c>
      <c r="W15" t="s">
        <v>31</v>
      </c>
      <c r="X15">
        <v>0.59550894267007881</v>
      </c>
      <c r="AH15" t="s">
        <v>115</v>
      </c>
      <c r="AI15">
        <v>0.137674658766474</v>
      </c>
      <c r="AK15" t="s">
        <v>115</v>
      </c>
      <c r="AL15" t="s">
        <v>166</v>
      </c>
      <c r="AM15" t="s">
        <v>167</v>
      </c>
      <c r="AN15">
        <v>0.137674658766474</v>
      </c>
    </row>
    <row r="16" spans="2:40" x14ac:dyDescent="0.25">
      <c r="V16" t="s">
        <v>116</v>
      </c>
      <c r="W16" t="s">
        <v>31</v>
      </c>
      <c r="X16">
        <v>0.59541649862501878</v>
      </c>
      <c r="AH16" t="s">
        <v>116</v>
      </c>
      <c r="AI16">
        <v>0.14006273932820212</v>
      </c>
      <c r="AK16" t="s">
        <v>116</v>
      </c>
      <c r="AL16" t="s">
        <v>166</v>
      </c>
      <c r="AM16" t="s">
        <v>167</v>
      </c>
      <c r="AN16">
        <v>0.14006273932820212</v>
      </c>
    </row>
    <row r="17" spans="22:40" x14ac:dyDescent="0.25">
      <c r="V17" t="s">
        <v>117</v>
      </c>
      <c r="W17" t="s">
        <v>31</v>
      </c>
      <c r="X17">
        <v>0.59476015953947925</v>
      </c>
      <c r="AH17" t="s">
        <v>117</v>
      </c>
      <c r="AI17">
        <v>0.14460447956988601</v>
      </c>
      <c r="AK17" t="s">
        <v>117</v>
      </c>
      <c r="AL17" t="s">
        <v>166</v>
      </c>
      <c r="AM17" t="s">
        <v>167</v>
      </c>
      <c r="AN17">
        <v>0.14460447956988601</v>
      </c>
    </row>
    <row r="18" spans="22:40" x14ac:dyDescent="0.25">
      <c r="V18" t="s">
        <v>118</v>
      </c>
      <c r="W18" t="s">
        <v>31</v>
      </c>
      <c r="X18">
        <v>0.59517143927935345</v>
      </c>
      <c r="AH18" t="s">
        <v>118</v>
      </c>
      <c r="AI18">
        <v>0.14327432039235977</v>
      </c>
      <c r="AK18" t="s">
        <v>118</v>
      </c>
      <c r="AL18" t="s">
        <v>166</v>
      </c>
      <c r="AM18" t="s">
        <v>167</v>
      </c>
      <c r="AN18">
        <v>0.14327432039235977</v>
      </c>
    </row>
    <row r="19" spans="22:40" x14ac:dyDescent="0.25">
      <c r="V19" t="s">
        <v>119</v>
      </c>
      <c r="W19" t="s">
        <v>31</v>
      </c>
      <c r="X19">
        <v>0.58950741919023664</v>
      </c>
      <c r="AH19" t="s">
        <v>119</v>
      </c>
      <c r="AI19">
        <v>0.1393929869129297</v>
      </c>
      <c r="AK19" t="s">
        <v>119</v>
      </c>
      <c r="AL19" t="s">
        <v>166</v>
      </c>
      <c r="AM19" t="s">
        <v>167</v>
      </c>
      <c r="AN19">
        <v>0.1393929869129297</v>
      </c>
    </row>
    <row r="20" spans="22:40" x14ac:dyDescent="0.25">
      <c r="V20" t="s">
        <v>120</v>
      </c>
      <c r="W20" t="s">
        <v>31</v>
      </c>
      <c r="X20">
        <v>0.60286650296690136</v>
      </c>
      <c r="AH20" t="s">
        <v>120</v>
      </c>
      <c r="AI20">
        <v>0.13724239709632496</v>
      </c>
      <c r="AK20" t="s">
        <v>120</v>
      </c>
      <c r="AL20" t="s">
        <v>166</v>
      </c>
      <c r="AM20" t="s">
        <v>167</v>
      </c>
      <c r="AN20">
        <v>0.13724239709632496</v>
      </c>
    </row>
    <row r="21" spans="22:40" x14ac:dyDescent="0.25">
      <c r="V21" t="s">
        <v>121</v>
      </c>
      <c r="W21" t="s">
        <v>31</v>
      </c>
      <c r="X21">
        <v>0.59518178168571312</v>
      </c>
      <c r="AH21" t="s">
        <v>121</v>
      </c>
      <c r="AI21">
        <v>0.13840372762832218</v>
      </c>
      <c r="AK21" t="s">
        <v>121</v>
      </c>
      <c r="AL21" t="s">
        <v>166</v>
      </c>
      <c r="AM21" t="s">
        <v>167</v>
      </c>
      <c r="AN21">
        <v>0.13840372762832218</v>
      </c>
    </row>
    <row r="22" spans="22:40" x14ac:dyDescent="0.25">
      <c r="V22" t="s">
        <v>122</v>
      </c>
      <c r="W22" t="s">
        <v>31</v>
      </c>
      <c r="X22">
        <v>0.58532984831145907</v>
      </c>
      <c r="AH22" t="s">
        <v>122</v>
      </c>
      <c r="AI22">
        <v>0.14367039817113522</v>
      </c>
      <c r="AK22" t="s">
        <v>122</v>
      </c>
      <c r="AL22" t="s">
        <v>166</v>
      </c>
      <c r="AM22" t="s">
        <v>167</v>
      </c>
      <c r="AN22">
        <v>0.14367039817113522</v>
      </c>
    </row>
    <row r="23" spans="22:40" x14ac:dyDescent="0.25">
      <c r="V23" t="s">
        <v>123</v>
      </c>
      <c r="W23" t="s">
        <v>31</v>
      </c>
      <c r="X23">
        <v>0.58441320105978878</v>
      </c>
      <c r="AH23" t="s">
        <v>123</v>
      </c>
      <c r="AI23">
        <v>0.14289351641691994</v>
      </c>
      <c r="AK23" t="s">
        <v>123</v>
      </c>
      <c r="AL23" t="s">
        <v>166</v>
      </c>
      <c r="AM23" t="s">
        <v>167</v>
      </c>
      <c r="AN23">
        <v>0.14289351641691994</v>
      </c>
    </row>
    <row r="24" spans="22:40" x14ac:dyDescent="0.25">
      <c r="V24" t="s">
        <v>124</v>
      </c>
      <c r="W24" t="s">
        <v>31</v>
      </c>
      <c r="X24">
        <v>0.58124149344961229</v>
      </c>
      <c r="AH24" t="s">
        <v>124</v>
      </c>
      <c r="AI24">
        <v>0.14189458247950956</v>
      </c>
      <c r="AK24" t="s">
        <v>124</v>
      </c>
      <c r="AL24" t="s">
        <v>166</v>
      </c>
      <c r="AM24" t="s">
        <v>167</v>
      </c>
      <c r="AN24">
        <v>0.14189458247950956</v>
      </c>
    </row>
    <row r="25" spans="22:40" x14ac:dyDescent="0.25">
      <c r="V25" t="s">
        <v>125</v>
      </c>
      <c r="W25" t="s">
        <v>31</v>
      </c>
      <c r="X25">
        <v>0.58193831110913941</v>
      </c>
      <c r="AH25" t="s">
        <v>125</v>
      </c>
      <c r="AI25">
        <v>0.13988924020578719</v>
      </c>
      <c r="AK25" t="s">
        <v>125</v>
      </c>
      <c r="AL25" t="s">
        <v>166</v>
      </c>
      <c r="AM25" t="s">
        <v>167</v>
      </c>
      <c r="AN25">
        <v>0.13988924020578719</v>
      </c>
    </row>
    <row r="26" spans="22:40" x14ac:dyDescent="0.25">
      <c r="V26" t="s">
        <v>126</v>
      </c>
      <c r="W26" t="s">
        <v>31</v>
      </c>
      <c r="X26">
        <v>0.59000386090828527</v>
      </c>
      <c r="AH26" t="s">
        <v>126</v>
      </c>
      <c r="AI26">
        <v>0.13822148266246437</v>
      </c>
      <c r="AK26" t="s">
        <v>126</v>
      </c>
      <c r="AL26" t="s">
        <v>166</v>
      </c>
      <c r="AM26" t="s">
        <v>167</v>
      </c>
      <c r="AN26">
        <v>0.13822148266246437</v>
      </c>
    </row>
    <row r="27" spans="22:40" x14ac:dyDescent="0.25">
      <c r="V27" t="s">
        <v>127</v>
      </c>
      <c r="W27" t="s">
        <v>31</v>
      </c>
      <c r="X27">
        <v>0.59598764368884483</v>
      </c>
      <c r="AH27" t="s">
        <v>127</v>
      </c>
      <c r="AI27">
        <v>0.1383250373962768</v>
      </c>
      <c r="AK27" t="s">
        <v>127</v>
      </c>
      <c r="AL27" t="s">
        <v>166</v>
      </c>
      <c r="AM27" t="s">
        <v>167</v>
      </c>
      <c r="AN27">
        <v>0.1383250373962768</v>
      </c>
    </row>
    <row r="28" spans="22:40" x14ac:dyDescent="0.25">
      <c r="V28" t="s">
        <v>128</v>
      </c>
      <c r="W28" t="s">
        <v>31</v>
      </c>
      <c r="X28">
        <v>0.5936136977366312</v>
      </c>
      <c r="AH28" t="s">
        <v>128</v>
      </c>
      <c r="AI28">
        <v>0.13837151326385566</v>
      </c>
      <c r="AK28" t="s">
        <v>128</v>
      </c>
      <c r="AL28" t="s">
        <v>166</v>
      </c>
      <c r="AM28" t="s">
        <v>167</v>
      </c>
      <c r="AN28">
        <v>0.13837151326385566</v>
      </c>
    </row>
    <row r="29" spans="22:40" x14ac:dyDescent="0.25">
      <c r="V29" t="s">
        <v>129</v>
      </c>
      <c r="W29" t="s">
        <v>31</v>
      </c>
      <c r="X29">
        <v>0.58819720473150328</v>
      </c>
      <c r="AH29" t="s">
        <v>129</v>
      </c>
      <c r="AI29">
        <v>0.13803689109006143</v>
      </c>
      <c r="AK29" t="s">
        <v>129</v>
      </c>
      <c r="AL29" t="s">
        <v>166</v>
      </c>
      <c r="AM29" t="s">
        <v>167</v>
      </c>
      <c r="AN29">
        <v>0.13803689109006143</v>
      </c>
    </row>
    <row r="30" spans="22:40" x14ac:dyDescent="0.25">
      <c r="V30" t="s">
        <v>130</v>
      </c>
      <c r="W30" t="s">
        <v>31</v>
      </c>
      <c r="X30">
        <v>0.58897320007095166</v>
      </c>
      <c r="AH30" t="s">
        <v>130</v>
      </c>
      <c r="AI30">
        <v>0.13832247427630007</v>
      </c>
      <c r="AK30" t="s">
        <v>130</v>
      </c>
      <c r="AL30" t="s">
        <v>166</v>
      </c>
      <c r="AM30" t="s">
        <v>167</v>
      </c>
      <c r="AN30">
        <v>0.13832247427630007</v>
      </c>
    </row>
    <row r="31" spans="22:40" x14ac:dyDescent="0.25">
      <c r="V31" t="s">
        <v>131</v>
      </c>
      <c r="W31" t="s">
        <v>31</v>
      </c>
      <c r="X31">
        <v>0.39858554487574327</v>
      </c>
      <c r="AH31" t="s">
        <v>131</v>
      </c>
      <c r="AI31">
        <v>0.29503941862601885</v>
      </c>
      <c r="AK31" t="s">
        <v>141</v>
      </c>
      <c r="AL31" t="s">
        <v>166</v>
      </c>
      <c r="AM31" t="s">
        <v>167</v>
      </c>
      <c r="AN31">
        <v>0.29279791653826653</v>
      </c>
    </row>
    <row r="32" spans="22:40" x14ac:dyDescent="0.25">
      <c r="V32" t="s">
        <v>132</v>
      </c>
      <c r="W32" t="s">
        <v>31</v>
      </c>
      <c r="X32">
        <v>0.34905512722776916</v>
      </c>
      <c r="AH32" t="s">
        <v>132</v>
      </c>
      <c r="AI32">
        <v>0.47859411512724059</v>
      </c>
      <c r="AK32" t="s">
        <v>142</v>
      </c>
      <c r="AL32" t="s">
        <v>166</v>
      </c>
      <c r="AM32" t="s">
        <v>167</v>
      </c>
      <c r="AN32">
        <v>0.27574627529542167</v>
      </c>
    </row>
    <row r="33" spans="22:40" x14ac:dyDescent="0.25">
      <c r="V33" t="s">
        <v>133</v>
      </c>
      <c r="W33" t="s">
        <v>31</v>
      </c>
      <c r="X33">
        <v>0.37060300029858861</v>
      </c>
      <c r="AH33" t="s">
        <v>133</v>
      </c>
      <c r="AI33">
        <v>0.39611973593706284</v>
      </c>
      <c r="AK33" t="s">
        <v>143</v>
      </c>
      <c r="AL33" t="s">
        <v>166</v>
      </c>
      <c r="AM33" t="s">
        <v>167</v>
      </c>
      <c r="AN33">
        <v>0.29873864190533955</v>
      </c>
    </row>
    <row r="34" spans="22:40" x14ac:dyDescent="0.25">
      <c r="V34" t="s">
        <v>134</v>
      </c>
      <c r="W34" t="s">
        <v>31</v>
      </c>
      <c r="X34">
        <v>0.33599727143201796</v>
      </c>
      <c r="AH34" t="s">
        <v>134</v>
      </c>
      <c r="AI34">
        <v>0.51418941408779373</v>
      </c>
      <c r="AK34" t="s">
        <v>144</v>
      </c>
      <c r="AL34" t="s">
        <v>166</v>
      </c>
      <c r="AM34" t="s">
        <v>167</v>
      </c>
      <c r="AN34">
        <v>0.31448867451013196</v>
      </c>
    </row>
    <row r="35" spans="22:40" x14ac:dyDescent="0.25">
      <c r="V35" t="s">
        <v>135</v>
      </c>
      <c r="W35" t="s">
        <v>31</v>
      </c>
      <c r="X35">
        <v>0.3434825200075351</v>
      </c>
      <c r="AH35" t="s">
        <v>135</v>
      </c>
      <c r="AI35">
        <v>0.50447045157143255</v>
      </c>
      <c r="AK35" t="s">
        <v>145</v>
      </c>
      <c r="AL35" t="s">
        <v>166</v>
      </c>
      <c r="AM35" t="s">
        <v>167</v>
      </c>
      <c r="AN35">
        <v>0.31396820033467587</v>
      </c>
    </row>
    <row r="36" spans="22:40" x14ac:dyDescent="0.25">
      <c r="V36" t="s">
        <v>136</v>
      </c>
      <c r="W36" t="s">
        <v>31</v>
      </c>
      <c r="X36">
        <v>0.34586810849689431</v>
      </c>
      <c r="AH36" t="s">
        <v>136</v>
      </c>
      <c r="AI36">
        <v>0.47983498659955082</v>
      </c>
      <c r="AK36" t="s">
        <v>146</v>
      </c>
      <c r="AL36" t="s">
        <v>166</v>
      </c>
      <c r="AM36" t="s">
        <v>167</v>
      </c>
      <c r="AN36">
        <v>0.31264013215209641</v>
      </c>
    </row>
    <row r="37" spans="22:40" x14ac:dyDescent="0.25">
      <c r="V37" t="s">
        <v>137</v>
      </c>
      <c r="W37" t="s">
        <v>31</v>
      </c>
      <c r="X37">
        <v>0.36638668966330012</v>
      </c>
      <c r="AH37" t="s">
        <v>137</v>
      </c>
      <c r="AI37">
        <v>0.37997411876840614</v>
      </c>
      <c r="AK37" t="s">
        <v>147</v>
      </c>
      <c r="AL37" t="s">
        <v>166</v>
      </c>
      <c r="AM37" t="s">
        <v>167</v>
      </c>
      <c r="AN37">
        <v>0.31866920721971503</v>
      </c>
    </row>
    <row r="38" spans="22:40" x14ac:dyDescent="0.25">
      <c r="V38" t="s">
        <v>138</v>
      </c>
      <c r="W38" t="s">
        <v>31</v>
      </c>
      <c r="X38">
        <v>0.34258347956984236</v>
      </c>
      <c r="AH38" t="s">
        <v>138</v>
      </c>
      <c r="AI38">
        <v>0.50020958646910152</v>
      </c>
      <c r="AK38" t="s">
        <v>148</v>
      </c>
      <c r="AL38" t="s">
        <v>166</v>
      </c>
      <c r="AM38" t="s">
        <v>167</v>
      </c>
      <c r="AN38">
        <v>0.31011886605005201</v>
      </c>
    </row>
    <row r="39" spans="22:40" x14ac:dyDescent="0.25">
      <c r="V39" t="s">
        <v>139</v>
      </c>
      <c r="W39" t="s">
        <v>31</v>
      </c>
      <c r="X39">
        <v>0.33598156964071324</v>
      </c>
      <c r="AH39" t="s">
        <v>139</v>
      </c>
      <c r="AI39">
        <v>0.50992979072123334</v>
      </c>
      <c r="AK39" t="s">
        <v>149</v>
      </c>
      <c r="AL39" t="s">
        <v>166</v>
      </c>
      <c r="AM39" t="s">
        <v>167</v>
      </c>
      <c r="AN39">
        <v>0.33379271629480389</v>
      </c>
    </row>
    <row r="40" spans="22:40" x14ac:dyDescent="0.25">
      <c r="V40" t="s">
        <v>140</v>
      </c>
      <c r="W40" t="s">
        <v>31</v>
      </c>
      <c r="X40">
        <v>0.3551229626759046</v>
      </c>
      <c r="AH40" t="s">
        <v>140</v>
      </c>
      <c r="AI40">
        <v>0.46231116443987391</v>
      </c>
      <c r="AK40" t="s">
        <v>150</v>
      </c>
      <c r="AL40" t="s">
        <v>166</v>
      </c>
      <c r="AM40" t="s">
        <v>167</v>
      </c>
      <c r="AN40">
        <v>0.36860947990803439</v>
      </c>
    </row>
    <row r="41" spans="22:40" x14ac:dyDescent="0.25">
      <c r="V41" t="s">
        <v>141</v>
      </c>
      <c r="W41" t="s">
        <v>31</v>
      </c>
      <c r="X41">
        <v>0.3948141777988895</v>
      </c>
      <c r="AH41" t="s">
        <v>141</v>
      </c>
      <c r="AI41">
        <v>0.29279791653826653</v>
      </c>
      <c r="AK41" t="s">
        <v>151</v>
      </c>
      <c r="AL41" t="s">
        <v>166</v>
      </c>
      <c r="AM41" t="s">
        <v>167</v>
      </c>
      <c r="AN41">
        <v>0.26076395720204948</v>
      </c>
    </row>
    <row r="42" spans="22:40" x14ac:dyDescent="0.25">
      <c r="V42" t="s">
        <v>142</v>
      </c>
      <c r="W42" t="s">
        <v>31</v>
      </c>
      <c r="X42">
        <v>0.40092716338745893</v>
      </c>
      <c r="AH42" t="s">
        <v>142</v>
      </c>
      <c r="AI42">
        <v>0.27574627529542167</v>
      </c>
      <c r="AK42" t="s">
        <v>152</v>
      </c>
      <c r="AL42" t="s">
        <v>166</v>
      </c>
      <c r="AM42" t="s">
        <v>167</v>
      </c>
      <c r="AN42">
        <v>0.30175559922246664</v>
      </c>
    </row>
    <row r="43" spans="22:40" x14ac:dyDescent="0.25">
      <c r="V43" t="s">
        <v>143</v>
      </c>
      <c r="W43" t="s">
        <v>31</v>
      </c>
      <c r="X43">
        <v>0.40059089170981543</v>
      </c>
      <c r="AH43" t="s">
        <v>143</v>
      </c>
      <c r="AI43">
        <v>0.29873864190533955</v>
      </c>
      <c r="AK43" t="s">
        <v>153</v>
      </c>
      <c r="AL43" t="s">
        <v>166</v>
      </c>
      <c r="AM43" t="s">
        <v>167</v>
      </c>
      <c r="AN43">
        <v>0.29196521977945294</v>
      </c>
    </row>
    <row r="44" spans="22:40" x14ac:dyDescent="0.25">
      <c r="V44" t="s">
        <v>144</v>
      </c>
      <c r="W44" t="s">
        <v>31</v>
      </c>
      <c r="X44">
        <v>0.38934139779953175</v>
      </c>
      <c r="AH44" t="s">
        <v>144</v>
      </c>
      <c r="AI44">
        <v>0.31448999168423331</v>
      </c>
      <c r="AK44" t="s">
        <v>154</v>
      </c>
      <c r="AL44" t="s">
        <v>166</v>
      </c>
      <c r="AM44" t="s">
        <v>167</v>
      </c>
      <c r="AN44">
        <v>0.30160239480629109</v>
      </c>
    </row>
    <row r="45" spans="22:40" x14ac:dyDescent="0.25">
      <c r="V45" t="s">
        <v>145</v>
      </c>
      <c r="W45" t="s">
        <v>31</v>
      </c>
      <c r="X45">
        <v>0.38190365420764205</v>
      </c>
      <c r="AH45" t="s">
        <v>145</v>
      </c>
      <c r="AI45">
        <v>0.31396820033467587</v>
      </c>
      <c r="AK45" t="s">
        <v>155</v>
      </c>
      <c r="AL45" t="s">
        <v>166</v>
      </c>
      <c r="AM45" t="s">
        <v>167</v>
      </c>
      <c r="AN45">
        <v>0.12010847251018618</v>
      </c>
    </row>
    <row r="46" spans="22:40" x14ac:dyDescent="0.25">
      <c r="V46" t="s">
        <v>146</v>
      </c>
      <c r="W46" t="s">
        <v>31</v>
      </c>
      <c r="X46">
        <v>0.38265075210331728</v>
      </c>
      <c r="AH46" t="s">
        <v>146</v>
      </c>
      <c r="AI46">
        <v>0.31264013215209641</v>
      </c>
      <c r="AK46" t="s">
        <v>156</v>
      </c>
      <c r="AL46" t="s">
        <v>166</v>
      </c>
      <c r="AM46" t="s">
        <v>167</v>
      </c>
      <c r="AN46">
        <v>0.2976931857290252</v>
      </c>
    </row>
    <row r="47" spans="22:40" x14ac:dyDescent="0.25">
      <c r="V47" t="s">
        <v>147</v>
      </c>
      <c r="W47" t="s">
        <v>31</v>
      </c>
      <c r="X47">
        <v>0.38751086736139961</v>
      </c>
      <c r="AH47" t="s">
        <v>147</v>
      </c>
      <c r="AI47">
        <v>0.31866920721971503</v>
      </c>
      <c r="AK47" t="s">
        <v>157</v>
      </c>
      <c r="AL47" t="s">
        <v>166</v>
      </c>
      <c r="AM47" t="s">
        <v>167</v>
      </c>
      <c r="AN47">
        <v>0.22321530523837257</v>
      </c>
    </row>
    <row r="48" spans="22:40" x14ac:dyDescent="0.25">
      <c r="V48" t="s">
        <v>148</v>
      </c>
      <c r="W48" t="s">
        <v>31</v>
      </c>
      <c r="X48">
        <v>0.39230735260274019</v>
      </c>
      <c r="AH48" t="s">
        <v>148</v>
      </c>
      <c r="AI48">
        <v>0.31011886605005201</v>
      </c>
      <c r="AK48" t="s">
        <v>158</v>
      </c>
      <c r="AL48" t="s">
        <v>166</v>
      </c>
      <c r="AM48" t="s">
        <v>167</v>
      </c>
      <c r="AN48">
        <v>0.23850800093702712</v>
      </c>
    </row>
    <row r="49" spans="22:40" x14ac:dyDescent="0.25">
      <c r="V49" t="s">
        <v>149</v>
      </c>
      <c r="W49" t="s">
        <v>31</v>
      </c>
      <c r="X49">
        <v>0.38854546719524696</v>
      </c>
      <c r="AH49" t="s">
        <v>149</v>
      </c>
      <c r="AI49">
        <v>0.33379271629480389</v>
      </c>
      <c r="AK49" t="s">
        <v>159</v>
      </c>
      <c r="AL49" t="s">
        <v>166</v>
      </c>
      <c r="AM49" t="s">
        <v>167</v>
      </c>
      <c r="AN49">
        <v>0.24944956562240891</v>
      </c>
    </row>
    <row r="50" spans="22:40" x14ac:dyDescent="0.25">
      <c r="V50" t="s">
        <v>150</v>
      </c>
      <c r="W50" t="s">
        <v>31</v>
      </c>
      <c r="X50">
        <v>0.36045298220513045</v>
      </c>
      <c r="AH50" t="s">
        <v>150</v>
      </c>
      <c r="AI50">
        <v>0.36860947990803439</v>
      </c>
      <c r="AK50" t="s">
        <v>160</v>
      </c>
      <c r="AL50" t="s">
        <v>166</v>
      </c>
      <c r="AM50" t="s">
        <v>167</v>
      </c>
      <c r="AN50">
        <v>0.26231416009841102</v>
      </c>
    </row>
    <row r="51" spans="22:40" x14ac:dyDescent="0.25">
      <c r="V51" t="s">
        <v>151</v>
      </c>
      <c r="W51" t="s">
        <v>31</v>
      </c>
      <c r="X51">
        <v>0.4157734344943152</v>
      </c>
      <c r="AH51" t="s">
        <v>151</v>
      </c>
      <c r="AI51">
        <v>0.26076395720204948</v>
      </c>
      <c r="AK51" t="s">
        <v>131</v>
      </c>
      <c r="AL51" t="s">
        <v>166</v>
      </c>
      <c r="AM51" t="s">
        <v>167</v>
      </c>
      <c r="AN51">
        <v>0.29503941862601885</v>
      </c>
    </row>
    <row r="52" spans="22:40" x14ac:dyDescent="0.25">
      <c r="V52" t="s">
        <v>152</v>
      </c>
      <c r="W52" t="s">
        <v>31</v>
      </c>
      <c r="X52">
        <v>0.38987271677884583</v>
      </c>
      <c r="AH52" t="s">
        <v>152</v>
      </c>
      <c r="AI52">
        <v>0.30175559922246664</v>
      </c>
      <c r="AK52" t="s">
        <v>132</v>
      </c>
      <c r="AL52" t="s">
        <v>166</v>
      </c>
      <c r="AM52" t="s">
        <v>167</v>
      </c>
      <c r="AN52">
        <v>0.47859411512724059</v>
      </c>
    </row>
    <row r="53" spans="22:40" x14ac:dyDescent="0.25">
      <c r="V53" t="s">
        <v>153</v>
      </c>
      <c r="W53" t="s">
        <v>31</v>
      </c>
      <c r="X53">
        <v>0.39616036078613315</v>
      </c>
      <c r="AH53" t="s">
        <v>153</v>
      </c>
      <c r="AI53">
        <v>0.29196521977945294</v>
      </c>
      <c r="AK53" t="s">
        <v>133</v>
      </c>
      <c r="AL53" t="s">
        <v>166</v>
      </c>
      <c r="AM53" t="s">
        <v>167</v>
      </c>
      <c r="AN53">
        <v>0.39611973593706284</v>
      </c>
    </row>
    <row r="54" spans="22:40" x14ac:dyDescent="0.25">
      <c r="V54" t="s">
        <v>154</v>
      </c>
      <c r="W54" t="s">
        <v>31</v>
      </c>
      <c r="X54">
        <v>0.38541689644164395</v>
      </c>
      <c r="AH54" t="s">
        <v>154</v>
      </c>
      <c r="AI54">
        <v>0.30160239480629109</v>
      </c>
      <c r="AK54" t="s">
        <v>134</v>
      </c>
      <c r="AL54" t="s">
        <v>166</v>
      </c>
      <c r="AM54" t="s">
        <v>167</v>
      </c>
      <c r="AN54">
        <v>0.51418941408779373</v>
      </c>
    </row>
    <row r="55" spans="22:40" x14ac:dyDescent="0.25">
      <c r="V55" t="s">
        <v>155</v>
      </c>
      <c r="W55" t="s">
        <v>31</v>
      </c>
      <c r="X55">
        <v>0.50299856151552569</v>
      </c>
      <c r="AH55" t="s">
        <v>155</v>
      </c>
      <c r="AI55">
        <v>0.12010847251018618</v>
      </c>
      <c r="AK55" t="s">
        <v>135</v>
      </c>
      <c r="AL55" t="s">
        <v>166</v>
      </c>
      <c r="AM55" t="s">
        <v>167</v>
      </c>
      <c r="AN55">
        <v>0.50447045157143255</v>
      </c>
    </row>
    <row r="56" spans="22:40" x14ac:dyDescent="0.25">
      <c r="V56" t="s">
        <v>156</v>
      </c>
      <c r="W56" t="s">
        <v>31</v>
      </c>
      <c r="X56">
        <v>0.42805790695245488</v>
      </c>
      <c r="AH56" t="s">
        <v>156</v>
      </c>
      <c r="AI56">
        <v>0.2976931857290252</v>
      </c>
      <c r="AK56" t="s">
        <v>136</v>
      </c>
      <c r="AL56" t="s">
        <v>166</v>
      </c>
      <c r="AM56" t="s">
        <v>167</v>
      </c>
      <c r="AN56">
        <v>0.47983498659955082</v>
      </c>
    </row>
    <row r="57" spans="22:40" x14ac:dyDescent="0.25">
      <c r="V57" t="s">
        <v>157</v>
      </c>
      <c r="W57" t="s">
        <v>31</v>
      </c>
      <c r="X57">
        <v>0.42600984501413708</v>
      </c>
      <c r="AH57" t="s">
        <v>157</v>
      </c>
      <c r="AI57">
        <v>0.22321530523837257</v>
      </c>
      <c r="AK57" t="s">
        <v>137</v>
      </c>
      <c r="AL57" t="s">
        <v>166</v>
      </c>
      <c r="AM57" t="s">
        <v>167</v>
      </c>
      <c r="AN57">
        <v>0.37997411876840614</v>
      </c>
    </row>
    <row r="58" spans="22:40" x14ac:dyDescent="0.25">
      <c r="V58" t="s">
        <v>158</v>
      </c>
      <c r="W58" t="s">
        <v>31</v>
      </c>
      <c r="X58">
        <v>0.41966639271514722</v>
      </c>
      <c r="AH58" t="s">
        <v>158</v>
      </c>
      <c r="AI58">
        <v>0.23850800093702712</v>
      </c>
      <c r="AK58" t="s">
        <v>138</v>
      </c>
      <c r="AL58" t="s">
        <v>166</v>
      </c>
      <c r="AM58" t="s">
        <v>167</v>
      </c>
      <c r="AN58">
        <v>0.50020958646910152</v>
      </c>
    </row>
    <row r="59" spans="22:40" x14ac:dyDescent="0.25">
      <c r="V59" t="s">
        <v>159</v>
      </c>
      <c r="W59" t="s">
        <v>31</v>
      </c>
      <c r="X59">
        <v>0.41335737007078566</v>
      </c>
      <c r="AH59" t="s">
        <v>159</v>
      </c>
      <c r="AI59">
        <v>0.24944956562240891</v>
      </c>
      <c r="AK59" t="s">
        <v>139</v>
      </c>
      <c r="AL59" t="s">
        <v>166</v>
      </c>
      <c r="AM59" t="s">
        <v>167</v>
      </c>
      <c r="AN59">
        <v>0.50992979072123334</v>
      </c>
    </row>
    <row r="60" spans="22:40" x14ac:dyDescent="0.25">
      <c r="V60" t="s">
        <v>160</v>
      </c>
      <c r="W60" t="s">
        <v>31</v>
      </c>
      <c r="X60">
        <v>0.41957414598188714</v>
      </c>
      <c r="AH60" t="s">
        <v>160</v>
      </c>
      <c r="AI60">
        <v>0.26231416009841102</v>
      </c>
      <c r="AK60" t="s">
        <v>140</v>
      </c>
      <c r="AL60" t="s">
        <v>166</v>
      </c>
      <c r="AM60" t="s">
        <v>167</v>
      </c>
      <c r="AN60">
        <v>0.46231116443987391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6D508-FF1F-4B0A-8527-DC66A740F138}">
  <dimension ref="B9:J11"/>
  <sheetViews>
    <sheetView workbookViewId="0"/>
  </sheetViews>
  <sheetFormatPr defaultRowHeight="15" x14ac:dyDescent="0.25"/>
  <sheetData>
    <row r="9" spans="2:10" x14ac:dyDescent="0.25">
      <c r="B9" t="str">
        <f>IF(A11="x","DeActivated","~TFM_DINS-AT")</f>
        <v>~TFM_DINS-AT</v>
      </c>
      <c r="G9" t="str">
        <f>IF(A11="x","DeActivated","~TFM_DINS-AT")</f>
        <v>~TFM_DINS-AT</v>
      </c>
    </row>
    <row r="10" spans="2:10" x14ac:dyDescent="0.25">
      <c r="B10" t="s">
        <v>48</v>
      </c>
      <c r="C10" t="s">
        <v>43</v>
      </c>
      <c r="D10" t="s">
        <v>42</v>
      </c>
      <c r="E10" t="s">
        <v>41</v>
      </c>
      <c r="G10" t="s">
        <v>48</v>
      </c>
      <c r="H10" t="s">
        <v>43</v>
      </c>
      <c r="I10" t="s">
        <v>42</v>
      </c>
      <c r="J10" t="s">
        <v>41</v>
      </c>
    </row>
    <row r="11" spans="2:10" x14ac:dyDescent="0.25">
      <c r="B11">
        <v>1</v>
      </c>
      <c r="C11">
        <v>1.0000000000000002</v>
      </c>
      <c r="D11" t="s">
        <v>45</v>
      </c>
      <c r="E11" t="s">
        <v>49</v>
      </c>
      <c r="G11">
        <v>1</v>
      </c>
      <c r="H11">
        <v>1.0000000000000002</v>
      </c>
      <c r="I11" t="s">
        <v>45</v>
      </c>
      <c r="J1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3089-BEB4-42D3-BC8F-B2A17AAAC3E6}">
  <dimension ref="B9:H12"/>
  <sheetViews>
    <sheetView workbookViewId="0">
      <selection activeCell="B12" sqref="B12"/>
    </sheetView>
  </sheetViews>
  <sheetFormatPr defaultRowHeight="15" x14ac:dyDescent="0.25"/>
  <sheetData>
    <row r="9" spans="2:8" x14ac:dyDescent="0.25">
      <c r="B9" t="str">
        <f>IF(A11="x","DeActivated","~TFM_DINS-AT")</f>
        <v>~TFM_DINS-AT</v>
      </c>
      <c r="F9" t="str">
        <f>IF(A11="x","DeActivated","~TFM_DINS-AT")</f>
        <v>~TFM_DINS-AT</v>
      </c>
    </row>
    <row r="10" spans="2:8" x14ac:dyDescent="0.25">
      <c r="B10" t="s">
        <v>41</v>
      </c>
      <c r="C10" t="s">
        <v>42</v>
      </c>
      <c r="D10" t="s">
        <v>43</v>
      </c>
      <c r="F10" t="s">
        <v>41</v>
      </c>
      <c r="G10" t="s">
        <v>42</v>
      </c>
      <c r="H10" t="s">
        <v>43</v>
      </c>
    </row>
    <row r="11" spans="2:8" x14ac:dyDescent="0.25">
      <c r="B11" t="s">
        <v>53</v>
      </c>
      <c r="C11" t="s">
        <v>45</v>
      </c>
      <c r="D11">
        <v>1</v>
      </c>
      <c r="F11" t="s">
        <v>53</v>
      </c>
      <c r="G11" t="s">
        <v>45</v>
      </c>
      <c r="H11">
        <v>1</v>
      </c>
    </row>
    <row r="12" spans="2:8" x14ac:dyDescent="0.25">
      <c r="B12" t="s">
        <v>54</v>
      </c>
      <c r="C12" t="s">
        <v>45</v>
      </c>
      <c r="D12">
        <v>1</v>
      </c>
      <c r="F12" t="s">
        <v>54</v>
      </c>
      <c r="G12" t="s">
        <v>45</v>
      </c>
      <c r="H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BC6E-F68A-4634-93A1-292B1461986D}">
  <dimension ref="B9:H11"/>
  <sheetViews>
    <sheetView workbookViewId="0"/>
  </sheetViews>
  <sheetFormatPr defaultRowHeight="15" x14ac:dyDescent="0.25"/>
  <sheetData>
    <row r="9" spans="2:8" x14ac:dyDescent="0.25">
      <c r="B9" t="str">
        <f>IF(A11="x","DeActivated","~TFM_DINS-AT")</f>
        <v>~TFM_DINS-AT</v>
      </c>
      <c r="F9" t="str">
        <f>IF(A11="x","DeActivated","~TFM_DINS-AT")</f>
        <v>~TFM_DINS-AT</v>
      </c>
    </row>
    <row r="10" spans="2:8" x14ac:dyDescent="0.25">
      <c r="B10" t="s">
        <v>41</v>
      </c>
      <c r="C10" t="s">
        <v>42</v>
      </c>
      <c r="D10" t="s">
        <v>55</v>
      </c>
      <c r="F10" t="s">
        <v>41</v>
      </c>
      <c r="G10" t="s">
        <v>42</v>
      </c>
      <c r="H10" t="s">
        <v>55</v>
      </c>
    </row>
    <row r="11" spans="2:8" x14ac:dyDescent="0.25">
      <c r="B11" t="s">
        <v>12</v>
      </c>
      <c r="C11" t="s">
        <v>45</v>
      </c>
      <c r="D11">
        <v>0.2276946866804006</v>
      </c>
      <c r="F11" t="s">
        <v>12</v>
      </c>
      <c r="G11" t="s">
        <v>45</v>
      </c>
      <c r="H11">
        <v>0.22677421853655755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64CF-15A2-40C8-A97F-3BCF46BDB489}">
  <dimension ref="B9:J39"/>
  <sheetViews>
    <sheetView tabSelected="1" workbookViewId="0"/>
  </sheetViews>
  <sheetFormatPr defaultRowHeight="15" x14ac:dyDescent="0.25"/>
  <sheetData>
    <row r="9" spans="2:10" x14ac:dyDescent="0.25">
      <c r="B9" t="str">
        <f>IF(A11="x","DeActivated","~TFM_INS-AT")</f>
        <v>~TFM_INS-AT</v>
      </c>
      <c r="G9" t="str">
        <f>IF(A11="x","DeActivated","~TFM_INS-AT")</f>
        <v>~TFM_INS-AT</v>
      </c>
    </row>
    <row r="10" spans="2:10" x14ac:dyDescent="0.25">
      <c r="B10" t="s">
        <v>56</v>
      </c>
      <c r="C10" t="s">
        <v>42</v>
      </c>
      <c r="D10" t="s">
        <v>57</v>
      </c>
      <c r="E10" t="s">
        <v>58</v>
      </c>
      <c r="G10" t="s">
        <v>56</v>
      </c>
      <c r="H10" t="s">
        <v>42</v>
      </c>
      <c r="I10" t="s">
        <v>57</v>
      </c>
      <c r="J10" t="s">
        <v>58</v>
      </c>
    </row>
    <row r="11" spans="2:10" x14ac:dyDescent="0.25">
      <c r="B11">
        <v>2020</v>
      </c>
      <c r="C11" t="s">
        <v>37</v>
      </c>
      <c r="D11">
        <v>0.56919999999999993</v>
      </c>
      <c r="E11" t="s">
        <v>59</v>
      </c>
      <c r="G11">
        <v>2020</v>
      </c>
      <c r="H11" t="s">
        <v>37</v>
      </c>
      <c r="I11">
        <v>0.18843767577479634</v>
      </c>
      <c r="J11" t="s">
        <v>59</v>
      </c>
    </row>
    <row r="12" spans="2:10" x14ac:dyDescent="0.25">
      <c r="B12">
        <v>2021</v>
      </c>
      <c r="C12" t="s">
        <v>37</v>
      </c>
      <c r="D12">
        <v>0.48831666666666673</v>
      </c>
      <c r="E12" t="s">
        <v>59</v>
      </c>
      <c r="G12">
        <v>2021</v>
      </c>
      <c r="H12" t="s">
        <v>37</v>
      </c>
      <c r="I12">
        <v>0.21560142735733021</v>
      </c>
      <c r="J12" t="s">
        <v>59</v>
      </c>
    </row>
    <row r="13" spans="2:10" x14ac:dyDescent="0.25">
      <c r="B13">
        <v>2022</v>
      </c>
      <c r="C13" t="s">
        <v>37</v>
      </c>
      <c r="D13">
        <v>0.40083333333333337</v>
      </c>
      <c r="E13" t="s">
        <v>59</v>
      </c>
      <c r="G13">
        <v>2022</v>
      </c>
      <c r="H13" t="s">
        <v>37</v>
      </c>
      <c r="I13">
        <v>0.18139392213618674</v>
      </c>
      <c r="J13" t="s">
        <v>59</v>
      </c>
    </row>
    <row r="14" spans="2:10" x14ac:dyDescent="0.25">
      <c r="B14">
        <v>2025</v>
      </c>
      <c r="C14" t="s">
        <v>37</v>
      </c>
      <c r="D14">
        <v>0.41761666666666675</v>
      </c>
      <c r="E14" t="s">
        <v>59</v>
      </c>
      <c r="G14">
        <v>2025</v>
      </c>
      <c r="H14" t="s">
        <v>37</v>
      </c>
      <c r="I14">
        <v>0.19461666666666666</v>
      </c>
      <c r="J14" t="s">
        <v>59</v>
      </c>
    </row>
    <row r="15" spans="2:10" x14ac:dyDescent="0.25">
      <c r="B15">
        <v>2026</v>
      </c>
      <c r="C15" t="s">
        <v>37</v>
      </c>
      <c r="D15">
        <v>0.43812500000000004</v>
      </c>
      <c r="E15" t="s">
        <v>59</v>
      </c>
      <c r="G15">
        <v>2026</v>
      </c>
      <c r="H15" t="s">
        <v>37</v>
      </c>
      <c r="I15">
        <v>0.19336666666666669</v>
      </c>
      <c r="J15" t="s">
        <v>59</v>
      </c>
    </row>
    <row r="16" spans="2:10" x14ac:dyDescent="0.25">
      <c r="B16">
        <v>2027</v>
      </c>
      <c r="C16" t="s">
        <v>37</v>
      </c>
      <c r="D16">
        <v>0.39147499999999996</v>
      </c>
      <c r="E16" t="s">
        <v>59</v>
      </c>
      <c r="G16">
        <v>2027</v>
      </c>
      <c r="H16" t="s">
        <v>37</v>
      </c>
      <c r="I16">
        <v>0.20275000000000001</v>
      </c>
      <c r="J16" t="s">
        <v>59</v>
      </c>
    </row>
    <row r="17" spans="2:10" x14ac:dyDescent="0.25">
      <c r="B17">
        <v>2028</v>
      </c>
      <c r="C17" t="s">
        <v>37</v>
      </c>
      <c r="D17">
        <v>0.44040000000000007</v>
      </c>
      <c r="E17" t="s">
        <v>59</v>
      </c>
      <c r="G17">
        <v>2028</v>
      </c>
      <c r="H17" t="s">
        <v>37</v>
      </c>
      <c r="I17">
        <v>0.17006666666666667</v>
      </c>
      <c r="J17" t="s">
        <v>59</v>
      </c>
    </row>
    <row r="18" spans="2:10" x14ac:dyDescent="0.25">
      <c r="B18">
        <v>2029</v>
      </c>
      <c r="C18" t="s">
        <v>37</v>
      </c>
      <c r="D18">
        <v>0.41259999999999991</v>
      </c>
      <c r="E18" t="s">
        <v>59</v>
      </c>
      <c r="G18">
        <v>2029</v>
      </c>
      <c r="H18" t="s">
        <v>37</v>
      </c>
      <c r="I18">
        <v>0.16963333333333333</v>
      </c>
      <c r="J18" t="s">
        <v>59</v>
      </c>
    </row>
    <row r="19" spans="2:10" x14ac:dyDescent="0.25">
      <c r="B19">
        <v>2030</v>
      </c>
      <c r="C19" t="s">
        <v>37</v>
      </c>
      <c r="D19">
        <v>0.41924166666666668</v>
      </c>
      <c r="E19" t="s">
        <v>59</v>
      </c>
      <c r="G19">
        <v>2030</v>
      </c>
      <c r="H19" t="s">
        <v>37</v>
      </c>
      <c r="I19">
        <v>0.16924166666666665</v>
      </c>
      <c r="J19" t="s">
        <v>59</v>
      </c>
    </row>
    <row r="20" spans="2:10" x14ac:dyDescent="0.25">
      <c r="B20">
        <v>2031</v>
      </c>
      <c r="C20" t="s">
        <v>37</v>
      </c>
      <c r="D20">
        <v>0.46263333333333329</v>
      </c>
      <c r="E20" t="s">
        <v>59</v>
      </c>
      <c r="G20">
        <v>2031</v>
      </c>
      <c r="H20" t="s">
        <v>37</v>
      </c>
      <c r="I20">
        <v>0.16455833333333333</v>
      </c>
      <c r="J20" t="s">
        <v>59</v>
      </c>
    </row>
    <row r="21" spans="2:10" x14ac:dyDescent="0.25">
      <c r="B21">
        <v>2032</v>
      </c>
      <c r="C21" t="s">
        <v>37</v>
      </c>
      <c r="D21">
        <v>0.38890000000000002</v>
      </c>
      <c r="E21" t="s">
        <v>59</v>
      </c>
      <c r="G21">
        <v>2032</v>
      </c>
      <c r="H21" t="s">
        <v>37</v>
      </c>
      <c r="I21">
        <v>0.17049166666666662</v>
      </c>
      <c r="J21" t="s">
        <v>59</v>
      </c>
    </row>
    <row r="22" spans="2:10" x14ac:dyDescent="0.25">
      <c r="B22">
        <v>2033</v>
      </c>
      <c r="C22" t="s">
        <v>37</v>
      </c>
      <c r="D22">
        <v>0.39654166666666663</v>
      </c>
      <c r="E22" t="s">
        <v>59</v>
      </c>
      <c r="G22">
        <v>2033</v>
      </c>
      <c r="H22" t="s">
        <v>37</v>
      </c>
      <c r="I22">
        <v>0.23421666666666666</v>
      </c>
      <c r="J22" t="s">
        <v>59</v>
      </c>
    </row>
    <row r="23" spans="2:10" x14ac:dyDescent="0.25">
      <c r="B23">
        <v>2034</v>
      </c>
      <c r="C23" t="s">
        <v>37</v>
      </c>
      <c r="D23">
        <v>0.42930833333333335</v>
      </c>
      <c r="E23" t="s">
        <v>59</v>
      </c>
      <c r="G23">
        <v>2034</v>
      </c>
      <c r="H23" t="s">
        <v>37</v>
      </c>
      <c r="I23">
        <v>0.21967499999999998</v>
      </c>
      <c r="J23" t="s">
        <v>59</v>
      </c>
    </row>
    <row r="24" spans="2:10" x14ac:dyDescent="0.25">
      <c r="B24">
        <v>2035</v>
      </c>
      <c r="C24" t="s">
        <v>37</v>
      </c>
      <c r="D24">
        <v>0.39865833333333334</v>
      </c>
      <c r="E24" t="s">
        <v>59</v>
      </c>
      <c r="G24">
        <v>2035</v>
      </c>
      <c r="H24" t="s">
        <v>37</v>
      </c>
      <c r="I24">
        <v>0.22216666666666665</v>
      </c>
      <c r="J24" t="s">
        <v>59</v>
      </c>
    </row>
    <row r="25" spans="2:10" x14ac:dyDescent="0.25">
      <c r="B25">
        <v>2036</v>
      </c>
      <c r="C25" t="s">
        <v>37</v>
      </c>
      <c r="D25">
        <v>0.45432499999999992</v>
      </c>
      <c r="E25" t="s">
        <v>59</v>
      </c>
      <c r="G25">
        <v>2036</v>
      </c>
      <c r="H25" t="s">
        <v>37</v>
      </c>
      <c r="I25">
        <v>0.22770833333333337</v>
      </c>
      <c r="J25" t="s">
        <v>59</v>
      </c>
    </row>
    <row r="26" spans="2:10" x14ac:dyDescent="0.25">
      <c r="B26">
        <v>2037</v>
      </c>
      <c r="C26" t="s">
        <v>37</v>
      </c>
      <c r="D26">
        <v>0.43140000000000001</v>
      </c>
      <c r="E26" t="s">
        <v>59</v>
      </c>
      <c r="G26">
        <v>2037</v>
      </c>
      <c r="H26" t="s">
        <v>37</v>
      </c>
      <c r="I26">
        <v>0.22924166666666668</v>
      </c>
      <c r="J26" t="s">
        <v>59</v>
      </c>
    </row>
    <row r="27" spans="2:10" x14ac:dyDescent="0.25">
      <c r="B27">
        <v>2038</v>
      </c>
      <c r="C27" t="s">
        <v>37</v>
      </c>
      <c r="D27">
        <v>0.53756666666666664</v>
      </c>
      <c r="E27" t="s">
        <v>59</v>
      </c>
      <c r="G27">
        <v>2038</v>
      </c>
      <c r="H27" t="s">
        <v>37</v>
      </c>
      <c r="I27">
        <v>0.22686666666666669</v>
      </c>
      <c r="J27" t="s">
        <v>59</v>
      </c>
    </row>
    <row r="28" spans="2:10" x14ac:dyDescent="0.25">
      <c r="B28">
        <v>2039</v>
      </c>
      <c r="C28" t="s">
        <v>37</v>
      </c>
      <c r="D28">
        <v>0.44751666666666673</v>
      </c>
      <c r="E28" t="s">
        <v>59</v>
      </c>
      <c r="G28">
        <v>2039</v>
      </c>
      <c r="H28" t="s">
        <v>37</v>
      </c>
      <c r="I28">
        <v>0.20100833333333334</v>
      </c>
      <c r="J28" t="s">
        <v>59</v>
      </c>
    </row>
    <row r="29" spans="2:10" x14ac:dyDescent="0.25">
      <c r="B29">
        <v>2040</v>
      </c>
      <c r="C29" t="s">
        <v>37</v>
      </c>
      <c r="D29">
        <v>0.43783333333333335</v>
      </c>
      <c r="E29" t="s">
        <v>59</v>
      </c>
      <c r="G29">
        <v>2040</v>
      </c>
      <c r="H29" t="s">
        <v>37</v>
      </c>
      <c r="I29">
        <v>0.19755</v>
      </c>
      <c r="J29" t="s">
        <v>59</v>
      </c>
    </row>
    <row r="30" spans="2:10" x14ac:dyDescent="0.25">
      <c r="B30">
        <v>2041</v>
      </c>
      <c r="C30" t="s">
        <v>37</v>
      </c>
      <c r="D30">
        <v>0.48789166666666661</v>
      </c>
      <c r="E30" t="s">
        <v>59</v>
      </c>
      <c r="G30">
        <v>2041</v>
      </c>
      <c r="H30" t="s">
        <v>37</v>
      </c>
      <c r="I30">
        <v>0.20085</v>
      </c>
      <c r="J30" t="s">
        <v>59</v>
      </c>
    </row>
    <row r="31" spans="2:10" x14ac:dyDescent="0.25">
      <c r="B31">
        <v>2042</v>
      </c>
      <c r="C31" t="s">
        <v>37</v>
      </c>
      <c r="D31">
        <v>0.48406666666666665</v>
      </c>
      <c r="E31" t="s">
        <v>59</v>
      </c>
      <c r="G31">
        <v>2042</v>
      </c>
      <c r="H31" t="s">
        <v>37</v>
      </c>
      <c r="I31">
        <v>0.220475</v>
      </c>
      <c r="J31" t="s">
        <v>59</v>
      </c>
    </row>
    <row r="32" spans="2:10" x14ac:dyDescent="0.25">
      <c r="B32">
        <v>2043</v>
      </c>
      <c r="C32" t="s">
        <v>37</v>
      </c>
      <c r="D32">
        <v>0.43420833333333331</v>
      </c>
      <c r="E32" t="s">
        <v>59</v>
      </c>
      <c r="G32">
        <v>2043</v>
      </c>
      <c r="H32" t="s">
        <v>37</v>
      </c>
      <c r="I32">
        <v>0.22735833333333336</v>
      </c>
      <c r="J32" t="s">
        <v>59</v>
      </c>
    </row>
    <row r="33" spans="2:10" x14ac:dyDescent="0.25">
      <c r="B33">
        <v>2044</v>
      </c>
      <c r="C33" t="s">
        <v>37</v>
      </c>
      <c r="D33">
        <v>0.54013333333333335</v>
      </c>
      <c r="E33" t="s">
        <v>59</v>
      </c>
      <c r="G33">
        <v>2044</v>
      </c>
      <c r="H33" t="s">
        <v>37</v>
      </c>
      <c r="I33">
        <v>0.23075833333333332</v>
      </c>
      <c r="J33" t="s">
        <v>59</v>
      </c>
    </row>
    <row r="34" spans="2:10" x14ac:dyDescent="0.25">
      <c r="B34">
        <v>2045</v>
      </c>
      <c r="C34" t="s">
        <v>37</v>
      </c>
      <c r="D34">
        <v>0.45367499999999999</v>
      </c>
      <c r="E34" t="s">
        <v>59</v>
      </c>
      <c r="G34">
        <v>2045</v>
      </c>
      <c r="H34" t="s">
        <v>37</v>
      </c>
      <c r="I34">
        <v>0.16792499999999999</v>
      </c>
      <c r="J34" t="s">
        <v>59</v>
      </c>
    </row>
    <row r="35" spans="2:10" x14ac:dyDescent="0.25">
      <c r="B35">
        <v>2046</v>
      </c>
      <c r="C35" t="s">
        <v>37</v>
      </c>
      <c r="D35">
        <v>0.47832499999999994</v>
      </c>
      <c r="E35" t="s">
        <v>59</v>
      </c>
      <c r="G35">
        <v>2046</v>
      </c>
      <c r="H35" t="s">
        <v>37</v>
      </c>
      <c r="I35">
        <v>0.16623333333333334</v>
      </c>
      <c r="J35" t="s">
        <v>59</v>
      </c>
    </row>
    <row r="36" spans="2:10" x14ac:dyDescent="0.25">
      <c r="B36">
        <v>2047</v>
      </c>
      <c r="C36" t="s">
        <v>37</v>
      </c>
      <c r="D36">
        <v>0.46139166666666664</v>
      </c>
      <c r="E36" t="s">
        <v>59</v>
      </c>
      <c r="G36">
        <v>2047</v>
      </c>
      <c r="H36" t="s">
        <v>37</v>
      </c>
      <c r="I36">
        <v>0.20014166666666666</v>
      </c>
      <c r="J36" t="s">
        <v>59</v>
      </c>
    </row>
    <row r="37" spans="2:10" x14ac:dyDescent="0.25">
      <c r="B37">
        <v>2048</v>
      </c>
      <c r="C37" t="s">
        <v>37</v>
      </c>
      <c r="D37">
        <v>0.39425833333333332</v>
      </c>
      <c r="E37" t="s">
        <v>59</v>
      </c>
      <c r="G37">
        <v>2048</v>
      </c>
      <c r="H37" t="s">
        <v>37</v>
      </c>
      <c r="I37">
        <v>0.19996666666666665</v>
      </c>
      <c r="J37" t="s">
        <v>59</v>
      </c>
    </row>
    <row r="38" spans="2:10" x14ac:dyDescent="0.25">
      <c r="B38">
        <v>2049</v>
      </c>
      <c r="C38" t="s">
        <v>37</v>
      </c>
      <c r="D38">
        <v>0.44047500000000001</v>
      </c>
      <c r="E38" t="s">
        <v>59</v>
      </c>
      <c r="G38">
        <v>2049</v>
      </c>
      <c r="H38" t="s">
        <v>37</v>
      </c>
      <c r="I38">
        <v>0.19070833333333334</v>
      </c>
      <c r="J38" t="s">
        <v>59</v>
      </c>
    </row>
    <row r="39" spans="2:10" x14ac:dyDescent="0.25">
      <c r="B39">
        <v>2050</v>
      </c>
      <c r="C39" t="s">
        <v>37</v>
      </c>
      <c r="D39">
        <v>0.40086666666666665</v>
      </c>
      <c r="E39" t="s">
        <v>59</v>
      </c>
      <c r="G39">
        <v>2050</v>
      </c>
      <c r="H39" t="s">
        <v>37</v>
      </c>
      <c r="I39">
        <v>0.19342500000000004</v>
      </c>
      <c r="J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2026-06-30T11:25:52Z</dcterms:modified>
</cp:coreProperties>
</file>